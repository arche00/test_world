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e\Desktop\2020!!\"/>
    </mc:Choice>
  </mc:AlternateContent>
  <xr:revisionPtr revIDLastSave="0" documentId="13_ncr:1_{E53127AB-F0D3-4EE0-B1CB-D0B65515E1C1}" xr6:coauthVersionLast="45" xr6:coauthVersionMax="45" xr10:uidLastSave="{00000000-0000-0000-0000-000000000000}"/>
  <bookViews>
    <workbookView xWindow="5790" yWindow="1125" windowWidth="19185" windowHeight="10185" activeTab="6" xr2:uid="{424BBB1F-B656-4B42-A7ED-09896671C3D3}"/>
  </bookViews>
  <sheets>
    <sheet name="Sheet1" sheetId="1" r:id="rId1"/>
    <sheet name="Sheet2" sheetId="2" r:id="rId2"/>
    <sheet name="Sheet3 (2)" sheetId="8" r:id="rId3"/>
    <sheet name="Sheet3" sheetId="3" r:id="rId4"/>
    <sheet name="Sheet6" sheetId="6" r:id="rId5"/>
    <sheet name="Sheet4" sheetId="4" r:id="rId6"/>
    <sheet name="Sheet5" sheetId="5" r:id="rId7"/>
    <sheet name="Sheet7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89" i="2" l="1"/>
  <c r="J89" i="2" s="1"/>
  <c r="N89" i="2" s="1"/>
  <c r="K89" i="2"/>
  <c r="O89" i="2" s="1"/>
  <c r="M89" i="2"/>
  <c r="I90" i="2"/>
  <c r="J90" i="2" s="1"/>
  <c r="N90" i="2" s="1"/>
  <c r="K90" i="2"/>
  <c r="O90" i="2" s="1"/>
  <c r="M90" i="2"/>
  <c r="I91" i="2"/>
  <c r="J91" i="2" s="1"/>
  <c r="N91" i="2" s="1"/>
  <c r="K91" i="2"/>
  <c r="O91" i="2" s="1"/>
  <c r="M91" i="2"/>
  <c r="I92" i="2"/>
  <c r="J92" i="2" s="1"/>
  <c r="N92" i="2" s="1"/>
  <c r="K92" i="2"/>
  <c r="O92" i="2" s="1"/>
  <c r="M92" i="2"/>
  <c r="I93" i="2"/>
  <c r="J93" i="2" s="1"/>
  <c r="N93" i="2" s="1"/>
  <c r="K93" i="2"/>
  <c r="O93" i="2" s="1"/>
  <c r="M93" i="2"/>
  <c r="I94" i="2"/>
  <c r="J94" i="2" s="1"/>
  <c r="N94" i="2" s="1"/>
  <c r="K94" i="2"/>
  <c r="O94" i="2" s="1"/>
  <c r="M94" i="2"/>
  <c r="I95" i="2"/>
  <c r="J95" i="2" s="1"/>
  <c r="N95" i="2" s="1"/>
  <c r="K95" i="2"/>
  <c r="O95" i="2" s="1"/>
  <c r="M95" i="2"/>
  <c r="I96" i="2"/>
  <c r="J96" i="2" s="1"/>
  <c r="N96" i="2" s="1"/>
  <c r="K96" i="2"/>
  <c r="O96" i="2" s="1"/>
  <c r="M96" i="2"/>
  <c r="I97" i="2"/>
  <c r="J97" i="2" s="1"/>
  <c r="N97" i="2" s="1"/>
  <c r="K97" i="2"/>
  <c r="O97" i="2" s="1"/>
  <c r="M97" i="2"/>
  <c r="K125" i="8"/>
  <c r="J125" i="8"/>
  <c r="I125" i="8"/>
  <c r="H125" i="8"/>
  <c r="G125" i="8"/>
  <c r="K115" i="8"/>
  <c r="J115" i="8"/>
  <c r="I115" i="8"/>
  <c r="H115" i="8"/>
  <c r="G115" i="8"/>
  <c r="K105" i="8"/>
  <c r="J105" i="8"/>
  <c r="I105" i="8"/>
  <c r="H105" i="8"/>
  <c r="G105" i="8"/>
  <c r="K95" i="8"/>
  <c r="J95" i="8"/>
  <c r="I95" i="8"/>
  <c r="H95" i="8"/>
  <c r="G95" i="8"/>
  <c r="K85" i="8"/>
  <c r="J85" i="8"/>
  <c r="I85" i="8"/>
  <c r="H85" i="8"/>
  <c r="G85" i="8"/>
  <c r="K75" i="8"/>
  <c r="J75" i="8"/>
  <c r="I75" i="8"/>
  <c r="H75" i="8"/>
  <c r="G75" i="8"/>
  <c r="K65" i="8"/>
  <c r="J65" i="8"/>
  <c r="I65" i="8"/>
  <c r="H65" i="8"/>
  <c r="G65" i="8"/>
  <c r="K55" i="8"/>
  <c r="J55" i="8"/>
  <c r="I55" i="8"/>
  <c r="H55" i="8"/>
  <c r="G55" i="8"/>
  <c r="K45" i="8"/>
  <c r="J45" i="8"/>
  <c r="I45" i="8"/>
  <c r="H45" i="8"/>
  <c r="G45" i="8"/>
  <c r="K35" i="8"/>
  <c r="J35" i="8"/>
  <c r="I35" i="8"/>
  <c r="H35" i="8"/>
  <c r="G35" i="8"/>
  <c r="K25" i="8"/>
  <c r="J25" i="8"/>
  <c r="I25" i="8"/>
  <c r="H25" i="8"/>
  <c r="G25" i="8"/>
  <c r="K15" i="8"/>
  <c r="J15" i="8"/>
  <c r="I15" i="8"/>
  <c r="H15" i="8"/>
  <c r="G15" i="8"/>
  <c r="K5" i="8"/>
  <c r="J5" i="8"/>
  <c r="I5" i="8"/>
  <c r="H5" i="8"/>
  <c r="G5" i="8"/>
  <c r="K125" i="3"/>
  <c r="K115" i="3"/>
  <c r="K105" i="3"/>
  <c r="K95" i="3"/>
  <c r="K85" i="3"/>
  <c r="K75" i="3"/>
  <c r="K65" i="3"/>
  <c r="K55" i="3"/>
  <c r="K45" i="3"/>
  <c r="K35" i="3"/>
  <c r="K25" i="3"/>
  <c r="K15" i="3"/>
  <c r="K5" i="3"/>
  <c r="J125" i="3"/>
  <c r="I125" i="3"/>
  <c r="H125" i="3"/>
  <c r="G125" i="3"/>
  <c r="J115" i="3"/>
  <c r="I115" i="3"/>
  <c r="H115" i="3"/>
  <c r="G115" i="3"/>
  <c r="J105" i="3"/>
  <c r="I105" i="3"/>
  <c r="H105" i="3"/>
  <c r="G105" i="3"/>
  <c r="J95" i="3"/>
  <c r="I95" i="3"/>
  <c r="H95" i="3"/>
  <c r="G95" i="3"/>
  <c r="J85" i="3"/>
  <c r="I85" i="3"/>
  <c r="H85" i="3"/>
  <c r="G85" i="3"/>
  <c r="J75" i="3"/>
  <c r="I75" i="3"/>
  <c r="H75" i="3"/>
  <c r="G75" i="3"/>
  <c r="J65" i="3"/>
  <c r="I65" i="3"/>
  <c r="H65" i="3"/>
  <c r="G65" i="3"/>
  <c r="J55" i="3"/>
  <c r="I55" i="3"/>
  <c r="H55" i="3"/>
  <c r="G55" i="3"/>
  <c r="J45" i="3"/>
  <c r="I45" i="3"/>
  <c r="H45" i="3"/>
  <c r="G45" i="3"/>
  <c r="J35" i="3"/>
  <c r="I35" i="3"/>
  <c r="H35" i="3"/>
  <c r="G35" i="3"/>
  <c r="J25" i="3"/>
  <c r="I25" i="3"/>
  <c r="H25" i="3"/>
  <c r="G25" i="3"/>
  <c r="J15" i="3"/>
  <c r="I15" i="3"/>
  <c r="H15" i="3"/>
  <c r="G15" i="3"/>
  <c r="H5" i="3"/>
  <c r="I5" i="3"/>
  <c r="J5" i="3"/>
  <c r="G5" i="3"/>
  <c r="I60" i="2"/>
  <c r="J60" i="2" s="1"/>
  <c r="N60" i="2" s="1"/>
  <c r="K60" i="2"/>
  <c r="M60" i="2"/>
  <c r="O60" i="2"/>
  <c r="I61" i="2"/>
  <c r="J61" i="2" s="1"/>
  <c r="N61" i="2" s="1"/>
  <c r="K61" i="2"/>
  <c r="O61" i="2" s="1"/>
  <c r="M61" i="2"/>
  <c r="I62" i="2"/>
  <c r="J62" i="2"/>
  <c r="N62" i="2" s="1"/>
  <c r="K62" i="2"/>
  <c r="O62" i="2" s="1"/>
  <c r="M62" i="2"/>
  <c r="I63" i="2"/>
  <c r="J63" i="2" s="1"/>
  <c r="N63" i="2" s="1"/>
  <c r="K63" i="2"/>
  <c r="O63" i="2" s="1"/>
  <c r="M63" i="2"/>
  <c r="I64" i="2"/>
  <c r="J64" i="2" s="1"/>
  <c r="N64" i="2" s="1"/>
  <c r="K64" i="2"/>
  <c r="M64" i="2"/>
  <c r="O64" i="2"/>
  <c r="I65" i="2"/>
  <c r="J65" i="2" s="1"/>
  <c r="N65" i="2" s="1"/>
  <c r="K65" i="2"/>
  <c r="O65" i="2" s="1"/>
  <c r="M65" i="2"/>
  <c r="I66" i="2"/>
  <c r="J66" i="2"/>
  <c r="N66" i="2" s="1"/>
  <c r="K66" i="2"/>
  <c r="O66" i="2" s="1"/>
  <c r="M66" i="2"/>
  <c r="I67" i="2"/>
  <c r="J67" i="2" s="1"/>
  <c r="N67" i="2" s="1"/>
  <c r="K67" i="2"/>
  <c r="O67" i="2" s="1"/>
  <c r="M67" i="2"/>
  <c r="I68" i="2"/>
  <c r="J68" i="2" s="1"/>
  <c r="N68" i="2" s="1"/>
  <c r="K68" i="2"/>
  <c r="M68" i="2"/>
  <c r="O68" i="2"/>
  <c r="I69" i="2"/>
  <c r="J69" i="2" s="1"/>
  <c r="N69" i="2" s="1"/>
  <c r="K69" i="2"/>
  <c r="O69" i="2" s="1"/>
  <c r="M69" i="2"/>
  <c r="I70" i="2"/>
  <c r="J70" i="2"/>
  <c r="N70" i="2" s="1"/>
  <c r="K70" i="2"/>
  <c r="O70" i="2" s="1"/>
  <c r="M70" i="2"/>
  <c r="I71" i="2"/>
  <c r="J71" i="2" s="1"/>
  <c r="N71" i="2" s="1"/>
  <c r="K71" i="2"/>
  <c r="O71" i="2" s="1"/>
  <c r="M71" i="2"/>
  <c r="I72" i="2"/>
  <c r="J72" i="2" s="1"/>
  <c r="N72" i="2" s="1"/>
  <c r="K72" i="2"/>
  <c r="M72" i="2"/>
  <c r="O72" i="2"/>
  <c r="I73" i="2"/>
  <c r="J73" i="2" s="1"/>
  <c r="N73" i="2" s="1"/>
  <c r="K73" i="2"/>
  <c r="O73" i="2" s="1"/>
  <c r="M73" i="2"/>
  <c r="I74" i="2"/>
  <c r="J74" i="2"/>
  <c r="N74" i="2" s="1"/>
  <c r="K74" i="2"/>
  <c r="O74" i="2" s="1"/>
  <c r="M74" i="2"/>
  <c r="I75" i="2"/>
  <c r="J75" i="2" s="1"/>
  <c r="N75" i="2" s="1"/>
  <c r="K75" i="2"/>
  <c r="O75" i="2" s="1"/>
  <c r="M75" i="2"/>
  <c r="I76" i="2"/>
  <c r="J76" i="2" s="1"/>
  <c r="N76" i="2" s="1"/>
  <c r="K76" i="2"/>
  <c r="M76" i="2"/>
  <c r="O76" i="2"/>
  <c r="I77" i="2"/>
  <c r="J77" i="2" s="1"/>
  <c r="N77" i="2" s="1"/>
  <c r="K77" i="2"/>
  <c r="O77" i="2" s="1"/>
  <c r="M77" i="2"/>
  <c r="I78" i="2"/>
  <c r="J78" i="2"/>
  <c r="N78" i="2" s="1"/>
  <c r="K78" i="2"/>
  <c r="O78" i="2" s="1"/>
  <c r="M78" i="2"/>
  <c r="I79" i="2"/>
  <c r="J79" i="2" s="1"/>
  <c r="N79" i="2" s="1"/>
  <c r="K79" i="2"/>
  <c r="O79" i="2" s="1"/>
  <c r="M79" i="2"/>
  <c r="I80" i="2"/>
  <c r="J80" i="2" s="1"/>
  <c r="N80" i="2" s="1"/>
  <c r="K80" i="2"/>
  <c r="M80" i="2"/>
  <c r="O80" i="2"/>
  <c r="I81" i="2"/>
  <c r="J81" i="2" s="1"/>
  <c r="N81" i="2" s="1"/>
  <c r="K81" i="2"/>
  <c r="O81" i="2" s="1"/>
  <c r="M81" i="2"/>
  <c r="I82" i="2"/>
  <c r="J82" i="2"/>
  <c r="N82" i="2" s="1"/>
  <c r="K82" i="2"/>
  <c r="O82" i="2" s="1"/>
  <c r="M82" i="2"/>
  <c r="I83" i="2"/>
  <c r="J83" i="2" s="1"/>
  <c r="N83" i="2" s="1"/>
  <c r="K83" i="2"/>
  <c r="O83" i="2" s="1"/>
  <c r="M83" i="2"/>
  <c r="I84" i="2"/>
  <c r="J84" i="2" s="1"/>
  <c r="N84" i="2" s="1"/>
  <c r="K84" i="2"/>
  <c r="M84" i="2"/>
  <c r="O84" i="2"/>
  <c r="I85" i="2"/>
  <c r="J85" i="2" s="1"/>
  <c r="N85" i="2" s="1"/>
  <c r="K85" i="2"/>
  <c r="O85" i="2" s="1"/>
  <c r="M85" i="2"/>
  <c r="I86" i="2"/>
  <c r="J86" i="2"/>
  <c r="N86" i="2" s="1"/>
  <c r="K86" i="2"/>
  <c r="O86" i="2" s="1"/>
  <c r="M86" i="2"/>
  <c r="I87" i="2"/>
  <c r="J87" i="2" s="1"/>
  <c r="N87" i="2" s="1"/>
  <c r="K87" i="2"/>
  <c r="O87" i="2" s="1"/>
  <c r="M87" i="2"/>
  <c r="I88" i="2"/>
  <c r="J88" i="2" s="1"/>
  <c r="N88" i="2" s="1"/>
  <c r="K88" i="2"/>
  <c r="M88" i="2"/>
  <c r="O88" i="2"/>
  <c r="M2" i="2"/>
  <c r="N2" i="2"/>
  <c r="O2" i="2"/>
  <c r="M3" i="2"/>
  <c r="N3" i="2"/>
  <c r="O3" i="2"/>
  <c r="M4" i="2"/>
  <c r="N4" i="2"/>
  <c r="O4" i="2"/>
  <c r="M5" i="2"/>
  <c r="N5" i="2"/>
  <c r="O5" i="2"/>
  <c r="M6" i="2"/>
  <c r="N6" i="2"/>
  <c r="O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16" i="2"/>
  <c r="N16" i="2"/>
  <c r="O16" i="2"/>
  <c r="M17" i="2"/>
  <c r="N17" i="2"/>
  <c r="O17" i="2"/>
  <c r="M18" i="2"/>
  <c r="N18" i="2"/>
  <c r="O18" i="2"/>
  <c r="M19" i="2"/>
  <c r="N19" i="2"/>
  <c r="O19" i="2"/>
  <c r="M20" i="2"/>
  <c r="N20" i="2"/>
  <c r="O20" i="2"/>
  <c r="M21" i="2"/>
  <c r="N21" i="2"/>
  <c r="O21" i="2"/>
  <c r="M22" i="2"/>
  <c r="N22" i="2"/>
  <c r="O22" i="2"/>
  <c r="M23" i="2"/>
  <c r="N23" i="2"/>
  <c r="O23" i="2"/>
  <c r="M24" i="2"/>
  <c r="N24" i="2"/>
  <c r="O24" i="2"/>
  <c r="M25" i="2"/>
  <c r="N25" i="2"/>
  <c r="O25" i="2"/>
  <c r="M26" i="2"/>
  <c r="N26" i="2"/>
  <c r="O26" i="2"/>
  <c r="M27" i="2"/>
  <c r="N27" i="2"/>
  <c r="O27" i="2"/>
  <c r="M28" i="2"/>
  <c r="N28" i="2"/>
  <c r="O28" i="2"/>
  <c r="M29" i="2"/>
  <c r="N29" i="2"/>
  <c r="O29" i="2"/>
  <c r="M30" i="2"/>
  <c r="N30" i="2"/>
  <c r="O30" i="2"/>
  <c r="M31" i="2"/>
  <c r="N31" i="2"/>
  <c r="O31" i="2"/>
  <c r="M32" i="2"/>
  <c r="N32" i="2"/>
  <c r="O32" i="2"/>
  <c r="M33" i="2"/>
  <c r="N33" i="2"/>
  <c r="O33" i="2"/>
  <c r="M34" i="2"/>
  <c r="N34" i="2"/>
  <c r="O34" i="2"/>
  <c r="M35" i="2"/>
  <c r="N35" i="2"/>
  <c r="O35" i="2"/>
  <c r="M36" i="2"/>
  <c r="N36" i="2"/>
  <c r="O36" i="2"/>
  <c r="M37" i="2"/>
  <c r="N37" i="2"/>
  <c r="O37" i="2"/>
  <c r="M38" i="2"/>
  <c r="N38" i="2"/>
  <c r="O38" i="2"/>
  <c r="M39" i="2"/>
  <c r="N39" i="2"/>
  <c r="O39" i="2"/>
  <c r="M40" i="2"/>
  <c r="N40" i="2"/>
  <c r="O40" i="2"/>
  <c r="M41" i="2"/>
  <c r="N41" i="2"/>
  <c r="O41" i="2"/>
  <c r="M42" i="2"/>
  <c r="N42" i="2"/>
  <c r="O42" i="2"/>
  <c r="M43" i="2"/>
  <c r="N43" i="2"/>
  <c r="O43" i="2"/>
  <c r="M44" i="2"/>
  <c r="N44" i="2"/>
  <c r="O44" i="2"/>
  <c r="M45" i="2"/>
  <c r="N45" i="2"/>
  <c r="O45" i="2"/>
  <c r="M46" i="2"/>
  <c r="N46" i="2"/>
  <c r="O46" i="2"/>
  <c r="M47" i="2"/>
  <c r="N47" i="2"/>
  <c r="O47" i="2"/>
  <c r="M48" i="2"/>
  <c r="M49" i="2"/>
  <c r="O49" i="2"/>
  <c r="M50" i="2"/>
  <c r="M51" i="2"/>
  <c r="M52" i="2"/>
  <c r="O52" i="2"/>
  <c r="M53" i="2"/>
  <c r="M54" i="2"/>
  <c r="M55" i="2"/>
  <c r="N55" i="2"/>
  <c r="M56" i="2"/>
  <c r="M57" i="2"/>
  <c r="N57" i="2"/>
  <c r="O57" i="2"/>
  <c r="M58" i="2"/>
  <c r="M59" i="2"/>
  <c r="O1" i="2"/>
  <c r="N1" i="2"/>
  <c r="M1" i="2"/>
  <c r="I6" i="2"/>
  <c r="I7" i="2"/>
  <c r="I8" i="2"/>
  <c r="I9" i="2"/>
  <c r="I10" i="2"/>
  <c r="I11" i="2"/>
  <c r="I12" i="2"/>
  <c r="I13" i="2"/>
  <c r="J13" i="2" s="1"/>
  <c r="I14" i="2"/>
  <c r="I15" i="2"/>
  <c r="I16" i="2"/>
  <c r="I17" i="2"/>
  <c r="I18" i="2"/>
  <c r="I19" i="2"/>
  <c r="J19" i="2" s="1"/>
  <c r="I20" i="2"/>
  <c r="I21" i="2"/>
  <c r="J21" i="2" s="1"/>
  <c r="I22" i="2"/>
  <c r="I23" i="2"/>
  <c r="I24" i="2"/>
  <c r="I25" i="2"/>
  <c r="I26" i="2"/>
  <c r="J26" i="2" s="1"/>
  <c r="I27" i="2"/>
  <c r="J27" i="2" s="1"/>
  <c r="I28" i="2"/>
  <c r="I29" i="2"/>
  <c r="J29" i="2" s="1"/>
  <c r="I30" i="2"/>
  <c r="I31" i="2"/>
  <c r="I32" i="2"/>
  <c r="I33" i="2"/>
  <c r="I34" i="2"/>
  <c r="I35" i="2"/>
  <c r="J35" i="2" s="1"/>
  <c r="I36" i="2"/>
  <c r="I37" i="2"/>
  <c r="J37" i="2" s="1"/>
  <c r="I38" i="2"/>
  <c r="I39" i="2"/>
  <c r="I40" i="2"/>
  <c r="I41" i="2"/>
  <c r="I42" i="2"/>
  <c r="I43" i="2"/>
  <c r="I44" i="2"/>
  <c r="J44" i="2" s="1"/>
  <c r="I45" i="2"/>
  <c r="J45" i="2" s="1"/>
  <c r="I46" i="2"/>
  <c r="I47" i="2"/>
  <c r="I48" i="2"/>
  <c r="I49" i="2"/>
  <c r="I50" i="2"/>
  <c r="J50" i="2" s="1"/>
  <c r="N50" i="2" s="1"/>
  <c r="I51" i="2"/>
  <c r="I52" i="2"/>
  <c r="J52" i="2" s="1"/>
  <c r="N52" i="2" s="1"/>
  <c r="I53" i="2"/>
  <c r="J53" i="2" s="1"/>
  <c r="N53" i="2" s="1"/>
  <c r="I54" i="2"/>
  <c r="J54" i="2" s="1"/>
  <c r="N54" i="2" s="1"/>
  <c r="I55" i="2"/>
  <c r="I56" i="2"/>
  <c r="I57" i="2"/>
  <c r="I58" i="2"/>
  <c r="J58" i="2" s="1"/>
  <c r="N58" i="2" s="1"/>
  <c r="I59" i="2"/>
  <c r="J59" i="2" s="1"/>
  <c r="N59" i="2" s="1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K13" i="2"/>
  <c r="J14" i="2"/>
  <c r="K14" i="2"/>
  <c r="J15" i="2"/>
  <c r="K15" i="2"/>
  <c r="J16" i="2"/>
  <c r="K16" i="2"/>
  <c r="J17" i="2"/>
  <c r="K17" i="2"/>
  <c r="J18" i="2"/>
  <c r="K18" i="2"/>
  <c r="K19" i="2"/>
  <c r="J20" i="2"/>
  <c r="K20" i="2"/>
  <c r="K21" i="2"/>
  <c r="J22" i="2"/>
  <c r="K22" i="2"/>
  <c r="J23" i="2"/>
  <c r="K23" i="2"/>
  <c r="J24" i="2"/>
  <c r="K24" i="2"/>
  <c r="J25" i="2"/>
  <c r="K25" i="2"/>
  <c r="K26" i="2"/>
  <c r="K27" i="2"/>
  <c r="J28" i="2"/>
  <c r="K28" i="2"/>
  <c r="K29" i="2"/>
  <c r="J30" i="2"/>
  <c r="K30" i="2"/>
  <c r="J31" i="2"/>
  <c r="K31" i="2"/>
  <c r="J32" i="2"/>
  <c r="K32" i="2"/>
  <c r="J33" i="2"/>
  <c r="K33" i="2"/>
  <c r="J34" i="2"/>
  <c r="K34" i="2"/>
  <c r="K35" i="2"/>
  <c r="J36" i="2"/>
  <c r="K36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K44" i="2"/>
  <c r="K45" i="2"/>
  <c r="J46" i="2"/>
  <c r="K46" i="2"/>
  <c r="J47" i="2"/>
  <c r="K47" i="2"/>
  <c r="J48" i="2"/>
  <c r="N48" i="2" s="1"/>
  <c r="K48" i="2"/>
  <c r="O48" i="2" s="1"/>
  <c r="J49" i="2"/>
  <c r="N49" i="2" s="1"/>
  <c r="K49" i="2"/>
  <c r="K50" i="2"/>
  <c r="O50" i="2" s="1"/>
  <c r="J51" i="2"/>
  <c r="N51" i="2" s="1"/>
  <c r="K51" i="2"/>
  <c r="O51" i="2" s="1"/>
  <c r="K52" i="2"/>
  <c r="K53" i="2"/>
  <c r="O53" i="2" s="1"/>
  <c r="K54" i="2"/>
  <c r="O54" i="2" s="1"/>
  <c r="J55" i="2"/>
  <c r="K55" i="2"/>
  <c r="O55" i="2" s="1"/>
  <c r="J56" i="2"/>
  <c r="N56" i="2" s="1"/>
  <c r="K56" i="2"/>
  <c r="O56" i="2" s="1"/>
  <c r="J57" i="2"/>
  <c r="K57" i="2"/>
  <c r="K58" i="2"/>
  <c r="O58" i="2" s="1"/>
  <c r="K59" i="2"/>
  <c r="O59" i="2" s="1"/>
  <c r="I2" i="2"/>
  <c r="J2" i="2" s="1"/>
  <c r="I3" i="2"/>
  <c r="J3" i="2" s="1"/>
  <c r="I4" i="2"/>
  <c r="J4" i="2" s="1"/>
  <c r="I5" i="2"/>
  <c r="J5" i="2" s="1"/>
  <c r="J1" i="2"/>
  <c r="I1" i="2"/>
  <c r="K2" i="2"/>
  <c r="K3" i="2"/>
  <c r="K4" i="2"/>
  <c r="K5" i="2"/>
  <c r="K1" i="2"/>
  <c r="AF1" i="5" l="1"/>
  <c r="AE1" i="5"/>
  <c r="AD1" i="5" l="1"/>
  <c r="AC1" i="5"/>
</calcChain>
</file>

<file path=xl/sharedStrings.xml><?xml version="1.0" encoding="utf-8"?>
<sst xmlns="http://schemas.openxmlformats.org/spreadsheetml/2006/main" count="1233" uniqueCount="383">
  <si>
    <t>Portland</t>
  </si>
  <si>
    <t>Final</t>
  </si>
  <si>
    <t>Milwaukee</t>
  </si>
  <si>
    <t>Portland </t>
  </si>
  <si>
    <t>Milwaukee </t>
  </si>
  <si>
    <t>Box Score | Play-By-Play | Shot Chart</t>
  </si>
  <si>
    <t>PTS</t>
  </si>
  <si>
    <t>C. McCollum-POR</t>
  </si>
  <si>
    <t>TRB</t>
  </si>
  <si>
    <t>G. Antetokounmpo-MIL</t>
  </si>
  <si>
    <t>New Orleans</t>
  </si>
  <si>
    <t>Phoenix</t>
  </si>
  <si>
    <t>New Orleans </t>
  </si>
  <si>
    <t>Phoenix </t>
  </si>
  <si>
    <t>Sacramento</t>
  </si>
  <si>
    <t>Brooklyn</t>
  </si>
  <si>
    <t>Sacramento </t>
  </si>
  <si>
    <t>Brooklyn </t>
  </si>
  <si>
    <t>S. Dinwiddie-BRK</t>
  </si>
  <si>
    <t>D. Jordan-BRK</t>
  </si>
  <si>
    <t>Miami</t>
  </si>
  <si>
    <t>Chicago</t>
  </si>
  <si>
    <t>Miami </t>
  </si>
  <si>
    <t>Chicago </t>
  </si>
  <si>
    <t>J. Butler-MIA</t>
  </si>
  <si>
    <t>B. Adebayo-MIA</t>
  </si>
  <si>
    <t>Cleveland</t>
  </si>
  <si>
    <t>Dallas</t>
  </si>
  <si>
    <t>Cleveland </t>
  </si>
  <si>
    <t>Dallas </t>
  </si>
  <si>
    <t>Boston</t>
  </si>
  <si>
    <t>Denver</t>
  </si>
  <si>
    <t>Boston </t>
  </si>
  <si>
    <t>Denver </t>
  </si>
  <si>
    <t>2 tied</t>
  </si>
  <si>
    <t>N. Jokić-DEN</t>
  </si>
  <si>
    <t>Atlanta</t>
  </si>
  <si>
    <t>Detroit</t>
  </si>
  <si>
    <t>Atlanta </t>
  </si>
  <si>
    <t>Detroit </t>
  </si>
  <si>
    <t>A. Drummond-DET</t>
  </si>
  <si>
    <t>LA Clippers</t>
  </si>
  <si>
    <t>LA Clippers </t>
  </si>
  <si>
    <t>LA Lakers</t>
  </si>
  <si>
    <t>Oklahoma City</t>
  </si>
  <si>
    <t>LA Lakers </t>
  </si>
  <si>
    <t>Oklahoma City </t>
  </si>
  <si>
    <t>A. Davis-LAL</t>
  </si>
  <si>
    <t>San Antonio</t>
  </si>
  <si>
    <t>San Antonio </t>
  </si>
  <si>
    <t>Golden State</t>
  </si>
  <si>
    <t>Utah</t>
  </si>
  <si>
    <t>Golden State </t>
  </si>
  <si>
    <t>Utah </t>
  </si>
  <si>
    <t>D. Mitchell-UTA</t>
  </si>
  <si>
    <t>R. Gobert-UTA</t>
  </si>
  <si>
    <t>Charlotte</t>
  </si>
  <si>
    <t>Washington</t>
  </si>
  <si>
    <t>Charlotte </t>
  </si>
  <si>
    <t>Washington </t>
  </si>
  <si>
    <t>Toronto</t>
  </si>
  <si>
    <t>Toronto </t>
  </si>
  <si>
    <t>P. Siakam-TOR</t>
  </si>
  <si>
    <t>T. Young-ATL</t>
  </si>
  <si>
    <t>Z. LaVine-CHI</t>
  </si>
  <si>
    <t>B. Biyombo-CHO</t>
  </si>
  <si>
    <t>Orlando</t>
  </si>
  <si>
    <t>Indiana</t>
  </si>
  <si>
    <t>Orlando </t>
  </si>
  <si>
    <t>Indiana </t>
  </si>
  <si>
    <t>E. Fournier-ORL</t>
  </si>
  <si>
    <t>Memphis</t>
  </si>
  <si>
    <t>Memphis </t>
  </si>
  <si>
    <t>Minnesota</t>
  </si>
  <si>
    <t>Minnesota </t>
  </si>
  <si>
    <t>K. Towns-MIN</t>
  </si>
  <si>
    <t>New York</t>
  </si>
  <si>
    <t>New York </t>
  </si>
  <si>
    <t>M. Harrell-LAC</t>
  </si>
  <si>
    <t>B. Hield-SAC</t>
  </si>
  <si>
    <t>E. Kanter-BOS</t>
  </si>
  <si>
    <t>H. Whiteside-POR</t>
  </si>
  <si>
    <t>J. Allen-BRK</t>
  </si>
  <si>
    <t>D. Sabonis-IND</t>
  </si>
  <si>
    <t>K. Leonard-LAC</t>
  </si>
  <si>
    <t>1OT</t>
  </si>
  <si>
    <t>C. Wood-DET</t>
  </si>
  <si>
    <t>D. Brooks-MEM</t>
  </si>
  <si>
    <t>B. Caboclo-MEM</t>
  </si>
  <si>
    <t>J. Holiday-NOP</t>
  </si>
  <si>
    <t>J. Tatum-BOS</t>
  </si>
  <si>
    <t>W. Cauley-Stein-GSW</t>
  </si>
  <si>
    <t>T</t>
  </si>
  <si>
    <t>Odds</t>
  </si>
  <si>
    <t>PHO</t>
  </si>
  <si>
    <t>PHI</t>
  </si>
  <si>
    <t>GS</t>
  </si>
  <si>
    <t>ATL</t>
  </si>
  <si>
    <t>MIL</t>
  </si>
  <si>
    <t>CHI</t>
  </si>
  <si>
    <t>SAC</t>
  </si>
  <si>
    <t>CLE</t>
  </si>
  <si>
    <t>ID</t>
  </si>
  <si>
    <t>date</t>
  </si>
  <si>
    <t>gametime</t>
  </si>
  <si>
    <t>home</t>
  </si>
  <si>
    <t>away</t>
  </si>
  <si>
    <t>h1q</t>
  </si>
  <si>
    <t>h2q</t>
  </si>
  <si>
    <t>h3q</t>
  </si>
  <si>
    <t>h4q</t>
  </si>
  <si>
    <t>hot</t>
  </si>
  <si>
    <t>a1q</t>
  </si>
  <si>
    <t>a2q</t>
  </si>
  <si>
    <t>a3q</t>
  </si>
  <si>
    <t>a4q</t>
  </si>
  <si>
    <t>aot</t>
  </si>
  <si>
    <t>htot</t>
  </si>
  <si>
    <t>atot</t>
  </si>
  <si>
    <t>1qwl</t>
  </si>
  <si>
    <t>2qwl</t>
  </si>
  <si>
    <t>3qwl</t>
  </si>
  <si>
    <t>4qwl</t>
  </si>
  <si>
    <t>1qou</t>
  </si>
  <si>
    <t>2qou</t>
  </si>
  <si>
    <t>3qou</t>
  </si>
  <si>
    <t>4qou</t>
  </si>
  <si>
    <t>ou</t>
  </si>
  <si>
    <t>1qline</t>
  </si>
  <si>
    <t>home/away</t>
  </si>
  <si>
    <t>ORL</t>
  </si>
  <si>
    <t>HW</t>
  </si>
  <si>
    <t>HL</t>
  </si>
  <si>
    <t>U</t>
  </si>
  <si>
    <t>O</t>
  </si>
  <si>
    <t>TT</t>
  </si>
  <si>
    <t>DAL</t>
  </si>
  <si>
    <t>WAS</t>
  </si>
  <si>
    <t>NYK</t>
  </si>
  <si>
    <t>MIA</t>
  </si>
  <si>
    <t>POR</t>
  </si>
  <si>
    <t>CLE/POR</t>
  </si>
  <si>
    <t>BKN</t>
  </si>
  <si>
    <t>DET</t>
  </si>
  <si>
    <t>SAS</t>
  </si>
  <si>
    <t>TOR</t>
  </si>
  <si>
    <t>OKC</t>
  </si>
  <si>
    <t>HOU</t>
  </si>
  <si>
    <t>DEN</t>
  </si>
  <si>
    <t>LAL</t>
  </si>
  <si>
    <t>LAC</t>
  </si>
  <si>
    <t>NO</t>
  </si>
  <si>
    <t>NO/POR</t>
  </si>
  <si>
    <t>DAL/POR</t>
  </si>
  <si>
    <t>POR/TOR</t>
  </si>
  <si>
    <t>SAS/POR</t>
  </si>
  <si>
    <t>POR/DEN</t>
  </si>
  <si>
    <t>LAC/POR</t>
  </si>
  <si>
    <t>POR/CHI</t>
  </si>
  <si>
    <t>POR/OKC</t>
  </si>
  <si>
    <t>CHI/POR</t>
  </si>
  <si>
    <t>MIL/POR</t>
  </si>
  <si>
    <t>HOU/POR</t>
  </si>
  <si>
    <t>SAC/POR</t>
  </si>
  <si>
    <t>POR/ATL</t>
  </si>
  <si>
    <t>POR/BKN</t>
  </si>
  <si>
    <t>GS/POR</t>
  </si>
  <si>
    <t>POR/PHI</t>
  </si>
  <si>
    <t>OKC/POR</t>
  </si>
  <si>
    <t>OT</t>
  </si>
  <si>
    <t>SA</t>
  </si>
  <si>
    <t>J. Valančiūnas-MEM</t>
  </si>
  <si>
    <t>D. Graham-CHO</t>
  </si>
  <si>
    <t>3 tied</t>
  </si>
  <si>
    <t>T. Warren-IND</t>
  </si>
  <si>
    <t>A. Gordon-ORL</t>
  </si>
  <si>
    <t>M. Bamba-ORL</t>
  </si>
  <si>
    <t>12.8 (일)</t>
  </si>
  <si>
    <t>뉴올리언즈 뉴올리언즈84:130 댈러스댈러스</t>
  </si>
  <si>
    <t>경기영상</t>
  </si>
  <si>
    <t>아메리칸 에어라인스 센터</t>
  </si>
  <si>
    <t>인디애나 인디애나104:103 뉴욕뉴욕</t>
  </si>
  <si>
    <t>매디슨 스퀘어 가든</t>
  </si>
  <si>
    <t>클리블랜드 클리블랜드94:141 필라델피아필라델피아</t>
  </si>
  <si>
    <t>웰스 파고 센터</t>
  </si>
  <si>
    <t>피닉스 피닉스109:115 휴스턴휴스턴</t>
  </si>
  <si>
    <t>도요타 센터</t>
  </si>
  <si>
    <t>멤피스 멤피스112:126 유타유타</t>
  </si>
  <si>
    <t>비빈트 스마트홈 아레나</t>
  </si>
  <si>
    <t>W. Carter-CHI</t>
  </si>
  <si>
    <t>T. Ross-ORL</t>
  </si>
  <si>
    <t>L. Nance-CLE</t>
  </si>
  <si>
    <t>I. Zubac-LAC</t>
  </si>
  <si>
    <t>J. Teague-MIN</t>
  </si>
  <si>
    <t>S. Adams-OKC</t>
  </si>
  <si>
    <t>R. Holmes-SAC</t>
  </si>
  <si>
    <t>12.9 (월)</t>
  </si>
  <si>
    <t>덴버 덴버102:105 브루클린브루클린</t>
  </si>
  <si>
    <t>바클레이스 센터</t>
  </si>
  <si>
    <t>애틀랜타 애틀랜타122:107 샬럿샬럿</t>
  </si>
  <si>
    <t>스펙트럼 센터</t>
  </si>
  <si>
    <t>시카고 시카고105:110 마이애미마이애미</t>
  </si>
  <si>
    <t>아메리칸 에어라인스 아레나</t>
  </si>
  <si>
    <t>토론토 토론토104:110 필라델피아필라델피아</t>
  </si>
  <si>
    <t>LA클리퍼스 LA클리퍼스135:119 워싱턴워싱턴</t>
  </si>
  <si>
    <t>캐피털 원 아레나</t>
  </si>
  <si>
    <t>새크라멘토 새크라멘토110:106 댈러스댈러스</t>
  </si>
  <si>
    <t>오클라호마 오클라호마108:96 포틀랜드포틀랜드</t>
  </si>
  <si>
    <t>모다 센터</t>
  </si>
  <si>
    <t>미네소타 미네소타125:142 LA레이커스LA레이커스</t>
  </si>
  <si>
    <t>스테이플스 센터</t>
  </si>
  <si>
    <t>12.10 (화)</t>
  </si>
  <si>
    <t>LA클리퍼스 LA클리퍼스110:99 인디애나인디애나</t>
  </si>
  <si>
    <t>뱅커스 라이프 필드하우스</t>
  </si>
  <si>
    <t>클리블랜드 클리블랜드88:110 보스턴보스턴</t>
  </si>
  <si>
    <t>TD 가든</t>
  </si>
  <si>
    <t>디트로이트 디트로이트105:103 뉴올리언즈뉴올리언즈</t>
  </si>
  <si>
    <t>스무디킹 센터</t>
  </si>
  <si>
    <t>토론토 토론토93:92 시카고시카고</t>
  </si>
  <si>
    <t>유나이티드 센터</t>
  </si>
  <si>
    <t>새크라멘토 새크라멘토119:118 휴스턴휴스턴</t>
  </si>
  <si>
    <t>올랜도 올랜도101:110 밀워키밀워키</t>
  </si>
  <si>
    <t>파이서브 포럼</t>
  </si>
  <si>
    <t>미네소타 미네소타109:125 피닉스피닉스</t>
  </si>
  <si>
    <t>토킹 스틱 리조트 아레나</t>
  </si>
  <si>
    <t>오클라호마 오클라호마104:90 유타유타</t>
  </si>
  <si>
    <t>멤피스 멤피스110:102 골든스테이트골든스테이트</t>
  </si>
  <si>
    <t>체이스 센터</t>
  </si>
  <si>
    <t>12.11 (수)</t>
  </si>
  <si>
    <t>워싱턴 워싱턴107:114 샬럿샬럿</t>
  </si>
  <si>
    <t>애틀랜타 애틀랜타121:135 마이애미마이애미</t>
  </si>
  <si>
    <t>덴버 덴버92:97 필라델피아필라델피아</t>
  </si>
  <si>
    <t>뉴욕 뉴욕87:115 포틀랜드포틀랜드</t>
  </si>
  <si>
    <t>12.12 (목)</t>
  </si>
  <si>
    <t>휴스턴 휴스턴116:110 클리블랜드클리블랜드</t>
  </si>
  <si>
    <t>로킷 모기지 필드하우스</t>
  </si>
  <si>
    <t>보스턴 보스턴117:122 인디애나인디애나</t>
  </si>
  <si>
    <t>LA레이커스 LA레이커스96:87 올랜도올랜도</t>
  </si>
  <si>
    <t>암웨이 센터</t>
  </si>
  <si>
    <t>LA클리퍼스 LA클리퍼스112:92 토론토토론토</t>
  </si>
  <si>
    <t>스코샤뱅크 아레나</t>
  </si>
  <si>
    <t>샬럿 샬럿113:108 브루클린브루클린</t>
  </si>
  <si>
    <t>애틀랜타 애틀랜타102:136 시카고시카고</t>
  </si>
  <si>
    <t>유타 유타127:116 미네소타미네소타</t>
  </si>
  <si>
    <t>타깃 센터</t>
  </si>
  <si>
    <t>멤피스 멤피스115:108 피닉스피닉스</t>
  </si>
  <si>
    <t>뉴올리언즈 뉴올리언즈112:127 밀워키밀워키</t>
  </si>
  <si>
    <t>오클라호마 오클라호마93:94 새크라멘토새크라멘토</t>
  </si>
  <si>
    <t>골든 1 센터</t>
  </si>
  <si>
    <t>뉴욕 뉴욕124:122 골든스테이트골든스테이트</t>
  </si>
  <si>
    <t>댈러스</t>
  </si>
  <si>
    <t>뉴올리언즈</t>
  </si>
  <si>
    <t>뉴욕</t>
  </si>
  <si>
    <t>인디애나</t>
  </si>
  <si>
    <t>필라델피아</t>
  </si>
  <si>
    <t>클리블랜드</t>
  </si>
  <si>
    <t>휴스턴</t>
  </si>
  <si>
    <t>피닉스</t>
  </si>
  <si>
    <t>유타</t>
  </si>
  <si>
    <t>멤피스</t>
  </si>
  <si>
    <t>브루클린</t>
  </si>
  <si>
    <t>덴버</t>
  </si>
  <si>
    <t>샬럿</t>
  </si>
  <si>
    <t>애틀랜타</t>
  </si>
  <si>
    <t>마이애미</t>
  </si>
  <si>
    <t>시카고</t>
  </si>
  <si>
    <t>토론토</t>
  </si>
  <si>
    <t>워싱턴</t>
  </si>
  <si>
    <t>LA클리퍼스</t>
  </si>
  <si>
    <t>새크라멘토</t>
  </si>
  <si>
    <t>포틀랜드</t>
  </si>
  <si>
    <t>오클라호마</t>
  </si>
  <si>
    <t>LA레이커스</t>
  </si>
  <si>
    <t>미네소타</t>
  </si>
  <si>
    <t>보스턴</t>
  </si>
  <si>
    <t>디트로이트</t>
  </si>
  <si>
    <t>밀워키</t>
  </si>
  <si>
    <t>올랜도</t>
  </si>
  <si>
    <t>골든스테이트</t>
  </si>
  <si>
    <t>12.13 (금)</t>
  </si>
  <si>
    <t>필라델피아 필라델피아115:109 보스턴보스턴</t>
  </si>
  <si>
    <t>클리블랜드 클리블랜드117:109 샌안토니오샌안토니오</t>
  </si>
  <si>
    <t>AT&amp;T 센터</t>
  </si>
  <si>
    <t>댈러스 댈러스122:111 디트로이트디트로이트</t>
  </si>
  <si>
    <t>멕시코 시티 아레나</t>
  </si>
  <si>
    <t>포틀랜드 포틀랜드99:114 덴버덴버</t>
  </si>
  <si>
    <t>펩시 센터</t>
  </si>
  <si>
    <t>샌안토니오</t>
  </si>
  <si>
    <t>LAL</t>
    <phoneticPr fontId="1" type="noConversion"/>
  </si>
  <si>
    <t>LAC</t>
    <phoneticPr fontId="1" type="noConversion"/>
  </si>
  <si>
    <t>GS</t>
    <phoneticPr fontId="1" type="noConversion"/>
  </si>
  <si>
    <t>NO</t>
    <phoneticPr fontId="1" type="noConversion"/>
  </si>
  <si>
    <t>NYK</t>
    <phoneticPr fontId="1" type="noConversion"/>
  </si>
  <si>
    <t>DAL</t>
    <phoneticPr fontId="1" type="noConversion"/>
  </si>
  <si>
    <t>DEN</t>
    <phoneticPr fontId="1" type="noConversion"/>
  </si>
  <si>
    <t>DET</t>
    <phoneticPr fontId="1" type="noConversion"/>
  </si>
  <si>
    <t>MIA</t>
    <phoneticPr fontId="1" type="noConversion"/>
  </si>
  <si>
    <t>MEM</t>
    <phoneticPr fontId="1" type="noConversion"/>
  </si>
  <si>
    <t>MIN</t>
    <phoneticPr fontId="1" type="noConversion"/>
  </si>
  <si>
    <t>MIL</t>
    <phoneticPr fontId="1" type="noConversion"/>
  </si>
  <si>
    <t>BOS</t>
    <phoneticPr fontId="1" type="noConversion"/>
  </si>
  <si>
    <t>BKN</t>
    <phoneticPr fontId="1" type="noConversion"/>
  </si>
  <si>
    <t>SAC</t>
    <phoneticPr fontId="1" type="noConversion"/>
  </si>
  <si>
    <t>SAS</t>
    <phoneticPr fontId="1" type="noConversion"/>
  </si>
  <si>
    <t>CHA</t>
    <phoneticPr fontId="1" type="noConversion"/>
  </si>
  <si>
    <t>CHI</t>
    <phoneticPr fontId="1" type="noConversion"/>
  </si>
  <si>
    <t>ATL</t>
    <phoneticPr fontId="1" type="noConversion"/>
  </si>
  <si>
    <t>OKC</t>
    <phoneticPr fontId="1" type="noConversion"/>
  </si>
  <si>
    <t>ORL</t>
    <phoneticPr fontId="1" type="noConversion"/>
  </si>
  <si>
    <t>WAS</t>
    <phoneticPr fontId="1" type="noConversion"/>
  </si>
  <si>
    <t>UTA</t>
    <phoneticPr fontId="1" type="noConversion"/>
  </si>
  <si>
    <t>IND</t>
    <phoneticPr fontId="1" type="noConversion"/>
  </si>
  <si>
    <t>CLE</t>
    <phoneticPr fontId="1" type="noConversion"/>
  </si>
  <si>
    <t>TOR</t>
    <phoneticPr fontId="1" type="noConversion"/>
  </si>
  <si>
    <t>POR</t>
    <phoneticPr fontId="1" type="noConversion"/>
  </si>
  <si>
    <t>PHO</t>
    <phoneticPr fontId="1" type="noConversion"/>
  </si>
  <si>
    <t>PHI</t>
    <phoneticPr fontId="1" type="noConversion"/>
  </si>
  <si>
    <t>HOU</t>
    <phoneticPr fontId="1" type="noConversion"/>
  </si>
  <si>
    <t>12.14 (토)</t>
  </si>
  <si>
    <t>LA레이커스 LA레이커스113:110 마이애미마이애미</t>
  </si>
  <si>
    <t>휴스턴 휴스턴130:107 올랜도올랜도</t>
  </si>
  <si>
    <t>뉴올리언즈 뉴올리언즈109:116 필라델피아필라델피아</t>
  </si>
  <si>
    <t>인디애나 인디애나110:100 애틀랜타애틀랜타</t>
  </si>
  <si>
    <t>스테이트팜 아레나</t>
  </si>
  <si>
    <t>샬럿 샬럿83:73 시카고시카고</t>
  </si>
  <si>
    <t>밀워키 밀워키127:114 멤피스멤피스</t>
  </si>
  <si>
    <t>페덱스포럼</t>
  </si>
  <si>
    <t>골든스테이트 골든스테이트106:114 유타유타</t>
  </si>
  <si>
    <t>LA클리퍼스 LA클리퍼스124:117 미네소타미네소타</t>
  </si>
  <si>
    <t>뉴욕 뉴욕103:101 새크라멘토새크라멘토</t>
  </si>
  <si>
    <t>12.15 (일)</t>
  </si>
  <si>
    <t>샌안토니오 샌안토니오121:119 피닉스피닉스</t>
  </si>
  <si>
    <t>브루클린 브루클린102:110 토론토토론토</t>
  </si>
  <si>
    <t>LA클리퍼스 LA클리퍼스106:109 시카고시카고</t>
  </si>
  <si>
    <t>워싱턴 워싱턴111:128 멤피스멤피스</t>
  </si>
  <si>
    <t>마이애미 마이애미122:118 댈러스댈러스</t>
  </si>
  <si>
    <t>클리블랜드 클리블랜드108:125 밀워키밀워키</t>
  </si>
  <si>
    <t>오클라호마 오클라호마102:110 덴버덴버</t>
  </si>
  <si>
    <t>디트로이트 디트로이트115:107 휴스턴휴스턴</t>
  </si>
  <si>
    <t>12.16 (월)</t>
  </si>
  <si>
    <t>올랜도 올랜도130:119 뉴올리언즈뉴올리언즈</t>
  </si>
  <si>
    <t>샬럿 샬럿85:107 인디애나인디애나</t>
  </si>
  <si>
    <t>LA레이커스 LA레이커스101:96 애틀랜타애틀랜타</t>
  </si>
  <si>
    <t>필라델피아 필라델피아89:109 브루클린브루클린</t>
  </si>
  <si>
    <t>뉴욕 뉴욕105:111 덴버덴버</t>
  </si>
  <si>
    <t>새크라멘토 새크라멘토100:79 골든스테이트골든스테이트</t>
  </si>
  <si>
    <t>12.17 (화)</t>
  </si>
  <si>
    <t>워싱턴 워싱턴133:119 디트로이트디트로이트</t>
  </si>
  <si>
    <t>리틀 시저스 아레나</t>
  </si>
  <si>
    <t>클리블랜드 클리블랜드113:133 토론토토론토</t>
  </si>
  <si>
    <t>샌안토니오 샌안토니오107:109 휴스턴휴스턴</t>
  </si>
  <si>
    <t>댈러스 댈러스120:116 밀워키밀워키</t>
  </si>
  <si>
    <t>시카고 시카고106:109 오클라호마오클라호마</t>
  </si>
  <si>
    <t>체서피크 에너지 아레나</t>
  </si>
  <si>
    <t>마이애미 마이애미111:118 멤피스멤피스</t>
  </si>
  <si>
    <t>포틀랜드 포틀랜드111:110 피닉스피닉스</t>
  </si>
  <si>
    <t>12.18 (수)</t>
  </si>
  <si>
    <t>LA레이커스 LA레이커스102:105 인디애나인디애나</t>
  </si>
  <si>
    <t>새크라멘토 새크라멘토102:110 샬럿샬럿</t>
  </si>
  <si>
    <t>애틀랜타 애틀랜타120:143 뉴욕뉴욕</t>
  </si>
  <si>
    <t>브루클린 브루클린108:101 뉴올리언즈뉴올리언즈</t>
  </si>
  <si>
    <t>올랜도 올랜도102:109 유타유타</t>
  </si>
  <si>
    <t>피닉스 피닉스99:120 LA클리퍼스LA클리퍼스</t>
  </si>
  <si>
    <t>P. George-LAC</t>
  </si>
  <si>
    <t>M. Monk-CHO</t>
  </si>
  <si>
    <t>D. Ayton-PHO</t>
  </si>
  <si>
    <t>M. Robinson-NYK</t>
  </si>
  <si>
    <t>12.19 (목)</t>
  </si>
  <si>
    <t>샬럿 샬럿41:53 클리블랜드클리블랜드</t>
  </si>
  <si>
    <t>TV중계</t>
  </si>
  <si>
    <t>토론토 토론토51:50 디트로이트디트로이트</t>
  </si>
  <si>
    <t>마이애미 마이애미42:46 필라델피아필라델피아</t>
  </si>
  <si>
    <t>시카고 시카고43:47 워싱턴워싱턴</t>
  </si>
  <si>
    <t>뉴올리언즈 뉴올리언즈VS 미네소타미네소타</t>
  </si>
  <si>
    <t>멤피스 멤피스VS 오클라호마오클라호마</t>
  </si>
  <si>
    <t>올랜도 올랜도VS 덴버덴버</t>
  </si>
  <si>
    <t>보스턴 보스턴VS 댈러스댈러스</t>
  </si>
  <si>
    <t>골든스테이트 골든스테이트VS 포틀랜드포틀랜드</t>
  </si>
  <si>
    <t>DEN/POR</t>
  </si>
  <si>
    <t>PHO/POR</t>
  </si>
  <si>
    <t>POR/NYK</t>
  </si>
  <si>
    <t>POR/LAL</t>
  </si>
  <si>
    <t>POR/SAC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</si>
</sst>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2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85F90-8A41-4313-9EA8-06EE16C31282}">
  <dimension ref="A1:J100"/>
  <sheetViews>
    <sheetView topLeftCell="A93" workbookViewId="0">
      <selection activeCell="B100" sqref="B100"/>
    </sheetView>
  </sheetViews>
  <sheetFormatPr defaultRowHeight="17" x14ac:dyDescent="0.45"/>
  <sheetData>
    <row r="1" spans="1:10" x14ac:dyDescent="0.45">
      <c r="A1" t="s">
        <v>15</v>
      </c>
      <c r="B1">
        <v>130</v>
      </c>
      <c r="C1" t="s">
        <v>1</v>
      </c>
    </row>
    <row r="2" spans="1:10" x14ac:dyDescent="0.45">
      <c r="A2" t="s">
        <v>36</v>
      </c>
      <c r="B2">
        <v>118</v>
      </c>
    </row>
    <row r="3" spans="1:10" x14ac:dyDescent="0.45">
      <c r="B3">
        <v>1</v>
      </c>
      <c r="C3">
        <v>2</v>
      </c>
      <c r="D3">
        <v>3</v>
      </c>
      <c r="E3">
        <v>4</v>
      </c>
    </row>
    <row r="4" spans="1:10" x14ac:dyDescent="0.45">
      <c r="A4" t="s">
        <v>17</v>
      </c>
      <c r="B4">
        <v>22</v>
      </c>
      <c r="C4">
        <v>34</v>
      </c>
      <c r="D4">
        <v>35</v>
      </c>
      <c r="E4">
        <v>39</v>
      </c>
    </row>
    <row r="5" spans="1:10" x14ac:dyDescent="0.45">
      <c r="A5" t="s">
        <v>38</v>
      </c>
      <c r="B5">
        <v>26</v>
      </c>
      <c r="C5">
        <v>21</v>
      </c>
      <c r="D5">
        <v>35</v>
      </c>
      <c r="E5">
        <v>36</v>
      </c>
      <c r="G5">
        <v>22</v>
      </c>
      <c r="H5">
        <v>34</v>
      </c>
      <c r="I5">
        <v>35</v>
      </c>
      <c r="J5">
        <v>39</v>
      </c>
    </row>
    <row r="7" spans="1:10" x14ac:dyDescent="0.45">
      <c r="A7" t="s">
        <v>5</v>
      </c>
    </row>
    <row r="9" spans="1:10" x14ac:dyDescent="0.45">
      <c r="A9" t="s">
        <v>6</v>
      </c>
      <c r="B9" t="s">
        <v>63</v>
      </c>
      <c r="C9">
        <v>39</v>
      </c>
    </row>
    <row r="10" spans="1:10" x14ac:dyDescent="0.45">
      <c r="A10" t="s">
        <v>8</v>
      </c>
      <c r="B10" t="s">
        <v>82</v>
      </c>
      <c r="C10">
        <v>13</v>
      </c>
    </row>
    <row r="11" spans="1:10" x14ac:dyDescent="0.45">
      <c r="A11" t="s">
        <v>20</v>
      </c>
      <c r="B11">
        <v>93</v>
      </c>
      <c r="C11" t="s">
        <v>1</v>
      </c>
    </row>
    <row r="12" spans="1:10" x14ac:dyDescent="0.45">
      <c r="A12" t="s">
        <v>30</v>
      </c>
      <c r="B12">
        <v>112</v>
      </c>
    </row>
    <row r="13" spans="1:10" x14ac:dyDescent="0.45">
      <c r="B13">
        <v>1</v>
      </c>
      <c r="C13">
        <v>2</v>
      </c>
      <c r="D13">
        <v>3</v>
      </c>
      <c r="E13">
        <v>4</v>
      </c>
    </row>
    <row r="14" spans="1:10" x14ac:dyDescent="0.45">
      <c r="A14" t="s">
        <v>22</v>
      </c>
      <c r="B14">
        <v>28</v>
      </c>
      <c r="C14">
        <v>16</v>
      </c>
      <c r="D14">
        <v>25</v>
      </c>
      <c r="E14">
        <v>24</v>
      </c>
    </row>
    <row r="15" spans="1:10" x14ac:dyDescent="0.45">
      <c r="A15" t="s">
        <v>32</v>
      </c>
      <c r="B15">
        <v>20</v>
      </c>
      <c r="C15">
        <v>32</v>
      </c>
      <c r="D15">
        <v>30</v>
      </c>
      <c r="E15">
        <v>30</v>
      </c>
      <c r="G15">
        <v>28</v>
      </c>
      <c r="H15">
        <v>16</v>
      </c>
      <c r="I15">
        <v>25</v>
      </c>
      <c r="J15">
        <v>24</v>
      </c>
    </row>
    <row r="17" spans="1:10" x14ac:dyDescent="0.45">
      <c r="A17" t="s">
        <v>5</v>
      </c>
    </row>
    <row r="19" spans="1:10" x14ac:dyDescent="0.45">
      <c r="A19" t="s">
        <v>6</v>
      </c>
      <c r="B19" t="s">
        <v>24</v>
      </c>
      <c r="C19">
        <v>37</v>
      </c>
    </row>
    <row r="20" spans="1:10" x14ac:dyDescent="0.45">
      <c r="A20" t="s">
        <v>8</v>
      </c>
      <c r="B20" t="s">
        <v>34</v>
      </c>
      <c r="C20">
        <v>10</v>
      </c>
    </row>
    <row r="21" spans="1:10" x14ac:dyDescent="0.45">
      <c r="A21" t="s">
        <v>71</v>
      </c>
      <c r="B21">
        <v>99</v>
      </c>
      <c r="C21" t="s">
        <v>1</v>
      </c>
    </row>
    <row r="22" spans="1:10" x14ac:dyDescent="0.45">
      <c r="A22" t="s">
        <v>21</v>
      </c>
      <c r="B22">
        <v>106</v>
      </c>
    </row>
    <row r="23" spans="1:10" x14ac:dyDescent="0.45">
      <c r="B23">
        <v>1</v>
      </c>
      <c r="C23">
        <v>2</v>
      </c>
      <c r="D23">
        <v>3</v>
      </c>
      <c r="E23">
        <v>4</v>
      </c>
    </row>
    <row r="24" spans="1:10" x14ac:dyDescent="0.45">
      <c r="A24" t="s">
        <v>72</v>
      </c>
      <c r="B24">
        <v>20</v>
      </c>
      <c r="C24">
        <v>15</v>
      </c>
      <c r="D24">
        <v>29</v>
      </c>
      <c r="E24">
        <v>35</v>
      </c>
    </row>
    <row r="25" spans="1:10" x14ac:dyDescent="0.45">
      <c r="A25" t="s">
        <v>23</v>
      </c>
      <c r="B25">
        <v>27</v>
      </c>
      <c r="C25">
        <v>23</v>
      </c>
      <c r="D25">
        <v>28</v>
      </c>
      <c r="E25">
        <v>28</v>
      </c>
      <c r="G25">
        <v>20</v>
      </c>
      <c r="H25">
        <v>15</v>
      </c>
      <c r="I25">
        <v>29</v>
      </c>
      <c r="J25">
        <v>35</v>
      </c>
    </row>
    <row r="27" spans="1:10" x14ac:dyDescent="0.45">
      <c r="A27" t="s">
        <v>5</v>
      </c>
    </row>
    <row r="29" spans="1:10" x14ac:dyDescent="0.45">
      <c r="A29" t="s">
        <v>6</v>
      </c>
      <c r="B29" t="s">
        <v>171</v>
      </c>
      <c r="C29">
        <v>32</v>
      </c>
    </row>
    <row r="30" spans="1:10" x14ac:dyDescent="0.45">
      <c r="A30" t="s">
        <v>8</v>
      </c>
      <c r="B30" t="s">
        <v>34</v>
      </c>
      <c r="C30">
        <v>13</v>
      </c>
    </row>
    <row r="31" spans="1:10" x14ac:dyDescent="0.45">
      <c r="A31" t="s">
        <v>50</v>
      </c>
      <c r="B31">
        <v>91</v>
      </c>
      <c r="C31" t="s">
        <v>1</v>
      </c>
    </row>
    <row r="32" spans="1:10" x14ac:dyDescent="0.45">
      <c r="A32" t="s">
        <v>56</v>
      </c>
      <c r="B32">
        <v>106</v>
      </c>
    </row>
    <row r="33" spans="1:10" x14ac:dyDescent="0.45">
      <c r="B33">
        <v>1</v>
      </c>
      <c r="C33">
        <v>2</v>
      </c>
      <c r="D33">
        <v>3</v>
      </c>
      <c r="E33">
        <v>4</v>
      </c>
    </row>
    <row r="34" spans="1:10" x14ac:dyDescent="0.45">
      <c r="A34" t="s">
        <v>52</v>
      </c>
      <c r="B34">
        <v>20</v>
      </c>
      <c r="C34">
        <v>34</v>
      </c>
      <c r="D34">
        <v>22</v>
      </c>
      <c r="E34">
        <v>15</v>
      </c>
    </row>
    <row r="35" spans="1:10" x14ac:dyDescent="0.45">
      <c r="A35" t="s">
        <v>58</v>
      </c>
      <c r="B35">
        <v>28</v>
      </c>
      <c r="C35">
        <v>30</v>
      </c>
      <c r="D35">
        <v>28</v>
      </c>
      <c r="E35">
        <v>20</v>
      </c>
      <c r="G35">
        <v>20</v>
      </c>
      <c r="H35">
        <v>34</v>
      </c>
      <c r="I35">
        <v>22</v>
      </c>
      <c r="J35">
        <v>15</v>
      </c>
    </row>
    <row r="37" spans="1:10" x14ac:dyDescent="0.45">
      <c r="A37" t="s">
        <v>5</v>
      </c>
    </row>
    <row r="39" spans="1:10" x14ac:dyDescent="0.45">
      <c r="A39" t="s">
        <v>6</v>
      </c>
      <c r="B39" t="s">
        <v>172</v>
      </c>
      <c r="C39">
        <v>33</v>
      </c>
    </row>
    <row r="40" spans="1:10" x14ac:dyDescent="0.45">
      <c r="A40" t="s">
        <v>8</v>
      </c>
      <c r="B40" t="s">
        <v>173</v>
      </c>
      <c r="C40">
        <v>7</v>
      </c>
    </row>
    <row r="41" spans="1:10" x14ac:dyDescent="0.45">
      <c r="A41" t="s">
        <v>73</v>
      </c>
      <c r="B41">
        <v>114</v>
      </c>
      <c r="C41" t="s">
        <v>1</v>
      </c>
    </row>
    <row r="42" spans="1:10" x14ac:dyDescent="0.45">
      <c r="A42" t="s">
        <v>27</v>
      </c>
      <c r="B42">
        <v>121</v>
      </c>
    </row>
    <row r="43" spans="1:10" x14ac:dyDescent="0.45">
      <c r="B43">
        <v>1</v>
      </c>
      <c r="C43">
        <v>2</v>
      </c>
      <c r="D43">
        <v>3</v>
      </c>
      <c r="E43">
        <v>4</v>
      </c>
    </row>
    <row r="44" spans="1:10" x14ac:dyDescent="0.45">
      <c r="A44" t="s">
        <v>74</v>
      </c>
      <c r="B44">
        <v>25</v>
      </c>
      <c r="C44">
        <v>31</v>
      </c>
      <c r="D44">
        <v>28</v>
      </c>
      <c r="E44">
        <v>30</v>
      </c>
    </row>
    <row r="45" spans="1:10" x14ac:dyDescent="0.45">
      <c r="A45" t="s">
        <v>29</v>
      </c>
      <c r="B45">
        <v>30</v>
      </c>
      <c r="C45">
        <v>23</v>
      </c>
      <c r="D45">
        <v>27</v>
      </c>
      <c r="E45">
        <v>41</v>
      </c>
      <c r="G45">
        <v>25</v>
      </c>
      <c r="H45">
        <v>31</v>
      </c>
      <c r="I45">
        <v>28</v>
      </c>
      <c r="J45">
        <v>30</v>
      </c>
    </row>
    <row r="47" spans="1:10" x14ac:dyDescent="0.45">
      <c r="A47" t="s">
        <v>5</v>
      </c>
    </row>
    <row r="49" spans="1:10" x14ac:dyDescent="0.45">
      <c r="A49" t="s">
        <v>6</v>
      </c>
      <c r="B49" t="s">
        <v>34</v>
      </c>
      <c r="C49">
        <v>26</v>
      </c>
    </row>
    <row r="50" spans="1:10" x14ac:dyDescent="0.45">
      <c r="A50" t="s">
        <v>8</v>
      </c>
      <c r="B50" t="s">
        <v>75</v>
      </c>
      <c r="C50">
        <v>9</v>
      </c>
    </row>
    <row r="51" spans="1:10" x14ac:dyDescent="0.45">
      <c r="A51" t="s">
        <v>2</v>
      </c>
      <c r="B51">
        <v>127</v>
      </c>
      <c r="C51" t="s">
        <v>1</v>
      </c>
    </row>
    <row r="52" spans="1:10" x14ac:dyDescent="0.45">
      <c r="A52" t="s">
        <v>37</v>
      </c>
      <c r="B52">
        <v>103</v>
      </c>
    </row>
    <row r="53" spans="1:10" x14ac:dyDescent="0.45">
      <c r="B53">
        <v>1</v>
      </c>
      <c r="C53">
        <v>2</v>
      </c>
      <c r="D53">
        <v>3</v>
      </c>
      <c r="E53">
        <v>4</v>
      </c>
    </row>
    <row r="54" spans="1:10" x14ac:dyDescent="0.45">
      <c r="A54" t="s">
        <v>4</v>
      </c>
      <c r="B54">
        <v>22</v>
      </c>
      <c r="C54">
        <v>37</v>
      </c>
      <c r="D54">
        <v>33</v>
      </c>
      <c r="E54">
        <v>35</v>
      </c>
    </row>
    <row r="55" spans="1:10" x14ac:dyDescent="0.45">
      <c r="A55" t="s">
        <v>39</v>
      </c>
      <c r="B55">
        <v>24</v>
      </c>
      <c r="C55">
        <v>24</v>
      </c>
      <c r="D55">
        <v>24</v>
      </c>
      <c r="E55">
        <v>31</v>
      </c>
      <c r="G55">
        <v>22</v>
      </c>
      <c r="H55">
        <v>37</v>
      </c>
      <c r="I55">
        <v>33</v>
      </c>
      <c r="J55">
        <v>35</v>
      </c>
    </row>
    <row r="57" spans="1:10" x14ac:dyDescent="0.45">
      <c r="A57" t="s">
        <v>5</v>
      </c>
    </row>
    <row r="59" spans="1:10" x14ac:dyDescent="0.45">
      <c r="A59" t="s">
        <v>6</v>
      </c>
      <c r="B59" t="s">
        <v>9</v>
      </c>
      <c r="C59">
        <v>35</v>
      </c>
    </row>
    <row r="60" spans="1:10" x14ac:dyDescent="0.45">
      <c r="A60" t="s">
        <v>8</v>
      </c>
      <c r="B60" t="s">
        <v>40</v>
      </c>
      <c r="C60">
        <v>14</v>
      </c>
    </row>
    <row r="61" spans="1:10" x14ac:dyDescent="0.45">
      <c r="A61" t="s">
        <v>67</v>
      </c>
      <c r="B61">
        <v>107</v>
      </c>
      <c r="C61" t="s">
        <v>1</v>
      </c>
    </row>
    <row r="62" spans="1:10" x14ac:dyDescent="0.45">
      <c r="A62" t="s">
        <v>44</v>
      </c>
      <c r="B62">
        <v>100</v>
      </c>
    </row>
    <row r="63" spans="1:10" x14ac:dyDescent="0.45">
      <c r="B63">
        <v>1</v>
      </c>
      <c r="C63">
        <v>2</v>
      </c>
      <c r="D63">
        <v>3</v>
      </c>
      <c r="E63">
        <v>4</v>
      </c>
    </row>
    <row r="64" spans="1:10" x14ac:dyDescent="0.45">
      <c r="A64" t="s">
        <v>69</v>
      </c>
      <c r="B64">
        <v>26</v>
      </c>
      <c r="C64">
        <v>23</v>
      </c>
      <c r="D64">
        <v>30</v>
      </c>
      <c r="E64">
        <v>28</v>
      </c>
    </row>
    <row r="65" spans="1:10" x14ac:dyDescent="0.45">
      <c r="A65" t="s">
        <v>46</v>
      </c>
      <c r="B65">
        <v>29</v>
      </c>
      <c r="C65">
        <v>21</v>
      </c>
      <c r="D65">
        <v>28</v>
      </c>
      <c r="E65">
        <v>22</v>
      </c>
      <c r="G65">
        <v>26</v>
      </c>
      <c r="H65">
        <v>23</v>
      </c>
      <c r="I65">
        <v>30</v>
      </c>
      <c r="J65">
        <v>28</v>
      </c>
    </row>
    <row r="67" spans="1:10" x14ac:dyDescent="0.45">
      <c r="A67" t="s">
        <v>5</v>
      </c>
    </row>
    <row r="69" spans="1:10" x14ac:dyDescent="0.45">
      <c r="A69" t="s">
        <v>6</v>
      </c>
      <c r="B69" t="s">
        <v>174</v>
      </c>
      <c r="C69">
        <v>24</v>
      </c>
    </row>
    <row r="70" spans="1:10" x14ac:dyDescent="0.45">
      <c r="A70" t="s">
        <v>8</v>
      </c>
      <c r="B70" t="s">
        <v>83</v>
      </c>
      <c r="C70">
        <v>13</v>
      </c>
    </row>
    <row r="71" spans="1:10" x14ac:dyDescent="0.45">
      <c r="A71" t="s">
        <v>11</v>
      </c>
      <c r="B71">
        <v>114</v>
      </c>
      <c r="C71" t="s">
        <v>1</v>
      </c>
    </row>
    <row r="72" spans="1:10" x14ac:dyDescent="0.45">
      <c r="A72" t="s">
        <v>66</v>
      </c>
      <c r="B72">
        <v>128</v>
      </c>
    </row>
    <row r="73" spans="1:10" x14ac:dyDescent="0.45">
      <c r="B73">
        <v>1</v>
      </c>
      <c r="C73">
        <v>2</v>
      </c>
      <c r="D73">
        <v>3</v>
      </c>
      <c r="E73">
        <v>4</v>
      </c>
    </row>
    <row r="74" spans="1:10" x14ac:dyDescent="0.45">
      <c r="A74" t="s">
        <v>13</v>
      </c>
      <c r="B74">
        <v>37</v>
      </c>
      <c r="C74">
        <v>21</v>
      </c>
      <c r="D74">
        <v>28</v>
      </c>
      <c r="E74">
        <v>28</v>
      </c>
    </row>
    <row r="75" spans="1:10" x14ac:dyDescent="0.45">
      <c r="A75" t="s">
        <v>68</v>
      </c>
      <c r="B75">
        <v>31</v>
      </c>
      <c r="C75">
        <v>34</v>
      </c>
      <c r="D75">
        <v>38</v>
      </c>
      <c r="E75">
        <v>25</v>
      </c>
      <c r="G75">
        <v>37</v>
      </c>
      <c r="H75">
        <v>21</v>
      </c>
      <c r="I75">
        <v>28</v>
      </c>
      <c r="J75">
        <v>28</v>
      </c>
    </row>
    <row r="77" spans="1:10" x14ac:dyDescent="0.45">
      <c r="A77" t="s">
        <v>5</v>
      </c>
    </row>
    <row r="79" spans="1:10" x14ac:dyDescent="0.45">
      <c r="A79" t="s">
        <v>6</v>
      </c>
      <c r="B79" t="s">
        <v>175</v>
      </c>
      <c r="C79">
        <v>32</v>
      </c>
    </row>
    <row r="80" spans="1:10" x14ac:dyDescent="0.45">
      <c r="A80" t="s">
        <v>8</v>
      </c>
      <c r="B80" t="s">
        <v>176</v>
      </c>
      <c r="C80">
        <v>11</v>
      </c>
    </row>
    <row r="81" spans="1:10" x14ac:dyDescent="0.45">
      <c r="A81" t="s">
        <v>14</v>
      </c>
      <c r="B81">
        <v>116</v>
      </c>
      <c r="C81" t="s">
        <v>1</v>
      </c>
    </row>
    <row r="82" spans="1:10" x14ac:dyDescent="0.45">
      <c r="A82" t="s">
        <v>0</v>
      </c>
      <c r="B82">
        <v>127</v>
      </c>
    </row>
    <row r="83" spans="1:10" x14ac:dyDescent="0.45">
      <c r="B83">
        <v>1</v>
      </c>
      <c r="C83">
        <v>2</v>
      </c>
      <c r="D83">
        <v>3</v>
      </c>
      <c r="E83">
        <v>4</v>
      </c>
    </row>
    <row r="84" spans="1:10" x14ac:dyDescent="0.45">
      <c r="A84" t="s">
        <v>16</v>
      </c>
      <c r="B84">
        <v>35</v>
      </c>
      <c r="C84">
        <v>29</v>
      </c>
      <c r="D84">
        <v>31</v>
      </c>
      <c r="E84">
        <v>21</v>
      </c>
    </row>
    <row r="85" spans="1:10" x14ac:dyDescent="0.45">
      <c r="A85" t="s">
        <v>3</v>
      </c>
      <c r="B85">
        <v>30</v>
      </c>
      <c r="C85">
        <v>36</v>
      </c>
      <c r="D85">
        <v>34</v>
      </c>
      <c r="E85">
        <v>27</v>
      </c>
      <c r="G85">
        <v>35</v>
      </c>
      <c r="H85">
        <v>29</v>
      </c>
      <c r="I85">
        <v>31</v>
      </c>
      <c r="J85">
        <v>21</v>
      </c>
    </row>
    <row r="87" spans="1:10" x14ac:dyDescent="0.45">
      <c r="A87" t="s">
        <v>5</v>
      </c>
    </row>
    <row r="89" spans="1:10" x14ac:dyDescent="0.45">
      <c r="A89" t="s">
        <v>6</v>
      </c>
      <c r="B89" t="s">
        <v>7</v>
      </c>
      <c r="C89">
        <v>33</v>
      </c>
    </row>
    <row r="90" spans="1:10" x14ac:dyDescent="0.45">
      <c r="A90" t="s">
        <v>8</v>
      </c>
      <c r="B90" t="s">
        <v>81</v>
      </c>
      <c r="C90">
        <v>16</v>
      </c>
    </row>
    <row r="91" spans="1:10" x14ac:dyDescent="0.45">
      <c r="A91" t="s">
        <v>43</v>
      </c>
      <c r="B91">
        <v>121</v>
      </c>
      <c r="C91" t="s">
        <v>1</v>
      </c>
    </row>
    <row r="92" spans="1:10" x14ac:dyDescent="0.45">
      <c r="A92" t="s">
        <v>51</v>
      </c>
      <c r="B92">
        <v>96</v>
      </c>
    </row>
    <row r="93" spans="1:10" x14ac:dyDescent="0.45">
      <c r="B93">
        <v>1</v>
      </c>
      <c r="C93">
        <v>2</v>
      </c>
      <c r="D93">
        <v>3</v>
      </c>
      <c r="E93">
        <v>4</v>
      </c>
    </row>
    <row r="94" spans="1:10" x14ac:dyDescent="0.45">
      <c r="A94" t="s">
        <v>45</v>
      </c>
      <c r="B94">
        <v>34</v>
      </c>
      <c r="C94">
        <v>31</v>
      </c>
      <c r="D94">
        <v>29</v>
      </c>
      <c r="E94">
        <v>27</v>
      </c>
    </row>
    <row r="95" spans="1:10" x14ac:dyDescent="0.45">
      <c r="A95" t="s">
        <v>53</v>
      </c>
      <c r="B95">
        <v>26</v>
      </c>
      <c r="C95">
        <v>21</v>
      </c>
      <c r="D95">
        <v>28</v>
      </c>
      <c r="E95">
        <v>21</v>
      </c>
      <c r="G95">
        <v>34</v>
      </c>
      <c r="H95">
        <v>31</v>
      </c>
      <c r="I95">
        <v>29</v>
      </c>
      <c r="J95">
        <v>27</v>
      </c>
    </row>
    <row r="97" spans="1:3" x14ac:dyDescent="0.45">
      <c r="A97" t="s">
        <v>5</v>
      </c>
    </row>
    <row r="99" spans="1:3" x14ac:dyDescent="0.45">
      <c r="A99" t="s">
        <v>6</v>
      </c>
      <c r="B99" t="s">
        <v>54</v>
      </c>
      <c r="C99">
        <v>29</v>
      </c>
    </row>
    <row r="100" spans="1:3" x14ac:dyDescent="0.45">
      <c r="A100" t="s">
        <v>8</v>
      </c>
      <c r="B100" t="s">
        <v>55</v>
      </c>
      <c r="C100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648B7-3C89-4294-BA26-E9B561E15EE5}">
  <sheetPr>
    <tabColor rgb="FFC00000"/>
  </sheetPr>
  <dimension ref="A1:S97"/>
  <sheetViews>
    <sheetView topLeftCell="D82" workbookViewId="0">
      <selection activeCell="M89" sqref="M89:O97"/>
    </sheetView>
  </sheetViews>
  <sheetFormatPr defaultRowHeight="17" x14ac:dyDescent="0.45"/>
  <cols>
    <col min="1" max="1" width="8.25" bestFit="1" customWidth="1"/>
    <col min="2" max="2" width="6" customWidth="1"/>
    <col min="3" max="3" width="38.4140625" customWidth="1"/>
    <col min="7" max="7" width="4.5" customWidth="1"/>
    <col min="8" max="8" width="5.33203125" customWidth="1"/>
    <col min="9" max="9" width="12.33203125" bestFit="1" customWidth="1"/>
    <col min="10" max="10" width="10.6640625" bestFit="1" customWidth="1"/>
    <col min="11" max="11" width="10.9140625" customWidth="1"/>
    <col min="14" max="15" width="8.1640625" bestFit="1" customWidth="1"/>
    <col min="18" max="18" width="12.33203125" bestFit="1" customWidth="1"/>
  </cols>
  <sheetData>
    <row r="1" spans="1:19" x14ac:dyDescent="0.45">
      <c r="A1" t="s">
        <v>177</v>
      </c>
      <c r="B1" s="1">
        <v>0.16666666666666666</v>
      </c>
      <c r="C1" t="s">
        <v>178</v>
      </c>
      <c r="D1" t="s">
        <v>179</v>
      </c>
      <c r="E1" t="s">
        <v>180</v>
      </c>
      <c r="I1" t="str">
        <f>RIGHT(C1,LEN(C1)-FIND(" ",C1,LEN(C1)-12))</f>
        <v>댈러스댈러스</v>
      </c>
      <c r="J1" t="str">
        <f>RIGHT(C1,LEN(I1)/2)</f>
        <v>댈러스</v>
      </c>
      <c r="K1" t="str">
        <f>LEFT(C1,FIND(" ",C1)-1)</f>
        <v>뉴올리언즈</v>
      </c>
      <c r="M1" s="1">
        <f>B1</f>
        <v>0.16666666666666666</v>
      </c>
      <c r="N1" t="str">
        <f>VLOOKUP(J1,$R$1:$S$30,2,FALSE)</f>
        <v>DAL</v>
      </c>
      <c r="O1" t="str">
        <f>VLOOKUP(K1,$R$1:$S$30,2,FALSE)</f>
        <v>NO</v>
      </c>
      <c r="R1" t="s">
        <v>272</v>
      </c>
      <c r="S1" t="s">
        <v>288</v>
      </c>
    </row>
    <row r="2" spans="1:19" x14ac:dyDescent="0.45">
      <c r="B2" s="1">
        <v>0.39583333333333331</v>
      </c>
      <c r="C2" t="s">
        <v>181</v>
      </c>
      <c r="D2" t="s">
        <v>179</v>
      </c>
      <c r="E2" t="s">
        <v>182</v>
      </c>
      <c r="I2" t="str">
        <f t="shared" ref="I2:I59" si="0">RIGHT(C2,LEN(C2)-FIND(" ",C2,LEN(C2)-12))</f>
        <v>뉴욕뉴욕</v>
      </c>
      <c r="J2" t="str">
        <f t="shared" ref="J2:J5" si="1">RIGHT(C2,LEN(I2)/2)</f>
        <v>뉴욕</v>
      </c>
      <c r="K2" t="str">
        <f t="shared" ref="K2:K5" si="2">LEFT(C2,FIND(" ",C2)-1)</f>
        <v>인디애나</v>
      </c>
      <c r="M2" s="1">
        <f t="shared" ref="M2:M59" si="3">B2</f>
        <v>0.39583333333333331</v>
      </c>
      <c r="N2" t="str">
        <f t="shared" ref="N2:N59" si="4">VLOOKUP(J2,$R$1:$S$30,2,FALSE)</f>
        <v>NYK</v>
      </c>
      <c r="O2" t="str">
        <f t="shared" ref="O2:O59" si="5">VLOOKUP(K2,$R$1:$S$30,2,FALSE)</f>
        <v>IND</v>
      </c>
      <c r="R2" t="s">
        <v>268</v>
      </c>
      <c r="S2" t="s">
        <v>289</v>
      </c>
    </row>
    <row r="3" spans="1:19" x14ac:dyDescent="0.45">
      <c r="B3" s="1">
        <v>0.39583333333333331</v>
      </c>
      <c r="C3" t="s">
        <v>183</v>
      </c>
      <c r="D3" t="s">
        <v>179</v>
      </c>
      <c r="E3" t="s">
        <v>184</v>
      </c>
      <c r="I3" t="str">
        <f t="shared" si="0"/>
        <v>필라델피아필라델피아</v>
      </c>
      <c r="J3" t="str">
        <f t="shared" si="1"/>
        <v>필라델피아</v>
      </c>
      <c r="K3" t="str">
        <f t="shared" si="2"/>
        <v>클리블랜드</v>
      </c>
      <c r="M3" s="1">
        <f t="shared" si="3"/>
        <v>0.39583333333333331</v>
      </c>
      <c r="N3" t="str">
        <f t="shared" si="4"/>
        <v>PHI</v>
      </c>
      <c r="O3" t="str">
        <f t="shared" si="5"/>
        <v>CLE</v>
      </c>
      <c r="R3" t="s">
        <v>278</v>
      </c>
      <c r="S3" t="s">
        <v>290</v>
      </c>
    </row>
    <row r="4" spans="1:19" x14ac:dyDescent="0.45">
      <c r="B4" s="1">
        <v>0.41666666666666669</v>
      </c>
      <c r="C4" t="s">
        <v>185</v>
      </c>
      <c r="D4" t="s">
        <v>179</v>
      </c>
      <c r="E4" t="s">
        <v>186</v>
      </c>
      <c r="I4" t="str">
        <f t="shared" si="0"/>
        <v>휴스턴휴스턴</v>
      </c>
      <c r="J4" t="str">
        <f t="shared" si="1"/>
        <v>휴스턴</v>
      </c>
      <c r="K4" t="str">
        <f t="shared" si="2"/>
        <v>피닉스</v>
      </c>
      <c r="M4" s="1">
        <f t="shared" si="3"/>
        <v>0.41666666666666669</v>
      </c>
      <c r="N4" t="str">
        <f t="shared" si="4"/>
        <v>HOU</v>
      </c>
      <c r="O4" t="str">
        <f t="shared" si="5"/>
        <v>PHO</v>
      </c>
      <c r="R4" t="s">
        <v>251</v>
      </c>
      <c r="S4" t="s">
        <v>291</v>
      </c>
    </row>
    <row r="5" spans="1:19" x14ac:dyDescent="0.45">
      <c r="B5" s="1">
        <v>0.5</v>
      </c>
      <c r="C5" t="s">
        <v>187</v>
      </c>
      <c r="D5" t="s">
        <v>179</v>
      </c>
      <c r="E5" t="s">
        <v>188</v>
      </c>
      <c r="I5" t="str">
        <f t="shared" si="0"/>
        <v>유타유타</v>
      </c>
      <c r="J5" t="str">
        <f t="shared" si="1"/>
        <v>유타</v>
      </c>
      <c r="K5" t="str">
        <f t="shared" si="2"/>
        <v>멤피스</v>
      </c>
      <c r="M5" s="1">
        <f t="shared" si="3"/>
        <v>0.5</v>
      </c>
      <c r="N5" t="str">
        <f t="shared" si="4"/>
        <v>UTA</v>
      </c>
      <c r="O5" t="str">
        <f t="shared" si="5"/>
        <v>MEM</v>
      </c>
      <c r="R5" t="s">
        <v>252</v>
      </c>
      <c r="S5" t="s">
        <v>292</v>
      </c>
    </row>
    <row r="6" spans="1:19" x14ac:dyDescent="0.45">
      <c r="I6" t="e">
        <f t="shared" si="0"/>
        <v>#VALUE!</v>
      </c>
      <c r="J6" t="e">
        <f t="shared" ref="J6:J59" si="6">RIGHT(C6,LEN(I6)/2)</f>
        <v>#VALUE!</v>
      </c>
      <c r="K6" t="e">
        <f t="shared" ref="K6:K59" si="7">LEFT(C6,FIND(" ",C6)-1)</f>
        <v>#VALUE!</v>
      </c>
      <c r="M6" s="1">
        <f t="shared" si="3"/>
        <v>0</v>
      </c>
      <c r="N6" t="e">
        <f t="shared" si="4"/>
        <v>#VALUE!</v>
      </c>
      <c r="O6" t="e">
        <f t="shared" si="5"/>
        <v>#VALUE!</v>
      </c>
      <c r="R6" t="s">
        <v>250</v>
      </c>
      <c r="S6" t="s">
        <v>293</v>
      </c>
    </row>
    <row r="7" spans="1:19" x14ac:dyDescent="0.45">
      <c r="A7" t="s">
        <v>196</v>
      </c>
      <c r="B7" s="1">
        <v>0.20833333333333334</v>
      </c>
      <c r="C7" t="s">
        <v>197</v>
      </c>
      <c r="D7" t="s">
        <v>179</v>
      </c>
      <c r="E7" t="s">
        <v>198</v>
      </c>
      <c r="I7" t="str">
        <f t="shared" si="0"/>
        <v>브루클린브루클린</v>
      </c>
      <c r="J7" t="str">
        <f t="shared" si="6"/>
        <v>브루클린</v>
      </c>
      <c r="K7" t="str">
        <f t="shared" si="7"/>
        <v>덴버</v>
      </c>
      <c r="M7" s="1">
        <f t="shared" si="3"/>
        <v>0.20833333333333334</v>
      </c>
      <c r="N7" t="str">
        <f t="shared" si="4"/>
        <v>BKN</v>
      </c>
      <c r="O7" t="str">
        <f t="shared" si="5"/>
        <v>DEN</v>
      </c>
      <c r="R7" t="s">
        <v>261</v>
      </c>
      <c r="S7" t="s">
        <v>294</v>
      </c>
    </row>
    <row r="8" spans="1:19" x14ac:dyDescent="0.45">
      <c r="B8" s="1">
        <v>0.29166666666666669</v>
      </c>
      <c r="C8" t="s">
        <v>199</v>
      </c>
      <c r="D8" t="s">
        <v>179</v>
      </c>
      <c r="E8" t="s">
        <v>200</v>
      </c>
      <c r="I8" t="str">
        <f t="shared" si="0"/>
        <v>샬럿샬럿</v>
      </c>
      <c r="J8" t="str">
        <f t="shared" si="6"/>
        <v>샬럿</v>
      </c>
      <c r="K8" t="str">
        <f t="shared" si="7"/>
        <v>애틀랜타</v>
      </c>
      <c r="M8" s="1">
        <f t="shared" si="3"/>
        <v>0.29166666666666669</v>
      </c>
      <c r="N8" t="str">
        <f t="shared" si="4"/>
        <v>CHA</v>
      </c>
      <c r="O8" t="str">
        <f t="shared" si="5"/>
        <v>ATL</v>
      </c>
      <c r="R8" t="s">
        <v>275</v>
      </c>
      <c r="S8" t="s">
        <v>295</v>
      </c>
    </row>
    <row r="9" spans="1:19" x14ac:dyDescent="0.45">
      <c r="B9" s="1">
        <v>0.33333333333333331</v>
      </c>
      <c r="C9" t="s">
        <v>201</v>
      </c>
      <c r="D9" t="s">
        <v>179</v>
      </c>
      <c r="E9" t="s">
        <v>202</v>
      </c>
      <c r="I9" t="str">
        <f t="shared" si="0"/>
        <v>마이애미마이애미</v>
      </c>
      <c r="J9" t="str">
        <f t="shared" si="6"/>
        <v>마이애미</v>
      </c>
      <c r="K9" t="str">
        <f t="shared" si="7"/>
        <v>시카고</v>
      </c>
      <c r="M9" s="1">
        <f t="shared" si="3"/>
        <v>0.33333333333333331</v>
      </c>
      <c r="N9" t="str">
        <f t="shared" si="4"/>
        <v>MIA</v>
      </c>
      <c r="O9" t="str">
        <f t="shared" si="5"/>
        <v>CHI</v>
      </c>
      <c r="R9" t="s">
        <v>264</v>
      </c>
      <c r="S9" t="s">
        <v>296</v>
      </c>
    </row>
    <row r="10" spans="1:19" x14ac:dyDescent="0.45">
      <c r="B10" s="1">
        <v>0.33333333333333331</v>
      </c>
      <c r="C10" t="s">
        <v>203</v>
      </c>
      <c r="D10" t="s">
        <v>179</v>
      </c>
      <c r="E10" t="s">
        <v>184</v>
      </c>
      <c r="I10" t="str">
        <f t="shared" si="0"/>
        <v>필라델피아필라델피아</v>
      </c>
      <c r="J10" t="str">
        <f t="shared" si="6"/>
        <v>필라델피아</v>
      </c>
      <c r="K10" t="str">
        <f t="shared" si="7"/>
        <v>토론토</v>
      </c>
      <c r="M10" s="1">
        <f t="shared" si="3"/>
        <v>0.33333333333333331</v>
      </c>
      <c r="N10" t="str">
        <f t="shared" si="4"/>
        <v>PHI</v>
      </c>
      <c r="O10" t="str">
        <f t="shared" si="5"/>
        <v>TOR</v>
      </c>
      <c r="R10" t="s">
        <v>259</v>
      </c>
      <c r="S10" t="s">
        <v>297</v>
      </c>
    </row>
    <row r="11" spans="1:19" x14ac:dyDescent="0.45">
      <c r="B11" s="1">
        <v>0.33333333333333331</v>
      </c>
      <c r="C11" t="s">
        <v>204</v>
      </c>
      <c r="D11" t="s">
        <v>179</v>
      </c>
      <c r="E11" t="s">
        <v>205</v>
      </c>
      <c r="I11" t="str">
        <f t="shared" si="0"/>
        <v>워싱턴워싱턴</v>
      </c>
      <c r="J11" t="str">
        <f t="shared" si="6"/>
        <v>워싱턴</v>
      </c>
      <c r="K11" t="str">
        <f t="shared" si="7"/>
        <v>LA클리퍼스</v>
      </c>
      <c r="M11" s="1">
        <f t="shared" si="3"/>
        <v>0.33333333333333331</v>
      </c>
      <c r="N11" t="str">
        <f t="shared" si="4"/>
        <v>WAS</v>
      </c>
      <c r="O11" t="str">
        <f t="shared" si="5"/>
        <v>LAC</v>
      </c>
      <c r="R11" t="s">
        <v>273</v>
      </c>
      <c r="S11" t="s">
        <v>298</v>
      </c>
    </row>
    <row r="12" spans="1:19" x14ac:dyDescent="0.45">
      <c r="B12" s="1">
        <v>0.375</v>
      </c>
      <c r="C12" t="s">
        <v>206</v>
      </c>
      <c r="D12" t="s">
        <v>179</v>
      </c>
      <c r="E12" t="s">
        <v>180</v>
      </c>
      <c r="I12" t="str">
        <f t="shared" si="0"/>
        <v>댈러스댈러스</v>
      </c>
      <c r="J12" t="str">
        <f t="shared" si="6"/>
        <v>댈러스</v>
      </c>
      <c r="K12" t="str">
        <f t="shared" si="7"/>
        <v>새크라멘토</v>
      </c>
      <c r="M12" s="1">
        <f t="shared" si="3"/>
        <v>0.375</v>
      </c>
      <c r="N12" t="str">
        <f t="shared" si="4"/>
        <v>DAL</v>
      </c>
      <c r="O12" t="str">
        <f t="shared" si="5"/>
        <v>SAC</v>
      </c>
      <c r="R12" t="s">
        <v>276</v>
      </c>
      <c r="S12" t="s">
        <v>299</v>
      </c>
    </row>
    <row r="13" spans="1:19" x14ac:dyDescent="0.45">
      <c r="B13" s="1">
        <v>0.45833333333333331</v>
      </c>
      <c r="C13" t="s">
        <v>207</v>
      </c>
      <c r="D13" t="s">
        <v>179</v>
      </c>
      <c r="E13" t="s">
        <v>208</v>
      </c>
      <c r="I13" t="str">
        <f t="shared" si="0"/>
        <v>포틀랜드포틀랜드</v>
      </c>
      <c r="J13" t="str">
        <f t="shared" si="6"/>
        <v>포틀랜드</v>
      </c>
      <c r="K13" t="str">
        <f t="shared" si="7"/>
        <v>오클라호마</v>
      </c>
      <c r="M13" s="1">
        <f t="shared" si="3"/>
        <v>0.45833333333333331</v>
      </c>
      <c r="N13" t="str">
        <f t="shared" si="4"/>
        <v>POR</v>
      </c>
      <c r="O13" t="str">
        <f t="shared" si="5"/>
        <v>OKC</v>
      </c>
      <c r="R13" t="s">
        <v>274</v>
      </c>
      <c r="S13" t="s">
        <v>300</v>
      </c>
    </row>
    <row r="14" spans="1:19" x14ac:dyDescent="0.45">
      <c r="B14" s="1">
        <v>0.47916666666666669</v>
      </c>
      <c r="C14" t="s">
        <v>209</v>
      </c>
      <c r="D14" t="s">
        <v>179</v>
      </c>
      <c r="E14" t="s">
        <v>210</v>
      </c>
      <c r="I14" t="str">
        <f t="shared" si="0"/>
        <v>LA레이커스LA레이커스</v>
      </c>
      <c r="J14" t="str">
        <f t="shared" si="6"/>
        <v>LA레이커스</v>
      </c>
      <c r="K14" t="str">
        <f t="shared" si="7"/>
        <v>미네소타</v>
      </c>
      <c r="M14" s="1">
        <f t="shared" si="3"/>
        <v>0.47916666666666669</v>
      </c>
      <c r="N14" t="str">
        <f t="shared" si="4"/>
        <v>LAL</v>
      </c>
      <c r="O14" t="str">
        <f t="shared" si="5"/>
        <v>MIN</v>
      </c>
      <c r="R14" t="s">
        <v>260</v>
      </c>
      <c r="S14" t="s">
        <v>301</v>
      </c>
    </row>
    <row r="15" spans="1:19" x14ac:dyDescent="0.45">
      <c r="I15" t="e">
        <f t="shared" si="0"/>
        <v>#VALUE!</v>
      </c>
      <c r="J15" t="e">
        <f t="shared" si="6"/>
        <v>#VALUE!</v>
      </c>
      <c r="K15" t="e">
        <f t="shared" si="7"/>
        <v>#VALUE!</v>
      </c>
      <c r="M15" s="1">
        <f t="shared" si="3"/>
        <v>0</v>
      </c>
      <c r="N15" t="e">
        <f t="shared" si="4"/>
        <v>#VALUE!</v>
      </c>
      <c r="O15" t="e">
        <f t="shared" si="5"/>
        <v>#VALUE!</v>
      </c>
      <c r="R15" t="s">
        <v>269</v>
      </c>
      <c r="S15" t="s">
        <v>302</v>
      </c>
    </row>
    <row r="16" spans="1:19" x14ac:dyDescent="0.45">
      <c r="A16" t="s">
        <v>211</v>
      </c>
      <c r="B16" s="1">
        <v>0.375</v>
      </c>
      <c r="C16" t="s">
        <v>212</v>
      </c>
      <c r="D16" t="s">
        <v>179</v>
      </c>
      <c r="E16" t="s">
        <v>213</v>
      </c>
      <c r="I16" t="str">
        <f t="shared" si="0"/>
        <v>인디애나인디애나</v>
      </c>
      <c r="J16" t="str">
        <f t="shared" si="6"/>
        <v>인디애나</v>
      </c>
      <c r="K16" t="str">
        <f t="shared" si="7"/>
        <v>LA클리퍼스</v>
      </c>
      <c r="M16" s="1">
        <f t="shared" si="3"/>
        <v>0.375</v>
      </c>
      <c r="N16" t="str">
        <f t="shared" si="4"/>
        <v>IND</v>
      </c>
      <c r="O16" t="str">
        <f t="shared" si="5"/>
        <v>LAC</v>
      </c>
      <c r="R16" t="s">
        <v>287</v>
      </c>
      <c r="S16" t="s">
        <v>303</v>
      </c>
    </row>
    <row r="17" spans="1:19" x14ac:dyDescent="0.45">
      <c r="B17" s="1">
        <v>0.39583333333333331</v>
      </c>
      <c r="C17" t="s">
        <v>214</v>
      </c>
      <c r="D17" t="s">
        <v>179</v>
      </c>
      <c r="E17" t="s">
        <v>215</v>
      </c>
      <c r="I17" t="str">
        <f t="shared" si="0"/>
        <v>보스턴보스턴</v>
      </c>
      <c r="J17" t="str">
        <f t="shared" si="6"/>
        <v>보스턴</v>
      </c>
      <c r="K17" t="str">
        <f t="shared" si="7"/>
        <v>클리블랜드</v>
      </c>
      <c r="M17" s="1">
        <f t="shared" si="3"/>
        <v>0.39583333333333331</v>
      </c>
      <c r="N17" t="str">
        <f t="shared" si="4"/>
        <v>BOS</v>
      </c>
      <c r="O17" t="str">
        <f t="shared" si="5"/>
        <v>CLE</v>
      </c>
      <c r="R17" t="s">
        <v>262</v>
      </c>
      <c r="S17" t="s">
        <v>304</v>
      </c>
    </row>
    <row r="18" spans="1:19" x14ac:dyDescent="0.45">
      <c r="B18" s="1">
        <v>0.41666666666666669</v>
      </c>
      <c r="C18" t="s">
        <v>216</v>
      </c>
      <c r="D18" t="s">
        <v>179</v>
      </c>
      <c r="E18" t="s">
        <v>217</v>
      </c>
      <c r="I18" t="str">
        <f t="shared" si="0"/>
        <v>뉴올리언즈뉴올리언즈</v>
      </c>
      <c r="J18" t="str">
        <f t="shared" si="6"/>
        <v>뉴올리언즈</v>
      </c>
      <c r="K18" t="str">
        <f t="shared" si="7"/>
        <v>디트로이트</v>
      </c>
      <c r="M18" s="1">
        <f t="shared" si="3"/>
        <v>0.41666666666666669</v>
      </c>
      <c r="N18" t="str">
        <f t="shared" si="4"/>
        <v>NO</v>
      </c>
      <c r="O18" t="str">
        <f t="shared" si="5"/>
        <v>DET</v>
      </c>
      <c r="R18" t="s">
        <v>265</v>
      </c>
      <c r="S18" t="s">
        <v>305</v>
      </c>
    </row>
    <row r="19" spans="1:19" x14ac:dyDescent="0.45">
      <c r="B19" s="1">
        <v>0.41666666666666669</v>
      </c>
      <c r="C19" t="s">
        <v>218</v>
      </c>
      <c r="D19" t="s">
        <v>179</v>
      </c>
      <c r="E19" t="s">
        <v>219</v>
      </c>
      <c r="I19" t="str">
        <f t="shared" si="0"/>
        <v>시카고시카고</v>
      </c>
      <c r="J19" t="str">
        <f t="shared" si="6"/>
        <v>시카고</v>
      </c>
      <c r="K19" t="str">
        <f t="shared" si="7"/>
        <v>토론토</v>
      </c>
      <c r="M19" s="1">
        <f t="shared" si="3"/>
        <v>0.41666666666666669</v>
      </c>
      <c r="N19" t="str">
        <f t="shared" si="4"/>
        <v>CHI</v>
      </c>
      <c r="O19" t="str">
        <f t="shared" si="5"/>
        <v>TOR</v>
      </c>
      <c r="R19" t="s">
        <v>263</v>
      </c>
      <c r="S19" t="s">
        <v>306</v>
      </c>
    </row>
    <row r="20" spans="1:19" x14ac:dyDescent="0.45">
      <c r="B20" s="1">
        <v>0.41666666666666669</v>
      </c>
      <c r="C20" t="s">
        <v>220</v>
      </c>
      <c r="D20" t="s">
        <v>179</v>
      </c>
      <c r="E20" t="s">
        <v>186</v>
      </c>
      <c r="I20" t="str">
        <f t="shared" si="0"/>
        <v>휴스턴휴스턴</v>
      </c>
      <c r="J20" t="str">
        <f t="shared" si="6"/>
        <v>휴스턴</v>
      </c>
      <c r="K20" t="str">
        <f t="shared" si="7"/>
        <v>새크라멘토</v>
      </c>
      <c r="M20" s="1">
        <f t="shared" si="3"/>
        <v>0.41666666666666669</v>
      </c>
      <c r="N20" t="str">
        <f t="shared" si="4"/>
        <v>HOU</v>
      </c>
      <c r="O20" t="str">
        <f t="shared" si="5"/>
        <v>SAC</v>
      </c>
      <c r="R20" t="s">
        <v>271</v>
      </c>
      <c r="S20" t="s">
        <v>307</v>
      </c>
    </row>
    <row r="21" spans="1:19" x14ac:dyDescent="0.45">
      <c r="B21" s="1">
        <v>0.41666666666666669</v>
      </c>
      <c r="C21" t="s">
        <v>221</v>
      </c>
      <c r="D21" t="s">
        <v>179</v>
      </c>
      <c r="E21" t="s">
        <v>222</v>
      </c>
      <c r="I21" t="str">
        <f t="shared" si="0"/>
        <v>밀워키밀워키</v>
      </c>
      <c r="J21" t="str">
        <f t="shared" si="6"/>
        <v>밀워키</v>
      </c>
      <c r="K21" t="str">
        <f t="shared" si="7"/>
        <v>올랜도</v>
      </c>
      <c r="M21" s="1">
        <f t="shared" si="3"/>
        <v>0.41666666666666669</v>
      </c>
      <c r="N21" t="str">
        <f t="shared" si="4"/>
        <v>MIL</v>
      </c>
      <c r="O21" t="str">
        <f t="shared" si="5"/>
        <v>ORL</v>
      </c>
      <c r="R21" t="s">
        <v>277</v>
      </c>
      <c r="S21" t="s">
        <v>308</v>
      </c>
    </row>
    <row r="22" spans="1:19" x14ac:dyDescent="0.45">
      <c r="B22" s="1">
        <v>0.45833333333333331</v>
      </c>
      <c r="C22" t="s">
        <v>223</v>
      </c>
      <c r="D22" t="s">
        <v>179</v>
      </c>
      <c r="E22" t="s">
        <v>224</v>
      </c>
      <c r="I22" t="str">
        <f t="shared" si="0"/>
        <v>피닉스피닉스</v>
      </c>
      <c r="J22" t="str">
        <f t="shared" si="6"/>
        <v>피닉스</v>
      </c>
      <c r="K22" t="str">
        <f t="shared" si="7"/>
        <v>미네소타</v>
      </c>
      <c r="M22" s="1">
        <f t="shared" si="3"/>
        <v>0.45833333333333331</v>
      </c>
      <c r="N22" t="str">
        <f t="shared" si="4"/>
        <v>PHO</v>
      </c>
      <c r="O22" t="str">
        <f t="shared" si="5"/>
        <v>MIN</v>
      </c>
      <c r="R22" t="s">
        <v>267</v>
      </c>
      <c r="S22" t="s">
        <v>309</v>
      </c>
    </row>
    <row r="23" spans="1:19" x14ac:dyDescent="0.45">
      <c r="B23" s="1">
        <v>0.45833333333333331</v>
      </c>
      <c r="C23" t="s">
        <v>225</v>
      </c>
      <c r="D23" t="s">
        <v>179</v>
      </c>
      <c r="E23" t="s">
        <v>188</v>
      </c>
      <c r="I23" t="str">
        <f t="shared" si="0"/>
        <v>유타유타</v>
      </c>
      <c r="J23" t="str">
        <f t="shared" si="6"/>
        <v>유타</v>
      </c>
      <c r="K23" t="str">
        <f t="shared" si="7"/>
        <v>오클라호마</v>
      </c>
      <c r="M23" s="1">
        <f t="shared" si="3"/>
        <v>0.45833333333333331</v>
      </c>
      <c r="N23" t="str">
        <f t="shared" si="4"/>
        <v>UTA</v>
      </c>
      <c r="O23" t="str">
        <f t="shared" si="5"/>
        <v>OKC</v>
      </c>
      <c r="R23" t="s">
        <v>258</v>
      </c>
      <c r="S23" t="s">
        <v>310</v>
      </c>
    </row>
    <row r="24" spans="1:19" x14ac:dyDescent="0.45">
      <c r="B24" s="1">
        <v>0.52083333333333337</v>
      </c>
      <c r="C24" t="s">
        <v>226</v>
      </c>
      <c r="D24" t="s">
        <v>179</v>
      </c>
      <c r="E24" t="s">
        <v>227</v>
      </c>
      <c r="I24" t="str">
        <f t="shared" si="0"/>
        <v>골든스테이트골든스테이트</v>
      </c>
      <c r="J24" t="str">
        <f t="shared" si="6"/>
        <v>골든스테이트</v>
      </c>
      <c r="K24" t="str">
        <f t="shared" si="7"/>
        <v>멤피스</v>
      </c>
      <c r="M24" s="1">
        <f t="shared" si="3"/>
        <v>0.52083333333333337</v>
      </c>
      <c r="N24" t="str">
        <f t="shared" si="4"/>
        <v>GS</v>
      </c>
      <c r="O24" t="str">
        <f t="shared" si="5"/>
        <v>MEM</v>
      </c>
      <c r="R24" t="s">
        <v>253</v>
      </c>
      <c r="S24" t="s">
        <v>311</v>
      </c>
    </row>
    <row r="25" spans="1:19" x14ac:dyDescent="0.45">
      <c r="I25" t="e">
        <f t="shared" si="0"/>
        <v>#VALUE!</v>
      </c>
      <c r="J25" t="e">
        <f t="shared" si="6"/>
        <v>#VALUE!</v>
      </c>
      <c r="K25" t="e">
        <f t="shared" si="7"/>
        <v>#VALUE!</v>
      </c>
      <c r="M25" s="1">
        <f t="shared" si="3"/>
        <v>0</v>
      </c>
      <c r="N25" t="e">
        <f t="shared" si="4"/>
        <v>#VALUE!</v>
      </c>
      <c r="O25" t="e">
        <f t="shared" si="5"/>
        <v>#VALUE!</v>
      </c>
      <c r="R25" t="s">
        <v>255</v>
      </c>
      <c r="S25" t="s">
        <v>312</v>
      </c>
    </row>
    <row r="26" spans="1:19" x14ac:dyDescent="0.45">
      <c r="A26" t="s">
        <v>228</v>
      </c>
      <c r="B26" s="1">
        <v>0.375</v>
      </c>
      <c r="C26" t="s">
        <v>229</v>
      </c>
      <c r="D26" t="s">
        <v>179</v>
      </c>
      <c r="E26" t="s">
        <v>200</v>
      </c>
      <c r="I26" t="str">
        <f t="shared" si="0"/>
        <v>샬럿샬럿</v>
      </c>
      <c r="J26" t="str">
        <f t="shared" si="6"/>
        <v>샬럿</v>
      </c>
      <c r="K26" t="str">
        <f t="shared" si="7"/>
        <v>워싱턴</v>
      </c>
      <c r="M26" s="1">
        <f t="shared" si="3"/>
        <v>0.375</v>
      </c>
      <c r="N26" t="str">
        <f t="shared" si="4"/>
        <v>CHA</v>
      </c>
      <c r="O26" t="str">
        <f t="shared" si="5"/>
        <v>WAS</v>
      </c>
      <c r="R26" t="s">
        <v>266</v>
      </c>
      <c r="S26" t="s">
        <v>313</v>
      </c>
    </row>
    <row r="27" spans="1:19" x14ac:dyDescent="0.45">
      <c r="B27" s="1">
        <v>0.41666666666666669</v>
      </c>
      <c r="C27" t="s">
        <v>230</v>
      </c>
      <c r="D27" t="s">
        <v>179</v>
      </c>
      <c r="E27" t="s">
        <v>202</v>
      </c>
      <c r="I27" t="str">
        <f t="shared" si="0"/>
        <v>마이애미마이애미</v>
      </c>
      <c r="J27" t="str">
        <f t="shared" si="6"/>
        <v>마이애미</v>
      </c>
      <c r="K27" t="str">
        <f t="shared" si="7"/>
        <v>애틀랜타</v>
      </c>
      <c r="M27" s="1">
        <f t="shared" si="3"/>
        <v>0.41666666666666669</v>
      </c>
      <c r="N27" t="str">
        <f t="shared" si="4"/>
        <v>MIA</v>
      </c>
      <c r="O27" t="str">
        <f t="shared" si="5"/>
        <v>ATL</v>
      </c>
      <c r="R27" t="s">
        <v>270</v>
      </c>
      <c r="S27" t="s">
        <v>314</v>
      </c>
    </row>
    <row r="28" spans="1:19" x14ac:dyDescent="0.45">
      <c r="B28" s="1">
        <v>0.41666666666666669</v>
      </c>
      <c r="C28" t="s">
        <v>231</v>
      </c>
      <c r="D28" t="s">
        <v>179</v>
      </c>
      <c r="E28" t="s">
        <v>184</v>
      </c>
      <c r="I28" t="str">
        <f t="shared" si="0"/>
        <v>필라델피아필라델피아</v>
      </c>
      <c r="J28" t="str">
        <f t="shared" si="6"/>
        <v>필라델피아</v>
      </c>
      <c r="K28" t="str">
        <f t="shared" si="7"/>
        <v>덴버</v>
      </c>
      <c r="M28" s="1">
        <f t="shared" si="3"/>
        <v>0.41666666666666669</v>
      </c>
      <c r="N28" t="str">
        <f t="shared" si="4"/>
        <v>PHI</v>
      </c>
      <c r="O28" t="str">
        <f t="shared" si="5"/>
        <v>DEN</v>
      </c>
      <c r="R28" t="s">
        <v>257</v>
      </c>
      <c r="S28" t="s">
        <v>315</v>
      </c>
    </row>
    <row r="29" spans="1:19" x14ac:dyDescent="0.45">
      <c r="B29" s="1">
        <v>0.5</v>
      </c>
      <c r="C29" t="s">
        <v>232</v>
      </c>
      <c r="D29" t="s">
        <v>179</v>
      </c>
      <c r="E29" t="s">
        <v>208</v>
      </c>
      <c r="I29" t="str">
        <f t="shared" si="0"/>
        <v>포틀랜드포틀랜드</v>
      </c>
      <c r="J29" t="str">
        <f t="shared" si="6"/>
        <v>포틀랜드</v>
      </c>
      <c r="K29" t="str">
        <f t="shared" si="7"/>
        <v>뉴욕</v>
      </c>
      <c r="M29" s="1">
        <f t="shared" si="3"/>
        <v>0.5</v>
      </c>
      <c r="N29" t="str">
        <f t="shared" si="4"/>
        <v>POR</v>
      </c>
      <c r="O29" t="str">
        <f t="shared" si="5"/>
        <v>NYK</v>
      </c>
      <c r="R29" t="s">
        <v>254</v>
      </c>
      <c r="S29" t="s">
        <v>316</v>
      </c>
    </row>
    <row r="30" spans="1:19" x14ac:dyDescent="0.45">
      <c r="I30" t="e">
        <f t="shared" si="0"/>
        <v>#VALUE!</v>
      </c>
      <c r="J30" t="e">
        <f t="shared" si="6"/>
        <v>#VALUE!</v>
      </c>
      <c r="K30" t="e">
        <f t="shared" si="7"/>
        <v>#VALUE!</v>
      </c>
      <c r="M30" s="1">
        <f t="shared" si="3"/>
        <v>0</v>
      </c>
      <c r="N30" t="e">
        <f t="shared" si="4"/>
        <v>#VALUE!</v>
      </c>
      <c r="O30" t="e">
        <f t="shared" si="5"/>
        <v>#VALUE!</v>
      </c>
      <c r="R30" t="s">
        <v>256</v>
      </c>
      <c r="S30" t="s">
        <v>317</v>
      </c>
    </row>
    <row r="31" spans="1:19" x14ac:dyDescent="0.45">
      <c r="A31" t="s">
        <v>233</v>
      </c>
      <c r="B31" s="1">
        <v>0.375</v>
      </c>
      <c r="C31" t="s">
        <v>234</v>
      </c>
      <c r="D31" t="s">
        <v>179</v>
      </c>
      <c r="E31" t="s">
        <v>235</v>
      </c>
      <c r="I31" t="str">
        <f t="shared" si="0"/>
        <v>클리블랜드클리블랜드</v>
      </c>
      <c r="J31" t="str">
        <f t="shared" si="6"/>
        <v>클리블랜드</v>
      </c>
      <c r="K31" t="str">
        <f t="shared" si="7"/>
        <v>휴스턴</v>
      </c>
      <c r="M31" s="1">
        <f t="shared" si="3"/>
        <v>0.375</v>
      </c>
      <c r="N31" t="str">
        <f t="shared" si="4"/>
        <v>CLE</v>
      </c>
      <c r="O31" t="str">
        <f t="shared" si="5"/>
        <v>HOU</v>
      </c>
    </row>
    <row r="32" spans="1:19" x14ac:dyDescent="0.45">
      <c r="B32" s="1">
        <v>0.375</v>
      </c>
      <c r="C32" t="s">
        <v>236</v>
      </c>
      <c r="D32" t="s">
        <v>179</v>
      </c>
      <c r="E32" t="s">
        <v>213</v>
      </c>
      <c r="I32" t="str">
        <f t="shared" si="0"/>
        <v>인디애나인디애나</v>
      </c>
      <c r="J32" t="str">
        <f t="shared" si="6"/>
        <v>인디애나</v>
      </c>
      <c r="K32" t="str">
        <f t="shared" si="7"/>
        <v>보스턴</v>
      </c>
      <c r="M32" s="1">
        <f t="shared" si="3"/>
        <v>0.375</v>
      </c>
      <c r="N32" t="str">
        <f t="shared" si="4"/>
        <v>IND</v>
      </c>
      <c r="O32" t="str">
        <f t="shared" si="5"/>
        <v>BOS</v>
      </c>
    </row>
    <row r="33" spans="1:15" x14ac:dyDescent="0.45">
      <c r="B33" s="1">
        <v>0.375</v>
      </c>
      <c r="C33" t="s">
        <v>237</v>
      </c>
      <c r="D33" t="s">
        <v>179</v>
      </c>
      <c r="E33" t="s">
        <v>238</v>
      </c>
      <c r="I33" t="str">
        <f t="shared" si="0"/>
        <v>올랜도올랜도</v>
      </c>
      <c r="J33" t="str">
        <f t="shared" si="6"/>
        <v>올랜도</v>
      </c>
      <c r="K33" t="str">
        <f t="shared" si="7"/>
        <v>LA레이커스</v>
      </c>
      <c r="M33" s="1">
        <f t="shared" si="3"/>
        <v>0.375</v>
      </c>
      <c r="N33" t="str">
        <f t="shared" si="4"/>
        <v>ORL</v>
      </c>
      <c r="O33" t="str">
        <f t="shared" si="5"/>
        <v>LAL</v>
      </c>
    </row>
    <row r="34" spans="1:15" x14ac:dyDescent="0.45">
      <c r="B34" s="1">
        <v>0.375</v>
      </c>
      <c r="C34" t="s">
        <v>239</v>
      </c>
      <c r="D34" t="s">
        <v>179</v>
      </c>
      <c r="E34" t="s">
        <v>240</v>
      </c>
      <c r="I34" t="str">
        <f t="shared" si="0"/>
        <v>토론토토론토</v>
      </c>
      <c r="J34" t="str">
        <f t="shared" si="6"/>
        <v>토론토</v>
      </c>
      <c r="K34" t="str">
        <f t="shared" si="7"/>
        <v>LA클리퍼스</v>
      </c>
      <c r="M34" s="1">
        <f t="shared" si="3"/>
        <v>0.375</v>
      </c>
      <c r="N34" t="str">
        <f t="shared" si="4"/>
        <v>TOR</v>
      </c>
      <c r="O34" t="str">
        <f t="shared" si="5"/>
        <v>LAC</v>
      </c>
    </row>
    <row r="35" spans="1:15" x14ac:dyDescent="0.45">
      <c r="B35" s="1">
        <v>0.39583333333333331</v>
      </c>
      <c r="C35" t="s">
        <v>241</v>
      </c>
      <c r="D35" t="s">
        <v>179</v>
      </c>
      <c r="E35" t="s">
        <v>198</v>
      </c>
      <c r="I35" t="str">
        <f t="shared" si="0"/>
        <v>브루클린브루클린</v>
      </c>
      <c r="J35" t="str">
        <f t="shared" si="6"/>
        <v>브루클린</v>
      </c>
      <c r="K35" t="str">
        <f t="shared" si="7"/>
        <v>샬럿</v>
      </c>
      <c r="M35" s="1">
        <f t="shared" si="3"/>
        <v>0.39583333333333331</v>
      </c>
      <c r="N35" t="str">
        <f t="shared" si="4"/>
        <v>BKN</v>
      </c>
      <c r="O35" t="str">
        <f t="shared" si="5"/>
        <v>CHA</v>
      </c>
    </row>
    <row r="36" spans="1:15" x14ac:dyDescent="0.45">
      <c r="B36" s="1">
        <v>0.41666666666666669</v>
      </c>
      <c r="C36" t="s">
        <v>242</v>
      </c>
      <c r="D36" t="s">
        <v>179</v>
      </c>
      <c r="E36" t="s">
        <v>219</v>
      </c>
      <c r="I36" t="str">
        <f t="shared" si="0"/>
        <v>시카고시카고</v>
      </c>
      <c r="J36" t="str">
        <f t="shared" si="6"/>
        <v>시카고</v>
      </c>
      <c r="K36" t="str">
        <f t="shared" si="7"/>
        <v>애틀랜타</v>
      </c>
      <c r="M36" s="1">
        <f t="shared" si="3"/>
        <v>0.41666666666666669</v>
      </c>
      <c r="N36" t="str">
        <f t="shared" si="4"/>
        <v>CHI</v>
      </c>
      <c r="O36" t="str">
        <f t="shared" si="5"/>
        <v>ATL</v>
      </c>
    </row>
    <row r="37" spans="1:15" x14ac:dyDescent="0.45">
      <c r="B37" s="1">
        <v>0.41666666666666669</v>
      </c>
      <c r="C37" t="s">
        <v>243</v>
      </c>
      <c r="D37" t="s">
        <v>179</v>
      </c>
      <c r="E37" t="s">
        <v>244</v>
      </c>
      <c r="I37" t="str">
        <f t="shared" si="0"/>
        <v>미네소타미네소타</v>
      </c>
      <c r="J37" t="str">
        <f t="shared" si="6"/>
        <v>미네소타</v>
      </c>
      <c r="K37" t="str">
        <f t="shared" si="7"/>
        <v>유타</v>
      </c>
      <c r="M37" s="1">
        <f t="shared" si="3"/>
        <v>0.41666666666666669</v>
      </c>
      <c r="N37" t="str">
        <f t="shared" si="4"/>
        <v>MIN</v>
      </c>
      <c r="O37" t="str">
        <f t="shared" si="5"/>
        <v>UTA</v>
      </c>
    </row>
    <row r="38" spans="1:15" x14ac:dyDescent="0.45">
      <c r="B38" s="1">
        <v>0.45833333333333331</v>
      </c>
      <c r="C38" t="s">
        <v>245</v>
      </c>
      <c r="D38" t="s">
        <v>179</v>
      </c>
      <c r="E38" t="s">
        <v>224</v>
      </c>
      <c r="I38" t="str">
        <f t="shared" si="0"/>
        <v>피닉스피닉스</v>
      </c>
      <c r="J38" t="str">
        <f t="shared" si="6"/>
        <v>피닉스</v>
      </c>
      <c r="K38" t="str">
        <f t="shared" si="7"/>
        <v>멤피스</v>
      </c>
      <c r="M38" s="1">
        <f t="shared" si="3"/>
        <v>0.45833333333333331</v>
      </c>
      <c r="N38" t="str">
        <f t="shared" si="4"/>
        <v>PHO</v>
      </c>
      <c r="O38" t="str">
        <f t="shared" si="5"/>
        <v>MEM</v>
      </c>
    </row>
    <row r="39" spans="1:15" x14ac:dyDescent="0.45">
      <c r="B39" s="1">
        <v>0.47916666666666669</v>
      </c>
      <c r="C39" t="s">
        <v>246</v>
      </c>
      <c r="D39" t="s">
        <v>179</v>
      </c>
      <c r="E39" t="s">
        <v>222</v>
      </c>
      <c r="I39" t="str">
        <f t="shared" si="0"/>
        <v>밀워키밀워키</v>
      </c>
      <c r="J39" t="str">
        <f t="shared" si="6"/>
        <v>밀워키</v>
      </c>
      <c r="K39" t="str">
        <f t="shared" si="7"/>
        <v>뉴올리언즈</v>
      </c>
      <c r="M39" s="1">
        <f t="shared" si="3"/>
        <v>0.47916666666666669</v>
      </c>
      <c r="N39" t="str">
        <f t="shared" si="4"/>
        <v>MIL</v>
      </c>
      <c r="O39" t="str">
        <f t="shared" si="5"/>
        <v>NO</v>
      </c>
    </row>
    <row r="40" spans="1:15" x14ac:dyDescent="0.45">
      <c r="B40" s="1">
        <v>0.5</v>
      </c>
      <c r="C40" t="s">
        <v>247</v>
      </c>
      <c r="D40" t="s">
        <v>179</v>
      </c>
      <c r="E40" t="s">
        <v>248</v>
      </c>
      <c r="I40" t="str">
        <f t="shared" si="0"/>
        <v>새크라멘토새크라멘토</v>
      </c>
      <c r="J40" t="str">
        <f t="shared" si="6"/>
        <v>새크라멘토</v>
      </c>
      <c r="K40" t="str">
        <f t="shared" si="7"/>
        <v>오클라호마</v>
      </c>
      <c r="M40" s="1">
        <f t="shared" si="3"/>
        <v>0.5</v>
      </c>
      <c r="N40" t="str">
        <f t="shared" si="4"/>
        <v>SAC</v>
      </c>
      <c r="O40" t="str">
        <f t="shared" si="5"/>
        <v>OKC</v>
      </c>
    </row>
    <row r="41" spans="1:15" x14ac:dyDescent="0.45">
      <c r="B41" s="1">
        <v>0.52083333333333337</v>
      </c>
      <c r="C41" t="s">
        <v>249</v>
      </c>
      <c r="D41" t="s">
        <v>179</v>
      </c>
      <c r="E41" t="s">
        <v>227</v>
      </c>
      <c r="I41" t="str">
        <f t="shared" si="0"/>
        <v>골든스테이트골든스테이트</v>
      </c>
      <c r="J41" t="str">
        <f t="shared" si="6"/>
        <v>골든스테이트</v>
      </c>
      <c r="K41" t="str">
        <f t="shared" si="7"/>
        <v>뉴욕</v>
      </c>
      <c r="M41" s="1">
        <f t="shared" si="3"/>
        <v>0.52083333333333337</v>
      </c>
      <c r="N41" t="str">
        <f t="shared" si="4"/>
        <v>GS</v>
      </c>
      <c r="O41" t="str">
        <f t="shared" si="5"/>
        <v>NYK</v>
      </c>
    </row>
    <row r="42" spans="1:15" x14ac:dyDescent="0.45">
      <c r="I42" t="e">
        <f t="shared" si="0"/>
        <v>#VALUE!</v>
      </c>
      <c r="J42" t="e">
        <f t="shared" si="6"/>
        <v>#VALUE!</v>
      </c>
      <c r="K42" t="e">
        <f t="shared" si="7"/>
        <v>#VALUE!</v>
      </c>
      <c r="M42" s="1">
        <f t="shared" si="3"/>
        <v>0</v>
      </c>
      <c r="N42" t="e">
        <f t="shared" si="4"/>
        <v>#VALUE!</v>
      </c>
      <c r="O42" t="e">
        <f t="shared" si="5"/>
        <v>#VALUE!</v>
      </c>
    </row>
    <row r="43" spans="1:15" x14ac:dyDescent="0.45">
      <c r="A43" t="s">
        <v>279</v>
      </c>
      <c r="B43" s="1">
        <v>0.41666666666666669</v>
      </c>
      <c r="C43" t="s">
        <v>280</v>
      </c>
      <c r="D43" t="s">
        <v>179</v>
      </c>
      <c r="E43" t="s">
        <v>215</v>
      </c>
      <c r="I43" t="str">
        <f t="shared" si="0"/>
        <v>보스턴보스턴</v>
      </c>
      <c r="J43" t="str">
        <f t="shared" si="6"/>
        <v>보스턴</v>
      </c>
      <c r="K43" t="str">
        <f t="shared" si="7"/>
        <v>필라델피아</v>
      </c>
      <c r="M43" s="1">
        <f t="shared" si="3"/>
        <v>0.41666666666666669</v>
      </c>
      <c r="N43" t="str">
        <f t="shared" si="4"/>
        <v>BOS</v>
      </c>
      <c r="O43" t="str">
        <f t="shared" si="5"/>
        <v>PHI</v>
      </c>
    </row>
    <row r="44" spans="1:15" x14ac:dyDescent="0.45">
      <c r="B44" s="1">
        <v>0.4375</v>
      </c>
      <c r="C44" t="s">
        <v>281</v>
      </c>
      <c r="D44" t="s">
        <v>179</v>
      </c>
      <c r="E44" t="s">
        <v>282</v>
      </c>
      <c r="I44" t="str">
        <f t="shared" si="0"/>
        <v>샌안토니오샌안토니오</v>
      </c>
      <c r="J44" t="str">
        <f t="shared" si="6"/>
        <v>샌안토니오</v>
      </c>
      <c r="K44" t="str">
        <f t="shared" si="7"/>
        <v>클리블랜드</v>
      </c>
      <c r="M44" s="1">
        <f t="shared" si="3"/>
        <v>0.4375</v>
      </c>
      <c r="N44" t="str">
        <f t="shared" si="4"/>
        <v>SAS</v>
      </c>
      <c r="O44" t="str">
        <f t="shared" si="5"/>
        <v>CLE</v>
      </c>
    </row>
    <row r="45" spans="1:15" x14ac:dyDescent="0.45">
      <c r="B45" s="1">
        <v>0.45833333333333331</v>
      </c>
      <c r="C45" t="s">
        <v>283</v>
      </c>
      <c r="D45" t="s">
        <v>179</v>
      </c>
      <c r="E45" t="s">
        <v>284</v>
      </c>
      <c r="I45" t="str">
        <f t="shared" si="0"/>
        <v>디트로이트디트로이트</v>
      </c>
      <c r="J45" t="str">
        <f t="shared" si="6"/>
        <v>디트로이트</v>
      </c>
      <c r="K45" t="str">
        <f t="shared" si="7"/>
        <v>댈러스</v>
      </c>
      <c r="M45" s="1">
        <f t="shared" si="3"/>
        <v>0.45833333333333331</v>
      </c>
      <c r="N45" t="str">
        <f t="shared" si="4"/>
        <v>DET</v>
      </c>
      <c r="O45" t="str">
        <f t="shared" si="5"/>
        <v>DAL</v>
      </c>
    </row>
    <row r="46" spans="1:15" x14ac:dyDescent="0.45">
      <c r="B46" s="1">
        <v>0.52083333333333337</v>
      </c>
      <c r="C46" t="s">
        <v>285</v>
      </c>
      <c r="D46" t="s">
        <v>179</v>
      </c>
      <c r="E46" t="s">
        <v>286</v>
      </c>
      <c r="I46" t="str">
        <f t="shared" si="0"/>
        <v>덴버덴버</v>
      </c>
      <c r="J46" t="str">
        <f t="shared" si="6"/>
        <v>덴버</v>
      </c>
      <c r="K46" t="str">
        <f t="shared" si="7"/>
        <v>포틀랜드</v>
      </c>
      <c r="M46" s="1">
        <f t="shared" si="3"/>
        <v>0.52083333333333337</v>
      </c>
      <c r="N46" t="str">
        <f t="shared" si="4"/>
        <v>DEN</v>
      </c>
      <c r="O46" t="str">
        <f t="shared" si="5"/>
        <v>POR</v>
      </c>
    </row>
    <row r="47" spans="1:15" x14ac:dyDescent="0.45">
      <c r="I47" t="e">
        <f t="shared" si="0"/>
        <v>#VALUE!</v>
      </c>
      <c r="J47" t="e">
        <f t="shared" si="6"/>
        <v>#VALUE!</v>
      </c>
      <c r="K47" t="e">
        <f t="shared" si="7"/>
        <v>#VALUE!</v>
      </c>
      <c r="M47" s="1">
        <f t="shared" si="3"/>
        <v>0</v>
      </c>
      <c r="N47" t="e">
        <f t="shared" si="4"/>
        <v>#VALUE!</v>
      </c>
      <c r="O47" t="e">
        <f t="shared" si="5"/>
        <v>#VALUE!</v>
      </c>
    </row>
    <row r="48" spans="1:15" x14ac:dyDescent="0.45">
      <c r="A48" t="s">
        <v>318</v>
      </c>
      <c r="B48" s="1">
        <v>0.375</v>
      </c>
      <c r="C48" t="s">
        <v>319</v>
      </c>
      <c r="D48" t="s">
        <v>179</v>
      </c>
      <c r="E48" t="s">
        <v>202</v>
      </c>
      <c r="I48" t="str">
        <f t="shared" si="0"/>
        <v>마이애미마이애미</v>
      </c>
      <c r="J48" t="str">
        <f t="shared" si="6"/>
        <v>마이애미</v>
      </c>
      <c r="K48" t="str">
        <f t="shared" si="7"/>
        <v>LA레이커스</v>
      </c>
      <c r="M48" s="1">
        <f t="shared" si="3"/>
        <v>0.375</v>
      </c>
      <c r="N48" t="str">
        <f t="shared" si="4"/>
        <v>MIA</v>
      </c>
      <c r="O48" t="str">
        <f t="shared" si="5"/>
        <v>LAL</v>
      </c>
    </row>
    <row r="49" spans="1:15" x14ac:dyDescent="0.45">
      <c r="B49" s="1">
        <v>0.375</v>
      </c>
      <c r="C49" t="s">
        <v>320</v>
      </c>
      <c r="D49" t="s">
        <v>179</v>
      </c>
      <c r="E49" t="s">
        <v>238</v>
      </c>
      <c r="I49" t="str">
        <f t="shared" si="0"/>
        <v>올랜도올랜도</v>
      </c>
      <c r="J49" t="str">
        <f t="shared" si="6"/>
        <v>올랜도</v>
      </c>
      <c r="K49" t="str">
        <f t="shared" si="7"/>
        <v>휴스턴</v>
      </c>
      <c r="M49" s="1">
        <f t="shared" si="3"/>
        <v>0.375</v>
      </c>
      <c r="N49" t="str">
        <f t="shared" si="4"/>
        <v>ORL</v>
      </c>
      <c r="O49" t="str">
        <f t="shared" si="5"/>
        <v>HOU</v>
      </c>
    </row>
    <row r="50" spans="1:15" x14ac:dyDescent="0.45">
      <c r="B50" s="1">
        <v>0.375</v>
      </c>
      <c r="C50" t="s">
        <v>321</v>
      </c>
      <c r="D50" t="s">
        <v>179</v>
      </c>
      <c r="E50" t="s">
        <v>184</v>
      </c>
      <c r="I50" t="str">
        <f t="shared" si="0"/>
        <v>필라델피아필라델피아</v>
      </c>
      <c r="J50" t="str">
        <f t="shared" si="6"/>
        <v>필라델피아</v>
      </c>
      <c r="K50" t="str">
        <f t="shared" si="7"/>
        <v>뉴올리언즈</v>
      </c>
      <c r="M50" s="1">
        <f t="shared" si="3"/>
        <v>0.375</v>
      </c>
      <c r="N50" t="str">
        <f t="shared" si="4"/>
        <v>PHI</v>
      </c>
      <c r="O50" t="str">
        <f t="shared" si="5"/>
        <v>NO</v>
      </c>
    </row>
    <row r="51" spans="1:15" x14ac:dyDescent="0.45">
      <c r="B51" s="1">
        <v>0.39583333333333331</v>
      </c>
      <c r="C51" t="s">
        <v>322</v>
      </c>
      <c r="D51" t="s">
        <v>179</v>
      </c>
      <c r="E51" t="s">
        <v>323</v>
      </c>
      <c r="I51" t="str">
        <f t="shared" si="0"/>
        <v>애틀랜타애틀랜타</v>
      </c>
      <c r="J51" t="str">
        <f t="shared" si="6"/>
        <v>애틀랜타</v>
      </c>
      <c r="K51" t="str">
        <f t="shared" si="7"/>
        <v>인디애나</v>
      </c>
      <c r="M51" s="1">
        <f t="shared" si="3"/>
        <v>0.39583333333333331</v>
      </c>
      <c r="N51" t="str">
        <f t="shared" si="4"/>
        <v>ATL</v>
      </c>
      <c r="O51" t="str">
        <f t="shared" si="5"/>
        <v>IND</v>
      </c>
    </row>
    <row r="52" spans="1:15" x14ac:dyDescent="0.45">
      <c r="B52" s="1">
        <v>0.41666666666666669</v>
      </c>
      <c r="C52" t="s">
        <v>324</v>
      </c>
      <c r="D52" t="s">
        <v>179</v>
      </c>
      <c r="E52" t="s">
        <v>219</v>
      </c>
      <c r="I52" t="str">
        <f t="shared" si="0"/>
        <v>시카고시카고</v>
      </c>
      <c r="J52" t="str">
        <f t="shared" si="6"/>
        <v>시카고</v>
      </c>
      <c r="K52" t="str">
        <f t="shared" si="7"/>
        <v>샬럿</v>
      </c>
      <c r="M52" s="1">
        <f t="shared" si="3"/>
        <v>0.41666666666666669</v>
      </c>
      <c r="N52" t="str">
        <f t="shared" si="4"/>
        <v>CHI</v>
      </c>
      <c r="O52" t="str">
        <f t="shared" si="5"/>
        <v>CHA</v>
      </c>
    </row>
    <row r="53" spans="1:15" x14ac:dyDescent="0.45">
      <c r="B53" s="1">
        <v>0.41666666666666669</v>
      </c>
      <c r="C53" t="s">
        <v>325</v>
      </c>
      <c r="D53" t="s">
        <v>179</v>
      </c>
      <c r="E53" t="s">
        <v>326</v>
      </c>
      <c r="I53" t="str">
        <f t="shared" si="0"/>
        <v>멤피스멤피스</v>
      </c>
      <c r="J53" t="str">
        <f t="shared" si="6"/>
        <v>멤피스</v>
      </c>
      <c r="K53" t="str">
        <f t="shared" si="7"/>
        <v>밀워키</v>
      </c>
      <c r="M53" s="1">
        <f t="shared" si="3"/>
        <v>0.41666666666666669</v>
      </c>
      <c r="N53" t="str">
        <f t="shared" si="4"/>
        <v>MEM</v>
      </c>
      <c r="O53" t="str">
        <f t="shared" si="5"/>
        <v>MIL</v>
      </c>
    </row>
    <row r="54" spans="1:15" x14ac:dyDescent="0.45">
      <c r="B54" s="1">
        <v>0.45833333333333331</v>
      </c>
      <c r="C54" t="s">
        <v>327</v>
      </c>
      <c r="D54" t="s">
        <v>179</v>
      </c>
      <c r="E54" t="s">
        <v>188</v>
      </c>
      <c r="I54" t="str">
        <f t="shared" si="0"/>
        <v>유타유타</v>
      </c>
      <c r="J54" t="str">
        <f t="shared" si="6"/>
        <v>유타</v>
      </c>
      <c r="K54" t="str">
        <f t="shared" si="7"/>
        <v>골든스테이트</v>
      </c>
      <c r="M54" s="1">
        <f t="shared" si="3"/>
        <v>0.45833333333333331</v>
      </c>
      <c r="N54" t="str">
        <f t="shared" si="4"/>
        <v>UTA</v>
      </c>
      <c r="O54" t="str">
        <f t="shared" si="5"/>
        <v>GS</v>
      </c>
    </row>
    <row r="55" spans="1:15" x14ac:dyDescent="0.45">
      <c r="B55" s="1">
        <v>0.47916666666666669</v>
      </c>
      <c r="C55" t="s">
        <v>328</v>
      </c>
      <c r="D55" t="s">
        <v>179</v>
      </c>
      <c r="E55" t="s">
        <v>244</v>
      </c>
      <c r="I55" t="str">
        <f t="shared" si="0"/>
        <v>미네소타미네소타</v>
      </c>
      <c r="J55" t="str">
        <f t="shared" si="6"/>
        <v>미네소타</v>
      </c>
      <c r="K55" t="str">
        <f t="shared" si="7"/>
        <v>LA클리퍼스</v>
      </c>
      <c r="M55" s="1">
        <f t="shared" si="3"/>
        <v>0.47916666666666669</v>
      </c>
      <c r="N55" t="str">
        <f t="shared" si="4"/>
        <v>MIN</v>
      </c>
      <c r="O55" t="str">
        <f t="shared" si="5"/>
        <v>LAC</v>
      </c>
    </row>
    <row r="56" spans="1:15" x14ac:dyDescent="0.45">
      <c r="B56" s="1">
        <v>0.5</v>
      </c>
      <c r="C56" t="s">
        <v>329</v>
      </c>
      <c r="D56" t="s">
        <v>179</v>
      </c>
      <c r="E56" t="s">
        <v>248</v>
      </c>
      <c r="I56" t="str">
        <f t="shared" si="0"/>
        <v>새크라멘토새크라멘토</v>
      </c>
      <c r="J56" t="str">
        <f t="shared" si="6"/>
        <v>새크라멘토</v>
      </c>
      <c r="K56" t="str">
        <f t="shared" si="7"/>
        <v>뉴욕</v>
      </c>
      <c r="M56" s="1">
        <f t="shared" si="3"/>
        <v>0.5</v>
      </c>
      <c r="N56" t="str">
        <f t="shared" si="4"/>
        <v>SAC</v>
      </c>
      <c r="O56" t="str">
        <f t="shared" si="5"/>
        <v>NYK</v>
      </c>
    </row>
    <row r="57" spans="1:15" x14ac:dyDescent="0.45">
      <c r="I57" t="e">
        <f t="shared" si="0"/>
        <v>#VALUE!</v>
      </c>
      <c r="J57" t="e">
        <f t="shared" si="6"/>
        <v>#VALUE!</v>
      </c>
      <c r="K57" t="e">
        <f t="shared" si="7"/>
        <v>#VALUE!</v>
      </c>
      <c r="M57" s="1">
        <f t="shared" si="3"/>
        <v>0</v>
      </c>
      <c r="N57" t="e">
        <f t="shared" si="4"/>
        <v>#VALUE!</v>
      </c>
      <c r="O57" t="e">
        <f t="shared" si="5"/>
        <v>#VALUE!</v>
      </c>
    </row>
    <row r="58" spans="1:15" x14ac:dyDescent="0.45">
      <c r="A58" t="s">
        <v>330</v>
      </c>
      <c r="B58" s="1">
        <v>0.29166666666666669</v>
      </c>
      <c r="C58" t="s">
        <v>331</v>
      </c>
      <c r="D58" t="s">
        <v>179</v>
      </c>
      <c r="E58" t="s">
        <v>284</v>
      </c>
      <c r="I58" t="str">
        <f t="shared" si="0"/>
        <v>피닉스피닉스</v>
      </c>
      <c r="J58" t="str">
        <f t="shared" si="6"/>
        <v>피닉스</v>
      </c>
      <c r="K58" t="str">
        <f t="shared" si="7"/>
        <v>샌안토니오</v>
      </c>
      <c r="M58" s="1">
        <f t="shared" si="3"/>
        <v>0.29166666666666669</v>
      </c>
      <c r="N58" t="str">
        <f t="shared" si="4"/>
        <v>PHO</v>
      </c>
      <c r="O58" t="str">
        <f t="shared" si="5"/>
        <v>SAS</v>
      </c>
    </row>
    <row r="59" spans="1:15" x14ac:dyDescent="0.45">
      <c r="B59" s="1">
        <v>0.39583333333333331</v>
      </c>
      <c r="C59" t="s">
        <v>332</v>
      </c>
      <c r="D59" t="s">
        <v>179</v>
      </c>
      <c r="E59" t="s">
        <v>240</v>
      </c>
      <c r="I59" t="str">
        <f t="shared" si="0"/>
        <v>토론토토론토</v>
      </c>
      <c r="J59" t="str">
        <f t="shared" si="6"/>
        <v>토론토</v>
      </c>
      <c r="K59" t="str">
        <f t="shared" si="7"/>
        <v>브루클린</v>
      </c>
      <c r="M59" s="1">
        <f t="shared" si="3"/>
        <v>0.39583333333333331</v>
      </c>
      <c r="N59" t="str">
        <f t="shared" si="4"/>
        <v>TOR</v>
      </c>
      <c r="O59" t="str">
        <f t="shared" si="5"/>
        <v>BKN</v>
      </c>
    </row>
    <row r="60" spans="1:15" x14ac:dyDescent="0.45">
      <c r="B60" s="1">
        <v>0.41666666666666669</v>
      </c>
      <c r="C60" t="s">
        <v>333</v>
      </c>
      <c r="D60" t="s">
        <v>179</v>
      </c>
      <c r="E60" t="s">
        <v>219</v>
      </c>
      <c r="I60" t="str">
        <f t="shared" ref="I60:I88" si="8">RIGHT(C60,LEN(C60)-FIND(" ",C60,LEN(C60)-12))</f>
        <v>시카고시카고</v>
      </c>
      <c r="J60" t="str">
        <f t="shared" ref="J60:J88" si="9">RIGHT(C60,LEN(I60)/2)</f>
        <v>시카고</v>
      </c>
      <c r="K60" t="str">
        <f t="shared" ref="K60:K88" si="10">LEFT(C60,FIND(" ",C60)-1)</f>
        <v>LA클리퍼스</v>
      </c>
      <c r="M60" s="1">
        <f t="shared" ref="M60:M88" si="11">B60</f>
        <v>0.41666666666666669</v>
      </c>
      <c r="N60" t="str">
        <f t="shared" ref="N60:N88" si="12">VLOOKUP(J60,$R$1:$S$30,2,FALSE)</f>
        <v>CHI</v>
      </c>
      <c r="O60" t="str">
        <f t="shared" ref="O60:O88" si="13">VLOOKUP(K60,$R$1:$S$30,2,FALSE)</f>
        <v>LAC</v>
      </c>
    </row>
    <row r="61" spans="1:15" x14ac:dyDescent="0.45">
      <c r="B61" s="1">
        <v>0.41666666666666669</v>
      </c>
      <c r="C61" t="s">
        <v>334</v>
      </c>
      <c r="D61" t="s">
        <v>179</v>
      </c>
      <c r="E61" t="s">
        <v>326</v>
      </c>
      <c r="I61" t="str">
        <f t="shared" si="8"/>
        <v>멤피스멤피스</v>
      </c>
      <c r="J61" t="str">
        <f t="shared" si="9"/>
        <v>멤피스</v>
      </c>
      <c r="K61" t="str">
        <f t="shared" si="10"/>
        <v>워싱턴</v>
      </c>
      <c r="M61" s="1">
        <f t="shared" si="11"/>
        <v>0.41666666666666669</v>
      </c>
      <c r="N61" t="str">
        <f t="shared" si="12"/>
        <v>MEM</v>
      </c>
      <c r="O61" t="str">
        <f t="shared" si="13"/>
        <v>WAS</v>
      </c>
    </row>
    <row r="62" spans="1:15" x14ac:dyDescent="0.45">
      <c r="B62" s="1">
        <v>0.4375</v>
      </c>
      <c r="C62" t="s">
        <v>335</v>
      </c>
      <c r="D62" t="s">
        <v>179</v>
      </c>
      <c r="E62" t="s">
        <v>180</v>
      </c>
      <c r="I62" t="str">
        <f t="shared" si="8"/>
        <v>댈러스댈러스</v>
      </c>
      <c r="J62" t="str">
        <f t="shared" si="9"/>
        <v>댈러스</v>
      </c>
      <c r="K62" t="str">
        <f t="shared" si="10"/>
        <v>마이애미</v>
      </c>
      <c r="M62" s="1">
        <f t="shared" si="11"/>
        <v>0.4375</v>
      </c>
      <c r="N62" t="str">
        <f t="shared" si="12"/>
        <v>DAL</v>
      </c>
      <c r="O62" t="str">
        <f t="shared" si="13"/>
        <v>MIA</v>
      </c>
    </row>
    <row r="63" spans="1:15" x14ac:dyDescent="0.45">
      <c r="B63" s="1">
        <v>0.4375</v>
      </c>
      <c r="C63" t="s">
        <v>336</v>
      </c>
      <c r="D63" t="s">
        <v>179</v>
      </c>
      <c r="E63" t="s">
        <v>222</v>
      </c>
      <c r="I63" t="str">
        <f t="shared" si="8"/>
        <v>밀워키밀워키</v>
      </c>
      <c r="J63" t="str">
        <f t="shared" si="9"/>
        <v>밀워키</v>
      </c>
      <c r="K63" t="str">
        <f t="shared" si="10"/>
        <v>클리블랜드</v>
      </c>
      <c r="M63" s="1">
        <f t="shared" si="11"/>
        <v>0.4375</v>
      </c>
      <c r="N63" t="str">
        <f t="shared" si="12"/>
        <v>MIL</v>
      </c>
      <c r="O63" t="str">
        <f t="shared" si="13"/>
        <v>CLE</v>
      </c>
    </row>
    <row r="64" spans="1:15" x14ac:dyDescent="0.45">
      <c r="B64" s="1">
        <v>0.45833333333333331</v>
      </c>
      <c r="C64" t="s">
        <v>337</v>
      </c>
      <c r="D64" t="s">
        <v>179</v>
      </c>
      <c r="E64" t="s">
        <v>286</v>
      </c>
      <c r="I64" t="str">
        <f t="shared" si="8"/>
        <v>덴버덴버</v>
      </c>
      <c r="J64" t="str">
        <f t="shared" si="9"/>
        <v>덴버</v>
      </c>
      <c r="K64" t="str">
        <f t="shared" si="10"/>
        <v>오클라호마</v>
      </c>
      <c r="M64" s="1">
        <f t="shared" si="11"/>
        <v>0.45833333333333331</v>
      </c>
      <c r="N64" t="str">
        <f t="shared" si="12"/>
        <v>DEN</v>
      </c>
      <c r="O64" t="str">
        <f t="shared" si="13"/>
        <v>OKC</v>
      </c>
    </row>
    <row r="65" spans="1:15" x14ac:dyDescent="0.45">
      <c r="B65" s="1">
        <v>0.45833333333333331</v>
      </c>
      <c r="C65" t="s">
        <v>338</v>
      </c>
      <c r="D65" t="s">
        <v>179</v>
      </c>
      <c r="E65" t="s">
        <v>186</v>
      </c>
      <c r="I65" t="str">
        <f t="shared" si="8"/>
        <v>휴스턴휴스턴</v>
      </c>
      <c r="J65" t="str">
        <f t="shared" si="9"/>
        <v>휴스턴</v>
      </c>
      <c r="K65" t="str">
        <f t="shared" si="10"/>
        <v>디트로이트</v>
      </c>
      <c r="M65" s="1">
        <f t="shared" si="11"/>
        <v>0.45833333333333331</v>
      </c>
      <c r="N65" t="str">
        <f t="shared" si="12"/>
        <v>HOU</v>
      </c>
      <c r="O65" t="str">
        <f t="shared" si="13"/>
        <v>DET</v>
      </c>
    </row>
    <row r="66" spans="1:15" x14ac:dyDescent="0.45">
      <c r="I66" t="e">
        <f t="shared" si="8"/>
        <v>#VALUE!</v>
      </c>
      <c r="J66" t="e">
        <f t="shared" si="9"/>
        <v>#VALUE!</v>
      </c>
      <c r="K66" t="e">
        <f t="shared" si="10"/>
        <v>#VALUE!</v>
      </c>
      <c r="M66" s="1">
        <f t="shared" si="11"/>
        <v>0</v>
      </c>
      <c r="N66" t="e">
        <f t="shared" si="12"/>
        <v>#VALUE!</v>
      </c>
      <c r="O66" t="e">
        <f t="shared" si="13"/>
        <v>#VALUE!</v>
      </c>
    </row>
    <row r="67" spans="1:15" x14ac:dyDescent="0.45">
      <c r="A67" t="s">
        <v>339</v>
      </c>
      <c r="B67" s="1">
        <v>0.22916666666666666</v>
      </c>
      <c r="C67" t="s">
        <v>340</v>
      </c>
      <c r="D67" t="s">
        <v>179</v>
      </c>
      <c r="E67" t="s">
        <v>217</v>
      </c>
      <c r="I67" t="str">
        <f t="shared" si="8"/>
        <v>뉴올리언즈뉴올리언즈</v>
      </c>
      <c r="J67" t="str">
        <f t="shared" si="9"/>
        <v>뉴올리언즈</v>
      </c>
      <c r="K67" t="str">
        <f t="shared" si="10"/>
        <v>올랜도</v>
      </c>
      <c r="M67" s="1">
        <f t="shared" si="11"/>
        <v>0.22916666666666666</v>
      </c>
      <c r="N67" t="str">
        <f t="shared" si="12"/>
        <v>NO</v>
      </c>
      <c r="O67" t="str">
        <f t="shared" si="13"/>
        <v>ORL</v>
      </c>
    </row>
    <row r="68" spans="1:15" x14ac:dyDescent="0.45">
      <c r="B68" s="1">
        <v>0.29166666666666669</v>
      </c>
      <c r="C68" t="s">
        <v>341</v>
      </c>
      <c r="D68" t="s">
        <v>179</v>
      </c>
      <c r="E68" t="s">
        <v>213</v>
      </c>
      <c r="I68" t="str">
        <f t="shared" si="8"/>
        <v>인디애나인디애나</v>
      </c>
      <c r="J68" t="str">
        <f t="shared" si="9"/>
        <v>인디애나</v>
      </c>
      <c r="K68" t="str">
        <f t="shared" si="10"/>
        <v>샬럿</v>
      </c>
      <c r="M68" s="1">
        <f t="shared" si="11"/>
        <v>0.29166666666666669</v>
      </c>
      <c r="N68" t="str">
        <f t="shared" si="12"/>
        <v>IND</v>
      </c>
      <c r="O68" t="str">
        <f t="shared" si="13"/>
        <v>CHA</v>
      </c>
    </row>
    <row r="69" spans="1:15" x14ac:dyDescent="0.45">
      <c r="B69" s="1">
        <v>0.33333333333333331</v>
      </c>
      <c r="C69" t="s">
        <v>342</v>
      </c>
      <c r="D69" t="s">
        <v>179</v>
      </c>
      <c r="E69" t="s">
        <v>323</v>
      </c>
      <c r="I69" t="str">
        <f t="shared" si="8"/>
        <v>애틀랜타애틀랜타</v>
      </c>
      <c r="J69" t="str">
        <f t="shared" si="9"/>
        <v>애틀랜타</v>
      </c>
      <c r="K69" t="str">
        <f t="shared" si="10"/>
        <v>LA레이커스</v>
      </c>
      <c r="M69" s="1">
        <f t="shared" si="11"/>
        <v>0.33333333333333331</v>
      </c>
      <c r="N69" t="str">
        <f t="shared" si="12"/>
        <v>ATL</v>
      </c>
      <c r="O69" t="str">
        <f t="shared" si="13"/>
        <v>LAL</v>
      </c>
    </row>
    <row r="70" spans="1:15" x14ac:dyDescent="0.45">
      <c r="B70" s="1">
        <v>0.33333333333333331</v>
      </c>
      <c r="C70" t="s">
        <v>343</v>
      </c>
      <c r="D70" t="s">
        <v>179</v>
      </c>
      <c r="E70" t="s">
        <v>198</v>
      </c>
      <c r="I70" t="str">
        <f t="shared" si="8"/>
        <v>브루클린브루클린</v>
      </c>
      <c r="J70" t="str">
        <f t="shared" si="9"/>
        <v>브루클린</v>
      </c>
      <c r="K70" t="str">
        <f t="shared" si="10"/>
        <v>필라델피아</v>
      </c>
      <c r="M70" s="1">
        <f t="shared" si="11"/>
        <v>0.33333333333333331</v>
      </c>
      <c r="N70" t="str">
        <f t="shared" si="12"/>
        <v>BKN</v>
      </c>
      <c r="O70" t="str">
        <f t="shared" si="13"/>
        <v>PHI</v>
      </c>
    </row>
    <row r="71" spans="1:15" x14ac:dyDescent="0.45">
      <c r="B71" s="1">
        <v>0.41666666666666669</v>
      </c>
      <c r="C71" t="s">
        <v>344</v>
      </c>
      <c r="D71" t="s">
        <v>179</v>
      </c>
      <c r="E71" t="s">
        <v>286</v>
      </c>
      <c r="I71" t="str">
        <f t="shared" si="8"/>
        <v>덴버덴버</v>
      </c>
      <c r="J71" t="str">
        <f t="shared" si="9"/>
        <v>덴버</v>
      </c>
      <c r="K71" t="str">
        <f t="shared" si="10"/>
        <v>뉴욕</v>
      </c>
      <c r="M71" s="1">
        <f t="shared" si="11"/>
        <v>0.41666666666666669</v>
      </c>
      <c r="N71" t="str">
        <f t="shared" si="12"/>
        <v>DEN</v>
      </c>
      <c r="O71" t="str">
        <f t="shared" si="13"/>
        <v>NYK</v>
      </c>
    </row>
    <row r="72" spans="1:15" x14ac:dyDescent="0.45">
      <c r="B72" s="1">
        <v>0.4375</v>
      </c>
      <c r="C72" t="s">
        <v>345</v>
      </c>
      <c r="D72" t="s">
        <v>179</v>
      </c>
      <c r="E72" t="s">
        <v>227</v>
      </c>
      <c r="I72" t="str">
        <f t="shared" si="8"/>
        <v>골든스테이트골든스테이트</v>
      </c>
      <c r="J72" t="str">
        <f t="shared" si="9"/>
        <v>골든스테이트</v>
      </c>
      <c r="K72" t="str">
        <f t="shared" si="10"/>
        <v>새크라멘토</v>
      </c>
      <c r="M72" s="1">
        <f t="shared" si="11"/>
        <v>0.4375</v>
      </c>
      <c r="N72" t="str">
        <f t="shared" si="12"/>
        <v>GS</v>
      </c>
      <c r="O72" t="str">
        <f t="shared" si="13"/>
        <v>SAC</v>
      </c>
    </row>
    <row r="73" spans="1:15" x14ac:dyDescent="0.45">
      <c r="I73" t="e">
        <f t="shared" si="8"/>
        <v>#VALUE!</v>
      </c>
      <c r="J73" t="e">
        <f t="shared" si="9"/>
        <v>#VALUE!</v>
      </c>
      <c r="K73" t="e">
        <f t="shared" si="10"/>
        <v>#VALUE!</v>
      </c>
      <c r="M73" s="1">
        <f t="shared" si="11"/>
        <v>0</v>
      </c>
      <c r="N73" t="e">
        <f t="shared" si="12"/>
        <v>#VALUE!</v>
      </c>
      <c r="O73" t="e">
        <f t="shared" si="13"/>
        <v>#VALUE!</v>
      </c>
    </row>
    <row r="74" spans="1:15" x14ac:dyDescent="0.45">
      <c r="A74" t="s">
        <v>346</v>
      </c>
      <c r="B74" s="1">
        <v>0.375</v>
      </c>
      <c r="C74" t="s">
        <v>347</v>
      </c>
      <c r="D74" t="s">
        <v>179</v>
      </c>
      <c r="E74" t="s">
        <v>348</v>
      </c>
      <c r="I74" t="str">
        <f t="shared" si="8"/>
        <v>디트로이트디트로이트</v>
      </c>
      <c r="J74" t="str">
        <f t="shared" si="9"/>
        <v>디트로이트</v>
      </c>
      <c r="K74" t="str">
        <f t="shared" si="10"/>
        <v>워싱턴</v>
      </c>
      <c r="M74" s="1">
        <f t="shared" si="11"/>
        <v>0.375</v>
      </c>
      <c r="N74" t="str">
        <f t="shared" si="12"/>
        <v>DET</v>
      </c>
      <c r="O74" t="str">
        <f t="shared" si="13"/>
        <v>WAS</v>
      </c>
    </row>
    <row r="75" spans="1:15" x14ac:dyDescent="0.45">
      <c r="B75" s="1">
        <v>0.39583333333333331</v>
      </c>
      <c r="C75" t="s">
        <v>349</v>
      </c>
      <c r="D75" t="s">
        <v>179</v>
      </c>
      <c r="E75" t="s">
        <v>240</v>
      </c>
      <c r="I75" t="str">
        <f t="shared" si="8"/>
        <v>토론토토론토</v>
      </c>
      <c r="J75" t="str">
        <f t="shared" si="9"/>
        <v>토론토</v>
      </c>
      <c r="K75" t="str">
        <f t="shared" si="10"/>
        <v>클리블랜드</v>
      </c>
      <c r="M75" s="1">
        <f t="shared" si="11"/>
        <v>0.39583333333333331</v>
      </c>
      <c r="N75" t="str">
        <f t="shared" si="12"/>
        <v>TOR</v>
      </c>
      <c r="O75" t="str">
        <f t="shared" si="13"/>
        <v>CLE</v>
      </c>
    </row>
    <row r="76" spans="1:15" x14ac:dyDescent="0.45">
      <c r="B76" s="1">
        <v>0.41666666666666669</v>
      </c>
      <c r="C76" t="s">
        <v>350</v>
      </c>
      <c r="D76" t="s">
        <v>179</v>
      </c>
      <c r="E76" t="s">
        <v>186</v>
      </c>
      <c r="I76" t="str">
        <f t="shared" si="8"/>
        <v>휴스턴휴스턴</v>
      </c>
      <c r="J76" t="str">
        <f t="shared" si="9"/>
        <v>휴스턴</v>
      </c>
      <c r="K76" t="str">
        <f t="shared" si="10"/>
        <v>샌안토니오</v>
      </c>
      <c r="M76" s="1">
        <f t="shared" si="11"/>
        <v>0.41666666666666669</v>
      </c>
      <c r="N76" t="str">
        <f t="shared" si="12"/>
        <v>HOU</v>
      </c>
      <c r="O76" t="str">
        <f t="shared" si="13"/>
        <v>SAS</v>
      </c>
    </row>
    <row r="77" spans="1:15" x14ac:dyDescent="0.45">
      <c r="B77" s="1">
        <v>0.41666666666666669</v>
      </c>
      <c r="C77" t="s">
        <v>351</v>
      </c>
      <c r="D77" t="s">
        <v>179</v>
      </c>
      <c r="E77" t="s">
        <v>222</v>
      </c>
      <c r="I77" t="str">
        <f t="shared" si="8"/>
        <v>밀워키밀워키</v>
      </c>
      <c r="J77" t="str">
        <f t="shared" si="9"/>
        <v>밀워키</v>
      </c>
      <c r="K77" t="str">
        <f t="shared" si="10"/>
        <v>댈러스</v>
      </c>
      <c r="M77" s="1">
        <f t="shared" si="11"/>
        <v>0.41666666666666669</v>
      </c>
      <c r="N77" t="str">
        <f t="shared" si="12"/>
        <v>MIL</v>
      </c>
      <c r="O77" t="str">
        <f t="shared" si="13"/>
        <v>DAL</v>
      </c>
    </row>
    <row r="78" spans="1:15" x14ac:dyDescent="0.45">
      <c r="B78" s="1">
        <v>0.41666666666666669</v>
      </c>
      <c r="C78" t="s">
        <v>352</v>
      </c>
      <c r="D78" t="s">
        <v>179</v>
      </c>
      <c r="E78" t="s">
        <v>353</v>
      </c>
      <c r="I78" t="str">
        <f t="shared" si="8"/>
        <v>오클라호마오클라호마</v>
      </c>
      <c r="J78" t="str">
        <f t="shared" si="9"/>
        <v>오클라호마</v>
      </c>
      <c r="K78" t="str">
        <f t="shared" si="10"/>
        <v>시카고</v>
      </c>
      <c r="M78" s="1">
        <f t="shared" si="11"/>
        <v>0.41666666666666669</v>
      </c>
      <c r="N78" t="str">
        <f t="shared" si="12"/>
        <v>OKC</v>
      </c>
      <c r="O78" t="str">
        <f t="shared" si="13"/>
        <v>CHI</v>
      </c>
    </row>
    <row r="79" spans="1:15" x14ac:dyDescent="0.45">
      <c r="B79" s="1">
        <v>0.41666666666666669</v>
      </c>
      <c r="C79" t="s">
        <v>354</v>
      </c>
      <c r="D79" t="s">
        <v>179</v>
      </c>
      <c r="E79" t="s">
        <v>326</v>
      </c>
      <c r="I79" t="str">
        <f t="shared" si="8"/>
        <v>멤피스멤피스</v>
      </c>
      <c r="J79" t="str">
        <f t="shared" si="9"/>
        <v>멤피스</v>
      </c>
      <c r="K79" t="str">
        <f t="shared" si="10"/>
        <v>마이애미</v>
      </c>
      <c r="M79" s="1">
        <f t="shared" si="11"/>
        <v>0.41666666666666669</v>
      </c>
      <c r="N79" t="str">
        <f t="shared" si="12"/>
        <v>MEM</v>
      </c>
      <c r="O79" t="str">
        <f t="shared" si="13"/>
        <v>MIA</v>
      </c>
    </row>
    <row r="80" spans="1:15" x14ac:dyDescent="0.45">
      <c r="B80" s="1">
        <v>0.45833333333333331</v>
      </c>
      <c r="C80" t="s">
        <v>355</v>
      </c>
      <c r="D80" t="s">
        <v>179</v>
      </c>
      <c r="E80" t="s">
        <v>224</v>
      </c>
      <c r="I80" t="str">
        <f t="shared" si="8"/>
        <v>피닉스피닉스</v>
      </c>
      <c r="J80" t="str">
        <f t="shared" si="9"/>
        <v>피닉스</v>
      </c>
      <c r="K80" t="str">
        <f t="shared" si="10"/>
        <v>포틀랜드</v>
      </c>
      <c r="M80" s="1">
        <f t="shared" si="11"/>
        <v>0.45833333333333331</v>
      </c>
      <c r="N80" t="str">
        <f t="shared" si="12"/>
        <v>PHO</v>
      </c>
      <c r="O80" t="str">
        <f t="shared" si="13"/>
        <v>POR</v>
      </c>
    </row>
    <row r="81" spans="1:15" x14ac:dyDescent="0.45">
      <c r="I81" t="e">
        <f t="shared" si="8"/>
        <v>#VALUE!</v>
      </c>
      <c r="J81" t="e">
        <f t="shared" si="9"/>
        <v>#VALUE!</v>
      </c>
      <c r="K81" t="e">
        <f t="shared" si="10"/>
        <v>#VALUE!</v>
      </c>
      <c r="M81" s="1">
        <f t="shared" si="11"/>
        <v>0</v>
      </c>
      <c r="N81" t="e">
        <f t="shared" si="12"/>
        <v>#VALUE!</v>
      </c>
      <c r="O81" t="e">
        <f t="shared" si="13"/>
        <v>#VALUE!</v>
      </c>
    </row>
    <row r="82" spans="1:15" x14ac:dyDescent="0.45">
      <c r="A82" t="s">
        <v>356</v>
      </c>
      <c r="B82" s="1">
        <v>0.375</v>
      </c>
      <c r="C82" t="s">
        <v>357</v>
      </c>
      <c r="D82" t="s">
        <v>179</v>
      </c>
      <c r="E82" t="s">
        <v>213</v>
      </c>
      <c r="I82" t="str">
        <f t="shared" si="8"/>
        <v>인디애나인디애나</v>
      </c>
      <c r="J82" t="str">
        <f t="shared" si="9"/>
        <v>인디애나</v>
      </c>
      <c r="K82" t="str">
        <f t="shared" si="10"/>
        <v>LA레이커스</v>
      </c>
      <c r="M82" s="1">
        <f t="shared" si="11"/>
        <v>0.375</v>
      </c>
      <c r="N82" t="str">
        <f t="shared" si="12"/>
        <v>IND</v>
      </c>
      <c r="O82" t="str">
        <f t="shared" si="13"/>
        <v>LAL</v>
      </c>
    </row>
    <row r="83" spans="1:15" x14ac:dyDescent="0.45">
      <c r="B83" s="1">
        <v>0.375</v>
      </c>
      <c r="C83" t="s">
        <v>358</v>
      </c>
      <c r="D83" t="s">
        <v>179</v>
      </c>
      <c r="E83" t="s">
        <v>200</v>
      </c>
      <c r="I83" t="str">
        <f t="shared" si="8"/>
        <v>샬럿샬럿</v>
      </c>
      <c r="J83" t="str">
        <f t="shared" si="9"/>
        <v>샬럿</v>
      </c>
      <c r="K83" t="str">
        <f t="shared" si="10"/>
        <v>새크라멘토</v>
      </c>
      <c r="M83" s="1">
        <f t="shared" si="11"/>
        <v>0.375</v>
      </c>
      <c r="N83" t="str">
        <f t="shared" si="12"/>
        <v>CHA</v>
      </c>
      <c r="O83" t="str">
        <f t="shared" si="13"/>
        <v>SAC</v>
      </c>
    </row>
    <row r="84" spans="1:15" x14ac:dyDescent="0.45">
      <c r="B84" s="1">
        <v>0.39583333333333331</v>
      </c>
      <c r="C84" t="s">
        <v>359</v>
      </c>
      <c r="D84" t="s">
        <v>179</v>
      </c>
      <c r="E84" t="s">
        <v>182</v>
      </c>
      <c r="I84" t="str">
        <f t="shared" si="8"/>
        <v>뉴욕뉴욕</v>
      </c>
      <c r="J84" t="str">
        <f t="shared" si="9"/>
        <v>뉴욕</v>
      </c>
      <c r="K84" t="str">
        <f t="shared" si="10"/>
        <v>애틀랜타</v>
      </c>
      <c r="M84" s="1">
        <f t="shared" si="11"/>
        <v>0.39583333333333331</v>
      </c>
      <c r="N84" t="str">
        <f t="shared" si="12"/>
        <v>NYK</v>
      </c>
      <c r="O84" t="str">
        <f t="shared" si="13"/>
        <v>ATL</v>
      </c>
    </row>
    <row r="85" spans="1:15" x14ac:dyDescent="0.45">
      <c r="B85" s="1">
        <v>0.41666666666666669</v>
      </c>
      <c r="C85" t="s">
        <v>360</v>
      </c>
      <c r="D85" t="s">
        <v>179</v>
      </c>
      <c r="E85" t="s">
        <v>217</v>
      </c>
      <c r="I85" t="str">
        <f t="shared" si="8"/>
        <v>뉴올리언즈뉴올리언즈</v>
      </c>
      <c r="J85" t="str">
        <f t="shared" si="9"/>
        <v>뉴올리언즈</v>
      </c>
      <c r="K85" t="str">
        <f t="shared" si="10"/>
        <v>브루클린</v>
      </c>
      <c r="M85" s="1">
        <f t="shared" si="11"/>
        <v>0.41666666666666669</v>
      </c>
      <c r="N85" t="str">
        <f t="shared" si="12"/>
        <v>NO</v>
      </c>
      <c r="O85" t="str">
        <f t="shared" si="13"/>
        <v>BKN</v>
      </c>
    </row>
    <row r="86" spans="1:15" x14ac:dyDescent="0.45">
      <c r="B86" s="1">
        <v>0.45833333333333331</v>
      </c>
      <c r="C86" t="s">
        <v>361</v>
      </c>
      <c r="D86" t="s">
        <v>179</v>
      </c>
      <c r="E86" t="s">
        <v>188</v>
      </c>
      <c r="I86" t="str">
        <f t="shared" si="8"/>
        <v>유타유타</v>
      </c>
      <c r="J86" t="str">
        <f t="shared" si="9"/>
        <v>유타</v>
      </c>
      <c r="K86" t="str">
        <f t="shared" si="10"/>
        <v>올랜도</v>
      </c>
      <c r="M86" s="1">
        <f t="shared" si="11"/>
        <v>0.45833333333333331</v>
      </c>
      <c r="N86" t="str">
        <f t="shared" si="12"/>
        <v>UTA</v>
      </c>
      <c r="O86" t="str">
        <f t="shared" si="13"/>
        <v>ORL</v>
      </c>
    </row>
    <row r="87" spans="1:15" x14ac:dyDescent="0.45">
      <c r="B87" s="1">
        <v>0.52083333333333337</v>
      </c>
      <c r="C87" t="s">
        <v>362</v>
      </c>
      <c r="D87" t="s">
        <v>179</v>
      </c>
      <c r="E87" t="s">
        <v>210</v>
      </c>
      <c r="I87" t="str">
        <f t="shared" si="8"/>
        <v>LA클리퍼스LA클리퍼스</v>
      </c>
      <c r="J87" t="str">
        <f t="shared" si="9"/>
        <v>LA클리퍼스</v>
      </c>
      <c r="K87" t="str">
        <f t="shared" si="10"/>
        <v>피닉스</v>
      </c>
      <c r="M87" s="1">
        <f t="shared" si="11"/>
        <v>0.52083333333333337</v>
      </c>
      <c r="N87" t="str">
        <f t="shared" si="12"/>
        <v>LAC</v>
      </c>
      <c r="O87" t="str">
        <f t="shared" si="13"/>
        <v>PHO</v>
      </c>
    </row>
    <row r="88" spans="1:15" x14ac:dyDescent="0.45">
      <c r="I88" t="e">
        <f t="shared" si="8"/>
        <v>#VALUE!</v>
      </c>
      <c r="J88" t="e">
        <f t="shared" si="9"/>
        <v>#VALUE!</v>
      </c>
      <c r="K88" t="e">
        <f t="shared" si="10"/>
        <v>#VALUE!</v>
      </c>
      <c r="M88" s="1">
        <f t="shared" si="11"/>
        <v>0</v>
      </c>
      <c r="N88" t="e">
        <f t="shared" si="12"/>
        <v>#VALUE!</v>
      </c>
      <c r="O88" t="e">
        <f t="shared" si="13"/>
        <v>#VALUE!</v>
      </c>
    </row>
    <row r="89" spans="1:15" x14ac:dyDescent="0.45">
      <c r="A89" t="s">
        <v>367</v>
      </c>
      <c r="B89" s="1">
        <v>0.375</v>
      </c>
      <c r="C89" t="s">
        <v>368</v>
      </c>
      <c r="D89" t="s">
        <v>369</v>
      </c>
      <c r="E89" t="s">
        <v>235</v>
      </c>
      <c r="I89" t="str">
        <f t="shared" ref="I89:I97" si="14">RIGHT(C89,LEN(C89)-FIND(" ",C89,LEN(C89)-12))</f>
        <v>클리블랜드클리블랜드</v>
      </c>
      <c r="J89" t="str">
        <f t="shared" ref="J89:J97" si="15">RIGHT(C89,LEN(I89)/2)</f>
        <v>클리블랜드</v>
      </c>
      <c r="K89" t="str">
        <f t="shared" ref="K89:K97" si="16">LEFT(C89,FIND(" ",C89)-1)</f>
        <v>샬럿</v>
      </c>
      <c r="M89" s="1">
        <f t="shared" ref="M89:M97" si="17">B89</f>
        <v>0.375</v>
      </c>
      <c r="N89" t="str">
        <f t="shared" ref="N89:N97" si="18">VLOOKUP(J89,$R$1:$S$30,2,FALSE)</f>
        <v>CLE</v>
      </c>
      <c r="O89" t="str">
        <f t="shared" ref="O89:O97" si="19">VLOOKUP(K89,$R$1:$S$30,2,FALSE)</f>
        <v>CHA</v>
      </c>
    </row>
    <row r="90" spans="1:15" x14ac:dyDescent="0.45">
      <c r="B90" s="1">
        <v>0.375</v>
      </c>
      <c r="C90" t="s">
        <v>370</v>
      </c>
      <c r="D90" t="s">
        <v>369</v>
      </c>
      <c r="E90" t="s">
        <v>348</v>
      </c>
      <c r="I90" t="str">
        <f t="shared" si="14"/>
        <v>디트로이트디트로이트</v>
      </c>
      <c r="J90" t="str">
        <f t="shared" si="15"/>
        <v>디트로이트</v>
      </c>
      <c r="K90" t="str">
        <f t="shared" si="16"/>
        <v>토론토</v>
      </c>
      <c r="M90" s="1">
        <f t="shared" si="17"/>
        <v>0.375</v>
      </c>
      <c r="N90" t="str">
        <f t="shared" si="18"/>
        <v>DET</v>
      </c>
      <c r="O90" t="str">
        <f t="shared" si="19"/>
        <v>TOR</v>
      </c>
    </row>
    <row r="91" spans="1:15" x14ac:dyDescent="0.45">
      <c r="B91" s="1">
        <v>0.375</v>
      </c>
      <c r="C91" t="s">
        <v>371</v>
      </c>
      <c r="D91" t="s">
        <v>369</v>
      </c>
      <c r="E91" t="s">
        <v>184</v>
      </c>
      <c r="I91" t="str">
        <f t="shared" si="14"/>
        <v>필라델피아필라델피아</v>
      </c>
      <c r="J91" t="str">
        <f t="shared" si="15"/>
        <v>필라델피아</v>
      </c>
      <c r="K91" t="str">
        <f t="shared" si="16"/>
        <v>마이애미</v>
      </c>
      <c r="M91" s="1">
        <f t="shared" si="17"/>
        <v>0.375</v>
      </c>
      <c r="N91" t="str">
        <f t="shared" si="18"/>
        <v>PHI</v>
      </c>
      <c r="O91" t="str">
        <f t="shared" si="19"/>
        <v>MIA</v>
      </c>
    </row>
    <row r="92" spans="1:15" x14ac:dyDescent="0.45">
      <c r="B92" s="1">
        <v>0.375</v>
      </c>
      <c r="C92" t="s">
        <v>372</v>
      </c>
      <c r="D92" t="s">
        <v>369</v>
      </c>
      <c r="E92" t="s">
        <v>205</v>
      </c>
      <c r="I92" t="str">
        <f t="shared" si="14"/>
        <v>워싱턴워싱턴</v>
      </c>
      <c r="J92" t="str">
        <f t="shared" si="15"/>
        <v>워싱턴</v>
      </c>
      <c r="K92" t="str">
        <f t="shared" si="16"/>
        <v>시카고</v>
      </c>
      <c r="M92" s="1">
        <f t="shared" si="17"/>
        <v>0.375</v>
      </c>
      <c r="N92" t="str">
        <f t="shared" si="18"/>
        <v>WAS</v>
      </c>
      <c r="O92" t="str">
        <f t="shared" si="19"/>
        <v>CHI</v>
      </c>
    </row>
    <row r="93" spans="1:15" x14ac:dyDescent="0.45">
      <c r="B93" s="1">
        <v>0.41666666666666669</v>
      </c>
      <c r="C93" t="s">
        <v>373</v>
      </c>
      <c r="D93" t="s">
        <v>369</v>
      </c>
      <c r="E93" t="s">
        <v>244</v>
      </c>
      <c r="I93" t="str">
        <f t="shared" si="14"/>
        <v>미네소타미네소타</v>
      </c>
      <c r="J93" t="str">
        <f t="shared" si="15"/>
        <v>미네소타</v>
      </c>
      <c r="K93" t="str">
        <f t="shared" si="16"/>
        <v>뉴올리언즈</v>
      </c>
      <c r="M93" s="1">
        <f t="shared" si="17"/>
        <v>0.41666666666666669</v>
      </c>
      <c r="N93" t="str">
        <f t="shared" si="18"/>
        <v>MIN</v>
      </c>
      <c r="O93" t="str">
        <f t="shared" si="19"/>
        <v>NO</v>
      </c>
    </row>
    <row r="94" spans="1:15" x14ac:dyDescent="0.45">
      <c r="B94" s="1">
        <v>0.41666666666666669</v>
      </c>
      <c r="C94" t="s">
        <v>374</v>
      </c>
      <c r="D94" t="s">
        <v>369</v>
      </c>
      <c r="E94" t="s">
        <v>353</v>
      </c>
      <c r="I94" t="str">
        <f t="shared" si="14"/>
        <v>오클라호마오클라호마</v>
      </c>
      <c r="J94" t="str">
        <f t="shared" si="15"/>
        <v>오클라호마</v>
      </c>
      <c r="K94" t="str">
        <f t="shared" si="16"/>
        <v>멤피스</v>
      </c>
      <c r="M94" s="1">
        <f t="shared" si="17"/>
        <v>0.41666666666666669</v>
      </c>
      <c r="N94" t="str">
        <f t="shared" si="18"/>
        <v>OKC</v>
      </c>
      <c r="O94" t="str">
        <f t="shared" si="19"/>
        <v>MEM</v>
      </c>
    </row>
    <row r="95" spans="1:15" x14ac:dyDescent="0.45">
      <c r="B95" s="1">
        <v>0.45833333333333331</v>
      </c>
      <c r="C95" t="s">
        <v>375</v>
      </c>
      <c r="D95" t="s">
        <v>369</v>
      </c>
      <c r="E95" t="s">
        <v>286</v>
      </c>
      <c r="I95" t="str">
        <f t="shared" si="14"/>
        <v>올랜도VS 덴버덴버</v>
      </c>
      <c r="J95" t="str">
        <f t="shared" si="15"/>
        <v xml:space="preserve"> 덴버덴버</v>
      </c>
      <c r="K95" t="str">
        <f t="shared" si="16"/>
        <v>올랜도</v>
      </c>
      <c r="M95" s="1">
        <f t="shared" si="17"/>
        <v>0.45833333333333331</v>
      </c>
      <c r="N95" t="e">
        <f t="shared" si="18"/>
        <v>#N/A</v>
      </c>
      <c r="O95" t="str">
        <f t="shared" si="19"/>
        <v>ORL</v>
      </c>
    </row>
    <row r="96" spans="1:15" x14ac:dyDescent="0.45">
      <c r="B96" s="1">
        <v>0.47916666666666669</v>
      </c>
      <c r="C96" t="s">
        <v>376</v>
      </c>
      <c r="D96" t="s">
        <v>369</v>
      </c>
      <c r="E96" t="s">
        <v>180</v>
      </c>
      <c r="I96" t="str">
        <f t="shared" si="14"/>
        <v>보스턴VS 댈러스댈러스</v>
      </c>
      <c r="J96" t="str">
        <f t="shared" si="15"/>
        <v>댈러스댈러스</v>
      </c>
      <c r="K96" t="str">
        <f t="shared" si="16"/>
        <v>보스턴</v>
      </c>
      <c r="M96" s="1">
        <f t="shared" si="17"/>
        <v>0.47916666666666669</v>
      </c>
      <c r="N96" t="e">
        <f t="shared" si="18"/>
        <v>#N/A</v>
      </c>
      <c r="O96" t="str">
        <f t="shared" si="19"/>
        <v>BOS</v>
      </c>
    </row>
    <row r="97" spans="2:15" x14ac:dyDescent="0.45">
      <c r="B97" s="1">
        <v>0.5</v>
      </c>
      <c r="C97" t="s">
        <v>377</v>
      </c>
      <c r="D97" t="s">
        <v>369</v>
      </c>
      <c r="E97" t="s">
        <v>208</v>
      </c>
      <c r="I97" t="str">
        <f t="shared" si="14"/>
        <v>포틀랜드포틀랜드</v>
      </c>
      <c r="J97" t="str">
        <f t="shared" si="15"/>
        <v>포틀랜드</v>
      </c>
      <c r="K97" t="str">
        <f t="shared" si="16"/>
        <v>골든스테이트</v>
      </c>
      <c r="M97" s="1">
        <f t="shared" si="17"/>
        <v>0.5</v>
      </c>
      <c r="N97" t="str">
        <f t="shared" si="18"/>
        <v>POR</v>
      </c>
      <c r="O97" t="str">
        <f t="shared" si="19"/>
        <v>GS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EF78-E73E-47FB-BF2E-25F17FAB7F90}">
  <sheetPr>
    <tabColor theme="4" tint="0.79998168889431442"/>
  </sheetPr>
  <dimension ref="A1:K125"/>
  <sheetViews>
    <sheetView topLeftCell="A55" workbookViewId="0">
      <selection activeCell="B66" sqref="B66"/>
    </sheetView>
  </sheetViews>
  <sheetFormatPr defaultRowHeight="17" x14ac:dyDescent="0.45"/>
  <sheetData>
    <row r="1" spans="1:11" x14ac:dyDescent="0.45">
      <c r="A1" t="s">
        <v>14</v>
      </c>
      <c r="B1">
        <v>102</v>
      </c>
      <c r="C1" t="s">
        <v>1</v>
      </c>
    </row>
    <row r="2" spans="1:11" x14ac:dyDescent="0.45">
      <c r="A2" t="s">
        <v>56</v>
      </c>
      <c r="B2">
        <v>110</v>
      </c>
    </row>
    <row r="3" spans="1:11" x14ac:dyDescent="0.45">
      <c r="B3">
        <v>1</v>
      </c>
      <c r="C3">
        <v>2</v>
      </c>
      <c r="D3">
        <v>3</v>
      </c>
      <c r="E3">
        <v>4</v>
      </c>
    </row>
    <row r="4" spans="1:11" x14ac:dyDescent="0.45">
      <c r="A4" t="s">
        <v>16</v>
      </c>
      <c r="B4">
        <v>21</v>
      </c>
      <c r="C4">
        <v>26</v>
      </c>
      <c r="D4">
        <v>32</v>
      </c>
      <c r="E4">
        <v>23</v>
      </c>
    </row>
    <row r="5" spans="1:11" x14ac:dyDescent="0.45">
      <c r="A5" t="s">
        <v>58</v>
      </c>
      <c r="B5">
        <v>26</v>
      </c>
      <c r="C5">
        <v>27</v>
      </c>
      <c r="D5">
        <v>27</v>
      </c>
      <c r="E5">
        <v>30</v>
      </c>
      <c r="G5">
        <f>B4</f>
        <v>21</v>
      </c>
      <c r="H5">
        <f t="shared" ref="H5:J5" si="0">C4</f>
        <v>26</v>
      </c>
      <c r="I5">
        <f t="shared" si="0"/>
        <v>32</v>
      </c>
      <c r="J5">
        <f t="shared" si="0"/>
        <v>23</v>
      </c>
      <c r="K5" t="str">
        <f>IF(F4="","",F4)</f>
        <v/>
      </c>
    </row>
    <row r="7" spans="1:11" x14ac:dyDescent="0.45">
      <c r="A7" t="s">
        <v>5</v>
      </c>
    </row>
    <row r="9" spans="1:11" x14ac:dyDescent="0.45">
      <c r="A9" t="s">
        <v>6</v>
      </c>
      <c r="B9" t="s">
        <v>364</v>
      </c>
      <c r="C9">
        <v>23</v>
      </c>
    </row>
    <row r="10" spans="1:11" x14ac:dyDescent="0.45">
      <c r="A10" t="s">
        <v>8</v>
      </c>
      <c r="B10" t="s">
        <v>65</v>
      </c>
      <c r="C10">
        <v>12</v>
      </c>
    </row>
    <row r="11" spans="1:11" x14ac:dyDescent="0.45">
      <c r="A11" t="s">
        <v>43</v>
      </c>
      <c r="B11">
        <v>102</v>
      </c>
      <c r="C11" t="s">
        <v>1</v>
      </c>
    </row>
    <row r="12" spans="1:11" x14ac:dyDescent="0.45">
      <c r="A12" t="s">
        <v>67</v>
      </c>
      <c r="B12">
        <v>105</v>
      </c>
    </row>
    <row r="13" spans="1:11" x14ac:dyDescent="0.45">
      <c r="B13">
        <v>1</v>
      </c>
      <c r="C13">
        <v>2</v>
      </c>
      <c r="D13">
        <v>3</v>
      </c>
      <c r="E13">
        <v>4</v>
      </c>
    </row>
    <row r="14" spans="1:11" x14ac:dyDescent="0.45">
      <c r="A14" t="s">
        <v>45</v>
      </c>
      <c r="B14">
        <v>28</v>
      </c>
      <c r="C14">
        <v>24</v>
      </c>
      <c r="D14">
        <v>24</v>
      </c>
      <c r="E14">
        <v>26</v>
      </c>
    </row>
    <row r="15" spans="1:11" x14ac:dyDescent="0.45">
      <c r="A15" t="s">
        <v>69</v>
      </c>
      <c r="B15">
        <v>24</v>
      </c>
      <c r="C15">
        <v>26</v>
      </c>
      <c r="D15">
        <v>28</v>
      </c>
      <c r="E15">
        <v>27</v>
      </c>
      <c r="G15">
        <f>B14</f>
        <v>28</v>
      </c>
      <c r="H15">
        <f t="shared" ref="H15:J15" si="1">C14</f>
        <v>24</v>
      </c>
      <c r="I15">
        <f t="shared" si="1"/>
        <v>24</v>
      </c>
      <c r="J15">
        <f t="shared" si="1"/>
        <v>26</v>
      </c>
      <c r="K15" t="str">
        <f>IF(F14="","",F14)</f>
        <v/>
      </c>
    </row>
    <row r="17" spans="1:11" x14ac:dyDescent="0.45">
      <c r="A17" t="s">
        <v>5</v>
      </c>
    </row>
    <row r="19" spans="1:11" x14ac:dyDescent="0.45">
      <c r="A19" t="s">
        <v>6</v>
      </c>
      <c r="B19" t="s">
        <v>83</v>
      </c>
      <c r="C19">
        <v>26</v>
      </c>
    </row>
    <row r="20" spans="1:11" x14ac:dyDescent="0.45">
      <c r="A20" t="s">
        <v>8</v>
      </c>
      <c r="B20" t="s">
        <v>83</v>
      </c>
      <c r="C20">
        <v>10</v>
      </c>
    </row>
    <row r="21" spans="1:11" x14ac:dyDescent="0.45">
      <c r="A21" t="s">
        <v>11</v>
      </c>
      <c r="B21">
        <v>99</v>
      </c>
      <c r="C21" t="s">
        <v>1</v>
      </c>
    </row>
    <row r="22" spans="1:11" x14ac:dyDescent="0.45">
      <c r="A22" t="s">
        <v>41</v>
      </c>
      <c r="B22">
        <v>120</v>
      </c>
    </row>
    <row r="23" spans="1:11" x14ac:dyDescent="0.45">
      <c r="B23">
        <v>1</v>
      </c>
      <c r="C23">
        <v>2</v>
      </c>
      <c r="D23">
        <v>3</v>
      </c>
      <c r="E23">
        <v>4</v>
      </c>
    </row>
    <row r="24" spans="1:11" x14ac:dyDescent="0.45">
      <c r="A24" t="s">
        <v>13</v>
      </c>
      <c r="B24">
        <v>23</v>
      </c>
      <c r="C24">
        <v>21</v>
      </c>
      <c r="D24">
        <v>25</v>
      </c>
      <c r="E24">
        <v>30</v>
      </c>
    </row>
    <row r="25" spans="1:11" x14ac:dyDescent="0.45">
      <c r="A25" t="s">
        <v>42</v>
      </c>
      <c r="B25">
        <v>31</v>
      </c>
      <c r="C25">
        <v>23</v>
      </c>
      <c r="D25">
        <v>36</v>
      </c>
      <c r="E25">
        <v>30</v>
      </c>
      <c r="G25">
        <f>B24</f>
        <v>23</v>
      </c>
      <c r="H25">
        <f t="shared" ref="H25:J25" si="2">C24</f>
        <v>21</v>
      </c>
      <c r="I25">
        <f t="shared" si="2"/>
        <v>25</v>
      </c>
      <c r="J25">
        <f t="shared" si="2"/>
        <v>30</v>
      </c>
      <c r="K25" t="str">
        <f>IF(F24="","",F24)</f>
        <v/>
      </c>
    </row>
    <row r="27" spans="1:11" x14ac:dyDescent="0.45">
      <c r="A27" t="s">
        <v>5</v>
      </c>
    </row>
    <row r="29" spans="1:11" x14ac:dyDescent="0.45">
      <c r="A29" t="s">
        <v>6</v>
      </c>
      <c r="B29" t="s">
        <v>363</v>
      </c>
      <c r="C29">
        <v>24</v>
      </c>
    </row>
    <row r="30" spans="1:11" x14ac:dyDescent="0.45">
      <c r="A30" t="s">
        <v>8</v>
      </c>
      <c r="B30" t="s">
        <v>365</v>
      </c>
      <c r="C30">
        <v>12</v>
      </c>
    </row>
    <row r="31" spans="1:11" x14ac:dyDescent="0.45">
      <c r="A31" t="s">
        <v>15</v>
      </c>
      <c r="B31">
        <v>108</v>
      </c>
      <c r="C31" t="s">
        <v>1</v>
      </c>
    </row>
    <row r="32" spans="1:11" x14ac:dyDescent="0.45">
      <c r="A32" t="s">
        <v>10</v>
      </c>
      <c r="B32">
        <v>101</v>
      </c>
      <c r="C32" t="s">
        <v>85</v>
      </c>
    </row>
    <row r="33" spans="1:11" x14ac:dyDescent="0.45">
      <c r="B33">
        <v>1</v>
      </c>
      <c r="C33">
        <v>2</v>
      </c>
      <c r="D33">
        <v>3</v>
      </c>
      <c r="E33">
        <v>4</v>
      </c>
      <c r="F33" t="s">
        <v>85</v>
      </c>
    </row>
    <row r="34" spans="1:11" x14ac:dyDescent="0.45">
      <c r="A34" t="s">
        <v>17</v>
      </c>
      <c r="B34">
        <v>21</v>
      </c>
      <c r="C34">
        <v>21</v>
      </c>
      <c r="D34">
        <v>19</v>
      </c>
      <c r="E34">
        <v>32</v>
      </c>
      <c r="F34">
        <v>15</v>
      </c>
    </row>
    <row r="35" spans="1:11" x14ac:dyDescent="0.45">
      <c r="A35" t="s">
        <v>12</v>
      </c>
      <c r="B35">
        <v>21</v>
      </c>
      <c r="C35">
        <v>14</v>
      </c>
      <c r="D35">
        <v>29</v>
      </c>
      <c r="E35">
        <v>29</v>
      </c>
      <c r="F35">
        <v>8</v>
      </c>
      <c r="G35">
        <f>B34</f>
        <v>21</v>
      </c>
      <c r="H35">
        <f t="shared" ref="H35:J35" si="3">C34</f>
        <v>21</v>
      </c>
      <c r="I35">
        <f t="shared" si="3"/>
        <v>19</v>
      </c>
      <c r="J35">
        <f t="shared" si="3"/>
        <v>32</v>
      </c>
      <c r="K35">
        <f>IF(F34="","",F34)</f>
        <v>15</v>
      </c>
    </row>
    <row r="37" spans="1:11" x14ac:dyDescent="0.45">
      <c r="A37" t="s">
        <v>5</v>
      </c>
    </row>
    <row r="39" spans="1:11" x14ac:dyDescent="0.45">
      <c r="A39" t="s">
        <v>6</v>
      </c>
      <c r="B39" t="s">
        <v>18</v>
      </c>
      <c r="C39">
        <v>31</v>
      </c>
    </row>
    <row r="40" spans="1:11" x14ac:dyDescent="0.45">
      <c r="A40" t="s">
        <v>8</v>
      </c>
      <c r="B40" t="s">
        <v>82</v>
      </c>
      <c r="C40">
        <v>14</v>
      </c>
    </row>
    <row r="41" spans="1:11" x14ac:dyDescent="0.45">
      <c r="A41" t="s">
        <v>36</v>
      </c>
      <c r="B41">
        <v>120</v>
      </c>
      <c r="C41" t="s">
        <v>1</v>
      </c>
    </row>
    <row r="42" spans="1:11" x14ac:dyDescent="0.45">
      <c r="A42" t="s">
        <v>76</v>
      </c>
      <c r="B42">
        <v>143</v>
      </c>
    </row>
    <row r="43" spans="1:11" x14ac:dyDescent="0.45">
      <c r="B43">
        <v>1</v>
      </c>
      <c r="C43">
        <v>2</v>
      </c>
      <c r="D43">
        <v>3</v>
      </c>
      <c r="E43">
        <v>4</v>
      </c>
    </row>
    <row r="44" spans="1:11" x14ac:dyDescent="0.45">
      <c r="A44" t="s">
        <v>38</v>
      </c>
      <c r="B44">
        <v>27</v>
      </c>
      <c r="C44">
        <v>26</v>
      </c>
      <c r="D44">
        <v>31</v>
      </c>
      <c r="E44">
        <v>36</v>
      </c>
    </row>
    <row r="45" spans="1:11" x14ac:dyDescent="0.45">
      <c r="A45" t="s">
        <v>77</v>
      </c>
      <c r="B45">
        <v>41</v>
      </c>
      <c r="C45">
        <v>36</v>
      </c>
      <c r="D45">
        <v>32</v>
      </c>
      <c r="E45">
        <v>34</v>
      </c>
      <c r="G45">
        <f>B44</f>
        <v>27</v>
      </c>
      <c r="H45">
        <f t="shared" ref="H45:J45" si="4">C44</f>
        <v>26</v>
      </c>
      <c r="I45">
        <f t="shared" si="4"/>
        <v>31</v>
      </c>
      <c r="J45">
        <f t="shared" si="4"/>
        <v>36</v>
      </c>
      <c r="K45" t="str">
        <f>IF(F44="","",F44)</f>
        <v/>
      </c>
    </row>
    <row r="47" spans="1:11" x14ac:dyDescent="0.45">
      <c r="A47" t="s">
        <v>5</v>
      </c>
    </row>
    <row r="49" spans="1:11" x14ac:dyDescent="0.45">
      <c r="A49" t="s">
        <v>6</v>
      </c>
      <c r="B49" t="s">
        <v>63</v>
      </c>
      <c r="C49">
        <v>42</v>
      </c>
    </row>
    <row r="50" spans="1:11" x14ac:dyDescent="0.45">
      <c r="A50" t="s">
        <v>8</v>
      </c>
      <c r="B50" t="s">
        <v>366</v>
      </c>
      <c r="C50">
        <v>13</v>
      </c>
    </row>
    <row r="51" spans="1:11" x14ac:dyDescent="0.45">
      <c r="A51" t="s">
        <v>66</v>
      </c>
      <c r="B51">
        <v>102</v>
      </c>
      <c r="C51" t="s">
        <v>1</v>
      </c>
    </row>
    <row r="52" spans="1:11" x14ac:dyDescent="0.45">
      <c r="A52" t="s">
        <v>51</v>
      </c>
      <c r="B52">
        <v>109</v>
      </c>
    </row>
    <row r="53" spans="1:11" x14ac:dyDescent="0.45">
      <c r="B53">
        <v>1</v>
      </c>
      <c r="C53">
        <v>2</v>
      </c>
      <c r="D53">
        <v>3</v>
      </c>
      <c r="E53">
        <v>4</v>
      </c>
    </row>
    <row r="54" spans="1:11" x14ac:dyDescent="0.45">
      <c r="A54" t="s">
        <v>68</v>
      </c>
      <c r="B54">
        <v>20</v>
      </c>
      <c r="C54">
        <v>27</v>
      </c>
      <c r="D54">
        <v>24</v>
      </c>
      <c r="E54">
        <v>31</v>
      </c>
    </row>
    <row r="55" spans="1:11" x14ac:dyDescent="0.45">
      <c r="A55" t="s">
        <v>53</v>
      </c>
      <c r="B55">
        <v>26</v>
      </c>
      <c r="C55">
        <v>32</v>
      </c>
      <c r="D55">
        <v>24</v>
      </c>
      <c r="E55">
        <v>27</v>
      </c>
      <c r="G55">
        <f>B54</f>
        <v>20</v>
      </c>
      <c r="H55">
        <f t="shared" ref="H55:J55" si="5">C54</f>
        <v>27</v>
      </c>
      <c r="I55">
        <f t="shared" si="5"/>
        <v>24</v>
      </c>
      <c r="J55">
        <f t="shared" si="5"/>
        <v>31</v>
      </c>
      <c r="K55" t="str">
        <f>IF(F54="","",F54)</f>
        <v/>
      </c>
    </row>
    <row r="57" spans="1:11" x14ac:dyDescent="0.45">
      <c r="A57" t="s">
        <v>5</v>
      </c>
    </row>
    <row r="59" spans="1:11" x14ac:dyDescent="0.45">
      <c r="A59" t="s">
        <v>6</v>
      </c>
      <c r="B59" t="s">
        <v>34</v>
      </c>
      <c r="C59">
        <v>30</v>
      </c>
    </row>
    <row r="60" spans="1:11" x14ac:dyDescent="0.45">
      <c r="A60" t="s">
        <v>8</v>
      </c>
      <c r="B60" t="s">
        <v>55</v>
      </c>
      <c r="C60">
        <v>19</v>
      </c>
    </row>
    <row r="65" spans="7:11" x14ac:dyDescent="0.45">
      <c r="G65">
        <f>B64</f>
        <v>0</v>
      </c>
      <c r="H65">
        <f t="shared" ref="H65:J65" si="6">C64</f>
        <v>0</v>
      </c>
      <c r="I65">
        <f t="shared" si="6"/>
        <v>0</v>
      </c>
      <c r="J65">
        <f t="shared" si="6"/>
        <v>0</v>
      </c>
      <c r="K65" t="str">
        <f>IF(F64="","",F64)</f>
        <v/>
      </c>
    </row>
    <row r="75" spans="7:11" x14ac:dyDescent="0.45">
      <c r="G75">
        <f>B74</f>
        <v>0</v>
      </c>
      <c r="H75">
        <f t="shared" ref="H75:J75" si="7">C74</f>
        <v>0</v>
      </c>
      <c r="I75">
        <f t="shared" si="7"/>
        <v>0</v>
      </c>
      <c r="J75">
        <f t="shared" si="7"/>
        <v>0</v>
      </c>
      <c r="K75" t="str">
        <f>IF(F74="","",F74)</f>
        <v/>
      </c>
    </row>
    <row r="85" spans="7:11" x14ac:dyDescent="0.45">
      <c r="G85">
        <f>B84</f>
        <v>0</v>
      </c>
      <c r="H85">
        <f t="shared" ref="H85:J85" si="8">C84</f>
        <v>0</v>
      </c>
      <c r="I85">
        <f t="shared" si="8"/>
        <v>0</v>
      </c>
      <c r="J85">
        <f t="shared" si="8"/>
        <v>0</v>
      </c>
      <c r="K85" t="str">
        <f>IF(F84="","",F84)</f>
        <v/>
      </c>
    </row>
    <row r="95" spans="7:11" x14ac:dyDescent="0.45">
      <c r="G95">
        <f>B94</f>
        <v>0</v>
      </c>
      <c r="H95">
        <f t="shared" ref="H95:J95" si="9">C94</f>
        <v>0</v>
      </c>
      <c r="I95">
        <f t="shared" si="9"/>
        <v>0</v>
      </c>
      <c r="J95">
        <f t="shared" si="9"/>
        <v>0</v>
      </c>
      <c r="K95" t="str">
        <f>IF(F94="","",F94)</f>
        <v/>
      </c>
    </row>
    <row r="105" spans="7:11" x14ac:dyDescent="0.45">
      <c r="G105">
        <f>B104</f>
        <v>0</v>
      </c>
      <c r="H105">
        <f t="shared" ref="H105:J105" si="10">C104</f>
        <v>0</v>
      </c>
      <c r="I105">
        <f t="shared" si="10"/>
        <v>0</v>
      </c>
      <c r="J105">
        <f t="shared" si="10"/>
        <v>0</v>
      </c>
      <c r="K105" t="str">
        <f>IF(F104="","",F104)</f>
        <v/>
      </c>
    </row>
    <row r="115" spans="7:11" x14ac:dyDescent="0.45">
      <c r="G115">
        <f>B114</f>
        <v>0</v>
      </c>
      <c r="H115">
        <f t="shared" ref="H115:J115" si="11">C114</f>
        <v>0</v>
      </c>
      <c r="I115">
        <f t="shared" si="11"/>
        <v>0</v>
      </c>
      <c r="J115">
        <f t="shared" si="11"/>
        <v>0</v>
      </c>
      <c r="K115" t="str">
        <f>IF(F114="","",F114)</f>
        <v/>
      </c>
    </row>
    <row r="125" spans="7:11" x14ac:dyDescent="0.45">
      <c r="G125">
        <f>B124</f>
        <v>0</v>
      </c>
      <c r="H125">
        <f t="shared" ref="H125:J125" si="12">C124</f>
        <v>0</v>
      </c>
      <c r="I125">
        <f t="shared" si="12"/>
        <v>0</v>
      </c>
      <c r="J125">
        <f t="shared" si="12"/>
        <v>0</v>
      </c>
      <c r="K125" t="str">
        <f>IF(F124="","",F124)</f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DD64-856C-4F48-846F-EF9ED2DACB27}">
  <dimension ref="A1:K125"/>
  <sheetViews>
    <sheetView topLeftCell="A96" workbookViewId="0">
      <selection activeCell="B104" sqref="B104"/>
    </sheetView>
  </sheetViews>
  <sheetFormatPr defaultRowHeight="17" x14ac:dyDescent="0.45"/>
  <sheetData>
    <row r="1" spans="1:11" x14ac:dyDescent="0.45">
      <c r="A1" t="s">
        <v>31</v>
      </c>
      <c r="B1">
        <v>95</v>
      </c>
      <c r="C1" t="s">
        <v>1</v>
      </c>
    </row>
    <row r="2" spans="1:11" x14ac:dyDescent="0.45">
      <c r="A2" t="s">
        <v>30</v>
      </c>
      <c r="B2">
        <v>108</v>
      </c>
    </row>
    <row r="3" spans="1:11" x14ac:dyDescent="0.45">
      <c r="B3">
        <v>1</v>
      </c>
      <c r="C3">
        <v>2</v>
      </c>
      <c r="D3">
        <v>3</v>
      </c>
      <c r="E3">
        <v>4</v>
      </c>
    </row>
    <row r="4" spans="1:11" x14ac:dyDescent="0.45">
      <c r="A4" t="s">
        <v>33</v>
      </c>
      <c r="B4">
        <v>26</v>
      </c>
      <c r="C4">
        <v>19</v>
      </c>
      <c r="D4">
        <v>19</v>
      </c>
      <c r="E4">
        <v>31</v>
      </c>
    </row>
    <row r="5" spans="1:11" x14ac:dyDescent="0.45">
      <c r="A5" t="s">
        <v>32</v>
      </c>
      <c r="B5">
        <v>33</v>
      </c>
      <c r="C5">
        <v>20</v>
      </c>
      <c r="D5">
        <v>32</v>
      </c>
      <c r="E5">
        <v>23</v>
      </c>
      <c r="G5">
        <f>B4</f>
        <v>26</v>
      </c>
      <c r="H5">
        <f t="shared" ref="H5:K5" si="0">C4</f>
        <v>19</v>
      </c>
      <c r="I5">
        <f t="shared" si="0"/>
        <v>19</v>
      </c>
      <c r="J5">
        <f t="shared" si="0"/>
        <v>31</v>
      </c>
      <c r="K5" t="str">
        <f>IF(F4="","",F4)</f>
        <v/>
      </c>
    </row>
    <row r="7" spans="1:11" x14ac:dyDescent="0.45">
      <c r="A7" t="s">
        <v>5</v>
      </c>
    </row>
    <row r="9" spans="1:11" x14ac:dyDescent="0.45">
      <c r="A9" t="s">
        <v>6</v>
      </c>
      <c r="B9" t="s">
        <v>35</v>
      </c>
      <c r="C9">
        <v>30</v>
      </c>
    </row>
    <row r="10" spans="1:11" x14ac:dyDescent="0.45">
      <c r="A10" t="s">
        <v>8</v>
      </c>
      <c r="B10" t="s">
        <v>35</v>
      </c>
      <c r="C10">
        <v>10</v>
      </c>
    </row>
    <row r="11" spans="1:11" x14ac:dyDescent="0.45">
      <c r="A11" t="s">
        <v>50</v>
      </c>
      <c r="B11">
        <v>100</v>
      </c>
      <c r="C11" t="s">
        <v>1</v>
      </c>
    </row>
    <row r="12" spans="1:11" x14ac:dyDescent="0.45">
      <c r="A12" t="s">
        <v>21</v>
      </c>
      <c r="B12">
        <v>98</v>
      </c>
    </row>
    <row r="13" spans="1:11" x14ac:dyDescent="0.45">
      <c r="B13">
        <v>1</v>
      </c>
      <c r="C13">
        <v>2</v>
      </c>
      <c r="D13">
        <v>3</v>
      </c>
      <c r="E13">
        <v>4</v>
      </c>
    </row>
    <row r="14" spans="1:11" x14ac:dyDescent="0.45">
      <c r="A14" t="s">
        <v>52</v>
      </c>
      <c r="B14">
        <v>23</v>
      </c>
      <c r="C14">
        <v>27</v>
      </c>
      <c r="D14">
        <v>27</v>
      </c>
      <c r="E14">
        <v>23</v>
      </c>
    </row>
    <row r="15" spans="1:11" x14ac:dyDescent="0.45">
      <c r="A15" t="s">
        <v>23</v>
      </c>
      <c r="B15">
        <v>28</v>
      </c>
      <c r="C15">
        <v>23</v>
      </c>
      <c r="D15">
        <v>32</v>
      </c>
      <c r="E15">
        <v>15</v>
      </c>
      <c r="G15">
        <f>B14</f>
        <v>23</v>
      </c>
      <c r="H15">
        <f t="shared" ref="H15" si="1">C14</f>
        <v>27</v>
      </c>
      <c r="I15">
        <f t="shared" ref="I15" si="2">D14</f>
        <v>27</v>
      </c>
      <c r="J15">
        <f t="shared" ref="J15" si="3">E14</f>
        <v>23</v>
      </c>
      <c r="K15" t="str">
        <f>IF(F14="","",F14)</f>
        <v/>
      </c>
    </row>
    <row r="17" spans="1:11" x14ac:dyDescent="0.45">
      <c r="A17" t="s">
        <v>5</v>
      </c>
    </row>
    <row r="19" spans="1:11" x14ac:dyDescent="0.45">
      <c r="A19" t="s">
        <v>6</v>
      </c>
      <c r="B19" t="s">
        <v>64</v>
      </c>
      <c r="C19">
        <v>22</v>
      </c>
    </row>
    <row r="20" spans="1:11" x14ac:dyDescent="0.45">
      <c r="A20" t="s">
        <v>8</v>
      </c>
      <c r="B20" t="s">
        <v>189</v>
      </c>
      <c r="C20">
        <v>12</v>
      </c>
    </row>
    <row r="21" spans="1:11" x14ac:dyDescent="0.45">
      <c r="A21" t="s">
        <v>15</v>
      </c>
      <c r="B21">
        <v>111</v>
      </c>
      <c r="C21" t="s">
        <v>1</v>
      </c>
    </row>
    <row r="22" spans="1:11" x14ac:dyDescent="0.45">
      <c r="A22" t="s">
        <v>56</v>
      </c>
      <c r="B22">
        <v>104</v>
      </c>
    </row>
    <row r="23" spans="1:11" x14ac:dyDescent="0.45">
      <c r="B23">
        <v>1</v>
      </c>
      <c r="C23">
        <v>2</v>
      </c>
      <c r="D23">
        <v>3</v>
      </c>
      <c r="E23">
        <v>4</v>
      </c>
    </row>
    <row r="24" spans="1:11" x14ac:dyDescent="0.45">
      <c r="A24" t="s">
        <v>17</v>
      </c>
      <c r="B24">
        <v>29</v>
      </c>
      <c r="C24">
        <v>26</v>
      </c>
      <c r="D24">
        <v>31</v>
      </c>
      <c r="E24">
        <v>25</v>
      </c>
    </row>
    <row r="25" spans="1:11" x14ac:dyDescent="0.45">
      <c r="A25" t="s">
        <v>58</v>
      </c>
      <c r="B25">
        <v>32</v>
      </c>
      <c r="C25">
        <v>25</v>
      </c>
      <c r="D25">
        <v>27</v>
      </c>
      <c r="E25">
        <v>20</v>
      </c>
      <c r="G25">
        <f>B24</f>
        <v>29</v>
      </c>
      <c r="H25">
        <f t="shared" ref="H25" si="4">C24</f>
        <v>26</v>
      </c>
      <c r="I25">
        <f t="shared" ref="I25" si="5">D24</f>
        <v>31</v>
      </c>
      <c r="J25">
        <f t="shared" ref="J25" si="6">E24</f>
        <v>25</v>
      </c>
      <c r="K25" t="str">
        <f>IF(F24="","",F24)</f>
        <v/>
      </c>
    </row>
    <row r="27" spans="1:11" x14ac:dyDescent="0.45">
      <c r="A27" t="s">
        <v>5</v>
      </c>
    </row>
    <row r="29" spans="1:11" x14ac:dyDescent="0.45">
      <c r="A29" t="s">
        <v>6</v>
      </c>
      <c r="B29" t="s">
        <v>172</v>
      </c>
      <c r="C29">
        <v>29</v>
      </c>
    </row>
    <row r="30" spans="1:11" x14ac:dyDescent="0.45">
      <c r="A30" t="s">
        <v>8</v>
      </c>
      <c r="B30" t="s">
        <v>19</v>
      </c>
      <c r="C30">
        <v>13</v>
      </c>
    </row>
    <row r="31" spans="1:11" x14ac:dyDescent="0.45">
      <c r="A31" t="s">
        <v>66</v>
      </c>
      <c r="B31">
        <v>93</v>
      </c>
      <c r="C31" t="s">
        <v>1</v>
      </c>
    </row>
    <row r="32" spans="1:11" x14ac:dyDescent="0.45">
      <c r="A32" t="s">
        <v>26</v>
      </c>
      <c r="B32">
        <v>87</v>
      </c>
    </row>
    <row r="33" spans="1:11" x14ac:dyDescent="0.45">
      <c r="B33">
        <v>1</v>
      </c>
      <c r="C33">
        <v>2</v>
      </c>
      <c r="D33">
        <v>3</v>
      </c>
      <c r="E33">
        <v>4</v>
      </c>
    </row>
    <row r="34" spans="1:11" x14ac:dyDescent="0.45">
      <c r="A34" t="s">
        <v>68</v>
      </c>
      <c r="B34">
        <v>24</v>
      </c>
      <c r="C34">
        <v>28</v>
      </c>
      <c r="D34">
        <v>16</v>
      </c>
      <c r="E34">
        <v>25</v>
      </c>
    </row>
    <row r="35" spans="1:11" x14ac:dyDescent="0.45">
      <c r="A35" t="s">
        <v>28</v>
      </c>
      <c r="B35">
        <v>25</v>
      </c>
      <c r="C35">
        <v>22</v>
      </c>
      <c r="D35">
        <v>23</v>
      </c>
      <c r="E35">
        <v>17</v>
      </c>
      <c r="G35">
        <f>B34</f>
        <v>24</v>
      </c>
      <c r="H35">
        <f t="shared" ref="H35" si="7">C34</f>
        <v>28</v>
      </c>
      <c r="I35">
        <f t="shared" ref="I35" si="8">D34</f>
        <v>16</v>
      </c>
      <c r="J35">
        <f t="shared" ref="J35" si="9">E34</f>
        <v>25</v>
      </c>
      <c r="K35" t="str">
        <f>IF(F34="","",F34)</f>
        <v/>
      </c>
    </row>
    <row r="37" spans="1:11" x14ac:dyDescent="0.45">
      <c r="A37" t="s">
        <v>5</v>
      </c>
    </row>
    <row r="39" spans="1:11" x14ac:dyDescent="0.45">
      <c r="A39" t="s">
        <v>6</v>
      </c>
      <c r="B39" t="s">
        <v>190</v>
      </c>
      <c r="C39">
        <v>21</v>
      </c>
    </row>
    <row r="40" spans="1:11" x14ac:dyDescent="0.45">
      <c r="A40" t="s">
        <v>8</v>
      </c>
      <c r="B40" t="s">
        <v>191</v>
      </c>
      <c r="C40">
        <v>11</v>
      </c>
    </row>
    <row r="41" spans="1:11" x14ac:dyDescent="0.45">
      <c r="A41" t="s">
        <v>67</v>
      </c>
      <c r="B41">
        <v>101</v>
      </c>
      <c r="C41" t="s">
        <v>1</v>
      </c>
    </row>
    <row r="42" spans="1:11" x14ac:dyDescent="0.45">
      <c r="A42" t="s">
        <v>37</v>
      </c>
      <c r="B42">
        <v>108</v>
      </c>
    </row>
    <row r="43" spans="1:11" x14ac:dyDescent="0.45">
      <c r="B43">
        <v>1</v>
      </c>
      <c r="C43">
        <v>2</v>
      </c>
      <c r="D43">
        <v>3</v>
      </c>
      <c r="E43">
        <v>4</v>
      </c>
    </row>
    <row r="44" spans="1:11" x14ac:dyDescent="0.45">
      <c r="A44" t="s">
        <v>69</v>
      </c>
      <c r="B44">
        <v>19</v>
      </c>
      <c r="C44">
        <v>25</v>
      </c>
      <c r="D44">
        <v>31</v>
      </c>
      <c r="E44">
        <v>26</v>
      </c>
    </row>
    <row r="45" spans="1:11" x14ac:dyDescent="0.45">
      <c r="A45" t="s">
        <v>39</v>
      </c>
      <c r="B45">
        <v>32</v>
      </c>
      <c r="C45">
        <v>23</v>
      </c>
      <c r="D45">
        <v>16</v>
      </c>
      <c r="E45">
        <v>37</v>
      </c>
      <c r="G45">
        <f>B44</f>
        <v>19</v>
      </c>
      <c r="H45">
        <f t="shared" ref="H45" si="10">C44</f>
        <v>25</v>
      </c>
      <c r="I45">
        <f t="shared" ref="I45" si="11">D44</f>
        <v>31</v>
      </c>
      <c r="J45">
        <f t="shared" ref="J45" si="12">E44</f>
        <v>26</v>
      </c>
      <c r="K45" t="str">
        <f>IF(F44="","",F44)</f>
        <v/>
      </c>
    </row>
    <row r="47" spans="1:11" x14ac:dyDescent="0.45">
      <c r="A47" t="s">
        <v>5</v>
      </c>
    </row>
    <row r="49" spans="1:11" x14ac:dyDescent="0.45">
      <c r="A49" t="s">
        <v>6</v>
      </c>
      <c r="B49" t="s">
        <v>174</v>
      </c>
      <c r="C49">
        <v>26</v>
      </c>
    </row>
    <row r="50" spans="1:11" x14ac:dyDescent="0.45">
      <c r="A50" t="s">
        <v>8</v>
      </c>
      <c r="B50" t="s">
        <v>40</v>
      </c>
      <c r="C50">
        <v>22</v>
      </c>
    </row>
    <row r="51" spans="1:11" x14ac:dyDescent="0.45">
      <c r="A51" t="s">
        <v>57</v>
      </c>
      <c r="B51">
        <v>103</v>
      </c>
      <c r="C51" t="s">
        <v>1</v>
      </c>
    </row>
    <row r="52" spans="1:11" x14ac:dyDescent="0.45">
      <c r="A52" t="s">
        <v>20</v>
      </c>
      <c r="B52">
        <v>112</v>
      </c>
    </row>
    <row r="53" spans="1:11" x14ac:dyDescent="0.45">
      <c r="B53">
        <v>1</v>
      </c>
      <c r="C53">
        <v>2</v>
      </c>
      <c r="D53">
        <v>3</v>
      </c>
      <c r="E53">
        <v>4</v>
      </c>
    </row>
    <row r="54" spans="1:11" x14ac:dyDescent="0.45">
      <c r="A54" t="s">
        <v>59</v>
      </c>
      <c r="B54">
        <v>28</v>
      </c>
      <c r="C54">
        <v>37</v>
      </c>
      <c r="D54">
        <v>20</v>
      </c>
      <c r="E54">
        <v>18</v>
      </c>
    </row>
    <row r="55" spans="1:11" x14ac:dyDescent="0.45">
      <c r="A55" t="s">
        <v>22</v>
      </c>
      <c r="B55">
        <v>27</v>
      </c>
      <c r="C55">
        <v>34</v>
      </c>
      <c r="D55">
        <v>25</v>
      </c>
      <c r="E55">
        <v>26</v>
      </c>
      <c r="G55">
        <f>B54</f>
        <v>28</v>
      </c>
      <c r="H55">
        <f t="shared" ref="H55" si="13">C54</f>
        <v>37</v>
      </c>
      <c r="I55">
        <f t="shared" ref="I55" si="14">D54</f>
        <v>20</v>
      </c>
      <c r="J55">
        <f t="shared" ref="J55" si="15">E54</f>
        <v>18</v>
      </c>
      <c r="K55" t="str">
        <f>IF(F54="","",F54)</f>
        <v/>
      </c>
    </row>
    <row r="57" spans="1:11" x14ac:dyDescent="0.45">
      <c r="A57" t="s">
        <v>5</v>
      </c>
    </row>
    <row r="59" spans="1:11" x14ac:dyDescent="0.45">
      <c r="A59" t="s">
        <v>6</v>
      </c>
      <c r="B59" t="s">
        <v>24</v>
      </c>
      <c r="C59">
        <v>28</v>
      </c>
    </row>
    <row r="60" spans="1:11" x14ac:dyDescent="0.45">
      <c r="A60" t="s">
        <v>8</v>
      </c>
      <c r="B60" t="s">
        <v>25</v>
      </c>
      <c r="C60">
        <v>14</v>
      </c>
    </row>
    <row r="61" spans="1:11" x14ac:dyDescent="0.45">
      <c r="A61" t="s">
        <v>41</v>
      </c>
      <c r="B61">
        <v>91</v>
      </c>
      <c r="C61" t="s">
        <v>1</v>
      </c>
    </row>
    <row r="62" spans="1:11" x14ac:dyDescent="0.45">
      <c r="A62" t="s">
        <v>2</v>
      </c>
      <c r="B62">
        <v>119</v>
      </c>
    </row>
    <row r="63" spans="1:11" x14ac:dyDescent="0.45">
      <c r="B63">
        <v>1</v>
      </c>
      <c r="C63">
        <v>2</v>
      </c>
      <c r="D63">
        <v>3</v>
      </c>
      <c r="E63">
        <v>4</v>
      </c>
    </row>
    <row r="64" spans="1:11" x14ac:dyDescent="0.45">
      <c r="A64" t="s">
        <v>42</v>
      </c>
      <c r="B64">
        <v>15</v>
      </c>
      <c r="C64">
        <v>28</v>
      </c>
      <c r="D64">
        <v>19</v>
      </c>
      <c r="E64">
        <v>29</v>
      </c>
    </row>
    <row r="65" spans="1:11" x14ac:dyDescent="0.45">
      <c r="A65" t="s">
        <v>4</v>
      </c>
      <c r="B65">
        <v>30</v>
      </c>
      <c r="C65">
        <v>22</v>
      </c>
      <c r="D65">
        <v>35</v>
      </c>
      <c r="E65">
        <v>32</v>
      </c>
      <c r="G65">
        <f>B64</f>
        <v>15</v>
      </c>
      <c r="H65">
        <f t="shared" ref="H65" si="16">C64</f>
        <v>28</v>
      </c>
      <c r="I65">
        <f t="shared" ref="I65" si="17">D64</f>
        <v>19</v>
      </c>
      <c r="J65">
        <f t="shared" ref="J65" si="18">E64</f>
        <v>29</v>
      </c>
      <c r="K65" t="str">
        <f>IF(F64="","",F64)</f>
        <v/>
      </c>
    </row>
    <row r="67" spans="1:11" x14ac:dyDescent="0.45">
      <c r="A67" t="s">
        <v>5</v>
      </c>
    </row>
    <row r="69" spans="1:11" x14ac:dyDescent="0.45">
      <c r="A69" t="s">
        <v>6</v>
      </c>
      <c r="B69" t="s">
        <v>9</v>
      </c>
      <c r="C69">
        <v>27</v>
      </c>
    </row>
    <row r="70" spans="1:11" x14ac:dyDescent="0.45">
      <c r="A70" t="s">
        <v>8</v>
      </c>
      <c r="B70" t="s">
        <v>192</v>
      </c>
      <c r="C70">
        <v>12</v>
      </c>
    </row>
    <row r="71" spans="1:11" x14ac:dyDescent="0.45">
      <c r="A71" t="s">
        <v>73</v>
      </c>
      <c r="B71">
        <v>127</v>
      </c>
      <c r="C71" t="s">
        <v>1</v>
      </c>
    </row>
    <row r="72" spans="1:11" x14ac:dyDescent="0.45">
      <c r="A72" t="s">
        <v>44</v>
      </c>
      <c r="B72">
        <v>139</v>
      </c>
      <c r="C72" t="s">
        <v>85</v>
      </c>
    </row>
    <row r="73" spans="1:11" x14ac:dyDescent="0.45">
      <c r="B73">
        <v>1</v>
      </c>
      <c r="C73">
        <v>2</v>
      </c>
      <c r="D73">
        <v>3</v>
      </c>
      <c r="E73">
        <v>4</v>
      </c>
      <c r="F73" t="s">
        <v>85</v>
      </c>
    </row>
    <row r="74" spans="1:11" x14ac:dyDescent="0.45">
      <c r="A74" t="s">
        <v>74</v>
      </c>
      <c r="B74">
        <v>27</v>
      </c>
      <c r="C74">
        <v>31</v>
      </c>
      <c r="D74">
        <v>39</v>
      </c>
      <c r="E74">
        <v>25</v>
      </c>
      <c r="F74">
        <v>5</v>
      </c>
    </row>
    <row r="75" spans="1:11" x14ac:dyDescent="0.45">
      <c r="A75" t="s">
        <v>46</v>
      </c>
      <c r="B75">
        <v>30</v>
      </c>
      <c r="C75">
        <v>23</v>
      </c>
      <c r="D75">
        <v>41</v>
      </c>
      <c r="E75">
        <v>28</v>
      </c>
      <c r="F75">
        <v>17</v>
      </c>
      <c r="G75">
        <f>B74</f>
        <v>27</v>
      </c>
      <c r="H75">
        <f t="shared" ref="H75" si="19">C74</f>
        <v>31</v>
      </c>
      <c r="I75">
        <f t="shared" ref="I75" si="20">D74</f>
        <v>39</v>
      </c>
      <c r="J75">
        <f t="shared" ref="J75" si="21">E74</f>
        <v>25</v>
      </c>
      <c r="K75">
        <f>IF(F74="","",F74)</f>
        <v>5</v>
      </c>
    </row>
    <row r="77" spans="1:11" x14ac:dyDescent="0.45">
      <c r="A77" t="s">
        <v>5</v>
      </c>
    </row>
    <row r="79" spans="1:11" x14ac:dyDescent="0.45">
      <c r="A79" t="s">
        <v>6</v>
      </c>
      <c r="B79" t="s">
        <v>193</v>
      </c>
      <c r="C79">
        <v>32</v>
      </c>
    </row>
    <row r="80" spans="1:11" x14ac:dyDescent="0.45">
      <c r="A80" t="s">
        <v>8</v>
      </c>
      <c r="B80" t="s">
        <v>194</v>
      </c>
      <c r="C80">
        <v>11</v>
      </c>
    </row>
    <row r="81" spans="1:11" x14ac:dyDescent="0.45">
      <c r="A81" t="s">
        <v>43</v>
      </c>
      <c r="B81">
        <v>136</v>
      </c>
      <c r="C81" t="s">
        <v>1</v>
      </c>
    </row>
    <row r="82" spans="1:11" x14ac:dyDescent="0.45">
      <c r="A82" t="s">
        <v>0</v>
      </c>
      <c r="B82">
        <v>113</v>
      </c>
    </row>
    <row r="83" spans="1:11" x14ac:dyDescent="0.45">
      <c r="B83">
        <v>1</v>
      </c>
      <c r="C83">
        <v>2</v>
      </c>
      <c r="D83">
        <v>3</v>
      </c>
      <c r="E83">
        <v>4</v>
      </c>
    </row>
    <row r="84" spans="1:11" x14ac:dyDescent="0.45">
      <c r="A84" t="s">
        <v>45</v>
      </c>
      <c r="B84">
        <v>39</v>
      </c>
      <c r="C84">
        <v>38</v>
      </c>
      <c r="D84">
        <v>33</v>
      </c>
      <c r="E84">
        <v>26</v>
      </c>
    </row>
    <row r="85" spans="1:11" x14ac:dyDescent="0.45">
      <c r="A85" t="s">
        <v>3</v>
      </c>
      <c r="B85">
        <v>34</v>
      </c>
      <c r="C85">
        <v>28</v>
      </c>
      <c r="D85">
        <v>31</v>
      </c>
      <c r="E85">
        <v>20</v>
      </c>
      <c r="G85">
        <f>B84</f>
        <v>39</v>
      </c>
      <c r="H85">
        <f t="shared" ref="H85" si="22">C84</f>
        <v>38</v>
      </c>
      <c r="I85">
        <f t="shared" ref="I85" si="23">D84</f>
        <v>33</v>
      </c>
      <c r="J85">
        <f t="shared" ref="J85" si="24">E84</f>
        <v>26</v>
      </c>
      <c r="K85" t="str">
        <f>IF(F84="","",F84)</f>
        <v/>
      </c>
    </row>
    <row r="87" spans="1:11" x14ac:dyDescent="0.45">
      <c r="A87" t="s">
        <v>5</v>
      </c>
    </row>
    <row r="89" spans="1:11" x14ac:dyDescent="0.45">
      <c r="A89" t="s">
        <v>6</v>
      </c>
      <c r="B89" t="s">
        <v>47</v>
      </c>
      <c r="C89">
        <v>39</v>
      </c>
    </row>
    <row r="90" spans="1:11" x14ac:dyDescent="0.45">
      <c r="A90" t="s">
        <v>8</v>
      </c>
      <c r="B90" t="s">
        <v>34</v>
      </c>
      <c r="C90">
        <v>10</v>
      </c>
    </row>
    <row r="91" spans="1:11" x14ac:dyDescent="0.45">
      <c r="A91" t="s">
        <v>14</v>
      </c>
      <c r="B91">
        <v>104</v>
      </c>
      <c r="C91" t="s">
        <v>1</v>
      </c>
    </row>
    <row r="92" spans="1:11" x14ac:dyDescent="0.45">
      <c r="A92" t="s">
        <v>48</v>
      </c>
      <c r="B92">
        <v>105</v>
      </c>
      <c r="C92" t="s">
        <v>85</v>
      </c>
    </row>
    <row r="93" spans="1:11" x14ac:dyDescent="0.45">
      <c r="B93">
        <v>1</v>
      </c>
      <c r="C93">
        <v>2</v>
      </c>
      <c r="D93">
        <v>3</v>
      </c>
      <c r="E93">
        <v>4</v>
      </c>
      <c r="F93" t="s">
        <v>85</v>
      </c>
    </row>
    <row r="94" spans="1:11" x14ac:dyDescent="0.45">
      <c r="A94" t="s">
        <v>16</v>
      </c>
      <c r="B94">
        <v>17</v>
      </c>
      <c r="C94">
        <v>25</v>
      </c>
      <c r="D94">
        <v>30</v>
      </c>
      <c r="E94">
        <v>28</v>
      </c>
      <c r="F94">
        <v>4</v>
      </c>
    </row>
    <row r="95" spans="1:11" x14ac:dyDescent="0.45">
      <c r="A95" t="s">
        <v>49</v>
      </c>
      <c r="B95">
        <v>21</v>
      </c>
      <c r="C95">
        <v>31</v>
      </c>
      <c r="D95">
        <v>17</v>
      </c>
      <c r="E95">
        <v>31</v>
      </c>
      <c r="F95">
        <v>5</v>
      </c>
      <c r="G95">
        <f>B94</f>
        <v>17</v>
      </c>
      <c r="H95">
        <f t="shared" ref="H95" si="25">C94</f>
        <v>25</v>
      </c>
      <c r="I95">
        <f t="shared" ref="I95" si="26">D94</f>
        <v>30</v>
      </c>
      <c r="J95">
        <f t="shared" ref="J95" si="27">E94</f>
        <v>28</v>
      </c>
      <c r="K95">
        <f>IF(F94="","",F94)</f>
        <v>4</v>
      </c>
    </row>
    <row r="97" spans="1:11" x14ac:dyDescent="0.45">
      <c r="A97" t="s">
        <v>5</v>
      </c>
    </row>
    <row r="99" spans="1:11" x14ac:dyDescent="0.45">
      <c r="A99" t="s">
        <v>6</v>
      </c>
      <c r="B99" t="s">
        <v>79</v>
      </c>
      <c r="C99">
        <v>23</v>
      </c>
    </row>
    <row r="100" spans="1:11" x14ac:dyDescent="0.45">
      <c r="A100" t="s">
        <v>8</v>
      </c>
      <c r="B100" t="s">
        <v>195</v>
      </c>
      <c r="C100">
        <v>14</v>
      </c>
    </row>
    <row r="105" spans="1:11" x14ac:dyDescent="0.45">
      <c r="G105">
        <f>B104</f>
        <v>0</v>
      </c>
      <c r="H105">
        <f t="shared" ref="H105" si="28">C104</f>
        <v>0</v>
      </c>
      <c r="I105">
        <f t="shared" ref="I105" si="29">D104</f>
        <v>0</v>
      </c>
      <c r="J105">
        <f t="shared" ref="J105" si="30">E104</f>
        <v>0</v>
      </c>
      <c r="K105" t="str">
        <f>IF(F104="","",F104)</f>
        <v/>
      </c>
    </row>
    <row r="115" spans="7:11" x14ac:dyDescent="0.45">
      <c r="G115">
        <f>B114</f>
        <v>0</v>
      </c>
      <c r="H115">
        <f t="shared" ref="H115" si="31">C114</f>
        <v>0</v>
      </c>
      <c r="I115">
        <f t="shared" ref="I115" si="32">D114</f>
        <v>0</v>
      </c>
      <c r="J115">
        <f t="shared" ref="J115" si="33">E114</f>
        <v>0</v>
      </c>
      <c r="K115" t="str">
        <f>IF(F114="","",F114)</f>
        <v/>
      </c>
    </row>
    <row r="125" spans="7:11" x14ac:dyDescent="0.45">
      <c r="G125">
        <f>B124</f>
        <v>0</v>
      </c>
      <c r="H125">
        <f t="shared" ref="H125" si="34">C124</f>
        <v>0</v>
      </c>
      <c r="I125">
        <f t="shared" ref="I125" si="35">D124</f>
        <v>0</v>
      </c>
      <c r="J125">
        <f t="shared" ref="J125" si="36">E124</f>
        <v>0</v>
      </c>
      <c r="K125" t="str">
        <f>IF(F124="","",F124)</f>
        <v/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32641-2CA5-4C2D-804F-1E6050B94454}">
  <dimension ref="A1:F100"/>
  <sheetViews>
    <sheetView workbookViewId="0">
      <selection sqref="A1:F100"/>
    </sheetView>
  </sheetViews>
  <sheetFormatPr defaultRowHeight="17" x14ac:dyDescent="0.45"/>
  <sheetData>
    <row r="1" spans="1:5" x14ac:dyDescent="0.45">
      <c r="A1" t="s">
        <v>31</v>
      </c>
      <c r="B1">
        <v>95</v>
      </c>
      <c r="C1" t="s">
        <v>1</v>
      </c>
    </row>
    <row r="2" spans="1:5" x14ac:dyDescent="0.45">
      <c r="A2" t="s">
        <v>30</v>
      </c>
      <c r="B2">
        <v>108</v>
      </c>
    </row>
    <row r="3" spans="1:5" x14ac:dyDescent="0.45">
      <c r="B3">
        <v>1</v>
      </c>
      <c r="C3">
        <v>2</v>
      </c>
      <c r="D3">
        <v>3</v>
      </c>
      <c r="E3">
        <v>4</v>
      </c>
    </row>
    <row r="4" spans="1:5" x14ac:dyDescent="0.45">
      <c r="A4" t="s">
        <v>33</v>
      </c>
      <c r="B4">
        <v>26</v>
      </c>
      <c r="C4">
        <v>19</v>
      </c>
      <c r="D4">
        <v>19</v>
      </c>
      <c r="E4">
        <v>31</v>
      </c>
    </row>
    <row r="5" spans="1:5" x14ac:dyDescent="0.45">
      <c r="A5" t="s">
        <v>32</v>
      </c>
      <c r="B5">
        <v>33</v>
      </c>
      <c r="C5">
        <v>20</v>
      </c>
      <c r="D5">
        <v>32</v>
      </c>
      <c r="E5">
        <v>23</v>
      </c>
    </row>
    <row r="7" spans="1:5" x14ac:dyDescent="0.45">
      <c r="A7" t="s">
        <v>5</v>
      </c>
    </row>
    <row r="9" spans="1:5" x14ac:dyDescent="0.45">
      <c r="A9" t="s">
        <v>6</v>
      </c>
      <c r="B9" t="s">
        <v>35</v>
      </c>
      <c r="C9">
        <v>30</v>
      </c>
    </row>
    <row r="10" spans="1:5" x14ac:dyDescent="0.45">
      <c r="A10" t="s">
        <v>8</v>
      </c>
      <c r="B10" t="s">
        <v>35</v>
      </c>
      <c r="C10">
        <v>10</v>
      </c>
    </row>
    <row r="11" spans="1:5" x14ac:dyDescent="0.45">
      <c r="A11" t="s">
        <v>50</v>
      </c>
      <c r="B11">
        <v>100</v>
      </c>
      <c r="C11" t="s">
        <v>1</v>
      </c>
    </row>
    <row r="12" spans="1:5" x14ac:dyDescent="0.45">
      <c r="A12" t="s">
        <v>21</v>
      </c>
      <c r="B12">
        <v>98</v>
      </c>
    </row>
    <row r="13" spans="1:5" x14ac:dyDescent="0.45">
      <c r="B13">
        <v>1</v>
      </c>
      <c r="C13">
        <v>2</v>
      </c>
      <c r="D13">
        <v>3</v>
      </c>
      <c r="E13">
        <v>4</v>
      </c>
    </row>
    <row r="14" spans="1:5" x14ac:dyDescent="0.45">
      <c r="A14" t="s">
        <v>52</v>
      </c>
      <c r="B14">
        <v>23</v>
      </c>
      <c r="C14">
        <v>27</v>
      </c>
      <c r="D14">
        <v>27</v>
      </c>
      <c r="E14">
        <v>23</v>
      </c>
    </row>
    <row r="15" spans="1:5" x14ac:dyDescent="0.45">
      <c r="A15" t="s">
        <v>23</v>
      </c>
      <c r="B15">
        <v>28</v>
      </c>
      <c r="C15">
        <v>23</v>
      </c>
      <c r="D15">
        <v>32</v>
      </c>
      <c r="E15">
        <v>15</v>
      </c>
    </row>
    <row r="17" spans="1:5" x14ac:dyDescent="0.45">
      <c r="A17" t="s">
        <v>5</v>
      </c>
    </row>
    <row r="19" spans="1:5" x14ac:dyDescent="0.45">
      <c r="A19" t="s">
        <v>6</v>
      </c>
      <c r="B19" t="s">
        <v>64</v>
      </c>
      <c r="C19">
        <v>22</v>
      </c>
    </row>
    <row r="20" spans="1:5" x14ac:dyDescent="0.45">
      <c r="A20" t="s">
        <v>8</v>
      </c>
      <c r="B20" t="s">
        <v>189</v>
      </c>
      <c r="C20">
        <v>12</v>
      </c>
    </row>
    <row r="21" spans="1:5" x14ac:dyDescent="0.45">
      <c r="A21" t="s">
        <v>15</v>
      </c>
      <c r="B21">
        <v>111</v>
      </c>
      <c r="C21" t="s">
        <v>1</v>
      </c>
    </row>
    <row r="22" spans="1:5" x14ac:dyDescent="0.45">
      <c r="A22" t="s">
        <v>56</v>
      </c>
      <c r="B22">
        <v>104</v>
      </c>
    </row>
    <row r="23" spans="1:5" x14ac:dyDescent="0.45">
      <c r="B23">
        <v>1</v>
      </c>
      <c r="C23">
        <v>2</v>
      </c>
      <c r="D23">
        <v>3</v>
      </c>
      <c r="E23">
        <v>4</v>
      </c>
    </row>
    <row r="24" spans="1:5" x14ac:dyDescent="0.45">
      <c r="A24" t="s">
        <v>17</v>
      </c>
      <c r="B24">
        <v>29</v>
      </c>
      <c r="C24">
        <v>26</v>
      </c>
      <c r="D24">
        <v>31</v>
      </c>
      <c r="E24">
        <v>25</v>
      </c>
    </row>
    <row r="25" spans="1:5" x14ac:dyDescent="0.45">
      <c r="A25" t="s">
        <v>58</v>
      </c>
      <c r="B25">
        <v>32</v>
      </c>
      <c r="C25">
        <v>25</v>
      </c>
      <c r="D25">
        <v>27</v>
      </c>
      <c r="E25">
        <v>20</v>
      </c>
    </row>
    <row r="27" spans="1:5" x14ac:dyDescent="0.45">
      <c r="A27" t="s">
        <v>5</v>
      </c>
    </row>
    <row r="29" spans="1:5" x14ac:dyDescent="0.45">
      <c r="A29" t="s">
        <v>6</v>
      </c>
      <c r="B29" t="s">
        <v>172</v>
      </c>
      <c r="C29">
        <v>29</v>
      </c>
    </row>
    <row r="30" spans="1:5" x14ac:dyDescent="0.45">
      <c r="A30" t="s">
        <v>8</v>
      </c>
      <c r="B30" t="s">
        <v>19</v>
      </c>
      <c r="C30">
        <v>13</v>
      </c>
    </row>
    <row r="31" spans="1:5" x14ac:dyDescent="0.45">
      <c r="A31" t="s">
        <v>66</v>
      </c>
      <c r="B31">
        <v>93</v>
      </c>
      <c r="C31" t="s">
        <v>1</v>
      </c>
    </row>
    <row r="32" spans="1:5" x14ac:dyDescent="0.45">
      <c r="A32" t="s">
        <v>26</v>
      </c>
      <c r="B32">
        <v>87</v>
      </c>
    </row>
    <row r="33" spans="1:5" x14ac:dyDescent="0.45">
      <c r="B33">
        <v>1</v>
      </c>
      <c r="C33">
        <v>2</v>
      </c>
      <c r="D33">
        <v>3</v>
      </c>
      <c r="E33">
        <v>4</v>
      </c>
    </row>
    <row r="34" spans="1:5" x14ac:dyDescent="0.45">
      <c r="A34" t="s">
        <v>68</v>
      </c>
      <c r="B34">
        <v>24</v>
      </c>
      <c r="C34">
        <v>28</v>
      </c>
      <c r="D34">
        <v>16</v>
      </c>
      <c r="E34">
        <v>25</v>
      </c>
    </row>
    <row r="35" spans="1:5" x14ac:dyDescent="0.45">
      <c r="A35" t="s">
        <v>28</v>
      </c>
      <c r="B35">
        <v>25</v>
      </c>
      <c r="C35">
        <v>22</v>
      </c>
      <c r="D35">
        <v>23</v>
      </c>
      <c r="E35">
        <v>17</v>
      </c>
    </row>
    <row r="37" spans="1:5" x14ac:dyDescent="0.45">
      <c r="A37" t="s">
        <v>5</v>
      </c>
    </row>
    <row r="39" spans="1:5" x14ac:dyDescent="0.45">
      <c r="A39" t="s">
        <v>6</v>
      </c>
      <c r="B39" t="s">
        <v>190</v>
      </c>
      <c r="C39">
        <v>21</v>
      </c>
    </row>
    <row r="40" spans="1:5" x14ac:dyDescent="0.45">
      <c r="A40" t="s">
        <v>8</v>
      </c>
      <c r="B40" t="s">
        <v>191</v>
      </c>
      <c r="C40">
        <v>11</v>
      </c>
    </row>
    <row r="41" spans="1:5" x14ac:dyDescent="0.45">
      <c r="A41" t="s">
        <v>67</v>
      </c>
      <c r="B41">
        <v>101</v>
      </c>
      <c r="C41" t="s">
        <v>1</v>
      </c>
    </row>
    <row r="42" spans="1:5" x14ac:dyDescent="0.45">
      <c r="A42" t="s">
        <v>37</v>
      </c>
      <c r="B42">
        <v>108</v>
      </c>
    </row>
    <row r="43" spans="1:5" x14ac:dyDescent="0.45">
      <c r="B43">
        <v>1</v>
      </c>
      <c r="C43">
        <v>2</v>
      </c>
      <c r="D43">
        <v>3</v>
      </c>
      <c r="E43">
        <v>4</v>
      </c>
    </row>
    <row r="44" spans="1:5" x14ac:dyDescent="0.45">
      <c r="A44" t="s">
        <v>69</v>
      </c>
      <c r="B44">
        <v>19</v>
      </c>
      <c r="C44">
        <v>25</v>
      </c>
      <c r="D44">
        <v>31</v>
      </c>
      <c r="E44">
        <v>26</v>
      </c>
    </row>
    <row r="45" spans="1:5" x14ac:dyDescent="0.45">
      <c r="A45" t="s">
        <v>39</v>
      </c>
      <c r="B45">
        <v>32</v>
      </c>
      <c r="C45">
        <v>23</v>
      </c>
      <c r="D45">
        <v>16</v>
      </c>
      <c r="E45">
        <v>37</v>
      </c>
    </row>
    <row r="47" spans="1:5" x14ac:dyDescent="0.45">
      <c r="A47" t="s">
        <v>5</v>
      </c>
    </row>
    <row r="49" spans="1:5" x14ac:dyDescent="0.45">
      <c r="A49" t="s">
        <v>6</v>
      </c>
      <c r="B49" t="s">
        <v>174</v>
      </c>
      <c r="C49">
        <v>26</v>
      </c>
    </row>
    <row r="50" spans="1:5" x14ac:dyDescent="0.45">
      <c r="A50" t="s">
        <v>8</v>
      </c>
      <c r="B50" t="s">
        <v>40</v>
      </c>
      <c r="C50">
        <v>22</v>
      </c>
    </row>
    <row r="51" spans="1:5" x14ac:dyDescent="0.45">
      <c r="A51" t="s">
        <v>57</v>
      </c>
      <c r="B51">
        <v>103</v>
      </c>
      <c r="C51" t="s">
        <v>1</v>
      </c>
    </row>
    <row r="52" spans="1:5" x14ac:dyDescent="0.45">
      <c r="A52" t="s">
        <v>20</v>
      </c>
      <c r="B52">
        <v>112</v>
      </c>
    </row>
    <row r="53" spans="1:5" x14ac:dyDescent="0.45">
      <c r="B53">
        <v>1</v>
      </c>
      <c r="C53">
        <v>2</v>
      </c>
      <c r="D53">
        <v>3</v>
      </c>
      <c r="E53">
        <v>4</v>
      </c>
    </row>
    <row r="54" spans="1:5" x14ac:dyDescent="0.45">
      <c r="A54" t="s">
        <v>59</v>
      </c>
      <c r="B54">
        <v>28</v>
      </c>
      <c r="C54">
        <v>37</v>
      </c>
      <c r="D54">
        <v>20</v>
      </c>
      <c r="E54">
        <v>18</v>
      </c>
    </row>
    <row r="55" spans="1:5" x14ac:dyDescent="0.45">
      <c r="A55" t="s">
        <v>22</v>
      </c>
      <c r="B55">
        <v>27</v>
      </c>
      <c r="C55">
        <v>34</v>
      </c>
      <c r="D55">
        <v>25</v>
      </c>
      <c r="E55">
        <v>26</v>
      </c>
    </row>
    <row r="57" spans="1:5" x14ac:dyDescent="0.45">
      <c r="A57" t="s">
        <v>5</v>
      </c>
    </row>
    <row r="59" spans="1:5" x14ac:dyDescent="0.45">
      <c r="A59" t="s">
        <v>6</v>
      </c>
      <c r="B59" t="s">
        <v>24</v>
      </c>
      <c r="C59">
        <v>28</v>
      </c>
    </row>
    <row r="60" spans="1:5" x14ac:dyDescent="0.45">
      <c r="A60" t="s">
        <v>8</v>
      </c>
      <c r="B60" t="s">
        <v>25</v>
      </c>
      <c r="C60">
        <v>14</v>
      </c>
    </row>
    <row r="61" spans="1:5" x14ac:dyDescent="0.45">
      <c r="A61" t="s">
        <v>41</v>
      </c>
      <c r="B61">
        <v>91</v>
      </c>
      <c r="C61" t="s">
        <v>1</v>
      </c>
    </row>
    <row r="62" spans="1:5" x14ac:dyDescent="0.45">
      <c r="A62" t="s">
        <v>2</v>
      </c>
      <c r="B62">
        <v>119</v>
      </c>
    </row>
    <row r="63" spans="1:5" x14ac:dyDescent="0.45">
      <c r="B63">
        <v>1</v>
      </c>
      <c r="C63">
        <v>2</v>
      </c>
      <c r="D63">
        <v>3</v>
      </c>
      <c r="E63">
        <v>4</v>
      </c>
    </row>
    <row r="64" spans="1:5" x14ac:dyDescent="0.45">
      <c r="A64" t="s">
        <v>42</v>
      </c>
      <c r="B64">
        <v>15</v>
      </c>
      <c r="C64">
        <v>28</v>
      </c>
      <c r="D64">
        <v>19</v>
      </c>
      <c r="E64">
        <v>29</v>
      </c>
    </row>
    <row r="65" spans="1:6" x14ac:dyDescent="0.45">
      <c r="A65" t="s">
        <v>4</v>
      </c>
      <c r="B65">
        <v>30</v>
      </c>
      <c r="C65">
        <v>22</v>
      </c>
      <c r="D65">
        <v>35</v>
      </c>
      <c r="E65">
        <v>32</v>
      </c>
    </row>
    <row r="67" spans="1:6" x14ac:dyDescent="0.45">
      <c r="A67" t="s">
        <v>5</v>
      </c>
    </row>
    <row r="69" spans="1:6" x14ac:dyDescent="0.45">
      <c r="A69" t="s">
        <v>6</v>
      </c>
      <c r="B69" t="s">
        <v>9</v>
      </c>
      <c r="C69">
        <v>27</v>
      </c>
    </row>
    <row r="70" spans="1:6" x14ac:dyDescent="0.45">
      <c r="A70" t="s">
        <v>8</v>
      </c>
      <c r="B70" t="s">
        <v>192</v>
      </c>
      <c r="C70">
        <v>12</v>
      </c>
    </row>
    <row r="71" spans="1:6" x14ac:dyDescent="0.45">
      <c r="A71" t="s">
        <v>73</v>
      </c>
      <c r="B71">
        <v>127</v>
      </c>
      <c r="C71" t="s">
        <v>1</v>
      </c>
    </row>
    <row r="72" spans="1:6" x14ac:dyDescent="0.45">
      <c r="A72" t="s">
        <v>44</v>
      </c>
      <c r="B72">
        <v>139</v>
      </c>
      <c r="C72" t="s">
        <v>85</v>
      </c>
    </row>
    <row r="73" spans="1:6" x14ac:dyDescent="0.45">
      <c r="B73">
        <v>1</v>
      </c>
      <c r="C73">
        <v>2</v>
      </c>
      <c r="D73">
        <v>3</v>
      </c>
      <c r="E73">
        <v>4</v>
      </c>
      <c r="F73" t="s">
        <v>85</v>
      </c>
    </row>
    <row r="74" spans="1:6" x14ac:dyDescent="0.45">
      <c r="A74" t="s">
        <v>74</v>
      </c>
      <c r="B74">
        <v>27</v>
      </c>
      <c r="C74">
        <v>31</v>
      </c>
      <c r="D74">
        <v>39</v>
      </c>
      <c r="E74">
        <v>25</v>
      </c>
      <c r="F74">
        <v>5</v>
      </c>
    </row>
    <row r="75" spans="1:6" x14ac:dyDescent="0.45">
      <c r="A75" t="s">
        <v>46</v>
      </c>
      <c r="B75">
        <v>30</v>
      </c>
      <c r="C75">
        <v>23</v>
      </c>
      <c r="D75">
        <v>41</v>
      </c>
      <c r="E75">
        <v>28</v>
      </c>
      <c r="F75">
        <v>17</v>
      </c>
    </row>
    <row r="77" spans="1:6" x14ac:dyDescent="0.45">
      <c r="A77" t="s">
        <v>5</v>
      </c>
    </row>
    <row r="79" spans="1:6" x14ac:dyDescent="0.45">
      <c r="A79" t="s">
        <v>6</v>
      </c>
      <c r="B79" t="s">
        <v>193</v>
      </c>
      <c r="C79">
        <v>32</v>
      </c>
    </row>
    <row r="80" spans="1:6" x14ac:dyDescent="0.45">
      <c r="A80" t="s">
        <v>8</v>
      </c>
      <c r="B80" t="s">
        <v>194</v>
      </c>
      <c r="C80">
        <v>11</v>
      </c>
    </row>
    <row r="81" spans="1:6" x14ac:dyDescent="0.45">
      <c r="A81" t="s">
        <v>43</v>
      </c>
      <c r="B81">
        <v>136</v>
      </c>
      <c r="C81" t="s">
        <v>1</v>
      </c>
    </row>
    <row r="82" spans="1:6" x14ac:dyDescent="0.45">
      <c r="A82" t="s">
        <v>0</v>
      </c>
      <c r="B82">
        <v>113</v>
      </c>
    </row>
    <row r="83" spans="1:6" x14ac:dyDescent="0.45">
      <c r="B83">
        <v>1</v>
      </c>
      <c r="C83">
        <v>2</v>
      </c>
      <c r="D83">
        <v>3</v>
      </c>
      <c r="E83">
        <v>4</v>
      </c>
    </row>
    <row r="84" spans="1:6" x14ac:dyDescent="0.45">
      <c r="A84" t="s">
        <v>45</v>
      </c>
      <c r="B84">
        <v>39</v>
      </c>
      <c r="C84">
        <v>38</v>
      </c>
      <c r="D84">
        <v>33</v>
      </c>
      <c r="E84">
        <v>26</v>
      </c>
    </row>
    <row r="85" spans="1:6" x14ac:dyDescent="0.45">
      <c r="A85" t="s">
        <v>3</v>
      </c>
      <c r="B85">
        <v>34</v>
      </c>
      <c r="C85">
        <v>28</v>
      </c>
      <c r="D85">
        <v>31</v>
      </c>
      <c r="E85">
        <v>20</v>
      </c>
    </row>
    <row r="87" spans="1:6" x14ac:dyDescent="0.45">
      <c r="A87" t="s">
        <v>5</v>
      </c>
    </row>
    <row r="89" spans="1:6" x14ac:dyDescent="0.45">
      <c r="A89" t="s">
        <v>6</v>
      </c>
      <c r="B89" t="s">
        <v>47</v>
      </c>
      <c r="C89">
        <v>39</v>
      </c>
    </row>
    <row r="90" spans="1:6" x14ac:dyDescent="0.45">
      <c r="A90" t="s">
        <v>8</v>
      </c>
      <c r="B90" t="s">
        <v>34</v>
      </c>
      <c r="C90">
        <v>10</v>
      </c>
    </row>
    <row r="91" spans="1:6" x14ac:dyDescent="0.45">
      <c r="A91" t="s">
        <v>14</v>
      </c>
      <c r="B91">
        <v>104</v>
      </c>
      <c r="C91" t="s">
        <v>1</v>
      </c>
    </row>
    <row r="92" spans="1:6" x14ac:dyDescent="0.45">
      <c r="A92" t="s">
        <v>48</v>
      </c>
      <c r="B92">
        <v>105</v>
      </c>
      <c r="C92" t="s">
        <v>85</v>
      </c>
    </row>
    <row r="93" spans="1:6" x14ac:dyDescent="0.45">
      <c r="B93">
        <v>1</v>
      </c>
      <c r="C93">
        <v>2</v>
      </c>
      <c r="D93">
        <v>3</v>
      </c>
      <c r="E93">
        <v>4</v>
      </c>
      <c r="F93" t="s">
        <v>85</v>
      </c>
    </row>
    <row r="94" spans="1:6" x14ac:dyDescent="0.45">
      <c r="A94" t="s">
        <v>16</v>
      </c>
      <c r="B94">
        <v>17</v>
      </c>
      <c r="C94">
        <v>25</v>
      </c>
      <c r="D94">
        <v>30</v>
      </c>
      <c r="E94">
        <v>28</v>
      </c>
      <c r="F94">
        <v>4</v>
      </c>
    </row>
    <row r="95" spans="1:6" x14ac:dyDescent="0.45">
      <c r="A95" t="s">
        <v>49</v>
      </c>
      <c r="B95">
        <v>21</v>
      </c>
      <c r="C95">
        <v>31</v>
      </c>
      <c r="D95">
        <v>17</v>
      </c>
      <c r="E95">
        <v>31</v>
      </c>
      <c r="F95">
        <v>5</v>
      </c>
    </row>
    <row r="97" spans="1:3" x14ac:dyDescent="0.45">
      <c r="A97" t="s">
        <v>5</v>
      </c>
    </row>
    <row r="99" spans="1:3" x14ac:dyDescent="0.45">
      <c r="A99" t="s">
        <v>6</v>
      </c>
      <c r="B99" t="s">
        <v>79</v>
      </c>
      <c r="C99">
        <v>23</v>
      </c>
    </row>
    <row r="100" spans="1:3" x14ac:dyDescent="0.45">
      <c r="A100" t="s">
        <v>8</v>
      </c>
      <c r="B100" t="s">
        <v>195</v>
      </c>
      <c r="C100">
        <v>14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E9430-1AD9-4177-84F5-847C91E3056E}">
  <dimension ref="A1:K115"/>
  <sheetViews>
    <sheetView topLeftCell="A109" zoomScaleNormal="100" workbookViewId="0">
      <selection activeCell="B115" sqref="B115:K115"/>
    </sheetView>
  </sheetViews>
  <sheetFormatPr defaultRowHeight="17" x14ac:dyDescent="0.45"/>
  <sheetData>
    <row r="1" spans="1:10" x14ac:dyDescent="0.45">
      <c r="A1" t="s">
        <v>20</v>
      </c>
      <c r="B1">
        <v>109</v>
      </c>
      <c r="C1" t="s">
        <v>1</v>
      </c>
    </row>
    <row r="2" spans="1:10" x14ac:dyDescent="0.45">
      <c r="A2" t="s">
        <v>15</v>
      </c>
      <c r="B2">
        <v>106</v>
      </c>
    </row>
    <row r="3" spans="1:10" x14ac:dyDescent="0.45">
      <c r="B3">
        <v>1</v>
      </c>
      <c r="C3">
        <v>2</v>
      </c>
      <c r="D3">
        <v>3</v>
      </c>
      <c r="E3">
        <v>4</v>
      </c>
    </row>
    <row r="4" spans="1:10" x14ac:dyDescent="0.45">
      <c r="A4" t="s">
        <v>22</v>
      </c>
      <c r="B4">
        <v>32</v>
      </c>
      <c r="C4">
        <v>26</v>
      </c>
      <c r="D4">
        <v>25</v>
      </c>
      <c r="E4">
        <v>26</v>
      </c>
    </row>
    <row r="5" spans="1:10" x14ac:dyDescent="0.45">
      <c r="A5" t="s">
        <v>17</v>
      </c>
      <c r="B5">
        <v>30</v>
      </c>
      <c r="C5">
        <v>35</v>
      </c>
      <c r="D5">
        <v>16</v>
      </c>
      <c r="E5">
        <v>25</v>
      </c>
      <c r="G5">
        <v>32</v>
      </c>
      <c r="H5">
        <v>26</v>
      </c>
      <c r="I5">
        <v>25</v>
      </c>
      <c r="J5">
        <v>26</v>
      </c>
    </row>
    <row r="7" spans="1:10" x14ac:dyDescent="0.45">
      <c r="A7" t="s">
        <v>5</v>
      </c>
    </row>
    <row r="9" spans="1:10" x14ac:dyDescent="0.45">
      <c r="A9" t="s">
        <v>6</v>
      </c>
      <c r="B9" t="s">
        <v>18</v>
      </c>
      <c r="C9">
        <v>29</v>
      </c>
    </row>
    <row r="10" spans="1:10" x14ac:dyDescent="0.45">
      <c r="A10" t="s">
        <v>8</v>
      </c>
      <c r="B10" t="s">
        <v>25</v>
      </c>
      <c r="C10">
        <v>16</v>
      </c>
    </row>
    <row r="11" spans="1:10" x14ac:dyDescent="0.45">
      <c r="A11" t="s">
        <v>48</v>
      </c>
      <c r="B11">
        <v>98</v>
      </c>
      <c r="C11" t="s">
        <v>1</v>
      </c>
    </row>
    <row r="12" spans="1:10" x14ac:dyDescent="0.45">
      <c r="A12" t="s">
        <v>37</v>
      </c>
      <c r="B12">
        <v>132</v>
      </c>
    </row>
    <row r="13" spans="1:10" x14ac:dyDescent="0.45">
      <c r="B13">
        <v>1</v>
      </c>
      <c r="C13">
        <v>2</v>
      </c>
      <c r="D13">
        <v>3</v>
      </c>
      <c r="E13">
        <v>4</v>
      </c>
    </row>
    <row r="14" spans="1:10" x14ac:dyDescent="0.45">
      <c r="A14" t="s">
        <v>49</v>
      </c>
      <c r="B14">
        <v>27</v>
      </c>
      <c r="C14">
        <v>24</v>
      </c>
      <c r="D14">
        <v>20</v>
      </c>
      <c r="E14">
        <v>27</v>
      </c>
    </row>
    <row r="15" spans="1:10" x14ac:dyDescent="0.45">
      <c r="A15" t="s">
        <v>39</v>
      </c>
      <c r="B15">
        <v>32</v>
      </c>
      <c r="C15">
        <v>27</v>
      </c>
      <c r="D15">
        <v>37</v>
      </c>
      <c r="E15">
        <v>36</v>
      </c>
      <c r="G15">
        <v>27</v>
      </c>
      <c r="H15">
        <v>24</v>
      </c>
      <c r="I15">
        <v>20</v>
      </c>
      <c r="J15">
        <v>27</v>
      </c>
    </row>
    <row r="17" spans="1:10" x14ac:dyDescent="0.45">
      <c r="A17" t="s">
        <v>5</v>
      </c>
    </row>
    <row r="19" spans="1:10" x14ac:dyDescent="0.45">
      <c r="A19" t="s">
        <v>6</v>
      </c>
      <c r="B19" t="s">
        <v>86</v>
      </c>
      <c r="C19">
        <v>28</v>
      </c>
    </row>
    <row r="20" spans="1:10" x14ac:dyDescent="0.45">
      <c r="A20" t="s">
        <v>8</v>
      </c>
      <c r="B20" t="s">
        <v>40</v>
      </c>
      <c r="C20">
        <v>16</v>
      </c>
    </row>
    <row r="21" spans="1:10" x14ac:dyDescent="0.45">
      <c r="A21" t="s">
        <v>57</v>
      </c>
      <c r="B21">
        <v>125</v>
      </c>
      <c r="C21" t="s">
        <v>1</v>
      </c>
    </row>
    <row r="22" spans="1:10" x14ac:dyDescent="0.45">
      <c r="A22" t="s">
        <v>41</v>
      </c>
      <c r="B22">
        <v>150</v>
      </c>
    </row>
    <row r="23" spans="1:10" x14ac:dyDescent="0.45">
      <c r="B23">
        <v>1</v>
      </c>
      <c r="C23">
        <v>2</v>
      </c>
      <c r="D23">
        <v>3</v>
      </c>
      <c r="E23">
        <v>4</v>
      </c>
    </row>
    <row r="24" spans="1:10" x14ac:dyDescent="0.45">
      <c r="A24" t="s">
        <v>59</v>
      </c>
      <c r="B24">
        <v>35</v>
      </c>
      <c r="C24">
        <v>22</v>
      </c>
      <c r="D24">
        <v>41</v>
      </c>
      <c r="E24">
        <v>27</v>
      </c>
    </row>
    <row r="25" spans="1:10" x14ac:dyDescent="0.45">
      <c r="A25" t="s">
        <v>42</v>
      </c>
      <c r="B25">
        <v>39</v>
      </c>
      <c r="C25">
        <v>43</v>
      </c>
      <c r="D25">
        <v>34</v>
      </c>
      <c r="E25">
        <v>34</v>
      </c>
      <c r="G25">
        <v>35</v>
      </c>
      <c r="H25">
        <v>22</v>
      </c>
      <c r="I25">
        <v>41</v>
      </c>
      <c r="J25">
        <v>27</v>
      </c>
    </row>
    <row r="27" spans="1:10" x14ac:dyDescent="0.45">
      <c r="A27" t="s">
        <v>5</v>
      </c>
    </row>
    <row r="29" spans="1:10" x14ac:dyDescent="0.45">
      <c r="A29" t="s">
        <v>6</v>
      </c>
      <c r="B29" t="s">
        <v>84</v>
      </c>
      <c r="C29">
        <v>34</v>
      </c>
    </row>
    <row r="30" spans="1:10" x14ac:dyDescent="0.45">
      <c r="A30" t="s">
        <v>8</v>
      </c>
      <c r="B30" t="s">
        <v>78</v>
      </c>
      <c r="C30">
        <v>15</v>
      </c>
    </row>
    <row r="31" spans="1:10" x14ac:dyDescent="0.45">
      <c r="A31" t="s">
        <v>27</v>
      </c>
      <c r="B31">
        <v>114</v>
      </c>
      <c r="C31" t="s">
        <v>1</v>
      </c>
    </row>
    <row r="32" spans="1:10" x14ac:dyDescent="0.45">
      <c r="A32" t="s">
        <v>43</v>
      </c>
      <c r="B32">
        <v>100</v>
      </c>
    </row>
    <row r="33" spans="1:10" x14ac:dyDescent="0.45">
      <c r="B33">
        <v>1</v>
      </c>
      <c r="C33">
        <v>2</v>
      </c>
      <c r="D33">
        <v>3</v>
      </c>
      <c r="E33">
        <v>4</v>
      </c>
    </row>
    <row r="34" spans="1:10" x14ac:dyDescent="0.45">
      <c r="A34" t="s">
        <v>29</v>
      </c>
      <c r="B34">
        <v>25</v>
      </c>
      <c r="C34">
        <v>34</v>
      </c>
      <c r="D34">
        <v>35</v>
      </c>
      <c r="E34">
        <v>20</v>
      </c>
    </row>
    <row r="35" spans="1:10" x14ac:dyDescent="0.45">
      <c r="A35" t="s">
        <v>45</v>
      </c>
      <c r="B35">
        <v>30</v>
      </c>
      <c r="C35">
        <v>32</v>
      </c>
      <c r="D35">
        <v>17</v>
      </c>
      <c r="E35">
        <v>21</v>
      </c>
      <c r="G35">
        <v>25</v>
      </c>
      <c r="H35">
        <v>34</v>
      </c>
      <c r="I35">
        <v>35</v>
      </c>
      <c r="J35">
        <v>20</v>
      </c>
    </row>
    <row r="37" spans="1:10" x14ac:dyDescent="0.45">
      <c r="A37" t="s">
        <v>5</v>
      </c>
    </row>
    <row r="39" spans="1:10" x14ac:dyDescent="0.45">
      <c r="A39" t="s">
        <v>6</v>
      </c>
      <c r="B39" t="s">
        <v>34</v>
      </c>
      <c r="C39">
        <v>27</v>
      </c>
    </row>
    <row r="40" spans="1:10" x14ac:dyDescent="0.45">
      <c r="A40" t="s">
        <v>8</v>
      </c>
      <c r="B40" t="s">
        <v>34</v>
      </c>
      <c r="C40">
        <v>10</v>
      </c>
    </row>
    <row r="41" spans="1:10" x14ac:dyDescent="0.45">
      <c r="A41" t="s">
        <v>71</v>
      </c>
      <c r="B41">
        <v>115</v>
      </c>
      <c r="C41" t="s">
        <v>1</v>
      </c>
    </row>
    <row r="42" spans="1:10" x14ac:dyDescent="0.45">
      <c r="A42" t="s">
        <v>73</v>
      </c>
      <c r="B42">
        <v>107</v>
      </c>
    </row>
    <row r="43" spans="1:10" x14ac:dyDescent="0.45">
      <c r="B43">
        <v>1</v>
      </c>
      <c r="C43">
        <v>2</v>
      </c>
      <c r="D43">
        <v>3</v>
      </c>
      <c r="E43">
        <v>4</v>
      </c>
    </row>
    <row r="44" spans="1:10" x14ac:dyDescent="0.45">
      <c r="A44" t="s">
        <v>72</v>
      </c>
      <c r="B44">
        <v>25</v>
      </c>
      <c r="C44">
        <v>23</v>
      </c>
      <c r="D44">
        <v>38</v>
      </c>
      <c r="E44">
        <v>29</v>
      </c>
    </row>
    <row r="45" spans="1:10" x14ac:dyDescent="0.45">
      <c r="A45" t="s">
        <v>74</v>
      </c>
      <c r="B45">
        <v>21</v>
      </c>
      <c r="C45">
        <v>26</v>
      </c>
      <c r="D45">
        <v>32</v>
      </c>
      <c r="E45">
        <v>28</v>
      </c>
      <c r="G45">
        <v>25</v>
      </c>
      <c r="H45">
        <v>23</v>
      </c>
      <c r="I45">
        <v>38</v>
      </c>
      <c r="J45">
        <v>29</v>
      </c>
    </row>
    <row r="47" spans="1:10" x14ac:dyDescent="0.45">
      <c r="A47" t="s">
        <v>5</v>
      </c>
    </row>
    <row r="49" spans="1:10" x14ac:dyDescent="0.45">
      <c r="A49" t="s">
        <v>6</v>
      </c>
      <c r="B49" t="s">
        <v>87</v>
      </c>
      <c r="C49">
        <v>26</v>
      </c>
    </row>
    <row r="50" spans="1:10" x14ac:dyDescent="0.45">
      <c r="A50" t="s">
        <v>8</v>
      </c>
      <c r="B50" t="s">
        <v>88</v>
      </c>
      <c r="C50">
        <v>13</v>
      </c>
    </row>
    <row r="51" spans="1:10" x14ac:dyDescent="0.45">
      <c r="A51" t="s">
        <v>44</v>
      </c>
      <c r="B51">
        <v>107</v>
      </c>
      <c r="C51" t="s">
        <v>1</v>
      </c>
    </row>
    <row r="52" spans="1:10" x14ac:dyDescent="0.45">
      <c r="A52" t="s">
        <v>10</v>
      </c>
      <c r="B52">
        <v>104</v>
      </c>
    </row>
    <row r="53" spans="1:10" x14ac:dyDescent="0.45">
      <c r="B53">
        <v>1</v>
      </c>
      <c r="C53">
        <v>2</v>
      </c>
      <c r="D53">
        <v>3</v>
      </c>
      <c r="E53">
        <v>4</v>
      </c>
    </row>
    <row r="54" spans="1:10" x14ac:dyDescent="0.45">
      <c r="A54" t="s">
        <v>46</v>
      </c>
      <c r="B54">
        <v>33</v>
      </c>
      <c r="C54">
        <v>23</v>
      </c>
      <c r="D54">
        <v>26</v>
      </c>
      <c r="E54">
        <v>25</v>
      </c>
    </row>
    <row r="55" spans="1:10" x14ac:dyDescent="0.45">
      <c r="A55" t="s">
        <v>12</v>
      </c>
      <c r="B55">
        <v>29</v>
      </c>
      <c r="C55">
        <v>26</v>
      </c>
      <c r="D55">
        <v>22</v>
      </c>
      <c r="E55">
        <v>27</v>
      </c>
      <c r="G55">
        <v>33</v>
      </c>
      <c r="H55">
        <v>23</v>
      </c>
      <c r="I55">
        <v>26</v>
      </c>
      <c r="J55">
        <v>25</v>
      </c>
    </row>
    <row r="57" spans="1:10" x14ac:dyDescent="0.45">
      <c r="A57" t="s">
        <v>5</v>
      </c>
    </row>
    <row r="59" spans="1:10" x14ac:dyDescent="0.45">
      <c r="A59" t="s">
        <v>6</v>
      </c>
      <c r="B59" t="s">
        <v>89</v>
      </c>
      <c r="C59">
        <v>26</v>
      </c>
    </row>
    <row r="60" spans="1:10" x14ac:dyDescent="0.45">
      <c r="A60" t="s">
        <v>8</v>
      </c>
      <c r="B60" t="s">
        <v>34</v>
      </c>
      <c r="C60">
        <v>11</v>
      </c>
    </row>
    <row r="61" spans="1:10" x14ac:dyDescent="0.45">
      <c r="A61" t="s">
        <v>30</v>
      </c>
      <c r="B61">
        <v>113</v>
      </c>
      <c r="C61" t="s">
        <v>1</v>
      </c>
    </row>
    <row r="62" spans="1:10" x14ac:dyDescent="0.45">
      <c r="A62" t="s">
        <v>76</v>
      </c>
      <c r="B62">
        <v>104</v>
      </c>
    </row>
    <row r="63" spans="1:10" x14ac:dyDescent="0.45">
      <c r="B63">
        <v>1</v>
      </c>
      <c r="C63">
        <v>2</v>
      </c>
      <c r="D63">
        <v>3</v>
      </c>
      <c r="E63">
        <v>4</v>
      </c>
    </row>
    <row r="64" spans="1:10" x14ac:dyDescent="0.45">
      <c r="A64" t="s">
        <v>32</v>
      </c>
      <c r="B64">
        <v>31</v>
      </c>
      <c r="C64">
        <v>27</v>
      </c>
      <c r="D64">
        <v>23</v>
      </c>
      <c r="E64">
        <v>32</v>
      </c>
    </row>
    <row r="65" spans="1:10" x14ac:dyDescent="0.45">
      <c r="A65" t="s">
        <v>77</v>
      </c>
      <c r="B65">
        <v>30</v>
      </c>
      <c r="C65">
        <v>28</v>
      </c>
      <c r="D65">
        <v>27</v>
      </c>
      <c r="E65">
        <v>19</v>
      </c>
      <c r="G65">
        <v>31</v>
      </c>
      <c r="H65">
        <v>27</v>
      </c>
      <c r="I65">
        <v>23</v>
      </c>
      <c r="J65">
        <v>32</v>
      </c>
    </row>
    <row r="67" spans="1:10" x14ac:dyDescent="0.45">
      <c r="A67" t="s">
        <v>5</v>
      </c>
    </row>
    <row r="69" spans="1:10" x14ac:dyDescent="0.45">
      <c r="A69" t="s">
        <v>6</v>
      </c>
      <c r="B69" t="s">
        <v>90</v>
      </c>
      <c r="C69">
        <v>30</v>
      </c>
    </row>
    <row r="70" spans="1:10" x14ac:dyDescent="0.45">
      <c r="A70" t="s">
        <v>8</v>
      </c>
      <c r="B70" t="s">
        <v>80</v>
      </c>
      <c r="C70">
        <v>11</v>
      </c>
    </row>
    <row r="71" spans="1:10" x14ac:dyDescent="0.45">
      <c r="A71" t="s">
        <v>50</v>
      </c>
      <c r="B71">
        <v>96</v>
      </c>
      <c r="C71" t="s">
        <v>1</v>
      </c>
    </row>
    <row r="72" spans="1:10" x14ac:dyDescent="0.45">
      <c r="A72" t="s">
        <v>66</v>
      </c>
      <c r="B72">
        <v>100</v>
      </c>
    </row>
    <row r="73" spans="1:10" x14ac:dyDescent="0.45">
      <c r="B73">
        <v>1</v>
      </c>
      <c r="C73">
        <v>2</v>
      </c>
      <c r="D73">
        <v>3</v>
      </c>
      <c r="E73">
        <v>4</v>
      </c>
    </row>
    <row r="74" spans="1:10" x14ac:dyDescent="0.45">
      <c r="A74" t="s">
        <v>52</v>
      </c>
      <c r="B74">
        <v>22</v>
      </c>
      <c r="C74">
        <v>29</v>
      </c>
      <c r="D74">
        <v>20</v>
      </c>
      <c r="E74">
        <v>25</v>
      </c>
    </row>
    <row r="75" spans="1:10" x14ac:dyDescent="0.45">
      <c r="A75" t="s">
        <v>68</v>
      </c>
      <c r="B75">
        <v>26</v>
      </c>
      <c r="C75">
        <v>25</v>
      </c>
      <c r="D75">
        <v>21</v>
      </c>
      <c r="E75">
        <v>28</v>
      </c>
      <c r="G75">
        <v>22</v>
      </c>
      <c r="H75">
        <v>29</v>
      </c>
      <c r="I75">
        <v>20</v>
      </c>
      <c r="J75">
        <v>25</v>
      </c>
    </row>
    <row r="77" spans="1:10" x14ac:dyDescent="0.45">
      <c r="A77" t="s">
        <v>5</v>
      </c>
    </row>
    <row r="79" spans="1:10" x14ac:dyDescent="0.45">
      <c r="A79" t="s">
        <v>6</v>
      </c>
      <c r="B79" t="s">
        <v>70</v>
      </c>
      <c r="C79">
        <v>32</v>
      </c>
    </row>
    <row r="80" spans="1:10" x14ac:dyDescent="0.45">
      <c r="A80" t="s">
        <v>8</v>
      </c>
      <c r="B80" t="s">
        <v>91</v>
      </c>
      <c r="C80">
        <v>12</v>
      </c>
    </row>
    <row r="81" spans="1:10" x14ac:dyDescent="0.45">
      <c r="A81" t="s">
        <v>51</v>
      </c>
      <c r="B81">
        <v>110</v>
      </c>
      <c r="C81" t="s">
        <v>1</v>
      </c>
    </row>
    <row r="82" spans="1:10" x14ac:dyDescent="0.45">
      <c r="A82" t="s">
        <v>60</v>
      </c>
      <c r="B82">
        <v>130</v>
      </c>
    </row>
    <row r="83" spans="1:10" x14ac:dyDescent="0.45">
      <c r="B83">
        <v>1</v>
      </c>
      <c r="C83">
        <v>2</v>
      </c>
      <c r="D83">
        <v>3</v>
      </c>
      <c r="E83">
        <v>4</v>
      </c>
    </row>
    <row r="84" spans="1:10" x14ac:dyDescent="0.45">
      <c r="A84" t="s">
        <v>53</v>
      </c>
      <c r="B84">
        <v>20</v>
      </c>
      <c r="C84">
        <v>17</v>
      </c>
      <c r="D84">
        <v>49</v>
      </c>
      <c r="E84">
        <v>24</v>
      </c>
    </row>
    <row r="85" spans="1:10" x14ac:dyDescent="0.45">
      <c r="A85" t="s">
        <v>61</v>
      </c>
      <c r="B85">
        <v>37</v>
      </c>
      <c r="C85">
        <v>40</v>
      </c>
      <c r="D85">
        <v>30</v>
      </c>
      <c r="E85">
        <v>23</v>
      </c>
      <c r="G85">
        <v>20</v>
      </c>
      <c r="H85">
        <v>17</v>
      </c>
      <c r="I85">
        <v>49</v>
      </c>
      <c r="J85">
        <v>24</v>
      </c>
    </row>
    <row r="87" spans="1:10" x14ac:dyDescent="0.45">
      <c r="A87" t="s">
        <v>5</v>
      </c>
    </row>
    <row r="89" spans="1:10" x14ac:dyDescent="0.45">
      <c r="A89" t="s">
        <v>6</v>
      </c>
      <c r="B89" t="s">
        <v>62</v>
      </c>
      <c r="C89">
        <v>35</v>
      </c>
    </row>
    <row r="90" spans="1:10" x14ac:dyDescent="0.45">
      <c r="A90" t="s">
        <v>8</v>
      </c>
      <c r="B90" t="s">
        <v>55</v>
      </c>
      <c r="C90">
        <v>11</v>
      </c>
    </row>
    <row r="92" spans="1:10" x14ac:dyDescent="0.45">
      <c r="B92">
        <v>1</v>
      </c>
      <c r="C92">
        <v>2</v>
      </c>
      <c r="D92">
        <v>3</v>
      </c>
      <c r="E92">
        <v>4</v>
      </c>
      <c r="G92" t="s">
        <v>93</v>
      </c>
    </row>
    <row r="93" spans="1:10" x14ac:dyDescent="0.45">
      <c r="A93" t="s">
        <v>143</v>
      </c>
      <c r="B93">
        <v>32</v>
      </c>
      <c r="C93">
        <v>30</v>
      </c>
      <c r="D93">
        <v>35</v>
      </c>
      <c r="E93">
        <v>30</v>
      </c>
    </row>
    <row r="94" spans="1:10" x14ac:dyDescent="0.45">
      <c r="A94" t="s">
        <v>101</v>
      </c>
      <c r="B94">
        <v>28</v>
      </c>
      <c r="C94">
        <v>18</v>
      </c>
      <c r="D94">
        <v>22</v>
      </c>
      <c r="E94">
        <v>26</v>
      </c>
      <c r="G94">
        <v>32</v>
      </c>
      <c r="H94">
        <v>30</v>
      </c>
      <c r="I94">
        <v>35</v>
      </c>
      <c r="J94">
        <v>30</v>
      </c>
    </row>
    <row r="95" spans="1:10" x14ac:dyDescent="0.45">
      <c r="B95">
        <v>1</v>
      </c>
      <c r="C95">
        <v>2</v>
      </c>
      <c r="D95">
        <v>3</v>
      </c>
      <c r="E95">
        <v>4</v>
      </c>
      <c r="G95" t="s">
        <v>93</v>
      </c>
    </row>
    <row r="96" spans="1:10" x14ac:dyDescent="0.45">
      <c r="A96" t="s">
        <v>130</v>
      </c>
      <c r="B96">
        <v>32</v>
      </c>
      <c r="C96">
        <v>36</v>
      </c>
      <c r="D96">
        <v>29</v>
      </c>
      <c r="E96">
        <v>30</v>
      </c>
    </row>
    <row r="97" spans="1:10" x14ac:dyDescent="0.45">
      <c r="A97" t="s">
        <v>137</v>
      </c>
      <c r="B97">
        <v>26</v>
      </c>
      <c r="C97">
        <v>28</v>
      </c>
      <c r="D97">
        <v>34</v>
      </c>
      <c r="E97">
        <v>32</v>
      </c>
      <c r="G97">
        <v>32</v>
      </c>
      <c r="H97">
        <v>36</v>
      </c>
      <c r="I97">
        <v>29</v>
      </c>
      <c r="J97">
        <v>30</v>
      </c>
    </row>
    <row r="98" spans="1:10" x14ac:dyDescent="0.45">
      <c r="B98">
        <v>1</v>
      </c>
      <c r="C98">
        <v>2</v>
      </c>
      <c r="D98">
        <v>3</v>
      </c>
      <c r="E98">
        <v>4</v>
      </c>
      <c r="G98" t="s">
        <v>92</v>
      </c>
      <c r="H98" t="s">
        <v>93</v>
      </c>
    </row>
    <row r="99" spans="1:10" x14ac:dyDescent="0.45">
      <c r="A99" t="s">
        <v>139</v>
      </c>
      <c r="B99">
        <v>32</v>
      </c>
      <c r="C99">
        <v>26</v>
      </c>
      <c r="D99">
        <v>25</v>
      </c>
      <c r="E99">
        <v>25</v>
      </c>
      <c r="G99">
        <v>121</v>
      </c>
    </row>
    <row r="100" spans="1:10" x14ac:dyDescent="0.45">
      <c r="A100" t="s">
        <v>145</v>
      </c>
      <c r="B100">
        <v>23</v>
      </c>
      <c r="C100">
        <v>30</v>
      </c>
      <c r="D100">
        <v>28</v>
      </c>
      <c r="E100">
        <v>27</v>
      </c>
      <c r="G100">
        <v>32</v>
      </c>
      <c r="H100">
        <v>26</v>
      </c>
      <c r="I100">
        <v>25</v>
      </c>
      <c r="J100">
        <v>25</v>
      </c>
    </row>
    <row r="101" spans="1:10" x14ac:dyDescent="0.45">
      <c r="B101">
        <v>1</v>
      </c>
      <c r="C101">
        <v>2</v>
      </c>
      <c r="D101">
        <v>3</v>
      </c>
      <c r="E101">
        <v>4</v>
      </c>
      <c r="G101" t="s">
        <v>93</v>
      </c>
    </row>
    <row r="102" spans="1:10" x14ac:dyDescent="0.45">
      <c r="A102" t="s">
        <v>136</v>
      </c>
      <c r="B102">
        <v>24</v>
      </c>
      <c r="C102">
        <v>35</v>
      </c>
      <c r="D102">
        <v>25</v>
      </c>
      <c r="E102">
        <v>34</v>
      </c>
    </row>
    <row r="103" spans="1:10" x14ac:dyDescent="0.45">
      <c r="A103" t="s">
        <v>151</v>
      </c>
      <c r="B103">
        <v>24</v>
      </c>
      <c r="C103">
        <v>29</v>
      </c>
      <c r="D103">
        <v>22</v>
      </c>
      <c r="E103">
        <v>22</v>
      </c>
      <c r="G103">
        <v>24</v>
      </c>
      <c r="H103">
        <v>35</v>
      </c>
      <c r="I103">
        <v>25</v>
      </c>
      <c r="J103">
        <v>34</v>
      </c>
    </row>
    <row r="104" spans="1:10" x14ac:dyDescent="0.45">
      <c r="B104">
        <v>1</v>
      </c>
      <c r="C104">
        <v>2</v>
      </c>
      <c r="D104">
        <v>3</v>
      </c>
      <c r="E104">
        <v>4</v>
      </c>
      <c r="G104" t="s">
        <v>92</v>
      </c>
      <c r="H104" t="s">
        <v>93</v>
      </c>
    </row>
    <row r="105" spans="1:10" x14ac:dyDescent="0.45">
      <c r="A105" t="s">
        <v>147</v>
      </c>
      <c r="B105">
        <v>25</v>
      </c>
      <c r="C105">
        <v>38</v>
      </c>
      <c r="D105">
        <v>34</v>
      </c>
      <c r="E105">
        <v>18</v>
      </c>
      <c r="G105">
        <v>133</v>
      </c>
    </row>
    <row r="106" spans="1:10" x14ac:dyDescent="0.45">
      <c r="A106" t="s">
        <v>170</v>
      </c>
      <c r="B106">
        <v>27</v>
      </c>
      <c r="C106">
        <v>32</v>
      </c>
      <c r="D106">
        <v>22</v>
      </c>
      <c r="E106">
        <v>34</v>
      </c>
      <c r="G106">
        <v>25</v>
      </c>
      <c r="H106">
        <v>38</v>
      </c>
      <c r="I106">
        <v>34</v>
      </c>
      <c r="J106">
        <v>18</v>
      </c>
    </row>
    <row r="107" spans="1:10" x14ac:dyDescent="0.45">
      <c r="B107">
        <v>1</v>
      </c>
      <c r="C107">
        <v>2</v>
      </c>
      <c r="D107">
        <v>3</v>
      </c>
      <c r="E107">
        <v>4</v>
      </c>
      <c r="G107" t="s">
        <v>93</v>
      </c>
    </row>
    <row r="108" spans="1:10" x14ac:dyDescent="0.45">
      <c r="A108" t="s">
        <v>149</v>
      </c>
      <c r="B108">
        <v>28</v>
      </c>
      <c r="C108">
        <v>32</v>
      </c>
      <c r="D108">
        <v>24</v>
      </c>
      <c r="E108">
        <v>21</v>
      </c>
    </row>
    <row r="109" spans="1:10" x14ac:dyDescent="0.45">
      <c r="A109" t="s">
        <v>148</v>
      </c>
      <c r="B109">
        <v>24</v>
      </c>
      <c r="C109">
        <v>25</v>
      </c>
      <c r="D109">
        <v>27</v>
      </c>
      <c r="E109">
        <v>20</v>
      </c>
      <c r="G109">
        <v>28</v>
      </c>
      <c r="H109">
        <v>32</v>
      </c>
      <c r="I109">
        <v>24</v>
      </c>
      <c r="J109">
        <v>21</v>
      </c>
    </row>
    <row r="110" spans="1:10" x14ac:dyDescent="0.45">
      <c r="B110">
        <v>1</v>
      </c>
      <c r="C110">
        <v>2</v>
      </c>
      <c r="D110">
        <v>3</v>
      </c>
      <c r="E110">
        <v>4</v>
      </c>
      <c r="G110" t="s">
        <v>93</v>
      </c>
    </row>
    <row r="111" spans="1:10" x14ac:dyDescent="0.45">
      <c r="A111" t="s">
        <v>140</v>
      </c>
      <c r="B111">
        <v>30</v>
      </c>
      <c r="C111">
        <v>29</v>
      </c>
      <c r="D111">
        <v>17</v>
      </c>
      <c r="E111">
        <v>21</v>
      </c>
    </row>
    <row r="112" spans="1:10" x14ac:dyDescent="0.45">
      <c r="A112" t="s">
        <v>150</v>
      </c>
      <c r="B112">
        <v>29</v>
      </c>
      <c r="C112">
        <v>33</v>
      </c>
      <c r="D112">
        <v>27</v>
      </c>
      <c r="E112">
        <v>28</v>
      </c>
      <c r="G112">
        <v>30</v>
      </c>
      <c r="H112">
        <v>29</v>
      </c>
      <c r="I112">
        <v>17</v>
      </c>
      <c r="J112">
        <v>21</v>
      </c>
    </row>
    <row r="113" spans="1:11" x14ac:dyDescent="0.45">
      <c r="B113">
        <v>1</v>
      </c>
      <c r="C113">
        <v>2</v>
      </c>
      <c r="D113">
        <v>3</v>
      </c>
      <c r="E113">
        <v>4</v>
      </c>
      <c r="F113" t="s">
        <v>169</v>
      </c>
      <c r="G113" t="s">
        <v>92</v>
      </c>
      <c r="H113" t="s">
        <v>93</v>
      </c>
    </row>
    <row r="114" spans="1:11" x14ac:dyDescent="0.45">
      <c r="A114" t="s">
        <v>147</v>
      </c>
      <c r="B114">
        <v>25</v>
      </c>
      <c r="C114">
        <v>38</v>
      </c>
      <c r="D114">
        <v>34</v>
      </c>
      <c r="E114">
        <v>18</v>
      </c>
      <c r="F114">
        <v>18</v>
      </c>
      <c r="G114">
        <v>133</v>
      </c>
    </row>
    <row r="115" spans="1:11" x14ac:dyDescent="0.45">
      <c r="A115" t="s">
        <v>170</v>
      </c>
      <c r="B115">
        <v>27</v>
      </c>
      <c r="C115">
        <v>32</v>
      </c>
      <c r="D115">
        <v>22</v>
      </c>
      <c r="E115">
        <v>34</v>
      </c>
      <c r="F115">
        <v>20</v>
      </c>
      <c r="G115">
        <v>25</v>
      </c>
      <c r="H115">
        <v>38</v>
      </c>
      <c r="I115">
        <v>34</v>
      </c>
      <c r="J115">
        <v>18</v>
      </c>
      <c r="K115">
        <v>18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71E62-EC14-4115-85F3-89C3BC052346}">
  <sheetPr>
    <tabColor theme="9" tint="0.59999389629810485"/>
  </sheetPr>
  <dimension ref="A1:AF30"/>
  <sheetViews>
    <sheetView tabSelected="1" zoomScale="55" zoomScaleNormal="55" workbookViewId="0">
      <selection sqref="A1:AB29"/>
    </sheetView>
  </sheetViews>
  <sheetFormatPr defaultRowHeight="17" x14ac:dyDescent="0.45"/>
  <cols>
    <col min="6" max="9" width="4.9140625" bestFit="1" customWidth="1"/>
    <col min="10" max="10" width="4.5" bestFit="1" customWidth="1"/>
    <col min="11" max="14" width="4.75" bestFit="1" customWidth="1"/>
  </cols>
  <sheetData>
    <row r="1" spans="1:32" x14ac:dyDescent="0.45">
      <c r="A1" t="s">
        <v>140</v>
      </c>
      <c r="AC1">
        <f>COUNTIF($V$3:$Y$40,"O")</f>
        <v>56</v>
      </c>
      <c r="AD1">
        <f>COUNTIF($V$3:$Y$40,"U")</f>
        <v>49</v>
      </c>
      <c r="AE1">
        <f>COUNTIF($V$1:$Y$12,"O")</f>
        <v>18</v>
      </c>
      <c r="AF1">
        <f>COUNTIF($V$1:$Y$12,"U")</f>
        <v>19</v>
      </c>
    </row>
    <row r="2" spans="1:32" x14ac:dyDescent="0.45">
      <c r="A2" t="s">
        <v>102</v>
      </c>
      <c r="B2" t="s">
        <v>103</v>
      </c>
      <c r="C2" t="s">
        <v>104</v>
      </c>
      <c r="D2" t="s">
        <v>105</v>
      </c>
      <c r="E2" t="s">
        <v>106</v>
      </c>
      <c r="F2" t="s">
        <v>107</v>
      </c>
      <c r="G2" t="s">
        <v>108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124</v>
      </c>
      <c r="X2" t="s">
        <v>125</v>
      </c>
      <c r="Y2" t="s">
        <v>126</v>
      </c>
      <c r="Z2" t="s">
        <v>127</v>
      </c>
      <c r="AA2" t="s">
        <v>128</v>
      </c>
      <c r="AB2" t="s">
        <v>129</v>
      </c>
    </row>
    <row r="3" spans="1:32" x14ac:dyDescent="0.45">
      <c r="A3">
        <v>440</v>
      </c>
      <c r="B3">
        <v>191217</v>
      </c>
      <c r="C3" s="1">
        <v>0.45833333333333331</v>
      </c>
      <c r="D3" t="s">
        <v>94</v>
      </c>
      <c r="E3" t="s">
        <v>140</v>
      </c>
      <c r="F3">
        <v>33</v>
      </c>
      <c r="G3">
        <v>34</v>
      </c>
      <c r="H3">
        <v>21</v>
      </c>
      <c r="I3">
        <v>22</v>
      </c>
      <c r="K3">
        <v>25</v>
      </c>
      <c r="L3">
        <v>34</v>
      </c>
      <c r="M3">
        <v>31</v>
      </c>
      <c r="N3">
        <v>21</v>
      </c>
      <c r="P3">
        <v>110</v>
      </c>
      <c r="Q3">
        <v>111</v>
      </c>
      <c r="R3" t="s">
        <v>131</v>
      </c>
      <c r="S3" t="s">
        <v>135</v>
      </c>
      <c r="T3" t="s">
        <v>132</v>
      </c>
      <c r="U3" t="s">
        <v>131</v>
      </c>
      <c r="V3" t="s">
        <v>92</v>
      </c>
      <c r="W3" t="s">
        <v>134</v>
      </c>
      <c r="X3" t="s">
        <v>133</v>
      </c>
      <c r="Y3" t="s">
        <v>133</v>
      </c>
      <c r="AA3">
        <v>58</v>
      </c>
      <c r="AB3" t="s">
        <v>379</v>
      </c>
    </row>
    <row r="4" spans="1:32" x14ac:dyDescent="0.45">
      <c r="A4">
        <v>410</v>
      </c>
      <c r="B4">
        <v>191213</v>
      </c>
      <c r="C4" s="1">
        <v>0.52083333333333337</v>
      </c>
      <c r="D4" t="s">
        <v>148</v>
      </c>
      <c r="E4" t="s">
        <v>140</v>
      </c>
      <c r="F4">
        <v>33</v>
      </c>
      <c r="G4">
        <v>29</v>
      </c>
      <c r="H4">
        <v>27</v>
      </c>
      <c r="I4">
        <v>25</v>
      </c>
      <c r="K4">
        <v>26</v>
      </c>
      <c r="L4">
        <v>27</v>
      </c>
      <c r="M4">
        <v>25</v>
      </c>
      <c r="N4">
        <v>21</v>
      </c>
      <c r="P4">
        <v>114</v>
      </c>
      <c r="Q4">
        <v>99</v>
      </c>
      <c r="R4" t="s">
        <v>131</v>
      </c>
      <c r="S4" t="s">
        <v>131</v>
      </c>
      <c r="T4" t="s">
        <v>131</v>
      </c>
      <c r="U4" t="s">
        <v>131</v>
      </c>
      <c r="V4" t="s">
        <v>134</v>
      </c>
      <c r="W4" t="s">
        <v>134</v>
      </c>
      <c r="X4" t="s">
        <v>133</v>
      </c>
      <c r="Y4" t="s">
        <v>133</v>
      </c>
      <c r="AA4">
        <v>54.5</v>
      </c>
      <c r="AB4" t="s">
        <v>378</v>
      </c>
    </row>
    <row r="5" spans="1:32" x14ac:dyDescent="0.45">
      <c r="A5">
        <v>395</v>
      </c>
      <c r="B5">
        <v>191211</v>
      </c>
      <c r="C5" s="1">
        <v>0.5</v>
      </c>
      <c r="D5" t="s">
        <v>140</v>
      </c>
      <c r="E5" t="s">
        <v>138</v>
      </c>
      <c r="F5">
        <v>32</v>
      </c>
      <c r="G5">
        <v>28</v>
      </c>
      <c r="H5">
        <v>26</v>
      </c>
      <c r="I5">
        <v>29</v>
      </c>
      <c r="K5">
        <v>22</v>
      </c>
      <c r="L5">
        <v>19</v>
      </c>
      <c r="M5">
        <v>18</v>
      </c>
      <c r="N5">
        <v>28</v>
      </c>
      <c r="P5">
        <v>115</v>
      </c>
      <c r="Q5">
        <v>87</v>
      </c>
      <c r="R5" t="s">
        <v>131</v>
      </c>
      <c r="S5" t="s">
        <v>131</v>
      </c>
      <c r="T5" t="s">
        <v>131</v>
      </c>
      <c r="U5" t="s">
        <v>131</v>
      </c>
      <c r="V5" t="s">
        <v>133</v>
      </c>
      <c r="W5" t="s">
        <v>133</v>
      </c>
      <c r="X5" t="s">
        <v>133</v>
      </c>
      <c r="Y5" t="s">
        <v>92</v>
      </c>
      <c r="AA5">
        <v>57</v>
      </c>
      <c r="AB5" t="s">
        <v>380</v>
      </c>
    </row>
    <row r="6" spans="1:32" x14ac:dyDescent="0.45">
      <c r="A6">
        <v>381</v>
      </c>
      <c r="B6">
        <v>191209</v>
      </c>
      <c r="C6" s="1">
        <v>0.45833333333333331</v>
      </c>
      <c r="D6" t="s">
        <v>140</v>
      </c>
      <c r="E6" t="s">
        <v>146</v>
      </c>
      <c r="F6">
        <v>20</v>
      </c>
      <c r="G6">
        <v>27</v>
      </c>
      <c r="H6">
        <v>31</v>
      </c>
      <c r="I6">
        <v>18</v>
      </c>
      <c r="K6">
        <v>21</v>
      </c>
      <c r="L6">
        <v>34</v>
      </c>
      <c r="M6">
        <v>27</v>
      </c>
      <c r="N6">
        <v>26</v>
      </c>
      <c r="P6">
        <v>96</v>
      </c>
      <c r="Q6">
        <v>108</v>
      </c>
      <c r="R6" t="s">
        <v>132</v>
      </c>
      <c r="S6" t="s">
        <v>132</v>
      </c>
      <c r="T6" t="s">
        <v>131</v>
      </c>
      <c r="U6" t="s">
        <v>132</v>
      </c>
      <c r="V6" t="s">
        <v>133</v>
      </c>
      <c r="W6" t="s">
        <v>134</v>
      </c>
      <c r="X6" t="s">
        <v>134</v>
      </c>
      <c r="Y6" t="s">
        <v>133</v>
      </c>
      <c r="AA6">
        <v>57.5</v>
      </c>
      <c r="AB6" t="s">
        <v>159</v>
      </c>
    </row>
    <row r="7" spans="1:32" x14ac:dyDescent="0.45">
      <c r="A7">
        <v>369</v>
      </c>
      <c r="B7">
        <v>191207</v>
      </c>
      <c r="C7" s="1">
        <v>0.52083333333333337</v>
      </c>
      <c r="D7" t="s">
        <v>140</v>
      </c>
      <c r="E7" t="s">
        <v>149</v>
      </c>
      <c r="F7">
        <v>34</v>
      </c>
      <c r="G7">
        <v>28</v>
      </c>
      <c r="H7">
        <v>31</v>
      </c>
      <c r="I7">
        <v>20</v>
      </c>
      <c r="K7">
        <v>39</v>
      </c>
      <c r="L7">
        <v>38</v>
      </c>
      <c r="M7">
        <v>33</v>
      </c>
      <c r="N7">
        <v>26</v>
      </c>
      <c r="P7">
        <v>113</v>
      </c>
      <c r="Q7">
        <v>136</v>
      </c>
      <c r="R7" t="s">
        <v>132</v>
      </c>
      <c r="S7" t="s">
        <v>132</v>
      </c>
      <c r="T7" t="s">
        <v>132</v>
      </c>
      <c r="U7" t="s">
        <v>132</v>
      </c>
      <c r="V7" t="s">
        <v>134</v>
      </c>
      <c r="W7" t="s">
        <v>134</v>
      </c>
      <c r="X7" t="s">
        <v>134</v>
      </c>
      <c r="Y7" t="s">
        <v>133</v>
      </c>
      <c r="AA7">
        <v>58</v>
      </c>
      <c r="AB7" t="s">
        <v>381</v>
      </c>
    </row>
    <row r="8" spans="1:32" x14ac:dyDescent="0.45">
      <c r="A8">
        <v>355</v>
      </c>
      <c r="B8">
        <v>191205</v>
      </c>
      <c r="C8" s="1">
        <v>0.5</v>
      </c>
      <c r="D8" t="s">
        <v>140</v>
      </c>
      <c r="E8" t="s">
        <v>100</v>
      </c>
      <c r="F8">
        <v>30</v>
      </c>
      <c r="G8">
        <v>36</v>
      </c>
      <c r="H8">
        <v>34</v>
      </c>
      <c r="I8">
        <v>27</v>
      </c>
      <c r="K8">
        <v>35</v>
      </c>
      <c r="L8">
        <v>29</v>
      </c>
      <c r="M8">
        <v>31</v>
      </c>
      <c r="N8">
        <v>21</v>
      </c>
      <c r="P8">
        <v>127</v>
      </c>
      <c r="Q8">
        <v>116</v>
      </c>
      <c r="R8" t="s">
        <v>132</v>
      </c>
      <c r="S8" t="s">
        <v>131</v>
      </c>
      <c r="T8" t="s">
        <v>131</v>
      </c>
      <c r="U8" t="s">
        <v>131</v>
      </c>
      <c r="V8" t="s">
        <v>134</v>
      </c>
      <c r="W8" t="s">
        <v>134</v>
      </c>
      <c r="X8" t="s">
        <v>134</v>
      </c>
      <c r="Y8" t="s">
        <v>133</v>
      </c>
      <c r="AA8">
        <v>55.5</v>
      </c>
      <c r="AB8" t="s">
        <v>382</v>
      </c>
    </row>
    <row r="9" spans="1:32" x14ac:dyDescent="0.45">
      <c r="A9">
        <v>345</v>
      </c>
      <c r="B9">
        <v>191204</v>
      </c>
      <c r="C9" s="1">
        <v>0.5</v>
      </c>
      <c r="D9" t="s">
        <v>150</v>
      </c>
      <c r="E9" t="s">
        <v>140</v>
      </c>
      <c r="F9">
        <v>29</v>
      </c>
      <c r="G9">
        <v>33</v>
      </c>
      <c r="H9">
        <v>27</v>
      </c>
      <c r="I9">
        <v>28</v>
      </c>
      <c r="K9">
        <v>30</v>
      </c>
      <c r="L9">
        <v>29</v>
      </c>
      <c r="M9">
        <v>17</v>
      </c>
      <c r="N9">
        <v>21</v>
      </c>
      <c r="P9">
        <v>117</v>
      </c>
      <c r="Q9">
        <v>97</v>
      </c>
      <c r="R9" t="s">
        <v>132</v>
      </c>
      <c r="S9" t="s">
        <v>131</v>
      </c>
      <c r="T9" t="s">
        <v>131</v>
      </c>
      <c r="U9" t="s">
        <v>131</v>
      </c>
      <c r="V9" t="s">
        <v>134</v>
      </c>
      <c r="W9" t="s">
        <v>134</v>
      </c>
      <c r="X9" t="s">
        <v>133</v>
      </c>
      <c r="Y9" t="s">
        <v>133</v>
      </c>
      <c r="AA9">
        <v>58.5</v>
      </c>
      <c r="AB9" t="s">
        <v>157</v>
      </c>
    </row>
    <row r="10" spans="1:32" x14ac:dyDescent="0.45">
      <c r="A10">
        <v>316</v>
      </c>
      <c r="B10">
        <v>191130</v>
      </c>
      <c r="C10" s="1">
        <v>0.5</v>
      </c>
      <c r="D10" t="s">
        <v>140</v>
      </c>
      <c r="E10" t="s">
        <v>99</v>
      </c>
      <c r="F10">
        <v>25</v>
      </c>
      <c r="G10">
        <v>28</v>
      </c>
      <c r="H10">
        <v>28</v>
      </c>
      <c r="I10">
        <v>26</v>
      </c>
      <c r="K10">
        <v>28</v>
      </c>
      <c r="L10">
        <v>19</v>
      </c>
      <c r="M10">
        <v>31</v>
      </c>
      <c r="N10">
        <v>25</v>
      </c>
      <c r="P10">
        <v>107</v>
      </c>
      <c r="Q10">
        <v>103</v>
      </c>
      <c r="R10" t="s">
        <v>132</v>
      </c>
      <c r="S10" t="s">
        <v>131</v>
      </c>
      <c r="T10" t="s">
        <v>132</v>
      </c>
      <c r="U10" t="s">
        <v>131</v>
      </c>
      <c r="V10" t="s">
        <v>133</v>
      </c>
      <c r="W10" t="s">
        <v>133</v>
      </c>
      <c r="X10" t="s">
        <v>134</v>
      </c>
      <c r="Y10" t="s">
        <v>133</v>
      </c>
      <c r="AA10">
        <v>57.5</v>
      </c>
      <c r="AB10" t="s">
        <v>158</v>
      </c>
    </row>
    <row r="11" spans="1:32" x14ac:dyDescent="0.45">
      <c r="A11">
        <v>303</v>
      </c>
      <c r="B11">
        <v>191128</v>
      </c>
      <c r="C11" s="1">
        <v>0.5</v>
      </c>
      <c r="D11" t="s">
        <v>140</v>
      </c>
      <c r="E11" t="s">
        <v>146</v>
      </c>
      <c r="F11">
        <v>42</v>
      </c>
      <c r="G11">
        <v>21</v>
      </c>
      <c r="H11">
        <v>41</v>
      </c>
      <c r="I11">
        <v>32</v>
      </c>
      <c r="K11">
        <v>26</v>
      </c>
      <c r="L11">
        <v>24</v>
      </c>
      <c r="M11">
        <v>27</v>
      </c>
      <c r="N11">
        <v>42</v>
      </c>
      <c r="P11">
        <v>136</v>
      </c>
      <c r="Q11">
        <v>119</v>
      </c>
      <c r="R11" t="s">
        <v>131</v>
      </c>
      <c r="S11" t="s">
        <v>132</v>
      </c>
      <c r="T11" t="s">
        <v>131</v>
      </c>
      <c r="U11" t="s">
        <v>132</v>
      </c>
      <c r="V11" t="s">
        <v>134</v>
      </c>
      <c r="W11" t="s">
        <v>133</v>
      </c>
      <c r="X11" t="s">
        <v>134</v>
      </c>
      <c r="Y11" t="s">
        <v>134</v>
      </c>
      <c r="AA11">
        <v>56</v>
      </c>
      <c r="AB11" t="s">
        <v>159</v>
      </c>
    </row>
    <row r="12" spans="1:32" x14ac:dyDescent="0.45">
      <c r="A12">
        <v>285</v>
      </c>
      <c r="B12">
        <v>191126</v>
      </c>
      <c r="C12" s="1">
        <v>0.41666666666666669</v>
      </c>
      <c r="D12" t="s">
        <v>99</v>
      </c>
      <c r="E12" t="s">
        <v>140</v>
      </c>
      <c r="F12">
        <v>28</v>
      </c>
      <c r="G12">
        <v>26</v>
      </c>
      <c r="H12">
        <v>18</v>
      </c>
      <c r="I12">
        <v>22</v>
      </c>
      <c r="K12">
        <v>27</v>
      </c>
      <c r="L12">
        <v>35</v>
      </c>
      <c r="M12">
        <v>30</v>
      </c>
      <c r="N12">
        <v>25</v>
      </c>
      <c r="P12">
        <v>94</v>
      </c>
      <c r="Q12">
        <v>117</v>
      </c>
      <c r="R12" t="s">
        <v>131</v>
      </c>
      <c r="S12" t="s">
        <v>132</v>
      </c>
      <c r="T12" t="s">
        <v>132</v>
      </c>
      <c r="U12" t="s">
        <v>132</v>
      </c>
      <c r="V12" t="s">
        <v>92</v>
      </c>
      <c r="W12" t="s">
        <v>134</v>
      </c>
      <c r="X12" t="s">
        <v>133</v>
      </c>
      <c r="Y12" t="s">
        <v>133</v>
      </c>
      <c r="AA12">
        <v>55</v>
      </c>
      <c r="AB12" t="s">
        <v>160</v>
      </c>
    </row>
    <row r="13" spans="1:32" x14ac:dyDescent="0.45">
      <c r="A13">
        <v>269</v>
      </c>
      <c r="B13">
        <v>191124</v>
      </c>
      <c r="C13" s="1">
        <v>0.41666666666666669</v>
      </c>
      <c r="D13" t="s">
        <v>101</v>
      </c>
      <c r="E13" t="s">
        <v>140</v>
      </c>
      <c r="F13">
        <v>19</v>
      </c>
      <c r="G13">
        <v>30</v>
      </c>
      <c r="H13">
        <v>27</v>
      </c>
      <c r="I13">
        <v>34</v>
      </c>
      <c r="K13">
        <v>19</v>
      </c>
      <c r="L13">
        <v>23</v>
      </c>
      <c r="M13">
        <v>27</v>
      </c>
      <c r="N13">
        <v>35</v>
      </c>
      <c r="P13">
        <v>110</v>
      </c>
      <c r="Q13">
        <v>104</v>
      </c>
      <c r="R13" t="s">
        <v>135</v>
      </c>
      <c r="S13" t="s">
        <v>131</v>
      </c>
      <c r="T13" t="s">
        <v>135</v>
      </c>
      <c r="U13" t="s">
        <v>132</v>
      </c>
      <c r="V13" t="s">
        <v>133</v>
      </c>
      <c r="W13" t="s">
        <v>133</v>
      </c>
      <c r="X13" t="s">
        <v>133</v>
      </c>
      <c r="Y13" t="s">
        <v>134</v>
      </c>
      <c r="AA13">
        <v>55</v>
      </c>
      <c r="AB13" t="s">
        <v>141</v>
      </c>
    </row>
    <row r="14" spans="1:32" x14ac:dyDescent="0.45">
      <c r="A14">
        <v>251</v>
      </c>
      <c r="B14">
        <v>191122</v>
      </c>
      <c r="C14" s="1">
        <v>0.41666666666666669</v>
      </c>
      <c r="D14" t="s">
        <v>98</v>
      </c>
      <c r="E14" t="s">
        <v>140</v>
      </c>
      <c r="F14">
        <v>37</v>
      </c>
      <c r="G14">
        <v>35</v>
      </c>
      <c r="H14">
        <v>35</v>
      </c>
      <c r="I14">
        <v>30</v>
      </c>
      <c r="K14">
        <v>27</v>
      </c>
      <c r="L14">
        <v>31</v>
      </c>
      <c r="M14">
        <v>40</v>
      </c>
      <c r="N14">
        <v>31</v>
      </c>
      <c r="P14">
        <v>137</v>
      </c>
      <c r="Q14">
        <v>129</v>
      </c>
      <c r="R14" t="s">
        <v>131</v>
      </c>
      <c r="S14" t="s">
        <v>131</v>
      </c>
      <c r="T14" t="s">
        <v>132</v>
      </c>
      <c r="U14" t="s">
        <v>132</v>
      </c>
      <c r="V14" t="s">
        <v>134</v>
      </c>
      <c r="W14" t="s">
        <v>134</v>
      </c>
      <c r="X14" t="s">
        <v>134</v>
      </c>
      <c r="Y14" t="s">
        <v>134</v>
      </c>
      <c r="AA14">
        <v>55.5</v>
      </c>
      <c r="AB14" t="s">
        <v>161</v>
      </c>
    </row>
    <row r="15" spans="1:32" x14ac:dyDescent="0.45">
      <c r="A15">
        <v>233</v>
      </c>
      <c r="B15">
        <v>191120</v>
      </c>
      <c r="C15" s="1">
        <v>0.41666666666666669</v>
      </c>
      <c r="D15" t="s">
        <v>151</v>
      </c>
      <c r="E15" t="s">
        <v>140</v>
      </c>
      <c r="F15">
        <v>27</v>
      </c>
      <c r="G15">
        <v>26</v>
      </c>
      <c r="H15">
        <v>35</v>
      </c>
      <c r="I15">
        <v>27</v>
      </c>
      <c r="K15">
        <v>28</v>
      </c>
      <c r="L15">
        <v>26</v>
      </c>
      <c r="M15">
        <v>25</v>
      </c>
      <c r="N15">
        <v>25</v>
      </c>
      <c r="P15">
        <v>115</v>
      </c>
      <c r="Q15">
        <v>104</v>
      </c>
      <c r="R15" t="s">
        <v>132</v>
      </c>
      <c r="S15" t="s">
        <v>135</v>
      </c>
      <c r="T15" t="s">
        <v>131</v>
      </c>
      <c r="U15" t="s">
        <v>131</v>
      </c>
      <c r="V15" t="s">
        <v>133</v>
      </c>
      <c r="W15" t="s">
        <v>133</v>
      </c>
      <c r="X15" t="s">
        <v>134</v>
      </c>
      <c r="Y15" t="s">
        <v>133</v>
      </c>
      <c r="AA15">
        <v>56.5</v>
      </c>
      <c r="AB15" t="s">
        <v>152</v>
      </c>
    </row>
    <row r="16" spans="1:32" x14ac:dyDescent="0.45">
      <c r="A16">
        <v>228</v>
      </c>
      <c r="B16">
        <v>191119</v>
      </c>
      <c r="C16" s="1">
        <v>0.41666666666666669</v>
      </c>
      <c r="D16" t="s">
        <v>147</v>
      </c>
      <c r="E16" t="s">
        <v>140</v>
      </c>
      <c r="F16">
        <v>29</v>
      </c>
      <c r="G16">
        <v>35</v>
      </c>
      <c r="H16">
        <v>35</v>
      </c>
      <c r="I16">
        <v>33</v>
      </c>
      <c r="K16">
        <v>30</v>
      </c>
      <c r="L16">
        <v>20</v>
      </c>
      <c r="M16">
        <v>26</v>
      </c>
      <c r="N16">
        <v>32</v>
      </c>
      <c r="P16">
        <v>132</v>
      </c>
      <c r="Q16">
        <v>108</v>
      </c>
      <c r="R16" t="s">
        <v>132</v>
      </c>
      <c r="S16" t="s">
        <v>131</v>
      </c>
      <c r="T16" t="s">
        <v>131</v>
      </c>
      <c r="U16" t="s">
        <v>131</v>
      </c>
      <c r="V16" t="s">
        <v>134</v>
      </c>
      <c r="W16" t="s">
        <v>133</v>
      </c>
      <c r="X16" t="s">
        <v>134</v>
      </c>
      <c r="Y16" t="s">
        <v>134</v>
      </c>
      <c r="AA16">
        <v>56.5</v>
      </c>
      <c r="AB16" t="s">
        <v>162</v>
      </c>
    </row>
    <row r="17" spans="1:28" x14ac:dyDescent="0.45">
      <c r="A17">
        <v>216</v>
      </c>
      <c r="B17">
        <v>191117</v>
      </c>
      <c r="C17" s="1">
        <v>0.4375</v>
      </c>
      <c r="D17" t="s">
        <v>144</v>
      </c>
      <c r="E17" t="s">
        <v>140</v>
      </c>
      <c r="F17">
        <v>23</v>
      </c>
      <c r="G17">
        <v>35</v>
      </c>
      <c r="H17">
        <v>38</v>
      </c>
      <c r="I17">
        <v>20</v>
      </c>
      <c r="K17">
        <v>41</v>
      </c>
      <c r="L17">
        <v>25</v>
      </c>
      <c r="M17">
        <v>24</v>
      </c>
      <c r="N17">
        <v>31</v>
      </c>
      <c r="P17">
        <v>116</v>
      </c>
      <c r="Q17">
        <v>121</v>
      </c>
      <c r="R17" t="s">
        <v>132</v>
      </c>
      <c r="S17" t="s">
        <v>131</v>
      </c>
      <c r="T17" t="s">
        <v>131</v>
      </c>
      <c r="U17" t="s">
        <v>132</v>
      </c>
      <c r="V17" t="s">
        <v>134</v>
      </c>
      <c r="W17" t="s">
        <v>134</v>
      </c>
      <c r="X17" t="s">
        <v>134</v>
      </c>
      <c r="Y17" t="s">
        <v>133</v>
      </c>
      <c r="AA17">
        <v>55</v>
      </c>
      <c r="AB17" t="s">
        <v>155</v>
      </c>
    </row>
    <row r="18" spans="1:28" x14ac:dyDescent="0.45">
      <c r="A18">
        <v>181</v>
      </c>
      <c r="B18">
        <v>191114</v>
      </c>
      <c r="C18" s="1">
        <v>0.5</v>
      </c>
      <c r="D18" t="s">
        <v>140</v>
      </c>
      <c r="E18" t="s">
        <v>145</v>
      </c>
      <c r="F18">
        <v>30</v>
      </c>
      <c r="G18">
        <v>23</v>
      </c>
      <c r="H18">
        <v>25</v>
      </c>
      <c r="I18">
        <v>28</v>
      </c>
      <c r="K18">
        <v>23</v>
      </c>
      <c r="L18">
        <v>31</v>
      </c>
      <c r="M18">
        <v>33</v>
      </c>
      <c r="N18">
        <v>27</v>
      </c>
      <c r="P18">
        <v>106</v>
      </c>
      <c r="Q18">
        <v>114</v>
      </c>
      <c r="R18" t="s">
        <v>131</v>
      </c>
      <c r="S18" t="s">
        <v>132</v>
      </c>
      <c r="T18" t="s">
        <v>132</v>
      </c>
      <c r="U18" t="s">
        <v>131</v>
      </c>
      <c r="V18" t="s">
        <v>133</v>
      </c>
      <c r="W18" t="s">
        <v>133</v>
      </c>
      <c r="X18" t="s">
        <v>134</v>
      </c>
      <c r="Y18" t="s">
        <v>133</v>
      </c>
      <c r="AA18">
        <v>56.5</v>
      </c>
      <c r="AB18" t="s">
        <v>154</v>
      </c>
    </row>
    <row r="19" spans="1:28" x14ac:dyDescent="0.45">
      <c r="A19">
        <v>174</v>
      </c>
      <c r="B19">
        <v>191113</v>
      </c>
      <c r="C19" s="1">
        <v>0.5</v>
      </c>
      <c r="D19" t="s">
        <v>100</v>
      </c>
      <c r="E19" t="s">
        <v>140</v>
      </c>
      <c r="F19">
        <v>21</v>
      </c>
      <c r="G19">
        <v>25</v>
      </c>
      <c r="H19">
        <v>35</v>
      </c>
      <c r="I19">
        <v>26</v>
      </c>
      <c r="K19">
        <v>24</v>
      </c>
      <c r="L19">
        <v>25</v>
      </c>
      <c r="M19">
        <v>21</v>
      </c>
      <c r="N19">
        <v>29</v>
      </c>
      <c r="P19">
        <v>107</v>
      </c>
      <c r="Q19">
        <v>99</v>
      </c>
      <c r="R19" t="s">
        <v>132</v>
      </c>
      <c r="S19" t="s">
        <v>135</v>
      </c>
      <c r="T19" t="s">
        <v>131</v>
      </c>
      <c r="U19" t="s">
        <v>132</v>
      </c>
      <c r="V19" t="s">
        <v>133</v>
      </c>
      <c r="W19" t="s">
        <v>133</v>
      </c>
      <c r="X19" t="s">
        <v>134</v>
      </c>
      <c r="Y19" t="s">
        <v>134</v>
      </c>
      <c r="AA19">
        <v>54.5</v>
      </c>
      <c r="AB19" t="s">
        <v>163</v>
      </c>
    </row>
    <row r="20" spans="1:28" x14ac:dyDescent="0.45">
      <c r="A20">
        <v>151</v>
      </c>
      <c r="B20">
        <v>191111</v>
      </c>
      <c r="C20" s="1">
        <v>0.45833333333333331</v>
      </c>
      <c r="D20" t="s">
        <v>140</v>
      </c>
      <c r="E20" t="s">
        <v>97</v>
      </c>
      <c r="F20">
        <v>20</v>
      </c>
      <c r="G20">
        <v>26</v>
      </c>
      <c r="H20">
        <v>29</v>
      </c>
      <c r="I20">
        <v>32</v>
      </c>
      <c r="J20">
        <v>17</v>
      </c>
      <c r="K20">
        <v>21</v>
      </c>
      <c r="L20">
        <v>23</v>
      </c>
      <c r="M20">
        <v>31</v>
      </c>
      <c r="N20">
        <v>32</v>
      </c>
      <c r="O20">
        <v>6</v>
      </c>
      <c r="P20">
        <v>124</v>
      </c>
      <c r="Q20">
        <v>113</v>
      </c>
      <c r="R20" t="s">
        <v>132</v>
      </c>
      <c r="S20" t="s">
        <v>131</v>
      </c>
      <c r="T20" t="s">
        <v>132</v>
      </c>
      <c r="U20" t="s">
        <v>135</v>
      </c>
      <c r="V20" t="s">
        <v>133</v>
      </c>
      <c r="W20" t="s">
        <v>133</v>
      </c>
      <c r="X20" t="s">
        <v>134</v>
      </c>
      <c r="Y20" t="s">
        <v>134</v>
      </c>
      <c r="AA20">
        <v>58</v>
      </c>
      <c r="AB20" t="s">
        <v>164</v>
      </c>
    </row>
    <row r="21" spans="1:28" x14ac:dyDescent="0.45">
      <c r="A21">
        <v>138</v>
      </c>
      <c r="B21">
        <v>191109</v>
      </c>
      <c r="C21" s="1">
        <v>0.5</v>
      </c>
      <c r="D21" t="s">
        <v>140</v>
      </c>
      <c r="E21" t="s">
        <v>142</v>
      </c>
      <c r="F21">
        <v>20</v>
      </c>
      <c r="G21">
        <v>29</v>
      </c>
      <c r="H21">
        <v>37</v>
      </c>
      <c r="I21">
        <v>29</v>
      </c>
      <c r="K21">
        <v>26</v>
      </c>
      <c r="L21">
        <v>28</v>
      </c>
      <c r="M21">
        <v>35</v>
      </c>
      <c r="N21">
        <v>30</v>
      </c>
      <c r="P21">
        <v>115</v>
      </c>
      <c r="Q21">
        <v>119</v>
      </c>
      <c r="R21" t="s">
        <v>132</v>
      </c>
      <c r="S21" t="s">
        <v>131</v>
      </c>
      <c r="T21" t="s">
        <v>131</v>
      </c>
      <c r="U21" t="s">
        <v>132</v>
      </c>
      <c r="V21" t="s">
        <v>133</v>
      </c>
      <c r="W21" t="s">
        <v>133</v>
      </c>
      <c r="X21" t="s">
        <v>134</v>
      </c>
      <c r="Y21" t="s">
        <v>134</v>
      </c>
      <c r="AA21">
        <v>57.5</v>
      </c>
      <c r="AB21" t="s">
        <v>165</v>
      </c>
    </row>
    <row r="22" spans="1:28" x14ac:dyDescent="0.45">
      <c r="A22">
        <v>117</v>
      </c>
      <c r="B22">
        <v>191108</v>
      </c>
      <c r="C22" s="1">
        <v>0.52083333333333337</v>
      </c>
      <c r="D22" t="s">
        <v>150</v>
      </c>
      <c r="E22" t="s">
        <v>140</v>
      </c>
      <c r="F22">
        <v>26</v>
      </c>
      <c r="G22">
        <v>21</v>
      </c>
      <c r="H22">
        <v>23</v>
      </c>
      <c r="I22">
        <v>37</v>
      </c>
      <c r="K22">
        <v>22</v>
      </c>
      <c r="L22">
        <v>18</v>
      </c>
      <c r="M22">
        <v>36</v>
      </c>
      <c r="N22">
        <v>25</v>
      </c>
      <c r="P22">
        <v>107</v>
      </c>
      <c r="Q22">
        <v>101</v>
      </c>
      <c r="R22" t="s">
        <v>131</v>
      </c>
      <c r="S22" t="s">
        <v>131</v>
      </c>
      <c r="T22" t="s">
        <v>132</v>
      </c>
      <c r="U22" t="s">
        <v>131</v>
      </c>
      <c r="V22" t="s">
        <v>133</v>
      </c>
      <c r="W22" t="s">
        <v>133</v>
      </c>
      <c r="X22" t="s">
        <v>134</v>
      </c>
      <c r="Y22" t="s">
        <v>134</v>
      </c>
      <c r="AA22">
        <v>56.5</v>
      </c>
      <c r="AB22" t="s">
        <v>157</v>
      </c>
    </row>
    <row r="23" spans="1:28" x14ac:dyDescent="0.45">
      <c r="A23">
        <v>98</v>
      </c>
      <c r="B23">
        <v>191105</v>
      </c>
      <c r="C23" s="1">
        <v>0.52083333333333337</v>
      </c>
      <c r="D23" t="s">
        <v>96</v>
      </c>
      <c r="E23" t="s">
        <v>140</v>
      </c>
      <c r="F23">
        <v>34</v>
      </c>
      <c r="G23">
        <v>26</v>
      </c>
      <c r="H23">
        <v>27</v>
      </c>
      <c r="I23">
        <v>40</v>
      </c>
      <c r="K23">
        <v>32</v>
      </c>
      <c r="L23">
        <v>31</v>
      </c>
      <c r="M23">
        <v>20</v>
      </c>
      <c r="N23">
        <v>35</v>
      </c>
      <c r="P23">
        <v>127</v>
      </c>
      <c r="Q23">
        <v>118</v>
      </c>
      <c r="R23" t="s">
        <v>131</v>
      </c>
      <c r="S23" t="s">
        <v>132</v>
      </c>
      <c r="T23" t="s">
        <v>131</v>
      </c>
      <c r="U23" t="s">
        <v>131</v>
      </c>
      <c r="V23" t="s">
        <v>134</v>
      </c>
      <c r="W23" t="s">
        <v>134</v>
      </c>
      <c r="X23" t="s">
        <v>133</v>
      </c>
      <c r="Y23" t="s">
        <v>134</v>
      </c>
      <c r="AA23">
        <v>53.5</v>
      </c>
      <c r="AB23" t="s">
        <v>166</v>
      </c>
    </row>
    <row r="24" spans="1:28" ht="21.5" customHeight="1" x14ac:dyDescent="0.45">
      <c r="A24">
        <v>86</v>
      </c>
      <c r="B24">
        <v>191103</v>
      </c>
      <c r="C24" s="1">
        <v>0.45833333333333331</v>
      </c>
      <c r="D24" t="s">
        <v>140</v>
      </c>
      <c r="E24" t="s">
        <v>95</v>
      </c>
      <c r="F24">
        <v>32</v>
      </c>
      <c r="G24">
        <v>36</v>
      </c>
      <c r="H24">
        <v>34</v>
      </c>
      <c r="I24">
        <v>26</v>
      </c>
      <c r="K24">
        <v>27</v>
      </c>
      <c r="L24">
        <v>30</v>
      </c>
      <c r="M24">
        <v>35</v>
      </c>
      <c r="N24">
        <v>37</v>
      </c>
      <c r="P24">
        <v>128</v>
      </c>
      <c r="Q24">
        <v>129</v>
      </c>
      <c r="R24" t="s">
        <v>131</v>
      </c>
      <c r="S24" t="s">
        <v>131</v>
      </c>
      <c r="T24" t="s">
        <v>132</v>
      </c>
      <c r="U24" t="s">
        <v>132</v>
      </c>
      <c r="V24" t="s">
        <v>134</v>
      </c>
      <c r="W24" t="s">
        <v>134</v>
      </c>
      <c r="X24" t="s">
        <v>134</v>
      </c>
      <c r="Y24" t="s">
        <v>134</v>
      </c>
      <c r="AA24">
        <v>57.5</v>
      </c>
      <c r="AB24" t="s">
        <v>167</v>
      </c>
    </row>
    <row r="25" spans="1:28" x14ac:dyDescent="0.45">
      <c r="A25">
        <v>63</v>
      </c>
      <c r="B25">
        <v>191031</v>
      </c>
      <c r="C25" s="1">
        <v>0.375</v>
      </c>
      <c r="D25" t="s">
        <v>146</v>
      </c>
      <c r="E25" t="s">
        <v>140</v>
      </c>
      <c r="F25">
        <v>17</v>
      </c>
      <c r="G25">
        <v>27</v>
      </c>
      <c r="H25">
        <v>25</v>
      </c>
      <c r="I25">
        <v>30</v>
      </c>
      <c r="K25">
        <v>24</v>
      </c>
      <c r="L25">
        <v>25</v>
      </c>
      <c r="M25">
        <v>19</v>
      </c>
      <c r="N25">
        <v>34</v>
      </c>
      <c r="P25">
        <v>99</v>
      </c>
      <c r="Q25">
        <v>102</v>
      </c>
      <c r="R25" t="s">
        <v>132</v>
      </c>
      <c r="S25" t="s">
        <v>131</v>
      </c>
      <c r="T25" t="s">
        <v>131</v>
      </c>
      <c r="U25" t="s">
        <v>132</v>
      </c>
      <c r="V25" t="s">
        <v>133</v>
      </c>
      <c r="W25" t="s">
        <v>133</v>
      </c>
      <c r="X25" t="s">
        <v>133</v>
      </c>
      <c r="Y25" t="s">
        <v>134</v>
      </c>
      <c r="AA25">
        <v>54</v>
      </c>
      <c r="AB25" t="s">
        <v>168</v>
      </c>
    </row>
    <row r="26" spans="1:28" x14ac:dyDescent="0.45">
      <c r="A26">
        <v>48</v>
      </c>
      <c r="B26">
        <v>191029</v>
      </c>
      <c r="C26" s="1">
        <v>0.39583333333333331</v>
      </c>
      <c r="D26" t="s">
        <v>144</v>
      </c>
      <c r="E26" t="s">
        <v>140</v>
      </c>
      <c r="F26">
        <v>19</v>
      </c>
      <c r="G26">
        <v>26</v>
      </c>
      <c r="H26">
        <v>37</v>
      </c>
      <c r="I26">
        <v>31</v>
      </c>
      <c r="K26">
        <v>33</v>
      </c>
      <c r="L26">
        <v>18</v>
      </c>
      <c r="M26">
        <v>20</v>
      </c>
      <c r="N26">
        <v>39</v>
      </c>
      <c r="P26">
        <v>113</v>
      </c>
      <c r="Q26">
        <v>110</v>
      </c>
      <c r="R26" t="s">
        <v>132</v>
      </c>
      <c r="S26" t="s">
        <v>131</v>
      </c>
      <c r="T26" t="s">
        <v>131</v>
      </c>
      <c r="U26" t="s">
        <v>132</v>
      </c>
      <c r="V26" t="s">
        <v>133</v>
      </c>
      <c r="W26" t="s">
        <v>133</v>
      </c>
      <c r="X26" t="s">
        <v>134</v>
      </c>
      <c r="Y26" t="s">
        <v>134</v>
      </c>
      <c r="AA26">
        <v>54</v>
      </c>
      <c r="AB26" t="s">
        <v>155</v>
      </c>
    </row>
    <row r="27" spans="1:28" x14ac:dyDescent="0.45">
      <c r="A27">
        <v>38</v>
      </c>
      <c r="B27">
        <v>191028</v>
      </c>
      <c r="C27" s="1">
        <v>0.33333333333333331</v>
      </c>
      <c r="D27" t="s">
        <v>136</v>
      </c>
      <c r="E27" t="s">
        <v>140</v>
      </c>
      <c r="F27">
        <v>40</v>
      </c>
      <c r="G27">
        <v>31</v>
      </c>
      <c r="H27">
        <v>24</v>
      </c>
      <c r="I27">
        <v>24</v>
      </c>
      <c r="K27">
        <v>25</v>
      </c>
      <c r="L27">
        <v>34</v>
      </c>
      <c r="M27">
        <v>36</v>
      </c>
      <c r="N27">
        <v>26</v>
      </c>
      <c r="P27">
        <v>119</v>
      </c>
      <c r="Q27">
        <v>121</v>
      </c>
      <c r="R27" t="s">
        <v>131</v>
      </c>
      <c r="S27" t="s">
        <v>132</v>
      </c>
      <c r="T27" t="s">
        <v>132</v>
      </c>
      <c r="U27" t="s">
        <v>132</v>
      </c>
      <c r="V27" t="s">
        <v>134</v>
      </c>
      <c r="W27" t="s">
        <v>134</v>
      </c>
      <c r="X27" t="s">
        <v>134</v>
      </c>
      <c r="Y27" t="s">
        <v>133</v>
      </c>
      <c r="AA27">
        <v>54</v>
      </c>
      <c r="AB27" t="s">
        <v>153</v>
      </c>
    </row>
    <row r="28" spans="1:28" x14ac:dyDescent="0.45">
      <c r="A28">
        <v>25</v>
      </c>
      <c r="B28">
        <v>191026</v>
      </c>
      <c r="C28" s="1">
        <v>0.47916666666666669</v>
      </c>
      <c r="D28" t="s">
        <v>100</v>
      </c>
      <c r="E28" t="s">
        <v>140</v>
      </c>
      <c r="F28">
        <v>27</v>
      </c>
      <c r="G28">
        <v>30</v>
      </c>
      <c r="H28">
        <v>27</v>
      </c>
      <c r="I28">
        <v>28</v>
      </c>
      <c r="K28">
        <v>25</v>
      </c>
      <c r="L28">
        <v>32</v>
      </c>
      <c r="M28">
        <v>37</v>
      </c>
      <c r="N28">
        <v>28</v>
      </c>
      <c r="P28">
        <v>112</v>
      </c>
      <c r="Q28">
        <v>122</v>
      </c>
      <c r="R28" t="s">
        <v>131</v>
      </c>
      <c r="S28" t="s">
        <v>132</v>
      </c>
      <c r="T28" t="s">
        <v>132</v>
      </c>
      <c r="U28" t="s">
        <v>135</v>
      </c>
      <c r="V28" t="s">
        <v>133</v>
      </c>
      <c r="W28" t="s">
        <v>134</v>
      </c>
      <c r="X28" t="s">
        <v>134</v>
      </c>
      <c r="Y28" t="s">
        <v>134</v>
      </c>
      <c r="AA28">
        <v>55.5</v>
      </c>
      <c r="AB28" t="s">
        <v>163</v>
      </c>
    </row>
    <row r="29" spans="1:28" x14ac:dyDescent="0.45">
      <c r="A29">
        <v>11</v>
      </c>
      <c r="B29">
        <v>191024</v>
      </c>
      <c r="C29" s="1"/>
      <c r="D29" t="s">
        <v>140</v>
      </c>
      <c r="E29" t="s">
        <v>148</v>
      </c>
      <c r="F29">
        <v>27</v>
      </c>
      <c r="G29">
        <v>23</v>
      </c>
      <c r="H29">
        <v>24</v>
      </c>
      <c r="I29">
        <v>26</v>
      </c>
      <c r="K29">
        <v>24</v>
      </c>
      <c r="L29">
        <v>30</v>
      </c>
      <c r="M29">
        <v>19</v>
      </c>
      <c r="N29">
        <v>35</v>
      </c>
      <c r="P29">
        <v>100</v>
      </c>
      <c r="Q29">
        <v>108</v>
      </c>
      <c r="R29" t="s">
        <v>131</v>
      </c>
      <c r="S29" t="s">
        <v>132</v>
      </c>
      <c r="T29" t="s">
        <v>131</v>
      </c>
      <c r="U29" t="s">
        <v>132</v>
      </c>
      <c r="V29" t="s">
        <v>133</v>
      </c>
      <c r="W29" t="s">
        <v>133</v>
      </c>
      <c r="X29" t="s">
        <v>133</v>
      </c>
      <c r="Y29" t="s">
        <v>134</v>
      </c>
      <c r="AA29">
        <v>56.5</v>
      </c>
      <c r="AB29" t="s">
        <v>156</v>
      </c>
    </row>
    <row r="30" spans="1:28" x14ac:dyDescent="0.45">
      <c r="C30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02CD-C0AB-4564-ADE7-6AAB05D0D415}">
  <dimension ref="A1:E30"/>
  <sheetViews>
    <sheetView workbookViewId="0"/>
  </sheetViews>
  <sheetFormatPr defaultRowHeight="17" x14ac:dyDescent="0.45"/>
  <cols>
    <col min="4" max="4" width="13.33203125" customWidth="1"/>
  </cols>
  <sheetData>
    <row r="1" spans="1:5" x14ac:dyDescent="0.45">
      <c r="A1" t="s">
        <v>250</v>
      </c>
      <c r="D1" t="s">
        <v>272</v>
      </c>
      <c r="E1" t="s">
        <v>288</v>
      </c>
    </row>
    <row r="2" spans="1:5" x14ac:dyDescent="0.45">
      <c r="A2" t="s">
        <v>252</v>
      </c>
      <c r="D2" t="s">
        <v>268</v>
      </c>
      <c r="E2" t="s">
        <v>289</v>
      </c>
    </row>
    <row r="3" spans="1:5" x14ac:dyDescent="0.45">
      <c r="A3" t="s">
        <v>254</v>
      </c>
      <c r="D3" t="s">
        <v>278</v>
      </c>
      <c r="E3" t="s">
        <v>290</v>
      </c>
    </row>
    <row r="4" spans="1:5" x14ac:dyDescent="0.45">
      <c r="A4" t="s">
        <v>256</v>
      </c>
      <c r="D4" t="s">
        <v>251</v>
      </c>
      <c r="E4" t="s">
        <v>291</v>
      </c>
    </row>
    <row r="5" spans="1:5" x14ac:dyDescent="0.45">
      <c r="A5" t="s">
        <v>258</v>
      </c>
      <c r="D5" t="s">
        <v>252</v>
      </c>
      <c r="E5" t="s">
        <v>292</v>
      </c>
    </row>
    <row r="6" spans="1:5" x14ac:dyDescent="0.45">
      <c r="A6" t="e">
        <v>#VALUE!</v>
      </c>
      <c r="D6" t="s">
        <v>250</v>
      </c>
      <c r="E6" t="s">
        <v>293</v>
      </c>
    </row>
    <row r="7" spans="1:5" x14ac:dyDescent="0.45">
      <c r="A7" t="s">
        <v>260</v>
      </c>
      <c r="D7" t="s">
        <v>261</v>
      </c>
      <c r="E7" t="s">
        <v>294</v>
      </c>
    </row>
    <row r="8" spans="1:5" x14ac:dyDescent="0.45">
      <c r="A8" t="s">
        <v>262</v>
      </c>
      <c r="D8" t="s">
        <v>275</v>
      </c>
      <c r="E8" t="s">
        <v>295</v>
      </c>
    </row>
    <row r="9" spans="1:5" x14ac:dyDescent="0.45">
      <c r="A9" t="s">
        <v>264</v>
      </c>
      <c r="D9" t="s">
        <v>264</v>
      </c>
      <c r="E9" t="s">
        <v>296</v>
      </c>
    </row>
    <row r="10" spans="1:5" x14ac:dyDescent="0.45">
      <c r="A10" t="s">
        <v>267</v>
      </c>
      <c r="D10" t="s">
        <v>259</v>
      </c>
      <c r="E10" t="s">
        <v>297</v>
      </c>
    </row>
    <row r="11" spans="1:5" x14ac:dyDescent="0.45">
      <c r="A11" t="s">
        <v>270</v>
      </c>
      <c r="D11" t="s">
        <v>273</v>
      </c>
      <c r="E11" t="s">
        <v>298</v>
      </c>
    </row>
    <row r="12" spans="1:5" x14ac:dyDescent="0.45">
      <c r="A12" t="s">
        <v>272</v>
      </c>
      <c r="D12" t="s">
        <v>276</v>
      </c>
      <c r="E12" t="s">
        <v>299</v>
      </c>
    </row>
    <row r="13" spans="1:5" x14ac:dyDescent="0.45">
      <c r="A13" t="s">
        <v>253</v>
      </c>
      <c r="D13" t="s">
        <v>274</v>
      </c>
      <c r="E13" t="s">
        <v>300</v>
      </c>
    </row>
    <row r="14" spans="1:5" x14ac:dyDescent="0.45">
      <c r="A14" t="s">
        <v>274</v>
      </c>
      <c r="D14" t="s">
        <v>260</v>
      </c>
      <c r="E14" t="s">
        <v>301</v>
      </c>
    </row>
    <row r="15" spans="1:5" x14ac:dyDescent="0.45">
      <c r="A15" t="s">
        <v>251</v>
      </c>
      <c r="D15" t="s">
        <v>269</v>
      </c>
      <c r="E15" t="s">
        <v>302</v>
      </c>
    </row>
    <row r="16" spans="1:5" x14ac:dyDescent="0.45">
      <c r="A16" t="s">
        <v>265</v>
      </c>
      <c r="D16" t="s">
        <v>287</v>
      </c>
      <c r="E16" t="s">
        <v>303</v>
      </c>
    </row>
    <row r="17" spans="1:5" x14ac:dyDescent="0.45">
      <c r="A17" t="s">
        <v>276</v>
      </c>
      <c r="D17" t="s">
        <v>262</v>
      </c>
      <c r="E17" t="s">
        <v>304</v>
      </c>
    </row>
    <row r="18" spans="1:5" x14ac:dyDescent="0.45">
      <c r="A18" t="s">
        <v>257</v>
      </c>
      <c r="D18" t="s">
        <v>265</v>
      </c>
      <c r="E18" t="s">
        <v>305</v>
      </c>
    </row>
    <row r="19" spans="1:5" x14ac:dyDescent="0.45">
      <c r="A19" t="s">
        <v>278</v>
      </c>
      <c r="D19" t="s">
        <v>263</v>
      </c>
      <c r="E19" t="s">
        <v>306</v>
      </c>
    </row>
    <row r="20" spans="1:5" x14ac:dyDescent="0.45">
      <c r="A20" t="s">
        <v>255</v>
      </c>
      <c r="D20" t="s">
        <v>271</v>
      </c>
      <c r="E20" t="s">
        <v>307</v>
      </c>
    </row>
    <row r="21" spans="1:5" x14ac:dyDescent="0.45">
      <c r="A21" t="s">
        <v>277</v>
      </c>
      <c r="D21" t="s">
        <v>277</v>
      </c>
      <c r="E21" t="s">
        <v>308</v>
      </c>
    </row>
    <row r="22" spans="1:5" x14ac:dyDescent="0.45">
      <c r="A22" t="s">
        <v>266</v>
      </c>
      <c r="D22" t="s">
        <v>267</v>
      </c>
      <c r="E22" t="s">
        <v>309</v>
      </c>
    </row>
    <row r="23" spans="1:5" x14ac:dyDescent="0.45">
      <c r="A23" t="s">
        <v>273</v>
      </c>
      <c r="D23" t="s">
        <v>258</v>
      </c>
      <c r="E23" t="s">
        <v>310</v>
      </c>
    </row>
    <row r="24" spans="1:5" x14ac:dyDescent="0.45">
      <c r="A24" t="s">
        <v>269</v>
      </c>
      <c r="D24" t="s">
        <v>253</v>
      </c>
      <c r="E24" t="s">
        <v>311</v>
      </c>
    </row>
    <row r="25" spans="1:5" x14ac:dyDescent="0.45">
      <c r="A25" t="s">
        <v>259</v>
      </c>
      <c r="D25" t="s">
        <v>255</v>
      </c>
      <c r="E25" t="s">
        <v>312</v>
      </c>
    </row>
    <row r="26" spans="1:5" x14ac:dyDescent="0.45">
      <c r="A26" t="s">
        <v>261</v>
      </c>
      <c r="D26" t="s">
        <v>266</v>
      </c>
      <c r="E26" t="s">
        <v>313</v>
      </c>
    </row>
    <row r="27" spans="1:5" x14ac:dyDescent="0.45">
      <c r="A27" t="s">
        <v>263</v>
      </c>
      <c r="D27" t="s">
        <v>270</v>
      </c>
      <c r="E27" t="s">
        <v>314</v>
      </c>
    </row>
    <row r="28" spans="1:5" x14ac:dyDescent="0.45">
      <c r="A28" t="s">
        <v>268</v>
      </c>
      <c r="D28" t="s">
        <v>257</v>
      </c>
      <c r="E28" t="s">
        <v>315</v>
      </c>
    </row>
    <row r="29" spans="1:5" x14ac:dyDescent="0.45">
      <c r="A29" t="s">
        <v>271</v>
      </c>
      <c r="D29" t="s">
        <v>254</v>
      </c>
      <c r="E29" t="s">
        <v>316</v>
      </c>
    </row>
    <row r="30" spans="1:5" x14ac:dyDescent="0.45">
      <c r="A30" t="s">
        <v>275</v>
      </c>
      <c r="D30" t="s">
        <v>256</v>
      </c>
      <c r="E30" t="s">
        <v>317</v>
      </c>
    </row>
  </sheetData>
  <sortState ref="D1:D31">
    <sortCondition ref="D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 (2)</vt:lpstr>
      <vt:lpstr>Sheet3</vt:lpstr>
      <vt:lpstr>Sheet6</vt:lpstr>
      <vt:lpstr>Sheet4</vt:lpstr>
      <vt:lpstr>Sheet5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 Kim</dc:creator>
  <cp:lastModifiedBy>TJ Kim</cp:lastModifiedBy>
  <dcterms:created xsi:type="dcterms:W3CDTF">2019-11-27T10:57:16Z</dcterms:created>
  <dcterms:modified xsi:type="dcterms:W3CDTF">2019-12-19T01:18:25Z</dcterms:modified>
</cp:coreProperties>
</file>