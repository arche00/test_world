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790" yWindow="1125" windowWidth="19185" windowHeight="10185" activeTab="6"/>
  </bookViews>
  <sheets>
    <sheet name="Sheet1" sheetId="1" r:id="rId1"/>
    <sheet name="Sheet2" sheetId="2" r:id="rId2"/>
    <sheet name="Sheet3 (2)" sheetId="8" r:id="rId3"/>
    <sheet name="Sheet3" sheetId="3" r:id="rId4"/>
    <sheet name="Sheet6" sheetId="6" r:id="rId5"/>
    <sheet name="Sheet4" sheetId="4" r:id="rId6"/>
    <sheet name="Sheet5" sheetId="5" r:id="rId7"/>
    <sheet name="Sheet7" sheetId="7" r:id="rId8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8" i="2" l="1"/>
  <c r="J98" i="2" s="1"/>
  <c r="N98" i="2" s="1"/>
  <c r="K98" i="2"/>
  <c r="O98" i="2" s="1"/>
  <c r="M98" i="2"/>
  <c r="I99" i="2"/>
  <c r="J99" i="2" s="1"/>
  <c r="N99" i="2" s="1"/>
  <c r="K99" i="2"/>
  <c r="M99" i="2"/>
  <c r="O99" i="2"/>
  <c r="I100" i="2"/>
  <c r="J100" i="2" s="1"/>
  <c r="N100" i="2" s="1"/>
  <c r="K100" i="2"/>
  <c r="O100" i="2" s="1"/>
  <c r="M100" i="2"/>
  <c r="I101" i="2"/>
  <c r="J101" i="2"/>
  <c r="N101" i="2" s="1"/>
  <c r="K101" i="2"/>
  <c r="M101" i="2"/>
  <c r="O101" i="2"/>
  <c r="I102" i="2"/>
  <c r="J102" i="2" s="1"/>
  <c r="N102" i="2" s="1"/>
  <c r="K102" i="2"/>
  <c r="O102" i="2" s="1"/>
  <c r="M102" i="2"/>
  <c r="I103" i="2"/>
  <c r="J103" i="2" s="1"/>
  <c r="N103" i="2" s="1"/>
  <c r="K103" i="2"/>
  <c r="M103" i="2"/>
  <c r="O103" i="2"/>
  <c r="I104" i="2"/>
  <c r="J104" i="2" s="1"/>
  <c r="N104" i="2" s="1"/>
  <c r="K104" i="2"/>
  <c r="O104" i="2" s="1"/>
  <c r="M104" i="2"/>
  <c r="I105" i="2"/>
  <c r="J105" i="2" s="1"/>
  <c r="N105" i="2" s="1"/>
  <c r="K105" i="2"/>
  <c r="O105" i="2" s="1"/>
  <c r="M105" i="2"/>
  <c r="I106" i="2"/>
  <c r="J106" i="2" s="1"/>
  <c r="N106" i="2" s="1"/>
  <c r="K106" i="2"/>
  <c r="O106" i="2" s="1"/>
  <c r="M106" i="2"/>
  <c r="I107" i="2"/>
  <c r="J107" i="2" s="1"/>
  <c r="N107" i="2" s="1"/>
  <c r="K107" i="2"/>
  <c r="M107" i="2"/>
  <c r="O107" i="2"/>
  <c r="I108" i="2"/>
  <c r="J108" i="2" s="1"/>
  <c r="K108" i="2"/>
  <c r="O108" i="2" s="1"/>
  <c r="M108" i="2"/>
  <c r="N108" i="2"/>
  <c r="I109" i="2"/>
  <c r="J109" i="2" s="1"/>
  <c r="N109" i="2" s="1"/>
  <c r="K109" i="2"/>
  <c r="O109" i="2" s="1"/>
  <c r="M109" i="2"/>
  <c r="I110" i="2"/>
  <c r="J110" i="2" s="1"/>
  <c r="N110" i="2" s="1"/>
  <c r="K110" i="2"/>
  <c r="O110" i="2" s="1"/>
  <c r="M110" i="2"/>
  <c r="I111" i="2"/>
  <c r="J111" i="2" s="1"/>
  <c r="N111" i="2" s="1"/>
  <c r="K111" i="2"/>
  <c r="O111" i="2" s="1"/>
  <c r="M111" i="2"/>
  <c r="I112" i="2"/>
  <c r="J112" i="2" s="1"/>
  <c r="N112" i="2" s="1"/>
  <c r="K112" i="2"/>
  <c r="O112" i="2" s="1"/>
  <c r="M112" i="2"/>
  <c r="I113" i="2"/>
  <c r="J113" i="2" s="1"/>
  <c r="N113" i="2" s="1"/>
  <c r="K113" i="2"/>
  <c r="O113" i="2" s="1"/>
  <c r="M113" i="2"/>
  <c r="I114" i="2"/>
  <c r="J114" i="2" s="1"/>
  <c r="N114" i="2" s="1"/>
  <c r="K114" i="2"/>
  <c r="O114" i="2" s="1"/>
  <c r="M114" i="2"/>
  <c r="I115" i="2"/>
  <c r="J115" i="2" s="1"/>
  <c r="N115" i="2" s="1"/>
  <c r="K115" i="2"/>
  <c r="O115" i="2" s="1"/>
  <c r="M115" i="2"/>
  <c r="I116" i="2"/>
  <c r="J116" i="2" s="1"/>
  <c r="N116" i="2" s="1"/>
  <c r="K116" i="2"/>
  <c r="O116" i="2" s="1"/>
  <c r="M116" i="2"/>
  <c r="I117" i="2"/>
  <c r="J117" i="2" s="1"/>
  <c r="N117" i="2" s="1"/>
  <c r="K117" i="2"/>
  <c r="O117" i="2" s="1"/>
  <c r="M117" i="2"/>
  <c r="I118" i="2"/>
  <c r="J118" i="2" s="1"/>
  <c r="N118" i="2" s="1"/>
  <c r="K118" i="2"/>
  <c r="O118" i="2" s="1"/>
  <c r="M118" i="2"/>
  <c r="I119" i="2"/>
  <c r="J119" i="2" s="1"/>
  <c r="K119" i="2"/>
  <c r="O119" i="2" s="1"/>
  <c r="M119" i="2"/>
  <c r="N119" i="2"/>
  <c r="I120" i="2"/>
  <c r="J120" i="2" s="1"/>
  <c r="N120" i="2" s="1"/>
  <c r="K120" i="2"/>
  <c r="O120" i="2" s="1"/>
  <c r="M120" i="2"/>
  <c r="I121" i="2"/>
  <c r="J121" i="2" s="1"/>
  <c r="N121" i="2" s="1"/>
  <c r="K121" i="2"/>
  <c r="O121" i="2" s="1"/>
  <c r="M121" i="2"/>
  <c r="I122" i="2"/>
  <c r="J122" i="2" s="1"/>
  <c r="N122" i="2" s="1"/>
  <c r="K122" i="2"/>
  <c r="O122" i="2" s="1"/>
  <c r="M122" i="2"/>
  <c r="I123" i="2"/>
  <c r="J123" i="2" s="1"/>
  <c r="N123" i="2" s="1"/>
  <c r="K123" i="2"/>
  <c r="M123" i="2"/>
  <c r="O123" i="2"/>
  <c r="I124" i="2"/>
  <c r="J124" i="2" s="1"/>
  <c r="K124" i="2"/>
  <c r="O124" i="2" s="1"/>
  <c r="M124" i="2"/>
  <c r="N124" i="2"/>
  <c r="I125" i="2"/>
  <c r="J125" i="2" s="1"/>
  <c r="N125" i="2" s="1"/>
  <c r="K125" i="2"/>
  <c r="O125" i="2" s="1"/>
  <c r="M125" i="2"/>
  <c r="I126" i="2"/>
  <c r="J126" i="2" s="1"/>
  <c r="N126" i="2" s="1"/>
  <c r="K126" i="2"/>
  <c r="O126" i="2" s="1"/>
  <c r="M126" i="2"/>
  <c r="I127" i="2"/>
  <c r="J127" i="2" s="1"/>
  <c r="N127" i="2" s="1"/>
  <c r="K127" i="2"/>
  <c r="M127" i="2"/>
  <c r="O127" i="2"/>
  <c r="I128" i="2"/>
  <c r="J128" i="2" s="1"/>
  <c r="K128" i="2"/>
  <c r="O128" i="2" s="1"/>
  <c r="M128" i="2"/>
  <c r="N128" i="2"/>
  <c r="I129" i="2"/>
  <c r="J129" i="2" s="1"/>
  <c r="N129" i="2" s="1"/>
  <c r="K129" i="2"/>
  <c r="O129" i="2" s="1"/>
  <c r="M129" i="2"/>
  <c r="I130" i="2"/>
  <c r="J130" i="2" s="1"/>
  <c r="N130" i="2" s="1"/>
  <c r="K130" i="2"/>
  <c r="O130" i="2" s="1"/>
  <c r="M130" i="2"/>
  <c r="I131" i="2"/>
  <c r="J131" i="2" s="1"/>
  <c r="K131" i="2"/>
  <c r="M131" i="2"/>
  <c r="N131" i="2"/>
  <c r="O131" i="2"/>
  <c r="I132" i="2"/>
  <c r="J132" i="2" s="1"/>
  <c r="K132" i="2"/>
  <c r="O132" i="2" s="1"/>
  <c r="M132" i="2"/>
  <c r="N132" i="2"/>
  <c r="I133" i="2"/>
  <c r="J133" i="2" s="1"/>
  <c r="N133" i="2" s="1"/>
  <c r="K133" i="2"/>
  <c r="O133" i="2" s="1"/>
  <c r="M133" i="2"/>
  <c r="I134" i="2"/>
  <c r="J134" i="2" s="1"/>
  <c r="N134" i="2" s="1"/>
  <c r="K134" i="2"/>
  <c r="O134" i="2" s="1"/>
  <c r="M134" i="2"/>
  <c r="I135" i="2"/>
  <c r="J135" i="2" s="1"/>
  <c r="N135" i="2" s="1"/>
  <c r="K135" i="2"/>
  <c r="M135" i="2"/>
  <c r="O135" i="2"/>
  <c r="I136" i="2"/>
  <c r="J136" i="2" s="1"/>
  <c r="K136" i="2"/>
  <c r="O136" i="2" s="1"/>
  <c r="M136" i="2"/>
  <c r="N136" i="2"/>
  <c r="I137" i="2"/>
  <c r="J137" i="2" s="1"/>
  <c r="N137" i="2" s="1"/>
  <c r="K137" i="2"/>
  <c r="O137" i="2" s="1"/>
  <c r="M137" i="2"/>
  <c r="I138" i="2"/>
  <c r="J138" i="2" s="1"/>
  <c r="N138" i="2" s="1"/>
  <c r="K138" i="2"/>
  <c r="O138" i="2" s="1"/>
  <c r="M138" i="2"/>
  <c r="I139" i="2"/>
  <c r="J139" i="2" s="1"/>
  <c r="N139" i="2" s="1"/>
  <c r="K139" i="2"/>
  <c r="M139" i="2"/>
  <c r="O139" i="2"/>
  <c r="I140" i="2"/>
  <c r="J140" i="2" s="1"/>
  <c r="K140" i="2"/>
  <c r="O140" i="2" s="1"/>
  <c r="M140" i="2"/>
  <c r="N140" i="2"/>
  <c r="I141" i="2"/>
  <c r="J141" i="2" s="1"/>
  <c r="N141" i="2" s="1"/>
  <c r="K141" i="2"/>
  <c r="O141" i="2" s="1"/>
  <c r="M141" i="2"/>
  <c r="I142" i="2"/>
  <c r="J142" i="2" s="1"/>
  <c r="N142" i="2" s="1"/>
  <c r="K142" i="2"/>
  <c r="O142" i="2" s="1"/>
  <c r="M142" i="2"/>
  <c r="I143" i="2"/>
  <c r="J143" i="2" s="1"/>
  <c r="N143" i="2" s="1"/>
  <c r="K143" i="2"/>
  <c r="M143" i="2"/>
  <c r="O143" i="2"/>
  <c r="I144" i="2"/>
  <c r="J144" i="2" s="1"/>
  <c r="K144" i="2"/>
  <c r="O144" i="2" s="1"/>
  <c r="M144" i="2"/>
  <c r="N144" i="2"/>
  <c r="I145" i="2"/>
  <c r="J145" i="2" s="1"/>
  <c r="N145" i="2" s="1"/>
  <c r="K145" i="2"/>
  <c r="O145" i="2" s="1"/>
  <c r="M145" i="2"/>
  <c r="I146" i="2"/>
  <c r="J146" i="2" s="1"/>
  <c r="N146" i="2" s="1"/>
  <c r="K146" i="2"/>
  <c r="O146" i="2" s="1"/>
  <c r="M146" i="2"/>
  <c r="I147" i="2"/>
  <c r="J147" i="2" s="1"/>
  <c r="K147" i="2"/>
  <c r="M147" i="2"/>
  <c r="N147" i="2"/>
  <c r="O147" i="2"/>
  <c r="I148" i="2"/>
  <c r="J148" i="2" s="1"/>
  <c r="K148" i="2"/>
  <c r="O148" i="2" s="1"/>
  <c r="M148" i="2"/>
  <c r="N148" i="2"/>
  <c r="I149" i="2"/>
  <c r="J149" i="2" s="1"/>
  <c r="N149" i="2" s="1"/>
  <c r="K149" i="2"/>
  <c r="O149" i="2" s="1"/>
  <c r="M149" i="2"/>
  <c r="I150" i="2"/>
  <c r="J150" i="2" s="1"/>
  <c r="N150" i="2" s="1"/>
  <c r="K150" i="2"/>
  <c r="O150" i="2" s="1"/>
  <c r="M150" i="2"/>
  <c r="I151" i="2"/>
  <c r="J151" i="2" s="1"/>
  <c r="K151" i="2"/>
  <c r="M151" i="2"/>
  <c r="N151" i="2"/>
  <c r="O151" i="2"/>
  <c r="I152" i="2"/>
  <c r="J152" i="2" s="1"/>
  <c r="K152" i="2"/>
  <c r="O152" i="2" s="1"/>
  <c r="M152" i="2"/>
  <c r="N152" i="2"/>
  <c r="I153" i="2"/>
  <c r="J153" i="2" s="1"/>
  <c r="N153" i="2" s="1"/>
  <c r="K153" i="2"/>
  <c r="O153" i="2" s="1"/>
  <c r="M153" i="2"/>
  <c r="I154" i="2"/>
  <c r="J154" i="2" s="1"/>
  <c r="N154" i="2" s="1"/>
  <c r="K154" i="2"/>
  <c r="O154" i="2" s="1"/>
  <c r="M154" i="2"/>
  <c r="I155" i="2"/>
  <c r="J155" i="2" s="1"/>
  <c r="N155" i="2" s="1"/>
  <c r="K155" i="2"/>
  <c r="M155" i="2"/>
  <c r="O155" i="2"/>
  <c r="I156" i="2"/>
  <c r="J156" i="2" s="1"/>
  <c r="K156" i="2"/>
  <c r="O156" i="2" s="1"/>
  <c r="M156" i="2"/>
  <c r="N156" i="2"/>
  <c r="I157" i="2"/>
  <c r="J157" i="2" s="1"/>
  <c r="N157" i="2" s="1"/>
  <c r="K157" i="2"/>
  <c r="O157" i="2" s="1"/>
  <c r="M157" i="2"/>
  <c r="I158" i="2"/>
  <c r="J158" i="2" s="1"/>
  <c r="N158" i="2" s="1"/>
  <c r="K158" i="2"/>
  <c r="O158" i="2" s="1"/>
  <c r="M158" i="2"/>
  <c r="I159" i="2"/>
  <c r="J159" i="2" s="1"/>
  <c r="N159" i="2" s="1"/>
  <c r="K159" i="2"/>
  <c r="M159" i="2"/>
  <c r="O159" i="2"/>
  <c r="I160" i="2"/>
  <c r="J160" i="2" s="1"/>
  <c r="K160" i="2"/>
  <c r="O160" i="2" s="1"/>
  <c r="M160" i="2"/>
  <c r="N160" i="2"/>
  <c r="I161" i="2"/>
  <c r="J161" i="2" s="1"/>
  <c r="N161" i="2" s="1"/>
  <c r="K161" i="2"/>
  <c r="O161" i="2" s="1"/>
  <c r="M161" i="2"/>
  <c r="I162" i="2"/>
  <c r="J162" i="2" s="1"/>
  <c r="N162" i="2" s="1"/>
  <c r="K162" i="2"/>
  <c r="O162" i="2" s="1"/>
  <c r="M162" i="2"/>
  <c r="I163" i="2"/>
  <c r="J163" i="2" s="1"/>
  <c r="K163" i="2"/>
  <c r="M163" i="2"/>
  <c r="N163" i="2"/>
  <c r="O163" i="2"/>
  <c r="I164" i="2"/>
  <c r="J164" i="2" s="1"/>
  <c r="K164" i="2"/>
  <c r="O164" i="2" s="1"/>
  <c r="M164" i="2"/>
  <c r="N164" i="2"/>
  <c r="I165" i="2"/>
  <c r="J165" i="2" s="1"/>
  <c r="N165" i="2" s="1"/>
  <c r="K165" i="2"/>
  <c r="O165" i="2" s="1"/>
  <c r="M165" i="2"/>
  <c r="I166" i="2"/>
  <c r="J166" i="2" s="1"/>
  <c r="N166" i="2" s="1"/>
  <c r="K166" i="2"/>
  <c r="O166" i="2" s="1"/>
  <c r="M166" i="2"/>
  <c r="I167" i="2"/>
  <c r="J167" i="2" s="1"/>
  <c r="N167" i="2" s="1"/>
  <c r="K167" i="2"/>
  <c r="M167" i="2"/>
  <c r="O167" i="2"/>
  <c r="I168" i="2"/>
  <c r="J168" i="2" s="1"/>
  <c r="K168" i="2"/>
  <c r="O168" i="2" s="1"/>
  <c r="M168" i="2"/>
  <c r="N168" i="2"/>
  <c r="I169" i="2"/>
  <c r="J169" i="2" s="1"/>
  <c r="N169" i="2" s="1"/>
  <c r="K169" i="2"/>
  <c r="O169" i="2" s="1"/>
  <c r="M169" i="2"/>
  <c r="I170" i="2"/>
  <c r="J170" i="2" s="1"/>
  <c r="N170" i="2" s="1"/>
  <c r="K170" i="2"/>
  <c r="O170" i="2" s="1"/>
  <c r="M170" i="2"/>
  <c r="I171" i="2"/>
  <c r="J171" i="2" s="1"/>
  <c r="N171" i="2" s="1"/>
  <c r="K171" i="2"/>
  <c r="M171" i="2"/>
  <c r="O171" i="2"/>
  <c r="I172" i="2"/>
  <c r="J172" i="2" s="1"/>
  <c r="K172" i="2"/>
  <c r="O172" i="2" s="1"/>
  <c r="M172" i="2"/>
  <c r="N172" i="2"/>
  <c r="I173" i="2"/>
  <c r="J173" i="2" s="1"/>
  <c r="N173" i="2" s="1"/>
  <c r="K173" i="2"/>
  <c r="O173" i="2" s="1"/>
  <c r="M173" i="2"/>
  <c r="I174" i="2"/>
  <c r="J174" i="2" s="1"/>
  <c r="N174" i="2" s="1"/>
  <c r="K174" i="2"/>
  <c r="O174" i="2" s="1"/>
  <c r="M174" i="2"/>
  <c r="I175" i="2"/>
  <c r="J175" i="2" s="1"/>
  <c r="N175" i="2" s="1"/>
  <c r="K175" i="2"/>
  <c r="M175" i="2"/>
  <c r="O175" i="2"/>
  <c r="I176" i="2"/>
  <c r="J176" i="2" s="1"/>
  <c r="K176" i="2"/>
  <c r="O176" i="2" s="1"/>
  <c r="M176" i="2"/>
  <c r="N176" i="2"/>
  <c r="I177" i="2"/>
  <c r="J177" i="2" s="1"/>
  <c r="N177" i="2" s="1"/>
  <c r="K177" i="2"/>
  <c r="O177" i="2" s="1"/>
  <c r="M177" i="2"/>
  <c r="I178" i="2"/>
  <c r="J178" i="2" s="1"/>
  <c r="N178" i="2" s="1"/>
  <c r="K178" i="2"/>
  <c r="O178" i="2" s="1"/>
  <c r="M178" i="2"/>
  <c r="I179" i="2"/>
  <c r="J179" i="2" s="1"/>
  <c r="K179" i="2"/>
  <c r="M179" i="2"/>
  <c r="N179" i="2"/>
  <c r="O179" i="2"/>
  <c r="I180" i="2"/>
  <c r="J180" i="2" s="1"/>
  <c r="K180" i="2"/>
  <c r="O180" i="2" s="1"/>
  <c r="M180" i="2"/>
  <c r="N180" i="2"/>
  <c r="I181" i="2"/>
  <c r="J181" i="2" s="1"/>
  <c r="N181" i="2" s="1"/>
  <c r="K181" i="2"/>
  <c r="O181" i="2" s="1"/>
  <c r="M181" i="2"/>
  <c r="I182" i="2"/>
  <c r="J182" i="2" s="1"/>
  <c r="N182" i="2" s="1"/>
  <c r="K182" i="2"/>
  <c r="M182" i="2"/>
  <c r="O182" i="2"/>
  <c r="I183" i="2"/>
  <c r="J183" i="2" s="1"/>
  <c r="K183" i="2"/>
  <c r="M183" i="2"/>
  <c r="N183" i="2"/>
  <c r="O183" i="2"/>
  <c r="I184" i="2"/>
  <c r="J184" i="2"/>
  <c r="N184" i="2" s="1"/>
  <c r="K184" i="2"/>
  <c r="O184" i="2" s="1"/>
  <c r="M184" i="2"/>
  <c r="I185" i="2"/>
  <c r="J185" i="2" s="1"/>
  <c r="N185" i="2" s="1"/>
  <c r="K185" i="2"/>
  <c r="M185" i="2"/>
  <c r="O185" i="2"/>
  <c r="I186" i="2"/>
  <c r="J186" i="2"/>
  <c r="N186" i="2" s="1"/>
  <c r="K186" i="2"/>
  <c r="M186" i="2"/>
  <c r="O186" i="2"/>
  <c r="I187" i="2"/>
  <c r="J187" i="2" s="1"/>
  <c r="K187" i="2"/>
  <c r="M187" i="2"/>
  <c r="N187" i="2"/>
  <c r="O187" i="2"/>
  <c r="I188" i="2"/>
  <c r="J188" i="2"/>
  <c r="N188" i="2" s="1"/>
  <c r="K188" i="2"/>
  <c r="O188" i="2" s="1"/>
  <c r="M188" i="2"/>
  <c r="I189" i="2"/>
  <c r="J189" i="2" s="1"/>
  <c r="N189" i="2" s="1"/>
  <c r="K189" i="2"/>
  <c r="M189" i="2"/>
  <c r="O189" i="2"/>
  <c r="I190" i="2"/>
  <c r="J190" i="2"/>
  <c r="N190" i="2" s="1"/>
  <c r="K190" i="2"/>
  <c r="M190" i="2"/>
  <c r="O190" i="2"/>
  <c r="I191" i="2"/>
  <c r="J191" i="2" s="1"/>
  <c r="K191" i="2"/>
  <c r="M191" i="2"/>
  <c r="N191" i="2"/>
  <c r="O191" i="2"/>
  <c r="I192" i="2"/>
  <c r="J192" i="2"/>
  <c r="N192" i="2" s="1"/>
  <c r="K192" i="2"/>
  <c r="O192" i="2" s="1"/>
  <c r="M192" i="2"/>
  <c r="I193" i="2"/>
  <c r="J193" i="2" s="1"/>
  <c r="N193" i="2" s="1"/>
  <c r="K193" i="2"/>
  <c r="M193" i="2"/>
  <c r="O193" i="2"/>
  <c r="I194" i="2"/>
  <c r="J194" i="2"/>
  <c r="N194" i="2" s="1"/>
  <c r="K194" i="2"/>
  <c r="M194" i="2"/>
  <c r="O194" i="2"/>
  <c r="I195" i="2"/>
  <c r="J195" i="2" s="1"/>
  <c r="K195" i="2"/>
  <c r="M195" i="2"/>
  <c r="N195" i="2"/>
  <c r="O195" i="2"/>
  <c r="I196" i="2"/>
  <c r="J196" i="2"/>
  <c r="N196" i="2" s="1"/>
  <c r="K196" i="2"/>
  <c r="O196" i="2" s="1"/>
  <c r="M196" i="2"/>
  <c r="I197" i="2"/>
  <c r="J197" i="2" s="1"/>
  <c r="N197" i="2" s="1"/>
  <c r="K197" i="2"/>
  <c r="M197" i="2"/>
  <c r="O197" i="2"/>
  <c r="I198" i="2"/>
  <c r="J198" i="2"/>
  <c r="N198" i="2" s="1"/>
  <c r="K198" i="2"/>
  <c r="M198" i="2"/>
  <c r="O198" i="2"/>
  <c r="I199" i="2"/>
  <c r="J199" i="2" s="1"/>
  <c r="K199" i="2"/>
  <c r="M199" i="2"/>
  <c r="N199" i="2"/>
  <c r="O199" i="2"/>
  <c r="I200" i="2"/>
  <c r="J200" i="2"/>
  <c r="N200" i="2" s="1"/>
  <c r="K200" i="2"/>
  <c r="O200" i="2" s="1"/>
  <c r="M200" i="2"/>
  <c r="I201" i="2"/>
  <c r="J201" i="2" s="1"/>
  <c r="N201" i="2" s="1"/>
  <c r="K201" i="2"/>
  <c r="M201" i="2"/>
  <c r="O201" i="2"/>
  <c r="I202" i="2"/>
  <c r="J202" i="2"/>
  <c r="N202" i="2" s="1"/>
  <c r="K202" i="2"/>
  <c r="M202" i="2"/>
  <c r="O202" i="2"/>
  <c r="I203" i="2"/>
  <c r="J203" i="2" s="1"/>
  <c r="K203" i="2"/>
  <c r="M203" i="2"/>
  <c r="N203" i="2"/>
  <c r="O203" i="2"/>
  <c r="I204" i="2"/>
  <c r="J204" i="2"/>
  <c r="N204" i="2" s="1"/>
  <c r="K204" i="2"/>
  <c r="O204" i="2" s="1"/>
  <c r="M204" i="2"/>
  <c r="I205" i="2"/>
  <c r="J205" i="2" s="1"/>
  <c r="N205" i="2" s="1"/>
  <c r="K205" i="2"/>
  <c r="M205" i="2"/>
  <c r="O205" i="2"/>
  <c r="I206" i="2"/>
  <c r="J206" i="2"/>
  <c r="N206" i="2" s="1"/>
  <c r="K206" i="2"/>
  <c r="M206" i="2"/>
  <c r="O206" i="2"/>
  <c r="I207" i="2"/>
  <c r="J207" i="2" s="1"/>
  <c r="K207" i="2"/>
  <c r="M207" i="2"/>
  <c r="N207" i="2"/>
  <c r="O207" i="2"/>
  <c r="I208" i="2"/>
  <c r="J208" i="2"/>
  <c r="N208" i="2" s="1"/>
  <c r="K208" i="2"/>
  <c r="O208" i="2" s="1"/>
  <c r="M208" i="2"/>
  <c r="I209" i="2"/>
  <c r="J209" i="2" s="1"/>
  <c r="N209" i="2" s="1"/>
  <c r="K209" i="2"/>
  <c r="M209" i="2"/>
  <c r="O209" i="2"/>
  <c r="I210" i="2"/>
  <c r="J210" i="2"/>
  <c r="N210" i="2" s="1"/>
  <c r="K210" i="2"/>
  <c r="M210" i="2"/>
  <c r="O210" i="2"/>
  <c r="I211" i="2"/>
  <c r="J211" i="2" s="1"/>
  <c r="K211" i="2"/>
  <c r="M211" i="2"/>
  <c r="N211" i="2"/>
  <c r="O211" i="2"/>
  <c r="I212" i="2"/>
  <c r="J212" i="2"/>
  <c r="N212" i="2" s="1"/>
  <c r="K212" i="2"/>
  <c r="O212" i="2" s="1"/>
  <c r="M212" i="2"/>
  <c r="I213" i="2"/>
  <c r="J213" i="2" s="1"/>
  <c r="N213" i="2" s="1"/>
  <c r="K213" i="2"/>
  <c r="M213" i="2"/>
  <c r="O213" i="2"/>
  <c r="I214" i="2"/>
  <c r="J214" i="2"/>
  <c r="N214" i="2" s="1"/>
  <c r="K214" i="2"/>
  <c r="M214" i="2"/>
  <c r="O214" i="2"/>
  <c r="I215" i="2"/>
  <c r="J215" i="2" s="1"/>
  <c r="K215" i="2"/>
  <c r="M215" i="2"/>
  <c r="N215" i="2"/>
  <c r="O215" i="2"/>
  <c r="I216" i="2"/>
  <c r="J216" i="2"/>
  <c r="N216" i="2" s="1"/>
  <c r="K216" i="2"/>
  <c r="O216" i="2" s="1"/>
  <c r="M216" i="2"/>
  <c r="I217" i="2"/>
  <c r="J217" i="2" s="1"/>
  <c r="N217" i="2" s="1"/>
  <c r="K217" i="2"/>
  <c r="M217" i="2"/>
  <c r="O217" i="2"/>
  <c r="I218" i="2"/>
  <c r="J218" i="2"/>
  <c r="N218" i="2" s="1"/>
  <c r="K218" i="2"/>
  <c r="M218" i="2"/>
  <c r="O218" i="2"/>
  <c r="I219" i="2"/>
  <c r="J219" i="2" s="1"/>
  <c r="N219" i="2" s="1"/>
  <c r="K219" i="2"/>
  <c r="M219" i="2"/>
  <c r="O219" i="2"/>
  <c r="I220" i="2"/>
  <c r="J220" i="2"/>
  <c r="N220" i="2" s="1"/>
  <c r="K220" i="2"/>
  <c r="O220" i="2" s="1"/>
  <c r="M220" i="2"/>
  <c r="I221" i="2"/>
  <c r="J221" i="2" s="1"/>
  <c r="N221" i="2" s="1"/>
  <c r="K221" i="2"/>
  <c r="M221" i="2"/>
  <c r="O221" i="2"/>
  <c r="I222" i="2"/>
  <c r="J222" i="2"/>
  <c r="N222" i="2" s="1"/>
  <c r="K222" i="2"/>
  <c r="M222" i="2"/>
  <c r="O222" i="2"/>
  <c r="I223" i="2"/>
  <c r="J223" i="2" s="1"/>
  <c r="K223" i="2"/>
  <c r="M223" i="2"/>
  <c r="N223" i="2"/>
  <c r="O223" i="2"/>
  <c r="I224" i="2"/>
  <c r="J224" i="2"/>
  <c r="N224" i="2" s="1"/>
  <c r="K224" i="2"/>
  <c r="O224" i="2" s="1"/>
  <c r="M224" i="2"/>
  <c r="I225" i="2"/>
  <c r="J225" i="2" s="1"/>
  <c r="N225" i="2" s="1"/>
  <c r="K225" i="2"/>
  <c r="M225" i="2"/>
  <c r="O225" i="2"/>
  <c r="I226" i="2"/>
  <c r="J226" i="2"/>
  <c r="N226" i="2" s="1"/>
  <c r="K226" i="2"/>
  <c r="M226" i="2"/>
  <c r="O226" i="2"/>
  <c r="I227" i="2"/>
  <c r="J227" i="2" s="1"/>
  <c r="N227" i="2" s="1"/>
  <c r="K227" i="2"/>
  <c r="M227" i="2"/>
  <c r="O227" i="2"/>
  <c r="I228" i="2"/>
  <c r="J228" i="2"/>
  <c r="N228" i="2" s="1"/>
  <c r="K228" i="2"/>
  <c r="O228" i="2" s="1"/>
  <c r="M228" i="2"/>
  <c r="I229" i="2"/>
  <c r="J229" i="2" s="1"/>
  <c r="N229" i="2" s="1"/>
  <c r="K229" i="2"/>
  <c r="M229" i="2"/>
  <c r="O229" i="2"/>
  <c r="I230" i="2"/>
  <c r="J230" i="2"/>
  <c r="N230" i="2" s="1"/>
  <c r="K230" i="2"/>
  <c r="M230" i="2"/>
  <c r="O230" i="2"/>
  <c r="I231" i="2"/>
  <c r="J231" i="2" s="1"/>
  <c r="K231" i="2"/>
  <c r="M231" i="2"/>
  <c r="N231" i="2"/>
  <c r="O231" i="2"/>
  <c r="I232" i="2"/>
  <c r="J232" i="2"/>
  <c r="N232" i="2" s="1"/>
  <c r="K232" i="2"/>
  <c r="O232" i="2" s="1"/>
  <c r="M232" i="2"/>
  <c r="I233" i="2"/>
  <c r="J233" i="2" s="1"/>
  <c r="N233" i="2" s="1"/>
  <c r="K233" i="2"/>
  <c r="M233" i="2"/>
  <c r="O233" i="2"/>
  <c r="I234" i="2"/>
  <c r="J234" i="2"/>
  <c r="N234" i="2" s="1"/>
  <c r="K234" i="2"/>
  <c r="M234" i="2"/>
  <c r="O234" i="2"/>
  <c r="I235" i="2"/>
  <c r="J235" i="2" s="1"/>
  <c r="N235" i="2" s="1"/>
  <c r="K235" i="2"/>
  <c r="M235" i="2"/>
  <c r="O235" i="2"/>
  <c r="I236" i="2"/>
  <c r="J236" i="2"/>
  <c r="N236" i="2" s="1"/>
  <c r="K236" i="2"/>
  <c r="O236" i="2" s="1"/>
  <c r="M236" i="2"/>
  <c r="I237" i="2"/>
  <c r="J237" i="2" s="1"/>
  <c r="N237" i="2" s="1"/>
  <c r="K237" i="2"/>
  <c r="M237" i="2"/>
  <c r="O237" i="2"/>
  <c r="I238" i="2"/>
  <c r="J238" i="2"/>
  <c r="N238" i="2" s="1"/>
  <c r="K238" i="2"/>
  <c r="M238" i="2"/>
  <c r="O238" i="2"/>
  <c r="I239" i="2"/>
  <c r="J239" i="2" s="1"/>
  <c r="K239" i="2"/>
  <c r="M239" i="2"/>
  <c r="N239" i="2"/>
  <c r="O239" i="2"/>
  <c r="I240" i="2"/>
  <c r="J240" i="2"/>
  <c r="N240" i="2" s="1"/>
  <c r="K240" i="2"/>
  <c r="O240" i="2" s="1"/>
  <c r="M240" i="2"/>
  <c r="I241" i="2"/>
  <c r="J241" i="2" s="1"/>
  <c r="N241" i="2" s="1"/>
  <c r="K241" i="2"/>
  <c r="M241" i="2"/>
  <c r="O241" i="2"/>
  <c r="I242" i="2"/>
  <c r="J242" i="2"/>
  <c r="N242" i="2" s="1"/>
  <c r="K242" i="2"/>
  <c r="M242" i="2"/>
  <c r="O242" i="2"/>
  <c r="I243" i="2"/>
  <c r="J243" i="2" s="1"/>
  <c r="N243" i="2" s="1"/>
  <c r="K243" i="2"/>
  <c r="M243" i="2"/>
  <c r="O243" i="2"/>
  <c r="I244" i="2"/>
  <c r="J244" i="2"/>
  <c r="N244" i="2" s="1"/>
  <c r="K244" i="2"/>
  <c r="O244" i="2" s="1"/>
  <c r="M244" i="2"/>
  <c r="I245" i="2"/>
  <c r="J245" i="2" s="1"/>
  <c r="N245" i="2" s="1"/>
  <c r="K245" i="2"/>
  <c r="O245" i="2" s="1"/>
  <c r="M245" i="2"/>
  <c r="I246" i="2"/>
  <c r="J246" i="2"/>
  <c r="N246" i="2" s="1"/>
  <c r="K246" i="2"/>
  <c r="M246" i="2"/>
  <c r="O246" i="2"/>
  <c r="I247" i="2"/>
  <c r="J247" i="2" s="1"/>
  <c r="K247" i="2"/>
  <c r="O247" i="2" s="1"/>
  <c r="M247" i="2"/>
  <c r="N247" i="2"/>
  <c r="I248" i="2"/>
  <c r="J248" i="2"/>
  <c r="N248" i="2" s="1"/>
  <c r="K248" i="2"/>
  <c r="M248" i="2"/>
  <c r="O248" i="2"/>
  <c r="I249" i="2"/>
  <c r="J249" i="2" s="1"/>
  <c r="K249" i="2"/>
  <c r="O249" i="2" s="1"/>
  <c r="M249" i="2"/>
  <c r="N249" i="2"/>
  <c r="I250" i="2"/>
  <c r="J250" i="2" s="1"/>
  <c r="K250" i="2"/>
  <c r="O250" i="2" s="1"/>
  <c r="M250" i="2"/>
  <c r="N250" i="2"/>
  <c r="I251" i="2"/>
  <c r="J251" i="2" s="1"/>
  <c r="N251" i="2" s="1"/>
  <c r="K251" i="2"/>
  <c r="O251" i="2" s="1"/>
  <c r="M251" i="2"/>
  <c r="I252" i="2"/>
  <c r="J252" i="2" s="1"/>
  <c r="K252" i="2"/>
  <c r="O252" i="2" s="1"/>
  <c r="M252" i="2"/>
  <c r="N252" i="2"/>
  <c r="I253" i="2"/>
  <c r="J253" i="2" s="1"/>
  <c r="N253" i="2" s="1"/>
  <c r="K253" i="2"/>
  <c r="O253" i="2" s="1"/>
  <c r="M253" i="2"/>
  <c r="I254" i="2"/>
  <c r="J254" i="2" s="1"/>
  <c r="N254" i="2" s="1"/>
  <c r="K254" i="2"/>
  <c r="O254" i="2" s="1"/>
  <c r="M254" i="2"/>
  <c r="I255" i="2"/>
  <c r="J255" i="2" s="1"/>
  <c r="N255" i="2" s="1"/>
  <c r="K255" i="2"/>
  <c r="O255" i="2" s="1"/>
  <c r="M255" i="2"/>
  <c r="I256" i="2"/>
  <c r="J256" i="2"/>
  <c r="N256" i="2" s="1"/>
  <c r="K256" i="2"/>
  <c r="O256" i="2" s="1"/>
  <c r="M256" i="2"/>
  <c r="I257" i="2"/>
  <c r="J257" i="2" s="1"/>
  <c r="N257" i="2" s="1"/>
  <c r="K257" i="2"/>
  <c r="O257" i="2" s="1"/>
  <c r="M257" i="2"/>
  <c r="I258" i="2"/>
  <c r="J258" i="2" s="1"/>
  <c r="N258" i="2" s="1"/>
  <c r="K258" i="2"/>
  <c r="O258" i="2" s="1"/>
  <c r="M258" i="2"/>
  <c r="I259" i="2"/>
  <c r="J259" i="2" s="1"/>
  <c r="N259" i="2" s="1"/>
  <c r="K259" i="2"/>
  <c r="O259" i="2" s="1"/>
  <c r="M259" i="2"/>
  <c r="I260" i="2"/>
  <c r="J260" i="2"/>
  <c r="N260" i="2" s="1"/>
  <c r="K260" i="2"/>
  <c r="M260" i="2"/>
  <c r="O260" i="2"/>
  <c r="I261" i="2"/>
  <c r="J261" i="2" s="1"/>
  <c r="K261" i="2"/>
  <c r="O261" i="2" s="1"/>
  <c r="M261" i="2"/>
  <c r="N261" i="2"/>
  <c r="I262" i="2"/>
  <c r="J262" i="2" s="1"/>
  <c r="K262" i="2"/>
  <c r="O262" i="2" s="1"/>
  <c r="M262" i="2"/>
  <c r="N262" i="2"/>
  <c r="I263" i="2"/>
  <c r="J263" i="2" s="1"/>
  <c r="N263" i="2" s="1"/>
  <c r="K263" i="2"/>
  <c r="O263" i="2" s="1"/>
  <c r="M263" i="2"/>
  <c r="I264" i="2"/>
  <c r="J264" i="2" s="1"/>
  <c r="N264" i="2" s="1"/>
  <c r="K264" i="2"/>
  <c r="M264" i="2"/>
  <c r="O264" i="2"/>
  <c r="I265" i="2"/>
  <c r="J265" i="2" s="1"/>
  <c r="K265" i="2"/>
  <c r="O265" i="2" s="1"/>
  <c r="M265" i="2"/>
  <c r="N265" i="2"/>
  <c r="I266" i="2"/>
  <c r="J266" i="2" s="1"/>
  <c r="K266" i="2"/>
  <c r="O266" i="2" s="1"/>
  <c r="M266" i="2"/>
  <c r="N266" i="2"/>
  <c r="I267" i="2"/>
  <c r="J267" i="2" s="1"/>
  <c r="N267" i="2" s="1"/>
  <c r="K267" i="2"/>
  <c r="O267" i="2" s="1"/>
  <c r="M267" i="2"/>
  <c r="I268" i="2"/>
  <c r="J268" i="2" s="1"/>
  <c r="K268" i="2"/>
  <c r="O268" i="2" s="1"/>
  <c r="M268" i="2"/>
  <c r="N268" i="2"/>
  <c r="I269" i="2"/>
  <c r="J269" i="2" s="1"/>
  <c r="N269" i="2" s="1"/>
  <c r="K269" i="2"/>
  <c r="O269" i="2" s="1"/>
  <c r="M269" i="2"/>
  <c r="I270" i="2"/>
  <c r="J270" i="2" s="1"/>
  <c r="N270" i="2" s="1"/>
  <c r="K270" i="2"/>
  <c r="O270" i="2" s="1"/>
  <c r="M270" i="2"/>
  <c r="I271" i="2"/>
  <c r="J271" i="2" s="1"/>
  <c r="N271" i="2" s="1"/>
  <c r="K271" i="2"/>
  <c r="O271" i="2" s="1"/>
  <c r="M271" i="2"/>
  <c r="I272" i="2"/>
  <c r="J272" i="2"/>
  <c r="N272" i="2" s="1"/>
  <c r="K272" i="2"/>
  <c r="O272" i="2" s="1"/>
  <c r="M272" i="2"/>
  <c r="I273" i="2"/>
  <c r="J273" i="2" s="1"/>
  <c r="N273" i="2" s="1"/>
  <c r="K273" i="2"/>
  <c r="O273" i="2" s="1"/>
  <c r="M273" i="2"/>
  <c r="I274" i="2"/>
  <c r="J274" i="2" s="1"/>
  <c r="N274" i="2" s="1"/>
  <c r="K274" i="2"/>
  <c r="O274" i="2" s="1"/>
  <c r="M274" i="2"/>
  <c r="I275" i="2"/>
  <c r="J275" i="2" s="1"/>
  <c r="N275" i="2" s="1"/>
  <c r="K275" i="2"/>
  <c r="O275" i="2" s="1"/>
  <c r="M275" i="2"/>
  <c r="I276" i="2"/>
  <c r="J276" i="2"/>
  <c r="N276" i="2" s="1"/>
  <c r="K276" i="2"/>
  <c r="M276" i="2"/>
  <c r="O276" i="2"/>
  <c r="I277" i="2"/>
  <c r="J277" i="2" s="1"/>
  <c r="N277" i="2" s="1"/>
  <c r="K277" i="2"/>
  <c r="O277" i="2" s="1"/>
  <c r="M277" i="2"/>
  <c r="I278" i="2"/>
  <c r="J278" i="2" s="1"/>
  <c r="N278" i="2" s="1"/>
  <c r="K278" i="2"/>
  <c r="O278" i="2" s="1"/>
  <c r="M278" i="2"/>
  <c r="I279" i="2"/>
  <c r="J279" i="2" s="1"/>
  <c r="N279" i="2" s="1"/>
  <c r="K279" i="2"/>
  <c r="O279" i="2" s="1"/>
  <c r="M279" i="2"/>
  <c r="I280" i="2"/>
  <c r="J280" i="2"/>
  <c r="N280" i="2" s="1"/>
  <c r="K280" i="2"/>
  <c r="M280" i="2"/>
  <c r="O280" i="2"/>
  <c r="I281" i="2"/>
  <c r="J281" i="2" s="1"/>
  <c r="N281" i="2" s="1"/>
  <c r="K281" i="2"/>
  <c r="O281" i="2" s="1"/>
  <c r="M281" i="2"/>
  <c r="I282" i="2"/>
  <c r="J282" i="2" s="1"/>
  <c r="N282" i="2" s="1"/>
  <c r="K282" i="2"/>
  <c r="O282" i="2" s="1"/>
  <c r="M282" i="2"/>
  <c r="I283" i="2"/>
  <c r="J283" i="2" s="1"/>
  <c r="N283" i="2" s="1"/>
  <c r="K283" i="2"/>
  <c r="O283" i="2" s="1"/>
  <c r="M283" i="2"/>
  <c r="I284" i="2"/>
  <c r="J284" i="2"/>
  <c r="N284" i="2" s="1"/>
  <c r="K284" i="2"/>
  <c r="M284" i="2"/>
  <c r="O284" i="2"/>
  <c r="I285" i="2"/>
  <c r="J285" i="2" s="1"/>
  <c r="N285" i="2" s="1"/>
  <c r="K285" i="2"/>
  <c r="O285" i="2" s="1"/>
  <c r="M285" i="2"/>
  <c r="I286" i="2"/>
  <c r="J286" i="2" s="1"/>
  <c r="N286" i="2" s="1"/>
  <c r="K286" i="2"/>
  <c r="O286" i="2" s="1"/>
  <c r="M286" i="2"/>
  <c r="I287" i="2"/>
  <c r="J287" i="2" s="1"/>
  <c r="N287" i="2" s="1"/>
  <c r="K287" i="2"/>
  <c r="O287" i="2" s="1"/>
  <c r="M287" i="2"/>
  <c r="I288" i="2"/>
  <c r="J288" i="2"/>
  <c r="N288" i="2" s="1"/>
  <c r="K288" i="2"/>
  <c r="M288" i="2"/>
  <c r="O288" i="2"/>
  <c r="I289" i="2"/>
  <c r="J289" i="2" s="1"/>
  <c r="N289" i="2" s="1"/>
  <c r="K289" i="2"/>
  <c r="O289" i="2" s="1"/>
  <c r="M289" i="2"/>
  <c r="I290" i="2"/>
  <c r="J290" i="2" s="1"/>
  <c r="N290" i="2" s="1"/>
  <c r="K290" i="2"/>
  <c r="O290" i="2" s="1"/>
  <c r="M290" i="2"/>
  <c r="I291" i="2"/>
  <c r="J291" i="2" s="1"/>
  <c r="N291" i="2" s="1"/>
  <c r="K291" i="2"/>
  <c r="O291" i="2" s="1"/>
  <c r="M291" i="2"/>
  <c r="I292" i="2"/>
  <c r="J292" i="2"/>
  <c r="N292" i="2" s="1"/>
  <c r="K292" i="2"/>
  <c r="M292" i="2"/>
  <c r="O292" i="2"/>
  <c r="I293" i="2"/>
  <c r="J293" i="2" s="1"/>
  <c r="N293" i="2" s="1"/>
  <c r="K293" i="2"/>
  <c r="O293" i="2" s="1"/>
  <c r="M293" i="2"/>
  <c r="I294" i="2"/>
  <c r="J294" i="2" s="1"/>
  <c r="N294" i="2" s="1"/>
  <c r="K294" i="2"/>
  <c r="O294" i="2" s="1"/>
  <c r="M294" i="2"/>
  <c r="I295" i="2"/>
  <c r="J295" i="2" s="1"/>
  <c r="N295" i="2" s="1"/>
  <c r="K295" i="2"/>
  <c r="O295" i="2" s="1"/>
  <c r="M295" i="2"/>
  <c r="I296" i="2"/>
  <c r="J296" i="2"/>
  <c r="N296" i="2" s="1"/>
  <c r="K296" i="2"/>
  <c r="M296" i="2"/>
  <c r="O296" i="2"/>
  <c r="I297" i="2"/>
  <c r="J297" i="2" s="1"/>
  <c r="N297" i="2" s="1"/>
  <c r="K297" i="2"/>
  <c r="O297" i="2" s="1"/>
  <c r="M297" i="2"/>
  <c r="I298" i="2"/>
  <c r="J298" i="2" s="1"/>
  <c r="N298" i="2" s="1"/>
  <c r="K298" i="2"/>
  <c r="O298" i="2" s="1"/>
  <c r="M298" i="2"/>
  <c r="I299" i="2"/>
  <c r="J299" i="2" s="1"/>
  <c r="N299" i="2" s="1"/>
  <c r="K299" i="2"/>
  <c r="O299" i="2" s="1"/>
  <c r="M299" i="2"/>
  <c r="I300" i="2"/>
  <c r="J300" i="2"/>
  <c r="N300" i="2" s="1"/>
  <c r="K300" i="2"/>
  <c r="M300" i="2"/>
  <c r="O300" i="2"/>
  <c r="I301" i="2"/>
  <c r="J301" i="2" s="1"/>
  <c r="N301" i="2" s="1"/>
  <c r="K301" i="2"/>
  <c r="O301" i="2" s="1"/>
  <c r="M301" i="2"/>
  <c r="I302" i="2"/>
  <c r="J302" i="2" s="1"/>
  <c r="N302" i="2" s="1"/>
  <c r="K302" i="2"/>
  <c r="O302" i="2" s="1"/>
  <c r="M302" i="2"/>
  <c r="I303" i="2"/>
  <c r="J303" i="2" s="1"/>
  <c r="N303" i="2" s="1"/>
  <c r="K303" i="2"/>
  <c r="O303" i="2" s="1"/>
  <c r="M303" i="2"/>
  <c r="I304" i="2"/>
  <c r="J304" i="2"/>
  <c r="N304" i="2" s="1"/>
  <c r="K304" i="2"/>
  <c r="M304" i="2"/>
  <c r="O304" i="2"/>
  <c r="I305" i="2"/>
  <c r="J305" i="2" s="1"/>
  <c r="N305" i="2" s="1"/>
  <c r="K305" i="2"/>
  <c r="O305" i="2" s="1"/>
  <c r="M305" i="2"/>
  <c r="I306" i="2"/>
  <c r="J306" i="2" s="1"/>
  <c r="N306" i="2" s="1"/>
  <c r="K306" i="2"/>
  <c r="O306" i="2" s="1"/>
  <c r="M306" i="2"/>
  <c r="I307" i="2"/>
  <c r="J307" i="2" s="1"/>
  <c r="N307" i="2" s="1"/>
  <c r="K307" i="2"/>
  <c r="O307" i="2" s="1"/>
  <c r="M307" i="2"/>
  <c r="I308" i="2"/>
  <c r="J308" i="2"/>
  <c r="N308" i="2" s="1"/>
  <c r="K308" i="2"/>
  <c r="M308" i="2"/>
  <c r="O308" i="2"/>
  <c r="I309" i="2"/>
  <c r="J309" i="2" s="1"/>
  <c r="N309" i="2" s="1"/>
  <c r="K309" i="2"/>
  <c r="O309" i="2" s="1"/>
  <c r="M309" i="2"/>
  <c r="I310" i="2"/>
  <c r="J310" i="2" s="1"/>
  <c r="N310" i="2" s="1"/>
  <c r="K310" i="2"/>
  <c r="O310" i="2" s="1"/>
  <c r="M310" i="2"/>
  <c r="I311" i="2"/>
  <c r="J311" i="2" s="1"/>
  <c r="N311" i="2" s="1"/>
  <c r="K311" i="2"/>
  <c r="O311" i="2" s="1"/>
  <c r="M311" i="2"/>
  <c r="I312" i="2"/>
  <c r="J312" i="2"/>
  <c r="N312" i="2" s="1"/>
  <c r="K312" i="2"/>
  <c r="M312" i="2"/>
  <c r="O312" i="2"/>
  <c r="I313" i="2"/>
  <c r="J313" i="2" s="1"/>
  <c r="N313" i="2" s="1"/>
  <c r="K313" i="2"/>
  <c r="O313" i="2" s="1"/>
  <c r="M313" i="2"/>
  <c r="I314" i="2"/>
  <c r="J314" i="2" s="1"/>
  <c r="N314" i="2" s="1"/>
  <c r="K314" i="2"/>
  <c r="O314" i="2" s="1"/>
  <c r="M314" i="2"/>
  <c r="I315" i="2"/>
  <c r="J315" i="2" s="1"/>
  <c r="N315" i="2" s="1"/>
  <c r="K315" i="2"/>
  <c r="O315" i="2" s="1"/>
  <c r="M315" i="2"/>
  <c r="I316" i="2"/>
  <c r="J316" i="2"/>
  <c r="N316" i="2" s="1"/>
  <c r="K316" i="2"/>
  <c r="M316" i="2"/>
  <c r="O316" i="2"/>
  <c r="I317" i="2"/>
  <c r="J317" i="2" s="1"/>
  <c r="N317" i="2" s="1"/>
  <c r="K317" i="2"/>
  <c r="O317" i="2" s="1"/>
  <c r="M317" i="2"/>
  <c r="I318" i="2"/>
  <c r="J318" i="2" s="1"/>
  <c r="N318" i="2" s="1"/>
  <c r="K318" i="2"/>
  <c r="O318" i="2" s="1"/>
  <c r="M318" i="2"/>
  <c r="I319" i="2"/>
  <c r="J319" i="2" s="1"/>
  <c r="N319" i="2" s="1"/>
  <c r="K319" i="2"/>
  <c r="O319" i="2" s="1"/>
  <c r="M319" i="2"/>
  <c r="I320" i="2"/>
  <c r="J320" i="2"/>
  <c r="N320" i="2" s="1"/>
  <c r="K320" i="2"/>
  <c r="M320" i="2"/>
  <c r="O320" i="2"/>
  <c r="I321" i="2"/>
  <c r="J321" i="2" s="1"/>
  <c r="N321" i="2" s="1"/>
  <c r="K321" i="2"/>
  <c r="O321" i="2" s="1"/>
  <c r="M321" i="2"/>
  <c r="I322" i="2"/>
  <c r="J322" i="2" s="1"/>
  <c r="N322" i="2" s="1"/>
  <c r="K322" i="2"/>
  <c r="O322" i="2" s="1"/>
  <c r="M322" i="2"/>
  <c r="I323" i="2"/>
  <c r="J323" i="2" s="1"/>
  <c r="N323" i="2" s="1"/>
  <c r="K323" i="2"/>
  <c r="O323" i="2" s="1"/>
  <c r="M323" i="2"/>
  <c r="I324" i="2"/>
  <c r="J324" i="2"/>
  <c r="N324" i="2" s="1"/>
  <c r="K324" i="2"/>
  <c r="M324" i="2"/>
  <c r="O324" i="2"/>
  <c r="I325" i="2"/>
  <c r="J325" i="2" s="1"/>
  <c r="N325" i="2" s="1"/>
  <c r="K325" i="2"/>
  <c r="O325" i="2" s="1"/>
  <c r="M325" i="2"/>
  <c r="I326" i="2"/>
  <c r="J326" i="2" s="1"/>
  <c r="N326" i="2" s="1"/>
  <c r="K326" i="2"/>
  <c r="O326" i="2" s="1"/>
  <c r="M326" i="2"/>
  <c r="I327" i="2"/>
  <c r="J327" i="2" s="1"/>
  <c r="N327" i="2" s="1"/>
  <c r="K327" i="2"/>
  <c r="O327" i="2" s="1"/>
  <c r="M327" i="2"/>
  <c r="I328" i="2"/>
  <c r="J328" i="2"/>
  <c r="N328" i="2" s="1"/>
  <c r="K328" i="2"/>
  <c r="M328" i="2"/>
  <c r="O328" i="2"/>
  <c r="I329" i="2"/>
  <c r="J329" i="2" s="1"/>
  <c r="N329" i="2" s="1"/>
  <c r="K329" i="2"/>
  <c r="O329" i="2" s="1"/>
  <c r="M329" i="2"/>
  <c r="I330" i="2"/>
  <c r="J330" i="2" s="1"/>
  <c r="N330" i="2" s="1"/>
  <c r="K330" i="2"/>
  <c r="O330" i="2" s="1"/>
  <c r="M330" i="2"/>
  <c r="I331" i="2"/>
  <c r="J331" i="2" s="1"/>
  <c r="N331" i="2" s="1"/>
  <c r="K331" i="2"/>
  <c r="O331" i="2" s="1"/>
  <c r="M331" i="2"/>
  <c r="I332" i="2"/>
  <c r="J332" i="2"/>
  <c r="N332" i="2" s="1"/>
  <c r="K332" i="2"/>
  <c r="M332" i="2"/>
  <c r="O332" i="2"/>
  <c r="I333" i="2"/>
  <c r="J333" i="2" s="1"/>
  <c r="N333" i="2" s="1"/>
  <c r="K333" i="2"/>
  <c r="O333" i="2" s="1"/>
  <c r="M333" i="2"/>
  <c r="I334" i="2"/>
  <c r="J334" i="2" s="1"/>
  <c r="N334" i="2" s="1"/>
  <c r="K334" i="2"/>
  <c r="O334" i="2" s="1"/>
  <c r="M334" i="2"/>
  <c r="I335" i="2"/>
  <c r="J335" i="2" s="1"/>
  <c r="N335" i="2" s="1"/>
  <c r="K335" i="2"/>
  <c r="O335" i="2" s="1"/>
  <c r="M335" i="2"/>
  <c r="I336" i="2"/>
  <c r="J336" i="2"/>
  <c r="N336" i="2" s="1"/>
  <c r="K336" i="2"/>
  <c r="M336" i="2"/>
  <c r="O336" i="2"/>
  <c r="I337" i="2"/>
  <c r="J337" i="2" s="1"/>
  <c r="N337" i="2" s="1"/>
  <c r="K337" i="2"/>
  <c r="O337" i="2" s="1"/>
  <c r="M337" i="2"/>
  <c r="I338" i="2"/>
  <c r="J338" i="2" s="1"/>
  <c r="N338" i="2" s="1"/>
  <c r="K338" i="2"/>
  <c r="O338" i="2" s="1"/>
  <c r="M338" i="2"/>
  <c r="I339" i="2"/>
  <c r="J339" i="2" s="1"/>
  <c r="N339" i="2" s="1"/>
  <c r="K339" i="2"/>
  <c r="O339" i="2" s="1"/>
  <c r="M339" i="2"/>
  <c r="I340" i="2"/>
  <c r="J340" i="2"/>
  <c r="N340" i="2" s="1"/>
  <c r="K340" i="2"/>
  <c r="M340" i="2"/>
  <c r="O340" i="2"/>
  <c r="I341" i="2"/>
  <c r="J341" i="2" s="1"/>
  <c r="N341" i="2" s="1"/>
  <c r="K341" i="2"/>
  <c r="O341" i="2" s="1"/>
  <c r="M341" i="2"/>
  <c r="I342" i="2"/>
  <c r="J342" i="2" s="1"/>
  <c r="N342" i="2" s="1"/>
  <c r="K342" i="2"/>
  <c r="O342" i="2" s="1"/>
  <c r="M342" i="2"/>
  <c r="I343" i="2"/>
  <c r="J343" i="2" s="1"/>
  <c r="N343" i="2" s="1"/>
  <c r="K343" i="2"/>
  <c r="O343" i="2" s="1"/>
  <c r="M343" i="2"/>
  <c r="I344" i="2"/>
  <c r="J344" i="2"/>
  <c r="N344" i="2" s="1"/>
  <c r="K344" i="2"/>
  <c r="M344" i="2"/>
  <c r="O344" i="2"/>
  <c r="I345" i="2"/>
  <c r="J345" i="2" s="1"/>
  <c r="N345" i="2" s="1"/>
  <c r="K345" i="2"/>
  <c r="O345" i="2" s="1"/>
  <c r="M345" i="2"/>
  <c r="I346" i="2"/>
  <c r="J346" i="2" s="1"/>
  <c r="N346" i="2" s="1"/>
  <c r="K346" i="2"/>
  <c r="O346" i="2" s="1"/>
  <c r="M346" i="2"/>
  <c r="I347" i="2"/>
  <c r="J347" i="2" s="1"/>
  <c r="N347" i="2" s="1"/>
  <c r="K347" i="2"/>
  <c r="O347" i="2" s="1"/>
  <c r="M347" i="2"/>
  <c r="I348" i="2"/>
  <c r="J348" i="2"/>
  <c r="N348" i="2" s="1"/>
  <c r="K348" i="2"/>
  <c r="M348" i="2"/>
  <c r="O348" i="2"/>
  <c r="I349" i="2"/>
  <c r="J349" i="2" s="1"/>
  <c r="N349" i="2" s="1"/>
  <c r="K349" i="2"/>
  <c r="O349" i="2" s="1"/>
  <c r="M349" i="2"/>
  <c r="I350" i="2"/>
  <c r="J350" i="2" s="1"/>
  <c r="N350" i="2" s="1"/>
  <c r="K350" i="2"/>
  <c r="O350" i="2" s="1"/>
  <c r="M350" i="2"/>
  <c r="I351" i="2"/>
  <c r="J351" i="2" s="1"/>
  <c r="N351" i="2" s="1"/>
  <c r="K351" i="2"/>
  <c r="O351" i="2" s="1"/>
  <c r="M351" i="2"/>
  <c r="I352" i="2"/>
  <c r="J352" i="2"/>
  <c r="N352" i="2" s="1"/>
  <c r="K352" i="2"/>
  <c r="M352" i="2"/>
  <c r="O352" i="2"/>
  <c r="I353" i="2"/>
  <c r="J353" i="2" s="1"/>
  <c r="N353" i="2" s="1"/>
  <c r="K353" i="2"/>
  <c r="O353" i="2" s="1"/>
  <c r="M353" i="2"/>
  <c r="I354" i="2"/>
  <c r="J354" i="2" s="1"/>
  <c r="N354" i="2" s="1"/>
  <c r="K354" i="2"/>
  <c r="O354" i="2" s="1"/>
  <c r="M354" i="2"/>
  <c r="I355" i="2"/>
  <c r="J355" i="2" s="1"/>
  <c r="N355" i="2" s="1"/>
  <c r="K355" i="2"/>
  <c r="O355" i="2" s="1"/>
  <c r="M355" i="2"/>
  <c r="I356" i="2"/>
  <c r="J356" i="2"/>
  <c r="N356" i="2" s="1"/>
  <c r="K356" i="2"/>
  <c r="M356" i="2"/>
  <c r="O356" i="2"/>
  <c r="I357" i="2"/>
  <c r="J357" i="2" s="1"/>
  <c r="N357" i="2" s="1"/>
  <c r="K357" i="2"/>
  <c r="O357" i="2" s="1"/>
  <c r="M357" i="2"/>
  <c r="I358" i="2"/>
  <c r="J358" i="2" s="1"/>
  <c r="N358" i="2" s="1"/>
  <c r="K358" i="2"/>
  <c r="O358" i="2" s="1"/>
  <c r="M358" i="2"/>
  <c r="I359" i="2"/>
  <c r="J359" i="2" s="1"/>
  <c r="N359" i="2" s="1"/>
  <c r="K359" i="2"/>
  <c r="O359" i="2" s="1"/>
  <c r="M359" i="2"/>
  <c r="I360" i="2"/>
  <c r="J360" i="2"/>
  <c r="N360" i="2" s="1"/>
  <c r="K360" i="2"/>
  <c r="M360" i="2"/>
  <c r="O360" i="2"/>
  <c r="I361" i="2"/>
  <c r="J361" i="2" s="1"/>
  <c r="N361" i="2" s="1"/>
  <c r="K361" i="2"/>
  <c r="O361" i="2" s="1"/>
  <c r="M361" i="2"/>
  <c r="I362" i="2"/>
  <c r="J362" i="2" s="1"/>
  <c r="N362" i="2" s="1"/>
  <c r="K362" i="2"/>
  <c r="O362" i="2" s="1"/>
  <c r="M362" i="2"/>
  <c r="I363" i="2"/>
  <c r="J363" i="2" s="1"/>
  <c r="N363" i="2" s="1"/>
  <c r="K363" i="2"/>
  <c r="O363" i="2" s="1"/>
  <c r="M363" i="2"/>
  <c r="I364" i="2"/>
  <c r="J364" i="2"/>
  <c r="N364" i="2" s="1"/>
  <c r="K364" i="2"/>
  <c r="M364" i="2"/>
  <c r="O364" i="2"/>
  <c r="I365" i="2"/>
  <c r="J365" i="2" s="1"/>
  <c r="N365" i="2" s="1"/>
  <c r="K365" i="2"/>
  <c r="O365" i="2" s="1"/>
  <c r="M365" i="2"/>
  <c r="I366" i="2"/>
  <c r="J366" i="2" s="1"/>
  <c r="N366" i="2" s="1"/>
  <c r="K366" i="2"/>
  <c r="O366" i="2" s="1"/>
  <c r="M366" i="2"/>
  <c r="I367" i="2"/>
  <c r="J367" i="2" s="1"/>
  <c r="N367" i="2" s="1"/>
  <c r="K367" i="2"/>
  <c r="O367" i="2" s="1"/>
  <c r="M367" i="2"/>
  <c r="I368" i="2"/>
  <c r="J368" i="2"/>
  <c r="N368" i="2" s="1"/>
  <c r="K368" i="2"/>
  <c r="M368" i="2"/>
  <c r="O368" i="2"/>
  <c r="I369" i="2"/>
  <c r="J369" i="2" s="1"/>
  <c r="N369" i="2" s="1"/>
  <c r="K369" i="2"/>
  <c r="O369" i="2" s="1"/>
  <c r="M369" i="2"/>
  <c r="I370" i="2"/>
  <c r="J370" i="2" s="1"/>
  <c r="N370" i="2" s="1"/>
  <c r="K370" i="2"/>
  <c r="O370" i="2" s="1"/>
  <c r="M370" i="2"/>
  <c r="I371" i="2"/>
  <c r="J371" i="2" s="1"/>
  <c r="N371" i="2" s="1"/>
  <c r="K371" i="2"/>
  <c r="O371" i="2" s="1"/>
  <c r="M371" i="2"/>
  <c r="I372" i="2"/>
  <c r="J372" i="2"/>
  <c r="N372" i="2" s="1"/>
  <c r="K372" i="2"/>
  <c r="M372" i="2"/>
  <c r="O372" i="2"/>
  <c r="I373" i="2"/>
  <c r="J373" i="2" s="1"/>
  <c r="N373" i="2" s="1"/>
  <c r="K373" i="2"/>
  <c r="O373" i="2" s="1"/>
  <c r="M373" i="2"/>
  <c r="I374" i="2"/>
  <c r="J374" i="2" s="1"/>
  <c r="N374" i="2" s="1"/>
  <c r="K374" i="2"/>
  <c r="O374" i="2" s="1"/>
  <c r="M374" i="2"/>
  <c r="I375" i="2"/>
  <c r="J375" i="2" s="1"/>
  <c r="N375" i="2" s="1"/>
  <c r="K375" i="2"/>
  <c r="O375" i="2" s="1"/>
  <c r="M375" i="2"/>
  <c r="I376" i="2"/>
  <c r="J376" i="2"/>
  <c r="N376" i="2" s="1"/>
  <c r="K376" i="2"/>
  <c r="M376" i="2"/>
  <c r="O376" i="2"/>
  <c r="I377" i="2"/>
  <c r="J377" i="2" s="1"/>
  <c r="N377" i="2" s="1"/>
  <c r="K377" i="2"/>
  <c r="O377" i="2" s="1"/>
  <c r="M377" i="2"/>
  <c r="I378" i="2"/>
  <c r="J378" i="2" s="1"/>
  <c r="N378" i="2" s="1"/>
  <c r="K378" i="2"/>
  <c r="O378" i="2" s="1"/>
  <c r="M378" i="2"/>
  <c r="I379" i="2"/>
  <c r="J379" i="2" s="1"/>
  <c r="N379" i="2" s="1"/>
  <c r="K379" i="2"/>
  <c r="O379" i="2" s="1"/>
  <c r="M379" i="2"/>
  <c r="I380" i="2"/>
  <c r="J380" i="2"/>
  <c r="N380" i="2" s="1"/>
  <c r="K380" i="2"/>
  <c r="M380" i="2"/>
  <c r="O380" i="2"/>
  <c r="I381" i="2"/>
  <c r="J381" i="2" s="1"/>
  <c r="N381" i="2" s="1"/>
  <c r="K381" i="2"/>
  <c r="O381" i="2" s="1"/>
  <c r="M381" i="2"/>
  <c r="I382" i="2"/>
  <c r="J382" i="2" s="1"/>
  <c r="N382" i="2" s="1"/>
  <c r="K382" i="2"/>
  <c r="O382" i="2" s="1"/>
  <c r="M382" i="2"/>
  <c r="I383" i="2"/>
  <c r="J383" i="2" s="1"/>
  <c r="N383" i="2" s="1"/>
  <c r="K383" i="2"/>
  <c r="O383" i="2" s="1"/>
  <c r="M383" i="2"/>
  <c r="I384" i="2"/>
  <c r="J384" i="2"/>
  <c r="N384" i="2" s="1"/>
  <c r="K384" i="2"/>
  <c r="M384" i="2"/>
  <c r="O384" i="2"/>
  <c r="I385" i="2"/>
  <c r="J385" i="2" s="1"/>
  <c r="N385" i="2" s="1"/>
  <c r="K385" i="2"/>
  <c r="O385" i="2" s="1"/>
  <c r="M385" i="2"/>
  <c r="I386" i="2"/>
  <c r="J386" i="2" s="1"/>
  <c r="N386" i="2" s="1"/>
  <c r="K386" i="2"/>
  <c r="O386" i="2" s="1"/>
  <c r="M386" i="2"/>
  <c r="I387" i="2"/>
  <c r="J387" i="2" s="1"/>
  <c r="N387" i="2" s="1"/>
  <c r="K387" i="2"/>
  <c r="O387" i="2" s="1"/>
  <c r="M387" i="2"/>
  <c r="I388" i="2"/>
  <c r="J388" i="2"/>
  <c r="N388" i="2" s="1"/>
  <c r="K388" i="2"/>
  <c r="M388" i="2"/>
  <c r="O388" i="2"/>
  <c r="I389" i="2"/>
  <c r="J389" i="2" s="1"/>
  <c r="N389" i="2" s="1"/>
  <c r="K389" i="2"/>
  <c r="O389" i="2" s="1"/>
  <c r="M389" i="2"/>
  <c r="I390" i="2"/>
  <c r="J390" i="2" s="1"/>
  <c r="N390" i="2" s="1"/>
  <c r="K390" i="2"/>
  <c r="O390" i="2" s="1"/>
  <c r="M390" i="2"/>
  <c r="I391" i="2"/>
  <c r="J391" i="2" s="1"/>
  <c r="N391" i="2" s="1"/>
  <c r="K391" i="2"/>
  <c r="O391" i="2" s="1"/>
  <c r="M391" i="2"/>
  <c r="I392" i="2"/>
  <c r="J392" i="2"/>
  <c r="N392" i="2" s="1"/>
  <c r="K392" i="2"/>
  <c r="M392" i="2"/>
  <c r="O392" i="2"/>
  <c r="I393" i="2"/>
  <c r="J393" i="2" s="1"/>
  <c r="N393" i="2" s="1"/>
  <c r="K393" i="2"/>
  <c r="M393" i="2"/>
  <c r="O393" i="2"/>
  <c r="I394" i="2"/>
  <c r="J394" i="2"/>
  <c r="N394" i="2" s="1"/>
  <c r="K394" i="2"/>
  <c r="O394" i="2" s="1"/>
  <c r="M394" i="2"/>
  <c r="I395" i="2"/>
  <c r="J395" i="2" s="1"/>
  <c r="N395" i="2" s="1"/>
  <c r="K395" i="2"/>
  <c r="M395" i="2"/>
  <c r="O395" i="2"/>
  <c r="I396" i="2"/>
  <c r="J396" i="2"/>
  <c r="N396" i="2" s="1"/>
  <c r="K396" i="2"/>
  <c r="O396" i="2" s="1"/>
  <c r="M396" i="2"/>
  <c r="I397" i="2"/>
  <c r="J397" i="2"/>
  <c r="N397" i="2" s="1"/>
  <c r="K397" i="2"/>
  <c r="M397" i="2"/>
  <c r="O397" i="2"/>
  <c r="I398" i="2"/>
  <c r="J398" i="2"/>
  <c r="N398" i="2" s="1"/>
  <c r="K398" i="2"/>
  <c r="O398" i="2" s="1"/>
  <c r="M398" i="2"/>
  <c r="I399" i="2"/>
  <c r="J399" i="2" s="1"/>
  <c r="N399" i="2" s="1"/>
  <c r="K399" i="2"/>
  <c r="M399" i="2"/>
  <c r="O399" i="2"/>
  <c r="I400" i="2"/>
  <c r="J400" i="2"/>
  <c r="N400" i="2" s="1"/>
  <c r="K400" i="2"/>
  <c r="O400" i="2" s="1"/>
  <c r="M400" i="2"/>
  <c r="I401" i="2"/>
  <c r="J401" i="2"/>
  <c r="N401" i="2" s="1"/>
  <c r="K401" i="2"/>
  <c r="M401" i="2"/>
  <c r="O401" i="2"/>
  <c r="I402" i="2"/>
  <c r="J402" i="2"/>
  <c r="N402" i="2" s="1"/>
  <c r="K402" i="2"/>
  <c r="O402" i="2" s="1"/>
  <c r="M402" i="2"/>
  <c r="I403" i="2"/>
  <c r="J403" i="2" s="1"/>
  <c r="N403" i="2" s="1"/>
  <c r="K403" i="2"/>
  <c r="M403" i="2"/>
  <c r="O403" i="2"/>
  <c r="I404" i="2"/>
  <c r="J404" i="2"/>
  <c r="N404" i="2" s="1"/>
  <c r="K404" i="2"/>
  <c r="O404" i="2" s="1"/>
  <c r="M404" i="2"/>
  <c r="I405" i="2"/>
  <c r="J405" i="2"/>
  <c r="N405" i="2" s="1"/>
  <c r="K405" i="2"/>
  <c r="M405" i="2"/>
  <c r="O405" i="2"/>
  <c r="I406" i="2"/>
  <c r="J406" i="2"/>
  <c r="N406" i="2" s="1"/>
  <c r="K406" i="2"/>
  <c r="O406" i="2" s="1"/>
  <c r="M406" i="2"/>
  <c r="I407" i="2"/>
  <c r="J407" i="2" s="1"/>
  <c r="N407" i="2" s="1"/>
  <c r="K407" i="2"/>
  <c r="M407" i="2"/>
  <c r="O407" i="2"/>
  <c r="I408" i="2"/>
  <c r="J408" i="2"/>
  <c r="N408" i="2" s="1"/>
  <c r="K408" i="2"/>
  <c r="O408" i="2" s="1"/>
  <c r="M408" i="2"/>
  <c r="I409" i="2"/>
  <c r="J409" i="2"/>
  <c r="N409" i="2" s="1"/>
  <c r="K409" i="2"/>
  <c r="M409" i="2"/>
  <c r="O409" i="2"/>
  <c r="I410" i="2"/>
  <c r="J410" i="2"/>
  <c r="N410" i="2" s="1"/>
  <c r="K410" i="2"/>
  <c r="O410" i="2" s="1"/>
  <c r="M410" i="2"/>
  <c r="I411" i="2"/>
  <c r="J411" i="2" s="1"/>
  <c r="N411" i="2" s="1"/>
  <c r="K411" i="2"/>
  <c r="M411" i="2"/>
  <c r="O411" i="2"/>
  <c r="I412" i="2"/>
  <c r="J412" i="2"/>
  <c r="N412" i="2" s="1"/>
  <c r="K412" i="2"/>
  <c r="O412" i="2" s="1"/>
  <c r="M412" i="2"/>
  <c r="I413" i="2"/>
  <c r="J413" i="2"/>
  <c r="N413" i="2" s="1"/>
  <c r="K413" i="2"/>
  <c r="M413" i="2"/>
  <c r="O413" i="2"/>
  <c r="I414" i="2"/>
  <c r="J414" i="2"/>
  <c r="N414" i="2" s="1"/>
  <c r="K414" i="2"/>
  <c r="O414" i="2" s="1"/>
  <c r="M414" i="2"/>
  <c r="I415" i="2"/>
  <c r="J415" i="2" s="1"/>
  <c r="N415" i="2" s="1"/>
  <c r="K415" i="2"/>
  <c r="M415" i="2"/>
  <c r="O415" i="2"/>
  <c r="I416" i="2"/>
  <c r="J416" i="2"/>
  <c r="N416" i="2" s="1"/>
  <c r="K416" i="2"/>
  <c r="O416" i="2" s="1"/>
  <c r="M416" i="2"/>
  <c r="I417" i="2"/>
  <c r="J417" i="2"/>
  <c r="N417" i="2" s="1"/>
  <c r="K417" i="2"/>
  <c r="M417" i="2"/>
  <c r="O417" i="2"/>
  <c r="I418" i="2"/>
  <c r="J418" i="2"/>
  <c r="N418" i="2" s="1"/>
  <c r="K418" i="2"/>
  <c r="O418" i="2" s="1"/>
  <c r="M418" i="2"/>
  <c r="I419" i="2"/>
  <c r="J419" i="2" s="1"/>
  <c r="N419" i="2" s="1"/>
  <c r="K419" i="2"/>
  <c r="M419" i="2"/>
  <c r="O419" i="2"/>
  <c r="I420" i="2"/>
  <c r="J420" i="2"/>
  <c r="N420" i="2" s="1"/>
  <c r="K420" i="2"/>
  <c r="O420" i="2" s="1"/>
  <c r="M420" i="2"/>
  <c r="I421" i="2"/>
  <c r="J421" i="2"/>
  <c r="N421" i="2" s="1"/>
  <c r="K421" i="2"/>
  <c r="M421" i="2"/>
  <c r="O421" i="2"/>
  <c r="I422" i="2"/>
  <c r="J422" i="2"/>
  <c r="N422" i="2" s="1"/>
  <c r="K422" i="2"/>
  <c r="O422" i="2" s="1"/>
  <c r="M422" i="2"/>
  <c r="I423" i="2"/>
  <c r="J423" i="2" s="1"/>
  <c r="N423" i="2" s="1"/>
  <c r="K423" i="2"/>
  <c r="M423" i="2"/>
  <c r="O423" i="2"/>
  <c r="I424" i="2"/>
  <c r="J424" i="2"/>
  <c r="N424" i="2" s="1"/>
  <c r="K424" i="2"/>
  <c r="O424" i="2" s="1"/>
  <c r="M424" i="2"/>
  <c r="I425" i="2"/>
  <c r="J425" i="2"/>
  <c r="N425" i="2" s="1"/>
  <c r="K425" i="2"/>
  <c r="M425" i="2"/>
  <c r="O425" i="2"/>
  <c r="I426" i="2"/>
  <c r="J426" i="2"/>
  <c r="N426" i="2" s="1"/>
  <c r="K426" i="2"/>
  <c r="O426" i="2" s="1"/>
  <c r="M426" i="2"/>
  <c r="I427" i="2"/>
  <c r="J427" i="2" s="1"/>
  <c r="N427" i="2" s="1"/>
  <c r="K427" i="2"/>
  <c r="M427" i="2"/>
  <c r="O427" i="2"/>
  <c r="I428" i="2"/>
  <c r="J428" i="2"/>
  <c r="N428" i="2" s="1"/>
  <c r="K428" i="2"/>
  <c r="O428" i="2" s="1"/>
  <c r="M428" i="2"/>
  <c r="I429" i="2"/>
  <c r="J429" i="2"/>
  <c r="N429" i="2" s="1"/>
  <c r="K429" i="2"/>
  <c r="M429" i="2"/>
  <c r="O429" i="2"/>
  <c r="I430" i="2"/>
  <c r="J430" i="2"/>
  <c r="N430" i="2" s="1"/>
  <c r="K430" i="2"/>
  <c r="O430" i="2" s="1"/>
  <c r="M430" i="2"/>
  <c r="I431" i="2"/>
  <c r="J431" i="2" s="1"/>
  <c r="N431" i="2" s="1"/>
  <c r="K431" i="2"/>
  <c r="M431" i="2"/>
  <c r="O431" i="2"/>
  <c r="I432" i="2"/>
  <c r="J432" i="2"/>
  <c r="N432" i="2" s="1"/>
  <c r="K432" i="2"/>
  <c r="O432" i="2" s="1"/>
  <c r="M432" i="2"/>
  <c r="I433" i="2"/>
  <c r="J433" i="2"/>
  <c r="N433" i="2" s="1"/>
  <c r="K433" i="2"/>
  <c r="M433" i="2"/>
  <c r="O433" i="2"/>
  <c r="I434" i="2"/>
  <c r="J434" i="2"/>
  <c r="N434" i="2" s="1"/>
  <c r="K434" i="2"/>
  <c r="O434" i="2" s="1"/>
  <c r="M434" i="2"/>
  <c r="I435" i="2"/>
  <c r="J435" i="2" s="1"/>
  <c r="N435" i="2" s="1"/>
  <c r="K435" i="2"/>
  <c r="M435" i="2"/>
  <c r="O435" i="2"/>
  <c r="I436" i="2"/>
  <c r="J436" i="2"/>
  <c r="N436" i="2" s="1"/>
  <c r="K436" i="2"/>
  <c r="O436" i="2" s="1"/>
  <c r="M436" i="2"/>
  <c r="I437" i="2"/>
  <c r="J437" i="2"/>
  <c r="N437" i="2" s="1"/>
  <c r="K437" i="2"/>
  <c r="M437" i="2"/>
  <c r="O437" i="2"/>
  <c r="I438" i="2"/>
  <c r="J438" i="2"/>
  <c r="N438" i="2" s="1"/>
  <c r="K438" i="2"/>
  <c r="O438" i="2" s="1"/>
  <c r="M438" i="2"/>
  <c r="I439" i="2"/>
  <c r="J439" i="2" s="1"/>
  <c r="N439" i="2" s="1"/>
  <c r="K439" i="2"/>
  <c r="M439" i="2"/>
  <c r="O439" i="2"/>
  <c r="I440" i="2"/>
  <c r="J440" i="2"/>
  <c r="N440" i="2" s="1"/>
  <c r="K440" i="2"/>
  <c r="O440" i="2" s="1"/>
  <c r="M440" i="2"/>
  <c r="I441" i="2"/>
  <c r="J441" i="2"/>
  <c r="N441" i="2" s="1"/>
  <c r="K441" i="2"/>
  <c r="M441" i="2"/>
  <c r="O441" i="2"/>
  <c r="I442" i="2"/>
  <c r="J442" i="2"/>
  <c r="N442" i="2" s="1"/>
  <c r="K442" i="2"/>
  <c r="O442" i="2" s="1"/>
  <c r="M442" i="2"/>
  <c r="I443" i="2"/>
  <c r="J443" i="2" s="1"/>
  <c r="N443" i="2" s="1"/>
  <c r="K443" i="2"/>
  <c r="M443" i="2"/>
  <c r="O443" i="2"/>
  <c r="I444" i="2"/>
  <c r="J444" i="2"/>
  <c r="N444" i="2" s="1"/>
  <c r="K444" i="2"/>
  <c r="O444" i="2" s="1"/>
  <c r="M444" i="2"/>
  <c r="I445" i="2"/>
  <c r="J445" i="2"/>
  <c r="N445" i="2" s="1"/>
  <c r="K445" i="2"/>
  <c r="M445" i="2"/>
  <c r="O445" i="2"/>
  <c r="I446" i="2"/>
  <c r="J446" i="2"/>
  <c r="N446" i="2" s="1"/>
  <c r="K446" i="2"/>
  <c r="O446" i="2" s="1"/>
  <c r="M446" i="2"/>
  <c r="I447" i="2"/>
  <c r="J447" i="2" s="1"/>
  <c r="N447" i="2" s="1"/>
  <c r="K447" i="2"/>
  <c r="M447" i="2"/>
  <c r="O447" i="2"/>
  <c r="I448" i="2"/>
  <c r="J448" i="2"/>
  <c r="N448" i="2" s="1"/>
  <c r="K448" i="2"/>
  <c r="O448" i="2" s="1"/>
  <c r="M448" i="2"/>
  <c r="I449" i="2"/>
  <c r="J449" i="2"/>
  <c r="N449" i="2" s="1"/>
  <c r="K449" i="2"/>
  <c r="M449" i="2"/>
  <c r="O449" i="2"/>
  <c r="I450" i="2"/>
  <c r="J450" i="2"/>
  <c r="N450" i="2" s="1"/>
  <c r="K450" i="2"/>
  <c r="O450" i="2" s="1"/>
  <c r="M450" i="2"/>
  <c r="I451" i="2"/>
  <c r="J451" i="2" s="1"/>
  <c r="N451" i="2" s="1"/>
  <c r="K451" i="2"/>
  <c r="M451" i="2"/>
  <c r="O451" i="2"/>
  <c r="I452" i="2"/>
  <c r="J452" i="2"/>
  <c r="N452" i="2" s="1"/>
  <c r="K452" i="2"/>
  <c r="O452" i="2" s="1"/>
  <c r="M452" i="2"/>
  <c r="I453" i="2"/>
  <c r="J453" i="2"/>
  <c r="N453" i="2" s="1"/>
  <c r="K453" i="2"/>
  <c r="M453" i="2"/>
  <c r="O453" i="2"/>
  <c r="I454" i="2"/>
  <c r="J454" i="2"/>
  <c r="N454" i="2" s="1"/>
  <c r="K454" i="2"/>
  <c r="O454" i="2" s="1"/>
  <c r="M454" i="2"/>
  <c r="I455" i="2"/>
  <c r="J455" i="2" s="1"/>
  <c r="N455" i="2" s="1"/>
  <c r="K455" i="2"/>
  <c r="M455" i="2"/>
  <c r="O455" i="2"/>
  <c r="I456" i="2"/>
  <c r="J456" i="2"/>
  <c r="N456" i="2" s="1"/>
  <c r="K456" i="2"/>
  <c r="O456" i="2" s="1"/>
  <c r="M456" i="2"/>
  <c r="I457" i="2"/>
  <c r="J457" i="2"/>
  <c r="N457" i="2" s="1"/>
  <c r="K457" i="2"/>
  <c r="M457" i="2"/>
  <c r="O457" i="2"/>
  <c r="I458" i="2"/>
  <c r="J458" i="2"/>
  <c r="N458" i="2" s="1"/>
  <c r="K458" i="2"/>
  <c r="O458" i="2" s="1"/>
  <c r="M458" i="2"/>
  <c r="I459" i="2"/>
  <c r="J459" i="2" s="1"/>
  <c r="N459" i="2" s="1"/>
  <c r="K459" i="2"/>
  <c r="M459" i="2"/>
  <c r="O459" i="2"/>
  <c r="I460" i="2"/>
  <c r="J460" i="2"/>
  <c r="N460" i="2" s="1"/>
  <c r="K460" i="2"/>
  <c r="O460" i="2" s="1"/>
  <c r="M460" i="2"/>
  <c r="I461" i="2"/>
  <c r="J461" i="2"/>
  <c r="N461" i="2" s="1"/>
  <c r="K461" i="2"/>
  <c r="M461" i="2"/>
  <c r="O461" i="2"/>
  <c r="I462" i="2"/>
  <c r="J462" i="2"/>
  <c r="N462" i="2" s="1"/>
  <c r="K462" i="2"/>
  <c r="O462" i="2" s="1"/>
  <c r="M462" i="2"/>
  <c r="I463" i="2"/>
  <c r="J463" i="2" s="1"/>
  <c r="N463" i="2" s="1"/>
  <c r="K463" i="2"/>
  <c r="M463" i="2"/>
  <c r="O463" i="2"/>
  <c r="I464" i="2"/>
  <c r="J464" i="2"/>
  <c r="N464" i="2" s="1"/>
  <c r="K464" i="2"/>
  <c r="O464" i="2" s="1"/>
  <c r="M464" i="2"/>
  <c r="I465" i="2"/>
  <c r="J465" i="2"/>
  <c r="N465" i="2" s="1"/>
  <c r="K465" i="2"/>
  <c r="M465" i="2"/>
  <c r="O465" i="2"/>
  <c r="I466" i="2"/>
  <c r="J466" i="2"/>
  <c r="N466" i="2" s="1"/>
  <c r="K466" i="2"/>
  <c r="O466" i="2" s="1"/>
  <c r="M466" i="2"/>
  <c r="I467" i="2"/>
  <c r="J467" i="2" s="1"/>
  <c r="N467" i="2" s="1"/>
  <c r="K467" i="2"/>
  <c r="M467" i="2"/>
  <c r="O467" i="2"/>
  <c r="I468" i="2"/>
  <c r="J468" i="2"/>
  <c r="N468" i="2" s="1"/>
  <c r="K468" i="2"/>
  <c r="O468" i="2" s="1"/>
  <c r="M468" i="2"/>
  <c r="I469" i="2"/>
  <c r="J469" i="2"/>
  <c r="N469" i="2" s="1"/>
  <c r="K469" i="2"/>
  <c r="M469" i="2"/>
  <c r="O469" i="2"/>
  <c r="I470" i="2"/>
  <c r="J470" i="2"/>
  <c r="N470" i="2" s="1"/>
  <c r="K470" i="2"/>
  <c r="O470" i="2" s="1"/>
  <c r="M470" i="2"/>
  <c r="I471" i="2"/>
  <c r="J471" i="2" s="1"/>
  <c r="N471" i="2" s="1"/>
  <c r="K471" i="2"/>
  <c r="M471" i="2"/>
  <c r="O471" i="2"/>
  <c r="I472" i="2"/>
  <c r="J472" i="2"/>
  <c r="N472" i="2" s="1"/>
  <c r="K472" i="2"/>
  <c r="O472" i="2" s="1"/>
  <c r="M472" i="2"/>
  <c r="I473" i="2"/>
  <c r="J473" i="2"/>
  <c r="N473" i="2" s="1"/>
  <c r="K473" i="2"/>
  <c r="M473" i="2"/>
  <c r="O473" i="2"/>
  <c r="I474" i="2"/>
  <c r="J474" i="2"/>
  <c r="N474" i="2" s="1"/>
  <c r="K474" i="2"/>
  <c r="O474" i="2" s="1"/>
  <c r="M474" i="2"/>
  <c r="I475" i="2"/>
  <c r="J475" i="2" s="1"/>
  <c r="N475" i="2" s="1"/>
  <c r="K475" i="2"/>
  <c r="M475" i="2"/>
  <c r="O475" i="2"/>
  <c r="I476" i="2"/>
  <c r="J476" i="2"/>
  <c r="N476" i="2" s="1"/>
  <c r="K476" i="2"/>
  <c r="O476" i="2" s="1"/>
  <c r="M476" i="2"/>
  <c r="I477" i="2"/>
  <c r="J477" i="2"/>
  <c r="N477" i="2" s="1"/>
  <c r="K477" i="2"/>
  <c r="M477" i="2"/>
  <c r="O477" i="2"/>
  <c r="I478" i="2"/>
  <c r="J478" i="2"/>
  <c r="N478" i="2" s="1"/>
  <c r="K478" i="2"/>
  <c r="O478" i="2" s="1"/>
  <c r="M478" i="2"/>
  <c r="I479" i="2"/>
  <c r="J479" i="2" s="1"/>
  <c r="N479" i="2" s="1"/>
  <c r="K479" i="2"/>
  <c r="M479" i="2"/>
  <c r="O479" i="2"/>
  <c r="I480" i="2"/>
  <c r="J480" i="2"/>
  <c r="N480" i="2" s="1"/>
  <c r="K480" i="2"/>
  <c r="O480" i="2" s="1"/>
  <c r="M480" i="2"/>
  <c r="I481" i="2"/>
  <c r="J481" i="2"/>
  <c r="N481" i="2" s="1"/>
  <c r="K481" i="2"/>
  <c r="M481" i="2"/>
  <c r="O481" i="2"/>
  <c r="I482" i="2"/>
  <c r="J482" i="2"/>
  <c r="N482" i="2" s="1"/>
  <c r="K482" i="2"/>
  <c r="O482" i="2" s="1"/>
  <c r="M482" i="2"/>
  <c r="I483" i="2"/>
  <c r="J483" i="2" s="1"/>
  <c r="N483" i="2" s="1"/>
  <c r="K483" i="2"/>
  <c r="M483" i="2"/>
  <c r="O483" i="2"/>
  <c r="I484" i="2"/>
  <c r="J484" i="2"/>
  <c r="N484" i="2" s="1"/>
  <c r="K484" i="2"/>
  <c r="O484" i="2" s="1"/>
  <c r="M484" i="2"/>
  <c r="I485" i="2"/>
  <c r="J485" i="2"/>
  <c r="N485" i="2" s="1"/>
  <c r="K485" i="2"/>
  <c r="M485" i="2"/>
  <c r="O485" i="2"/>
  <c r="I486" i="2"/>
  <c r="J486" i="2"/>
  <c r="N486" i="2" s="1"/>
  <c r="K486" i="2"/>
  <c r="O486" i="2" s="1"/>
  <c r="M486" i="2"/>
  <c r="I487" i="2"/>
  <c r="J487" i="2" s="1"/>
  <c r="N487" i="2" s="1"/>
  <c r="K487" i="2"/>
  <c r="M487" i="2"/>
  <c r="O487" i="2"/>
  <c r="I488" i="2"/>
  <c r="J488" i="2"/>
  <c r="N488" i="2" s="1"/>
  <c r="K488" i="2"/>
  <c r="O488" i="2" s="1"/>
  <c r="M488" i="2"/>
  <c r="I489" i="2"/>
  <c r="J489" i="2"/>
  <c r="N489" i="2" s="1"/>
  <c r="K489" i="2"/>
  <c r="M489" i="2"/>
  <c r="O489" i="2"/>
  <c r="I490" i="2"/>
  <c r="J490" i="2"/>
  <c r="N490" i="2" s="1"/>
  <c r="K490" i="2"/>
  <c r="O490" i="2" s="1"/>
  <c r="M490" i="2"/>
  <c r="I491" i="2"/>
  <c r="J491" i="2" s="1"/>
  <c r="N491" i="2" s="1"/>
  <c r="K491" i="2"/>
  <c r="M491" i="2"/>
  <c r="O491" i="2"/>
  <c r="I492" i="2"/>
  <c r="J492" i="2"/>
  <c r="N492" i="2" s="1"/>
  <c r="K492" i="2"/>
  <c r="O492" i="2" s="1"/>
  <c r="M492" i="2"/>
  <c r="I493" i="2"/>
  <c r="J493" i="2"/>
  <c r="N493" i="2" s="1"/>
  <c r="K493" i="2"/>
  <c r="M493" i="2"/>
  <c r="O493" i="2"/>
  <c r="I494" i="2"/>
  <c r="J494" i="2"/>
  <c r="N494" i="2" s="1"/>
  <c r="K494" i="2"/>
  <c r="O494" i="2" s="1"/>
  <c r="M494" i="2"/>
  <c r="I495" i="2"/>
  <c r="J495" i="2" s="1"/>
  <c r="N495" i="2" s="1"/>
  <c r="K495" i="2"/>
  <c r="M495" i="2"/>
  <c r="O495" i="2"/>
  <c r="I496" i="2"/>
  <c r="J496" i="2"/>
  <c r="N496" i="2" s="1"/>
  <c r="K496" i="2"/>
  <c r="O496" i="2" s="1"/>
  <c r="M496" i="2"/>
  <c r="I497" i="2"/>
  <c r="J497" i="2"/>
  <c r="N497" i="2" s="1"/>
  <c r="K497" i="2"/>
  <c r="M497" i="2"/>
  <c r="O497" i="2"/>
  <c r="I498" i="2"/>
  <c r="J498" i="2"/>
  <c r="N498" i="2" s="1"/>
  <c r="K498" i="2"/>
  <c r="O498" i="2" s="1"/>
  <c r="M498" i="2"/>
  <c r="I499" i="2"/>
  <c r="J499" i="2" s="1"/>
  <c r="N499" i="2" s="1"/>
  <c r="K499" i="2"/>
  <c r="M499" i="2"/>
  <c r="O499" i="2"/>
  <c r="I500" i="2"/>
  <c r="J500" i="2"/>
  <c r="N500" i="2" s="1"/>
  <c r="K500" i="2"/>
  <c r="O500" i="2" s="1"/>
  <c r="M500" i="2"/>
  <c r="I501" i="2"/>
  <c r="J501" i="2"/>
  <c r="N501" i="2" s="1"/>
  <c r="K501" i="2"/>
  <c r="M501" i="2"/>
  <c r="O501" i="2"/>
  <c r="I502" i="2"/>
  <c r="J502" i="2"/>
  <c r="N502" i="2" s="1"/>
  <c r="K502" i="2"/>
  <c r="O502" i="2" s="1"/>
  <c r="M502" i="2"/>
  <c r="I503" i="2"/>
  <c r="J503" i="2" s="1"/>
  <c r="N503" i="2" s="1"/>
  <c r="K503" i="2"/>
  <c r="M503" i="2"/>
  <c r="O503" i="2"/>
  <c r="I504" i="2"/>
  <c r="J504" i="2"/>
  <c r="N504" i="2" s="1"/>
  <c r="K504" i="2"/>
  <c r="M504" i="2"/>
  <c r="O504" i="2"/>
  <c r="I505" i="2"/>
  <c r="J505" i="2" s="1"/>
  <c r="N505" i="2" s="1"/>
  <c r="K505" i="2"/>
  <c r="M505" i="2"/>
  <c r="O505" i="2"/>
  <c r="I506" i="2"/>
  <c r="J506" i="2"/>
  <c r="N506" i="2" s="1"/>
  <c r="K506" i="2"/>
  <c r="O506" i="2" s="1"/>
  <c r="M506" i="2"/>
  <c r="I507" i="2"/>
  <c r="J507" i="2"/>
  <c r="N507" i="2" s="1"/>
  <c r="K507" i="2"/>
  <c r="M507" i="2"/>
  <c r="O507" i="2"/>
  <c r="I508" i="2"/>
  <c r="J508" i="2"/>
  <c r="N508" i="2" s="1"/>
  <c r="K508" i="2"/>
  <c r="O508" i="2" s="1"/>
  <c r="M508" i="2"/>
  <c r="I509" i="2"/>
  <c r="J509" i="2"/>
  <c r="N509" i="2" s="1"/>
  <c r="K509" i="2"/>
  <c r="M509" i="2"/>
  <c r="O509" i="2"/>
  <c r="I510" i="2"/>
  <c r="J510" i="2"/>
  <c r="N510" i="2" s="1"/>
  <c r="K510" i="2"/>
  <c r="M510" i="2"/>
  <c r="O510" i="2"/>
  <c r="I511" i="2"/>
  <c r="J511" i="2" s="1"/>
  <c r="N511" i="2" s="1"/>
  <c r="K511" i="2"/>
  <c r="M511" i="2"/>
  <c r="O511" i="2"/>
  <c r="I512" i="2"/>
  <c r="J512" i="2"/>
  <c r="N512" i="2" s="1"/>
  <c r="K512" i="2"/>
  <c r="M512" i="2"/>
  <c r="O512" i="2"/>
  <c r="I513" i="2"/>
  <c r="J513" i="2" s="1"/>
  <c r="N513" i="2" s="1"/>
  <c r="K513" i="2"/>
  <c r="M513" i="2"/>
  <c r="O513" i="2"/>
  <c r="I514" i="2"/>
  <c r="J514" i="2"/>
  <c r="N514" i="2" s="1"/>
  <c r="K514" i="2"/>
  <c r="O514" i="2" s="1"/>
  <c r="M514" i="2"/>
  <c r="I515" i="2"/>
  <c r="J515" i="2"/>
  <c r="N515" i="2" s="1"/>
  <c r="K515" i="2"/>
  <c r="M515" i="2"/>
  <c r="O515" i="2"/>
  <c r="I516" i="2"/>
  <c r="J516" i="2"/>
  <c r="N516" i="2" s="1"/>
  <c r="K516" i="2"/>
  <c r="O516" i="2" s="1"/>
  <c r="M516" i="2"/>
  <c r="I517" i="2"/>
  <c r="J517" i="2"/>
  <c r="N517" i="2" s="1"/>
  <c r="K517" i="2"/>
  <c r="M517" i="2"/>
  <c r="O517" i="2"/>
  <c r="I518" i="2"/>
  <c r="J518" i="2"/>
  <c r="N518" i="2" s="1"/>
  <c r="K518" i="2"/>
  <c r="M518" i="2"/>
  <c r="O518" i="2"/>
  <c r="I519" i="2"/>
  <c r="J519" i="2" s="1"/>
  <c r="N519" i="2" s="1"/>
  <c r="K519" i="2"/>
  <c r="M519" i="2"/>
  <c r="O519" i="2"/>
  <c r="I520" i="2"/>
  <c r="J520" i="2"/>
  <c r="N520" i="2" s="1"/>
  <c r="K520" i="2"/>
  <c r="M520" i="2"/>
  <c r="O520" i="2"/>
  <c r="I521" i="2"/>
  <c r="J521" i="2" s="1"/>
  <c r="N521" i="2" s="1"/>
  <c r="K521" i="2"/>
  <c r="M521" i="2"/>
  <c r="O521" i="2"/>
  <c r="I522" i="2"/>
  <c r="J522" i="2"/>
  <c r="N522" i="2" s="1"/>
  <c r="K522" i="2"/>
  <c r="O522" i="2" s="1"/>
  <c r="M522" i="2"/>
  <c r="I523" i="2"/>
  <c r="J523" i="2"/>
  <c r="N523" i="2" s="1"/>
  <c r="K523" i="2"/>
  <c r="M523" i="2"/>
  <c r="O523" i="2"/>
  <c r="I524" i="2"/>
  <c r="J524" i="2"/>
  <c r="N524" i="2" s="1"/>
  <c r="K524" i="2"/>
  <c r="O524" i="2" s="1"/>
  <c r="M524" i="2"/>
  <c r="I525" i="2"/>
  <c r="J525" i="2"/>
  <c r="N525" i="2" s="1"/>
  <c r="K525" i="2"/>
  <c r="M525" i="2"/>
  <c r="O525" i="2"/>
  <c r="I526" i="2"/>
  <c r="J526" i="2"/>
  <c r="N526" i="2" s="1"/>
  <c r="K526" i="2"/>
  <c r="M526" i="2"/>
  <c r="O526" i="2"/>
  <c r="I527" i="2"/>
  <c r="J527" i="2" s="1"/>
  <c r="N527" i="2" s="1"/>
  <c r="K527" i="2"/>
  <c r="M527" i="2"/>
  <c r="O527" i="2"/>
  <c r="I528" i="2"/>
  <c r="J528" i="2"/>
  <c r="N528" i="2" s="1"/>
  <c r="K528" i="2"/>
  <c r="M528" i="2"/>
  <c r="O528" i="2"/>
  <c r="I529" i="2"/>
  <c r="J529" i="2" s="1"/>
  <c r="N529" i="2" s="1"/>
  <c r="K529" i="2"/>
  <c r="M529" i="2"/>
  <c r="O529" i="2"/>
  <c r="I530" i="2"/>
  <c r="J530" i="2"/>
  <c r="N530" i="2" s="1"/>
  <c r="K530" i="2"/>
  <c r="O530" i="2" s="1"/>
  <c r="M530" i="2"/>
  <c r="I531" i="2"/>
  <c r="J531" i="2" s="1"/>
  <c r="N531" i="2" s="1"/>
  <c r="K531" i="2"/>
  <c r="M531" i="2"/>
  <c r="O531" i="2"/>
  <c r="I532" i="2"/>
  <c r="J532" i="2"/>
  <c r="N532" i="2" s="1"/>
  <c r="K532" i="2"/>
  <c r="O532" i="2" s="1"/>
  <c r="M532" i="2"/>
  <c r="I533" i="2"/>
  <c r="J533" i="2" s="1"/>
  <c r="N533" i="2" s="1"/>
  <c r="K533" i="2"/>
  <c r="M533" i="2"/>
  <c r="O533" i="2"/>
  <c r="I534" i="2"/>
  <c r="J534" i="2"/>
  <c r="N534" i="2" s="1"/>
  <c r="K534" i="2"/>
  <c r="O534" i="2" s="1"/>
  <c r="M534" i="2"/>
  <c r="I535" i="2"/>
  <c r="J535" i="2" s="1"/>
  <c r="N535" i="2" s="1"/>
  <c r="K535" i="2"/>
  <c r="M535" i="2"/>
  <c r="O535" i="2"/>
  <c r="I536" i="2"/>
  <c r="J536" i="2"/>
  <c r="N536" i="2" s="1"/>
  <c r="K536" i="2"/>
  <c r="O536" i="2" s="1"/>
  <c r="M536" i="2"/>
  <c r="I537" i="2"/>
  <c r="J537" i="2" s="1"/>
  <c r="N537" i="2" s="1"/>
  <c r="K537" i="2"/>
  <c r="M537" i="2"/>
  <c r="O537" i="2"/>
  <c r="I538" i="2"/>
  <c r="J538" i="2"/>
  <c r="N538" i="2" s="1"/>
  <c r="K538" i="2"/>
  <c r="O538" i="2" s="1"/>
  <c r="M538" i="2"/>
  <c r="I539" i="2"/>
  <c r="J539" i="2" s="1"/>
  <c r="N539" i="2" s="1"/>
  <c r="K539" i="2"/>
  <c r="M539" i="2"/>
  <c r="O539" i="2"/>
  <c r="I540" i="2"/>
  <c r="J540" i="2"/>
  <c r="N540" i="2" s="1"/>
  <c r="K540" i="2"/>
  <c r="O540" i="2" s="1"/>
  <c r="M540" i="2"/>
  <c r="I541" i="2"/>
  <c r="J541" i="2" s="1"/>
  <c r="N541" i="2" s="1"/>
  <c r="K541" i="2"/>
  <c r="M541" i="2"/>
  <c r="O541" i="2"/>
  <c r="I542" i="2"/>
  <c r="J542" i="2"/>
  <c r="N542" i="2" s="1"/>
  <c r="K542" i="2"/>
  <c r="O542" i="2" s="1"/>
  <c r="M542" i="2"/>
  <c r="I543" i="2"/>
  <c r="J543" i="2" s="1"/>
  <c r="N543" i="2" s="1"/>
  <c r="K543" i="2"/>
  <c r="M543" i="2"/>
  <c r="O543" i="2"/>
  <c r="I544" i="2"/>
  <c r="J544" i="2"/>
  <c r="N544" i="2" s="1"/>
  <c r="K544" i="2"/>
  <c r="O544" i="2" s="1"/>
  <c r="M544" i="2"/>
  <c r="I545" i="2"/>
  <c r="J545" i="2" s="1"/>
  <c r="N545" i="2" s="1"/>
  <c r="K545" i="2"/>
  <c r="M545" i="2"/>
  <c r="O545" i="2"/>
  <c r="I546" i="2"/>
  <c r="J546" i="2"/>
  <c r="N546" i="2" s="1"/>
  <c r="K546" i="2"/>
  <c r="O546" i="2" s="1"/>
  <c r="M546" i="2"/>
  <c r="I547" i="2"/>
  <c r="J547" i="2" s="1"/>
  <c r="N547" i="2" s="1"/>
  <c r="K547" i="2"/>
  <c r="M547" i="2"/>
  <c r="O547" i="2"/>
  <c r="I548" i="2"/>
  <c r="J548" i="2"/>
  <c r="N548" i="2" s="1"/>
  <c r="K548" i="2"/>
  <c r="O548" i="2" s="1"/>
  <c r="M548" i="2"/>
  <c r="I549" i="2"/>
  <c r="J549" i="2" s="1"/>
  <c r="N549" i="2" s="1"/>
  <c r="K549" i="2"/>
  <c r="M549" i="2"/>
  <c r="O549" i="2"/>
  <c r="I550" i="2"/>
  <c r="J550" i="2"/>
  <c r="N550" i="2" s="1"/>
  <c r="K550" i="2"/>
  <c r="O550" i="2" s="1"/>
  <c r="M550" i="2"/>
  <c r="I551" i="2"/>
  <c r="J551" i="2" s="1"/>
  <c r="N551" i="2" s="1"/>
  <c r="K551" i="2"/>
  <c r="M551" i="2"/>
  <c r="O551" i="2"/>
  <c r="I552" i="2"/>
  <c r="J552" i="2"/>
  <c r="N552" i="2" s="1"/>
  <c r="K552" i="2"/>
  <c r="O552" i="2" s="1"/>
  <c r="M552" i="2"/>
  <c r="I553" i="2"/>
  <c r="J553" i="2" s="1"/>
  <c r="N553" i="2" s="1"/>
  <c r="K553" i="2"/>
  <c r="M553" i="2"/>
  <c r="O553" i="2"/>
  <c r="I554" i="2"/>
  <c r="J554" i="2"/>
  <c r="N554" i="2" s="1"/>
  <c r="K554" i="2"/>
  <c r="O554" i="2" s="1"/>
  <c r="M554" i="2"/>
  <c r="I555" i="2"/>
  <c r="J555" i="2" s="1"/>
  <c r="N555" i="2" s="1"/>
  <c r="K555" i="2"/>
  <c r="M555" i="2"/>
  <c r="O555" i="2"/>
  <c r="I556" i="2"/>
  <c r="J556" i="2"/>
  <c r="N556" i="2" s="1"/>
  <c r="K556" i="2"/>
  <c r="O556" i="2" s="1"/>
  <c r="M556" i="2"/>
  <c r="I557" i="2"/>
  <c r="J557" i="2" s="1"/>
  <c r="N557" i="2" s="1"/>
  <c r="K557" i="2"/>
  <c r="M557" i="2"/>
  <c r="O557" i="2"/>
  <c r="I558" i="2"/>
  <c r="J558" i="2"/>
  <c r="N558" i="2" s="1"/>
  <c r="K558" i="2"/>
  <c r="O558" i="2" s="1"/>
  <c r="M558" i="2"/>
  <c r="I559" i="2"/>
  <c r="J559" i="2" s="1"/>
  <c r="N559" i="2" s="1"/>
  <c r="K559" i="2"/>
  <c r="M559" i="2"/>
  <c r="O559" i="2"/>
  <c r="I560" i="2"/>
  <c r="J560" i="2"/>
  <c r="N560" i="2" s="1"/>
  <c r="K560" i="2"/>
  <c r="O560" i="2" s="1"/>
  <c r="M560" i="2"/>
  <c r="I561" i="2"/>
  <c r="J561" i="2" s="1"/>
  <c r="N561" i="2" s="1"/>
  <c r="K561" i="2"/>
  <c r="M561" i="2"/>
  <c r="O561" i="2"/>
  <c r="I562" i="2"/>
  <c r="J562" i="2"/>
  <c r="N562" i="2" s="1"/>
  <c r="K562" i="2"/>
  <c r="O562" i="2" s="1"/>
  <c r="M562" i="2"/>
  <c r="I563" i="2"/>
  <c r="J563" i="2" s="1"/>
  <c r="N563" i="2" s="1"/>
  <c r="K563" i="2"/>
  <c r="M563" i="2"/>
  <c r="O563" i="2"/>
  <c r="I564" i="2"/>
  <c r="J564" i="2"/>
  <c r="N564" i="2" s="1"/>
  <c r="K564" i="2"/>
  <c r="O564" i="2" s="1"/>
  <c r="M564" i="2"/>
  <c r="I565" i="2"/>
  <c r="J565" i="2" s="1"/>
  <c r="N565" i="2" s="1"/>
  <c r="K565" i="2"/>
  <c r="M565" i="2"/>
  <c r="O565" i="2"/>
  <c r="I566" i="2"/>
  <c r="J566" i="2"/>
  <c r="N566" i="2" s="1"/>
  <c r="K566" i="2"/>
  <c r="O566" i="2" s="1"/>
  <c r="M566" i="2"/>
  <c r="I567" i="2"/>
  <c r="J567" i="2" s="1"/>
  <c r="N567" i="2" s="1"/>
  <c r="K567" i="2"/>
  <c r="M567" i="2"/>
  <c r="O567" i="2"/>
  <c r="I568" i="2"/>
  <c r="J568" i="2"/>
  <c r="N568" i="2" s="1"/>
  <c r="K568" i="2"/>
  <c r="O568" i="2" s="1"/>
  <c r="M568" i="2"/>
  <c r="I569" i="2"/>
  <c r="J569" i="2" s="1"/>
  <c r="N569" i="2" s="1"/>
  <c r="K569" i="2"/>
  <c r="M569" i="2"/>
  <c r="O569" i="2"/>
  <c r="I570" i="2"/>
  <c r="J570" i="2"/>
  <c r="N570" i="2" s="1"/>
  <c r="K570" i="2"/>
  <c r="O570" i="2" s="1"/>
  <c r="M570" i="2"/>
  <c r="I571" i="2"/>
  <c r="J571" i="2" s="1"/>
  <c r="N571" i="2" s="1"/>
  <c r="K571" i="2"/>
  <c r="M571" i="2"/>
  <c r="O571" i="2"/>
  <c r="I572" i="2"/>
  <c r="J572" i="2"/>
  <c r="N572" i="2" s="1"/>
  <c r="K572" i="2"/>
  <c r="O572" i="2" s="1"/>
  <c r="M572" i="2"/>
  <c r="I573" i="2"/>
  <c r="J573" i="2" s="1"/>
  <c r="N573" i="2" s="1"/>
  <c r="K573" i="2"/>
  <c r="M573" i="2"/>
  <c r="O573" i="2"/>
  <c r="I574" i="2"/>
  <c r="J574" i="2"/>
  <c r="N574" i="2" s="1"/>
  <c r="K574" i="2"/>
  <c r="O574" i="2" s="1"/>
  <c r="M574" i="2"/>
  <c r="I575" i="2"/>
  <c r="J575" i="2" s="1"/>
  <c r="N575" i="2" s="1"/>
  <c r="K575" i="2"/>
  <c r="M575" i="2"/>
  <c r="O575" i="2"/>
  <c r="I576" i="2"/>
  <c r="J576" i="2"/>
  <c r="N576" i="2" s="1"/>
  <c r="K576" i="2"/>
  <c r="O576" i="2" s="1"/>
  <c r="M576" i="2"/>
  <c r="I577" i="2"/>
  <c r="J577" i="2" s="1"/>
  <c r="N577" i="2" s="1"/>
  <c r="K577" i="2"/>
  <c r="M577" i="2"/>
  <c r="O577" i="2"/>
  <c r="I578" i="2"/>
  <c r="J578" i="2"/>
  <c r="N578" i="2" s="1"/>
  <c r="K578" i="2"/>
  <c r="O578" i="2" s="1"/>
  <c r="M578" i="2"/>
  <c r="I579" i="2"/>
  <c r="J579" i="2" s="1"/>
  <c r="N579" i="2" s="1"/>
  <c r="K579" i="2"/>
  <c r="M579" i="2"/>
  <c r="O579" i="2"/>
  <c r="I580" i="2"/>
  <c r="J580" i="2"/>
  <c r="N580" i="2" s="1"/>
  <c r="K580" i="2"/>
  <c r="O580" i="2" s="1"/>
  <c r="M580" i="2"/>
  <c r="I581" i="2"/>
  <c r="J581" i="2" s="1"/>
  <c r="N581" i="2" s="1"/>
  <c r="K581" i="2"/>
  <c r="M581" i="2"/>
  <c r="O581" i="2"/>
  <c r="I582" i="2"/>
  <c r="J582" i="2"/>
  <c r="N582" i="2" s="1"/>
  <c r="K582" i="2"/>
  <c r="O582" i="2" s="1"/>
  <c r="M582" i="2"/>
  <c r="I583" i="2"/>
  <c r="J583" i="2" s="1"/>
  <c r="N583" i="2" s="1"/>
  <c r="K583" i="2"/>
  <c r="M583" i="2"/>
  <c r="O583" i="2"/>
  <c r="I584" i="2"/>
  <c r="J584" i="2"/>
  <c r="N584" i="2" s="1"/>
  <c r="K584" i="2"/>
  <c r="O584" i="2" s="1"/>
  <c r="M584" i="2"/>
  <c r="I585" i="2"/>
  <c r="J585" i="2" s="1"/>
  <c r="N585" i="2" s="1"/>
  <c r="K585" i="2"/>
  <c r="M585" i="2"/>
  <c r="O585" i="2"/>
  <c r="I586" i="2"/>
  <c r="J586" i="2"/>
  <c r="N586" i="2" s="1"/>
  <c r="K586" i="2"/>
  <c r="O586" i="2" s="1"/>
  <c r="M586" i="2"/>
  <c r="I587" i="2"/>
  <c r="J587" i="2" s="1"/>
  <c r="N587" i="2" s="1"/>
  <c r="K587" i="2"/>
  <c r="M587" i="2"/>
  <c r="O587" i="2"/>
  <c r="I588" i="2"/>
  <c r="J588" i="2"/>
  <c r="N588" i="2" s="1"/>
  <c r="K588" i="2"/>
  <c r="O588" i="2" s="1"/>
  <c r="M588" i="2"/>
  <c r="I589" i="2"/>
  <c r="J589" i="2" s="1"/>
  <c r="N589" i="2" s="1"/>
  <c r="K589" i="2"/>
  <c r="M589" i="2"/>
  <c r="O589" i="2"/>
  <c r="I590" i="2"/>
  <c r="J590" i="2"/>
  <c r="N590" i="2" s="1"/>
  <c r="K590" i="2"/>
  <c r="O590" i="2" s="1"/>
  <c r="M590" i="2"/>
  <c r="I591" i="2"/>
  <c r="J591" i="2" s="1"/>
  <c r="N591" i="2" s="1"/>
  <c r="K591" i="2"/>
  <c r="M591" i="2"/>
  <c r="O591" i="2"/>
  <c r="G5" i="8"/>
  <c r="H5" i="8"/>
  <c r="I5" i="8"/>
  <c r="J5" i="8"/>
  <c r="K5" i="8"/>
  <c r="G15" i="8"/>
  <c r="H15" i="8"/>
  <c r="I15" i="8"/>
  <c r="J15" i="8"/>
  <c r="K15" i="8"/>
  <c r="G25" i="8"/>
  <c r="H25" i="8"/>
  <c r="I25" i="8"/>
  <c r="J25" i="8"/>
  <c r="K25" i="8"/>
  <c r="G35" i="8"/>
  <c r="H35" i="8"/>
  <c r="I35" i="8"/>
  <c r="J35" i="8"/>
  <c r="K35" i="8"/>
  <c r="G45" i="8"/>
  <c r="H45" i="8"/>
  <c r="I45" i="8"/>
  <c r="J45" i="8"/>
  <c r="K45" i="8"/>
  <c r="G55" i="8"/>
  <c r="H55" i="8"/>
  <c r="I55" i="8"/>
  <c r="J55" i="8"/>
  <c r="K55" i="8"/>
  <c r="G65" i="8"/>
  <c r="H65" i="8"/>
  <c r="I65" i="8"/>
  <c r="J65" i="8"/>
  <c r="K65" i="8"/>
  <c r="G75" i="8"/>
  <c r="H75" i="8"/>
  <c r="I75" i="8"/>
  <c r="J75" i="8"/>
  <c r="K75" i="8"/>
  <c r="G85" i="8"/>
  <c r="H85" i="8"/>
  <c r="I85" i="8"/>
  <c r="J85" i="8"/>
  <c r="K85" i="8"/>
  <c r="G95" i="8"/>
  <c r="H95" i="8"/>
  <c r="I95" i="8"/>
  <c r="J95" i="8"/>
  <c r="K95" i="8"/>
  <c r="G105" i="8"/>
  <c r="H105" i="8"/>
  <c r="I105" i="8"/>
  <c r="J105" i="8"/>
  <c r="K105" i="8"/>
  <c r="G115" i="8"/>
  <c r="H115" i="8"/>
  <c r="I115" i="8"/>
  <c r="J115" i="8"/>
  <c r="K115" i="8"/>
  <c r="G125" i="8"/>
  <c r="H125" i="8"/>
  <c r="I125" i="8"/>
  <c r="J125" i="8"/>
  <c r="K125" i="8"/>
  <c r="I89" i="2" l="1"/>
  <c r="J89" i="2" s="1"/>
  <c r="N89" i="2" s="1"/>
  <c r="K89" i="2"/>
  <c r="O89" i="2" s="1"/>
  <c r="M89" i="2"/>
  <c r="I90" i="2"/>
  <c r="J90" i="2" s="1"/>
  <c r="N90" i="2" s="1"/>
  <c r="K90" i="2"/>
  <c r="O90" i="2" s="1"/>
  <c r="M90" i="2"/>
  <c r="I91" i="2"/>
  <c r="J91" i="2" s="1"/>
  <c r="N91" i="2" s="1"/>
  <c r="K91" i="2"/>
  <c r="O91" i="2" s="1"/>
  <c r="M91" i="2"/>
  <c r="I92" i="2"/>
  <c r="J92" i="2" s="1"/>
  <c r="N92" i="2" s="1"/>
  <c r="K92" i="2"/>
  <c r="O92" i="2" s="1"/>
  <c r="M92" i="2"/>
  <c r="I93" i="2"/>
  <c r="J93" i="2" s="1"/>
  <c r="N93" i="2" s="1"/>
  <c r="K93" i="2"/>
  <c r="O93" i="2" s="1"/>
  <c r="M93" i="2"/>
  <c r="I94" i="2"/>
  <c r="J94" i="2" s="1"/>
  <c r="N94" i="2" s="1"/>
  <c r="K94" i="2"/>
  <c r="O94" i="2" s="1"/>
  <c r="M94" i="2"/>
  <c r="I95" i="2"/>
  <c r="J95" i="2" s="1"/>
  <c r="N95" i="2" s="1"/>
  <c r="K95" i="2"/>
  <c r="O95" i="2" s="1"/>
  <c r="M95" i="2"/>
  <c r="I96" i="2"/>
  <c r="J96" i="2" s="1"/>
  <c r="N96" i="2" s="1"/>
  <c r="K96" i="2"/>
  <c r="O96" i="2" s="1"/>
  <c r="M96" i="2"/>
  <c r="I97" i="2"/>
  <c r="J97" i="2" s="1"/>
  <c r="N97" i="2" s="1"/>
  <c r="K97" i="2"/>
  <c r="O97" i="2" s="1"/>
  <c r="M97" i="2"/>
  <c r="K125" i="3"/>
  <c r="K115" i="3"/>
  <c r="K105" i="3"/>
  <c r="K95" i="3"/>
  <c r="K85" i="3"/>
  <c r="K75" i="3"/>
  <c r="K65" i="3"/>
  <c r="K55" i="3"/>
  <c r="K45" i="3"/>
  <c r="K35" i="3"/>
  <c r="K25" i="3"/>
  <c r="K15" i="3"/>
  <c r="K5" i="3"/>
  <c r="J125" i="3"/>
  <c r="I125" i="3"/>
  <c r="H125" i="3"/>
  <c r="G125" i="3"/>
  <c r="J115" i="3"/>
  <c r="I115" i="3"/>
  <c r="H115" i="3"/>
  <c r="G115" i="3"/>
  <c r="J105" i="3"/>
  <c r="I105" i="3"/>
  <c r="H105" i="3"/>
  <c r="G105" i="3"/>
  <c r="J95" i="3"/>
  <c r="I95" i="3"/>
  <c r="H95" i="3"/>
  <c r="G95" i="3"/>
  <c r="J85" i="3"/>
  <c r="I85" i="3"/>
  <c r="H85" i="3"/>
  <c r="G85" i="3"/>
  <c r="J75" i="3"/>
  <c r="I75" i="3"/>
  <c r="H75" i="3"/>
  <c r="G75" i="3"/>
  <c r="J65" i="3"/>
  <c r="I65" i="3"/>
  <c r="H65" i="3"/>
  <c r="G65" i="3"/>
  <c r="J55" i="3"/>
  <c r="I55" i="3"/>
  <c r="H55" i="3"/>
  <c r="G55" i="3"/>
  <c r="J45" i="3"/>
  <c r="I45" i="3"/>
  <c r="H45" i="3"/>
  <c r="G45" i="3"/>
  <c r="J35" i="3"/>
  <c r="I35" i="3"/>
  <c r="H35" i="3"/>
  <c r="G35" i="3"/>
  <c r="J25" i="3"/>
  <c r="I25" i="3"/>
  <c r="H25" i="3"/>
  <c r="G25" i="3"/>
  <c r="J15" i="3"/>
  <c r="I15" i="3"/>
  <c r="H15" i="3"/>
  <c r="G15" i="3"/>
  <c r="H5" i="3"/>
  <c r="I5" i="3"/>
  <c r="J5" i="3"/>
  <c r="G5" i="3"/>
  <c r="I60" i="2"/>
  <c r="J60" i="2" s="1"/>
  <c r="N60" i="2" s="1"/>
  <c r="K60" i="2"/>
  <c r="M60" i="2"/>
  <c r="O60" i="2"/>
  <c r="I61" i="2"/>
  <c r="J61" i="2" s="1"/>
  <c r="N61" i="2" s="1"/>
  <c r="K61" i="2"/>
  <c r="O61" i="2" s="1"/>
  <c r="M61" i="2"/>
  <c r="I62" i="2"/>
  <c r="J62" i="2"/>
  <c r="N62" i="2" s="1"/>
  <c r="K62" i="2"/>
  <c r="O62" i="2" s="1"/>
  <c r="M62" i="2"/>
  <c r="I63" i="2"/>
  <c r="J63" i="2" s="1"/>
  <c r="N63" i="2" s="1"/>
  <c r="K63" i="2"/>
  <c r="O63" i="2" s="1"/>
  <c r="M63" i="2"/>
  <c r="I64" i="2"/>
  <c r="J64" i="2" s="1"/>
  <c r="N64" i="2" s="1"/>
  <c r="K64" i="2"/>
  <c r="M64" i="2"/>
  <c r="O64" i="2"/>
  <c r="I65" i="2"/>
  <c r="J65" i="2" s="1"/>
  <c r="N65" i="2" s="1"/>
  <c r="K65" i="2"/>
  <c r="O65" i="2" s="1"/>
  <c r="M65" i="2"/>
  <c r="I66" i="2"/>
  <c r="J66" i="2"/>
  <c r="N66" i="2" s="1"/>
  <c r="K66" i="2"/>
  <c r="O66" i="2" s="1"/>
  <c r="M66" i="2"/>
  <c r="I67" i="2"/>
  <c r="J67" i="2" s="1"/>
  <c r="N67" i="2" s="1"/>
  <c r="K67" i="2"/>
  <c r="O67" i="2" s="1"/>
  <c r="M67" i="2"/>
  <c r="I68" i="2"/>
  <c r="J68" i="2" s="1"/>
  <c r="N68" i="2" s="1"/>
  <c r="K68" i="2"/>
  <c r="M68" i="2"/>
  <c r="O68" i="2"/>
  <c r="I69" i="2"/>
  <c r="J69" i="2" s="1"/>
  <c r="N69" i="2" s="1"/>
  <c r="K69" i="2"/>
  <c r="O69" i="2" s="1"/>
  <c r="M69" i="2"/>
  <c r="I70" i="2"/>
  <c r="J70" i="2"/>
  <c r="N70" i="2" s="1"/>
  <c r="K70" i="2"/>
  <c r="O70" i="2" s="1"/>
  <c r="M70" i="2"/>
  <c r="I71" i="2"/>
  <c r="J71" i="2" s="1"/>
  <c r="N71" i="2" s="1"/>
  <c r="K71" i="2"/>
  <c r="O71" i="2" s="1"/>
  <c r="M71" i="2"/>
  <c r="I72" i="2"/>
  <c r="J72" i="2" s="1"/>
  <c r="N72" i="2" s="1"/>
  <c r="K72" i="2"/>
  <c r="M72" i="2"/>
  <c r="O72" i="2"/>
  <c r="I73" i="2"/>
  <c r="J73" i="2" s="1"/>
  <c r="N73" i="2" s="1"/>
  <c r="K73" i="2"/>
  <c r="O73" i="2" s="1"/>
  <c r="M73" i="2"/>
  <c r="I74" i="2"/>
  <c r="J74" i="2"/>
  <c r="N74" i="2" s="1"/>
  <c r="K74" i="2"/>
  <c r="O74" i="2" s="1"/>
  <c r="M74" i="2"/>
  <c r="I75" i="2"/>
  <c r="J75" i="2" s="1"/>
  <c r="N75" i="2" s="1"/>
  <c r="K75" i="2"/>
  <c r="O75" i="2" s="1"/>
  <c r="M75" i="2"/>
  <c r="I76" i="2"/>
  <c r="J76" i="2" s="1"/>
  <c r="N76" i="2" s="1"/>
  <c r="K76" i="2"/>
  <c r="M76" i="2"/>
  <c r="O76" i="2"/>
  <c r="I77" i="2"/>
  <c r="J77" i="2" s="1"/>
  <c r="N77" i="2" s="1"/>
  <c r="K77" i="2"/>
  <c r="O77" i="2" s="1"/>
  <c r="M77" i="2"/>
  <c r="I78" i="2"/>
  <c r="J78" i="2"/>
  <c r="N78" i="2" s="1"/>
  <c r="K78" i="2"/>
  <c r="O78" i="2" s="1"/>
  <c r="M78" i="2"/>
  <c r="I79" i="2"/>
  <c r="J79" i="2" s="1"/>
  <c r="N79" i="2" s="1"/>
  <c r="K79" i="2"/>
  <c r="O79" i="2" s="1"/>
  <c r="M79" i="2"/>
  <c r="I80" i="2"/>
  <c r="J80" i="2" s="1"/>
  <c r="N80" i="2" s="1"/>
  <c r="K80" i="2"/>
  <c r="M80" i="2"/>
  <c r="O80" i="2"/>
  <c r="I81" i="2"/>
  <c r="J81" i="2" s="1"/>
  <c r="N81" i="2" s="1"/>
  <c r="K81" i="2"/>
  <c r="O81" i="2" s="1"/>
  <c r="M81" i="2"/>
  <c r="I82" i="2"/>
  <c r="J82" i="2"/>
  <c r="N82" i="2" s="1"/>
  <c r="K82" i="2"/>
  <c r="O82" i="2" s="1"/>
  <c r="M82" i="2"/>
  <c r="I83" i="2"/>
  <c r="J83" i="2" s="1"/>
  <c r="N83" i="2" s="1"/>
  <c r="K83" i="2"/>
  <c r="O83" i="2" s="1"/>
  <c r="M83" i="2"/>
  <c r="I84" i="2"/>
  <c r="J84" i="2" s="1"/>
  <c r="N84" i="2" s="1"/>
  <c r="K84" i="2"/>
  <c r="M84" i="2"/>
  <c r="O84" i="2"/>
  <c r="I85" i="2"/>
  <c r="J85" i="2" s="1"/>
  <c r="N85" i="2" s="1"/>
  <c r="K85" i="2"/>
  <c r="O85" i="2" s="1"/>
  <c r="M85" i="2"/>
  <c r="I86" i="2"/>
  <c r="J86" i="2"/>
  <c r="N86" i="2" s="1"/>
  <c r="K86" i="2"/>
  <c r="O86" i="2" s="1"/>
  <c r="M86" i="2"/>
  <c r="I87" i="2"/>
  <c r="J87" i="2" s="1"/>
  <c r="N87" i="2" s="1"/>
  <c r="K87" i="2"/>
  <c r="O87" i="2" s="1"/>
  <c r="M87" i="2"/>
  <c r="I88" i="2"/>
  <c r="J88" i="2" s="1"/>
  <c r="N88" i="2" s="1"/>
  <c r="K88" i="2"/>
  <c r="M88" i="2"/>
  <c r="O88" i="2"/>
  <c r="M2" i="2"/>
  <c r="N2" i="2"/>
  <c r="O2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M49" i="2"/>
  <c r="O49" i="2"/>
  <c r="M50" i="2"/>
  <c r="M51" i="2"/>
  <c r="M52" i="2"/>
  <c r="O52" i="2"/>
  <c r="M53" i="2"/>
  <c r="M54" i="2"/>
  <c r="M55" i="2"/>
  <c r="N55" i="2"/>
  <c r="M56" i="2"/>
  <c r="M57" i="2"/>
  <c r="N57" i="2"/>
  <c r="O57" i="2"/>
  <c r="M58" i="2"/>
  <c r="M59" i="2"/>
  <c r="O1" i="2"/>
  <c r="N1" i="2"/>
  <c r="M1" i="2"/>
  <c r="I6" i="2"/>
  <c r="I7" i="2"/>
  <c r="I8" i="2"/>
  <c r="I9" i="2"/>
  <c r="I10" i="2"/>
  <c r="I11" i="2"/>
  <c r="I12" i="2"/>
  <c r="I13" i="2"/>
  <c r="J13" i="2" s="1"/>
  <c r="I14" i="2"/>
  <c r="I15" i="2"/>
  <c r="I16" i="2"/>
  <c r="I17" i="2"/>
  <c r="I18" i="2"/>
  <c r="I19" i="2"/>
  <c r="J19" i="2" s="1"/>
  <c r="I20" i="2"/>
  <c r="I21" i="2"/>
  <c r="J21" i="2" s="1"/>
  <c r="I22" i="2"/>
  <c r="I23" i="2"/>
  <c r="I24" i="2"/>
  <c r="I25" i="2"/>
  <c r="I26" i="2"/>
  <c r="J26" i="2" s="1"/>
  <c r="I27" i="2"/>
  <c r="J27" i="2" s="1"/>
  <c r="I28" i="2"/>
  <c r="I29" i="2"/>
  <c r="J29" i="2" s="1"/>
  <c r="I30" i="2"/>
  <c r="I31" i="2"/>
  <c r="I32" i="2"/>
  <c r="I33" i="2"/>
  <c r="I34" i="2"/>
  <c r="I35" i="2"/>
  <c r="J35" i="2" s="1"/>
  <c r="I36" i="2"/>
  <c r="I37" i="2"/>
  <c r="J37" i="2" s="1"/>
  <c r="I38" i="2"/>
  <c r="I39" i="2"/>
  <c r="I40" i="2"/>
  <c r="I41" i="2"/>
  <c r="I42" i="2"/>
  <c r="I43" i="2"/>
  <c r="I44" i="2"/>
  <c r="J44" i="2" s="1"/>
  <c r="I45" i="2"/>
  <c r="J45" i="2" s="1"/>
  <c r="I46" i="2"/>
  <c r="I47" i="2"/>
  <c r="I48" i="2"/>
  <c r="I49" i="2"/>
  <c r="I50" i="2"/>
  <c r="J50" i="2" s="1"/>
  <c r="N50" i="2" s="1"/>
  <c r="I51" i="2"/>
  <c r="I52" i="2"/>
  <c r="J52" i="2" s="1"/>
  <c r="N52" i="2" s="1"/>
  <c r="I53" i="2"/>
  <c r="J53" i="2" s="1"/>
  <c r="N53" i="2" s="1"/>
  <c r="I54" i="2"/>
  <c r="J54" i="2" s="1"/>
  <c r="N54" i="2" s="1"/>
  <c r="I55" i="2"/>
  <c r="I56" i="2"/>
  <c r="I57" i="2"/>
  <c r="I58" i="2"/>
  <c r="J58" i="2" s="1"/>
  <c r="N58" i="2" s="1"/>
  <c r="I59" i="2"/>
  <c r="J59" i="2" s="1"/>
  <c r="N59" i="2" s="1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K13" i="2"/>
  <c r="J14" i="2"/>
  <c r="K14" i="2"/>
  <c r="J15" i="2"/>
  <c r="K15" i="2"/>
  <c r="J16" i="2"/>
  <c r="K16" i="2"/>
  <c r="J17" i="2"/>
  <c r="K17" i="2"/>
  <c r="J18" i="2"/>
  <c r="K18" i="2"/>
  <c r="K19" i="2"/>
  <c r="J20" i="2"/>
  <c r="K20" i="2"/>
  <c r="K21" i="2"/>
  <c r="J22" i="2"/>
  <c r="K22" i="2"/>
  <c r="J23" i="2"/>
  <c r="K23" i="2"/>
  <c r="J24" i="2"/>
  <c r="K24" i="2"/>
  <c r="J25" i="2"/>
  <c r="K25" i="2"/>
  <c r="K26" i="2"/>
  <c r="K27" i="2"/>
  <c r="J28" i="2"/>
  <c r="K28" i="2"/>
  <c r="K29" i="2"/>
  <c r="J30" i="2"/>
  <c r="K30" i="2"/>
  <c r="J31" i="2"/>
  <c r="K31" i="2"/>
  <c r="J32" i="2"/>
  <c r="K32" i="2"/>
  <c r="J33" i="2"/>
  <c r="K33" i="2"/>
  <c r="J34" i="2"/>
  <c r="K34" i="2"/>
  <c r="K35" i="2"/>
  <c r="J36" i="2"/>
  <c r="K36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K44" i="2"/>
  <c r="K45" i="2"/>
  <c r="J46" i="2"/>
  <c r="K46" i="2"/>
  <c r="J47" i="2"/>
  <c r="K47" i="2"/>
  <c r="J48" i="2"/>
  <c r="N48" i="2" s="1"/>
  <c r="K48" i="2"/>
  <c r="O48" i="2" s="1"/>
  <c r="J49" i="2"/>
  <c r="N49" i="2" s="1"/>
  <c r="K49" i="2"/>
  <c r="K50" i="2"/>
  <c r="O50" i="2" s="1"/>
  <c r="J51" i="2"/>
  <c r="N51" i="2" s="1"/>
  <c r="K51" i="2"/>
  <c r="O51" i="2" s="1"/>
  <c r="K52" i="2"/>
  <c r="K53" i="2"/>
  <c r="O53" i="2" s="1"/>
  <c r="K54" i="2"/>
  <c r="O54" i="2" s="1"/>
  <c r="J55" i="2"/>
  <c r="K55" i="2"/>
  <c r="O55" i="2" s="1"/>
  <c r="J56" i="2"/>
  <c r="N56" i="2" s="1"/>
  <c r="K56" i="2"/>
  <c r="O56" i="2" s="1"/>
  <c r="J57" i="2"/>
  <c r="K57" i="2"/>
  <c r="K58" i="2"/>
  <c r="O58" i="2" s="1"/>
  <c r="K59" i="2"/>
  <c r="O59" i="2" s="1"/>
  <c r="I2" i="2"/>
  <c r="J2" i="2" s="1"/>
  <c r="I3" i="2"/>
  <c r="J3" i="2" s="1"/>
  <c r="I4" i="2"/>
  <c r="J4" i="2" s="1"/>
  <c r="I5" i="2"/>
  <c r="J5" i="2" s="1"/>
  <c r="J1" i="2"/>
  <c r="I1" i="2"/>
  <c r="K2" i="2"/>
  <c r="K3" i="2"/>
  <c r="K4" i="2"/>
  <c r="K5" i="2"/>
  <c r="K1" i="2"/>
  <c r="AF1" i="5" l="1"/>
  <c r="AE1" i="5"/>
  <c r="AD1" i="5" l="1"/>
  <c r="AC1" i="5"/>
</calcChain>
</file>

<file path=xl/sharedStrings.xml><?xml version="1.0" encoding="utf-8"?>
<sst xmlns="http://schemas.openxmlformats.org/spreadsheetml/2006/main" count="1365" uniqueCount="420">
  <si>
    <t>Portland</t>
  </si>
  <si>
    <t>Final</t>
  </si>
  <si>
    <t>Milwaukee</t>
  </si>
  <si>
    <t>Portland </t>
  </si>
  <si>
    <t>Milwaukee </t>
  </si>
  <si>
    <t>Box Score | Play-By-Play | Shot Chart</t>
  </si>
  <si>
    <t>PTS</t>
  </si>
  <si>
    <t>C. McCollum-POR</t>
  </si>
  <si>
    <t>TRB</t>
  </si>
  <si>
    <t>G. Antetokounmpo-MIL</t>
  </si>
  <si>
    <t>New Orleans</t>
  </si>
  <si>
    <t>Phoenix</t>
  </si>
  <si>
    <t>New Orleans </t>
  </si>
  <si>
    <t>Phoenix </t>
  </si>
  <si>
    <t>Sacramento</t>
  </si>
  <si>
    <t>Brooklyn</t>
  </si>
  <si>
    <t>Sacramento </t>
  </si>
  <si>
    <t>Brooklyn </t>
  </si>
  <si>
    <t>S. Dinwiddie-BRK</t>
  </si>
  <si>
    <t>D. Jordan-BRK</t>
  </si>
  <si>
    <t>Miami</t>
  </si>
  <si>
    <t>Chicago</t>
  </si>
  <si>
    <t>Miami </t>
  </si>
  <si>
    <t>Chicago </t>
  </si>
  <si>
    <t>J. Butler-MIA</t>
  </si>
  <si>
    <t>B. Adebayo-MIA</t>
  </si>
  <si>
    <t>Cleveland</t>
  </si>
  <si>
    <t>Dallas</t>
  </si>
  <si>
    <t>Cleveland </t>
  </si>
  <si>
    <t>Dallas </t>
  </si>
  <si>
    <t>Boston</t>
  </si>
  <si>
    <t>Denver</t>
  </si>
  <si>
    <t>Boston </t>
  </si>
  <si>
    <t>Denver </t>
  </si>
  <si>
    <t>2 tied</t>
  </si>
  <si>
    <t>N. Jokić-DEN</t>
  </si>
  <si>
    <t>Atlanta</t>
  </si>
  <si>
    <t>Detroit</t>
  </si>
  <si>
    <t>Atlanta </t>
  </si>
  <si>
    <t>Detroit </t>
  </si>
  <si>
    <t>A. Drummond-DET</t>
  </si>
  <si>
    <t>LA Clippers</t>
  </si>
  <si>
    <t>LA Clippers </t>
  </si>
  <si>
    <t>LA Lakers</t>
  </si>
  <si>
    <t>Oklahoma City</t>
  </si>
  <si>
    <t>LA Lakers </t>
  </si>
  <si>
    <t>Oklahoma City </t>
  </si>
  <si>
    <t>A. Davis-LAL</t>
  </si>
  <si>
    <t>San Antonio</t>
  </si>
  <si>
    <t>San Antonio </t>
  </si>
  <si>
    <t>Golden State</t>
  </si>
  <si>
    <t>Utah</t>
  </si>
  <si>
    <t>Golden State </t>
  </si>
  <si>
    <t>Utah </t>
  </si>
  <si>
    <t>D. Mitchell-UTA</t>
  </si>
  <si>
    <t>R. Gobert-UTA</t>
  </si>
  <si>
    <t>Charlotte</t>
  </si>
  <si>
    <t>Washington</t>
  </si>
  <si>
    <t>Charlotte </t>
  </si>
  <si>
    <t>Washington </t>
  </si>
  <si>
    <t>Toronto</t>
  </si>
  <si>
    <t>Toronto </t>
  </si>
  <si>
    <t>P. Siakam-TOR</t>
  </si>
  <si>
    <t>T. Young-ATL</t>
  </si>
  <si>
    <t>Z. LaVine-CHI</t>
  </si>
  <si>
    <t>Orlando</t>
  </si>
  <si>
    <t>Indiana</t>
  </si>
  <si>
    <t>Orlando </t>
  </si>
  <si>
    <t>Indiana </t>
  </si>
  <si>
    <t>E. Fournier-ORL</t>
  </si>
  <si>
    <t>Memphis</t>
  </si>
  <si>
    <t>Memphis </t>
  </si>
  <si>
    <t>Minnesota</t>
  </si>
  <si>
    <t>Minnesota </t>
  </si>
  <si>
    <t>K. Towns-MIN</t>
  </si>
  <si>
    <t>New York</t>
  </si>
  <si>
    <t>New York </t>
  </si>
  <si>
    <t>M. Harrell-LAC</t>
  </si>
  <si>
    <t>B. Hield-SAC</t>
  </si>
  <si>
    <t>E. Kanter-BOS</t>
  </si>
  <si>
    <t>H. Whiteside-POR</t>
  </si>
  <si>
    <t>J. Allen-BRK</t>
  </si>
  <si>
    <t>D. Sabonis-IND</t>
  </si>
  <si>
    <t>K. Leonard-LAC</t>
  </si>
  <si>
    <t>1OT</t>
  </si>
  <si>
    <t>C. Wood-DET</t>
  </si>
  <si>
    <t>D. Brooks-MEM</t>
  </si>
  <si>
    <t>B. Caboclo-MEM</t>
  </si>
  <si>
    <t>J. Holiday-NOP</t>
  </si>
  <si>
    <t>J. Tatum-BOS</t>
  </si>
  <si>
    <t>W. Cauley-Stein-GSW</t>
  </si>
  <si>
    <t>T</t>
  </si>
  <si>
    <t>Odds</t>
  </si>
  <si>
    <t>PHO</t>
  </si>
  <si>
    <t>PHI</t>
  </si>
  <si>
    <t>GS</t>
  </si>
  <si>
    <t>ATL</t>
  </si>
  <si>
    <t>MIL</t>
  </si>
  <si>
    <t>CHI</t>
  </si>
  <si>
    <t>SAC</t>
  </si>
  <si>
    <t>CLE</t>
  </si>
  <si>
    <t>ID</t>
  </si>
  <si>
    <t>date</t>
  </si>
  <si>
    <t>gametime</t>
  </si>
  <si>
    <t>home</t>
  </si>
  <si>
    <t>away</t>
  </si>
  <si>
    <t>h1q</t>
  </si>
  <si>
    <t>h2q</t>
  </si>
  <si>
    <t>h3q</t>
  </si>
  <si>
    <t>h4q</t>
  </si>
  <si>
    <t>hot</t>
  </si>
  <si>
    <t>a1q</t>
  </si>
  <si>
    <t>a2q</t>
  </si>
  <si>
    <t>a3q</t>
  </si>
  <si>
    <t>a4q</t>
  </si>
  <si>
    <t>aot</t>
  </si>
  <si>
    <t>htot</t>
  </si>
  <si>
    <t>atot</t>
  </si>
  <si>
    <t>1qwl</t>
  </si>
  <si>
    <t>2qwl</t>
  </si>
  <si>
    <t>3qwl</t>
  </si>
  <si>
    <t>4qwl</t>
  </si>
  <si>
    <t>1qou</t>
  </si>
  <si>
    <t>2qou</t>
  </si>
  <si>
    <t>3qou</t>
  </si>
  <si>
    <t>4qou</t>
  </si>
  <si>
    <t>ou</t>
  </si>
  <si>
    <t>1qline</t>
  </si>
  <si>
    <t>home/away</t>
  </si>
  <si>
    <t>ORL</t>
  </si>
  <si>
    <t>HW</t>
  </si>
  <si>
    <t>HL</t>
  </si>
  <si>
    <t>U</t>
  </si>
  <si>
    <t>O</t>
  </si>
  <si>
    <t>TT</t>
  </si>
  <si>
    <t>DAL</t>
  </si>
  <si>
    <t>WAS</t>
  </si>
  <si>
    <t>NYK</t>
  </si>
  <si>
    <t>MIA</t>
  </si>
  <si>
    <t>POR</t>
  </si>
  <si>
    <t>CLE/POR</t>
  </si>
  <si>
    <t>BKN</t>
  </si>
  <si>
    <t>DET</t>
  </si>
  <si>
    <t>SAS</t>
  </si>
  <si>
    <t>TOR</t>
  </si>
  <si>
    <t>OKC</t>
  </si>
  <si>
    <t>HOU</t>
  </si>
  <si>
    <t>DEN</t>
  </si>
  <si>
    <t>LAL</t>
  </si>
  <si>
    <t>LAC</t>
  </si>
  <si>
    <t>NO</t>
  </si>
  <si>
    <t>NO/POR</t>
  </si>
  <si>
    <t>DAL/POR</t>
  </si>
  <si>
    <t>POR/TOR</t>
  </si>
  <si>
    <t>SAS/POR</t>
  </si>
  <si>
    <t>POR/DEN</t>
  </si>
  <si>
    <t>LAC/POR</t>
  </si>
  <si>
    <t>POR/CHI</t>
  </si>
  <si>
    <t>POR/OKC</t>
  </si>
  <si>
    <t>CHI/POR</t>
  </si>
  <si>
    <t>MIL/POR</t>
  </si>
  <si>
    <t>HOU/POR</t>
  </si>
  <si>
    <t>SAC/POR</t>
  </si>
  <si>
    <t>POR/ATL</t>
  </si>
  <si>
    <t>POR/BKN</t>
  </si>
  <si>
    <t>GS/POR</t>
  </si>
  <si>
    <t>POR/PHI</t>
  </si>
  <si>
    <t>OKC/POR</t>
  </si>
  <si>
    <t>OT</t>
  </si>
  <si>
    <t>SA</t>
  </si>
  <si>
    <t>J. Valančiūnas-MEM</t>
  </si>
  <si>
    <t>D. Graham-CHO</t>
  </si>
  <si>
    <t>3 tied</t>
  </si>
  <si>
    <t>T. Warren-IND</t>
  </si>
  <si>
    <t>A. Gordon-ORL</t>
  </si>
  <si>
    <t>M. Bamba-ORL</t>
  </si>
  <si>
    <t>12.8 (일)</t>
  </si>
  <si>
    <t>뉴올리언즈 뉴올리언즈84:130 댈러스댈러스</t>
  </si>
  <si>
    <t>경기영상</t>
  </si>
  <si>
    <t>아메리칸 에어라인스 센터</t>
  </si>
  <si>
    <t>인디애나 인디애나104:103 뉴욕뉴욕</t>
  </si>
  <si>
    <t>매디슨 스퀘어 가든</t>
  </si>
  <si>
    <t>클리블랜드 클리블랜드94:141 필라델피아필라델피아</t>
  </si>
  <si>
    <t>웰스 파고 센터</t>
  </si>
  <si>
    <t>피닉스 피닉스109:115 휴스턴휴스턴</t>
  </si>
  <si>
    <t>도요타 센터</t>
  </si>
  <si>
    <t>멤피스 멤피스112:126 유타유타</t>
  </si>
  <si>
    <t>비빈트 스마트홈 아레나</t>
  </si>
  <si>
    <t>W. Carter-CHI</t>
  </si>
  <si>
    <t>T. Ross-ORL</t>
  </si>
  <si>
    <t>L. Nance-CLE</t>
  </si>
  <si>
    <t>I. Zubac-LAC</t>
  </si>
  <si>
    <t>J. Teague-MIN</t>
  </si>
  <si>
    <t>S. Adams-OKC</t>
  </si>
  <si>
    <t>R. Holmes-SAC</t>
  </si>
  <si>
    <t>12.9 (월)</t>
  </si>
  <si>
    <t>덴버 덴버102:105 브루클린브루클린</t>
  </si>
  <si>
    <t>바클레이스 센터</t>
  </si>
  <si>
    <t>애틀랜타 애틀랜타122:107 샬럿샬럿</t>
  </si>
  <si>
    <t>스펙트럼 센터</t>
  </si>
  <si>
    <t>시카고 시카고105:110 마이애미마이애미</t>
  </si>
  <si>
    <t>아메리칸 에어라인스 아레나</t>
  </si>
  <si>
    <t>토론토 토론토104:110 필라델피아필라델피아</t>
  </si>
  <si>
    <t>LA클리퍼스 LA클리퍼스135:119 워싱턴워싱턴</t>
  </si>
  <si>
    <t>캐피털 원 아레나</t>
  </si>
  <si>
    <t>새크라멘토 새크라멘토110:106 댈러스댈러스</t>
  </si>
  <si>
    <t>오클라호마 오클라호마108:96 포틀랜드포틀랜드</t>
  </si>
  <si>
    <t>모다 센터</t>
  </si>
  <si>
    <t>미네소타 미네소타125:142 LA레이커스LA레이커스</t>
  </si>
  <si>
    <t>스테이플스 센터</t>
  </si>
  <si>
    <t>12.10 (화)</t>
  </si>
  <si>
    <t>LA클리퍼스 LA클리퍼스110:99 인디애나인디애나</t>
  </si>
  <si>
    <t>뱅커스 라이프 필드하우스</t>
  </si>
  <si>
    <t>클리블랜드 클리블랜드88:110 보스턴보스턴</t>
  </si>
  <si>
    <t>TD 가든</t>
  </si>
  <si>
    <t>디트로이트 디트로이트105:103 뉴올리언즈뉴올리언즈</t>
  </si>
  <si>
    <t>스무디킹 센터</t>
  </si>
  <si>
    <t>토론토 토론토93:92 시카고시카고</t>
  </si>
  <si>
    <t>유나이티드 센터</t>
  </si>
  <si>
    <t>새크라멘토 새크라멘토119:118 휴스턴휴스턴</t>
  </si>
  <si>
    <t>올랜도 올랜도101:110 밀워키밀워키</t>
  </si>
  <si>
    <t>파이서브 포럼</t>
  </si>
  <si>
    <t>미네소타 미네소타109:125 피닉스피닉스</t>
  </si>
  <si>
    <t>토킹 스틱 리조트 아레나</t>
  </si>
  <si>
    <t>오클라호마 오클라호마104:90 유타유타</t>
  </si>
  <si>
    <t>멤피스 멤피스110:102 골든스테이트골든스테이트</t>
  </si>
  <si>
    <t>체이스 센터</t>
  </si>
  <si>
    <t>12.11 (수)</t>
  </si>
  <si>
    <t>워싱턴 워싱턴107:114 샬럿샬럿</t>
  </si>
  <si>
    <t>애틀랜타 애틀랜타121:135 마이애미마이애미</t>
  </si>
  <si>
    <t>덴버 덴버92:97 필라델피아필라델피아</t>
  </si>
  <si>
    <t>뉴욕 뉴욕87:115 포틀랜드포틀랜드</t>
  </si>
  <si>
    <t>12.12 (목)</t>
  </si>
  <si>
    <t>휴스턴 휴스턴116:110 클리블랜드클리블랜드</t>
  </si>
  <si>
    <t>로킷 모기지 필드하우스</t>
  </si>
  <si>
    <t>보스턴 보스턴117:122 인디애나인디애나</t>
  </si>
  <si>
    <t>LA레이커스 LA레이커스96:87 올랜도올랜도</t>
  </si>
  <si>
    <t>암웨이 센터</t>
  </si>
  <si>
    <t>LA클리퍼스 LA클리퍼스112:92 토론토토론토</t>
  </si>
  <si>
    <t>스코샤뱅크 아레나</t>
  </si>
  <si>
    <t>샬럿 샬럿113:108 브루클린브루클린</t>
  </si>
  <si>
    <t>애틀랜타 애틀랜타102:136 시카고시카고</t>
  </si>
  <si>
    <t>유타 유타127:116 미네소타미네소타</t>
  </si>
  <si>
    <t>타깃 센터</t>
  </si>
  <si>
    <t>멤피스 멤피스115:108 피닉스피닉스</t>
  </si>
  <si>
    <t>뉴올리언즈 뉴올리언즈112:127 밀워키밀워키</t>
  </si>
  <si>
    <t>오클라호마 오클라호마93:94 새크라멘토새크라멘토</t>
  </si>
  <si>
    <t>골든 1 센터</t>
  </si>
  <si>
    <t>뉴욕 뉴욕124:122 골든스테이트골든스테이트</t>
  </si>
  <si>
    <t>댈러스</t>
  </si>
  <si>
    <t>뉴올리언즈</t>
  </si>
  <si>
    <t>뉴욕</t>
  </si>
  <si>
    <t>인디애나</t>
  </si>
  <si>
    <t>필라델피아</t>
  </si>
  <si>
    <t>클리블랜드</t>
  </si>
  <si>
    <t>휴스턴</t>
  </si>
  <si>
    <t>피닉스</t>
  </si>
  <si>
    <t>유타</t>
  </si>
  <si>
    <t>멤피스</t>
  </si>
  <si>
    <t>브루클린</t>
  </si>
  <si>
    <t>덴버</t>
  </si>
  <si>
    <t>샬럿</t>
  </si>
  <si>
    <t>애틀랜타</t>
  </si>
  <si>
    <t>마이애미</t>
  </si>
  <si>
    <t>시카고</t>
  </si>
  <si>
    <t>토론토</t>
  </si>
  <si>
    <t>워싱턴</t>
  </si>
  <si>
    <t>LA클리퍼스</t>
  </si>
  <si>
    <t>새크라멘토</t>
  </si>
  <si>
    <t>포틀랜드</t>
  </si>
  <si>
    <t>오클라호마</t>
  </si>
  <si>
    <t>LA레이커스</t>
  </si>
  <si>
    <t>미네소타</t>
  </si>
  <si>
    <t>보스턴</t>
  </si>
  <si>
    <t>디트로이트</t>
  </si>
  <si>
    <t>밀워키</t>
  </si>
  <si>
    <t>올랜도</t>
  </si>
  <si>
    <t>골든스테이트</t>
  </si>
  <si>
    <t>12.13 (금)</t>
  </si>
  <si>
    <t>필라델피아 필라델피아115:109 보스턴보스턴</t>
  </si>
  <si>
    <t>클리블랜드 클리블랜드117:109 샌안토니오샌안토니오</t>
  </si>
  <si>
    <t>AT&amp;T 센터</t>
  </si>
  <si>
    <t>댈러스 댈러스122:111 디트로이트디트로이트</t>
  </si>
  <si>
    <t>멕시코 시티 아레나</t>
  </si>
  <si>
    <t>포틀랜드 포틀랜드99:114 덴버덴버</t>
  </si>
  <si>
    <t>펩시 센터</t>
  </si>
  <si>
    <t>샌안토니오</t>
  </si>
  <si>
    <t>LAL</t>
    <phoneticPr fontId="1" type="noConversion"/>
  </si>
  <si>
    <t>LAC</t>
    <phoneticPr fontId="1" type="noConversion"/>
  </si>
  <si>
    <t>GS</t>
    <phoneticPr fontId="1" type="noConversion"/>
  </si>
  <si>
    <t>NO</t>
    <phoneticPr fontId="1" type="noConversion"/>
  </si>
  <si>
    <t>NYK</t>
    <phoneticPr fontId="1" type="noConversion"/>
  </si>
  <si>
    <t>DAL</t>
    <phoneticPr fontId="1" type="noConversion"/>
  </si>
  <si>
    <t>DEN</t>
    <phoneticPr fontId="1" type="noConversion"/>
  </si>
  <si>
    <t>DET</t>
    <phoneticPr fontId="1" type="noConversion"/>
  </si>
  <si>
    <t>MIA</t>
    <phoneticPr fontId="1" type="noConversion"/>
  </si>
  <si>
    <t>MEM</t>
    <phoneticPr fontId="1" type="noConversion"/>
  </si>
  <si>
    <t>MIN</t>
    <phoneticPr fontId="1" type="noConversion"/>
  </si>
  <si>
    <t>MIL</t>
    <phoneticPr fontId="1" type="noConversion"/>
  </si>
  <si>
    <t>BOS</t>
    <phoneticPr fontId="1" type="noConversion"/>
  </si>
  <si>
    <t>BKN</t>
    <phoneticPr fontId="1" type="noConversion"/>
  </si>
  <si>
    <t>SAC</t>
    <phoneticPr fontId="1" type="noConversion"/>
  </si>
  <si>
    <t>SAS</t>
    <phoneticPr fontId="1" type="noConversion"/>
  </si>
  <si>
    <t>CHA</t>
    <phoneticPr fontId="1" type="noConversion"/>
  </si>
  <si>
    <t>CHI</t>
    <phoneticPr fontId="1" type="noConversion"/>
  </si>
  <si>
    <t>ATL</t>
    <phoneticPr fontId="1" type="noConversion"/>
  </si>
  <si>
    <t>OKC</t>
    <phoneticPr fontId="1" type="noConversion"/>
  </si>
  <si>
    <t>ORL</t>
    <phoneticPr fontId="1" type="noConversion"/>
  </si>
  <si>
    <t>WAS</t>
    <phoneticPr fontId="1" type="noConversion"/>
  </si>
  <si>
    <t>UTA</t>
    <phoneticPr fontId="1" type="noConversion"/>
  </si>
  <si>
    <t>IND</t>
    <phoneticPr fontId="1" type="noConversion"/>
  </si>
  <si>
    <t>CLE</t>
    <phoneticPr fontId="1" type="noConversion"/>
  </si>
  <si>
    <t>TOR</t>
    <phoneticPr fontId="1" type="noConversion"/>
  </si>
  <si>
    <t>POR</t>
    <phoneticPr fontId="1" type="noConversion"/>
  </si>
  <si>
    <t>PHO</t>
    <phoneticPr fontId="1" type="noConversion"/>
  </si>
  <si>
    <t>PHI</t>
    <phoneticPr fontId="1" type="noConversion"/>
  </si>
  <si>
    <t>HOU</t>
    <phoneticPr fontId="1" type="noConversion"/>
  </si>
  <si>
    <t>12.14 (토)</t>
  </si>
  <si>
    <t>LA레이커스 LA레이커스113:110 마이애미마이애미</t>
  </si>
  <si>
    <t>휴스턴 휴스턴130:107 올랜도올랜도</t>
  </si>
  <si>
    <t>뉴올리언즈 뉴올리언즈109:116 필라델피아필라델피아</t>
  </si>
  <si>
    <t>인디애나 인디애나110:100 애틀랜타애틀랜타</t>
  </si>
  <si>
    <t>스테이트팜 아레나</t>
  </si>
  <si>
    <t>샬럿 샬럿83:73 시카고시카고</t>
  </si>
  <si>
    <t>밀워키 밀워키127:114 멤피스멤피스</t>
  </si>
  <si>
    <t>페덱스포럼</t>
  </si>
  <si>
    <t>골든스테이트 골든스테이트106:114 유타유타</t>
  </si>
  <si>
    <t>LA클리퍼스 LA클리퍼스124:117 미네소타미네소타</t>
  </si>
  <si>
    <t>뉴욕 뉴욕103:101 새크라멘토새크라멘토</t>
  </si>
  <si>
    <t>12.15 (일)</t>
  </si>
  <si>
    <t>샌안토니오 샌안토니오121:119 피닉스피닉스</t>
  </si>
  <si>
    <t>브루클린 브루클린102:110 토론토토론토</t>
  </si>
  <si>
    <t>LA클리퍼스 LA클리퍼스106:109 시카고시카고</t>
  </si>
  <si>
    <t>워싱턴 워싱턴111:128 멤피스멤피스</t>
  </si>
  <si>
    <t>마이애미 마이애미122:118 댈러스댈러스</t>
  </si>
  <si>
    <t>클리블랜드 클리블랜드108:125 밀워키밀워키</t>
  </si>
  <si>
    <t>오클라호마 오클라호마102:110 덴버덴버</t>
  </si>
  <si>
    <t>디트로이트 디트로이트115:107 휴스턴휴스턴</t>
  </si>
  <si>
    <t>12.16 (월)</t>
  </si>
  <si>
    <t>올랜도 올랜도130:119 뉴올리언즈뉴올리언즈</t>
  </si>
  <si>
    <t>샬럿 샬럿85:107 인디애나인디애나</t>
  </si>
  <si>
    <t>LA레이커스 LA레이커스101:96 애틀랜타애틀랜타</t>
  </si>
  <si>
    <t>필라델피아 필라델피아89:109 브루클린브루클린</t>
  </si>
  <si>
    <t>뉴욕 뉴욕105:111 덴버덴버</t>
  </si>
  <si>
    <t>새크라멘토 새크라멘토100:79 골든스테이트골든스테이트</t>
  </si>
  <si>
    <t>12.17 (화)</t>
  </si>
  <si>
    <t>워싱턴 워싱턴133:119 디트로이트디트로이트</t>
  </si>
  <si>
    <t>리틀 시저스 아레나</t>
  </si>
  <si>
    <t>클리블랜드 클리블랜드113:133 토론토토론토</t>
  </si>
  <si>
    <t>샌안토니오 샌안토니오107:109 휴스턴휴스턴</t>
  </si>
  <si>
    <t>댈러스 댈러스120:116 밀워키밀워키</t>
  </si>
  <si>
    <t>시카고 시카고106:109 오클라호마오클라호마</t>
  </si>
  <si>
    <t>체서피크 에너지 아레나</t>
  </si>
  <si>
    <t>마이애미 마이애미111:118 멤피스멤피스</t>
  </si>
  <si>
    <t>포틀랜드 포틀랜드111:110 피닉스피닉스</t>
  </si>
  <si>
    <t>12.18 (수)</t>
  </si>
  <si>
    <t>LA레이커스 LA레이커스102:105 인디애나인디애나</t>
  </si>
  <si>
    <t>새크라멘토 새크라멘토102:110 샬럿샬럿</t>
  </si>
  <si>
    <t>애틀랜타 애틀랜타120:143 뉴욕뉴욕</t>
  </si>
  <si>
    <t>브루클린 브루클린108:101 뉴올리언즈뉴올리언즈</t>
  </si>
  <si>
    <t>올랜도 올랜도102:109 유타유타</t>
  </si>
  <si>
    <t>피닉스 피닉스99:120 LA클리퍼스LA클리퍼스</t>
  </si>
  <si>
    <t>12.19 (목)</t>
  </si>
  <si>
    <t>샬럿 샬럿41:53 클리블랜드클리블랜드</t>
  </si>
  <si>
    <t>TV중계</t>
  </si>
  <si>
    <t>토론토 토론토51:50 디트로이트디트로이트</t>
  </si>
  <si>
    <t>마이애미 마이애미42:46 필라델피아필라델피아</t>
  </si>
  <si>
    <t>시카고 시카고43:47 워싱턴워싱턴</t>
  </si>
  <si>
    <t>뉴올리언즈 뉴올리언즈VS 미네소타미네소타</t>
  </si>
  <si>
    <t>멤피스 멤피스VS 오클라호마오클라호마</t>
  </si>
  <si>
    <t>올랜도 올랜도VS 덴버덴버</t>
  </si>
  <si>
    <t>보스턴 보스턴VS 댈러스댈러스</t>
  </si>
  <si>
    <t>골든스테이트 골든스테이트VS 포틀랜드포틀랜드</t>
  </si>
  <si>
    <t>DEN/POR</t>
  </si>
  <si>
    <t>PHO/POR</t>
  </si>
  <si>
    <t>POR/NYK</t>
  </si>
  <si>
    <t>POR/LAL</t>
  </si>
  <si>
    <t>POR/SAC</t>
  </si>
  <si>
    <t>12.20 (금)</t>
  </si>
  <si>
    <t>유타 유타111:106 애틀랜타애틀랜타</t>
  </si>
  <si>
    <t>LA레이커스 LA레이커스104:111 밀워키밀워키</t>
  </si>
  <si>
    <t>브루클린 브루클린105:118 샌안토니오샌안토니오</t>
  </si>
  <si>
    <t>휴스턴 휴스턴122:117 LA클리퍼스LA클리퍼스</t>
  </si>
  <si>
    <t>12.21 (토)</t>
  </si>
  <si>
    <t>멤피스 멤피스107:114 클리블랜드클리블랜드</t>
  </si>
  <si>
    <t>새크라멘토 새크라멘토105:119 인디애나인디애나</t>
  </si>
  <si>
    <t>디트로이트 디트로이트93:114 보스턴보스턴</t>
  </si>
  <si>
    <t>워싱턴 워싱턴118:122 토론토토론토</t>
  </si>
  <si>
    <t>뉴욕 뉴욕114:129 마이애미마이애미</t>
  </si>
  <si>
    <t>댈러스 댈러스117:98 필라델피아필라델피아</t>
  </si>
  <si>
    <t>피닉스 피닉스108:126 오클라호마오클라호마</t>
  </si>
  <si>
    <t>미네소타 미네소타100:109 덴버덴버</t>
  </si>
  <si>
    <t>올랜도 올랜도103:118 포틀랜드포틀랜드</t>
  </si>
  <si>
    <t>뉴올리언즈 뉴올리언즈102:106 골든스테이트골든스테이트</t>
  </si>
  <si>
    <t>12.22 (일)</t>
  </si>
  <si>
    <t>유타 유타VS 샬럿샬럿</t>
  </si>
  <si>
    <t>애틀랜타 애틀랜타VS 브루클린브루클린</t>
  </si>
  <si>
    <t>시카고 시카고VS 디트로이트디트로이트</t>
  </si>
  <si>
    <t>워싱턴 워싱턴VS 필라델피아필라델피아</t>
  </si>
  <si>
    <t>밀워키 밀워키VS 뉴욕뉴욕</t>
  </si>
  <si>
    <t>새크라멘토 새크라멘토VS 멤피스멤피스</t>
  </si>
  <si>
    <t>LA클리퍼스 LA클리퍼스VS 샌안토니오샌안토니오</t>
  </si>
  <si>
    <t>휴스턴 휴스턴VS 피닉스피닉스</t>
  </si>
  <si>
    <t>미네소타 미네소타VS 포틀랜드포틀랜드</t>
  </si>
  <si>
    <t>J. Murray-DEN</t>
  </si>
  <si>
    <t>D. Favors-NOP</t>
  </si>
  <si>
    <t>Philadelphia</t>
  </si>
  <si>
    <t>Philadelphia </t>
  </si>
  <si>
    <t>J. Embiid-PHI</t>
  </si>
  <si>
    <t>D. Lillard-POR</t>
  </si>
  <si>
    <t>J. Clarkson-CLE</t>
  </si>
  <si>
    <t>T. Thompson-CLE</t>
  </si>
  <si>
    <t>B. Portis-NYK</t>
  </si>
  <si>
    <t>M. Leonard-MIA</t>
  </si>
  <si>
    <t>S. Gilgeous-Alexander-OKC</t>
  </si>
  <si>
    <t>K. Porziņģis-DAL</t>
  </si>
  <si>
    <t>B. Beal-WAS</t>
  </si>
  <si>
    <t>S. Ibaka-TOR</t>
  </si>
  <si>
    <t>POR/ORL</t>
  </si>
  <si>
    <t>POR/GS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</si>
</sst>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93" workbookViewId="0">
      <selection activeCell="B100" sqref="B100"/>
    </sheetView>
  </sheetViews>
  <sheetFormatPr defaultRowHeight="16.5" x14ac:dyDescent="0.3"/>
  <sheetData>
    <row r="1" spans="1:10" ht="17.100000000000001" x14ac:dyDescent="0.45">
      <c r="A1" t="s">
        <v>15</v>
      </c>
      <c r="B1">
        <v>130</v>
      </c>
      <c r="C1" t="s">
        <v>1</v>
      </c>
    </row>
    <row r="2" spans="1:10" ht="17.100000000000001" x14ac:dyDescent="0.45">
      <c r="A2" t="s">
        <v>36</v>
      </c>
      <c r="B2">
        <v>118</v>
      </c>
    </row>
    <row r="3" spans="1:10" ht="17.100000000000001" x14ac:dyDescent="0.45">
      <c r="B3">
        <v>1</v>
      </c>
      <c r="C3">
        <v>2</v>
      </c>
      <c r="D3">
        <v>3</v>
      </c>
      <c r="E3">
        <v>4</v>
      </c>
    </row>
    <row r="4" spans="1:10" x14ac:dyDescent="0.3">
      <c r="A4" t="s">
        <v>17</v>
      </c>
      <c r="B4">
        <v>22</v>
      </c>
      <c r="C4">
        <v>34</v>
      </c>
      <c r="D4">
        <v>35</v>
      </c>
      <c r="E4">
        <v>39</v>
      </c>
    </row>
    <row r="5" spans="1:10" x14ac:dyDescent="0.3">
      <c r="A5" t="s">
        <v>38</v>
      </c>
      <c r="B5">
        <v>26</v>
      </c>
      <c r="C5">
        <v>21</v>
      </c>
      <c r="D5">
        <v>35</v>
      </c>
      <c r="E5">
        <v>36</v>
      </c>
      <c r="G5">
        <v>22</v>
      </c>
      <c r="H5">
        <v>34</v>
      </c>
      <c r="I5">
        <v>35</v>
      </c>
      <c r="J5">
        <v>39</v>
      </c>
    </row>
    <row r="7" spans="1:10" ht="17.100000000000001" x14ac:dyDescent="0.45">
      <c r="A7" t="s">
        <v>5</v>
      </c>
    </row>
    <row r="9" spans="1:10" ht="17.100000000000001" x14ac:dyDescent="0.45">
      <c r="A9" t="s">
        <v>6</v>
      </c>
      <c r="B9" t="s">
        <v>63</v>
      </c>
      <c r="C9">
        <v>39</v>
      </c>
    </row>
    <row r="10" spans="1:10" ht="17.100000000000001" x14ac:dyDescent="0.45">
      <c r="A10" t="s">
        <v>8</v>
      </c>
      <c r="B10" t="s">
        <v>81</v>
      </c>
      <c r="C10">
        <v>13</v>
      </c>
    </row>
    <row r="11" spans="1:10" ht="17.100000000000001" x14ac:dyDescent="0.45">
      <c r="A11" t="s">
        <v>20</v>
      </c>
      <c r="B11">
        <v>93</v>
      </c>
      <c r="C11" t="s">
        <v>1</v>
      </c>
    </row>
    <row r="12" spans="1:10" ht="17.100000000000001" x14ac:dyDescent="0.45">
      <c r="A12" t="s">
        <v>30</v>
      </c>
      <c r="B12">
        <v>112</v>
      </c>
    </row>
    <row r="13" spans="1:10" ht="17.100000000000001" x14ac:dyDescent="0.45">
      <c r="B13">
        <v>1</v>
      </c>
      <c r="C13">
        <v>2</v>
      </c>
      <c r="D13">
        <v>3</v>
      </c>
      <c r="E13">
        <v>4</v>
      </c>
    </row>
    <row r="14" spans="1:10" x14ac:dyDescent="0.3">
      <c r="A14" t="s">
        <v>22</v>
      </c>
      <c r="B14">
        <v>28</v>
      </c>
      <c r="C14">
        <v>16</v>
      </c>
      <c r="D14">
        <v>25</v>
      </c>
      <c r="E14">
        <v>24</v>
      </c>
    </row>
    <row r="15" spans="1:10" x14ac:dyDescent="0.3">
      <c r="A15" t="s">
        <v>32</v>
      </c>
      <c r="B15">
        <v>20</v>
      </c>
      <c r="C15">
        <v>32</v>
      </c>
      <c r="D15">
        <v>30</v>
      </c>
      <c r="E15">
        <v>30</v>
      </c>
      <c r="G15">
        <v>28</v>
      </c>
      <c r="H15">
        <v>16</v>
      </c>
      <c r="I15">
        <v>25</v>
      </c>
      <c r="J15">
        <v>24</v>
      </c>
    </row>
    <row r="17" spans="1:10" ht="17.100000000000001" x14ac:dyDescent="0.45">
      <c r="A17" t="s">
        <v>5</v>
      </c>
    </row>
    <row r="19" spans="1:10" ht="17.100000000000001" x14ac:dyDescent="0.45">
      <c r="A19" t="s">
        <v>6</v>
      </c>
      <c r="B19" t="s">
        <v>24</v>
      </c>
      <c r="C19">
        <v>37</v>
      </c>
    </row>
    <row r="20" spans="1:10" ht="17.100000000000001" x14ac:dyDescent="0.45">
      <c r="A20" t="s">
        <v>8</v>
      </c>
      <c r="B20" t="s">
        <v>34</v>
      </c>
      <c r="C20">
        <v>10</v>
      </c>
    </row>
    <row r="21" spans="1:10" ht="17.100000000000001" x14ac:dyDescent="0.45">
      <c r="A21" t="s">
        <v>70</v>
      </c>
      <c r="B21">
        <v>99</v>
      </c>
      <c r="C21" t="s">
        <v>1</v>
      </c>
    </row>
    <row r="22" spans="1:10" ht="17.100000000000001" x14ac:dyDescent="0.45">
      <c r="A22" t="s">
        <v>21</v>
      </c>
      <c r="B22">
        <v>106</v>
      </c>
    </row>
    <row r="23" spans="1:10" ht="17.100000000000001" x14ac:dyDescent="0.45">
      <c r="B23">
        <v>1</v>
      </c>
      <c r="C23">
        <v>2</v>
      </c>
      <c r="D23">
        <v>3</v>
      </c>
      <c r="E23">
        <v>4</v>
      </c>
    </row>
    <row r="24" spans="1:10" x14ac:dyDescent="0.3">
      <c r="A24" t="s">
        <v>71</v>
      </c>
      <c r="B24">
        <v>20</v>
      </c>
      <c r="C24">
        <v>15</v>
      </c>
      <c r="D24">
        <v>29</v>
      </c>
      <c r="E24">
        <v>35</v>
      </c>
    </row>
    <row r="25" spans="1:10" x14ac:dyDescent="0.3">
      <c r="A25" t="s">
        <v>23</v>
      </c>
      <c r="B25">
        <v>27</v>
      </c>
      <c r="C25">
        <v>23</v>
      </c>
      <c r="D25">
        <v>28</v>
      </c>
      <c r="E25">
        <v>28</v>
      </c>
      <c r="G25">
        <v>20</v>
      </c>
      <c r="H25">
        <v>15</v>
      </c>
      <c r="I25">
        <v>29</v>
      </c>
      <c r="J25">
        <v>35</v>
      </c>
    </row>
    <row r="27" spans="1:10" ht="17.100000000000001" x14ac:dyDescent="0.45">
      <c r="A27" t="s">
        <v>5</v>
      </c>
    </row>
    <row r="29" spans="1:10" x14ac:dyDescent="0.3">
      <c r="A29" t="s">
        <v>6</v>
      </c>
      <c r="B29" t="s">
        <v>170</v>
      </c>
      <c r="C29">
        <v>32</v>
      </c>
    </row>
    <row r="30" spans="1:10" ht="17.100000000000001" x14ac:dyDescent="0.45">
      <c r="A30" t="s">
        <v>8</v>
      </c>
      <c r="B30" t="s">
        <v>34</v>
      </c>
      <c r="C30">
        <v>13</v>
      </c>
    </row>
    <row r="31" spans="1:10" ht="17.100000000000001" x14ac:dyDescent="0.45">
      <c r="A31" t="s">
        <v>50</v>
      </c>
      <c r="B31">
        <v>91</v>
      </c>
      <c r="C31" t="s">
        <v>1</v>
      </c>
    </row>
    <row r="32" spans="1:10" ht="17.100000000000001" x14ac:dyDescent="0.45">
      <c r="A32" t="s">
        <v>56</v>
      </c>
      <c r="B32">
        <v>106</v>
      </c>
    </row>
    <row r="33" spans="1:10" ht="17.100000000000001" x14ac:dyDescent="0.45">
      <c r="B33">
        <v>1</v>
      </c>
      <c r="C33">
        <v>2</v>
      </c>
      <c r="D33">
        <v>3</v>
      </c>
      <c r="E33">
        <v>4</v>
      </c>
    </row>
    <row r="34" spans="1:10" x14ac:dyDescent="0.3">
      <c r="A34" t="s">
        <v>52</v>
      </c>
      <c r="B34">
        <v>20</v>
      </c>
      <c r="C34">
        <v>34</v>
      </c>
      <c r="D34">
        <v>22</v>
      </c>
      <c r="E34">
        <v>15</v>
      </c>
    </row>
    <row r="35" spans="1:10" x14ac:dyDescent="0.3">
      <c r="A35" t="s">
        <v>58</v>
      </c>
      <c r="B35">
        <v>28</v>
      </c>
      <c r="C35">
        <v>30</v>
      </c>
      <c r="D35">
        <v>28</v>
      </c>
      <c r="E35">
        <v>20</v>
      </c>
      <c r="G35">
        <v>20</v>
      </c>
      <c r="H35">
        <v>34</v>
      </c>
      <c r="I35">
        <v>22</v>
      </c>
      <c r="J35">
        <v>15</v>
      </c>
    </row>
    <row r="37" spans="1:10" ht="17.100000000000001" x14ac:dyDescent="0.45">
      <c r="A37" t="s">
        <v>5</v>
      </c>
    </row>
    <row r="39" spans="1:10" ht="17.100000000000001" x14ac:dyDescent="0.45">
      <c r="A39" t="s">
        <v>6</v>
      </c>
      <c r="B39" t="s">
        <v>171</v>
      </c>
      <c r="C39">
        <v>33</v>
      </c>
    </row>
    <row r="40" spans="1:10" ht="17.100000000000001" x14ac:dyDescent="0.45">
      <c r="A40" t="s">
        <v>8</v>
      </c>
      <c r="B40" t="s">
        <v>172</v>
      </c>
      <c r="C40">
        <v>7</v>
      </c>
    </row>
    <row r="41" spans="1:10" ht="17.100000000000001" x14ac:dyDescent="0.45">
      <c r="A41" t="s">
        <v>72</v>
      </c>
      <c r="B41">
        <v>114</v>
      </c>
      <c r="C41" t="s">
        <v>1</v>
      </c>
    </row>
    <row r="42" spans="1:10" ht="17.100000000000001" x14ac:dyDescent="0.45">
      <c r="A42" t="s">
        <v>27</v>
      </c>
      <c r="B42">
        <v>121</v>
      </c>
    </row>
    <row r="43" spans="1:10" ht="17.100000000000001" x14ac:dyDescent="0.45">
      <c r="B43">
        <v>1</v>
      </c>
      <c r="C43">
        <v>2</v>
      </c>
      <c r="D43">
        <v>3</v>
      </c>
      <c r="E43">
        <v>4</v>
      </c>
    </row>
    <row r="44" spans="1:10" x14ac:dyDescent="0.3">
      <c r="A44" t="s">
        <v>73</v>
      </c>
      <c r="B44">
        <v>25</v>
      </c>
      <c r="C44">
        <v>31</v>
      </c>
      <c r="D44">
        <v>28</v>
      </c>
      <c r="E44">
        <v>30</v>
      </c>
    </row>
    <row r="45" spans="1:10" x14ac:dyDescent="0.3">
      <c r="A45" t="s">
        <v>29</v>
      </c>
      <c r="B45">
        <v>30</v>
      </c>
      <c r="C45">
        <v>23</v>
      </c>
      <c r="D45">
        <v>27</v>
      </c>
      <c r="E45">
        <v>41</v>
      </c>
      <c r="G45">
        <v>25</v>
      </c>
      <c r="H45">
        <v>31</v>
      </c>
      <c r="I45">
        <v>28</v>
      </c>
      <c r="J45">
        <v>30</v>
      </c>
    </row>
    <row r="47" spans="1:10" ht="17.100000000000001" x14ac:dyDescent="0.45">
      <c r="A47" t="s">
        <v>5</v>
      </c>
    </row>
    <row r="49" spans="1:10" ht="17.100000000000001" x14ac:dyDescent="0.45">
      <c r="A49" t="s">
        <v>6</v>
      </c>
      <c r="B49" t="s">
        <v>34</v>
      </c>
      <c r="C49">
        <v>26</v>
      </c>
    </row>
    <row r="50" spans="1:10" ht="17.100000000000001" x14ac:dyDescent="0.45">
      <c r="A50" t="s">
        <v>8</v>
      </c>
      <c r="B50" t="s">
        <v>74</v>
      </c>
      <c r="C50">
        <v>9</v>
      </c>
    </row>
    <row r="51" spans="1:10" ht="17.100000000000001" x14ac:dyDescent="0.45">
      <c r="A51" t="s">
        <v>2</v>
      </c>
      <c r="B51">
        <v>127</v>
      </c>
      <c r="C51" t="s">
        <v>1</v>
      </c>
    </row>
    <row r="52" spans="1:10" ht="17.100000000000001" x14ac:dyDescent="0.45">
      <c r="A52" t="s">
        <v>37</v>
      </c>
      <c r="B52">
        <v>103</v>
      </c>
    </row>
    <row r="53" spans="1:10" ht="17.100000000000001" x14ac:dyDescent="0.45">
      <c r="B53">
        <v>1</v>
      </c>
      <c r="C53">
        <v>2</v>
      </c>
      <c r="D53">
        <v>3</v>
      </c>
      <c r="E53">
        <v>4</v>
      </c>
    </row>
    <row r="54" spans="1:10" x14ac:dyDescent="0.3">
      <c r="A54" t="s">
        <v>4</v>
      </c>
      <c r="B54">
        <v>22</v>
      </c>
      <c r="C54">
        <v>37</v>
      </c>
      <c r="D54">
        <v>33</v>
      </c>
      <c r="E54">
        <v>35</v>
      </c>
    </row>
    <row r="55" spans="1:10" x14ac:dyDescent="0.3">
      <c r="A55" t="s">
        <v>39</v>
      </c>
      <c r="B55">
        <v>24</v>
      </c>
      <c r="C55">
        <v>24</v>
      </c>
      <c r="D55">
        <v>24</v>
      </c>
      <c r="E55">
        <v>31</v>
      </c>
      <c r="G55">
        <v>22</v>
      </c>
      <c r="H55">
        <v>37</v>
      </c>
      <c r="I55">
        <v>33</v>
      </c>
      <c r="J55">
        <v>35</v>
      </c>
    </row>
    <row r="57" spans="1:10" ht="17.100000000000001" x14ac:dyDescent="0.45">
      <c r="A57" t="s">
        <v>5</v>
      </c>
    </row>
    <row r="59" spans="1:10" ht="17.100000000000001" x14ac:dyDescent="0.45">
      <c r="A59" t="s">
        <v>6</v>
      </c>
      <c r="B59" t="s">
        <v>9</v>
      </c>
      <c r="C59">
        <v>35</v>
      </c>
    </row>
    <row r="60" spans="1:10" ht="17.100000000000001" x14ac:dyDescent="0.45">
      <c r="A60" t="s">
        <v>8</v>
      </c>
      <c r="B60" t="s">
        <v>40</v>
      </c>
      <c r="C60">
        <v>14</v>
      </c>
    </row>
    <row r="61" spans="1:10" ht="17.100000000000001" x14ac:dyDescent="0.45">
      <c r="A61" t="s">
        <v>66</v>
      </c>
      <c r="B61">
        <v>107</v>
      </c>
      <c r="C61" t="s">
        <v>1</v>
      </c>
    </row>
    <row r="62" spans="1:10" ht="17.100000000000001" x14ac:dyDescent="0.45">
      <c r="A62" t="s">
        <v>44</v>
      </c>
      <c r="B62">
        <v>100</v>
      </c>
    </row>
    <row r="63" spans="1:10" ht="17.100000000000001" x14ac:dyDescent="0.45">
      <c r="B63">
        <v>1</v>
      </c>
      <c r="C63">
        <v>2</v>
      </c>
      <c r="D63">
        <v>3</v>
      </c>
      <c r="E63">
        <v>4</v>
      </c>
    </row>
    <row r="64" spans="1:10" x14ac:dyDescent="0.3">
      <c r="A64" t="s">
        <v>68</v>
      </c>
      <c r="B64">
        <v>26</v>
      </c>
      <c r="C64">
        <v>23</v>
      </c>
      <c r="D64">
        <v>30</v>
      </c>
      <c r="E64">
        <v>28</v>
      </c>
    </row>
    <row r="65" spans="1:10" x14ac:dyDescent="0.3">
      <c r="A65" t="s">
        <v>46</v>
      </c>
      <c r="B65">
        <v>29</v>
      </c>
      <c r="C65">
        <v>21</v>
      </c>
      <c r="D65">
        <v>28</v>
      </c>
      <c r="E65">
        <v>22</v>
      </c>
      <c r="G65">
        <v>26</v>
      </c>
      <c r="H65">
        <v>23</v>
      </c>
      <c r="I65">
        <v>30</v>
      </c>
      <c r="J65">
        <v>28</v>
      </c>
    </row>
    <row r="67" spans="1:10" ht="17.100000000000001" x14ac:dyDescent="0.45">
      <c r="A67" t="s">
        <v>5</v>
      </c>
    </row>
    <row r="69" spans="1:10" ht="17.100000000000001" x14ac:dyDescent="0.45">
      <c r="A69" t="s">
        <v>6</v>
      </c>
      <c r="B69" t="s">
        <v>173</v>
      </c>
      <c r="C69">
        <v>24</v>
      </c>
    </row>
    <row r="70" spans="1:10" ht="17.100000000000001" x14ac:dyDescent="0.45">
      <c r="A70" t="s">
        <v>8</v>
      </c>
      <c r="B70" t="s">
        <v>82</v>
      </c>
      <c r="C70">
        <v>13</v>
      </c>
    </row>
    <row r="71" spans="1:10" ht="17.100000000000001" x14ac:dyDescent="0.45">
      <c r="A71" t="s">
        <v>11</v>
      </c>
      <c r="B71">
        <v>114</v>
      </c>
      <c r="C71" t="s">
        <v>1</v>
      </c>
    </row>
    <row r="72" spans="1:10" ht="17.100000000000001" x14ac:dyDescent="0.45">
      <c r="A72" t="s">
        <v>65</v>
      </c>
      <c r="B72">
        <v>128</v>
      </c>
    </row>
    <row r="73" spans="1:10" ht="17.100000000000001" x14ac:dyDescent="0.45">
      <c r="B73">
        <v>1</v>
      </c>
      <c r="C73">
        <v>2</v>
      </c>
      <c r="D73">
        <v>3</v>
      </c>
      <c r="E73">
        <v>4</v>
      </c>
    </row>
    <row r="74" spans="1:10" x14ac:dyDescent="0.3">
      <c r="A74" t="s">
        <v>13</v>
      </c>
      <c r="B74">
        <v>37</v>
      </c>
      <c r="C74">
        <v>21</v>
      </c>
      <c r="D74">
        <v>28</v>
      </c>
      <c r="E74">
        <v>28</v>
      </c>
    </row>
    <row r="75" spans="1:10" x14ac:dyDescent="0.3">
      <c r="A75" t="s">
        <v>67</v>
      </c>
      <c r="B75">
        <v>31</v>
      </c>
      <c r="C75">
        <v>34</v>
      </c>
      <c r="D75">
        <v>38</v>
      </c>
      <c r="E75">
        <v>25</v>
      </c>
      <c r="G75">
        <v>37</v>
      </c>
      <c r="H75">
        <v>21</v>
      </c>
      <c r="I75">
        <v>28</v>
      </c>
      <c r="J75">
        <v>28</v>
      </c>
    </row>
    <row r="77" spans="1:10" ht="17.100000000000001" x14ac:dyDescent="0.45">
      <c r="A77" t="s">
        <v>5</v>
      </c>
    </row>
    <row r="79" spans="1:10" ht="17.100000000000001" x14ac:dyDescent="0.45">
      <c r="A79" t="s">
        <v>6</v>
      </c>
      <c r="B79" t="s">
        <v>174</v>
      </c>
      <c r="C79">
        <v>32</v>
      </c>
    </row>
    <row r="80" spans="1:10" ht="17.100000000000001" x14ac:dyDescent="0.45">
      <c r="A80" t="s">
        <v>8</v>
      </c>
      <c r="B80" t="s">
        <v>175</v>
      </c>
      <c r="C80">
        <v>11</v>
      </c>
    </row>
    <row r="81" spans="1:10" ht="17.100000000000001" x14ac:dyDescent="0.45">
      <c r="A81" t="s">
        <v>14</v>
      </c>
      <c r="B81">
        <v>116</v>
      </c>
      <c r="C81" t="s">
        <v>1</v>
      </c>
    </row>
    <row r="82" spans="1:10" ht="17.100000000000001" x14ac:dyDescent="0.45">
      <c r="A82" t="s">
        <v>0</v>
      </c>
      <c r="B82">
        <v>127</v>
      </c>
    </row>
    <row r="83" spans="1:10" ht="17.100000000000001" x14ac:dyDescent="0.45">
      <c r="B83">
        <v>1</v>
      </c>
      <c r="C83">
        <v>2</v>
      </c>
      <c r="D83">
        <v>3</v>
      </c>
      <c r="E83">
        <v>4</v>
      </c>
    </row>
    <row r="84" spans="1:10" x14ac:dyDescent="0.3">
      <c r="A84" t="s">
        <v>16</v>
      </c>
      <c r="B84">
        <v>35</v>
      </c>
      <c r="C84">
        <v>29</v>
      </c>
      <c r="D84">
        <v>31</v>
      </c>
      <c r="E84">
        <v>21</v>
      </c>
    </row>
    <row r="85" spans="1:10" x14ac:dyDescent="0.3">
      <c r="A85" t="s">
        <v>3</v>
      </c>
      <c r="B85">
        <v>30</v>
      </c>
      <c r="C85">
        <v>36</v>
      </c>
      <c r="D85">
        <v>34</v>
      </c>
      <c r="E85">
        <v>27</v>
      </c>
      <c r="G85">
        <v>35</v>
      </c>
      <c r="H85">
        <v>29</v>
      </c>
      <c r="I85">
        <v>31</v>
      </c>
      <c r="J85">
        <v>21</v>
      </c>
    </row>
    <row r="87" spans="1:10" ht="17.100000000000001" x14ac:dyDescent="0.45">
      <c r="A87" t="s">
        <v>5</v>
      </c>
    </row>
    <row r="89" spans="1:10" ht="17.100000000000001" x14ac:dyDescent="0.45">
      <c r="A89" t="s">
        <v>6</v>
      </c>
      <c r="B89" t="s">
        <v>7</v>
      </c>
      <c r="C89">
        <v>33</v>
      </c>
    </row>
    <row r="90" spans="1:10" ht="17.100000000000001" x14ac:dyDescent="0.45">
      <c r="A90" t="s">
        <v>8</v>
      </c>
      <c r="B90" t="s">
        <v>80</v>
      </c>
      <c r="C90">
        <v>16</v>
      </c>
    </row>
    <row r="91" spans="1:10" ht="17.100000000000001" x14ac:dyDescent="0.45">
      <c r="A91" t="s">
        <v>43</v>
      </c>
      <c r="B91">
        <v>121</v>
      </c>
      <c r="C91" t="s">
        <v>1</v>
      </c>
    </row>
    <row r="92" spans="1:10" ht="17.100000000000001" x14ac:dyDescent="0.45">
      <c r="A92" t="s">
        <v>51</v>
      </c>
      <c r="B92">
        <v>96</v>
      </c>
    </row>
    <row r="93" spans="1:10" ht="17.100000000000001" x14ac:dyDescent="0.45">
      <c r="B93">
        <v>1</v>
      </c>
      <c r="C93">
        <v>2</v>
      </c>
      <c r="D93">
        <v>3</v>
      </c>
      <c r="E93">
        <v>4</v>
      </c>
    </row>
    <row r="94" spans="1:10" x14ac:dyDescent="0.3">
      <c r="A94" t="s">
        <v>45</v>
      </c>
      <c r="B94">
        <v>34</v>
      </c>
      <c r="C94">
        <v>31</v>
      </c>
      <c r="D94">
        <v>29</v>
      </c>
      <c r="E94">
        <v>27</v>
      </c>
    </row>
    <row r="95" spans="1:10" x14ac:dyDescent="0.3">
      <c r="A95" t="s">
        <v>53</v>
      </c>
      <c r="B95">
        <v>26</v>
      </c>
      <c r="C95">
        <v>21</v>
      </c>
      <c r="D95">
        <v>28</v>
      </c>
      <c r="E95">
        <v>21</v>
      </c>
      <c r="G95">
        <v>34</v>
      </c>
      <c r="H95">
        <v>31</v>
      </c>
      <c r="I95">
        <v>29</v>
      </c>
      <c r="J95">
        <v>27</v>
      </c>
    </row>
    <row r="97" spans="1:3" ht="17.100000000000001" x14ac:dyDescent="0.45">
      <c r="A97" t="s">
        <v>5</v>
      </c>
    </row>
    <row r="99" spans="1:3" ht="17.100000000000001" x14ac:dyDescent="0.45">
      <c r="A99" t="s">
        <v>6</v>
      </c>
      <c r="B99" t="s">
        <v>54</v>
      </c>
      <c r="C99">
        <v>29</v>
      </c>
    </row>
    <row r="100" spans="1:3" ht="17.100000000000001" x14ac:dyDescent="0.45">
      <c r="A100" t="s">
        <v>8</v>
      </c>
      <c r="B100" t="s">
        <v>55</v>
      </c>
      <c r="C100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S591"/>
  <sheetViews>
    <sheetView topLeftCell="A112" workbookViewId="0">
      <selection activeCell="M115" sqref="M115:O123"/>
    </sheetView>
  </sheetViews>
  <sheetFormatPr defaultRowHeight="16.5" x14ac:dyDescent="0.3"/>
  <cols>
    <col min="1" max="1" width="8.25" bestFit="1" customWidth="1"/>
    <col min="2" max="2" width="6" customWidth="1"/>
    <col min="3" max="3" width="38.375" customWidth="1"/>
    <col min="7" max="7" width="4.5" customWidth="1"/>
    <col min="8" max="8" width="5.375" customWidth="1"/>
    <col min="9" max="9" width="12.375" bestFit="1" customWidth="1"/>
    <col min="10" max="10" width="10.625" bestFit="1" customWidth="1"/>
    <col min="11" max="11" width="10.875" customWidth="1"/>
    <col min="14" max="15" width="8.125" bestFit="1" customWidth="1"/>
    <col min="18" max="18" width="12.375" bestFit="1" customWidth="1"/>
  </cols>
  <sheetData>
    <row r="1" spans="1:19" x14ac:dyDescent="0.3">
      <c r="A1" t="s">
        <v>176</v>
      </c>
      <c r="B1" s="1">
        <v>0.16666666666666666</v>
      </c>
      <c r="C1" t="s">
        <v>177</v>
      </c>
      <c r="D1" t="s">
        <v>178</v>
      </c>
      <c r="E1" t="s">
        <v>179</v>
      </c>
      <c r="I1" t="str">
        <f>RIGHT(C1,LEN(C1)-FIND(" ",C1,LEN(C1)-12))</f>
        <v>댈러스댈러스</v>
      </c>
      <c r="J1" t="str">
        <f>RIGHT(C1,LEN(I1)/2)</f>
        <v>댈러스</v>
      </c>
      <c r="K1" t="str">
        <f>LEFT(C1,FIND(" ",C1)-1)</f>
        <v>뉴올리언즈</v>
      </c>
      <c r="M1" s="1">
        <f>B1</f>
        <v>0.16666666666666666</v>
      </c>
      <c r="N1" t="str">
        <f>VLOOKUP(J1,$R$1:$S$30,2,FALSE)</f>
        <v>DAL</v>
      </c>
      <c r="O1" t="str">
        <f>VLOOKUP(K1,$R$1:$S$30,2,FALSE)</f>
        <v>NO</v>
      </c>
      <c r="R1" t="s">
        <v>271</v>
      </c>
      <c r="S1" t="s">
        <v>287</v>
      </c>
    </row>
    <row r="2" spans="1:19" x14ac:dyDescent="0.3">
      <c r="B2" s="1">
        <v>0.39583333333333331</v>
      </c>
      <c r="C2" t="s">
        <v>180</v>
      </c>
      <c r="D2" t="s">
        <v>178</v>
      </c>
      <c r="E2" t="s">
        <v>181</v>
      </c>
      <c r="I2" t="str">
        <f t="shared" ref="I2:I59" si="0">RIGHT(C2,LEN(C2)-FIND(" ",C2,LEN(C2)-12))</f>
        <v>뉴욕뉴욕</v>
      </c>
      <c r="J2" t="str">
        <f t="shared" ref="J2:J5" si="1">RIGHT(C2,LEN(I2)/2)</f>
        <v>뉴욕</v>
      </c>
      <c r="K2" t="str">
        <f t="shared" ref="K2:K5" si="2">LEFT(C2,FIND(" ",C2)-1)</f>
        <v>인디애나</v>
      </c>
      <c r="M2" s="1">
        <f t="shared" ref="M2:M59" si="3">B2</f>
        <v>0.39583333333333331</v>
      </c>
      <c r="N2" t="str">
        <f t="shared" ref="N2:N59" si="4">VLOOKUP(J2,$R$1:$S$30,2,FALSE)</f>
        <v>NYK</v>
      </c>
      <c r="O2" t="str">
        <f t="shared" ref="O2:O59" si="5">VLOOKUP(K2,$R$1:$S$30,2,FALSE)</f>
        <v>IND</v>
      </c>
      <c r="R2" t="s">
        <v>267</v>
      </c>
      <c r="S2" t="s">
        <v>288</v>
      </c>
    </row>
    <row r="3" spans="1:19" x14ac:dyDescent="0.3">
      <c r="B3" s="1">
        <v>0.39583333333333331</v>
      </c>
      <c r="C3" t="s">
        <v>182</v>
      </c>
      <c r="D3" t="s">
        <v>178</v>
      </c>
      <c r="E3" t="s">
        <v>183</v>
      </c>
      <c r="I3" t="str">
        <f t="shared" si="0"/>
        <v>필라델피아필라델피아</v>
      </c>
      <c r="J3" t="str">
        <f t="shared" si="1"/>
        <v>필라델피아</v>
      </c>
      <c r="K3" t="str">
        <f t="shared" si="2"/>
        <v>클리블랜드</v>
      </c>
      <c r="M3" s="1">
        <f t="shared" si="3"/>
        <v>0.39583333333333331</v>
      </c>
      <c r="N3" t="str">
        <f t="shared" si="4"/>
        <v>PHI</v>
      </c>
      <c r="O3" t="str">
        <f t="shared" si="5"/>
        <v>CLE</v>
      </c>
      <c r="R3" t="s">
        <v>277</v>
      </c>
      <c r="S3" t="s">
        <v>289</v>
      </c>
    </row>
    <row r="4" spans="1:19" x14ac:dyDescent="0.3">
      <c r="B4" s="1">
        <v>0.41666666666666669</v>
      </c>
      <c r="C4" t="s">
        <v>184</v>
      </c>
      <c r="D4" t="s">
        <v>178</v>
      </c>
      <c r="E4" t="s">
        <v>185</v>
      </c>
      <c r="I4" t="str">
        <f t="shared" si="0"/>
        <v>휴스턴휴스턴</v>
      </c>
      <c r="J4" t="str">
        <f t="shared" si="1"/>
        <v>휴스턴</v>
      </c>
      <c r="K4" t="str">
        <f t="shared" si="2"/>
        <v>피닉스</v>
      </c>
      <c r="M4" s="1">
        <f t="shared" si="3"/>
        <v>0.41666666666666669</v>
      </c>
      <c r="N4" t="str">
        <f t="shared" si="4"/>
        <v>HOU</v>
      </c>
      <c r="O4" t="str">
        <f t="shared" si="5"/>
        <v>PHO</v>
      </c>
      <c r="R4" t="s">
        <v>250</v>
      </c>
      <c r="S4" t="s">
        <v>290</v>
      </c>
    </row>
    <row r="5" spans="1:19" x14ac:dyDescent="0.3">
      <c r="B5" s="1">
        <v>0.5</v>
      </c>
      <c r="C5" t="s">
        <v>186</v>
      </c>
      <c r="D5" t="s">
        <v>178</v>
      </c>
      <c r="E5" t="s">
        <v>187</v>
      </c>
      <c r="I5" t="str">
        <f t="shared" si="0"/>
        <v>유타유타</v>
      </c>
      <c r="J5" t="str">
        <f t="shared" si="1"/>
        <v>유타</v>
      </c>
      <c r="K5" t="str">
        <f t="shared" si="2"/>
        <v>멤피스</v>
      </c>
      <c r="M5" s="1">
        <f t="shared" si="3"/>
        <v>0.5</v>
      </c>
      <c r="N5" t="str">
        <f t="shared" si="4"/>
        <v>UTA</v>
      </c>
      <c r="O5" t="str">
        <f t="shared" si="5"/>
        <v>MEM</v>
      </c>
      <c r="R5" t="s">
        <v>251</v>
      </c>
      <c r="S5" t="s">
        <v>291</v>
      </c>
    </row>
    <row r="6" spans="1:19" x14ac:dyDescent="0.3">
      <c r="I6" t="e">
        <f t="shared" si="0"/>
        <v>#VALUE!</v>
      </c>
      <c r="J6" t="e">
        <f t="shared" ref="J6:J59" si="6">RIGHT(C6,LEN(I6)/2)</f>
        <v>#VALUE!</v>
      </c>
      <c r="K6" t="e">
        <f t="shared" ref="K6:K59" si="7">LEFT(C6,FIND(" ",C6)-1)</f>
        <v>#VALUE!</v>
      </c>
      <c r="M6" s="1">
        <f t="shared" si="3"/>
        <v>0</v>
      </c>
      <c r="N6" t="e">
        <f t="shared" si="4"/>
        <v>#VALUE!</v>
      </c>
      <c r="O6" t="e">
        <f t="shared" si="5"/>
        <v>#VALUE!</v>
      </c>
      <c r="R6" t="s">
        <v>249</v>
      </c>
      <c r="S6" t="s">
        <v>292</v>
      </c>
    </row>
    <row r="7" spans="1:19" x14ac:dyDescent="0.3">
      <c r="A7" t="s">
        <v>195</v>
      </c>
      <c r="B7" s="1">
        <v>0.20833333333333334</v>
      </c>
      <c r="C7" t="s">
        <v>196</v>
      </c>
      <c r="D7" t="s">
        <v>178</v>
      </c>
      <c r="E7" t="s">
        <v>197</v>
      </c>
      <c r="I7" t="str">
        <f t="shared" si="0"/>
        <v>브루클린브루클린</v>
      </c>
      <c r="J7" t="str">
        <f t="shared" si="6"/>
        <v>브루클린</v>
      </c>
      <c r="K7" t="str">
        <f t="shared" si="7"/>
        <v>덴버</v>
      </c>
      <c r="M7" s="1">
        <f t="shared" si="3"/>
        <v>0.20833333333333334</v>
      </c>
      <c r="N7" t="str">
        <f t="shared" si="4"/>
        <v>BKN</v>
      </c>
      <c r="O7" t="str">
        <f t="shared" si="5"/>
        <v>DEN</v>
      </c>
      <c r="R7" t="s">
        <v>260</v>
      </c>
      <c r="S7" t="s">
        <v>293</v>
      </c>
    </row>
    <row r="8" spans="1:19" x14ac:dyDescent="0.3">
      <c r="B8" s="1">
        <v>0.29166666666666669</v>
      </c>
      <c r="C8" t="s">
        <v>198</v>
      </c>
      <c r="D8" t="s">
        <v>178</v>
      </c>
      <c r="E8" t="s">
        <v>199</v>
      </c>
      <c r="I8" t="str">
        <f t="shared" si="0"/>
        <v>샬럿샬럿</v>
      </c>
      <c r="J8" t="str">
        <f t="shared" si="6"/>
        <v>샬럿</v>
      </c>
      <c r="K8" t="str">
        <f t="shared" si="7"/>
        <v>애틀랜타</v>
      </c>
      <c r="M8" s="1">
        <f t="shared" si="3"/>
        <v>0.29166666666666669</v>
      </c>
      <c r="N8" t="str">
        <f t="shared" si="4"/>
        <v>CHA</v>
      </c>
      <c r="O8" t="str">
        <f t="shared" si="5"/>
        <v>ATL</v>
      </c>
      <c r="R8" t="s">
        <v>274</v>
      </c>
      <c r="S8" t="s">
        <v>294</v>
      </c>
    </row>
    <row r="9" spans="1:19" x14ac:dyDescent="0.3">
      <c r="B9" s="1">
        <v>0.33333333333333331</v>
      </c>
      <c r="C9" t="s">
        <v>200</v>
      </c>
      <c r="D9" t="s">
        <v>178</v>
      </c>
      <c r="E9" t="s">
        <v>201</v>
      </c>
      <c r="I9" t="str">
        <f t="shared" si="0"/>
        <v>마이애미마이애미</v>
      </c>
      <c r="J9" t="str">
        <f t="shared" si="6"/>
        <v>마이애미</v>
      </c>
      <c r="K9" t="str">
        <f t="shared" si="7"/>
        <v>시카고</v>
      </c>
      <c r="M9" s="1">
        <f t="shared" si="3"/>
        <v>0.33333333333333331</v>
      </c>
      <c r="N9" t="str">
        <f t="shared" si="4"/>
        <v>MIA</v>
      </c>
      <c r="O9" t="str">
        <f t="shared" si="5"/>
        <v>CHI</v>
      </c>
      <c r="R9" t="s">
        <v>263</v>
      </c>
      <c r="S9" t="s">
        <v>295</v>
      </c>
    </row>
    <row r="10" spans="1:19" x14ac:dyDescent="0.3">
      <c r="B10" s="1">
        <v>0.33333333333333331</v>
      </c>
      <c r="C10" t="s">
        <v>202</v>
      </c>
      <c r="D10" t="s">
        <v>178</v>
      </c>
      <c r="E10" t="s">
        <v>183</v>
      </c>
      <c r="I10" t="str">
        <f t="shared" si="0"/>
        <v>필라델피아필라델피아</v>
      </c>
      <c r="J10" t="str">
        <f t="shared" si="6"/>
        <v>필라델피아</v>
      </c>
      <c r="K10" t="str">
        <f t="shared" si="7"/>
        <v>토론토</v>
      </c>
      <c r="M10" s="1">
        <f t="shared" si="3"/>
        <v>0.33333333333333331</v>
      </c>
      <c r="N10" t="str">
        <f t="shared" si="4"/>
        <v>PHI</v>
      </c>
      <c r="O10" t="str">
        <f t="shared" si="5"/>
        <v>TOR</v>
      </c>
      <c r="R10" t="s">
        <v>258</v>
      </c>
      <c r="S10" t="s">
        <v>296</v>
      </c>
    </row>
    <row r="11" spans="1:19" x14ac:dyDescent="0.3">
      <c r="B11" s="1">
        <v>0.33333333333333331</v>
      </c>
      <c r="C11" t="s">
        <v>203</v>
      </c>
      <c r="D11" t="s">
        <v>178</v>
      </c>
      <c r="E11" t="s">
        <v>204</v>
      </c>
      <c r="I11" t="str">
        <f t="shared" si="0"/>
        <v>워싱턴워싱턴</v>
      </c>
      <c r="J11" t="str">
        <f t="shared" si="6"/>
        <v>워싱턴</v>
      </c>
      <c r="K11" t="str">
        <f t="shared" si="7"/>
        <v>LA클리퍼스</v>
      </c>
      <c r="M11" s="1">
        <f t="shared" si="3"/>
        <v>0.33333333333333331</v>
      </c>
      <c r="N11" t="str">
        <f t="shared" si="4"/>
        <v>WAS</v>
      </c>
      <c r="O11" t="str">
        <f t="shared" si="5"/>
        <v>LAC</v>
      </c>
      <c r="R11" t="s">
        <v>272</v>
      </c>
      <c r="S11" t="s">
        <v>297</v>
      </c>
    </row>
    <row r="12" spans="1:19" x14ac:dyDescent="0.3">
      <c r="B12" s="1">
        <v>0.375</v>
      </c>
      <c r="C12" t="s">
        <v>205</v>
      </c>
      <c r="D12" t="s">
        <v>178</v>
      </c>
      <c r="E12" t="s">
        <v>179</v>
      </c>
      <c r="I12" t="str">
        <f t="shared" si="0"/>
        <v>댈러스댈러스</v>
      </c>
      <c r="J12" t="str">
        <f t="shared" si="6"/>
        <v>댈러스</v>
      </c>
      <c r="K12" t="str">
        <f t="shared" si="7"/>
        <v>새크라멘토</v>
      </c>
      <c r="M12" s="1">
        <f t="shared" si="3"/>
        <v>0.375</v>
      </c>
      <c r="N12" t="str">
        <f t="shared" si="4"/>
        <v>DAL</v>
      </c>
      <c r="O12" t="str">
        <f t="shared" si="5"/>
        <v>SAC</v>
      </c>
      <c r="R12" t="s">
        <v>275</v>
      </c>
      <c r="S12" t="s">
        <v>298</v>
      </c>
    </row>
    <row r="13" spans="1:19" x14ac:dyDescent="0.3">
      <c r="B13" s="1">
        <v>0.45833333333333331</v>
      </c>
      <c r="C13" t="s">
        <v>206</v>
      </c>
      <c r="D13" t="s">
        <v>178</v>
      </c>
      <c r="E13" t="s">
        <v>207</v>
      </c>
      <c r="I13" t="str">
        <f t="shared" si="0"/>
        <v>포틀랜드포틀랜드</v>
      </c>
      <c r="J13" t="str">
        <f t="shared" si="6"/>
        <v>포틀랜드</v>
      </c>
      <c r="K13" t="str">
        <f t="shared" si="7"/>
        <v>오클라호마</v>
      </c>
      <c r="M13" s="1">
        <f t="shared" si="3"/>
        <v>0.45833333333333331</v>
      </c>
      <c r="N13" t="str">
        <f t="shared" si="4"/>
        <v>POR</v>
      </c>
      <c r="O13" t="str">
        <f t="shared" si="5"/>
        <v>OKC</v>
      </c>
      <c r="R13" t="s">
        <v>273</v>
      </c>
      <c r="S13" t="s">
        <v>299</v>
      </c>
    </row>
    <row r="14" spans="1:19" x14ac:dyDescent="0.3">
      <c r="B14" s="1">
        <v>0.47916666666666669</v>
      </c>
      <c r="C14" t="s">
        <v>208</v>
      </c>
      <c r="D14" t="s">
        <v>178</v>
      </c>
      <c r="E14" t="s">
        <v>209</v>
      </c>
      <c r="I14" t="str">
        <f t="shared" si="0"/>
        <v>LA레이커스LA레이커스</v>
      </c>
      <c r="J14" t="str">
        <f t="shared" si="6"/>
        <v>LA레이커스</v>
      </c>
      <c r="K14" t="str">
        <f t="shared" si="7"/>
        <v>미네소타</v>
      </c>
      <c r="M14" s="1">
        <f t="shared" si="3"/>
        <v>0.47916666666666669</v>
      </c>
      <c r="N14" t="str">
        <f t="shared" si="4"/>
        <v>LAL</v>
      </c>
      <c r="O14" t="str">
        <f t="shared" si="5"/>
        <v>MIN</v>
      </c>
      <c r="R14" t="s">
        <v>259</v>
      </c>
      <c r="S14" t="s">
        <v>300</v>
      </c>
    </row>
    <row r="15" spans="1:19" x14ac:dyDescent="0.3">
      <c r="I15" t="e">
        <f t="shared" si="0"/>
        <v>#VALUE!</v>
      </c>
      <c r="J15" t="e">
        <f t="shared" si="6"/>
        <v>#VALUE!</v>
      </c>
      <c r="K15" t="e">
        <f t="shared" si="7"/>
        <v>#VALUE!</v>
      </c>
      <c r="M15" s="1">
        <f t="shared" si="3"/>
        <v>0</v>
      </c>
      <c r="N15" t="e">
        <f t="shared" si="4"/>
        <v>#VALUE!</v>
      </c>
      <c r="O15" t="e">
        <f t="shared" si="5"/>
        <v>#VALUE!</v>
      </c>
      <c r="R15" t="s">
        <v>268</v>
      </c>
      <c r="S15" t="s">
        <v>301</v>
      </c>
    </row>
    <row r="16" spans="1:19" x14ac:dyDescent="0.3">
      <c r="A16" t="s">
        <v>210</v>
      </c>
      <c r="B16" s="1">
        <v>0.375</v>
      </c>
      <c r="C16" t="s">
        <v>211</v>
      </c>
      <c r="D16" t="s">
        <v>178</v>
      </c>
      <c r="E16" t="s">
        <v>212</v>
      </c>
      <c r="I16" t="str">
        <f t="shared" si="0"/>
        <v>인디애나인디애나</v>
      </c>
      <c r="J16" t="str">
        <f t="shared" si="6"/>
        <v>인디애나</v>
      </c>
      <c r="K16" t="str">
        <f t="shared" si="7"/>
        <v>LA클리퍼스</v>
      </c>
      <c r="M16" s="1">
        <f t="shared" si="3"/>
        <v>0.375</v>
      </c>
      <c r="N16" t="str">
        <f t="shared" si="4"/>
        <v>IND</v>
      </c>
      <c r="O16" t="str">
        <f t="shared" si="5"/>
        <v>LAC</v>
      </c>
      <c r="R16" t="s">
        <v>286</v>
      </c>
      <c r="S16" t="s">
        <v>302</v>
      </c>
    </row>
    <row r="17" spans="1:19" x14ac:dyDescent="0.3">
      <c r="B17" s="1">
        <v>0.39583333333333331</v>
      </c>
      <c r="C17" t="s">
        <v>213</v>
      </c>
      <c r="D17" t="s">
        <v>178</v>
      </c>
      <c r="E17" t="s">
        <v>214</v>
      </c>
      <c r="I17" t="str">
        <f t="shared" si="0"/>
        <v>보스턴보스턴</v>
      </c>
      <c r="J17" t="str">
        <f t="shared" si="6"/>
        <v>보스턴</v>
      </c>
      <c r="K17" t="str">
        <f t="shared" si="7"/>
        <v>클리블랜드</v>
      </c>
      <c r="M17" s="1">
        <f t="shared" si="3"/>
        <v>0.39583333333333331</v>
      </c>
      <c r="N17" t="str">
        <f t="shared" si="4"/>
        <v>BOS</v>
      </c>
      <c r="O17" t="str">
        <f t="shared" si="5"/>
        <v>CLE</v>
      </c>
      <c r="R17" t="s">
        <v>261</v>
      </c>
      <c r="S17" t="s">
        <v>303</v>
      </c>
    </row>
    <row r="18" spans="1:19" x14ac:dyDescent="0.3">
      <c r="B18" s="1">
        <v>0.41666666666666669</v>
      </c>
      <c r="C18" t="s">
        <v>215</v>
      </c>
      <c r="D18" t="s">
        <v>178</v>
      </c>
      <c r="E18" t="s">
        <v>216</v>
      </c>
      <c r="I18" t="str">
        <f t="shared" si="0"/>
        <v>뉴올리언즈뉴올리언즈</v>
      </c>
      <c r="J18" t="str">
        <f t="shared" si="6"/>
        <v>뉴올리언즈</v>
      </c>
      <c r="K18" t="str">
        <f t="shared" si="7"/>
        <v>디트로이트</v>
      </c>
      <c r="M18" s="1">
        <f t="shared" si="3"/>
        <v>0.41666666666666669</v>
      </c>
      <c r="N18" t="str">
        <f t="shared" si="4"/>
        <v>NO</v>
      </c>
      <c r="O18" t="str">
        <f t="shared" si="5"/>
        <v>DET</v>
      </c>
      <c r="R18" t="s">
        <v>264</v>
      </c>
      <c r="S18" t="s">
        <v>304</v>
      </c>
    </row>
    <row r="19" spans="1:19" x14ac:dyDescent="0.3">
      <c r="B19" s="1">
        <v>0.41666666666666669</v>
      </c>
      <c r="C19" t="s">
        <v>217</v>
      </c>
      <c r="D19" t="s">
        <v>178</v>
      </c>
      <c r="E19" t="s">
        <v>218</v>
      </c>
      <c r="I19" t="str">
        <f t="shared" si="0"/>
        <v>시카고시카고</v>
      </c>
      <c r="J19" t="str">
        <f t="shared" si="6"/>
        <v>시카고</v>
      </c>
      <c r="K19" t="str">
        <f t="shared" si="7"/>
        <v>토론토</v>
      </c>
      <c r="M19" s="1">
        <f t="shared" si="3"/>
        <v>0.41666666666666669</v>
      </c>
      <c r="N19" t="str">
        <f t="shared" si="4"/>
        <v>CHI</v>
      </c>
      <c r="O19" t="str">
        <f t="shared" si="5"/>
        <v>TOR</v>
      </c>
      <c r="R19" t="s">
        <v>262</v>
      </c>
      <c r="S19" t="s">
        <v>305</v>
      </c>
    </row>
    <row r="20" spans="1:19" x14ac:dyDescent="0.3">
      <c r="B20" s="1">
        <v>0.41666666666666669</v>
      </c>
      <c r="C20" t="s">
        <v>219</v>
      </c>
      <c r="D20" t="s">
        <v>178</v>
      </c>
      <c r="E20" t="s">
        <v>185</v>
      </c>
      <c r="I20" t="str">
        <f t="shared" si="0"/>
        <v>휴스턴휴스턴</v>
      </c>
      <c r="J20" t="str">
        <f t="shared" si="6"/>
        <v>휴스턴</v>
      </c>
      <c r="K20" t="str">
        <f t="shared" si="7"/>
        <v>새크라멘토</v>
      </c>
      <c r="M20" s="1">
        <f t="shared" si="3"/>
        <v>0.41666666666666669</v>
      </c>
      <c r="N20" t="str">
        <f t="shared" si="4"/>
        <v>HOU</v>
      </c>
      <c r="O20" t="str">
        <f t="shared" si="5"/>
        <v>SAC</v>
      </c>
      <c r="R20" t="s">
        <v>270</v>
      </c>
      <c r="S20" t="s">
        <v>306</v>
      </c>
    </row>
    <row r="21" spans="1:19" x14ac:dyDescent="0.3">
      <c r="B21" s="1">
        <v>0.41666666666666669</v>
      </c>
      <c r="C21" t="s">
        <v>220</v>
      </c>
      <c r="D21" t="s">
        <v>178</v>
      </c>
      <c r="E21" t="s">
        <v>221</v>
      </c>
      <c r="I21" t="str">
        <f t="shared" si="0"/>
        <v>밀워키밀워키</v>
      </c>
      <c r="J21" t="str">
        <f t="shared" si="6"/>
        <v>밀워키</v>
      </c>
      <c r="K21" t="str">
        <f t="shared" si="7"/>
        <v>올랜도</v>
      </c>
      <c r="M21" s="1">
        <f t="shared" si="3"/>
        <v>0.41666666666666669</v>
      </c>
      <c r="N21" t="str">
        <f t="shared" si="4"/>
        <v>MIL</v>
      </c>
      <c r="O21" t="str">
        <f t="shared" si="5"/>
        <v>ORL</v>
      </c>
      <c r="R21" t="s">
        <v>276</v>
      </c>
      <c r="S21" t="s">
        <v>307</v>
      </c>
    </row>
    <row r="22" spans="1:19" x14ac:dyDescent="0.3">
      <c r="B22" s="1">
        <v>0.45833333333333331</v>
      </c>
      <c r="C22" t="s">
        <v>222</v>
      </c>
      <c r="D22" t="s">
        <v>178</v>
      </c>
      <c r="E22" t="s">
        <v>223</v>
      </c>
      <c r="I22" t="str">
        <f t="shared" si="0"/>
        <v>피닉스피닉스</v>
      </c>
      <c r="J22" t="str">
        <f t="shared" si="6"/>
        <v>피닉스</v>
      </c>
      <c r="K22" t="str">
        <f t="shared" si="7"/>
        <v>미네소타</v>
      </c>
      <c r="M22" s="1">
        <f t="shared" si="3"/>
        <v>0.45833333333333331</v>
      </c>
      <c r="N22" t="str">
        <f t="shared" si="4"/>
        <v>PHO</v>
      </c>
      <c r="O22" t="str">
        <f t="shared" si="5"/>
        <v>MIN</v>
      </c>
      <c r="R22" t="s">
        <v>266</v>
      </c>
      <c r="S22" t="s">
        <v>308</v>
      </c>
    </row>
    <row r="23" spans="1:19" x14ac:dyDescent="0.3">
      <c r="B23" s="1">
        <v>0.45833333333333331</v>
      </c>
      <c r="C23" t="s">
        <v>224</v>
      </c>
      <c r="D23" t="s">
        <v>178</v>
      </c>
      <c r="E23" t="s">
        <v>187</v>
      </c>
      <c r="I23" t="str">
        <f t="shared" si="0"/>
        <v>유타유타</v>
      </c>
      <c r="J23" t="str">
        <f t="shared" si="6"/>
        <v>유타</v>
      </c>
      <c r="K23" t="str">
        <f t="shared" si="7"/>
        <v>오클라호마</v>
      </c>
      <c r="M23" s="1">
        <f t="shared" si="3"/>
        <v>0.45833333333333331</v>
      </c>
      <c r="N23" t="str">
        <f t="shared" si="4"/>
        <v>UTA</v>
      </c>
      <c r="O23" t="str">
        <f t="shared" si="5"/>
        <v>OKC</v>
      </c>
      <c r="R23" t="s">
        <v>257</v>
      </c>
      <c r="S23" t="s">
        <v>309</v>
      </c>
    </row>
    <row r="24" spans="1:19" x14ac:dyDescent="0.3">
      <c r="B24" s="1">
        <v>0.52083333333333337</v>
      </c>
      <c r="C24" t="s">
        <v>225</v>
      </c>
      <c r="D24" t="s">
        <v>178</v>
      </c>
      <c r="E24" t="s">
        <v>226</v>
      </c>
      <c r="I24" t="str">
        <f t="shared" si="0"/>
        <v>골든스테이트골든스테이트</v>
      </c>
      <c r="J24" t="str">
        <f t="shared" si="6"/>
        <v>골든스테이트</v>
      </c>
      <c r="K24" t="str">
        <f t="shared" si="7"/>
        <v>멤피스</v>
      </c>
      <c r="M24" s="1">
        <f t="shared" si="3"/>
        <v>0.52083333333333337</v>
      </c>
      <c r="N24" t="str">
        <f t="shared" si="4"/>
        <v>GS</v>
      </c>
      <c r="O24" t="str">
        <f t="shared" si="5"/>
        <v>MEM</v>
      </c>
      <c r="R24" t="s">
        <v>252</v>
      </c>
      <c r="S24" t="s">
        <v>310</v>
      </c>
    </row>
    <row r="25" spans="1:19" x14ac:dyDescent="0.3">
      <c r="I25" t="e">
        <f t="shared" si="0"/>
        <v>#VALUE!</v>
      </c>
      <c r="J25" t="e">
        <f t="shared" si="6"/>
        <v>#VALUE!</v>
      </c>
      <c r="K25" t="e">
        <f t="shared" si="7"/>
        <v>#VALUE!</v>
      </c>
      <c r="M25" s="1">
        <f t="shared" si="3"/>
        <v>0</v>
      </c>
      <c r="N25" t="e">
        <f t="shared" si="4"/>
        <v>#VALUE!</v>
      </c>
      <c r="O25" t="e">
        <f t="shared" si="5"/>
        <v>#VALUE!</v>
      </c>
      <c r="R25" t="s">
        <v>254</v>
      </c>
      <c r="S25" t="s">
        <v>311</v>
      </c>
    </row>
    <row r="26" spans="1:19" x14ac:dyDescent="0.3">
      <c r="A26" t="s">
        <v>227</v>
      </c>
      <c r="B26" s="1">
        <v>0.375</v>
      </c>
      <c r="C26" t="s">
        <v>228</v>
      </c>
      <c r="D26" t="s">
        <v>178</v>
      </c>
      <c r="E26" t="s">
        <v>199</v>
      </c>
      <c r="I26" t="str">
        <f t="shared" si="0"/>
        <v>샬럿샬럿</v>
      </c>
      <c r="J26" t="str">
        <f t="shared" si="6"/>
        <v>샬럿</v>
      </c>
      <c r="K26" t="str">
        <f t="shared" si="7"/>
        <v>워싱턴</v>
      </c>
      <c r="M26" s="1">
        <f t="shared" si="3"/>
        <v>0.375</v>
      </c>
      <c r="N26" t="str">
        <f t="shared" si="4"/>
        <v>CHA</v>
      </c>
      <c r="O26" t="str">
        <f t="shared" si="5"/>
        <v>WAS</v>
      </c>
      <c r="R26" t="s">
        <v>265</v>
      </c>
      <c r="S26" t="s">
        <v>312</v>
      </c>
    </row>
    <row r="27" spans="1:19" x14ac:dyDescent="0.3">
      <c r="B27" s="1">
        <v>0.41666666666666669</v>
      </c>
      <c r="C27" t="s">
        <v>229</v>
      </c>
      <c r="D27" t="s">
        <v>178</v>
      </c>
      <c r="E27" t="s">
        <v>201</v>
      </c>
      <c r="I27" t="str">
        <f t="shared" si="0"/>
        <v>마이애미마이애미</v>
      </c>
      <c r="J27" t="str">
        <f t="shared" si="6"/>
        <v>마이애미</v>
      </c>
      <c r="K27" t="str">
        <f t="shared" si="7"/>
        <v>애틀랜타</v>
      </c>
      <c r="M27" s="1">
        <f t="shared" si="3"/>
        <v>0.41666666666666669</v>
      </c>
      <c r="N27" t="str">
        <f t="shared" si="4"/>
        <v>MIA</v>
      </c>
      <c r="O27" t="str">
        <f t="shared" si="5"/>
        <v>ATL</v>
      </c>
      <c r="R27" t="s">
        <v>269</v>
      </c>
      <c r="S27" t="s">
        <v>313</v>
      </c>
    </row>
    <row r="28" spans="1:19" x14ac:dyDescent="0.3">
      <c r="B28" s="1">
        <v>0.41666666666666669</v>
      </c>
      <c r="C28" t="s">
        <v>230</v>
      </c>
      <c r="D28" t="s">
        <v>178</v>
      </c>
      <c r="E28" t="s">
        <v>183</v>
      </c>
      <c r="I28" t="str">
        <f t="shared" si="0"/>
        <v>필라델피아필라델피아</v>
      </c>
      <c r="J28" t="str">
        <f t="shared" si="6"/>
        <v>필라델피아</v>
      </c>
      <c r="K28" t="str">
        <f t="shared" si="7"/>
        <v>덴버</v>
      </c>
      <c r="M28" s="1">
        <f t="shared" si="3"/>
        <v>0.41666666666666669</v>
      </c>
      <c r="N28" t="str">
        <f t="shared" si="4"/>
        <v>PHI</v>
      </c>
      <c r="O28" t="str">
        <f t="shared" si="5"/>
        <v>DEN</v>
      </c>
      <c r="R28" t="s">
        <v>256</v>
      </c>
      <c r="S28" t="s">
        <v>314</v>
      </c>
    </row>
    <row r="29" spans="1:19" x14ac:dyDescent="0.3">
      <c r="B29" s="1">
        <v>0.5</v>
      </c>
      <c r="C29" t="s">
        <v>231</v>
      </c>
      <c r="D29" t="s">
        <v>178</v>
      </c>
      <c r="E29" t="s">
        <v>207</v>
      </c>
      <c r="I29" t="str">
        <f t="shared" si="0"/>
        <v>포틀랜드포틀랜드</v>
      </c>
      <c r="J29" t="str">
        <f t="shared" si="6"/>
        <v>포틀랜드</v>
      </c>
      <c r="K29" t="str">
        <f t="shared" si="7"/>
        <v>뉴욕</v>
      </c>
      <c r="M29" s="1">
        <f t="shared" si="3"/>
        <v>0.5</v>
      </c>
      <c r="N29" t="str">
        <f t="shared" si="4"/>
        <v>POR</v>
      </c>
      <c r="O29" t="str">
        <f t="shared" si="5"/>
        <v>NYK</v>
      </c>
      <c r="R29" t="s">
        <v>253</v>
      </c>
      <c r="S29" t="s">
        <v>315</v>
      </c>
    </row>
    <row r="30" spans="1:19" x14ac:dyDescent="0.3">
      <c r="I30" t="e">
        <f t="shared" si="0"/>
        <v>#VALUE!</v>
      </c>
      <c r="J30" t="e">
        <f t="shared" si="6"/>
        <v>#VALUE!</v>
      </c>
      <c r="K30" t="e">
        <f t="shared" si="7"/>
        <v>#VALUE!</v>
      </c>
      <c r="M30" s="1">
        <f t="shared" si="3"/>
        <v>0</v>
      </c>
      <c r="N30" t="e">
        <f t="shared" si="4"/>
        <v>#VALUE!</v>
      </c>
      <c r="O30" t="e">
        <f t="shared" si="5"/>
        <v>#VALUE!</v>
      </c>
      <c r="R30" t="s">
        <v>255</v>
      </c>
      <c r="S30" t="s">
        <v>316</v>
      </c>
    </row>
    <row r="31" spans="1:19" x14ac:dyDescent="0.3">
      <c r="A31" t="s">
        <v>232</v>
      </c>
      <c r="B31" s="1">
        <v>0.375</v>
      </c>
      <c r="C31" t="s">
        <v>233</v>
      </c>
      <c r="D31" t="s">
        <v>178</v>
      </c>
      <c r="E31" t="s">
        <v>234</v>
      </c>
      <c r="I31" t="str">
        <f t="shared" si="0"/>
        <v>클리블랜드클리블랜드</v>
      </c>
      <c r="J31" t="str">
        <f t="shared" si="6"/>
        <v>클리블랜드</v>
      </c>
      <c r="K31" t="str">
        <f t="shared" si="7"/>
        <v>휴스턴</v>
      </c>
      <c r="M31" s="1">
        <f t="shared" si="3"/>
        <v>0.375</v>
      </c>
      <c r="N31" t="str">
        <f t="shared" si="4"/>
        <v>CLE</v>
      </c>
      <c r="O31" t="str">
        <f t="shared" si="5"/>
        <v>HOU</v>
      </c>
    </row>
    <row r="32" spans="1:19" x14ac:dyDescent="0.3">
      <c r="B32" s="1">
        <v>0.375</v>
      </c>
      <c r="C32" t="s">
        <v>235</v>
      </c>
      <c r="D32" t="s">
        <v>178</v>
      </c>
      <c r="E32" t="s">
        <v>212</v>
      </c>
      <c r="I32" t="str">
        <f t="shared" si="0"/>
        <v>인디애나인디애나</v>
      </c>
      <c r="J32" t="str">
        <f t="shared" si="6"/>
        <v>인디애나</v>
      </c>
      <c r="K32" t="str">
        <f t="shared" si="7"/>
        <v>보스턴</v>
      </c>
      <c r="M32" s="1">
        <f t="shared" si="3"/>
        <v>0.375</v>
      </c>
      <c r="N32" t="str">
        <f t="shared" si="4"/>
        <v>IND</v>
      </c>
      <c r="O32" t="str">
        <f t="shared" si="5"/>
        <v>BOS</v>
      </c>
    </row>
    <row r="33" spans="1:15" x14ac:dyDescent="0.3">
      <c r="B33" s="1">
        <v>0.375</v>
      </c>
      <c r="C33" t="s">
        <v>236</v>
      </c>
      <c r="D33" t="s">
        <v>178</v>
      </c>
      <c r="E33" t="s">
        <v>237</v>
      </c>
      <c r="I33" t="str">
        <f t="shared" si="0"/>
        <v>올랜도올랜도</v>
      </c>
      <c r="J33" t="str">
        <f t="shared" si="6"/>
        <v>올랜도</v>
      </c>
      <c r="K33" t="str">
        <f t="shared" si="7"/>
        <v>LA레이커스</v>
      </c>
      <c r="M33" s="1">
        <f t="shared" si="3"/>
        <v>0.375</v>
      </c>
      <c r="N33" t="str">
        <f t="shared" si="4"/>
        <v>ORL</v>
      </c>
      <c r="O33" t="str">
        <f t="shared" si="5"/>
        <v>LAL</v>
      </c>
    </row>
    <row r="34" spans="1:15" x14ac:dyDescent="0.3">
      <c r="B34" s="1">
        <v>0.375</v>
      </c>
      <c r="C34" t="s">
        <v>238</v>
      </c>
      <c r="D34" t="s">
        <v>178</v>
      </c>
      <c r="E34" t="s">
        <v>239</v>
      </c>
      <c r="I34" t="str">
        <f t="shared" si="0"/>
        <v>토론토토론토</v>
      </c>
      <c r="J34" t="str">
        <f t="shared" si="6"/>
        <v>토론토</v>
      </c>
      <c r="K34" t="str">
        <f t="shared" si="7"/>
        <v>LA클리퍼스</v>
      </c>
      <c r="M34" s="1">
        <f t="shared" si="3"/>
        <v>0.375</v>
      </c>
      <c r="N34" t="str">
        <f t="shared" si="4"/>
        <v>TOR</v>
      </c>
      <c r="O34" t="str">
        <f t="shared" si="5"/>
        <v>LAC</v>
      </c>
    </row>
    <row r="35" spans="1:15" x14ac:dyDescent="0.3">
      <c r="B35" s="1">
        <v>0.39583333333333331</v>
      </c>
      <c r="C35" t="s">
        <v>240</v>
      </c>
      <c r="D35" t="s">
        <v>178</v>
      </c>
      <c r="E35" t="s">
        <v>197</v>
      </c>
      <c r="I35" t="str">
        <f t="shared" si="0"/>
        <v>브루클린브루클린</v>
      </c>
      <c r="J35" t="str">
        <f t="shared" si="6"/>
        <v>브루클린</v>
      </c>
      <c r="K35" t="str">
        <f t="shared" si="7"/>
        <v>샬럿</v>
      </c>
      <c r="M35" s="1">
        <f t="shared" si="3"/>
        <v>0.39583333333333331</v>
      </c>
      <c r="N35" t="str">
        <f t="shared" si="4"/>
        <v>BKN</v>
      </c>
      <c r="O35" t="str">
        <f t="shared" si="5"/>
        <v>CHA</v>
      </c>
    </row>
    <row r="36" spans="1:15" x14ac:dyDescent="0.3">
      <c r="B36" s="1">
        <v>0.41666666666666669</v>
      </c>
      <c r="C36" t="s">
        <v>241</v>
      </c>
      <c r="D36" t="s">
        <v>178</v>
      </c>
      <c r="E36" t="s">
        <v>218</v>
      </c>
      <c r="I36" t="str">
        <f t="shared" si="0"/>
        <v>시카고시카고</v>
      </c>
      <c r="J36" t="str">
        <f t="shared" si="6"/>
        <v>시카고</v>
      </c>
      <c r="K36" t="str">
        <f t="shared" si="7"/>
        <v>애틀랜타</v>
      </c>
      <c r="M36" s="1">
        <f t="shared" si="3"/>
        <v>0.41666666666666669</v>
      </c>
      <c r="N36" t="str">
        <f t="shared" si="4"/>
        <v>CHI</v>
      </c>
      <c r="O36" t="str">
        <f t="shared" si="5"/>
        <v>ATL</v>
      </c>
    </row>
    <row r="37" spans="1:15" x14ac:dyDescent="0.3">
      <c r="B37" s="1">
        <v>0.41666666666666669</v>
      </c>
      <c r="C37" t="s">
        <v>242</v>
      </c>
      <c r="D37" t="s">
        <v>178</v>
      </c>
      <c r="E37" t="s">
        <v>243</v>
      </c>
      <c r="I37" t="str">
        <f t="shared" si="0"/>
        <v>미네소타미네소타</v>
      </c>
      <c r="J37" t="str">
        <f t="shared" si="6"/>
        <v>미네소타</v>
      </c>
      <c r="K37" t="str">
        <f t="shared" si="7"/>
        <v>유타</v>
      </c>
      <c r="M37" s="1">
        <f t="shared" si="3"/>
        <v>0.41666666666666669</v>
      </c>
      <c r="N37" t="str">
        <f t="shared" si="4"/>
        <v>MIN</v>
      </c>
      <c r="O37" t="str">
        <f t="shared" si="5"/>
        <v>UTA</v>
      </c>
    </row>
    <row r="38" spans="1:15" x14ac:dyDescent="0.3">
      <c r="B38" s="1">
        <v>0.45833333333333331</v>
      </c>
      <c r="C38" t="s">
        <v>244</v>
      </c>
      <c r="D38" t="s">
        <v>178</v>
      </c>
      <c r="E38" t="s">
        <v>223</v>
      </c>
      <c r="I38" t="str">
        <f t="shared" si="0"/>
        <v>피닉스피닉스</v>
      </c>
      <c r="J38" t="str">
        <f t="shared" si="6"/>
        <v>피닉스</v>
      </c>
      <c r="K38" t="str">
        <f t="shared" si="7"/>
        <v>멤피스</v>
      </c>
      <c r="M38" s="1">
        <f t="shared" si="3"/>
        <v>0.45833333333333331</v>
      </c>
      <c r="N38" t="str">
        <f t="shared" si="4"/>
        <v>PHO</v>
      </c>
      <c r="O38" t="str">
        <f t="shared" si="5"/>
        <v>MEM</v>
      </c>
    </row>
    <row r="39" spans="1:15" x14ac:dyDescent="0.3">
      <c r="B39" s="1">
        <v>0.47916666666666669</v>
      </c>
      <c r="C39" t="s">
        <v>245</v>
      </c>
      <c r="D39" t="s">
        <v>178</v>
      </c>
      <c r="E39" t="s">
        <v>221</v>
      </c>
      <c r="I39" t="str">
        <f t="shared" si="0"/>
        <v>밀워키밀워키</v>
      </c>
      <c r="J39" t="str">
        <f t="shared" si="6"/>
        <v>밀워키</v>
      </c>
      <c r="K39" t="str">
        <f t="shared" si="7"/>
        <v>뉴올리언즈</v>
      </c>
      <c r="M39" s="1">
        <f t="shared" si="3"/>
        <v>0.47916666666666669</v>
      </c>
      <c r="N39" t="str">
        <f t="shared" si="4"/>
        <v>MIL</v>
      </c>
      <c r="O39" t="str">
        <f t="shared" si="5"/>
        <v>NO</v>
      </c>
    </row>
    <row r="40" spans="1:15" x14ac:dyDescent="0.3">
      <c r="B40" s="1">
        <v>0.5</v>
      </c>
      <c r="C40" t="s">
        <v>246</v>
      </c>
      <c r="D40" t="s">
        <v>178</v>
      </c>
      <c r="E40" t="s">
        <v>247</v>
      </c>
      <c r="I40" t="str">
        <f t="shared" si="0"/>
        <v>새크라멘토새크라멘토</v>
      </c>
      <c r="J40" t="str">
        <f t="shared" si="6"/>
        <v>새크라멘토</v>
      </c>
      <c r="K40" t="str">
        <f t="shared" si="7"/>
        <v>오클라호마</v>
      </c>
      <c r="M40" s="1">
        <f t="shared" si="3"/>
        <v>0.5</v>
      </c>
      <c r="N40" t="str">
        <f t="shared" si="4"/>
        <v>SAC</v>
      </c>
      <c r="O40" t="str">
        <f t="shared" si="5"/>
        <v>OKC</v>
      </c>
    </row>
    <row r="41" spans="1:15" x14ac:dyDescent="0.3">
      <c r="B41" s="1">
        <v>0.52083333333333337</v>
      </c>
      <c r="C41" t="s">
        <v>248</v>
      </c>
      <c r="D41" t="s">
        <v>178</v>
      </c>
      <c r="E41" t="s">
        <v>226</v>
      </c>
      <c r="I41" t="str">
        <f t="shared" si="0"/>
        <v>골든스테이트골든스테이트</v>
      </c>
      <c r="J41" t="str">
        <f t="shared" si="6"/>
        <v>골든스테이트</v>
      </c>
      <c r="K41" t="str">
        <f t="shared" si="7"/>
        <v>뉴욕</v>
      </c>
      <c r="M41" s="1">
        <f t="shared" si="3"/>
        <v>0.52083333333333337</v>
      </c>
      <c r="N41" t="str">
        <f t="shared" si="4"/>
        <v>GS</v>
      </c>
      <c r="O41" t="str">
        <f t="shared" si="5"/>
        <v>NYK</v>
      </c>
    </row>
    <row r="42" spans="1:15" ht="17.100000000000001" x14ac:dyDescent="0.45">
      <c r="I42" t="e">
        <f t="shared" si="0"/>
        <v>#VALUE!</v>
      </c>
      <c r="J42" t="e">
        <f t="shared" si="6"/>
        <v>#VALUE!</v>
      </c>
      <c r="K42" t="e">
        <f t="shared" si="7"/>
        <v>#VALUE!</v>
      </c>
      <c r="M42" s="1">
        <f t="shared" si="3"/>
        <v>0</v>
      </c>
      <c r="N42" t="e">
        <f t="shared" si="4"/>
        <v>#VALUE!</v>
      </c>
      <c r="O42" t="e">
        <f t="shared" si="5"/>
        <v>#VALUE!</v>
      </c>
    </row>
    <row r="43" spans="1:15" x14ac:dyDescent="0.3">
      <c r="A43" t="s">
        <v>278</v>
      </c>
      <c r="B43" s="1">
        <v>0.41666666666666669</v>
      </c>
      <c r="C43" t="s">
        <v>279</v>
      </c>
      <c r="D43" t="s">
        <v>178</v>
      </c>
      <c r="E43" t="s">
        <v>214</v>
      </c>
      <c r="I43" t="str">
        <f t="shared" si="0"/>
        <v>보스턴보스턴</v>
      </c>
      <c r="J43" t="str">
        <f t="shared" si="6"/>
        <v>보스턴</v>
      </c>
      <c r="K43" t="str">
        <f t="shared" si="7"/>
        <v>필라델피아</v>
      </c>
      <c r="M43" s="1">
        <f t="shared" si="3"/>
        <v>0.41666666666666669</v>
      </c>
      <c r="N43" t="str">
        <f t="shared" si="4"/>
        <v>BOS</v>
      </c>
      <c r="O43" t="str">
        <f t="shared" si="5"/>
        <v>PHI</v>
      </c>
    </row>
    <row r="44" spans="1:15" x14ac:dyDescent="0.3">
      <c r="B44" s="1">
        <v>0.4375</v>
      </c>
      <c r="C44" t="s">
        <v>280</v>
      </c>
      <c r="D44" t="s">
        <v>178</v>
      </c>
      <c r="E44" t="s">
        <v>281</v>
      </c>
      <c r="I44" t="str">
        <f t="shared" si="0"/>
        <v>샌안토니오샌안토니오</v>
      </c>
      <c r="J44" t="str">
        <f t="shared" si="6"/>
        <v>샌안토니오</v>
      </c>
      <c r="K44" t="str">
        <f t="shared" si="7"/>
        <v>클리블랜드</v>
      </c>
      <c r="M44" s="1">
        <f t="shared" si="3"/>
        <v>0.4375</v>
      </c>
      <c r="N44" t="str">
        <f t="shared" si="4"/>
        <v>SAS</v>
      </c>
      <c r="O44" t="str">
        <f t="shared" si="5"/>
        <v>CLE</v>
      </c>
    </row>
    <row r="45" spans="1:15" x14ac:dyDescent="0.3">
      <c r="B45" s="1">
        <v>0.45833333333333331</v>
      </c>
      <c r="C45" t="s">
        <v>282</v>
      </c>
      <c r="D45" t="s">
        <v>178</v>
      </c>
      <c r="E45" t="s">
        <v>283</v>
      </c>
      <c r="I45" t="str">
        <f t="shared" si="0"/>
        <v>디트로이트디트로이트</v>
      </c>
      <c r="J45" t="str">
        <f t="shared" si="6"/>
        <v>디트로이트</v>
      </c>
      <c r="K45" t="str">
        <f t="shared" si="7"/>
        <v>댈러스</v>
      </c>
      <c r="M45" s="1">
        <f t="shared" si="3"/>
        <v>0.45833333333333331</v>
      </c>
      <c r="N45" t="str">
        <f t="shared" si="4"/>
        <v>DET</v>
      </c>
      <c r="O45" t="str">
        <f t="shared" si="5"/>
        <v>DAL</v>
      </c>
    </row>
    <row r="46" spans="1:15" x14ac:dyDescent="0.3">
      <c r="B46" s="1">
        <v>0.52083333333333337</v>
      </c>
      <c r="C46" t="s">
        <v>284</v>
      </c>
      <c r="D46" t="s">
        <v>178</v>
      </c>
      <c r="E46" t="s">
        <v>285</v>
      </c>
      <c r="I46" t="str">
        <f t="shared" si="0"/>
        <v>덴버덴버</v>
      </c>
      <c r="J46" t="str">
        <f t="shared" si="6"/>
        <v>덴버</v>
      </c>
      <c r="K46" t="str">
        <f t="shared" si="7"/>
        <v>포틀랜드</v>
      </c>
      <c r="M46" s="1">
        <f t="shared" si="3"/>
        <v>0.52083333333333337</v>
      </c>
      <c r="N46" t="str">
        <f t="shared" si="4"/>
        <v>DEN</v>
      </c>
      <c r="O46" t="str">
        <f t="shared" si="5"/>
        <v>POR</v>
      </c>
    </row>
    <row r="47" spans="1:15" ht="17.100000000000001" x14ac:dyDescent="0.45">
      <c r="I47" t="e">
        <f t="shared" si="0"/>
        <v>#VALUE!</v>
      </c>
      <c r="J47" t="e">
        <f t="shared" si="6"/>
        <v>#VALUE!</v>
      </c>
      <c r="K47" t="e">
        <f t="shared" si="7"/>
        <v>#VALUE!</v>
      </c>
      <c r="M47" s="1">
        <f t="shared" si="3"/>
        <v>0</v>
      </c>
      <c r="N47" t="e">
        <f t="shared" si="4"/>
        <v>#VALUE!</v>
      </c>
      <c r="O47" t="e">
        <f t="shared" si="5"/>
        <v>#VALUE!</v>
      </c>
    </row>
    <row r="48" spans="1:15" x14ac:dyDescent="0.3">
      <c r="A48" t="s">
        <v>317</v>
      </c>
      <c r="B48" s="1">
        <v>0.375</v>
      </c>
      <c r="C48" t="s">
        <v>318</v>
      </c>
      <c r="D48" t="s">
        <v>178</v>
      </c>
      <c r="E48" t="s">
        <v>201</v>
      </c>
      <c r="I48" t="str">
        <f t="shared" si="0"/>
        <v>마이애미마이애미</v>
      </c>
      <c r="J48" t="str">
        <f t="shared" si="6"/>
        <v>마이애미</v>
      </c>
      <c r="K48" t="str">
        <f t="shared" si="7"/>
        <v>LA레이커스</v>
      </c>
      <c r="M48" s="1">
        <f t="shared" si="3"/>
        <v>0.375</v>
      </c>
      <c r="N48" t="str">
        <f t="shared" si="4"/>
        <v>MIA</v>
      </c>
      <c r="O48" t="str">
        <f t="shared" si="5"/>
        <v>LAL</v>
      </c>
    </row>
    <row r="49" spans="1:15" x14ac:dyDescent="0.3">
      <c r="B49" s="1">
        <v>0.375</v>
      </c>
      <c r="C49" t="s">
        <v>319</v>
      </c>
      <c r="D49" t="s">
        <v>178</v>
      </c>
      <c r="E49" t="s">
        <v>237</v>
      </c>
      <c r="I49" t="str">
        <f t="shared" si="0"/>
        <v>올랜도올랜도</v>
      </c>
      <c r="J49" t="str">
        <f t="shared" si="6"/>
        <v>올랜도</v>
      </c>
      <c r="K49" t="str">
        <f t="shared" si="7"/>
        <v>휴스턴</v>
      </c>
      <c r="M49" s="1">
        <f t="shared" si="3"/>
        <v>0.375</v>
      </c>
      <c r="N49" t="str">
        <f t="shared" si="4"/>
        <v>ORL</v>
      </c>
      <c r="O49" t="str">
        <f t="shared" si="5"/>
        <v>HOU</v>
      </c>
    </row>
    <row r="50" spans="1:15" x14ac:dyDescent="0.3">
      <c r="B50" s="1">
        <v>0.375</v>
      </c>
      <c r="C50" t="s">
        <v>320</v>
      </c>
      <c r="D50" t="s">
        <v>178</v>
      </c>
      <c r="E50" t="s">
        <v>183</v>
      </c>
      <c r="I50" t="str">
        <f t="shared" si="0"/>
        <v>필라델피아필라델피아</v>
      </c>
      <c r="J50" t="str">
        <f t="shared" si="6"/>
        <v>필라델피아</v>
      </c>
      <c r="K50" t="str">
        <f t="shared" si="7"/>
        <v>뉴올리언즈</v>
      </c>
      <c r="M50" s="1">
        <f t="shared" si="3"/>
        <v>0.375</v>
      </c>
      <c r="N50" t="str">
        <f t="shared" si="4"/>
        <v>PHI</v>
      </c>
      <c r="O50" t="str">
        <f t="shared" si="5"/>
        <v>NO</v>
      </c>
    </row>
    <row r="51" spans="1:15" x14ac:dyDescent="0.3">
      <c r="B51" s="1">
        <v>0.39583333333333331</v>
      </c>
      <c r="C51" t="s">
        <v>321</v>
      </c>
      <c r="D51" t="s">
        <v>178</v>
      </c>
      <c r="E51" t="s">
        <v>322</v>
      </c>
      <c r="I51" t="str">
        <f t="shared" si="0"/>
        <v>애틀랜타애틀랜타</v>
      </c>
      <c r="J51" t="str">
        <f t="shared" si="6"/>
        <v>애틀랜타</v>
      </c>
      <c r="K51" t="str">
        <f t="shared" si="7"/>
        <v>인디애나</v>
      </c>
      <c r="M51" s="1">
        <f t="shared" si="3"/>
        <v>0.39583333333333331</v>
      </c>
      <c r="N51" t="str">
        <f t="shared" si="4"/>
        <v>ATL</v>
      </c>
      <c r="O51" t="str">
        <f t="shared" si="5"/>
        <v>IND</v>
      </c>
    </row>
    <row r="52" spans="1:15" x14ac:dyDescent="0.3">
      <c r="B52" s="1">
        <v>0.41666666666666669</v>
      </c>
      <c r="C52" t="s">
        <v>323</v>
      </c>
      <c r="D52" t="s">
        <v>178</v>
      </c>
      <c r="E52" t="s">
        <v>218</v>
      </c>
      <c r="I52" t="str">
        <f t="shared" si="0"/>
        <v>시카고시카고</v>
      </c>
      <c r="J52" t="str">
        <f t="shared" si="6"/>
        <v>시카고</v>
      </c>
      <c r="K52" t="str">
        <f t="shared" si="7"/>
        <v>샬럿</v>
      </c>
      <c r="M52" s="1">
        <f t="shared" si="3"/>
        <v>0.41666666666666669</v>
      </c>
      <c r="N52" t="str">
        <f t="shared" si="4"/>
        <v>CHI</v>
      </c>
      <c r="O52" t="str">
        <f t="shared" si="5"/>
        <v>CHA</v>
      </c>
    </row>
    <row r="53" spans="1:15" x14ac:dyDescent="0.3">
      <c r="B53" s="1">
        <v>0.41666666666666669</v>
      </c>
      <c r="C53" t="s">
        <v>324</v>
      </c>
      <c r="D53" t="s">
        <v>178</v>
      </c>
      <c r="E53" t="s">
        <v>325</v>
      </c>
      <c r="I53" t="str">
        <f t="shared" si="0"/>
        <v>멤피스멤피스</v>
      </c>
      <c r="J53" t="str">
        <f t="shared" si="6"/>
        <v>멤피스</v>
      </c>
      <c r="K53" t="str">
        <f t="shared" si="7"/>
        <v>밀워키</v>
      </c>
      <c r="M53" s="1">
        <f t="shared" si="3"/>
        <v>0.41666666666666669</v>
      </c>
      <c r="N53" t="str">
        <f t="shared" si="4"/>
        <v>MEM</v>
      </c>
      <c r="O53" t="str">
        <f t="shared" si="5"/>
        <v>MIL</v>
      </c>
    </row>
    <row r="54" spans="1:15" x14ac:dyDescent="0.3">
      <c r="B54" s="1">
        <v>0.45833333333333331</v>
      </c>
      <c r="C54" t="s">
        <v>326</v>
      </c>
      <c r="D54" t="s">
        <v>178</v>
      </c>
      <c r="E54" t="s">
        <v>187</v>
      </c>
      <c r="I54" t="str">
        <f t="shared" si="0"/>
        <v>유타유타</v>
      </c>
      <c r="J54" t="str">
        <f t="shared" si="6"/>
        <v>유타</v>
      </c>
      <c r="K54" t="str">
        <f t="shared" si="7"/>
        <v>골든스테이트</v>
      </c>
      <c r="M54" s="1">
        <f t="shared" si="3"/>
        <v>0.45833333333333331</v>
      </c>
      <c r="N54" t="str">
        <f t="shared" si="4"/>
        <v>UTA</v>
      </c>
      <c r="O54" t="str">
        <f t="shared" si="5"/>
        <v>GS</v>
      </c>
    </row>
    <row r="55" spans="1:15" x14ac:dyDescent="0.3">
      <c r="B55" s="1">
        <v>0.47916666666666669</v>
      </c>
      <c r="C55" t="s">
        <v>327</v>
      </c>
      <c r="D55" t="s">
        <v>178</v>
      </c>
      <c r="E55" t="s">
        <v>243</v>
      </c>
      <c r="I55" t="str">
        <f t="shared" si="0"/>
        <v>미네소타미네소타</v>
      </c>
      <c r="J55" t="str">
        <f t="shared" si="6"/>
        <v>미네소타</v>
      </c>
      <c r="K55" t="str">
        <f t="shared" si="7"/>
        <v>LA클리퍼스</v>
      </c>
      <c r="M55" s="1">
        <f t="shared" si="3"/>
        <v>0.47916666666666669</v>
      </c>
      <c r="N55" t="str">
        <f t="shared" si="4"/>
        <v>MIN</v>
      </c>
      <c r="O55" t="str">
        <f t="shared" si="5"/>
        <v>LAC</v>
      </c>
    </row>
    <row r="56" spans="1:15" x14ac:dyDescent="0.3">
      <c r="B56" s="1">
        <v>0.5</v>
      </c>
      <c r="C56" t="s">
        <v>328</v>
      </c>
      <c r="D56" t="s">
        <v>178</v>
      </c>
      <c r="E56" t="s">
        <v>247</v>
      </c>
      <c r="I56" t="str">
        <f t="shared" si="0"/>
        <v>새크라멘토새크라멘토</v>
      </c>
      <c r="J56" t="str">
        <f t="shared" si="6"/>
        <v>새크라멘토</v>
      </c>
      <c r="K56" t="str">
        <f t="shared" si="7"/>
        <v>뉴욕</v>
      </c>
      <c r="M56" s="1">
        <f t="shared" si="3"/>
        <v>0.5</v>
      </c>
      <c r="N56" t="str">
        <f t="shared" si="4"/>
        <v>SAC</v>
      </c>
      <c r="O56" t="str">
        <f t="shared" si="5"/>
        <v>NYK</v>
      </c>
    </row>
    <row r="57" spans="1:15" ht="17.100000000000001" x14ac:dyDescent="0.45">
      <c r="I57" t="e">
        <f t="shared" si="0"/>
        <v>#VALUE!</v>
      </c>
      <c r="J57" t="e">
        <f t="shared" si="6"/>
        <v>#VALUE!</v>
      </c>
      <c r="K57" t="e">
        <f t="shared" si="7"/>
        <v>#VALUE!</v>
      </c>
      <c r="M57" s="1">
        <f t="shared" si="3"/>
        <v>0</v>
      </c>
      <c r="N57" t="e">
        <f t="shared" si="4"/>
        <v>#VALUE!</v>
      </c>
      <c r="O57" t="e">
        <f t="shared" si="5"/>
        <v>#VALUE!</v>
      </c>
    </row>
    <row r="58" spans="1:15" x14ac:dyDescent="0.3">
      <c r="A58" t="s">
        <v>329</v>
      </c>
      <c r="B58" s="1">
        <v>0.29166666666666669</v>
      </c>
      <c r="C58" t="s">
        <v>330</v>
      </c>
      <c r="D58" t="s">
        <v>178</v>
      </c>
      <c r="E58" t="s">
        <v>283</v>
      </c>
      <c r="I58" t="str">
        <f t="shared" si="0"/>
        <v>피닉스피닉스</v>
      </c>
      <c r="J58" t="str">
        <f t="shared" si="6"/>
        <v>피닉스</v>
      </c>
      <c r="K58" t="str">
        <f t="shared" si="7"/>
        <v>샌안토니오</v>
      </c>
      <c r="M58" s="1">
        <f t="shared" si="3"/>
        <v>0.29166666666666669</v>
      </c>
      <c r="N58" t="str">
        <f t="shared" si="4"/>
        <v>PHO</v>
      </c>
      <c r="O58" t="str">
        <f t="shared" si="5"/>
        <v>SAS</v>
      </c>
    </row>
    <row r="59" spans="1:15" x14ac:dyDescent="0.3">
      <c r="B59" s="1">
        <v>0.39583333333333331</v>
      </c>
      <c r="C59" t="s">
        <v>331</v>
      </c>
      <c r="D59" t="s">
        <v>178</v>
      </c>
      <c r="E59" t="s">
        <v>239</v>
      </c>
      <c r="I59" t="str">
        <f t="shared" si="0"/>
        <v>토론토토론토</v>
      </c>
      <c r="J59" t="str">
        <f t="shared" si="6"/>
        <v>토론토</v>
      </c>
      <c r="K59" t="str">
        <f t="shared" si="7"/>
        <v>브루클린</v>
      </c>
      <c r="M59" s="1">
        <f t="shared" si="3"/>
        <v>0.39583333333333331</v>
      </c>
      <c r="N59" t="str">
        <f t="shared" si="4"/>
        <v>TOR</v>
      </c>
      <c r="O59" t="str">
        <f t="shared" si="5"/>
        <v>BKN</v>
      </c>
    </row>
    <row r="60" spans="1:15" x14ac:dyDescent="0.3">
      <c r="B60" s="1">
        <v>0.41666666666666669</v>
      </c>
      <c r="C60" t="s">
        <v>332</v>
      </c>
      <c r="D60" t="s">
        <v>178</v>
      </c>
      <c r="E60" t="s">
        <v>218</v>
      </c>
      <c r="I60" t="str">
        <f t="shared" ref="I60:I88" si="8">RIGHT(C60,LEN(C60)-FIND(" ",C60,LEN(C60)-12))</f>
        <v>시카고시카고</v>
      </c>
      <c r="J60" t="str">
        <f t="shared" ref="J60:J88" si="9">RIGHT(C60,LEN(I60)/2)</f>
        <v>시카고</v>
      </c>
      <c r="K60" t="str">
        <f t="shared" ref="K60:K88" si="10">LEFT(C60,FIND(" ",C60)-1)</f>
        <v>LA클리퍼스</v>
      </c>
      <c r="M60" s="1">
        <f t="shared" ref="M60:M88" si="11">B60</f>
        <v>0.41666666666666669</v>
      </c>
      <c r="N60" t="str">
        <f t="shared" ref="N60:N88" si="12">VLOOKUP(J60,$R$1:$S$30,2,FALSE)</f>
        <v>CHI</v>
      </c>
      <c r="O60" t="str">
        <f t="shared" ref="O60:O88" si="13">VLOOKUP(K60,$R$1:$S$30,2,FALSE)</f>
        <v>LAC</v>
      </c>
    </row>
    <row r="61" spans="1:15" x14ac:dyDescent="0.3">
      <c r="B61" s="1">
        <v>0.41666666666666669</v>
      </c>
      <c r="C61" t="s">
        <v>333</v>
      </c>
      <c r="D61" t="s">
        <v>178</v>
      </c>
      <c r="E61" t="s">
        <v>325</v>
      </c>
      <c r="I61" t="str">
        <f t="shared" si="8"/>
        <v>멤피스멤피스</v>
      </c>
      <c r="J61" t="str">
        <f t="shared" si="9"/>
        <v>멤피스</v>
      </c>
      <c r="K61" t="str">
        <f t="shared" si="10"/>
        <v>워싱턴</v>
      </c>
      <c r="M61" s="1">
        <f t="shared" si="11"/>
        <v>0.41666666666666669</v>
      </c>
      <c r="N61" t="str">
        <f t="shared" si="12"/>
        <v>MEM</v>
      </c>
      <c r="O61" t="str">
        <f t="shared" si="13"/>
        <v>WAS</v>
      </c>
    </row>
    <row r="62" spans="1:15" x14ac:dyDescent="0.3">
      <c r="B62" s="1">
        <v>0.4375</v>
      </c>
      <c r="C62" t="s">
        <v>334</v>
      </c>
      <c r="D62" t="s">
        <v>178</v>
      </c>
      <c r="E62" t="s">
        <v>179</v>
      </c>
      <c r="I62" t="str">
        <f t="shared" si="8"/>
        <v>댈러스댈러스</v>
      </c>
      <c r="J62" t="str">
        <f t="shared" si="9"/>
        <v>댈러스</v>
      </c>
      <c r="K62" t="str">
        <f t="shared" si="10"/>
        <v>마이애미</v>
      </c>
      <c r="M62" s="1">
        <f t="shared" si="11"/>
        <v>0.4375</v>
      </c>
      <c r="N62" t="str">
        <f t="shared" si="12"/>
        <v>DAL</v>
      </c>
      <c r="O62" t="str">
        <f t="shared" si="13"/>
        <v>MIA</v>
      </c>
    </row>
    <row r="63" spans="1:15" x14ac:dyDescent="0.3">
      <c r="B63" s="1">
        <v>0.4375</v>
      </c>
      <c r="C63" t="s">
        <v>335</v>
      </c>
      <c r="D63" t="s">
        <v>178</v>
      </c>
      <c r="E63" t="s">
        <v>221</v>
      </c>
      <c r="I63" t="str">
        <f t="shared" si="8"/>
        <v>밀워키밀워키</v>
      </c>
      <c r="J63" t="str">
        <f t="shared" si="9"/>
        <v>밀워키</v>
      </c>
      <c r="K63" t="str">
        <f t="shared" si="10"/>
        <v>클리블랜드</v>
      </c>
      <c r="M63" s="1">
        <f t="shared" si="11"/>
        <v>0.4375</v>
      </c>
      <c r="N63" t="str">
        <f t="shared" si="12"/>
        <v>MIL</v>
      </c>
      <c r="O63" t="str">
        <f t="shared" si="13"/>
        <v>CLE</v>
      </c>
    </row>
    <row r="64" spans="1:15" x14ac:dyDescent="0.3">
      <c r="B64" s="1">
        <v>0.45833333333333331</v>
      </c>
      <c r="C64" t="s">
        <v>336</v>
      </c>
      <c r="D64" t="s">
        <v>178</v>
      </c>
      <c r="E64" t="s">
        <v>285</v>
      </c>
      <c r="I64" t="str">
        <f t="shared" si="8"/>
        <v>덴버덴버</v>
      </c>
      <c r="J64" t="str">
        <f t="shared" si="9"/>
        <v>덴버</v>
      </c>
      <c r="K64" t="str">
        <f t="shared" si="10"/>
        <v>오클라호마</v>
      </c>
      <c r="M64" s="1">
        <f t="shared" si="11"/>
        <v>0.45833333333333331</v>
      </c>
      <c r="N64" t="str">
        <f t="shared" si="12"/>
        <v>DEN</v>
      </c>
      <c r="O64" t="str">
        <f t="shared" si="13"/>
        <v>OKC</v>
      </c>
    </row>
    <row r="65" spans="1:15" x14ac:dyDescent="0.3">
      <c r="B65" s="1">
        <v>0.45833333333333331</v>
      </c>
      <c r="C65" t="s">
        <v>337</v>
      </c>
      <c r="D65" t="s">
        <v>178</v>
      </c>
      <c r="E65" t="s">
        <v>185</v>
      </c>
      <c r="I65" t="str">
        <f t="shared" si="8"/>
        <v>휴스턴휴스턴</v>
      </c>
      <c r="J65" t="str">
        <f t="shared" si="9"/>
        <v>휴스턴</v>
      </c>
      <c r="K65" t="str">
        <f t="shared" si="10"/>
        <v>디트로이트</v>
      </c>
      <c r="M65" s="1">
        <f t="shared" si="11"/>
        <v>0.45833333333333331</v>
      </c>
      <c r="N65" t="str">
        <f t="shared" si="12"/>
        <v>HOU</v>
      </c>
      <c r="O65" t="str">
        <f t="shared" si="13"/>
        <v>DET</v>
      </c>
    </row>
    <row r="66" spans="1:15" ht="17.100000000000001" x14ac:dyDescent="0.45">
      <c r="I66" t="e">
        <f t="shared" si="8"/>
        <v>#VALUE!</v>
      </c>
      <c r="J66" t="e">
        <f t="shared" si="9"/>
        <v>#VALUE!</v>
      </c>
      <c r="K66" t="e">
        <f t="shared" si="10"/>
        <v>#VALUE!</v>
      </c>
      <c r="M66" s="1">
        <f t="shared" si="11"/>
        <v>0</v>
      </c>
      <c r="N66" t="e">
        <f t="shared" si="12"/>
        <v>#VALUE!</v>
      </c>
      <c r="O66" t="e">
        <f t="shared" si="13"/>
        <v>#VALUE!</v>
      </c>
    </row>
    <row r="67" spans="1:15" x14ac:dyDescent="0.3">
      <c r="A67" t="s">
        <v>338</v>
      </c>
      <c r="B67" s="1">
        <v>0.22916666666666666</v>
      </c>
      <c r="C67" t="s">
        <v>339</v>
      </c>
      <c r="D67" t="s">
        <v>178</v>
      </c>
      <c r="E67" t="s">
        <v>216</v>
      </c>
      <c r="I67" t="str">
        <f t="shared" si="8"/>
        <v>뉴올리언즈뉴올리언즈</v>
      </c>
      <c r="J67" t="str">
        <f t="shared" si="9"/>
        <v>뉴올리언즈</v>
      </c>
      <c r="K67" t="str">
        <f t="shared" si="10"/>
        <v>올랜도</v>
      </c>
      <c r="M67" s="1">
        <f t="shared" si="11"/>
        <v>0.22916666666666666</v>
      </c>
      <c r="N67" t="str">
        <f t="shared" si="12"/>
        <v>NO</v>
      </c>
      <c r="O67" t="str">
        <f t="shared" si="13"/>
        <v>ORL</v>
      </c>
    </row>
    <row r="68" spans="1:15" x14ac:dyDescent="0.3">
      <c r="B68" s="1">
        <v>0.29166666666666669</v>
      </c>
      <c r="C68" t="s">
        <v>340</v>
      </c>
      <c r="D68" t="s">
        <v>178</v>
      </c>
      <c r="E68" t="s">
        <v>212</v>
      </c>
      <c r="I68" t="str">
        <f t="shared" si="8"/>
        <v>인디애나인디애나</v>
      </c>
      <c r="J68" t="str">
        <f t="shared" si="9"/>
        <v>인디애나</v>
      </c>
      <c r="K68" t="str">
        <f t="shared" si="10"/>
        <v>샬럿</v>
      </c>
      <c r="M68" s="1">
        <f t="shared" si="11"/>
        <v>0.29166666666666669</v>
      </c>
      <c r="N68" t="str">
        <f t="shared" si="12"/>
        <v>IND</v>
      </c>
      <c r="O68" t="str">
        <f t="shared" si="13"/>
        <v>CHA</v>
      </c>
    </row>
    <row r="69" spans="1:15" x14ac:dyDescent="0.3">
      <c r="B69" s="1">
        <v>0.33333333333333331</v>
      </c>
      <c r="C69" t="s">
        <v>341</v>
      </c>
      <c r="D69" t="s">
        <v>178</v>
      </c>
      <c r="E69" t="s">
        <v>322</v>
      </c>
      <c r="I69" t="str">
        <f t="shared" si="8"/>
        <v>애틀랜타애틀랜타</v>
      </c>
      <c r="J69" t="str">
        <f t="shared" si="9"/>
        <v>애틀랜타</v>
      </c>
      <c r="K69" t="str">
        <f t="shared" si="10"/>
        <v>LA레이커스</v>
      </c>
      <c r="M69" s="1">
        <f t="shared" si="11"/>
        <v>0.33333333333333331</v>
      </c>
      <c r="N69" t="str">
        <f t="shared" si="12"/>
        <v>ATL</v>
      </c>
      <c r="O69" t="str">
        <f t="shared" si="13"/>
        <v>LAL</v>
      </c>
    </row>
    <row r="70" spans="1:15" x14ac:dyDescent="0.3">
      <c r="B70" s="1">
        <v>0.33333333333333331</v>
      </c>
      <c r="C70" t="s">
        <v>342</v>
      </c>
      <c r="D70" t="s">
        <v>178</v>
      </c>
      <c r="E70" t="s">
        <v>197</v>
      </c>
      <c r="I70" t="str">
        <f t="shared" si="8"/>
        <v>브루클린브루클린</v>
      </c>
      <c r="J70" t="str">
        <f t="shared" si="9"/>
        <v>브루클린</v>
      </c>
      <c r="K70" t="str">
        <f t="shared" si="10"/>
        <v>필라델피아</v>
      </c>
      <c r="M70" s="1">
        <f t="shared" si="11"/>
        <v>0.33333333333333331</v>
      </c>
      <c r="N70" t="str">
        <f t="shared" si="12"/>
        <v>BKN</v>
      </c>
      <c r="O70" t="str">
        <f t="shared" si="13"/>
        <v>PHI</v>
      </c>
    </row>
    <row r="71" spans="1:15" x14ac:dyDescent="0.3">
      <c r="B71" s="1">
        <v>0.41666666666666669</v>
      </c>
      <c r="C71" t="s">
        <v>343</v>
      </c>
      <c r="D71" t="s">
        <v>178</v>
      </c>
      <c r="E71" t="s">
        <v>285</v>
      </c>
      <c r="I71" t="str">
        <f t="shared" si="8"/>
        <v>덴버덴버</v>
      </c>
      <c r="J71" t="str">
        <f t="shared" si="9"/>
        <v>덴버</v>
      </c>
      <c r="K71" t="str">
        <f t="shared" si="10"/>
        <v>뉴욕</v>
      </c>
      <c r="M71" s="1">
        <f t="shared" si="11"/>
        <v>0.41666666666666669</v>
      </c>
      <c r="N71" t="str">
        <f t="shared" si="12"/>
        <v>DEN</v>
      </c>
      <c r="O71" t="str">
        <f t="shared" si="13"/>
        <v>NYK</v>
      </c>
    </row>
    <row r="72" spans="1:15" x14ac:dyDescent="0.3">
      <c r="B72" s="1">
        <v>0.4375</v>
      </c>
      <c r="C72" t="s">
        <v>344</v>
      </c>
      <c r="D72" t="s">
        <v>178</v>
      </c>
      <c r="E72" t="s">
        <v>226</v>
      </c>
      <c r="I72" t="str">
        <f t="shared" si="8"/>
        <v>골든스테이트골든스테이트</v>
      </c>
      <c r="J72" t="str">
        <f t="shared" si="9"/>
        <v>골든스테이트</v>
      </c>
      <c r="K72" t="str">
        <f t="shared" si="10"/>
        <v>새크라멘토</v>
      </c>
      <c r="M72" s="1">
        <f t="shared" si="11"/>
        <v>0.4375</v>
      </c>
      <c r="N72" t="str">
        <f t="shared" si="12"/>
        <v>GS</v>
      </c>
      <c r="O72" t="str">
        <f t="shared" si="13"/>
        <v>SAC</v>
      </c>
    </row>
    <row r="73" spans="1:15" ht="17.100000000000001" x14ac:dyDescent="0.45">
      <c r="I73" t="e">
        <f t="shared" si="8"/>
        <v>#VALUE!</v>
      </c>
      <c r="J73" t="e">
        <f t="shared" si="9"/>
        <v>#VALUE!</v>
      </c>
      <c r="K73" t="e">
        <f t="shared" si="10"/>
        <v>#VALUE!</v>
      </c>
      <c r="M73" s="1">
        <f t="shared" si="11"/>
        <v>0</v>
      </c>
      <c r="N73" t="e">
        <f t="shared" si="12"/>
        <v>#VALUE!</v>
      </c>
      <c r="O73" t="e">
        <f t="shared" si="13"/>
        <v>#VALUE!</v>
      </c>
    </row>
    <row r="74" spans="1:15" x14ac:dyDescent="0.3">
      <c r="A74" t="s">
        <v>345</v>
      </c>
      <c r="B74" s="1">
        <v>0.375</v>
      </c>
      <c r="C74" t="s">
        <v>346</v>
      </c>
      <c r="D74" t="s">
        <v>178</v>
      </c>
      <c r="E74" t="s">
        <v>347</v>
      </c>
      <c r="I74" t="str">
        <f t="shared" si="8"/>
        <v>디트로이트디트로이트</v>
      </c>
      <c r="J74" t="str">
        <f t="shared" si="9"/>
        <v>디트로이트</v>
      </c>
      <c r="K74" t="str">
        <f t="shared" si="10"/>
        <v>워싱턴</v>
      </c>
      <c r="M74" s="1">
        <f t="shared" si="11"/>
        <v>0.375</v>
      </c>
      <c r="N74" t="str">
        <f t="shared" si="12"/>
        <v>DET</v>
      </c>
      <c r="O74" t="str">
        <f t="shared" si="13"/>
        <v>WAS</v>
      </c>
    </row>
    <row r="75" spans="1:15" x14ac:dyDescent="0.3">
      <c r="B75" s="1">
        <v>0.39583333333333331</v>
      </c>
      <c r="C75" t="s">
        <v>348</v>
      </c>
      <c r="D75" t="s">
        <v>178</v>
      </c>
      <c r="E75" t="s">
        <v>239</v>
      </c>
      <c r="I75" t="str">
        <f t="shared" si="8"/>
        <v>토론토토론토</v>
      </c>
      <c r="J75" t="str">
        <f t="shared" si="9"/>
        <v>토론토</v>
      </c>
      <c r="K75" t="str">
        <f t="shared" si="10"/>
        <v>클리블랜드</v>
      </c>
      <c r="M75" s="1">
        <f t="shared" si="11"/>
        <v>0.39583333333333331</v>
      </c>
      <c r="N75" t="str">
        <f t="shared" si="12"/>
        <v>TOR</v>
      </c>
      <c r="O75" t="str">
        <f t="shared" si="13"/>
        <v>CLE</v>
      </c>
    </row>
    <row r="76" spans="1:15" x14ac:dyDescent="0.3">
      <c r="B76" s="1">
        <v>0.41666666666666669</v>
      </c>
      <c r="C76" t="s">
        <v>349</v>
      </c>
      <c r="D76" t="s">
        <v>178</v>
      </c>
      <c r="E76" t="s">
        <v>185</v>
      </c>
      <c r="I76" t="str">
        <f t="shared" si="8"/>
        <v>휴스턴휴스턴</v>
      </c>
      <c r="J76" t="str">
        <f t="shared" si="9"/>
        <v>휴스턴</v>
      </c>
      <c r="K76" t="str">
        <f t="shared" si="10"/>
        <v>샌안토니오</v>
      </c>
      <c r="M76" s="1">
        <f t="shared" si="11"/>
        <v>0.41666666666666669</v>
      </c>
      <c r="N76" t="str">
        <f t="shared" si="12"/>
        <v>HOU</v>
      </c>
      <c r="O76" t="str">
        <f t="shared" si="13"/>
        <v>SAS</v>
      </c>
    </row>
    <row r="77" spans="1:15" x14ac:dyDescent="0.3">
      <c r="B77" s="1">
        <v>0.41666666666666669</v>
      </c>
      <c r="C77" t="s">
        <v>350</v>
      </c>
      <c r="D77" t="s">
        <v>178</v>
      </c>
      <c r="E77" t="s">
        <v>221</v>
      </c>
      <c r="I77" t="str">
        <f t="shared" si="8"/>
        <v>밀워키밀워키</v>
      </c>
      <c r="J77" t="str">
        <f t="shared" si="9"/>
        <v>밀워키</v>
      </c>
      <c r="K77" t="str">
        <f t="shared" si="10"/>
        <v>댈러스</v>
      </c>
      <c r="M77" s="1">
        <f t="shared" si="11"/>
        <v>0.41666666666666669</v>
      </c>
      <c r="N77" t="str">
        <f t="shared" si="12"/>
        <v>MIL</v>
      </c>
      <c r="O77" t="str">
        <f t="shared" si="13"/>
        <v>DAL</v>
      </c>
    </row>
    <row r="78" spans="1:15" x14ac:dyDescent="0.3">
      <c r="B78" s="1">
        <v>0.41666666666666669</v>
      </c>
      <c r="C78" t="s">
        <v>351</v>
      </c>
      <c r="D78" t="s">
        <v>178</v>
      </c>
      <c r="E78" t="s">
        <v>352</v>
      </c>
      <c r="I78" t="str">
        <f t="shared" si="8"/>
        <v>오클라호마오클라호마</v>
      </c>
      <c r="J78" t="str">
        <f t="shared" si="9"/>
        <v>오클라호마</v>
      </c>
      <c r="K78" t="str">
        <f t="shared" si="10"/>
        <v>시카고</v>
      </c>
      <c r="M78" s="1">
        <f t="shared" si="11"/>
        <v>0.41666666666666669</v>
      </c>
      <c r="N78" t="str">
        <f t="shared" si="12"/>
        <v>OKC</v>
      </c>
      <c r="O78" t="str">
        <f t="shared" si="13"/>
        <v>CHI</v>
      </c>
    </row>
    <row r="79" spans="1:15" x14ac:dyDescent="0.3">
      <c r="B79" s="1">
        <v>0.41666666666666669</v>
      </c>
      <c r="C79" t="s">
        <v>353</v>
      </c>
      <c r="D79" t="s">
        <v>178</v>
      </c>
      <c r="E79" t="s">
        <v>325</v>
      </c>
      <c r="I79" t="str">
        <f t="shared" si="8"/>
        <v>멤피스멤피스</v>
      </c>
      <c r="J79" t="str">
        <f t="shared" si="9"/>
        <v>멤피스</v>
      </c>
      <c r="K79" t="str">
        <f t="shared" si="10"/>
        <v>마이애미</v>
      </c>
      <c r="M79" s="1">
        <f t="shared" si="11"/>
        <v>0.41666666666666669</v>
      </c>
      <c r="N79" t="str">
        <f t="shared" si="12"/>
        <v>MEM</v>
      </c>
      <c r="O79" t="str">
        <f t="shared" si="13"/>
        <v>MIA</v>
      </c>
    </row>
    <row r="80" spans="1:15" x14ac:dyDescent="0.3">
      <c r="B80" s="1">
        <v>0.45833333333333331</v>
      </c>
      <c r="C80" t="s">
        <v>354</v>
      </c>
      <c r="D80" t="s">
        <v>178</v>
      </c>
      <c r="E80" t="s">
        <v>223</v>
      </c>
      <c r="I80" t="str">
        <f t="shared" si="8"/>
        <v>피닉스피닉스</v>
      </c>
      <c r="J80" t="str">
        <f t="shared" si="9"/>
        <v>피닉스</v>
      </c>
      <c r="K80" t="str">
        <f t="shared" si="10"/>
        <v>포틀랜드</v>
      </c>
      <c r="M80" s="1">
        <f t="shared" si="11"/>
        <v>0.45833333333333331</v>
      </c>
      <c r="N80" t="str">
        <f t="shared" si="12"/>
        <v>PHO</v>
      </c>
      <c r="O80" t="str">
        <f t="shared" si="13"/>
        <v>POR</v>
      </c>
    </row>
    <row r="81" spans="1:15" ht="17.100000000000001" x14ac:dyDescent="0.45">
      <c r="I81" t="e">
        <f t="shared" si="8"/>
        <v>#VALUE!</v>
      </c>
      <c r="J81" t="e">
        <f t="shared" si="9"/>
        <v>#VALUE!</v>
      </c>
      <c r="K81" t="e">
        <f t="shared" si="10"/>
        <v>#VALUE!</v>
      </c>
      <c r="M81" s="1">
        <f t="shared" si="11"/>
        <v>0</v>
      </c>
      <c r="N81" t="e">
        <f t="shared" si="12"/>
        <v>#VALUE!</v>
      </c>
      <c r="O81" t="e">
        <f t="shared" si="13"/>
        <v>#VALUE!</v>
      </c>
    </row>
    <row r="82" spans="1:15" x14ac:dyDescent="0.3">
      <c r="A82" t="s">
        <v>355</v>
      </c>
      <c r="B82" s="1">
        <v>0.375</v>
      </c>
      <c r="C82" t="s">
        <v>356</v>
      </c>
      <c r="D82" t="s">
        <v>178</v>
      </c>
      <c r="E82" t="s">
        <v>212</v>
      </c>
      <c r="I82" t="str">
        <f t="shared" si="8"/>
        <v>인디애나인디애나</v>
      </c>
      <c r="J82" t="str">
        <f t="shared" si="9"/>
        <v>인디애나</v>
      </c>
      <c r="K82" t="str">
        <f t="shared" si="10"/>
        <v>LA레이커스</v>
      </c>
      <c r="M82" s="1">
        <f t="shared" si="11"/>
        <v>0.375</v>
      </c>
      <c r="N82" t="str">
        <f t="shared" si="12"/>
        <v>IND</v>
      </c>
      <c r="O82" t="str">
        <f t="shared" si="13"/>
        <v>LAL</v>
      </c>
    </row>
    <row r="83" spans="1:15" x14ac:dyDescent="0.3">
      <c r="B83" s="1">
        <v>0.375</v>
      </c>
      <c r="C83" t="s">
        <v>357</v>
      </c>
      <c r="D83" t="s">
        <v>178</v>
      </c>
      <c r="E83" t="s">
        <v>199</v>
      </c>
      <c r="I83" t="str">
        <f t="shared" si="8"/>
        <v>샬럿샬럿</v>
      </c>
      <c r="J83" t="str">
        <f t="shared" si="9"/>
        <v>샬럿</v>
      </c>
      <c r="K83" t="str">
        <f t="shared" si="10"/>
        <v>새크라멘토</v>
      </c>
      <c r="M83" s="1">
        <f t="shared" si="11"/>
        <v>0.375</v>
      </c>
      <c r="N83" t="str">
        <f t="shared" si="12"/>
        <v>CHA</v>
      </c>
      <c r="O83" t="str">
        <f t="shared" si="13"/>
        <v>SAC</v>
      </c>
    </row>
    <row r="84" spans="1:15" x14ac:dyDescent="0.3">
      <c r="B84" s="1">
        <v>0.39583333333333331</v>
      </c>
      <c r="C84" t="s">
        <v>358</v>
      </c>
      <c r="D84" t="s">
        <v>178</v>
      </c>
      <c r="E84" t="s">
        <v>181</v>
      </c>
      <c r="I84" t="str">
        <f t="shared" si="8"/>
        <v>뉴욕뉴욕</v>
      </c>
      <c r="J84" t="str">
        <f t="shared" si="9"/>
        <v>뉴욕</v>
      </c>
      <c r="K84" t="str">
        <f t="shared" si="10"/>
        <v>애틀랜타</v>
      </c>
      <c r="M84" s="1">
        <f t="shared" si="11"/>
        <v>0.39583333333333331</v>
      </c>
      <c r="N84" t="str">
        <f t="shared" si="12"/>
        <v>NYK</v>
      </c>
      <c r="O84" t="str">
        <f t="shared" si="13"/>
        <v>ATL</v>
      </c>
    </row>
    <row r="85" spans="1:15" x14ac:dyDescent="0.3">
      <c r="B85" s="1">
        <v>0.41666666666666669</v>
      </c>
      <c r="C85" t="s">
        <v>359</v>
      </c>
      <c r="D85" t="s">
        <v>178</v>
      </c>
      <c r="E85" t="s">
        <v>216</v>
      </c>
      <c r="I85" t="str">
        <f t="shared" si="8"/>
        <v>뉴올리언즈뉴올리언즈</v>
      </c>
      <c r="J85" t="str">
        <f t="shared" si="9"/>
        <v>뉴올리언즈</v>
      </c>
      <c r="K85" t="str">
        <f t="shared" si="10"/>
        <v>브루클린</v>
      </c>
      <c r="M85" s="1">
        <f t="shared" si="11"/>
        <v>0.41666666666666669</v>
      </c>
      <c r="N85" t="str">
        <f t="shared" si="12"/>
        <v>NO</v>
      </c>
      <c r="O85" t="str">
        <f t="shared" si="13"/>
        <v>BKN</v>
      </c>
    </row>
    <row r="86" spans="1:15" x14ac:dyDescent="0.3">
      <c r="B86" s="1">
        <v>0.45833333333333331</v>
      </c>
      <c r="C86" t="s">
        <v>360</v>
      </c>
      <c r="D86" t="s">
        <v>178</v>
      </c>
      <c r="E86" t="s">
        <v>187</v>
      </c>
      <c r="I86" t="str">
        <f t="shared" si="8"/>
        <v>유타유타</v>
      </c>
      <c r="J86" t="str">
        <f t="shared" si="9"/>
        <v>유타</v>
      </c>
      <c r="K86" t="str">
        <f t="shared" si="10"/>
        <v>올랜도</v>
      </c>
      <c r="M86" s="1">
        <f t="shared" si="11"/>
        <v>0.45833333333333331</v>
      </c>
      <c r="N86" t="str">
        <f t="shared" si="12"/>
        <v>UTA</v>
      </c>
      <c r="O86" t="str">
        <f t="shared" si="13"/>
        <v>ORL</v>
      </c>
    </row>
    <row r="87" spans="1:15" x14ac:dyDescent="0.3">
      <c r="B87" s="1">
        <v>0.52083333333333337</v>
      </c>
      <c r="C87" t="s">
        <v>361</v>
      </c>
      <c r="D87" t="s">
        <v>178</v>
      </c>
      <c r="E87" t="s">
        <v>209</v>
      </c>
      <c r="I87" t="str">
        <f t="shared" si="8"/>
        <v>LA클리퍼스LA클리퍼스</v>
      </c>
      <c r="J87" t="str">
        <f t="shared" si="9"/>
        <v>LA클리퍼스</v>
      </c>
      <c r="K87" t="str">
        <f t="shared" si="10"/>
        <v>피닉스</v>
      </c>
      <c r="M87" s="1">
        <f t="shared" si="11"/>
        <v>0.52083333333333337</v>
      </c>
      <c r="N87" t="str">
        <f t="shared" si="12"/>
        <v>LAC</v>
      </c>
      <c r="O87" t="str">
        <f t="shared" si="13"/>
        <v>PHO</v>
      </c>
    </row>
    <row r="88" spans="1:15" ht="17.100000000000001" x14ac:dyDescent="0.45">
      <c r="I88" t="e">
        <f t="shared" si="8"/>
        <v>#VALUE!</v>
      </c>
      <c r="J88" t="e">
        <f t="shared" si="9"/>
        <v>#VALUE!</v>
      </c>
      <c r="K88" t="e">
        <f t="shared" si="10"/>
        <v>#VALUE!</v>
      </c>
      <c r="M88" s="1">
        <f t="shared" si="11"/>
        <v>0</v>
      </c>
      <c r="N88" t="e">
        <f t="shared" si="12"/>
        <v>#VALUE!</v>
      </c>
      <c r="O88" t="e">
        <f t="shared" si="13"/>
        <v>#VALUE!</v>
      </c>
    </row>
    <row r="89" spans="1:15" x14ac:dyDescent="0.3">
      <c r="A89" t="s">
        <v>362</v>
      </c>
      <c r="B89" s="1">
        <v>0.375</v>
      </c>
      <c r="C89" t="s">
        <v>363</v>
      </c>
      <c r="D89" t="s">
        <v>364</v>
      </c>
      <c r="E89" t="s">
        <v>234</v>
      </c>
      <c r="I89" t="str">
        <f t="shared" ref="I89:I97" si="14">RIGHT(C89,LEN(C89)-FIND(" ",C89,LEN(C89)-12))</f>
        <v>클리블랜드클리블랜드</v>
      </c>
      <c r="J89" t="str">
        <f t="shared" ref="J89:J97" si="15">RIGHT(C89,LEN(I89)/2)</f>
        <v>클리블랜드</v>
      </c>
      <c r="K89" t="str">
        <f t="shared" ref="K89:K97" si="16">LEFT(C89,FIND(" ",C89)-1)</f>
        <v>샬럿</v>
      </c>
      <c r="M89" s="1">
        <f t="shared" ref="M89:M97" si="17">B89</f>
        <v>0.375</v>
      </c>
      <c r="N89" t="str">
        <f t="shared" ref="N89:N97" si="18">VLOOKUP(J89,$R$1:$S$30,2,FALSE)</f>
        <v>CLE</v>
      </c>
      <c r="O89" t="str">
        <f t="shared" ref="O89:O97" si="19">VLOOKUP(K89,$R$1:$S$30,2,FALSE)</f>
        <v>CHA</v>
      </c>
    </row>
    <row r="90" spans="1:15" x14ac:dyDescent="0.3">
      <c r="B90" s="1">
        <v>0.375</v>
      </c>
      <c r="C90" t="s">
        <v>365</v>
      </c>
      <c r="D90" t="s">
        <v>364</v>
      </c>
      <c r="E90" t="s">
        <v>347</v>
      </c>
      <c r="I90" t="str">
        <f t="shared" si="14"/>
        <v>디트로이트디트로이트</v>
      </c>
      <c r="J90" t="str">
        <f t="shared" si="15"/>
        <v>디트로이트</v>
      </c>
      <c r="K90" t="str">
        <f t="shared" si="16"/>
        <v>토론토</v>
      </c>
      <c r="M90" s="1">
        <f t="shared" si="17"/>
        <v>0.375</v>
      </c>
      <c r="N90" t="str">
        <f t="shared" si="18"/>
        <v>DET</v>
      </c>
      <c r="O90" t="str">
        <f t="shared" si="19"/>
        <v>TOR</v>
      </c>
    </row>
    <row r="91" spans="1:15" x14ac:dyDescent="0.3">
      <c r="B91" s="1">
        <v>0.375</v>
      </c>
      <c r="C91" t="s">
        <v>366</v>
      </c>
      <c r="D91" t="s">
        <v>364</v>
      </c>
      <c r="E91" t="s">
        <v>183</v>
      </c>
      <c r="I91" t="str">
        <f t="shared" si="14"/>
        <v>필라델피아필라델피아</v>
      </c>
      <c r="J91" t="str">
        <f t="shared" si="15"/>
        <v>필라델피아</v>
      </c>
      <c r="K91" t="str">
        <f t="shared" si="16"/>
        <v>마이애미</v>
      </c>
      <c r="M91" s="1">
        <f t="shared" si="17"/>
        <v>0.375</v>
      </c>
      <c r="N91" t="str">
        <f t="shared" si="18"/>
        <v>PHI</v>
      </c>
      <c r="O91" t="str">
        <f t="shared" si="19"/>
        <v>MIA</v>
      </c>
    </row>
    <row r="92" spans="1:15" x14ac:dyDescent="0.3">
      <c r="B92" s="1">
        <v>0.375</v>
      </c>
      <c r="C92" t="s">
        <v>367</v>
      </c>
      <c r="D92" t="s">
        <v>364</v>
      </c>
      <c r="E92" t="s">
        <v>204</v>
      </c>
      <c r="I92" t="str">
        <f t="shared" si="14"/>
        <v>워싱턴워싱턴</v>
      </c>
      <c r="J92" t="str">
        <f t="shared" si="15"/>
        <v>워싱턴</v>
      </c>
      <c r="K92" t="str">
        <f t="shared" si="16"/>
        <v>시카고</v>
      </c>
      <c r="M92" s="1">
        <f t="shared" si="17"/>
        <v>0.375</v>
      </c>
      <c r="N92" t="str">
        <f t="shared" si="18"/>
        <v>WAS</v>
      </c>
      <c r="O92" t="str">
        <f t="shared" si="19"/>
        <v>CHI</v>
      </c>
    </row>
    <row r="93" spans="1:15" x14ac:dyDescent="0.3">
      <c r="B93" s="1">
        <v>0.41666666666666669</v>
      </c>
      <c r="C93" t="s">
        <v>368</v>
      </c>
      <c r="D93" t="s">
        <v>364</v>
      </c>
      <c r="E93" t="s">
        <v>243</v>
      </c>
      <c r="I93" t="str">
        <f t="shared" si="14"/>
        <v>미네소타미네소타</v>
      </c>
      <c r="J93" t="str">
        <f t="shared" si="15"/>
        <v>미네소타</v>
      </c>
      <c r="K93" t="str">
        <f t="shared" si="16"/>
        <v>뉴올리언즈</v>
      </c>
      <c r="M93" s="1">
        <f t="shared" si="17"/>
        <v>0.41666666666666669</v>
      </c>
      <c r="N93" t="str">
        <f t="shared" si="18"/>
        <v>MIN</v>
      </c>
      <c r="O93" t="str">
        <f t="shared" si="19"/>
        <v>NO</v>
      </c>
    </row>
    <row r="94" spans="1:15" x14ac:dyDescent="0.3">
      <c r="B94" s="1">
        <v>0.41666666666666669</v>
      </c>
      <c r="C94" t="s">
        <v>369</v>
      </c>
      <c r="D94" t="s">
        <v>364</v>
      </c>
      <c r="E94" t="s">
        <v>352</v>
      </c>
      <c r="I94" t="str">
        <f t="shared" si="14"/>
        <v>오클라호마오클라호마</v>
      </c>
      <c r="J94" t="str">
        <f t="shared" si="15"/>
        <v>오클라호마</v>
      </c>
      <c r="K94" t="str">
        <f t="shared" si="16"/>
        <v>멤피스</v>
      </c>
      <c r="M94" s="1">
        <f t="shared" si="17"/>
        <v>0.41666666666666669</v>
      </c>
      <c r="N94" t="str">
        <f t="shared" si="18"/>
        <v>OKC</v>
      </c>
      <c r="O94" t="str">
        <f t="shared" si="19"/>
        <v>MEM</v>
      </c>
    </row>
    <row r="95" spans="1:15" x14ac:dyDescent="0.3">
      <c r="B95" s="1">
        <v>0.45833333333333331</v>
      </c>
      <c r="C95" t="s">
        <v>370</v>
      </c>
      <c r="D95" t="s">
        <v>364</v>
      </c>
      <c r="E95" t="s">
        <v>285</v>
      </c>
      <c r="I95" t="str">
        <f t="shared" si="14"/>
        <v>올랜도VS 덴버덴버</v>
      </c>
      <c r="J95" t="str">
        <f t="shared" si="15"/>
        <v xml:space="preserve"> 덴버덴버</v>
      </c>
      <c r="K95" t="str">
        <f t="shared" si="16"/>
        <v>올랜도</v>
      </c>
      <c r="M95" s="1">
        <f t="shared" si="17"/>
        <v>0.45833333333333331</v>
      </c>
      <c r="N95" t="e">
        <f t="shared" si="18"/>
        <v>#N/A</v>
      </c>
      <c r="O95" t="str">
        <f t="shared" si="19"/>
        <v>ORL</v>
      </c>
    </row>
    <row r="96" spans="1:15" x14ac:dyDescent="0.3">
      <c r="B96" s="1">
        <v>0.47916666666666669</v>
      </c>
      <c r="C96" t="s">
        <v>371</v>
      </c>
      <c r="D96" t="s">
        <v>364</v>
      </c>
      <c r="E96" t="s">
        <v>179</v>
      </c>
      <c r="I96" t="str">
        <f t="shared" si="14"/>
        <v>보스턴VS 댈러스댈러스</v>
      </c>
      <c r="J96" t="str">
        <f t="shared" si="15"/>
        <v>댈러스댈러스</v>
      </c>
      <c r="K96" t="str">
        <f t="shared" si="16"/>
        <v>보스턴</v>
      </c>
      <c r="M96" s="1">
        <f t="shared" si="17"/>
        <v>0.47916666666666669</v>
      </c>
      <c r="N96" t="e">
        <f t="shared" si="18"/>
        <v>#N/A</v>
      </c>
      <c r="O96" t="str">
        <f t="shared" si="19"/>
        <v>BOS</v>
      </c>
    </row>
    <row r="97" spans="1:15" x14ac:dyDescent="0.3">
      <c r="B97" s="1">
        <v>0.5</v>
      </c>
      <c r="C97" t="s">
        <v>372</v>
      </c>
      <c r="D97" t="s">
        <v>364</v>
      </c>
      <c r="E97" t="s">
        <v>207</v>
      </c>
      <c r="I97" t="str">
        <f t="shared" si="14"/>
        <v>포틀랜드포틀랜드</v>
      </c>
      <c r="J97" t="str">
        <f t="shared" si="15"/>
        <v>포틀랜드</v>
      </c>
      <c r="K97" t="str">
        <f t="shared" si="16"/>
        <v>골든스테이트</v>
      </c>
      <c r="M97" s="1">
        <f t="shared" si="17"/>
        <v>0.5</v>
      </c>
      <c r="N97" t="str">
        <f t="shared" si="18"/>
        <v>POR</v>
      </c>
      <c r="O97" t="str">
        <f t="shared" si="19"/>
        <v>GS</v>
      </c>
    </row>
    <row r="98" spans="1:15" x14ac:dyDescent="0.3">
      <c r="I98" t="e">
        <f t="shared" ref="I98:I161" si="20">RIGHT(C98,LEN(C98)-FIND(" ",C98,LEN(C98)-12))</f>
        <v>#VALUE!</v>
      </c>
      <c r="J98" t="e">
        <f t="shared" ref="J98:J161" si="21">RIGHT(C98,LEN(I98)/2)</f>
        <v>#VALUE!</v>
      </c>
      <c r="K98" t="e">
        <f t="shared" ref="K98:K161" si="22">LEFT(C98,FIND(" ",C98)-1)</f>
        <v>#VALUE!</v>
      </c>
      <c r="M98" s="1">
        <f t="shared" ref="M98:M161" si="23">B98</f>
        <v>0</v>
      </c>
      <c r="N98" t="e">
        <f t="shared" ref="N98:N161" si="24">VLOOKUP(J98,$R$1:$S$30,2,FALSE)</f>
        <v>#VALUE!</v>
      </c>
      <c r="O98" t="e">
        <f t="shared" ref="O98:O161" si="25">VLOOKUP(K98,$R$1:$S$30,2,FALSE)</f>
        <v>#VALUE!</v>
      </c>
    </row>
    <row r="99" spans="1:15" x14ac:dyDescent="0.3">
      <c r="A99" t="s">
        <v>378</v>
      </c>
      <c r="B99" s="1">
        <v>0.39583333333333331</v>
      </c>
      <c r="C99" t="s">
        <v>379</v>
      </c>
      <c r="D99" t="s">
        <v>178</v>
      </c>
      <c r="E99" t="s">
        <v>322</v>
      </c>
      <c r="I99" t="str">
        <f t="shared" si="20"/>
        <v>애틀랜타애틀랜타</v>
      </c>
      <c r="J99" t="str">
        <f t="shared" si="21"/>
        <v>애틀랜타</v>
      </c>
      <c r="K99" t="str">
        <f t="shared" si="22"/>
        <v>유타</v>
      </c>
      <c r="M99" s="1">
        <f t="shared" si="23"/>
        <v>0.39583333333333331</v>
      </c>
      <c r="N99" t="str">
        <f t="shared" si="24"/>
        <v>ATL</v>
      </c>
      <c r="O99" t="str">
        <f t="shared" si="25"/>
        <v>UTA</v>
      </c>
    </row>
    <row r="100" spans="1:15" x14ac:dyDescent="0.3">
      <c r="B100" s="1">
        <v>0.41666666666666669</v>
      </c>
      <c r="C100" t="s">
        <v>380</v>
      </c>
      <c r="D100" t="s">
        <v>178</v>
      </c>
      <c r="E100" t="s">
        <v>221</v>
      </c>
      <c r="I100" t="str">
        <f t="shared" si="20"/>
        <v>밀워키밀워키</v>
      </c>
      <c r="J100" t="str">
        <f t="shared" si="21"/>
        <v>밀워키</v>
      </c>
      <c r="K100" t="str">
        <f t="shared" si="22"/>
        <v>LA레이커스</v>
      </c>
      <c r="M100" s="1">
        <f t="shared" si="23"/>
        <v>0.41666666666666669</v>
      </c>
      <c r="N100" t="str">
        <f t="shared" si="24"/>
        <v>MIL</v>
      </c>
      <c r="O100" t="str">
        <f t="shared" si="25"/>
        <v>LAL</v>
      </c>
    </row>
    <row r="101" spans="1:15" x14ac:dyDescent="0.3">
      <c r="B101" s="1">
        <v>0.4375</v>
      </c>
      <c r="C101" t="s">
        <v>381</v>
      </c>
      <c r="D101" t="s">
        <v>178</v>
      </c>
      <c r="E101" t="s">
        <v>281</v>
      </c>
      <c r="I101" t="str">
        <f t="shared" si="20"/>
        <v>샌안토니오샌안토니오</v>
      </c>
      <c r="J101" t="str">
        <f t="shared" si="21"/>
        <v>샌안토니오</v>
      </c>
      <c r="K101" t="str">
        <f t="shared" si="22"/>
        <v>브루클린</v>
      </c>
      <c r="M101" s="1">
        <f t="shared" si="23"/>
        <v>0.4375</v>
      </c>
      <c r="N101" t="str">
        <f t="shared" si="24"/>
        <v>SAS</v>
      </c>
      <c r="O101" t="str">
        <f t="shared" si="25"/>
        <v>BKN</v>
      </c>
    </row>
    <row r="102" spans="1:15" x14ac:dyDescent="0.3">
      <c r="B102" s="1">
        <v>0.52083333333333337</v>
      </c>
      <c r="C102" t="s">
        <v>382</v>
      </c>
      <c r="D102" t="s">
        <v>178</v>
      </c>
      <c r="E102" t="s">
        <v>209</v>
      </c>
      <c r="I102" t="str">
        <f t="shared" si="20"/>
        <v>LA클리퍼스LA클리퍼스</v>
      </c>
      <c r="J102" t="str">
        <f t="shared" si="21"/>
        <v>LA클리퍼스</v>
      </c>
      <c r="K102" t="str">
        <f t="shared" si="22"/>
        <v>휴스턴</v>
      </c>
      <c r="M102" s="1">
        <f t="shared" si="23"/>
        <v>0.52083333333333337</v>
      </c>
      <c r="N102" t="str">
        <f t="shared" si="24"/>
        <v>LAC</v>
      </c>
      <c r="O102" t="str">
        <f t="shared" si="25"/>
        <v>HOU</v>
      </c>
    </row>
    <row r="103" spans="1:15" x14ac:dyDescent="0.3">
      <c r="I103" t="e">
        <f t="shared" si="20"/>
        <v>#VALUE!</v>
      </c>
      <c r="J103" t="e">
        <f t="shared" si="21"/>
        <v>#VALUE!</v>
      </c>
      <c r="K103" t="e">
        <f t="shared" si="22"/>
        <v>#VALUE!</v>
      </c>
      <c r="M103" s="1">
        <f t="shared" si="23"/>
        <v>0</v>
      </c>
      <c r="N103" t="e">
        <f t="shared" si="24"/>
        <v>#VALUE!</v>
      </c>
      <c r="O103" t="e">
        <f t="shared" si="25"/>
        <v>#VALUE!</v>
      </c>
    </row>
    <row r="104" spans="1:15" x14ac:dyDescent="0.3">
      <c r="A104" t="s">
        <v>383</v>
      </c>
      <c r="B104" s="1">
        <v>0.375</v>
      </c>
      <c r="C104" t="s">
        <v>384</v>
      </c>
      <c r="D104" t="s">
        <v>178</v>
      </c>
      <c r="E104" t="s">
        <v>234</v>
      </c>
      <c r="I104" t="str">
        <f t="shared" si="20"/>
        <v>클리블랜드클리블랜드</v>
      </c>
      <c r="J104" t="str">
        <f t="shared" si="21"/>
        <v>클리블랜드</v>
      </c>
      <c r="K104" t="str">
        <f t="shared" si="22"/>
        <v>멤피스</v>
      </c>
      <c r="M104" s="1">
        <f t="shared" si="23"/>
        <v>0.375</v>
      </c>
      <c r="N104" t="str">
        <f t="shared" si="24"/>
        <v>CLE</v>
      </c>
      <c r="O104" t="str">
        <f t="shared" si="25"/>
        <v>MEM</v>
      </c>
    </row>
    <row r="105" spans="1:15" x14ac:dyDescent="0.3">
      <c r="B105" s="1">
        <v>0.375</v>
      </c>
      <c r="C105" t="s">
        <v>385</v>
      </c>
      <c r="D105" t="s">
        <v>178</v>
      </c>
      <c r="E105" t="s">
        <v>212</v>
      </c>
      <c r="I105" t="str">
        <f t="shared" si="20"/>
        <v>인디애나인디애나</v>
      </c>
      <c r="J105" t="str">
        <f t="shared" si="21"/>
        <v>인디애나</v>
      </c>
      <c r="K105" t="str">
        <f t="shared" si="22"/>
        <v>새크라멘토</v>
      </c>
      <c r="M105" s="1">
        <f t="shared" si="23"/>
        <v>0.375</v>
      </c>
      <c r="N105" t="str">
        <f t="shared" si="24"/>
        <v>IND</v>
      </c>
      <c r="O105" t="str">
        <f t="shared" si="25"/>
        <v>SAC</v>
      </c>
    </row>
    <row r="106" spans="1:15" x14ac:dyDescent="0.3">
      <c r="B106" s="1">
        <v>0.39583333333333331</v>
      </c>
      <c r="C106" t="s">
        <v>386</v>
      </c>
      <c r="D106" t="s">
        <v>178</v>
      </c>
      <c r="E106" t="s">
        <v>214</v>
      </c>
      <c r="I106" t="str">
        <f t="shared" si="20"/>
        <v>보스턴보스턴</v>
      </c>
      <c r="J106" t="str">
        <f t="shared" si="21"/>
        <v>보스턴</v>
      </c>
      <c r="K106" t="str">
        <f t="shared" si="22"/>
        <v>디트로이트</v>
      </c>
      <c r="M106" s="1">
        <f t="shared" si="23"/>
        <v>0.39583333333333331</v>
      </c>
      <c r="N106" t="str">
        <f t="shared" si="24"/>
        <v>BOS</v>
      </c>
      <c r="O106" t="str">
        <f t="shared" si="25"/>
        <v>DET</v>
      </c>
    </row>
    <row r="107" spans="1:15" x14ac:dyDescent="0.3">
      <c r="B107" s="1">
        <v>0.39583333333333331</v>
      </c>
      <c r="C107" t="s">
        <v>387</v>
      </c>
      <c r="D107" t="s">
        <v>178</v>
      </c>
      <c r="E107" t="s">
        <v>239</v>
      </c>
      <c r="I107" t="str">
        <f t="shared" si="20"/>
        <v>토론토토론토</v>
      </c>
      <c r="J107" t="str">
        <f t="shared" si="21"/>
        <v>토론토</v>
      </c>
      <c r="K107" t="str">
        <f t="shared" si="22"/>
        <v>워싱턴</v>
      </c>
      <c r="M107" s="1">
        <f t="shared" si="23"/>
        <v>0.39583333333333331</v>
      </c>
      <c r="N107" t="str">
        <f t="shared" si="24"/>
        <v>TOR</v>
      </c>
      <c r="O107" t="str">
        <f t="shared" si="25"/>
        <v>WAS</v>
      </c>
    </row>
    <row r="108" spans="1:15" x14ac:dyDescent="0.3">
      <c r="B108" s="1">
        <v>0.41666666666666669</v>
      </c>
      <c r="C108" t="s">
        <v>388</v>
      </c>
      <c r="D108" t="s">
        <v>178</v>
      </c>
      <c r="E108" t="s">
        <v>201</v>
      </c>
      <c r="I108" t="str">
        <f t="shared" si="20"/>
        <v>마이애미마이애미</v>
      </c>
      <c r="J108" t="str">
        <f t="shared" si="21"/>
        <v>마이애미</v>
      </c>
      <c r="K108" t="str">
        <f t="shared" si="22"/>
        <v>뉴욕</v>
      </c>
      <c r="M108" s="1">
        <f t="shared" si="23"/>
        <v>0.41666666666666669</v>
      </c>
      <c r="N108" t="str">
        <f t="shared" si="24"/>
        <v>MIA</v>
      </c>
      <c r="O108" t="str">
        <f t="shared" si="25"/>
        <v>NYK</v>
      </c>
    </row>
    <row r="109" spans="1:15" x14ac:dyDescent="0.3">
      <c r="B109" s="1">
        <v>0.41666666666666669</v>
      </c>
      <c r="C109" t="s">
        <v>389</v>
      </c>
      <c r="D109" t="s">
        <v>178</v>
      </c>
      <c r="E109" t="s">
        <v>183</v>
      </c>
      <c r="I109" t="str">
        <f t="shared" si="20"/>
        <v>필라델피아필라델피아</v>
      </c>
      <c r="J109" t="str">
        <f t="shared" si="21"/>
        <v>필라델피아</v>
      </c>
      <c r="K109" t="str">
        <f t="shared" si="22"/>
        <v>댈러스</v>
      </c>
      <c r="M109" s="1">
        <f t="shared" si="23"/>
        <v>0.41666666666666669</v>
      </c>
      <c r="N109" t="str">
        <f t="shared" si="24"/>
        <v>PHI</v>
      </c>
      <c r="O109" t="str">
        <f t="shared" si="25"/>
        <v>DAL</v>
      </c>
    </row>
    <row r="110" spans="1:15" x14ac:dyDescent="0.3">
      <c r="B110" s="1">
        <v>0.41666666666666669</v>
      </c>
      <c r="C110" t="s">
        <v>390</v>
      </c>
      <c r="D110" t="s">
        <v>178</v>
      </c>
      <c r="E110" t="s">
        <v>352</v>
      </c>
      <c r="I110" t="str">
        <f t="shared" si="20"/>
        <v>오클라호마오클라호마</v>
      </c>
      <c r="J110" t="str">
        <f t="shared" si="21"/>
        <v>오클라호마</v>
      </c>
      <c r="K110" t="str">
        <f t="shared" si="22"/>
        <v>피닉스</v>
      </c>
      <c r="M110" s="1">
        <f t="shared" si="23"/>
        <v>0.41666666666666669</v>
      </c>
      <c r="N110" t="str">
        <f t="shared" si="24"/>
        <v>OKC</v>
      </c>
      <c r="O110" t="str">
        <f t="shared" si="25"/>
        <v>PHO</v>
      </c>
    </row>
    <row r="111" spans="1:15" x14ac:dyDescent="0.3">
      <c r="B111" s="1">
        <v>0.45833333333333331</v>
      </c>
      <c r="C111" t="s">
        <v>391</v>
      </c>
      <c r="D111" t="s">
        <v>178</v>
      </c>
      <c r="E111" t="s">
        <v>285</v>
      </c>
      <c r="I111" t="str">
        <f t="shared" si="20"/>
        <v>덴버덴버</v>
      </c>
      <c r="J111" t="str">
        <f t="shared" si="21"/>
        <v>덴버</v>
      </c>
      <c r="K111" t="str">
        <f t="shared" si="22"/>
        <v>미네소타</v>
      </c>
      <c r="M111" s="1">
        <f t="shared" si="23"/>
        <v>0.45833333333333331</v>
      </c>
      <c r="N111" t="str">
        <f t="shared" si="24"/>
        <v>DEN</v>
      </c>
      <c r="O111" t="str">
        <f t="shared" si="25"/>
        <v>MIN</v>
      </c>
    </row>
    <row r="112" spans="1:15" x14ac:dyDescent="0.3">
      <c r="B112" s="1">
        <v>0.5</v>
      </c>
      <c r="C112" t="s">
        <v>392</v>
      </c>
      <c r="D112" t="s">
        <v>178</v>
      </c>
      <c r="E112" t="s">
        <v>207</v>
      </c>
      <c r="I112" t="str">
        <f t="shared" si="20"/>
        <v>포틀랜드포틀랜드</v>
      </c>
      <c r="J112" t="str">
        <f t="shared" si="21"/>
        <v>포틀랜드</v>
      </c>
      <c r="K112" t="str">
        <f t="shared" si="22"/>
        <v>올랜도</v>
      </c>
      <c r="M112" s="1">
        <f t="shared" si="23"/>
        <v>0.5</v>
      </c>
      <c r="N112" t="str">
        <f t="shared" si="24"/>
        <v>POR</v>
      </c>
      <c r="O112" t="str">
        <f t="shared" si="25"/>
        <v>ORL</v>
      </c>
    </row>
    <row r="113" spans="1:15" x14ac:dyDescent="0.3">
      <c r="B113" s="1">
        <v>0.52083333333333337</v>
      </c>
      <c r="C113" t="s">
        <v>393</v>
      </c>
      <c r="D113" t="s">
        <v>178</v>
      </c>
      <c r="E113" t="s">
        <v>226</v>
      </c>
      <c r="I113" t="str">
        <f t="shared" si="20"/>
        <v>골든스테이트골든스테이트</v>
      </c>
      <c r="J113" t="str">
        <f t="shared" si="21"/>
        <v>골든스테이트</v>
      </c>
      <c r="K113" t="str">
        <f t="shared" si="22"/>
        <v>뉴올리언즈</v>
      </c>
      <c r="M113" s="1">
        <f t="shared" si="23"/>
        <v>0.52083333333333337</v>
      </c>
      <c r="N113" t="str">
        <f t="shared" si="24"/>
        <v>GS</v>
      </c>
      <c r="O113" t="str">
        <f t="shared" si="25"/>
        <v>NO</v>
      </c>
    </row>
    <row r="114" spans="1:15" x14ac:dyDescent="0.3">
      <c r="I114" t="e">
        <f t="shared" si="20"/>
        <v>#VALUE!</v>
      </c>
      <c r="J114" t="e">
        <f t="shared" si="21"/>
        <v>#VALUE!</v>
      </c>
      <c r="K114" t="e">
        <f t="shared" si="22"/>
        <v>#VALUE!</v>
      </c>
      <c r="M114" s="1">
        <f t="shared" si="23"/>
        <v>0</v>
      </c>
      <c r="N114" t="e">
        <f t="shared" si="24"/>
        <v>#VALUE!</v>
      </c>
      <c r="O114" t="e">
        <f t="shared" si="25"/>
        <v>#VALUE!</v>
      </c>
    </row>
    <row r="115" spans="1:15" x14ac:dyDescent="0.3">
      <c r="A115" t="s">
        <v>394</v>
      </c>
      <c r="B115" s="1">
        <v>0.29166666666666669</v>
      </c>
      <c r="C115" t="s">
        <v>395</v>
      </c>
      <c r="D115" t="s">
        <v>364</v>
      </c>
      <c r="E115" t="s">
        <v>199</v>
      </c>
      <c r="I115" t="e">
        <f t="shared" si="20"/>
        <v>#VALUE!</v>
      </c>
      <c r="J115" t="e">
        <f t="shared" si="21"/>
        <v>#VALUE!</v>
      </c>
      <c r="K115" t="str">
        <f t="shared" si="22"/>
        <v>유타</v>
      </c>
      <c r="M115" s="1">
        <f t="shared" si="23"/>
        <v>0.29166666666666669</v>
      </c>
      <c r="N115" t="e">
        <f t="shared" si="24"/>
        <v>#VALUE!</v>
      </c>
      <c r="O115" t="str">
        <f t="shared" si="25"/>
        <v>UTA</v>
      </c>
    </row>
    <row r="116" spans="1:15" x14ac:dyDescent="0.3">
      <c r="B116" s="1">
        <v>0.33333333333333331</v>
      </c>
      <c r="C116" t="s">
        <v>396</v>
      </c>
      <c r="D116" t="s">
        <v>364</v>
      </c>
      <c r="E116" t="s">
        <v>197</v>
      </c>
      <c r="I116" t="str">
        <f t="shared" si="20"/>
        <v>브루클린브루클린</v>
      </c>
      <c r="J116" t="str">
        <f t="shared" si="21"/>
        <v>브루클린</v>
      </c>
      <c r="K116" t="str">
        <f t="shared" si="22"/>
        <v>애틀랜타</v>
      </c>
      <c r="M116" s="1">
        <f t="shared" si="23"/>
        <v>0.33333333333333331</v>
      </c>
      <c r="N116" t="str">
        <f t="shared" si="24"/>
        <v>BKN</v>
      </c>
      <c r="O116" t="str">
        <f t="shared" si="25"/>
        <v>ATL</v>
      </c>
    </row>
    <row r="117" spans="1:15" x14ac:dyDescent="0.3">
      <c r="B117" s="1">
        <v>0.375</v>
      </c>
      <c r="C117" t="s">
        <v>397</v>
      </c>
      <c r="D117" t="s">
        <v>364</v>
      </c>
      <c r="E117" t="s">
        <v>347</v>
      </c>
      <c r="I117" t="str">
        <f t="shared" si="20"/>
        <v>디트로이트디트로이트</v>
      </c>
      <c r="J117" t="str">
        <f t="shared" si="21"/>
        <v>디트로이트</v>
      </c>
      <c r="K117" t="str">
        <f t="shared" si="22"/>
        <v>시카고</v>
      </c>
      <c r="M117" s="1">
        <f t="shared" si="23"/>
        <v>0.375</v>
      </c>
      <c r="N117" t="str">
        <f t="shared" si="24"/>
        <v>DET</v>
      </c>
      <c r="O117" t="str">
        <f t="shared" si="25"/>
        <v>CHI</v>
      </c>
    </row>
    <row r="118" spans="1:15" x14ac:dyDescent="0.3">
      <c r="B118" s="1">
        <v>0.375</v>
      </c>
      <c r="C118" t="s">
        <v>398</v>
      </c>
      <c r="D118" t="s">
        <v>364</v>
      </c>
      <c r="E118" t="s">
        <v>183</v>
      </c>
      <c r="I118" t="str">
        <f t="shared" si="20"/>
        <v>필라델피아필라델피아</v>
      </c>
      <c r="J118" t="str">
        <f t="shared" si="21"/>
        <v>필라델피아</v>
      </c>
      <c r="K118" t="str">
        <f t="shared" si="22"/>
        <v>워싱턴</v>
      </c>
      <c r="M118" s="1">
        <f t="shared" si="23"/>
        <v>0.375</v>
      </c>
      <c r="N118" t="str">
        <f t="shared" si="24"/>
        <v>PHI</v>
      </c>
      <c r="O118" t="str">
        <f t="shared" si="25"/>
        <v>WAS</v>
      </c>
    </row>
    <row r="119" spans="1:15" x14ac:dyDescent="0.3">
      <c r="B119" s="1">
        <v>0.39583333333333331</v>
      </c>
      <c r="C119" t="s">
        <v>399</v>
      </c>
      <c r="D119" t="s">
        <v>364</v>
      </c>
      <c r="E119" t="s">
        <v>181</v>
      </c>
      <c r="I119" t="str">
        <f t="shared" si="20"/>
        <v>밀워키VS 뉴욕뉴욕</v>
      </c>
      <c r="J119" t="str">
        <f t="shared" si="21"/>
        <v xml:space="preserve"> 뉴욕뉴욕</v>
      </c>
      <c r="K119" t="str">
        <f t="shared" si="22"/>
        <v>밀워키</v>
      </c>
      <c r="M119" s="1">
        <f t="shared" si="23"/>
        <v>0.39583333333333331</v>
      </c>
      <c r="N119" t="e">
        <f t="shared" si="24"/>
        <v>#N/A</v>
      </c>
      <c r="O119" t="str">
        <f t="shared" si="25"/>
        <v>MIL</v>
      </c>
    </row>
    <row r="120" spans="1:15" x14ac:dyDescent="0.3">
      <c r="B120" s="1">
        <v>0.41666666666666669</v>
      </c>
      <c r="C120" t="s">
        <v>400</v>
      </c>
      <c r="D120" t="s">
        <v>364</v>
      </c>
      <c r="E120" t="s">
        <v>325</v>
      </c>
      <c r="I120" t="str">
        <f t="shared" si="20"/>
        <v>멤피스멤피스</v>
      </c>
      <c r="J120" t="str">
        <f t="shared" si="21"/>
        <v>멤피스</v>
      </c>
      <c r="K120" t="str">
        <f t="shared" si="22"/>
        <v>새크라멘토</v>
      </c>
      <c r="M120" s="1">
        <f t="shared" si="23"/>
        <v>0.41666666666666669</v>
      </c>
      <c r="N120" t="str">
        <f t="shared" si="24"/>
        <v>MEM</v>
      </c>
      <c r="O120" t="str">
        <f t="shared" si="25"/>
        <v>SAC</v>
      </c>
    </row>
    <row r="121" spans="1:15" x14ac:dyDescent="0.3">
      <c r="B121" s="1">
        <v>0.4375</v>
      </c>
      <c r="C121" t="s">
        <v>401</v>
      </c>
      <c r="D121" t="s">
        <v>364</v>
      </c>
      <c r="E121" t="s">
        <v>281</v>
      </c>
      <c r="I121" t="str">
        <f t="shared" si="20"/>
        <v>샌안토니오샌안토니오</v>
      </c>
      <c r="J121" t="str">
        <f t="shared" si="21"/>
        <v>샌안토니오</v>
      </c>
      <c r="K121" t="str">
        <f t="shared" si="22"/>
        <v>LA클리퍼스</v>
      </c>
      <c r="M121" s="1">
        <f t="shared" si="23"/>
        <v>0.4375</v>
      </c>
      <c r="N121" t="str">
        <f t="shared" si="24"/>
        <v>SAS</v>
      </c>
      <c r="O121" t="str">
        <f t="shared" si="25"/>
        <v>LAC</v>
      </c>
    </row>
    <row r="122" spans="1:15" x14ac:dyDescent="0.3">
      <c r="B122" s="1">
        <v>0.45833333333333331</v>
      </c>
      <c r="C122" t="s">
        <v>402</v>
      </c>
      <c r="D122" t="s">
        <v>364</v>
      </c>
      <c r="E122" t="s">
        <v>223</v>
      </c>
      <c r="I122" t="str">
        <f t="shared" si="20"/>
        <v>휴스턴VS 피닉스피닉스</v>
      </c>
      <c r="J122" t="str">
        <f t="shared" si="21"/>
        <v>피닉스피닉스</v>
      </c>
      <c r="K122" t="str">
        <f t="shared" si="22"/>
        <v>휴스턴</v>
      </c>
      <c r="M122" s="1">
        <f t="shared" si="23"/>
        <v>0.45833333333333331</v>
      </c>
      <c r="N122" t="e">
        <f t="shared" si="24"/>
        <v>#N/A</v>
      </c>
      <c r="O122" t="str">
        <f t="shared" si="25"/>
        <v>HOU</v>
      </c>
    </row>
    <row r="123" spans="1:15" x14ac:dyDescent="0.3">
      <c r="B123" s="1">
        <v>0.5</v>
      </c>
      <c r="C123" t="s">
        <v>403</v>
      </c>
      <c r="D123" t="s">
        <v>364</v>
      </c>
      <c r="E123" t="s">
        <v>207</v>
      </c>
      <c r="I123" t="str">
        <f t="shared" si="20"/>
        <v>포틀랜드포틀랜드</v>
      </c>
      <c r="J123" t="str">
        <f t="shared" si="21"/>
        <v>포틀랜드</v>
      </c>
      <c r="K123" t="str">
        <f t="shared" si="22"/>
        <v>미네소타</v>
      </c>
      <c r="M123" s="1">
        <f t="shared" si="23"/>
        <v>0.5</v>
      </c>
      <c r="N123" t="str">
        <f t="shared" si="24"/>
        <v>POR</v>
      </c>
      <c r="O123" t="str">
        <f t="shared" si="25"/>
        <v>MIN</v>
      </c>
    </row>
    <row r="124" spans="1:15" x14ac:dyDescent="0.3">
      <c r="I124" t="e">
        <f t="shared" si="20"/>
        <v>#VALUE!</v>
      </c>
      <c r="J124" t="e">
        <f t="shared" si="21"/>
        <v>#VALUE!</v>
      </c>
      <c r="K124" t="e">
        <f t="shared" si="22"/>
        <v>#VALUE!</v>
      </c>
      <c r="M124" s="1">
        <f t="shared" si="23"/>
        <v>0</v>
      </c>
      <c r="N124" t="e">
        <f t="shared" si="24"/>
        <v>#VALUE!</v>
      </c>
      <c r="O124" t="e">
        <f t="shared" si="25"/>
        <v>#VALUE!</v>
      </c>
    </row>
    <row r="125" spans="1:15" x14ac:dyDescent="0.3">
      <c r="I125" t="e">
        <f t="shared" si="20"/>
        <v>#VALUE!</v>
      </c>
      <c r="J125" t="e">
        <f t="shared" si="21"/>
        <v>#VALUE!</v>
      </c>
      <c r="K125" t="e">
        <f t="shared" si="22"/>
        <v>#VALUE!</v>
      </c>
      <c r="M125" s="1">
        <f t="shared" si="23"/>
        <v>0</v>
      </c>
      <c r="N125" t="e">
        <f t="shared" si="24"/>
        <v>#VALUE!</v>
      </c>
      <c r="O125" t="e">
        <f t="shared" si="25"/>
        <v>#VALUE!</v>
      </c>
    </row>
    <row r="126" spans="1:15" x14ac:dyDescent="0.3">
      <c r="I126" t="e">
        <f t="shared" si="20"/>
        <v>#VALUE!</v>
      </c>
      <c r="J126" t="e">
        <f t="shared" si="21"/>
        <v>#VALUE!</v>
      </c>
      <c r="K126" t="e">
        <f t="shared" si="22"/>
        <v>#VALUE!</v>
      </c>
      <c r="M126" s="1">
        <f t="shared" si="23"/>
        <v>0</v>
      </c>
      <c r="N126" t="e">
        <f t="shared" si="24"/>
        <v>#VALUE!</v>
      </c>
      <c r="O126" t="e">
        <f t="shared" si="25"/>
        <v>#VALUE!</v>
      </c>
    </row>
    <row r="127" spans="1:15" x14ac:dyDescent="0.3">
      <c r="I127" t="e">
        <f t="shared" si="20"/>
        <v>#VALUE!</v>
      </c>
      <c r="J127" t="e">
        <f t="shared" si="21"/>
        <v>#VALUE!</v>
      </c>
      <c r="K127" t="e">
        <f t="shared" si="22"/>
        <v>#VALUE!</v>
      </c>
      <c r="M127" s="1">
        <f t="shared" si="23"/>
        <v>0</v>
      </c>
      <c r="N127" t="e">
        <f t="shared" si="24"/>
        <v>#VALUE!</v>
      </c>
      <c r="O127" t="e">
        <f t="shared" si="25"/>
        <v>#VALUE!</v>
      </c>
    </row>
    <row r="128" spans="1:15" x14ac:dyDescent="0.3">
      <c r="I128" t="e">
        <f t="shared" si="20"/>
        <v>#VALUE!</v>
      </c>
      <c r="J128" t="e">
        <f t="shared" si="21"/>
        <v>#VALUE!</v>
      </c>
      <c r="K128" t="e">
        <f t="shared" si="22"/>
        <v>#VALUE!</v>
      </c>
      <c r="M128" s="1">
        <f t="shared" si="23"/>
        <v>0</v>
      </c>
      <c r="N128" t="e">
        <f t="shared" si="24"/>
        <v>#VALUE!</v>
      </c>
      <c r="O128" t="e">
        <f t="shared" si="25"/>
        <v>#VALUE!</v>
      </c>
    </row>
    <row r="129" spans="9:15" x14ac:dyDescent="0.3">
      <c r="I129" t="e">
        <f t="shared" si="20"/>
        <v>#VALUE!</v>
      </c>
      <c r="J129" t="e">
        <f t="shared" si="21"/>
        <v>#VALUE!</v>
      </c>
      <c r="K129" t="e">
        <f t="shared" si="22"/>
        <v>#VALUE!</v>
      </c>
      <c r="M129" s="1">
        <f t="shared" si="23"/>
        <v>0</v>
      </c>
      <c r="N129" t="e">
        <f t="shared" si="24"/>
        <v>#VALUE!</v>
      </c>
      <c r="O129" t="e">
        <f t="shared" si="25"/>
        <v>#VALUE!</v>
      </c>
    </row>
    <row r="130" spans="9:15" x14ac:dyDescent="0.3">
      <c r="I130" t="e">
        <f t="shared" si="20"/>
        <v>#VALUE!</v>
      </c>
      <c r="J130" t="e">
        <f t="shared" si="21"/>
        <v>#VALUE!</v>
      </c>
      <c r="K130" t="e">
        <f t="shared" si="22"/>
        <v>#VALUE!</v>
      </c>
      <c r="M130" s="1">
        <f t="shared" si="23"/>
        <v>0</v>
      </c>
      <c r="N130" t="e">
        <f t="shared" si="24"/>
        <v>#VALUE!</v>
      </c>
      <c r="O130" t="e">
        <f t="shared" si="25"/>
        <v>#VALUE!</v>
      </c>
    </row>
    <row r="131" spans="9:15" x14ac:dyDescent="0.3">
      <c r="I131" t="e">
        <f t="shared" si="20"/>
        <v>#VALUE!</v>
      </c>
      <c r="J131" t="e">
        <f t="shared" si="21"/>
        <v>#VALUE!</v>
      </c>
      <c r="K131" t="e">
        <f t="shared" si="22"/>
        <v>#VALUE!</v>
      </c>
      <c r="M131" s="1">
        <f t="shared" si="23"/>
        <v>0</v>
      </c>
      <c r="N131" t="e">
        <f t="shared" si="24"/>
        <v>#VALUE!</v>
      </c>
      <c r="O131" t="e">
        <f t="shared" si="25"/>
        <v>#VALUE!</v>
      </c>
    </row>
    <row r="132" spans="9:15" x14ac:dyDescent="0.3">
      <c r="I132" t="e">
        <f t="shared" si="20"/>
        <v>#VALUE!</v>
      </c>
      <c r="J132" t="e">
        <f t="shared" si="21"/>
        <v>#VALUE!</v>
      </c>
      <c r="K132" t="e">
        <f t="shared" si="22"/>
        <v>#VALUE!</v>
      </c>
      <c r="M132" s="1">
        <f t="shared" si="23"/>
        <v>0</v>
      </c>
      <c r="N132" t="e">
        <f t="shared" si="24"/>
        <v>#VALUE!</v>
      </c>
      <c r="O132" t="e">
        <f t="shared" si="25"/>
        <v>#VALUE!</v>
      </c>
    </row>
    <row r="133" spans="9:15" x14ac:dyDescent="0.3">
      <c r="I133" t="e">
        <f t="shared" si="20"/>
        <v>#VALUE!</v>
      </c>
      <c r="J133" t="e">
        <f t="shared" si="21"/>
        <v>#VALUE!</v>
      </c>
      <c r="K133" t="e">
        <f t="shared" si="22"/>
        <v>#VALUE!</v>
      </c>
      <c r="M133" s="1">
        <f t="shared" si="23"/>
        <v>0</v>
      </c>
      <c r="N133" t="e">
        <f t="shared" si="24"/>
        <v>#VALUE!</v>
      </c>
      <c r="O133" t="e">
        <f t="shared" si="25"/>
        <v>#VALUE!</v>
      </c>
    </row>
    <row r="134" spans="9:15" x14ac:dyDescent="0.3">
      <c r="I134" t="e">
        <f t="shared" si="20"/>
        <v>#VALUE!</v>
      </c>
      <c r="J134" t="e">
        <f t="shared" si="21"/>
        <v>#VALUE!</v>
      </c>
      <c r="K134" t="e">
        <f t="shared" si="22"/>
        <v>#VALUE!</v>
      </c>
      <c r="M134" s="1">
        <f t="shared" si="23"/>
        <v>0</v>
      </c>
      <c r="N134" t="e">
        <f t="shared" si="24"/>
        <v>#VALUE!</v>
      </c>
      <c r="O134" t="e">
        <f t="shared" si="25"/>
        <v>#VALUE!</v>
      </c>
    </row>
    <row r="135" spans="9:15" x14ac:dyDescent="0.3">
      <c r="I135" t="e">
        <f t="shared" si="20"/>
        <v>#VALUE!</v>
      </c>
      <c r="J135" t="e">
        <f t="shared" si="21"/>
        <v>#VALUE!</v>
      </c>
      <c r="K135" t="e">
        <f t="shared" si="22"/>
        <v>#VALUE!</v>
      </c>
      <c r="M135" s="1">
        <f t="shared" si="23"/>
        <v>0</v>
      </c>
      <c r="N135" t="e">
        <f t="shared" si="24"/>
        <v>#VALUE!</v>
      </c>
      <c r="O135" t="e">
        <f t="shared" si="25"/>
        <v>#VALUE!</v>
      </c>
    </row>
    <row r="136" spans="9:15" x14ac:dyDescent="0.3">
      <c r="I136" t="e">
        <f t="shared" si="20"/>
        <v>#VALUE!</v>
      </c>
      <c r="J136" t="e">
        <f t="shared" si="21"/>
        <v>#VALUE!</v>
      </c>
      <c r="K136" t="e">
        <f t="shared" si="22"/>
        <v>#VALUE!</v>
      </c>
      <c r="M136" s="1">
        <f t="shared" si="23"/>
        <v>0</v>
      </c>
      <c r="N136" t="e">
        <f t="shared" si="24"/>
        <v>#VALUE!</v>
      </c>
      <c r="O136" t="e">
        <f t="shared" si="25"/>
        <v>#VALUE!</v>
      </c>
    </row>
    <row r="137" spans="9:15" x14ac:dyDescent="0.3">
      <c r="I137" t="e">
        <f t="shared" si="20"/>
        <v>#VALUE!</v>
      </c>
      <c r="J137" t="e">
        <f t="shared" si="21"/>
        <v>#VALUE!</v>
      </c>
      <c r="K137" t="e">
        <f t="shared" si="22"/>
        <v>#VALUE!</v>
      </c>
      <c r="M137" s="1">
        <f t="shared" si="23"/>
        <v>0</v>
      </c>
      <c r="N137" t="e">
        <f t="shared" si="24"/>
        <v>#VALUE!</v>
      </c>
      <c r="O137" t="e">
        <f t="shared" si="25"/>
        <v>#VALUE!</v>
      </c>
    </row>
    <row r="138" spans="9:15" x14ac:dyDescent="0.3">
      <c r="I138" t="e">
        <f t="shared" si="20"/>
        <v>#VALUE!</v>
      </c>
      <c r="J138" t="e">
        <f t="shared" si="21"/>
        <v>#VALUE!</v>
      </c>
      <c r="K138" t="e">
        <f t="shared" si="22"/>
        <v>#VALUE!</v>
      </c>
      <c r="M138" s="1">
        <f t="shared" si="23"/>
        <v>0</v>
      </c>
      <c r="N138" t="e">
        <f t="shared" si="24"/>
        <v>#VALUE!</v>
      </c>
      <c r="O138" t="e">
        <f t="shared" si="25"/>
        <v>#VALUE!</v>
      </c>
    </row>
    <row r="139" spans="9:15" x14ac:dyDescent="0.3">
      <c r="I139" t="e">
        <f t="shared" si="20"/>
        <v>#VALUE!</v>
      </c>
      <c r="J139" t="e">
        <f t="shared" si="21"/>
        <v>#VALUE!</v>
      </c>
      <c r="K139" t="e">
        <f t="shared" si="22"/>
        <v>#VALUE!</v>
      </c>
      <c r="M139" s="1">
        <f t="shared" si="23"/>
        <v>0</v>
      </c>
      <c r="N139" t="e">
        <f t="shared" si="24"/>
        <v>#VALUE!</v>
      </c>
      <c r="O139" t="e">
        <f t="shared" si="25"/>
        <v>#VALUE!</v>
      </c>
    </row>
    <row r="140" spans="9:15" x14ac:dyDescent="0.3">
      <c r="I140" t="e">
        <f t="shared" si="20"/>
        <v>#VALUE!</v>
      </c>
      <c r="J140" t="e">
        <f t="shared" si="21"/>
        <v>#VALUE!</v>
      </c>
      <c r="K140" t="e">
        <f t="shared" si="22"/>
        <v>#VALUE!</v>
      </c>
      <c r="M140" s="1">
        <f t="shared" si="23"/>
        <v>0</v>
      </c>
      <c r="N140" t="e">
        <f t="shared" si="24"/>
        <v>#VALUE!</v>
      </c>
      <c r="O140" t="e">
        <f t="shared" si="25"/>
        <v>#VALUE!</v>
      </c>
    </row>
    <row r="141" spans="9:15" x14ac:dyDescent="0.3">
      <c r="I141" t="e">
        <f t="shared" si="20"/>
        <v>#VALUE!</v>
      </c>
      <c r="J141" t="e">
        <f t="shared" si="21"/>
        <v>#VALUE!</v>
      </c>
      <c r="K141" t="e">
        <f t="shared" si="22"/>
        <v>#VALUE!</v>
      </c>
      <c r="M141" s="1">
        <f t="shared" si="23"/>
        <v>0</v>
      </c>
      <c r="N141" t="e">
        <f t="shared" si="24"/>
        <v>#VALUE!</v>
      </c>
      <c r="O141" t="e">
        <f t="shared" si="25"/>
        <v>#VALUE!</v>
      </c>
    </row>
    <row r="142" spans="9:15" x14ac:dyDescent="0.3">
      <c r="I142" t="e">
        <f t="shared" si="20"/>
        <v>#VALUE!</v>
      </c>
      <c r="J142" t="e">
        <f t="shared" si="21"/>
        <v>#VALUE!</v>
      </c>
      <c r="K142" t="e">
        <f t="shared" si="22"/>
        <v>#VALUE!</v>
      </c>
      <c r="M142" s="1">
        <f t="shared" si="23"/>
        <v>0</v>
      </c>
      <c r="N142" t="e">
        <f t="shared" si="24"/>
        <v>#VALUE!</v>
      </c>
      <c r="O142" t="e">
        <f t="shared" si="25"/>
        <v>#VALUE!</v>
      </c>
    </row>
    <row r="143" spans="9:15" x14ac:dyDescent="0.3">
      <c r="I143" t="e">
        <f t="shared" si="20"/>
        <v>#VALUE!</v>
      </c>
      <c r="J143" t="e">
        <f t="shared" si="21"/>
        <v>#VALUE!</v>
      </c>
      <c r="K143" t="e">
        <f t="shared" si="22"/>
        <v>#VALUE!</v>
      </c>
      <c r="M143" s="1">
        <f t="shared" si="23"/>
        <v>0</v>
      </c>
      <c r="N143" t="e">
        <f t="shared" si="24"/>
        <v>#VALUE!</v>
      </c>
      <c r="O143" t="e">
        <f t="shared" si="25"/>
        <v>#VALUE!</v>
      </c>
    </row>
    <row r="144" spans="9:15" x14ac:dyDescent="0.3">
      <c r="I144" t="e">
        <f t="shared" si="20"/>
        <v>#VALUE!</v>
      </c>
      <c r="J144" t="e">
        <f t="shared" si="21"/>
        <v>#VALUE!</v>
      </c>
      <c r="K144" t="e">
        <f t="shared" si="22"/>
        <v>#VALUE!</v>
      </c>
      <c r="M144" s="1">
        <f t="shared" si="23"/>
        <v>0</v>
      </c>
      <c r="N144" t="e">
        <f t="shared" si="24"/>
        <v>#VALUE!</v>
      </c>
      <c r="O144" t="e">
        <f t="shared" si="25"/>
        <v>#VALUE!</v>
      </c>
    </row>
    <row r="145" spans="9:15" x14ac:dyDescent="0.3">
      <c r="I145" t="e">
        <f t="shared" si="20"/>
        <v>#VALUE!</v>
      </c>
      <c r="J145" t="e">
        <f t="shared" si="21"/>
        <v>#VALUE!</v>
      </c>
      <c r="K145" t="e">
        <f t="shared" si="22"/>
        <v>#VALUE!</v>
      </c>
      <c r="M145" s="1">
        <f t="shared" si="23"/>
        <v>0</v>
      </c>
      <c r="N145" t="e">
        <f t="shared" si="24"/>
        <v>#VALUE!</v>
      </c>
      <c r="O145" t="e">
        <f t="shared" si="25"/>
        <v>#VALUE!</v>
      </c>
    </row>
    <row r="146" spans="9:15" x14ac:dyDescent="0.3">
      <c r="I146" t="e">
        <f t="shared" si="20"/>
        <v>#VALUE!</v>
      </c>
      <c r="J146" t="e">
        <f t="shared" si="21"/>
        <v>#VALUE!</v>
      </c>
      <c r="K146" t="e">
        <f t="shared" si="22"/>
        <v>#VALUE!</v>
      </c>
      <c r="M146" s="1">
        <f t="shared" si="23"/>
        <v>0</v>
      </c>
      <c r="N146" t="e">
        <f t="shared" si="24"/>
        <v>#VALUE!</v>
      </c>
      <c r="O146" t="e">
        <f t="shared" si="25"/>
        <v>#VALUE!</v>
      </c>
    </row>
    <row r="147" spans="9:15" x14ac:dyDescent="0.3">
      <c r="I147" t="e">
        <f t="shared" si="20"/>
        <v>#VALUE!</v>
      </c>
      <c r="J147" t="e">
        <f t="shared" si="21"/>
        <v>#VALUE!</v>
      </c>
      <c r="K147" t="e">
        <f t="shared" si="22"/>
        <v>#VALUE!</v>
      </c>
      <c r="M147" s="1">
        <f t="shared" si="23"/>
        <v>0</v>
      </c>
      <c r="N147" t="e">
        <f t="shared" si="24"/>
        <v>#VALUE!</v>
      </c>
      <c r="O147" t="e">
        <f t="shared" si="25"/>
        <v>#VALUE!</v>
      </c>
    </row>
    <row r="148" spans="9:15" x14ac:dyDescent="0.3">
      <c r="I148" t="e">
        <f t="shared" si="20"/>
        <v>#VALUE!</v>
      </c>
      <c r="J148" t="e">
        <f t="shared" si="21"/>
        <v>#VALUE!</v>
      </c>
      <c r="K148" t="e">
        <f t="shared" si="22"/>
        <v>#VALUE!</v>
      </c>
      <c r="M148" s="1">
        <f t="shared" si="23"/>
        <v>0</v>
      </c>
      <c r="N148" t="e">
        <f t="shared" si="24"/>
        <v>#VALUE!</v>
      </c>
      <c r="O148" t="e">
        <f t="shared" si="25"/>
        <v>#VALUE!</v>
      </c>
    </row>
    <row r="149" spans="9:15" x14ac:dyDescent="0.3">
      <c r="I149" t="e">
        <f t="shared" si="20"/>
        <v>#VALUE!</v>
      </c>
      <c r="J149" t="e">
        <f t="shared" si="21"/>
        <v>#VALUE!</v>
      </c>
      <c r="K149" t="e">
        <f t="shared" si="22"/>
        <v>#VALUE!</v>
      </c>
      <c r="M149" s="1">
        <f t="shared" si="23"/>
        <v>0</v>
      </c>
      <c r="N149" t="e">
        <f t="shared" si="24"/>
        <v>#VALUE!</v>
      </c>
      <c r="O149" t="e">
        <f t="shared" si="25"/>
        <v>#VALUE!</v>
      </c>
    </row>
    <row r="150" spans="9:15" x14ac:dyDescent="0.3">
      <c r="I150" t="e">
        <f t="shared" si="20"/>
        <v>#VALUE!</v>
      </c>
      <c r="J150" t="e">
        <f t="shared" si="21"/>
        <v>#VALUE!</v>
      </c>
      <c r="K150" t="e">
        <f t="shared" si="22"/>
        <v>#VALUE!</v>
      </c>
      <c r="M150" s="1">
        <f t="shared" si="23"/>
        <v>0</v>
      </c>
      <c r="N150" t="e">
        <f t="shared" si="24"/>
        <v>#VALUE!</v>
      </c>
      <c r="O150" t="e">
        <f t="shared" si="25"/>
        <v>#VALUE!</v>
      </c>
    </row>
    <row r="151" spans="9:15" x14ac:dyDescent="0.3">
      <c r="I151" t="e">
        <f t="shared" si="20"/>
        <v>#VALUE!</v>
      </c>
      <c r="J151" t="e">
        <f t="shared" si="21"/>
        <v>#VALUE!</v>
      </c>
      <c r="K151" t="e">
        <f t="shared" si="22"/>
        <v>#VALUE!</v>
      </c>
      <c r="M151" s="1">
        <f t="shared" si="23"/>
        <v>0</v>
      </c>
      <c r="N151" t="e">
        <f t="shared" si="24"/>
        <v>#VALUE!</v>
      </c>
      <c r="O151" t="e">
        <f t="shared" si="25"/>
        <v>#VALUE!</v>
      </c>
    </row>
    <row r="152" spans="9:15" x14ac:dyDescent="0.3">
      <c r="I152" t="e">
        <f t="shared" si="20"/>
        <v>#VALUE!</v>
      </c>
      <c r="J152" t="e">
        <f t="shared" si="21"/>
        <v>#VALUE!</v>
      </c>
      <c r="K152" t="e">
        <f t="shared" si="22"/>
        <v>#VALUE!</v>
      </c>
      <c r="M152" s="1">
        <f t="shared" si="23"/>
        <v>0</v>
      </c>
      <c r="N152" t="e">
        <f t="shared" si="24"/>
        <v>#VALUE!</v>
      </c>
      <c r="O152" t="e">
        <f t="shared" si="25"/>
        <v>#VALUE!</v>
      </c>
    </row>
    <row r="153" spans="9:15" x14ac:dyDescent="0.3">
      <c r="I153" t="e">
        <f t="shared" si="20"/>
        <v>#VALUE!</v>
      </c>
      <c r="J153" t="e">
        <f t="shared" si="21"/>
        <v>#VALUE!</v>
      </c>
      <c r="K153" t="e">
        <f t="shared" si="22"/>
        <v>#VALUE!</v>
      </c>
      <c r="M153" s="1">
        <f t="shared" si="23"/>
        <v>0</v>
      </c>
      <c r="N153" t="e">
        <f t="shared" si="24"/>
        <v>#VALUE!</v>
      </c>
      <c r="O153" t="e">
        <f t="shared" si="25"/>
        <v>#VALUE!</v>
      </c>
    </row>
    <row r="154" spans="9:15" x14ac:dyDescent="0.3">
      <c r="I154" t="e">
        <f t="shared" si="20"/>
        <v>#VALUE!</v>
      </c>
      <c r="J154" t="e">
        <f t="shared" si="21"/>
        <v>#VALUE!</v>
      </c>
      <c r="K154" t="e">
        <f t="shared" si="22"/>
        <v>#VALUE!</v>
      </c>
      <c r="M154" s="1">
        <f t="shared" si="23"/>
        <v>0</v>
      </c>
      <c r="N154" t="e">
        <f t="shared" si="24"/>
        <v>#VALUE!</v>
      </c>
      <c r="O154" t="e">
        <f t="shared" si="25"/>
        <v>#VALUE!</v>
      </c>
    </row>
    <row r="155" spans="9:15" x14ac:dyDescent="0.3">
      <c r="I155" t="e">
        <f t="shared" si="20"/>
        <v>#VALUE!</v>
      </c>
      <c r="J155" t="e">
        <f t="shared" si="21"/>
        <v>#VALUE!</v>
      </c>
      <c r="K155" t="e">
        <f t="shared" si="22"/>
        <v>#VALUE!</v>
      </c>
      <c r="M155" s="1">
        <f t="shared" si="23"/>
        <v>0</v>
      </c>
      <c r="N155" t="e">
        <f t="shared" si="24"/>
        <v>#VALUE!</v>
      </c>
      <c r="O155" t="e">
        <f t="shared" si="25"/>
        <v>#VALUE!</v>
      </c>
    </row>
    <row r="156" spans="9:15" x14ac:dyDescent="0.3">
      <c r="I156" t="e">
        <f t="shared" si="20"/>
        <v>#VALUE!</v>
      </c>
      <c r="J156" t="e">
        <f t="shared" si="21"/>
        <v>#VALUE!</v>
      </c>
      <c r="K156" t="e">
        <f t="shared" si="22"/>
        <v>#VALUE!</v>
      </c>
      <c r="M156" s="1">
        <f t="shared" si="23"/>
        <v>0</v>
      </c>
      <c r="N156" t="e">
        <f t="shared" si="24"/>
        <v>#VALUE!</v>
      </c>
      <c r="O156" t="e">
        <f t="shared" si="25"/>
        <v>#VALUE!</v>
      </c>
    </row>
    <row r="157" spans="9:15" x14ac:dyDescent="0.3">
      <c r="I157" t="e">
        <f t="shared" si="20"/>
        <v>#VALUE!</v>
      </c>
      <c r="J157" t="e">
        <f t="shared" si="21"/>
        <v>#VALUE!</v>
      </c>
      <c r="K157" t="e">
        <f t="shared" si="22"/>
        <v>#VALUE!</v>
      </c>
      <c r="M157" s="1">
        <f t="shared" si="23"/>
        <v>0</v>
      </c>
      <c r="N157" t="e">
        <f t="shared" si="24"/>
        <v>#VALUE!</v>
      </c>
      <c r="O157" t="e">
        <f t="shared" si="25"/>
        <v>#VALUE!</v>
      </c>
    </row>
    <row r="158" spans="9:15" x14ac:dyDescent="0.3">
      <c r="I158" t="e">
        <f t="shared" si="20"/>
        <v>#VALUE!</v>
      </c>
      <c r="J158" t="e">
        <f t="shared" si="21"/>
        <v>#VALUE!</v>
      </c>
      <c r="K158" t="e">
        <f t="shared" si="22"/>
        <v>#VALUE!</v>
      </c>
      <c r="M158" s="1">
        <f t="shared" si="23"/>
        <v>0</v>
      </c>
      <c r="N158" t="e">
        <f t="shared" si="24"/>
        <v>#VALUE!</v>
      </c>
      <c r="O158" t="e">
        <f t="shared" si="25"/>
        <v>#VALUE!</v>
      </c>
    </row>
    <row r="159" spans="9:15" x14ac:dyDescent="0.3">
      <c r="I159" t="e">
        <f t="shared" si="20"/>
        <v>#VALUE!</v>
      </c>
      <c r="J159" t="e">
        <f t="shared" si="21"/>
        <v>#VALUE!</v>
      </c>
      <c r="K159" t="e">
        <f t="shared" si="22"/>
        <v>#VALUE!</v>
      </c>
      <c r="M159" s="1">
        <f t="shared" si="23"/>
        <v>0</v>
      </c>
      <c r="N159" t="e">
        <f t="shared" si="24"/>
        <v>#VALUE!</v>
      </c>
      <c r="O159" t="e">
        <f t="shared" si="25"/>
        <v>#VALUE!</v>
      </c>
    </row>
    <row r="160" spans="9:15" x14ac:dyDescent="0.3">
      <c r="I160" t="e">
        <f t="shared" si="20"/>
        <v>#VALUE!</v>
      </c>
      <c r="J160" t="e">
        <f t="shared" si="21"/>
        <v>#VALUE!</v>
      </c>
      <c r="K160" t="e">
        <f t="shared" si="22"/>
        <v>#VALUE!</v>
      </c>
      <c r="M160" s="1">
        <f t="shared" si="23"/>
        <v>0</v>
      </c>
      <c r="N160" t="e">
        <f t="shared" si="24"/>
        <v>#VALUE!</v>
      </c>
      <c r="O160" t="e">
        <f t="shared" si="25"/>
        <v>#VALUE!</v>
      </c>
    </row>
    <row r="161" spans="9:15" x14ac:dyDescent="0.3">
      <c r="I161" t="e">
        <f t="shared" si="20"/>
        <v>#VALUE!</v>
      </c>
      <c r="J161" t="e">
        <f t="shared" si="21"/>
        <v>#VALUE!</v>
      </c>
      <c r="K161" t="e">
        <f t="shared" si="22"/>
        <v>#VALUE!</v>
      </c>
      <c r="M161" s="1">
        <f t="shared" si="23"/>
        <v>0</v>
      </c>
      <c r="N161" t="e">
        <f t="shared" si="24"/>
        <v>#VALUE!</v>
      </c>
      <c r="O161" t="e">
        <f t="shared" si="25"/>
        <v>#VALUE!</v>
      </c>
    </row>
    <row r="162" spans="9:15" x14ac:dyDescent="0.3">
      <c r="I162" t="e">
        <f t="shared" ref="I162:I225" si="26">RIGHT(C162,LEN(C162)-FIND(" ",C162,LEN(C162)-12))</f>
        <v>#VALUE!</v>
      </c>
      <c r="J162" t="e">
        <f t="shared" ref="J162:J225" si="27">RIGHT(C162,LEN(I162)/2)</f>
        <v>#VALUE!</v>
      </c>
      <c r="K162" t="e">
        <f t="shared" ref="K162:K225" si="28">LEFT(C162,FIND(" ",C162)-1)</f>
        <v>#VALUE!</v>
      </c>
      <c r="M162" s="1">
        <f t="shared" ref="M162:M225" si="29">B162</f>
        <v>0</v>
      </c>
      <c r="N162" t="e">
        <f t="shared" ref="N162:N225" si="30">VLOOKUP(J162,$R$1:$S$30,2,FALSE)</f>
        <v>#VALUE!</v>
      </c>
      <c r="O162" t="e">
        <f t="shared" ref="O162:O225" si="31">VLOOKUP(K162,$R$1:$S$30,2,FALSE)</f>
        <v>#VALUE!</v>
      </c>
    </row>
    <row r="163" spans="9:15" x14ac:dyDescent="0.3">
      <c r="I163" t="e">
        <f t="shared" si="26"/>
        <v>#VALUE!</v>
      </c>
      <c r="J163" t="e">
        <f t="shared" si="27"/>
        <v>#VALUE!</v>
      </c>
      <c r="K163" t="e">
        <f t="shared" si="28"/>
        <v>#VALUE!</v>
      </c>
      <c r="M163" s="1">
        <f t="shared" si="29"/>
        <v>0</v>
      </c>
      <c r="N163" t="e">
        <f t="shared" si="30"/>
        <v>#VALUE!</v>
      </c>
      <c r="O163" t="e">
        <f t="shared" si="31"/>
        <v>#VALUE!</v>
      </c>
    </row>
    <row r="164" spans="9:15" x14ac:dyDescent="0.3">
      <c r="I164" t="e">
        <f t="shared" si="26"/>
        <v>#VALUE!</v>
      </c>
      <c r="J164" t="e">
        <f t="shared" si="27"/>
        <v>#VALUE!</v>
      </c>
      <c r="K164" t="e">
        <f t="shared" si="28"/>
        <v>#VALUE!</v>
      </c>
      <c r="M164" s="1">
        <f t="shared" si="29"/>
        <v>0</v>
      </c>
      <c r="N164" t="e">
        <f t="shared" si="30"/>
        <v>#VALUE!</v>
      </c>
      <c r="O164" t="e">
        <f t="shared" si="31"/>
        <v>#VALUE!</v>
      </c>
    </row>
    <row r="165" spans="9:15" x14ac:dyDescent="0.3">
      <c r="I165" t="e">
        <f t="shared" si="26"/>
        <v>#VALUE!</v>
      </c>
      <c r="J165" t="e">
        <f t="shared" si="27"/>
        <v>#VALUE!</v>
      </c>
      <c r="K165" t="e">
        <f t="shared" si="28"/>
        <v>#VALUE!</v>
      </c>
      <c r="M165" s="1">
        <f t="shared" si="29"/>
        <v>0</v>
      </c>
      <c r="N165" t="e">
        <f t="shared" si="30"/>
        <v>#VALUE!</v>
      </c>
      <c r="O165" t="e">
        <f t="shared" si="31"/>
        <v>#VALUE!</v>
      </c>
    </row>
    <row r="166" spans="9:15" x14ac:dyDescent="0.3">
      <c r="I166" t="e">
        <f t="shared" si="26"/>
        <v>#VALUE!</v>
      </c>
      <c r="J166" t="e">
        <f t="shared" si="27"/>
        <v>#VALUE!</v>
      </c>
      <c r="K166" t="e">
        <f t="shared" si="28"/>
        <v>#VALUE!</v>
      </c>
      <c r="M166" s="1">
        <f t="shared" si="29"/>
        <v>0</v>
      </c>
      <c r="N166" t="e">
        <f t="shared" si="30"/>
        <v>#VALUE!</v>
      </c>
      <c r="O166" t="e">
        <f t="shared" si="31"/>
        <v>#VALUE!</v>
      </c>
    </row>
    <row r="167" spans="9:15" x14ac:dyDescent="0.3">
      <c r="I167" t="e">
        <f t="shared" si="26"/>
        <v>#VALUE!</v>
      </c>
      <c r="J167" t="e">
        <f t="shared" si="27"/>
        <v>#VALUE!</v>
      </c>
      <c r="K167" t="e">
        <f t="shared" si="28"/>
        <v>#VALUE!</v>
      </c>
      <c r="M167" s="1">
        <f t="shared" si="29"/>
        <v>0</v>
      </c>
      <c r="N167" t="e">
        <f t="shared" si="30"/>
        <v>#VALUE!</v>
      </c>
      <c r="O167" t="e">
        <f t="shared" si="31"/>
        <v>#VALUE!</v>
      </c>
    </row>
    <row r="168" spans="9:15" x14ac:dyDescent="0.3">
      <c r="I168" t="e">
        <f t="shared" si="26"/>
        <v>#VALUE!</v>
      </c>
      <c r="J168" t="e">
        <f t="shared" si="27"/>
        <v>#VALUE!</v>
      </c>
      <c r="K168" t="e">
        <f t="shared" si="28"/>
        <v>#VALUE!</v>
      </c>
      <c r="M168" s="1">
        <f t="shared" si="29"/>
        <v>0</v>
      </c>
      <c r="N168" t="e">
        <f t="shared" si="30"/>
        <v>#VALUE!</v>
      </c>
      <c r="O168" t="e">
        <f t="shared" si="31"/>
        <v>#VALUE!</v>
      </c>
    </row>
    <row r="169" spans="9:15" x14ac:dyDescent="0.3">
      <c r="I169" t="e">
        <f t="shared" si="26"/>
        <v>#VALUE!</v>
      </c>
      <c r="J169" t="e">
        <f t="shared" si="27"/>
        <v>#VALUE!</v>
      </c>
      <c r="K169" t="e">
        <f t="shared" si="28"/>
        <v>#VALUE!</v>
      </c>
      <c r="M169" s="1">
        <f t="shared" si="29"/>
        <v>0</v>
      </c>
      <c r="N169" t="e">
        <f t="shared" si="30"/>
        <v>#VALUE!</v>
      </c>
      <c r="O169" t="e">
        <f t="shared" si="31"/>
        <v>#VALUE!</v>
      </c>
    </row>
    <row r="170" spans="9:15" x14ac:dyDescent="0.3">
      <c r="I170" t="e">
        <f t="shared" si="26"/>
        <v>#VALUE!</v>
      </c>
      <c r="J170" t="e">
        <f t="shared" si="27"/>
        <v>#VALUE!</v>
      </c>
      <c r="K170" t="e">
        <f t="shared" si="28"/>
        <v>#VALUE!</v>
      </c>
      <c r="M170" s="1">
        <f t="shared" si="29"/>
        <v>0</v>
      </c>
      <c r="N170" t="e">
        <f t="shared" si="30"/>
        <v>#VALUE!</v>
      </c>
      <c r="O170" t="e">
        <f t="shared" si="31"/>
        <v>#VALUE!</v>
      </c>
    </row>
    <row r="171" spans="9:15" x14ac:dyDescent="0.3">
      <c r="I171" t="e">
        <f t="shared" si="26"/>
        <v>#VALUE!</v>
      </c>
      <c r="J171" t="e">
        <f t="shared" si="27"/>
        <v>#VALUE!</v>
      </c>
      <c r="K171" t="e">
        <f t="shared" si="28"/>
        <v>#VALUE!</v>
      </c>
      <c r="M171" s="1">
        <f t="shared" si="29"/>
        <v>0</v>
      </c>
      <c r="N171" t="e">
        <f t="shared" si="30"/>
        <v>#VALUE!</v>
      </c>
      <c r="O171" t="e">
        <f t="shared" si="31"/>
        <v>#VALUE!</v>
      </c>
    </row>
    <row r="172" spans="9:15" x14ac:dyDescent="0.3">
      <c r="I172" t="e">
        <f t="shared" si="26"/>
        <v>#VALUE!</v>
      </c>
      <c r="J172" t="e">
        <f t="shared" si="27"/>
        <v>#VALUE!</v>
      </c>
      <c r="K172" t="e">
        <f t="shared" si="28"/>
        <v>#VALUE!</v>
      </c>
      <c r="M172" s="1">
        <f t="shared" si="29"/>
        <v>0</v>
      </c>
      <c r="N172" t="e">
        <f t="shared" si="30"/>
        <v>#VALUE!</v>
      </c>
      <c r="O172" t="e">
        <f t="shared" si="31"/>
        <v>#VALUE!</v>
      </c>
    </row>
    <row r="173" spans="9:15" x14ac:dyDescent="0.3">
      <c r="I173" t="e">
        <f t="shared" si="26"/>
        <v>#VALUE!</v>
      </c>
      <c r="J173" t="e">
        <f t="shared" si="27"/>
        <v>#VALUE!</v>
      </c>
      <c r="K173" t="e">
        <f t="shared" si="28"/>
        <v>#VALUE!</v>
      </c>
      <c r="M173" s="1">
        <f t="shared" si="29"/>
        <v>0</v>
      </c>
      <c r="N173" t="e">
        <f t="shared" si="30"/>
        <v>#VALUE!</v>
      </c>
      <c r="O173" t="e">
        <f t="shared" si="31"/>
        <v>#VALUE!</v>
      </c>
    </row>
    <row r="174" spans="9:15" x14ac:dyDescent="0.3">
      <c r="I174" t="e">
        <f t="shared" si="26"/>
        <v>#VALUE!</v>
      </c>
      <c r="J174" t="e">
        <f t="shared" si="27"/>
        <v>#VALUE!</v>
      </c>
      <c r="K174" t="e">
        <f t="shared" si="28"/>
        <v>#VALUE!</v>
      </c>
      <c r="M174" s="1">
        <f t="shared" si="29"/>
        <v>0</v>
      </c>
      <c r="N174" t="e">
        <f t="shared" si="30"/>
        <v>#VALUE!</v>
      </c>
      <c r="O174" t="e">
        <f t="shared" si="31"/>
        <v>#VALUE!</v>
      </c>
    </row>
    <row r="175" spans="9:15" x14ac:dyDescent="0.3">
      <c r="I175" t="e">
        <f t="shared" si="26"/>
        <v>#VALUE!</v>
      </c>
      <c r="J175" t="e">
        <f t="shared" si="27"/>
        <v>#VALUE!</v>
      </c>
      <c r="K175" t="e">
        <f t="shared" si="28"/>
        <v>#VALUE!</v>
      </c>
      <c r="M175" s="1">
        <f t="shared" si="29"/>
        <v>0</v>
      </c>
      <c r="N175" t="e">
        <f t="shared" si="30"/>
        <v>#VALUE!</v>
      </c>
      <c r="O175" t="e">
        <f t="shared" si="31"/>
        <v>#VALUE!</v>
      </c>
    </row>
    <row r="176" spans="9:15" x14ac:dyDescent="0.3">
      <c r="I176" t="e">
        <f t="shared" si="26"/>
        <v>#VALUE!</v>
      </c>
      <c r="J176" t="e">
        <f t="shared" si="27"/>
        <v>#VALUE!</v>
      </c>
      <c r="K176" t="e">
        <f t="shared" si="28"/>
        <v>#VALUE!</v>
      </c>
      <c r="M176" s="1">
        <f t="shared" si="29"/>
        <v>0</v>
      </c>
      <c r="N176" t="e">
        <f t="shared" si="30"/>
        <v>#VALUE!</v>
      </c>
      <c r="O176" t="e">
        <f t="shared" si="31"/>
        <v>#VALUE!</v>
      </c>
    </row>
    <row r="177" spans="9:15" x14ac:dyDescent="0.3">
      <c r="I177" t="e">
        <f t="shared" si="26"/>
        <v>#VALUE!</v>
      </c>
      <c r="J177" t="e">
        <f t="shared" si="27"/>
        <v>#VALUE!</v>
      </c>
      <c r="K177" t="e">
        <f t="shared" si="28"/>
        <v>#VALUE!</v>
      </c>
      <c r="M177" s="1">
        <f t="shared" si="29"/>
        <v>0</v>
      </c>
      <c r="N177" t="e">
        <f t="shared" si="30"/>
        <v>#VALUE!</v>
      </c>
      <c r="O177" t="e">
        <f t="shared" si="31"/>
        <v>#VALUE!</v>
      </c>
    </row>
    <row r="178" spans="9:15" x14ac:dyDescent="0.3">
      <c r="I178" t="e">
        <f t="shared" si="26"/>
        <v>#VALUE!</v>
      </c>
      <c r="J178" t="e">
        <f t="shared" si="27"/>
        <v>#VALUE!</v>
      </c>
      <c r="K178" t="e">
        <f t="shared" si="28"/>
        <v>#VALUE!</v>
      </c>
      <c r="M178" s="1">
        <f t="shared" si="29"/>
        <v>0</v>
      </c>
      <c r="N178" t="e">
        <f t="shared" si="30"/>
        <v>#VALUE!</v>
      </c>
      <c r="O178" t="e">
        <f t="shared" si="31"/>
        <v>#VALUE!</v>
      </c>
    </row>
    <row r="179" spans="9:15" x14ac:dyDescent="0.3">
      <c r="I179" t="e">
        <f t="shared" si="26"/>
        <v>#VALUE!</v>
      </c>
      <c r="J179" t="e">
        <f t="shared" si="27"/>
        <v>#VALUE!</v>
      </c>
      <c r="K179" t="e">
        <f t="shared" si="28"/>
        <v>#VALUE!</v>
      </c>
      <c r="M179" s="1">
        <f t="shared" si="29"/>
        <v>0</v>
      </c>
      <c r="N179" t="e">
        <f t="shared" si="30"/>
        <v>#VALUE!</v>
      </c>
      <c r="O179" t="e">
        <f t="shared" si="31"/>
        <v>#VALUE!</v>
      </c>
    </row>
    <row r="180" spans="9:15" x14ac:dyDescent="0.3">
      <c r="I180" t="e">
        <f t="shared" si="26"/>
        <v>#VALUE!</v>
      </c>
      <c r="J180" t="e">
        <f t="shared" si="27"/>
        <v>#VALUE!</v>
      </c>
      <c r="K180" t="e">
        <f t="shared" si="28"/>
        <v>#VALUE!</v>
      </c>
      <c r="M180" s="1">
        <f t="shared" si="29"/>
        <v>0</v>
      </c>
      <c r="N180" t="e">
        <f t="shared" si="30"/>
        <v>#VALUE!</v>
      </c>
      <c r="O180" t="e">
        <f t="shared" si="31"/>
        <v>#VALUE!</v>
      </c>
    </row>
    <row r="181" spans="9:15" x14ac:dyDescent="0.3">
      <c r="I181" t="e">
        <f t="shared" si="26"/>
        <v>#VALUE!</v>
      </c>
      <c r="J181" t="e">
        <f t="shared" si="27"/>
        <v>#VALUE!</v>
      </c>
      <c r="K181" t="e">
        <f t="shared" si="28"/>
        <v>#VALUE!</v>
      </c>
      <c r="M181" s="1">
        <f t="shared" si="29"/>
        <v>0</v>
      </c>
      <c r="N181" t="e">
        <f t="shared" si="30"/>
        <v>#VALUE!</v>
      </c>
      <c r="O181" t="e">
        <f t="shared" si="31"/>
        <v>#VALUE!</v>
      </c>
    </row>
    <row r="182" spans="9:15" x14ac:dyDescent="0.3">
      <c r="I182" t="e">
        <f t="shared" si="26"/>
        <v>#VALUE!</v>
      </c>
      <c r="J182" t="e">
        <f t="shared" si="27"/>
        <v>#VALUE!</v>
      </c>
      <c r="K182" t="e">
        <f t="shared" si="28"/>
        <v>#VALUE!</v>
      </c>
      <c r="M182" s="1">
        <f t="shared" si="29"/>
        <v>0</v>
      </c>
      <c r="N182" t="e">
        <f t="shared" si="30"/>
        <v>#VALUE!</v>
      </c>
      <c r="O182" t="e">
        <f t="shared" si="31"/>
        <v>#VALUE!</v>
      </c>
    </row>
    <row r="183" spans="9:15" x14ac:dyDescent="0.3">
      <c r="I183" t="e">
        <f t="shared" si="26"/>
        <v>#VALUE!</v>
      </c>
      <c r="J183" t="e">
        <f t="shared" si="27"/>
        <v>#VALUE!</v>
      </c>
      <c r="K183" t="e">
        <f t="shared" si="28"/>
        <v>#VALUE!</v>
      </c>
      <c r="M183" s="1">
        <f t="shared" si="29"/>
        <v>0</v>
      </c>
      <c r="N183" t="e">
        <f t="shared" si="30"/>
        <v>#VALUE!</v>
      </c>
      <c r="O183" t="e">
        <f t="shared" si="31"/>
        <v>#VALUE!</v>
      </c>
    </row>
    <row r="184" spans="9:15" x14ac:dyDescent="0.3">
      <c r="I184" t="e">
        <f t="shared" si="26"/>
        <v>#VALUE!</v>
      </c>
      <c r="J184" t="e">
        <f t="shared" si="27"/>
        <v>#VALUE!</v>
      </c>
      <c r="K184" t="e">
        <f t="shared" si="28"/>
        <v>#VALUE!</v>
      </c>
      <c r="M184" s="1">
        <f t="shared" si="29"/>
        <v>0</v>
      </c>
      <c r="N184" t="e">
        <f t="shared" si="30"/>
        <v>#VALUE!</v>
      </c>
      <c r="O184" t="e">
        <f t="shared" si="31"/>
        <v>#VALUE!</v>
      </c>
    </row>
    <row r="185" spans="9:15" x14ac:dyDescent="0.3">
      <c r="I185" t="e">
        <f t="shared" si="26"/>
        <v>#VALUE!</v>
      </c>
      <c r="J185" t="e">
        <f t="shared" si="27"/>
        <v>#VALUE!</v>
      </c>
      <c r="K185" t="e">
        <f t="shared" si="28"/>
        <v>#VALUE!</v>
      </c>
      <c r="M185" s="1">
        <f t="shared" si="29"/>
        <v>0</v>
      </c>
      <c r="N185" t="e">
        <f t="shared" si="30"/>
        <v>#VALUE!</v>
      </c>
      <c r="O185" t="e">
        <f t="shared" si="31"/>
        <v>#VALUE!</v>
      </c>
    </row>
    <row r="186" spans="9:15" x14ac:dyDescent="0.3">
      <c r="I186" t="e">
        <f t="shared" si="26"/>
        <v>#VALUE!</v>
      </c>
      <c r="J186" t="e">
        <f t="shared" si="27"/>
        <v>#VALUE!</v>
      </c>
      <c r="K186" t="e">
        <f t="shared" si="28"/>
        <v>#VALUE!</v>
      </c>
      <c r="M186" s="1">
        <f t="shared" si="29"/>
        <v>0</v>
      </c>
      <c r="N186" t="e">
        <f t="shared" si="30"/>
        <v>#VALUE!</v>
      </c>
      <c r="O186" t="e">
        <f t="shared" si="31"/>
        <v>#VALUE!</v>
      </c>
    </row>
    <row r="187" spans="9:15" x14ac:dyDescent="0.3">
      <c r="I187" t="e">
        <f t="shared" si="26"/>
        <v>#VALUE!</v>
      </c>
      <c r="J187" t="e">
        <f t="shared" si="27"/>
        <v>#VALUE!</v>
      </c>
      <c r="K187" t="e">
        <f t="shared" si="28"/>
        <v>#VALUE!</v>
      </c>
      <c r="M187" s="1">
        <f t="shared" si="29"/>
        <v>0</v>
      </c>
      <c r="N187" t="e">
        <f t="shared" si="30"/>
        <v>#VALUE!</v>
      </c>
      <c r="O187" t="e">
        <f t="shared" si="31"/>
        <v>#VALUE!</v>
      </c>
    </row>
    <row r="188" spans="9:15" x14ac:dyDescent="0.3">
      <c r="I188" t="e">
        <f t="shared" si="26"/>
        <v>#VALUE!</v>
      </c>
      <c r="J188" t="e">
        <f t="shared" si="27"/>
        <v>#VALUE!</v>
      </c>
      <c r="K188" t="e">
        <f t="shared" si="28"/>
        <v>#VALUE!</v>
      </c>
      <c r="M188" s="1">
        <f t="shared" si="29"/>
        <v>0</v>
      </c>
      <c r="N188" t="e">
        <f t="shared" si="30"/>
        <v>#VALUE!</v>
      </c>
      <c r="O188" t="e">
        <f t="shared" si="31"/>
        <v>#VALUE!</v>
      </c>
    </row>
    <row r="189" spans="9:15" x14ac:dyDescent="0.3">
      <c r="I189" t="e">
        <f t="shared" si="26"/>
        <v>#VALUE!</v>
      </c>
      <c r="J189" t="e">
        <f t="shared" si="27"/>
        <v>#VALUE!</v>
      </c>
      <c r="K189" t="e">
        <f t="shared" si="28"/>
        <v>#VALUE!</v>
      </c>
      <c r="M189" s="1">
        <f t="shared" si="29"/>
        <v>0</v>
      </c>
      <c r="N189" t="e">
        <f t="shared" si="30"/>
        <v>#VALUE!</v>
      </c>
      <c r="O189" t="e">
        <f t="shared" si="31"/>
        <v>#VALUE!</v>
      </c>
    </row>
    <row r="190" spans="9:15" x14ac:dyDescent="0.3">
      <c r="I190" t="e">
        <f t="shared" si="26"/>
        <v>#VALUE!</v>
      </c>
      <c r="J190" t="e">
        <f t="shared" si="27"/>
        <v>#VALUE!</v>
      </c>
      <c r="K190" t="e">
        <f t="shared" si="28"/>
        <v>#VALUE!</v>
      </c>
      <c r="M190" s="1">
        <f t="shared" si="29"/>
        <v>0</v>
      </c>
      <c r="N190" t="e">
        <f t="shared" si="30"/>
        <v>#VALUE!</v>
      </c>
      <c r="O190" t="e">
        <f t="shared" si="31"/>
        <v>#VALUE!</v>
      </c>
    </row>
    <row r="191" spans="9:15" x14ac:dyDescent="0.3">
      <c r="I191" t="e">
        <f t="shared" si="26"/>
        <v>#VALUE!</v>
      </c>
      <c r="J191" t="e">
        <f t="shared" si="27"/>
        <v>#VALUE!</v>
      </c>
      <c r="K191" t="e">
        <f t="shared" si="28"/>
        <v>#VALUE!</v>
      </c>
      <c r="M191" s="1">
        <f t="shared" si="29"/>
        <v>0</v>
      </c>
      <c r="N191" t="e">
        <f t="shared" si="30"/>
        <v>#VALUE!</v>
      </c>
      <c r="O191" t="e">
        <f t="shared" si="31"/>
        <v>#VALUE!</v>
      </c>
    </row>
    <row r="192" spans="9:15" x14ac:dyDescent="0.3">
      <c r="I192" t="e">
        <f t="shared" si="26"/>
        <v>#VALUE!</v>
      </c>
      <c r="J192" t="e">
        <f t="shared" si="27"/>
        <v>#VALUE!</v>
      </c>
      <c r="K192" t="e">
        <f t="shared" si="28"/>
        <v>#VALUE!</v>
      </c>
      <c r="M192" s="1">
        <f t="shared" si="29"/>
        <v>0</v>
      </c>
      <c r="N192" t="e">
        <f t="shared" si="30"/>
        <v>#VALUE!</v>
      </c>
      <c r="O192" t="e">
        <f t="shared" si="31"/>
        <v>#VALUE!</v>
      </c>
    </row>
    <row r="193" spans="9:15" x14ac:dyDescent="0.3">
      <c r="I193" t="e">
        <f t="shared" si="26"/>
        <v>#VALUE!</v>
      </c>
      <c r="J193" t="e">
        <f t="shared" si="27"/>
        <v>#VALUE!</v>
      </c>
      <c r="K193" t="e">
        <f t="shared" si="28"/>
        <v>#VALUE!</v>
      </c>
      <c r="M193" s="1">
        <f t="shared" si="29"/>
        <v>0</v>
      </c>
      <c r="N193" t="e">
        <f t="shared" si="30"/>
        <v>#VALUE!</v>
      </c>
      <c r="O193" t="e">
        <f t="shared" si="31"/>
        <v>#VALUE!</v>
      </c>
    </row>
    <row r="194" spans="9:15" x14ac:dyDescent="0.3">
      <c r="I194" t="e">
        <f t="shared" si="26"/>
        <v>#VALUE!</v>
      </c>
      <c r="J194" t="e">
        <f t="shared" si="27"/>
        <v>#VALUE!</v>
      </c>
      <c r="K194" t="e">
        <f t="shared" si="28"/>
        <v>#VALUE!</v>
      </c>
      <c r="M194" s="1">
        <f t="shared" si="29"/>
        <v>0</v>
      </c>
      <c r="N194" t="e">
        <f t="shared" si="30"/>
        <v>#VALUE!</v>
      </c>
      <c r="O194" t="e">
        <f t="shared" si="31"/>
        <v>#VALUE!</v>
      </c>
    </row>
    <row r="195" spans="9:15" x14ac:dyDescent="0.3">
      <c r="I195" t="e">
        <f t="shared" si="26"/>
        <v>#VALUE!</v>
      </c>
      <c r="J195" t="e">
        <f t="shared" si="27"/>
        <v>#VALUE!</v>
      </c>
      <c r="K195" t="e">
        <f t="shared" si="28"/>
        <v>#VALUE!</v>
      </c>
      <c r="M195" s="1">
        <f t="shared" si="29"/>
        <v>0</v>
      </c>
      <c r="N195" t="e">
        <f t="shared" si="30"/>
        <v>#VALUE!</v>
      </c>
      <c r="O195" t="e">
        <f t="shared" si="31"/>
        <v>#VALUE!</v>
      </c>
    </row>
    <row r="196" spans="9:15" x14ac:dyDescent="0.3">
      <c r="I196" t="e">
        <f t="shared" si="26"/>
        <v>#VALUE!</v>
      </c>
      <c r="J196" t="e">
        <f t="shared" si="27"/>
        <v>#VALUE!</v>
      </c>
      <c r="K196" t="e">
        <f t="shared" si="28"/>
        <v>#VALUE!</v>
      </c>
      <c r="M196" s="1">
        <f t="shared" si="29"/>
        <v>0</v>
      </c>
      <c r="N196" t="e">
        <f t="shared" si="30"/>
        <v>#VALUE!</v>
      </c>
      <c r="O196" t="e">
        <f t="shared" si="31"/>
        <v>#VALUE!</v>
      </c>
    </row>
    <row r="197" spans="9:15" x14ac:dyDescent="0.3">
      <c r="I197" t="e">
        <f t="shared" si="26"/>
        <v>#VALUE!</v>
      </c>
      <c r="J197" t="e">
        <f t="shared" si="27"/>
        <v>#VALUE!</v>
      </c>
      <c r="K197" t="e">
        <f t="shared" si="28"/>
        <v>#VALUE!</v>
      </c>
      <c r="M197" s="1">
        <f t="shared" si="29"/>
        <v>0</v>
      </c>
      <c r="N197" t="e">
        <f t="shared" si="30"/>
        <v>#VALUE!</v>
      </c>
      <c r="O197" t="e">
        <f t="shared" si="31"/>
        <v>#VALUE!</v>
      </c>
    </row>
    <row r="198" spans="9:15" x14ac:dyDescent="0.3">
      <c r="I198" t="e">
        <f t="shared" si="26"/>
        <v>#VALUE!</v>
      </c>
      <c r="J198" t="e">
        <f t="shared" si="27"/>
        <v>#VALUE!</v>
      </c>
      <c r="K198" t="e">
        <f t="shared" si="28"/>
        <v>#VALUE!</v>
      </c>
      <c r="M198" s="1">
        <f t="shared" si="29"/>
        <v>0</v>
      </c>
      <c r="N198" t="e">
        <f t="shared" si="30"/>
        <v>#VALUE!</v>
      </c>
      <c r="O198" t="e">
        <f t="shared" si="31"/>
        <v>#VALUE!</v>
      </c>
    </row>
    <row r="199" spans="9:15" x14ac:dyDescent="0.3">
      <c r="I199" t="e">
        <f t="shared" si="26"/>
        <v>#VALUE!</v>
      </c>
      <c r="J199" t="e">
        <f t="shared" si="27"/>
        <v>#VALUE!</v>
      </c>
      <c r="K199" t="e">
        <f t="shared" si="28"/>
        <v>#VALUE!</v>
      </c>
      <c r="M199" s="1">
        <f t="shared" si="29"/>
        <v>0</v>
      </c>
      <c r="N199" t="e">
        <f t="shared" si="30"/>
        <v>#VALUE!</v>
      </c>
      <c r="O199" t="e">
        <f t="shared" si="31"/>
        <v>#VALUE!</v>
      </c>
    </row>
    <row r="200" spans="9:15" x14ac:dyDescent="0.3">
      <c r="I200" t="e">
        <f t="shared" si="26"/>
        <v>#VALUE!</v>
      </c>
      <c r="J200" t="e">
        <f t="shared" si="27"/>
        <v>#VALUE!</v>
      </c>
      <c r="K200" t="e">
        <f t="shared" si="28"/>
        <v>#VALUE!</v>
      </c>
      <c r="M200" s="1">
        <f t="shared" si="29"/>
        <v>0</v>
      </c>
      <c r="N200" t="e">
        <f t="shared" si="30"/>
        <v>#VALUE!</v>
      </c>
      <c r="O200" t="e">
        <f t="shared" si="31"/>
        <v>#VALUE!</v>
      </c>
    </row>
    <row r="201" spans="9:15" x14ac:dyDescent="0.3">
      <c r="I201" t="e">
        <f t="shared" si="26"/>
        <v>#VALUE!</v>
      </c>
      <c r="J201" t="e">
        <f t="shared" si="27"/>
        <v>#VALUE!</v>
      </c>
      <c r="K201" t="e">
        <f t="shared" si="28"/>
        <v>#VALUE!</v>
      </c>
      <c r="M201" s="1">
        <f t="shared" si="29"/>
        <v>0</v>
      </c>
      <c r="N201" t="e">
        <f t="shared" si="30"/>
        <v>#VALUE!</v>
      </c>
      <c r="O201" t="e">
        <f t="shared" si="31"/>
        <v>#VALUE!</v>
      </c>
    </row>
    <row r="202" spans="9:15" x14ac:dyDescent="0.3">
      <c r="I202" t="e">
        <f t="shared" si="26"/>
        <v>#VALUE!</v>
      </c>
      <c r="J202" t="e">
        <f t="shared" si="27"/>
        <v>#VALUE!</v>
      </c>
      <c r="K202" t="e">
        <f t="shared" si="28"/>
        <v>#VALUE!</v>
      </c>
      <c r="M202" s="1">
        <f t="shared" si="29"/>
        <v>0</v>
      </c>
      <c r="N202" t="e">
        <f t="shared" si="30"/>
        <v>#VALUE!</v>
      </c>
      <c r="O202" t="e">
        <f t="shared" si="31"/>
        <v>#VALUE!</v>
      </c>
    </row>
    <row r="203" spans="9:15" x14ac:dyDescent="0.3">
      <c r="I203" t="e">
        <f t="shared" si="26"/>
        <v>#VALUE!</v>
      </c>
      <c r="J203" t="e">
        <f t="shared" si="27"/>
        <v>#VALUE!</v>
      </c>
      <c r="K203" t="e">
        <f t="shared" si="28"/>
        <v>#VALUE!</v>
      </c>
      <c r="M203" s="1">
        <f t="shared" si="29"/>
        <v>0</v>
      </c>
      <c r="N203" t="e">
        <f t="shared" si="30"/>
        <v>#VALUE!</v>
      </c>
      <c r="O203" t="e">
        <f t="shared" si="31"/>
        <v>#VALUE!</v>
      </c>
    </row>
    <row r="204" spans="9:15" x14ac:dyDescent="0.3">
      <c r="I204" t="e">
        <f t="shared" si="26"/>
        <v>#VALUE!</v>
      </c>
      <c r="J204" t="e">
        <f t="shared" si="27"/>
        <v>#VALUE!</v>
      </c>
      <c r="K204" t="e">
        <f t="shared" si="28"/>
        <v>#VALUE!</v>
      </c>
      <c r="M204" s="1">
        <f t="shared" si="29"/>
        <v>0</v>
      </c>
      <c r="N204" t="e">
        <f t="shared" si="30"/>
        <v>#VALUE!</v>
      </c>
      <c r="O204" t="e">
        <f t="shared" si="31"/>
        <v>#VALUE!</v>
      </c>
    </row>
    <row r="205" spans="9:15" x14ac:dyDescent="0.3">
      <c r="I205" t="e">
        <f t="shared" si="26"/>
        <v>#VALUE!</v>
      </c>
      <c r="J205" t="e">
        <f t="shared" si="27"/>
        <v>#VALUE!</v>
      </c>
      <c r="K205" t="e">
        <f t="shared" si="28"/>
        <v>#VALUE!</v>
      </c>
      <c r="M205" s="1">
        <f t="shared" si="29"/>
        <v>0</v>
      </c>
      <c r="N205" t="e">
        <f t="shared" si="30"/>
        <v>#VALUE!</v>
      </c>
      <c r="O205" t="e">
        <f t="shared" si="31"/>
        <v>#VALUE!</v>
      </c>
    </row>
    <row r="206" spans="9:15" x14ac:dyDescent="0.3">
      <c r="I206" t="e">
        <f t="shared" si="26"/>
        <v>#VALUE!</v>
      </c>
      <c r="J206" t="e">
        <f t="shared" si="27"/>
        <v>#VALUE!</v>
      </c>
      <c r="K206" t="e">
        <f t="shared" si="28"/>
        <v>#VALUE!</v>
      </c>
      <c r="M206" s="1">
        <f t="shared" si="29"/>
        <v>0</v>
      </c>
      <c r="N206" t="e">
        <f t="shared" si="30"/>
        <v>#VALUE!</v>
      </c>
      <c r="O206" t="e">
        <f t="shared" si="31"/>
        <v>#VALUE!</v>
      </c>
    </row>
    <row r="207" spans="9:15" x14ac:dyDescent="0.3">
      <c r="I207" t="e">
        <f t="shared" si="26"/>
        <v>#VALUE!</v>
      </c>
      <c r="J207" t="e">
        <f t="shared" si="27"/>
        <v>#VALUE!</v>
      </c>
      <c r="K207" t="e">
        <f t="shared" si="28"/>
        <v>#VALUE!</v>
      </c>
      <c r="M207" s="1">
        <f t="shared" si="29"/>
        <v>0</v>
      </c>
      <c r="N207" t="e">
        <f t="shared" si="30"/>
        <v>#VALUE!</v>
      </c>
      <c r="O207" t="e">
        <f t="shared" si="31"/>
        <v>#VALUE!</v>
      </c>
    </row>
    <row r="208" spans="9:15" x14ac:dyDescent="0.3">
      <c r="I208" t="e">
        <f t="shared" si="26"/>
        <v>#VALUE!</v>
      </c>
      <c r="J208" t="e">
        <f t="shared" si="27"/>
        <v>#VALUE!</v>
      </c>
      <c r="K208" t="e">
        <f t="shared" si="28"/>
        <v>#VALUE!</v>
      </c>
      <c r="M208" s="1">
        <f t="shared" si="29"/>
        <v>0</v>
      </c>
      <c r="N208" t="e">
        <f t="shared" si="30"/>
        <v>#VALUE!</v>
      </c>
      <c r="O208" t="e">
        <f t="shared" si="31"/>
        <v>#VALUE!</v>
      </c>
    </row>
    <row r="209" spans="9:15" x14ac:dyDescent="0.3">
      <c r="I209" t="e">
        <f t="shared" si="26"/>
        <v>#VALUE!</v>
      </c>
      <c r="J209" t="e">
        <f t="shared" si="27"/>
        <v>#VALUE!</v>
      </c>
      <c r="K209" t="e">
        <f t="shared" si="28"/>
        <v>#VALUE!</v>
      </c>
      <c r="M209" s="1">
        <f t="shared" si="29"/>
        <v>0</v>
      </c>
      <c r="N209" t="e">
        <f t="shared" si="30"/>
        <v>#VALUE!</v>
      </c>
      <c r="O209" t="e">
        <f t="shared" si="31"/>
        <v>#VALUE!</v>
      </c>
    </row>
    <row r="210" spans="9:15" x14ac:dyDescent="0.3">
      <c r="I210" t="e">
        <f t="shared" si="26"/>
        <v>#VALUE!</v>
      </c>
      <c r="J210" t="e">
        <f t="shared" si="27"/>
        <v>#VALUE!</v>
      </c>
      <c r="K210" t="e">
        <f t="shared" si="28"/>
        <v>#VALUE!</v>
      </c>
      <c r="M210" s="1">
        <f t="shared" si="29"/>
        <v>0</v>
      </c>
      <c r="N210" t="e">
        <f t="shared" si="30"/>
        <v>#VALUE!</v>
      </c>
      <c r="O210" t="e">
        <f t="shared" si="31"/>
        <v>#VALUE!</v>
      </c>
    </row>
    <row r="211" spans="9:15" x14ac:dyDescent="0.3">
      <c r="I211" t="e">
        <f t="shared" si="26"/>
        <v>#VALUE!</v>
      </c>
      <c r="J211" t="e">
        <f t="shared" si="27"/>
        <v>#VALUE!</v>
      </c>
      <c r="K211" t="e">
        <f t="shared" si="28"/>
        <v>#VALUE!</v>
      </c>
      <c r="M211" s="1">
        <f t="shared" si="29"/>
        <v>0</v>
      </c>
      <c r="N211" t="e">
        <f t="shared" si="30"/>
        <v>#VALUE!</v>
      </c>
      <c r="O211" t="e">
        <f t="shared" si="31"/>
        <v>#VALUE!</v>
      </c>
    </row>
    <row r="212" spans="9:15" x14ac:dyDescent="0.3">
      <c r="I212" t="e">
        <f t="shared" si="26"/>
        <v>#VALUE!</v>
      </c>
      <c r="J212" t="e">
        <f t="shared" si="27"/>
        <v>#VALUE!</v>
      </c>
      <c r="K212" t="e">
        <f t="shared" si="28"/>
        <v>#VALUE!</v>
      </c>
      <c r="M212" s="1">
        <f t="shared" si="29"/>
        <v>0</v>
      </c>
      <c r="N212" t="e">
        <f t="shared" si="30"/>
        <v>#VALUE!</v>
      </c>
      <c r="O212" t="e">
        <f t="shared" si="31"/>
        <v>#VALUE!</v>
      </c>
    </row>
    <row r="213" spans="9:15" x14ac:dyDescent="0.3">
      <c r="I213" t="e">
        <f t="shared" si="26"/>
        <v>#VALUE!</v>
      </c>
      <c r="J213" t="e">
        <f t="shared" si="27"/>
        <v>#VALUE!</v>
      </c>
      <c r="K213" t="e">
        <f t="shared" si="28"/>
        <v>#VALUE!</v>
      </c>
      <c r="M213" s="1">
        <f t="shared" si="29"/>
        <v>0</v>
      </c>
      <c r="N213" t="e">
        <f t="shared" si="30"/>
        <v>#VALUE!</v>
      </c>
      <c r="O213" t="e">
        <f t="shared" si="31"/>
        <v>#VALUE!</v>
      </c>
    </row>
    <row r="214" spans="9:15" x14ac:dyDescent="0.3">
      <c r="I214" t="e">
        <f t="shared" si="26"/>
        <v>#VALUE!</v>
      </c>
      <c r="J214" t="e">
        <f t="shared" si="27"/>
        <v>#VALUE!</v>
      </c>
      <c r="K214" t="e">
        <f t="shared" si="28"/>
        <v>#VALUE!</v>
      </c>
      <c r="M214" s="1">
        <f t="shared" si="29"/>
        <v>0</v>
      </c>
      <c r="N214" t="e">
        <f t="shared" si="30"/>
        <v>#VALUE!</v>
      </c>
      <c r="O214" t="e">
        <f t="shared" si="31"/>
        <v>#VALUE!</v>
      </c>
    </row>
    <row r="215" spans="9:15" x14ac:dyDescent="0.3">
      <c r="I215" t="e">
        <f t="shared" si="26"/>
        <v>#VALUE!</v>
      </c>
      <c r="J215" t="e">
        <f t="shared" si="27"/>
        <v>#VALUE!</v>
      </c>
      <c r="K215" t="e">
        <f t="shared" si="28"/>
        <v>#VALUE!</v>
      </c>
      <c r="M215" s="1">
        <f t="shared" si="29"/>
        <v>0</v>
      </c>
      <c r="N215" t="e">
        <f t="shared" si="30"/>
        <v>#VALUE!</v>
      </c>
      <c r="O215" t="e">
        <f t="shared" si="31"/>
        <v>#VALUE!</v>
      </c>
    </row>
    <row r="216" spans="9:15" x14ac:dyDescent="0.3">
      <c r="I216" t="e">
        <f t="shared" si="26"/>
        <v>#VALUE!</v>
      </c>
      <c r="J216" t="e">
        <f t="shared" si="27"/>
        <v>#VALUE!</v>
      </c>
      <c r="K216" t="e">
        <f t="shared" si="28"/>
        <v>#VALUE!</v>
      </c>
      <c r="M216" s="1">
        <f t="shared" si="29"/>
        <v>0</v>
      </c>
      <c r="N216" t="e">
        <f t="shared" si="30"/>
        <v>#VALUE!</v>
      </c>
      <c r="O216" t="e">
        <f t="shared" si="31"/>
        <v>#VALUE!</v>
      </c>
    </row>
    <row r="217" spans="9:15" x14ac:dyDescent="0.3">
      <c r="I217" t="e">
        <f t="shared" si="26"/>
        <v>#VALUE!</v>
      </c>
      <c r="J217" t="e">
        <f t="shared" si="27"/>
        <v>#VALUE!</v>
      </c>
      <c r="K217" t="e">
        <f t="shared" si="28"/>
        <v>#VALUE!</v>
      </c>
      <c r="M217" s="1">
        <f t="shared" si="29"/>
        <v>0</v>
      </c>
      <c r="N217" t="e">
        <f t="shared" si="30"/>
        <v>#VALUE!</v>
      </c>
      <c r="O217" t="e">
        <f t="shared" si="31"/>
        <v>#VALUE!</v>
      </c>
    </row>
    <row r="218" spans="9:15" x14ac:dyDescent="0.3">
      <c r="I218" t="e">
        <f t="shared" si="26"/>
        <v>#VALUE!</v>
      </c>
      <c r="J218" t="e">
        <f t="shared" si="27"/>
        <v>#VALUE!</v>
      </c>
      <c r="K218" t="e">
        <f t="shared" si="28"/>
        <v>#VALUE!</v>
      </c>
      <c r="M218" s="1">
        <f t="shared" si="29"/>
        <v>0</v>
      </c>
      <c r="N218" t="e">
        <f t="shared" si="30"/>
        <v>#VALUE!</v>
      </c>
      <c r="O218" t="e">
        <f t="shared" si="31"/>
        <v>#VALUE!</v>
      </c>
    </row>
    <row r="219" spans="9:15" x14ac:dyDescent="0.3">
      <c r="I219" t="e">
        <f t="shared" si="26"/>
        <v>#VALUE!</v>
      </c>
      <c r="J219" t="e">
        <f t="shared" si="27"/>
        <v>#VALUE!</v>
      </c>
      <c r="K219" t="e">
        <f t="shared" si="28"/>
        <v>#VALUE!</v>
      </c>
      <c r="M219" s="1">
        <f t="shared" si="29"/>
        <v>0</v>
      </c>
      <c r="N219" t="e">
        <f t="shared" si="30"/>
        <v>#VALUE!</v>
      </c>
      <c r="O219" t="e">
        <f t="shared" si="31"/>
        <v>#VALUE!</v>
      </c>
    </row>
    <row r="220" spans="9:15" x14ac:dyDescent="0.3">
      <c r="I220" t="e">
        <f t="shared" si="26"/>
        <v>#VALUE!</v>
      </c>
      <c r="J220" t="e">
        <f t="shared" si="27"/>
        <v>#VALUE!</v>
      </c>
      <c r="K220" t="e">
        <f t="shared" si="28"/>
        <v>#VALUE!</v>
      </c>
      <c r="M220" s="1">
        <f t="shared" si="29"/>
        <v>0</v>
      </c>
      <c r="N220" t="e">
        <f t="shared" si="30"/>
        <v>#VALUE!</v>
      </c>
      <c r="O220" t="e">
        <f t="shared" si="31"/>
        <v>#VALUE!</v>
      </c>
    </row>
    <row r="221" spans="9:15" x14ac:dyDescent="0.3">
      <c r="I221" t="e">
        <f t="shared" si="26"/>
        <v>#VALUE!</v>
      </c>
      <c r="J221" t="e">
        <f t="shared" si="27"/>
        <v>#VALUE!</v>
      </c>
      <c r="K221" t="e">
        <f t="shared" si="28"/>
        <v>#VALUE!</v>
      </c>
      <c r="M221" s="1">
        <f t="shared" si="29"/>
        <v>0</v>
      </c>
      <c r="N221" t="e">
        <f t="shared" si="30"/>
        <v>#VALUE!</v>
      </c>
      <c r="O221" t="e">
        <f t="shared" si="31"/>
        <v>#VALUE!</v>
      </c>
    </row>
    <row r="222" spans="9:15" x14ac:dyDescent="0.3">
      <c r="I222" t="e">
        <f t="shared" si="26"/>
        <v>#VALUE!</v>
      </c>
      <c r="J222" t="e">
        <f t="shared" si="27"/>
        <v>#VALUE!</v>
      </c>
      <c r="K222" t="e">
        <f t="shared" si="28"/>
        <v>#VALUE!</v>
      </c>
      <c r="M222" s="1">
        <f t="shared" si="29"/>
        <v>0</v>
      </c>
      <c r="N222" t="e">
        <f t="shared" si="30"/>
        <v>#VALUE!</v>
      </c>
      <c r="O222" t="e">
        <f t="shared" si="31"/>
        <v>#VALUE!</v>
      </c>
    </row>
    <row r="223" spans="9:15" x14ac:dyDescent="0.3">
      <c r="I223" t="e">
        <f t="shared" si="26"/>
        <v>#VALUE!</v>
      </c>
      <c r="J223" t="e">
        <f t="shared" si="27"/>
        <v>#VALUE!</v>
      </c>
      <c r="K223" t="e">
        <f t="shared" si="28"/>
        <v>#VALUE!</v>
      </c>
      <c r="M223" s="1">
        <f t="shared" si="29"/>
        <v>0</v>
      </c>
      <c r="N223" t="e">
        <f t="shared" si="30"/>
        <v>#VALUE!</v>
      </c>
      <c r="O223" t="e">
        <f t="shared" si="31"/>
        <v>#VALUE!</v>
      </c>
    </row>
    <row r="224" spans="9:15" x14ac:dyDescent="0.3">
      <c r="I224" t="e">
        <f t="shared" si="26"/>
        <v>#VALUE!</v>
      </c>
      <c r="J224" t="e">
        <f t="shared" si="27"/>
        <v>#VALUE!</v>
      </c>
      <c r="K224" t="e">
        <f t="shared" si="28"/>
        <v>#VALUE!</v>
      </c>
      <c r="M224" s="1">
        <f t="shared" si="29"/>
        <v>0</v>
      </c>
      <c r="N224" t="e">
        <f t="shared" si="30"/>
        <v>#VALUE!</v>
      </c>
      <c r="O224" t="e">
        <f t="shared" si="31"/>
        <v>#VALUE!</v>
      </c>
    </row>
    <row r="225" spans="9:15" x14ac:dyDescent="0.3">
      <c r="I225" t="e">
        <f t="shared" si="26"/>
        <v>#VALUE!</v>
      </c>
      <c r="J225" t="e">
        <f t="shared" si="27"/>
        <v>#VALUE!</v>
      </c>
      <c r="K225" t="e">
        <f t="shared" si="28"/>
        <v>#VALUE!</v>
      </c>
      <c r="M225" s="1">
        <f t="shared" si="29"/>
        <v>0</v>
      </c>
      <c r="N225" t="e">
        <f t="shared" si="30"/>
        <v>#VALUE!</v>
      </c>
      <c r="O225" t="e">
        <f t="shared" si="31"/>
        <v>#VALUE!</v>
      </c>
    </row>
    <row r="226" spans="9:15" x14ac:dyDescent="0.3">
      <c r="I226" t="e">
        <f t="shared" ref="I226:I289" si="32">RIGHT(C226,LEN(C226)-FIND(" ",C226,LEN(C226)-12))</f>
        <v>#VALUE!</v>
      </c>
      <c r="J226" t="e">
        <f t="shared" ref="J226:J289" si="33">RIGHT(C226,LEN(I226)/2)</f>
        <v>#VALUE!</v>
      </c>
      <c r="K226" t="e">
        <f t="shared" ref="K226:K289" si="34">LEFT(C226,FIND(" ",C226)-1)</f>
        <v>#VALUE!</v>
      </c>
      <c r="M226" s="1">
        <f t="shared" ref="M226:M289" si="35">B226</f>
        <v>0</v>
      </c>
      <c r="N226" t="e">
        <f t="shared" ref="N226:N289" si="36">VLOOKUP(J226,$R$1:$S$30,2,FALSE)</f>
        <v>#VALUE!</v>
      </c>
      <c r="O226" t="e">
        <f t="shared" ref="O226:O289" si="37">VLOOKUP(K226,$R$1:$S$30,2,FALSE)</f>
        <v>#VALUE!</v>
      </c>
    </row>
    <row r="227" spans="9:15" x14ac:dyDescent="0.3">
      <c r="I227" t="e">
        <f t="shared" si="32"/>
        <v>#VALUE!</v>
      </c>
      <c r="J227" t="e">
        <f t="shared" si="33"/>
        <v>#VALUE!</v>
      </c>
      <c r="K227" t="e">
        <f t="shared" si="34"/>
        <v>#VALUE!</v>
      </c>
      <c r="M227" s="1">
        <f t="shared" si="35"/>
        <v>0</v>
      </c>
      <c r="N227" t="e">
        <f t="shared" si="36"/>
        <v>#VALUE!</v>
      </c>
      <c r="O227" t="e">
        <f t="shared" si="37"/>
        <v>#VALUE!</v>
      </c>
    </row>
    <row r="228" spans="9:15" x14ac:dyDescent="0.3">
      <c r="I228" t="e">
        <f t="shared" si="32"/>
        <v>#VALUE!</v>
      </c>
      <c r="J228" t="e">
        <f t="shared" si="33"/>
        <v>#VALUE!</v>
      </c>
      <c r="K228" t="e">
        <f t="shared" si="34"/>
        <v>#VALUE!</v>
      </c>
      <c r="M228" s="1">
        <f t="shared" si="35"/>
        <v>0</v>
      </c>
      <c r="N228" t="e">
        <f t="shared" si="36"/>
        <v>#VALUE!</v>
      </c>
      <c r="O228" t="e">
        <f t="shared" si="37"/>
        <v>#VALUE!</v>
      </c>
    </row>
    <row r="229" spans="9:15" x14ac:dyDescent="0.3">
      <c r="I229" t="e">
        <f t="shared" si="32"/>
        <v>#VALUE!</v>
      </c>
      <c r="J229" t="e">
        <f t="shared" si="33"/>
        <v>#VALUE!</v>
      </c>
      <c r="K229" t="e">
        <f t="shared" si="34"/>
        <v>#VALUE!</v>
      </c>
      <c r="M229" s="1">
        <f t="shared" si="35"/>
        <v>0</v>
      </c>
      <c r="N229" t="e">
        <f t="shared" si="36"/>
        <v>#VALUE!</v>
      </c>
      <c r="O229" t="e">
        <f t="shared" si="37"/>
        <v>#VALUE!</v>
      </c>
    </row>
    <row r="230" spans="9:15" x14ac:dyDescent="0.3">
      <c r="I230" t="e">
        <f t="shared" si="32"/>
        <v>#VALUE!</v>
      </c>
      <c r="J230" t="e">
        <f t="shared" si="33"/>
        <v>#VALUE!</v>
      </c>
      <c r="K230" t="e">
        <f t="shared" si="34"/>
        <v>#VALUE!</v>
      </c>
      <c r="M230" s="1">
        <f t="shared" si="35"/>
        <v>0</v>
      </c>
      <c r="N230" t="e">
        <f t="shared" si="36"/>
        <v>#VALUE!</v>
      </c>
      <c r="O230" t="e">
        <f t="shared" si="37"/>
        <v>#VALUE!</v>
      </c>
    </row>
    <row r="231" spans="9:15" x14ac:dyDescent="0.3">
      <c r="I231" t="e">
        <f t="shared" si="32"/>
        <v>#VALUE!</v>
      </c>
      <c r="J231" t="e">
        <f t="shared" si="33"/>
        <v>#VALUE!</v>
      </c>
      <c r="K231" t="e">
        <f t="shared" si="34"/>
        <v>#VALUE!</v>
      </c>
      <c r="M231" s="1">
        <f t="shared" si="35"/>
        <v>0</v>
      </c>
      <c r="N231" t="e">
        <f t="shared" si="36"/>
        <v>#VALUE!</v>
      </c>
      <c r="O231" t="e">
        <f t="shared" si="37"/>
        <v>#VALUE!</v>
      </c>
    </row>
    <row r="232" spans="9:15" x14ac:dyDescent="0.3">
      <c r="I232" t="e">
        <f t="shared" si="32"/>
        <v>#VALUE!</v>
      </c>
      <c r="J232" t="e">
        <f t="shared" si="33"/>
        <v>#VALUE!</v>
      </c>
      <c r="K232" t="e">
        <f t="shared" si="34"/>
        <v>#VALUE!</v>
      </c>
      <c r="M232" s="1">
        <f t="shared" si="35"/>
        <v>0</v>
      </c>
      <c r="N232" t="e">
        <f t="shared" si="36"/>
        <v>#VALUE!</v>
      </c>
      <c r="O232" t="e">
        <f t="shared" si="37"/>
        <v>#VALUE!</v>
      </c>
    </row>
    <row r="233" spans="9:15" x14ac:dyDescent="0.3">
      <c r="I233" t="e">
        <f t="shared" si="32"/>
        <v>#VALUE!</v>
      </c>
      <c r="J233" t="e">
        <f t="shared" si="33"/>
        <v>#VALUE!</v>
      </c>
      <c r="K233" t="e">
        <f t="shared" si="34"/>
        <v>#VALUE!</v>
      </c>
      <c r="M233" s="1">
        <f t="shared" si="35"/>
        <v>0</v>
      </c>
      <c r="N233" t="e">
        <f t="shared" si="36"/>
        <v>#VALUE!</v>
      </c>
      <c r="O233" t="e">
        <f t="shared" si="37"/>
        <v>#VALUE!</v>
      </c>
    </row>
    <row r="234" spans="9:15" x14ac:dyDescent="0.3">
      <c r="I234" t="e">
        <f t="shared" si="32"/>
        <v>#VALUE!</v>
      </c>
      <c r="J234" t="e">
        <f t="shared" si="33"/>
        <v>#VALUE!</v>
      </c>
      <c r="K234" t="e">
        <f t="shared" si="34"/>
        <v>#VALUE!</v>
      </c>
      <c r="M234" s="1">
        <f t="shared" si="35"/>
        <v>0</v>
      </c>
      <c r="N234" t="e">
        <f t="shared" si="36"/>
        <v>#VALUE!</v>
      </c>
      <c r="O234" t="e">
        <f t="shared" si="37"/>
        <v>#VALUE!</v>
      </c>
    </row>
    <row r="235" spans="9:15" x14ac:dyDescent="0.3">
      <c r="I235" t="e">
        <f t="shared" si="32"/>
        <v>#VALUE!</v>
      </c>
      <c r="J235" t="e">
        <f t="shared" si="33"/>
        <v>#VALUE!</v>
      </c>
      <c r="K235" t="e">
        <f t="shared" si="34"/>
        <v>#VALUE!</v>
      </c>
      <c r="M235" s="1">
        <f t="shared" si="35"/>
        <v>0</v>
      </c>
      <c r="N235" t="e">
        <f t="shared" si="36"/>
        <v>#VALUE!</v>
      </c>
      <c r="O235" t="e">
        <f t="shared" si="37"/>
        <v>#VALUE!</v>
      </c>
    </row>
    <row r="236" spans="9:15" x14ac:dyDescent="0.3">
      <c r="I236" t="e">
        <f t="shared" si="32"/>
        <v>#VALUE!</v>
      </c>
      <c r="J236" t="e">
        <f t="shared" si="33"/>
        <v>#VALUE!</v>
      </c>
      <c r="K236" t="e">
        <f t="shared" si="34"/>
        <v>#VALUE!</v>
      </c>
      <c r="M236" s="1">
        <f t="shared" si="35"/>
        <v>0</v>
      </c>
      <c r="N236" t="e">
        <f t="shared" si="36"/>
        <v>#VALUE!</v>
      </c>
      <c r="O236" t="e">
        <f t="shared" si="37"/>
        <v>#VALUE!</v>
      </c>
    </row>
    <row r="237" spans="9:15" x14ac:dyDescent="0.3">
      <c r="I237" t="e">
        <f t="shared" si="32"/>
        <v>#VALUE!</v>
      </c>
      <c r="J237" t="e">
        <f t="shared" si="33"/>
        <v>#VALUE!</v>
      </c>
      <c r="K237" t="e">
        <f t="shared" si="34"/>
        <v>#VALUE!</v>
      </c>
      <c r="M237" s="1">
        <f t="shared" si="35"/>
        <v>0</v>
      </c>
      <c r="N237" t="e">
        <f t="shared" si="36"/>
        <v>#VALUE!</v>
      </c>
      <c r="O237" t="e">
        <f t="shared" si="37"/>
        <v>#VALUE!</v>
      </c>
    </row>
    <row r="238" spans="9:15" x14ac:dyDescent="0.3">
      <c r="I238" t="e">
        <f t="shared" si="32"/>
        <v>#VALUE!</v>
      </c>
      <c r="J238" t="e">
        <f t="shared" si="33"/>
        <v>#VALUE!</v>
      </c>
      <c r="K238" t="e">
        <f t="shared" si="34"/>
        <v>#VALUE!</v>
      </c>
      <c r="M238" s="1">
        <f t="shared" si="35"/>
        <v>0</v>
      </c>
      <c r="N238" t="e">
        <f t="shared" si="36"/>
        <v>#VALUE!</v>
      </c>
      <c r="O238" t="e">
        <f t="shared" si="37"/>
        <v>#VALUE!</v>
      </c>
    </row>
    <row r="239" spans="9:15" x14ac:dyDescent="0.3">
      <c r="I239" t="e">
        <f t="shared" si="32"/>
        <v>#VALUE!</v>
      </c>
      <c r="J239" t="e">
        <f t="shared" si="33"/>
        <v>#VALUE!</v>
      </c>
      <c r="K239" t="e">
        <f t="shared" si="34"/>
        <v>#VALUE!</v>
      </c>
      <c r="M239" s="1">
        <f t="shared" si="35"/>
        <v>0</v>
      </c>
      <c r="N239" t="e">
        <f t="shared" si="36"/>
        <v>#VALUE!</v>
      </c>
      <c r="O239" t="e">
        <f t="shared" si="37"/>
        <v>#VALUE!</v>
      </c>
    </row>
    <row r="240" spans="9:15" x14ac:dyDescent="0.3">
      <c r="I240" t="e">
        <f t="shared" si="32"/>
        <v>#VALUE!</v>
      </c>
      <c r="J240" t="e">
        <f t="shared" si="33"/>
        <v>#VALUE!</v>
      </c>
      <c r="K240" t="e">
        <f t="shared" si="34"/>
        <v>#VALUE!</v>
      </c>
      <c r="M240" s="1">
        <f t="shared" si="35"/>
        <v>0</v>
      </c>
      <c r="N240" t="e">
        <f t="shared" si="36"/>
        <v>#VALUE!</v>
      </c>
      <c r="O240" t="e">
        <f t="shared" si="37"/>
        <v>#VALUE!</v>
      </c>
    </row>
    <row r="241" spans="9:15" x14ac:dyDescent="0.3">
      <c r="I241" t="e">
        <f t="shared" si="32"/>
        <v>#VALUE!</v>
      </c>
      <c r="J241" t="e">
        <f t="shared" si="33"/>
        <v>#VALUE!</v>
      </c>
      <c r="K241" t="e">
        <f t="shared" si="34"/>
        <v>#VALUE!</v>
      </c>
      <c r="M241" s="1">
        <f t="shared" si="35"/>
        <v>0</v>
      </c>
      <c r="N241" t="e">
        <f t="shared" si="36"/>
        <v>#VALUE!</v>
      </c>
      <c r="O241" t="e">
        <f t="shared" si="37"/>
        <v>#VALUE!</v>
      </c>
    </row>
    <row r="242" spans="9:15" x14ac:dyDescent="0.3">
      <c r="I242" t="e">
        <f t="shared" si="32"/>
        <v>#VALUE!</v>
      </c>
      <c r="J242" t="e">
        <f t="shared" si="33"/>
        <v>#VALUE!</v>
      </c>
      <c r="K242" t="e">
        <f t="shared" si="34"/>
        <v>#VALUE!</v>
      </c>
      <c r="M242" s="1">
        <f t="shared" si="35"/>
        <v>0</v>
      </c>
      <c r="N242" t="e">
        <f t="shared" si="36"/>
        <v>#VALUE!</v>
      </c>
      <c r="O242" t="e">
        <f t="shared" si="37"/>
        <v>#VALUE!</v>
      </c>
    </row>
    <row r="243" spans="9:15" x14ac:dyDescent="0.3">
      <c r="I243" t="e">
        <f t="shared" si="32"/>
        <v>#VALUE!</v>
      </c>
      <c r="J243" t="e">
        <f t="shared" si="33"/>
        <v>#VALUE!</v>
      </c>
      <c r="K243" t="e">
        <f t="shared" si="34"/>
        <v>#VALUE!</v>
      </c>
      <c r="M243" s="1">
        <f t="shared" si="35"/>
        <v>0</v>
      </c>
      <c r="N243" t="e">
        <f t="shared" si="36"/>
        <v>#VALUE!</v>
      </c>
      <c r="O243" t="e">
        <f t="shared" si="37"/>
        <v>#VALUE!</v>
      </c>
    </row>
    <row r="244" spans="9:15" x14ac:dyDescent="0.3">
      <c r="I244" t="e">
        <f t="shared" si="32"/>
        <v>#VALUE!</v>
      </c>
      <c r="J244" t="e">
        <f t="shared" si="33"/>
        <v>#VALUE!</v>
      </c>
      <c r="K244" t="e">
        <f t="shared" si="34"/>
        <v>#VALUE!</v>
      </c>
      <c r="M244" s="1">
        <f t="shared" si="35"/>
        <v>0</v>
      </c>
      <c r="N244" t="e">
        <f t="shared" si="36"/>
        <v>#VALUE!</v>
      </c>
      <c r="O244" t="e">
        <f t="shared" si="37"/>
        <v>#VALUE!</v>
      </c>
    </row>
    <row r="245" spans="9:15" x14ac:dyDescent="0.3">
      <c r="I245" t="e">
        <f t="shared" si="32"/>
        <v>#VALUE!</v>
      </c>
      <c r="J245" t="e">
        <f t="shared" si="33"/>
        <v>#VALUE!</v>
      </c>
      <c r="K245" t="e">
        <f t="shared" si="34"/>
        <v>#VALUE!</v>
      </c>
      <c r="M245" s="1">
        <f t="shared" si="35"/>
        <v>0</v>
      </c>
      <c r="N245" t="e">
        <f t="shared" si="36"/>
        <v>#VALUE!</v>
      </c>
      <c r="O245" t="e">
        <f t="shared" si="37"/>
        <v>#VALUE!</v>
      </c>
    </row>
    <row r="246" spans="9:15" x14ac:dyDescent="0.3">
      <c r="I246" t="e">
        <f t="shared" si="32"/>
        <v>#VALUE!</v>
      </c>
      <c r="J246" t="e">
        <f t="shared" si="33"/>
        <v>#VALUE!</v>
      </c>
      <c r="K246" t="e">
        <f t="shared" si="34"/>
        <v>#VALUE!</v>
      </c>
      <c r="M246" s="1">
        <f t="shared" si="35"/>
        <v>0</v>
      </c>
      <c r="N246" t="e">
        <f t="shared" si="36"/>
        <v>#VALUE!</v>
      </c>
      <c r="O246" t="e">
        <f t="shared" si="37"/>
        <v>#VALUE!</v>
      </c>
    </row>
    <row r="247" spans="9:15" x14ac:dyDescent="0.3">
      <c r="I247" t="e">
        <f t="shared" si="32"/>
        <v>#VALUE!</v>
      </c>
      <c r="J247" t="e">
        <f t="shared" si="33"/>
        <v>#VALUE!</v>
      </c>
      <c r="K247" t="e">
        <f t="shared" si="34"/>
        <v>#VALUE!</v>
      </c>
      <c r="M247" s="1">
        <f t="shared" si="35"/>
        <v>0</v>
      </c>
      <c r="N247" t="e">
        <f t="shared" si="36"/>
        <v>#VALUE!</v>
      </c>
      <c r="O247" t="e">
        <f t="shared" si="37"/>
        <v>#VALUE!</v>
      </c>
    </row>
    <row r="248" spans="9:15" x14ac:dyDescent="0.3">
      <c r="I248" t="e">
        <f t="shared" si="32"/>
        <v>#VALUE!</v>
      </c>
      <c r="J248" t="e">
        <f t="shared" si="33"/>
        <v>#VALUE!</v>
      </c>
      <c r="K248" t="e">
        <f t="shared" si="34"/>
        <v>#VALUE!</v>
      </c>
      <c r="M248" s="1">
        <f t="shared" si="35"/>
        <v>0</v>
      </c>
      <c r="N248" t="e">
        <f t="shared" si="36"/>
        <v>#VALUE!</v>
      </c>
      <c r="O248" t="e">
        <f t="shared" si="37"/>
        <v>#VALUE!</v>
      </c>
    </row>
    <row r="249" spans="9:15" x14ac:dyDescent="0.3">
      <c r="I249" t="e">
        <f t="shared" si="32"/>
        <v>#VALUE!</v>
      </c>
      <c r="J249" t="e">
        <f t="shared" si="33"/>
        <v>#VALUE!</v>
      </c>
      <c r="K249" t="e">
        <f t="shared" si="34"/>
        <v>#VALUE!</v>
      </c>
      <c r="M249" s="1">
        <f t="shared" si="35"/>
        <v>0</v>
      </c>
      <c r="N249" t="e">
        <f t="shared" si="36"/>
        <v>#VALUE!</v>
      </c>
      <c r="O249" t="e">
        <f t="shared" si="37"/>
        <v>#VALUE!</v>
      </c>
    </row>
    <row r="250" spans="9:15" x14ac:dyDescent="0.3">
      <c r="I250" t="e">
        <f t="shared" si="32"/>
        <v>#VALUE!</v>
      </c>
      <c r="J250" t="e">
        <f t="shared" si="33"/>
        <v>#VALUE!</v>
      </c>
      <c r="K250" t="e">
        <f t="shared" si="34"/>
        <v>#VALUE!</v>
      </c>
      <c r="M250" s="1">
        <f t="shared" si="35"/>
        <v>0</v>
      </c>
      <c r="N250" t="e">
        <f t="shared" si="36"/>
        <v>#VALUE!</v>
      </c>
      <c r="O250" t="e">
        <f t="shared" si="37"/>
        <v>#VALUE!</v>
      </c>
    </row>
    <row r="251" spans="9:15" x14ac:dyDescent="0.3">
      <c r="I251" t="e">
        <f t="shared" si="32"/>
        <v>#VALUE!</v>
      </c>
      <c r="J251" t="e">
        <f t="shared" si="33"/>
        <v>#VALUE!</v>
      </c>
      <c r="K251" t="e">
        <f t="shared" si="34"/>
        <v>#VALUE!</v>
      </c>
      <c r="M251" s="1">
        <f t="shared" si="35"/>
        <v>0</v>
      </c>
      <c r="N251" t="e">
        <f t="shared" si="36"/>
        <v>#VALUE!</v>
      </c>
      <c r="O251" t="e">
        <f t="shared" si="37"/>
        <v>#VALUE!</v>
      </c>
    </row>
    <row r="252" spans="9:15" x14ac:dyDescent="0.3">
      <c r="I252" t="e">
        <f t="shared" si="32"/>
        <v>#VALUE!</v>
      </c>
      <c r="J252" t="e">
        <f t="shared" si="33"/>
        <v>#VALUE!</v>
      </c>
      <c r="K252" t="e">
        <f t="shared" si="34"/>
        <v>#VALUE!</v>
      </c>
      <c r="M252" s="1">
        <f t="shared" si="35"/>
        <v>0</v>
      </c>
      <c r="N252" t="e">
        <f t="shared" si="36"/>
        <v>#VALUE!</v>
      </c>
      <c r="O252" t="e">
        <f t="shared" si="37"/>
        <v>#VALUE!</v>
      </c>
    </row>
    <row r="253" spans="9:15" x14ac:dyDescent="0.3">
      <c r="I253" t="e">
        <f t="shared" si="32"/>
        <v>#VALUE!</v>
      </c>
      <c r="J253" t="e">
        <f t="shared" si="33"/>
        <v>#VALUE!</v>
      </c>
      <c r="K253" t="e">
        <f t="shared" si="34"/>
        <v>#VALUE!</v>
      </c>
      <c r="M253" s="1">
        <f t="shared" si="35"/>
        <v>0</v>
      </c>
      <c r="N253" t="e">
        <f t="shared" si="36"/>
        <v>#VALUE!</v>
      </c>
      <c r="O253" t="e">
        <f t="shared" si="37"/>
        <v>#VALUE!</v>
      </c>
    </row>
    <row r="254" spans="9:15" x14ac:dyDescent="0.3">
      <c r="I254" t="e">
        <f t="shared" si="32"/>
        <v>#VALUE!</v>
      </c>
      <c r="J254" t="e">
        <f t="shared" si="33"/>
        <v>#VALUE!</v>
      </c>
      <c r="K254" t="e">
        <f t="shared" si="34"/>
        <v>#VALUE!</v>
      </c>
      <c r="M254" s="1">
        <f t="shared" si="35"/>
        <v>0</v>
      </c>
      <c r="N254" t="e">
        <f t="shared" si="36"/>
        <v>#VALUE!</v>
      </c>
      <c r="O254" t="e">
        <f t="shared" si="37"/>
        <v>#VALUE!</v>
      </c>
    </row>
    <row r="255" spans="9:15" x14ac:dyDescent="0.3">
      <c r="I255" t="e">
        <f t="shared" si="32"/>
        <v>#VALUE!</v>
      </c>
      <c r="J255" t="e">
        <f t="shared" si="33"/>
        <v>#VALUE!</v>
      </c>
      <c r="K255" t="e">
        <f t="shared" si="34"/>
        <v>#VALUE!</v>
      </c>
      <c r="M255" s="1">
        <f t="shared" si="35"/>
        <v>0</v>
      </c>
      <c r="N255" t="e">
        <f t="shared" si="36"/>
        <v>#VALUE!</v>
      </c>
      <c r="O255" t="e">
        <f t="shared" si="37"/>
        <v>#VALUE!</v>
      </c>
    </row>
    <row r="256" spans="9:15" x14ac:dyDescent="0.3">
      <c r="I256" t="e">
        <f t="shared" si="32"/>
        <v>#VALUE!</v>
      </c>
      <c r="J256" t="e">
        <f t="shared" si="33"/>
        <v>#VALUE!</v>
      </c>
      <c r="K256" t="e">
        <f t="shared" si="34"/>
        <v>#VALUE!</v>
      </c>
      <c r="M256" s="1">
        <f t="shared" si="35"/>
        <v>0</v>
      </c>
      <c r="N256" t="e">
        <f t="shared" si="36"/>
        <v>#VALUE!</v>
      </c>
      <c r="O256" t="e">
        <f t="shared" si="37"/>
        <v>#VALUE!</v>
      </c>
    </row>
    <row r="257" spans="9:15" x14ac:dyDescent="0.3">
      <c r="I257" t="e">
        <f t="shared" si="32"/>
        <v>#VALUE!</v>
      </c>
      <c r="J257" t="e">
        <f t="shared" si="33"/>
        <v>#VALUE!</v>
      </c>
      <c r="K257" t="e">
        <f t="shared" si="34"/>
        <v>#VALUE!</v>
      </c>
      <c r="M257" s="1">
        <f t="shared" si="35"/>
        <v>0</v>
      </c>
      <c r="N257" t="e">
        <f t="shared" si="36"/>
        <v>#VALUE!</v>
      </c>
      <c r="O257" t="e">
        <f t="shared" si="37"/>
        <v>#VALUE!</v>
      </c>
    </row>
    <row r="258" spans="9:15" x14ac:dyDescent="0.3">
      <c r="I258" t="e">
        <f t="shared" si="32"/>
        <v>#VALUE!</v>
      </c>
      <c r="J258" t="e">
        <f t="shared" si="33"/>
        <v>#VALUE!</v>
      </c>
      <c r="K258" t="e">
        <f t="shared" si="34"/>
        <v>#VALUE!</v>
      </c>
      <c r="M258" s="1">
        <f t="shared" si="35"/>
        <v>0</v>
      </c>
      <c r="N258" t="e">
        <f t="shared" si="36"/>
        <v>#VALUE!</v>
      </c>
      <c r="O258" t="e">
        <f t="shared" si="37"/>
        <v>#VALUE!</v>
      </c>
    </row>
    <row r="259" spans="9:15" x14ac:dyDescent="0.3">
      <c r="I259" t="e">
        <f t="shared" si="32"/>
        <v>#VALUE!</v>
      </c>
      <c r="J259" t="e">
        <f t="shared" si="33"/>
        <v>#VALUE!</v>
      </c>
      <c r="K259" t="e">
        <f t="shared" si="34"/>
        <v>#VALUE!</v>
      </c>
      <c r="M259" s="1">
        <f t="shared" si="35"/>
        <v>0</v>
      </c>
      <c r="N259" t="e">
        <f t="shared" si="36"/>
        <v>#VALUE!</v>
      </c>
      <c r="O259" t="e">
        <f t="shared" si="37"/>
        <v>#VALUE!</v>
      </c>
    </row>
    <row r="260" spans="9:15" x14ac:dyDescent="0.3">
      <c r="I260" t="e">
        <f t="shared" si="32"/>
        <v>#VALUE!</v>
      </c>
      <c r="J260" t="e">
        <f t="shared" si="33"/>
        <v>#VALUE!</v>
      </c>
      <c r="K260" t="e">
        <f t="shared" si="34"/>
        <v>#VALUE!</v>
      </c>
      <c r="M260" s="1">
        <f t="shared" si="35"/>
        <v>0</v>
      </c>
      <c r="N260" t="e">
        <f t="shared" si="36"/>
        <v>#VALUE!</v>
      </c>
      <c r="O260" t="e">
        <f t="shared" si="37"/>
        <v>#VALUE!</v>
      </c>
    </row>
    <row r="261" spans="9:15" x14ac:dyDescent="0.3">
      <c r="I261" t="e">
        <f t="shared" si="32"/>
        <v>#VALUE!</v>
      </c>
      <c r="J261" t="e">
        <f t="shared" si="33"/>
        <v>#VALUE!</v>
      </c>
      <c r="K261" t="e">
        <f t="shared" si="34"/>
        <v>#VALUE!</v>
      </c>
      <c r="M261" s="1">
        <f t="shared" si="35"/>
        <v>0</v>
      </c>
      <c r="N261" t="e">
        <f t="shared" si="36"/>
        <v>#VALUE!</v>
      </c>
      <c r="O261" t="e">
        <f t="shared" si="37"/>
        <v>#VALUE!</v>
      </c>
    </row>
    <row r="262" spans="9:15" x14ac:dyDescent="0.3">
      <c r="I262" t="e">
        <f t="shared" si="32"/>
        <v>#VALUE!</v>
      </c>
      <c r="J262" t="e">
        <f t="shared" si="33"/>
        <v>#VALUE!</v>
      </c>
      <c r="K262" t="e">
        <f t="shared" si="34"/>
        <v>#VALUE!</v>
      </c>
      <c r="M262" s="1">
        <f t="shared" si="35"/>
        <v>0</v>
      </c>
      <c r="N262" t="e">
        <f t="shared" si="36"/>
        <v>#VALUE!</v>
      </c>
      <c r="O262" t="e">
        <f t="shared" si="37"/>
        <v>#VALUE!</v>
      </c>
    </row>
    <row r="263" spans="9:15" x14ac:dyDescent="0.3">
      <c r="I263" t="e">
        <f t="shared" si="32"/>
        <v>#VALUE!</v>
      </c>
      <c r="J263" t="e">
        <f t="shared" si="33"/>
        <v>#VALUE!</v>
      </c>
      <c r="K263" t="e">
        <f t="shared" si="34"/>
        <v>#VALUE!</v>
      </c>
      <c r="M263" s="1">
        <f t="shared" si="35"/>
        <v>0</v>
      </c>
      <c r="N263" t="e">
        <f t="shared" si="36"/>
        <v>#VALUE!</v>
      </c>
      <c r="O263" t="e">
        <f t="shared" si="37"/>
        <v>#VALUE!</v>
      </c>
    </row>
    <row r="264" spans="9:15" x14ac:dyDescent="0.3">
      <c r="I264" t="e">
        <f t="shared" si="32"/>
        <v>#VALUE!</v>
      </c>
      <c r="J264" t="e">
        <f t="shared" si="33"/>
        <v>#VALUE!</v>
      </c>
      <c r="K264" t="e">
        <f t="shared" si="34"/>
        <v>#VALUE!</v>
      </c>
      <c r="M264" s="1">
        <f t="shared" si="35"/>
        <v>0</v>
      </c>
      <c r="N264" t="e">
        <f t="shared" si="36"/>
        <v>#VALUE!</v>
      </c>
      <c r="O264" t="e">
        <f t="shared" si="37"/>
        <v>#VALUE!</v>
      </c>
    </row>
    <row r="265" spans="9:15" x14ac:dyDescent="0.3">
      <c r="I265" t="e">
        <f t="shared" si="32"/>
        <v>#VALUE!</v>
      </c>
      <c r="J265" t="e">
        <f t="shared" si="33"/>
        <v>#VALUE!</v>
      </c>
      <c r="K265" t="e">
        <f t="shared" si="34"/>
        <v>#VALUE!</v>
      </c>
      <c r="M265" s="1">
        <f t="shared" si="35"/>
        <v>0</v>
      </c>
      <c r="N265" t="e">
        <f t="shared" si="36"/>
        <v>#VALUE!</v>
      </c>
      <c r="O265" t="e">
        <f t="shared" si="37"/>
        <v>#VALUE!</v>
      </c>
    </row>
    <row r="266" spans="9:15" x14ac:dyDescent="0.3">
      <c r="I266" t="e">
        <f t="shared" si="32"/>
        <v>#VALUE!</v>
      </c>
      <c r="J266" t="e">
        <f t="shared" si="33"/>
        <v>#VALUE!</v>
      </c>
      <c r="K266" t="e">
        <f t="shared" si="34"/>
        <v>#VALUE!</v>
      </c>
      <c r="M266" s="1">
        <f t="shared" si="35"/>
        <v>0</v>
      </c>
      <c r="N266" t="e">
        <f t="shared" si="36"/>
        <v>#VALUE!</v>
      </c>
      <c r="O266" t="e">
        <f t="shared" si="37"/>
        <v>#VALUE!</v>
      </c>
    </row>
    <row r="267" spans="9:15" x14ac:dyDescent="0.3">
      <c r="I267" t="e">
        <f t="shared" si="32"/>
        <v>#VALUE!</v>
      </c>
      <c r="J267" t="e">
        <f t="shared" si="33"/>
        <v>#VALUE!</v>
      </c>
      <c r="K267" t="e">
        <f t="shared" si="34"/>
        <v>#VALUE!</v>
      </c>
      <c r="M267" s="1">
        <f t="shared" si="35"/>
        <v>0</v>
      </c>
      <c r="N267" t="e">
        <f t="shared" si="36"/>
        <v>#VALUE!</v>
      </c>
      <c r="O267" t="e">
        <f t="shared" si="37"/>
        <v>#VALUE!</v>
      </c>
    </row>
    <row r="268" spans="9:15" x14ac:dyDescent="0.3">
      <c r="I268" t="e">
        <f t="shared" si="32"/>
        <v>#VALUE!</v>
      </c>
      <c r="J268" t="e">
        <f t="shared" si="33"/>
        <v>#VALUE!</v>
      </c>
      <c r="K268" t="e">
        <f t="shared" si="34"/>
        <v>#VALUE!</v>
      </c>
      <c r="M268" s="1">
        <f t="shared" si="35"/>
        <v>0</v>
      </c>
      <c r="N268" t="e">
        <f t="shared" si="36"/>
        <v>#VALUE!</v>
      </c>
      <c r="O268" t="e">
        <f t="shared" si="37"/>
        <v>#VALUE!</v>
      </c>
    </row>
    <row r="269" spans="9:15" x14ac:dyDescent="0.3">
      <c r="I269" t="e">
        <f t="shared" si="32"/>
        <v>#VALUE!</v>
      </c>
      <c r="J269" t="e">
        <f t="shared" si="33"/>
        <v>#VALUE!</v>
      </c>
      <c r="K269" t="e">
        <f t="shared" si="34"/>
        <v>#VALUE!</v>
      </c>
      <c r="M269" s="1">
        <f t="shared" si="35"/>
        <v>0</v>
      </c>
      <c r="N269" t="e">
        <f t="shared" si="36"/>
        <v>#VALUE!</v>
      </c>
      <c r="O269" t="e">
        <f t="shared" si="37"/>
        <v>#VALUE!</v>
      </c>
    </row>
    <row r="270" spans="9:15" x14ac:dyDescent="0.3">
      <c r="I270" t="e">
        <f t="shared" si="32"/>
        <v>#VALUE!</v>
      </c>
      <c r="J270" t="e">
        <f t="shared" si="33"/>
        <v>#VALUE!</v>
      </c>
      <c r="K270" t="e">
        <f t="shared" si="34"/>
        <v>#VALUE!</v>
      </c>
      <c r="M270" s="1">
        <f t="shared" si="35"/>
        <v>0</v>
      </c>
      <c r="N270" t="e">
        <f t="shared" si="36"/>
        <v>#VALUE!</v>
      </c>
      <c r="O270" t="e">
        <f t="shared" si="37"/>
        <v>#VALUE!</v>
      </c>
    </row>
    <row r="271" spans="9:15" x14ac:dyDescent="0.3">
      <c r="I271" t="e">
        <f t="shared" si="32"/>
        <v>#VALUE!</v>
      </c>
      <c r="J271" t="e">
        <f t="shared" si="33"/>
        <v>#VALUE!</v>
      </c>
      <c r="K271" t="e">
        <f t="shared" si="34"/>
        <v>#VALUE!</v>
      </c>
      <c r="M271" s="1">
        <f t="shared" si="35"/>
        <v>0</v>
      </c>
      <c r="N271" t="e">
        <f t="shared" si="36"/>
        <v>#VALUE!</v>
      </c>
      <c r="O271" t="e">
        <f t="shared" si="37"/>
        <v>#VALUE!</v>
      </c>
    </row>
    <row r="272" spans="9:15" x14ac:dyDescent="0.3">
      <c r="I272" t="e">
        <f t="shared" si="32"/>
        <v>#VALUE!</v>
      </c>
      <c r="J272" t="e">
        <f t="shared" si="33"/>
        <v>#VALUE!</v>
      </c>
      <c r="K272" t="e">
        <f t="shared" si="34"/>
        <v>#VALUE!</v>
      </c>
      <c r="M272" s="1">
        <f t="shared" si="35"/>
        <v>0</v>
      </c>
      <c r="N272" t="e">
        <f t="shared" si="36"/>
        <v>#VALUE!</v>
      </c>
      <c r="O272" t="e">
        <f t="shared" si="37"/>
        <v>#VALUE!</v>
      </c>
    </row>
    <row r="273" spans="9:15" x14ac:dyDescent="0.3">
      <c r="I273" t="e">
        <f t="shared" si="32"/>
        <v>#VALUE!</v>
      </c>
      <c r="J273" t="e">
        <f t="shared" si="33"/>
        <v>#VALUE!</v>
      </c>
      <c r="K273" t="e">
        <f t="shared" si="34"/>
        <v>#VALUE!</v>
      </c>
      <c r="M273" s="1">
        <f t="shared" si="35"/>
        <v>0</v>
      </c>
      <c r="N273" t="e">
        <f t="shared" si="36"/>
        <v>#VALUE!</v>
      </c>
      <c r="O273" t="e">
        <f t="shared" si="37"/>
        <v>#VALUE!</v>
      </c>
    </row>
    <row r="274" spans="9:15" x14ac:dyDescent="0.3">
      <c r="I274" t="e">
        <f t="shared" si="32"/>
        <v>#VALUE!</v>
      </c>
      <c r="J274" t="e">
        <f t="shared" si="33"/>
        <v>#VALUE!</v>
      </c>
      <c r="K274" t="e">
        <f t="shared" si="34"/>
        <v>#VALUE!</v>
      </c>
      <c r="M274" s="1">
        <f t="shared" si="35"/>
        <v>0</v>
      </c>
      <c r="N274" t="e">
        <f t="shared" si="36"/>
        <v>#VALUE!</v>
      </c>
      <c r="O274" t="e">
        <f t="shared" si="37"/>
        <v>#VALUE!</v>
      </c>
    </row>
    <row r="275" spans="9:15" x14ac:dyDescent="0.3">
      <c r="I275" t="e">
        <f t="shared" si="32"/>
        <v>#VALUE!</v>
      </c>
      <c r="J275" t="e">
        <f t="shared" si="33"/>
        <v>#VALUE!</v>
      </c>
      <c r="K275" t="e">
        <f t="shared" si="34"/>
        <v>#VALUE!</v>
      </c>
      <c r="M275" s="1">
        <f t="shared" si="35"/>
        <v>0</v>
      </c>
      <c r="N275" t="e">
        <f t="shared" si="36"/>
        <v>#VALUE!</v>
      </c>
      <c r="O275" t="e">
        <f t="shared" si="37"/>
        <v>#VALUE!</v>
      </c>
    </row>
    <row r="276" spans="9:15" x14ac:dyDescent="0.3">
      <c r="I276" t="e">
        <f t="shared" si="32"/>
        <v>#VALUE!</v>
      </c>
      <c r="J276" t="e">
        <f t="shared" si="33"/>
        <v>#VALUE!</v>
      </c>
      <c r="K276" t="e">
        <f t="shared" si="34"/>
        <v>#VALUE!</v>
      </c>
      <c r="M276" s="1">
        <f t="shared" si="35"/>
        <v>0</v>
      </c>
      <c r="N276" t="e">
        <f t="shared" si="36"/>
        <v>#VALUE!</v>
      </c>
      <c r="O276" t="e">
        <f t="shared" si="37"/>
        <v>#VALUE!</v>
      </c>
    </row>
    <row r="277" spans="9:15" x14ac:dyDescent="0.3">
      <c r="I277" t="e">
        <f t="shared" si="32"/>
        <v>#VALUE!</v>
      </c>
      <c r="J277" t="e">
        <f t="shared" si="33"/>
        <v>#VALUE!</v>
      </c>
      <c r="K277" t="e">
        <f t="shared" si="34"/>
        <v>#VALUE!</v>
      </c>
      <c r="M277" s="1">
        <f t="shared" si="35"/>
        <v>0</v>
      </c>
      <c r="N277" t="e">
        <f t="shared" si="36"/>
        <v>#VALUE!</v>
      </c>
      <c r="O277" t="e">
        <f t="shared" si="37"/>
        <v>#VALUE!</v>
      </c>
    </row>
    <row r="278" spans="9:15" x14ac:dyDescent="0.3">
      <c r="I278" t="e">
        <f t="shared" si="32"/>
        <v>#VALUE!</v>
      </c>
      <c r="J278" t="e">
        <f t="shared" si="33"/>
        <v>#VALUE!</v>
      </c>
      <c r="K278" t="e">
        <f t="shared" si="34"/>
        <v>#VALUE!</v>
      </c>
      <c r="M278" s="1">
        <f t="shared" si="35"/>
        <v>0</v>
      </c>
      <c r="N278" t="e">
        <f t="shared" si="36"/>
        <v>#VALUE!</v>
      </c>
      <c r="O278" t="e">
        <f t="shared" si="37"/>
        <v>#VALUE!</v>
      </c>
    </row>
    <row r="279" spans="9:15" x14ac:dyDescent="0.3">
      <c r="I279" t="e">
        <f t="shared" si="32"/>
        <v>#VALUE!</v>
      </c>
      <c r="J279" t="e">
        <f t="shared" si="33"/>
        <v>#VALUE!</v>
      </c>
      <c r="K279" t="e">
        <f t="shared" si="34"/>
        <v>#VALUE!</v>
      </c>
      <c r="M279" s="1">
        <f t="shared" si="35"/>
        <v>0</v>
      </c>
      <c r="N279" t="e">
        <f t="shared" si="36"/>
        <v>#VALUE!</v>
      </c>
      <c r="O279" t="e">
        <f t="shared" si="37"/>
        <v>#VALUE!</v>
      </c>
    </row>
    <row r="280" spans="9:15" x14ac:dyDescent="0.3">
      <c r="I280" t="e">
        <f t="shared" si="32"/>
        <v>#VALUE!</v>
      </c>
      <c r="J280" t="e">
        <f t="shared" si="33"/>
        <v>#VALUE!</v>
      </c>
      <c r="K280" t="e">
        <f t="shared" si="34"/>
        <v>#VALUE!</v>
      </c>
      <c r="M280" s="1">
        <f t="shared" si="35"/>
        <v>0</v>
      </c>
      <c r="N280" t="e">
        <f t="shared" si="36"/>
        <v>#VALUE!</v>
      </c>
      <c r="O280" t="e">
        <f t="shared" si="37"/>
        <v>#VALUE!</v>
      </c>
    </row>
    <row r="281" spans="9:15" x14ac:dyDescent="0.3">
      <c r="I281" t="e">
        <f t="shared" si="32"/>
        <v>#VALUE!</v>
      </c>
      <c r="J281" t="e">
        <f t="shared" si="33"/>
        <v>#VALUE!</v>
      </c>
      <c r="K281" t="e">
        <f t="shared" si="34"/>
        <v>#VALUE!</v>
      </c>
      <c r="M281" s="1">
        <f t="shared" si="35"/>
        <v>0</v>
      </c>
      <c r="N281" t="e">
        <f t="shared" si="36"/>
        <v>#VALUE!</v>
      </c>
      <c r="O281" t="e">
        <f t="shared" si="37"/>
        <v>#VALUE!</v>
      </c>
    </row>
    <row r="282" spans="9:15" x14ac:dyDescent="0.3">
      <c r="I282" t="e">
        <f t="shared" si="32"/>
        <v>#VALUE!</v>
      </c>
      <c r="J282" t="e">
        <f t="shared" si="33"/>
        <v>#VALUE!</v>
      </c>
      <c r="K282" t="e">
        <f t="shared" si="34"/>
        <v>#VALUE!</v>
      </c>
      <c r="M282" s="1">
        <f t="shared" si="35"/>
        <v>0</v>
      </c>
      <c r="N282" t="e">
        <f t="shared" si="36"/>
        <v>#VALUE!</v>
      </c>
      <c r="O282" t="e">
        <f t="shared" si="37"/>
        <v>#VALUE!</v>
      </c>
    </row>
    <row r="283" spans="9:15" x14ac:dyDescent="0.3">
      <c r="I283" t="e">
        <f t="shared" si="32"/>
        <v>#VALUE!</v>
      </c>
      <c r="J283" t="e">
        <f t="shared" si="33"/>
        <v>#VALUE!</v>
      </c>
      <c r="K283" t="e">
        <f t="shared" si="34"/>
        <v>#VALUE!</v>
      </c>
      <c r="M283" s="1">
        <f t="shared" si="35"/>
        <v>0</v>
      </c>
      <c r="N283" t="e">
        <f t="shared" si="36"/>
        <v>#VALUE!</v>
      </c>
      <c r="O283" t="e">
        <f t="shared" si="37"/>
        <v>#VALUE!</v>
      </c>
    </row>
    <row r="284" spans="9:15" x14ac:dyDescent="0.3">
      <c r="I284" t="e">
        <f t="shared" si="32"/>
        <v>#VALUE!</v>
      </c>
      <c r="J284" t="e">
        <f t="shared" si="33"/>
        <v>#VALUE!</v>
      </c>
      <c r="K284" t="e">
        <f t="shared" si="34"/>
        <v>#VALUE!</v>
      </c>
      <c r="M284" s="1">
        <f t="shared" si="35"/>
        <v>0</v>
      </c>
      <c r="N284" t="e">
        <f t="shared" si="36"/>
        <v>#VALUE!</v>
      </c>
      <c r="O284" t="e">
        <f t="shared" si="37"/>
        <v>#VALUE!</v>
      </c>
    </row>
    <row r="285" spans="9:15" x14ac:dyDescent="0.3">
      <c r="I285" t="e">
        <f t="shared" si="32"/>
        <v>#VALUE!</v>
      </c>
      <c r="J285" t="e">
        <f t="shared" si="33"/>
        <v>#VALUE!</v>
      </c>
      <c r="K285" t="e">
        <f t="shared" si="34"/>
        <v>#VALUE!</v>
      </c>
      <c r="M285" s="1">
        <f t="shared" si="35"/>
        <v>0</v>
      </c>
      <c r="N285" t="e">
        <f t="shared" si="36"/>
        <v>#VALUE!</v>
      </c>
      <c r="O285" t="e">
        <f t="shared" si="37"/>
        <v>#VALUE!</v>
      </c>
    </row>
    <row r="286" spans="9:15" x14ac:dyDescent="0.3">
      <c r="I286" t="e">
        <f t="shared" si="32"/>
        <v>#VALUE!</v>
      </c>
      <c r="J286" t="e">
        <f t="shared" si="33"/>
        <v>#VALUE!</v>
      </c>
      <c r="K286" t="e">
        <f t="shared" si="34"/>
        <v>#VALUE!</v>
      </c>
      <c r="M286" s="1">
        <f t="shared" si="35"/>
        <v>0</v>
      </c>
      <c r="N286" t="e">
        <f t="shared" si="36"/>
        <v>#VALUE!</v>
      </c>
      <c r="O286" t="e">
        <f t="shared" si="37"/>
        <v>#VALUE!</v>
      </c>
    </row>
    <row r="287" spans="9:15" x14ac:dyDescent="0.3">
      <c r="I287" t="e">
        <f t="shared" si="32"/>
        <v>#VALUE!</v>
      </c>
      <c r="J287" t="e">
        <f t="shared" si="33"/>
        <v>#VALUE!</v>
      </c>
      <c r="K287" t="e">
        <f t="shared" si="34"/>
        <v>#VALUE!</v>
      </c>
      <c r="M287" s="1">
        <f t="shared" si="35"/>
        <v>0</v>
      </c>
      <c r="N287" t="e">
        <f t="shared" si="36"/>
        <v>#VALUE!</v>
      </c>
      <c r="O287" t="e">
        <f t="shared" si="37"/>
        <v>#VALUE!</v>
      </c>
    </row>
    <row r="288" spans="9:15" x14ac:dyDescent="0.3">
      <c r="I288" t="e">
        <f t="shared" si="32"/>
        <v>#VALUE!</v>
      </c>
      <c r="J288" t="e">
        <f t="shared" si="33"/>
        <v>#VALUE!</v>
      </c>
      <c r="K288" t="e">
        <f t="shared" si="34"/>
        <v>#VALUE!</v>
      </c>
      <c r="M288" s="1">
        <f t="shared" si="35"/>
        <v>0</v>
      </c>
      <c r="N288" t="e">
        <f t="shared" si="36"/>
        <v>#VALUE!</v>
      </c>
      <c r="O288" t="e">
        <f t="shared" si="37"/>
        <v>#VALUE!</v>
      </c>
    </row>
    <row r="289" spans="9:15" x14ac:dyDescent="0.3">
      <c r="I289" t="e">
        <f t="shared" si="32"/>
        <v>#VALUE!</v>
      </c>
      <c r="J289" t="e">
        <f t="shared" si="33"/>
        <v>#VALUE!</v>
      </c>
      <c r="K289" t="e">
        <f t="shared" si="34"/>
        <v>#VALUE!</v>
      </c>
      <c r="M289" s="1">
        <f t="shared" si="35"/>
        <v>0</v>
      </c>
      <c r="N289" t="e">
        <f t="shared" si="36"/>
        <v>#VALUE!</v>
      </c>
      <c r="O289" t="e">
        <f t="shared" si="37"/>
        <v>#VALUE!</v>
      </c>
    </row>
    <row r="290" spans="9:15" x14ac:dyDescent="0.3">
      <c r="I290" t="e">
        <f t="shared" ref="I290:I353" si="38">RIGHT(C290,LEN(C290)-FIND(" ",C290,LEN(C290)-12))</f>
        <v>#VALUE!</v>
      </c>
      <c r="J290" t="e">
        <f t="shared" ref="J290:J353" si="39">RIGHT(C290,LEN(I290)/2)</f>
        <v>#VALUE!</v>
      </c>
      <c r="K290" t="e">
        <f t="shared" ref="K290:K353" si="40">LEFT(C290,FIND(" ",C290)-1)</f>
        <v>#VALUE!</v>
      </c>
      <c r="M290" s="1">
        <f t="shared" ref="M290:M353" si="41">B290</f>
        <v>0</v>
      </c>
      <c r="N290" t="e">
        <f t="shared" ref="N290:N353" si="42">VLOOKUP(J290,$R$1:$S$30,2,FALSE)</f>
        <v>#VALUE!</v>
      </c>
      <c r="O290" t="e">
        <f t="shared" ref="O290:O353" si="43">VLOOKUP(K290,$R$1:$S$30,2,FALSE)</f>
        <v>#VALUE!</v>
      </c>
    </row>
    <row r="291" spans="9:15" x14ac:dyDescent="0.3">
      <c r="I291" t="e">
        <f t="shared" si="38"/>
        <v>#VALUE!</v>
      </c>
      <c r="J291" t="e">
        <f t="shared" si="39"/>
        <v>#VALUE!</v>
      </c>
      <c r="K291" t="e">
        <f t="shared" si="40"/>
        <v>#VALUE!</v>
      </c>
      <c r="M291" s="1">
        <f t="shared" si="41"/>
        <v>0</v>
      </c>
      <c r="N291" t="e">
        <f t="shared" si="42"/>
        <v>#VALUE!</v>
      </c>
      <c r="O291" t="e">
        <f t="shared" si="43"/>
        <v>#VALUE!</v>
      </c>
    </row>
    <row r="292" spans="9:15" x14ac:dyDescent="0.3">
      <c r="I292" t="e">
        <f t="shared" si="38"/>
        <v>#VALUE!</v>
      </c>
      <c r="J292" t="e">
        <f t="shared" si="39"/>
        <v>#VALUE!</v>
      </c>
      <c r="K292" t="e">
        <f t="shared" si="40"/>
        <v>#VALUE!</v>
      </c>
      <c r="M292" s="1">
        <f t="shared" si="41"/>
        <v>0</v>
      </c>
      <c r="N292" t="e">
        <f t="shared" si="42"/>
        <v>#VALUE!</v>
      </c>
      <c r="O292" t="e">
        <f t="shared" si="43"/>
        <v>#VALUE!</v>
      </c>
    </row>
    <row r="293" spans="9:15" x14ac:dyDescent="0.3">
      <c r="I293" t="e">
        <f t="shared" si="38"/>
        <v>#VALUE!</v>
      </c>
      <c r="J293" t="e">
        <f t="shared" si="39"/>
        <v>#VALUE!</v>
      </c>
      <c r="K293" t="e">
        <f t="shared" si="40"/>
        <v>#VALUE!</v>
      </c>
      <c r="M293" s="1">
        <f t="shared" si="41"/>
        <v>0</v>
      </c>
      <c r="N293" t="e">
        <f t="shared" si="42"/>
        <v>#VALUE!</v>
      </c>
      <c r="O293" t="e">
        <f t="shared" si="43"/>
        <v>#VALUE!</v>
      </c>
    </row>
    <row r="294" spans="9:15" x14ac:dyDescent="0.3">
      <c r="I294" t="e">
        <f t="shared" si="38"/>
        <v>#VALUE!</v>
      </c>
      <c r="J294" t="e">
        <f t="shared" si="39"/>
        <v>#VALUE!</v>
      </c>
      <c r="K294" t="e">
        <f t="shared" si="40"/>
        <v>#VALUE!</v>
      </c>
      <c r="M294" s="1">
        <f t="shared" si="41"/>
        <v>0</v>
      </c>
      <c r="N294" t="e">
        <f t="shared" si="42"/>
        <v>#VALUE!</v>
      </c>
      <c r="O294" t="e">
        <f t="shared" si="43"/>
        <v>#VALUE!</v>
      </c>
    </row>
    <row r="295" spans="9:15" x14ac:dyDescent="0.3">
      <c r="I295" t="e">
        <f t="shared" si="38"/>
        <v>#VALUE!</v>
      </c>
      <c r="J295" t="e">
        <f t="shared" si="39"/>
        <v>#VALUE!</v>
      </c>
      <c r="K295" t="e">
        <f t="shared" si="40"/>
        <v>#VALUE!</v>
      </c>
      <c r="M295" s="1">
        <f t="shared" si="41"/>
        <v>0</v>
      </c>
      <c r="N295" t="e">
        <f t="shared" si="42"/>
        <v>#VALUE!</v>
      </c>
      <c r="O295" t="e">
        <f t="shared" si="43"/>
        <v>#VALUE!</v>
      </c>
    </row>
    <row r="296" spans="9:15" x14ac:dyDescent="0.3">
      <c r="I296" t="e">
        <f t="shared" si="38"/>
        <v>#VALUE!</v>
      </c>
      <c r="J296" t="e">
        <f t="shared" si="39"/>
        <v>#VALUE!</v>
      </c>
      <c r="K296" t="e">
        <f t="shared" si="40"/>
        <v>#VALUE!</v>
      </c>
      <c r="M296" s="1">
        <f t="shared" si="41"/>
        <v>0</v>
      </c>
      <c r="N296" t="e">
        <f t="shared" si="42"/>
        <v>#VALUE!</v>
      </c>
      <c r="O296" t="e">
        <f t="shared" si="43"/>
        <v>#VALUE!</v>
      </c>
    </row>
    <row r="297" spans="9:15" x14ac:dyDescent="0.3">
      <c r="I297" t="e">
        <f t="shared" si="38"/>
        <v>#VALUE!</v>
      </c>
      <c r="J297" t="e">
        <f t="shared" si="39"/>
        <v>#VALUE!</v>
      </c>
      <c r="K297" t="e">
        <f t="shared" si="40"/>
        <v>#VALUE!</v>
      </c>
      <c r="M297" s="1">
        <f t="shared" si="41"/>
        <v>0</v>
      </c>
      <c r="N297" t="e">
        <f t="shared" si="42"/>
        <v>#VALUE!</v>
      </c>
      <c r="O297" t="e">
        <f t="shared" si="43"/>
        <v>#VALUE!</v>
      </c>
    </row>
    <row r="298" spans="9:15" x14ac:dyDescent="0.3">
      <c r="I298" t="e">
        <f t="shared" si="38"/>
        <v>#VALUE!</v>
      </c>
      <c r="J298" t="e">
        <f t="shared" si="39"/>
        <v>#VALUE!</v>
      </c>
      <c r="K298" t="e">
        <f t="shared" si="40"/>
        <v>#VALUE!</v>
      </c>
      <c r="M298" s="1">
        <f t="shared" si="41"/>
        <v>0</v>
      </c>
      <c r="N298" t="e">
        <f t="shared" si="42"/>
        <v>#VALUE!</v>
      </c>
      <c r="O298" t="e">
        <f t="shared" si="43"/>
        <v>#VALUE!</v>
      </c>
    </row>
    <row r="299" spans="9:15" x14ac:dyDescent="0.3">
      <c r="I299" t="e">
        <f t="shared" si="38"/>
        <v>#VALUE!</v>
      </c>
      <c r="J299" t="e">
        <f t="shared" si="39"/>
        <v>#VALUE!</v>
      </c>
      <c r="K299" t="e">
        <f t="shared" si="40"/>
        <v>#VALUE!</v>
      </c>
      <c r="M299" s="1">
        <f t="shared" si="41"/>
        <v>0</v>
      </c>
      <c r="N299" t="e">
        <f t="shared" si="42"/>
        <v>#VALUE!</v>
      </c>
      <c r="O299" t="e">
        <f t="shared" si="43"/>
        <v>#VALUE!</v>
      </c>
    </row>
    <row r="300" spans="9:15" x14ac:dyDescent="0.3">
      <c r="I300" t="e">
        <f t="shared" si="38"/>
        <v>#VALUE!</v>
      </c>
      <c r="J300" t="e">
        <f t="shared" si="39"/>
        <v>#VALUE!</v>
      </c>
      <c r="K300" t="e">
        <f t="shared" si="40"/>
        <v>#VALUE!</v>
      </c>
      <c r="M300" s="1">
        <f t="shared" si="41"/>
        <v>0</v>
      </c>
      <c r="N300" t="e">
        <f t="shared" si="42"/>
        <v>#VALUE!</v>
      </c>
      <c r="O300" t="e">
        <f t="shared" si="43"/>
        <v>#VALUE!</v>
      </c>
    </row>
    <row r="301" spans="9:15" x14ac:dyDescent="0.3">
      <c r="I301" t="e">
        <f t="shared" si="38"/>
        <v>#VALUE!</v>
      </c>
      <c r="J301" t="e">
        <f t="shared" si="39"/>
        <v>#VALUE!</v>
      </c>
      <c r="K301" t="e">
        <f t="shared" si="40"/>
        <v>#VALUE!</v>
      </c>
      <c r="M301" s="1">
        <f t="shared" si="41"/>
        <v>0</v>
      </c>
      <c r="N301" t="e">
        <f t="shared" si="42"/>
        <v>#VALUE!</v>
      </c>
      <c r="O301" t="e">
        <f t="shared" si="43"/>
        <v>#VALUE!</v>
      </c>
    </row>
    <row r="302" spans="9:15" x14ac:dyDescent="0.3">
      <c r="I302" t="e">
        <f t="shared" si="38"/>
        <v>#VALUE!</v>
      </c>
      <c r="J302" t="e">
        <f t="shared" si="39"/>
        <v>#VALUE!</v>
      </c>
      <c r="K302" t="e">
        <f t="shared" si="40"/>
        <v>#VALUE!</v>
      </c>
      <c r="M302" s="1">
        <f t="shared" si="41"/>
        <v>0</v>
      </c>
      <c r="N302" t="e">
        <f t="shared" si="42"/>
        <v>#VALUE!</v>
      </c>
      <c r="O302" t="e">
        <f t="shared" si="43"/>
        <v>#VALUE!</v>
      </c>
    </row>
    <row r="303" spans="9:15" x14ac:dyDescent="0.3">
      <c r="I303" t="e">
        <f t="shared" si="38"/>
        <v>#VALUE!</v>
      </c>
      <c r="J303" t="e">
        <f t="shared" si="39"/>
        <v>#VALUE!</v>
      </c>
      <c r="K303" t="e">
        <f t="shared" si="40"/>
        <v>#VALUE!</v>
      </c>
      <c r="M303" s="1">
        <f t="shared" si="41"/>
        <v>0</v>
      </c>
      <c r="N303" t="e">
        <f t="shared" si="42"/>
        <v>#VALUE!</v>
      </c>
      <c r="O303" t="e">
        <f t="shared" si="43"/>
        <v>#VALUE!</v>
      </c>
    </row>
    <row r="304" spans="9:15" x14ac:dyDescent="0.3">
      <c r="I304" t="e">
        <f t="shared" si="38"/>
        <v>#VALUE!</v>
      </c>
      <c r="J304" t="e">
        <f t="shared" si="39"/>
        <v>#VALUE!</v>
      </c>
      <c r="K304" t="e">
        <f t="shared" si="40"/>
        <v>#VALUE!</v>
      </c>
      <c r="M304" s="1">
        <f t="shared" si="41"/>
        <v>0</v>
      </c>
      <c r="N304" t="e">
        <f t="shared" si="42"/>
        <v>#VALUE!</v>
      </c>
      <c r="O304" t="e">
        <f t="shared" si="43"/>
        <v>#VALUE!</v>
      </c>
    </row>
    <row r="305" spans="9:15" x14ac:dyDescent="0.3">
      <c r="I305" t="e">
        <f t="shared" si="38"/>
        <v>#VALUE!</v>
      </c>
      <c r="J305" t="e">
        <f t="shared" si="39"/>
        <v>#VALUE!</v>
      </c>
      <c r="K305" t="e">
        <f t="shared" si="40"/>
        <v>#VALUE!</v>
      </c>
      <c r="M305" s="1">
        <f t="shared" si="41"/>
        <v>0</v>
      </c>
      <c r="N305" t="e">
        <f t="shared" si="42"/>
        <v>#VALUE!</v>
      </c>
      <c r="O305" t="e">
        <f t="shared" si="43"/>
        <v>#VALUE!</v>
      </c>
    </row>
    <row r="306" spans="9:15" x14ac:dyDescent="0.3">
      <c r="I306" t="e">
        <f t="shared" si="38"/>
        <v>#VALUE!</v>
      </c>
      <c r="J306" t="e">
        <f t="shared" si="39"/>
        <v>#VALUE!</v>
      </c>
      <c r="K306" t="e">
        <f t="shared" si="40"/>
        <v>#VALUE!</v>
      </c>
      <c r="M306" s="1">
        <f t="shared" si="41"/>
        <v>0</v>
      </c>
      <c r="N306" t="e">
        <f t="shared" si="42"/>
        <v>#VALUE!</v>
      </c>
      <c r="O306" t="e">
        <f t="shared" si="43"/>
        <v>#VALUE!</v>
      </c>
    </row>
    <row r="307" spans="9:15" x14ac:dyDescent="0.3">
      <c r="I307" t="e">
        <f t="shared" si="38"/>
        <v>#VALUE!</v>
      </c>
      <c r="J307" t="e">
        <f t="shared" si="39"/>
        <v>#VALUE!</v>
      </c>
      <c r="K307" t="e">
        <f t="shared" si="40"/>
        <v>#VALUE!</v>
      </c>
      <c r="M307" s="1">
        <f t="shared" si="41"/>
        <v>0</v>
      </c>
      <c r="N307" t="e">
        <f t="shared" si="42"/>
        <v>#VALUE!</v>
      </c>
      <c r="O307" t="e">
        <f t="shared" si="43"/>
        <v>#VALUE!</v>
      </c>
    </row>
    <row r="308" spans="9:15" x14ac:dyDescent="0.3">
      <c r="I308" t="e">
        <f t="shared" si="38"/>
        <v>#VALUE!</v>
      </c>
      <c r="J308" t="e">
        <f t="shared" si="39"/>
        <v>#VALUE!</v>
      </c>
      <c r="K308" t="e">
        <f t="shared" si="40"/>
        <v>#VALUE!</v>
      </c>
      <c r="M308" s="1">
        <f t="shared" si="41"/>
        <v>0</v>
      </c>
      <c r="N308" t="e">
        <f t="shared" si="42"/>
        <v>#VALUE!</v>
      </c>
      <c r="O308" t="e">
        <f t="shared" si="43"/>
        <v>#VALUE!</v>
      </c>
    </row>
    <row r="309" spans="9:15" x14ac:dyDescent="0.3">
      <c r="I309" t="e">
        <f t="shared" si="38"/>
        <v>#VALUE!</v>
      </c>
      <c r="J309" t="e">
        <f t="shared" si="39"/>
        <v>#VALUE!</v>
      </c>
      <c r="K309" t="e">
        <f t="shared" si="40"/>
        <v>#VALUE!</v>
      </c>
      <c r="M309" s="1">
        <f t="shared" si="41"/>
        <v>0</v>
      </c>
      <c r="N309" t="e">
        <f t="shared" si="42"/>
        <v>#VALUE!</v>
      </c>
      <c r="O309" t="e">
        <f t="shared" si="43"/>
        <v>#VALUE!</v>
      </c>
    </row>
    <row r="310" spans="9:15" x14ac:dyDescent="0.3">
      <c r="I310" t="e">
        <f t="shared" si="38"/>
        <v>#VALUE!</v>
      </c>
      <c r="J310" t="e">
        <f t="shared" si="39"/>
        <v>#VALUE!</v>
      </c>
      <c r="K310" t="e">
        <f t="shared" si="40"/>
        <v>#VALUE!</v>
      </c>
      <c r="M310" s="1">
        <f t="shared" si="41"/>
        <v>0</v>
      </c>
      <c r="N310" t="e">
        <f t="shared" si="42"/>
        <v>#VALUE!</v>
      </c>
      <c r="O310" t="e">
        <f t="shared" si="43"/>
        <v>#VALUE!</v>
      </c>
    </row>
    <row r="311" spans="9:15" x14ac:dyDescent="0.3">
      <c r="I311" t="e">
        <f t="shared" si="38"/>
        <v>#VALUE!</v>
      </c>
      <c r="J311" t="e">
        <f t="shared" si="39"/>
        <v>#VALUE!</v>
      </c>
      <c r="K311" t="e">
        <f t="shared" si="40"/>
        <v>#VALUE!</v>
      </c>
      <c r="M311" s="1">
        <f t="shared" si="41"/>
        <v>0</v>
      </c>
      <c r="N311" t="e">
        <f t="shared" si="42"/>
        <v>#VALUE!</v>
      </c>
      <c r="O311" t="e">
        <f t="shared" si="43"/>
        <v>#VALUE!</v>
      </c>
    </row>
    <row r="312" spans="9:15" x14ac:dyDescent="0.3">
      <c r="I312" t="e">
        <f t="shared" si="38"/>
        <v>#VALUE!</v>
      </c>
      <c r="J312" t="e">
        <f t="shared" si="39"/>
        <v>#VALUE!</v>
      </c>
      <c r="K312" t="e">
        <f t="shared" si="40"/>
        <v>#VALUE!</v>
      </c>
      <c r="M312" s="1">
        <f t="shared" si="41"/>
        <v>0</v>
      </c>
      <c r="N312" t="e">
        <f t="shared" si="42"/>
        <v>#VALUE!</v>
      </c>
      <c r="O312" t="e">
        <f t="shared" si="43"/>
        <v>#VALUE!</v>
      </c>
    </row>
    <row r="313" spans="9:15" x14ac:dyDescent="0.3">
      <c r="I313" t="e">
        <f t="shared" si="38"/>
        <v>#VALUE!</v>
      </c>
      <c r="J313" t="e">
        <f t="shared" si="39"/>
        <v>#VALUE!</v>
      </c>
      <c r="K313" t="e">
        <f t="shared" si="40"/>
        <v>#VALUE!</v>
      </c>
      <c r="M313" s="1">
        <f t="shared" si="41"/>
        <v>0</v>
      </c>
      <c r="N313" t="e">
        <f t="shared" si="42"/>
        <v>#VALUE!</v>
      </c>
      <c r="O313" t="e">
        <f t="shared" si="43"/>
        <v>#VALUE!</v>
      </c>
    </row>
    <row r="314" spans="9:15" x14ac:dyDescent="0.3">
      <c r="I314" t="e">
        <f t="shared" si="38"/>
        <v>#VALUE!</v>
      </c>
      <c r="J314" t="e">
        <f t="shared" si="39"/>
        <v>#VALUE!</v>
      </c>
      <c r="K314" t="e">
        <f t="shared" si="40"/>
        <v>#VALUE!</v>
      </c>
      <c r="M314" s="1">
        <f t="shared" si="41"/>
        <v>0</v>
      </c>
      <c r="N314" t="e">
        <f t="shared" si="42"/>
        <v>#VALUE!</v>
      </c>
      <c r="O314" t="e">
        <f t="shared" si="43"/>
        <v>#VALUE!</v>
      </c>
    </row>
    <row r="315" spans="9:15" x14ac:dyDescent="0.3">
      <c r="I315" t="e">
        <f t="shared" si="38"/>
        <v>#VALUE!</v>
      </c>
      <c r="J315" t="e">
        <f t="shared" si="39"/>
        <v>#VALUE!</v>
      </c>
      <c r="K315" t="e">
        <f t="shared" si="40"/>
        <v>#VALUE!</v>
      </c>
      <c r="M315" s="1">
        <f t="shared" si="41"/>
        <v>0</v>
      </c>
      <c r="N315" t="e">
        <f t="shared" si="42"/>
        <v>#VALUE!</v>
      </c>
      <c r="O315" t="e">
        <f t="shared" si="43"/>
        <v>#VALUE!</v>
      </c>
    </row>
    <row r="316" spans="9:15" x14ac:dyDescent="0.3">
      <c r="I316" t="e">
        <f t="shared" si="38"/>
        <v>#VALUE!</v>
      </c>
      <c r="J316" t="e">
        <f t="shared" si="39"/>
        <v>#VALUE!</v>
      </c>
      <c r="K316" t="e">
        <f t="shared" si="40"/>
        <v>#VALUE!</v>
      </c>
      <c r="M316" s="1">
        <f t="shared" si="41"/>
        <v>0</v>
      </c>
      <c r="N316" t="e">
        <f t="shared" si="42"/>
        <v>#VALUE!</v>
      </c>
      <c r="O316" t="e">
        <f t="shared" si="43"/>
        <v>#VALUE!</v>
      </c>
    </row>
    <row r="317" spans="9:15" x14ac:dyDescent="0.3">
      <c r="I317" t="e">
        <f t="shared" si="38"/>
        <v>#VALUE!</v>
      </c>
      <c r="J317" t="e">
        <f t="shared" si="39"/>
        <v>#VALUE!</v>
      </c>
      <c r="K317" t="e">
        <f t="shared" si="40"/>
        <v>#VALUE!</v>
      </c>
      <c r="M317" s="1">
        <f t="shared" si="41"/>
        <v>0</v>
      </c>
      <c r="N317" t="e">
        <f t="shared" si="42"/>
        <v>#VALUE!</v>
      </c>
      <c r="O317" t="e">
        <f t="shared" si="43"/>
        <v>#VALUE!</v>
      </c>
    </row>
    <row r="318" spans="9:15" x14ac:dyDescent="0.3">
      <c r="I318" t="e">
        <f t="shared" si="38"/>
        <v>#VALUE!</v>
      </c>
      <c r="J318" t="e">
        <f t="shared" si="39"/>
        <v>#VALUE!</v>
      </c>
      <c r="K318" t="e">
        <f t="shared" si="40"/>
        <v>#VALUE!</v>
      </c>
      <c r="M318" s="1">
        <f t="shared" si="41"/>
        <v>0</v>
      </c>
      <c r="N318" t="e">
        <f t="shared" si="42"/>
        <v>#VALUE!</v>
      </c>
      <c r="O318" t="e">
        <f t="shared" si="43"/>
        <v>#VALUE!</v>
      </c>
    </row>
    <row r="319" spans="9:15" x14ac:dyDescent="0.3">
      <c r="I319" t="e">
        <f t="shared" si="38"/>
        <v>#VALUE!</v>
      </c>
      <c r="J319" t="e">
        <f t="shared" si="39"/>
        <v>#VALUE!</v>
      </c>
      <c r="K319" t="e">
        <f t="shared" si="40"/>
        <v>#VALUE!</v>
      </c>
      <c r="M319" s="1">
        <f t="shared" si="41"/>
        <v>0</v>
      </c>
      <c r="N319" t="e">
        <f t="shared" si="42"/>
        <v>#VALUE!</v>
      </c>
      <c r="O319" t="e">
        <f t="shared" si="43"/>
        <v>#VALUE!</v>
      </c>
    </row>
    <row r="320" spans="9:15" x14ac:dyDescent="0.3">
      <c r="I320" t="e">
        <f t="shared" si="38"/>
        <v>#VALUE!</v>
      </c>
      <c r="J320" t="e">
        <f t="shared" si="39"/>
        <v>#VALUE!</v>
      </c>
      <c r="K320" t="e">
        <f t="shared" si="40"/>
        <v>#VALUE!</v>
      </c>
      <c r="M320" s="1">
        <f t="shared" si="41"/>
        <v>0</v>
      </c>
      <c r="N320" t="e">
        <f t="shared" si="42"/>
        <v>#VALUE!</v>
      </c>
      <c r="O320" t="e">
        <f t="shared" si="43"/>
        <v>#VALUE!</v>
      </c>
    </row>
    <row r="321" spans="9:15" x14ac:dyDescent="0.3">
      <c r="I321" t="e">
        <f t="shared" si="38"/>
        <v>#VALUE!</v>
      </c>
      <c r="J321" t="e">
        <f t="shared" si="39"/>
        <v>#VALUE!</v>
      </c>
      <c r="K321" t="e">
        <f t="shared" si="40"/>
        <v>#VALUE!</v>
      </c>
      <c r="M321" s="1">
        <f t="shared" si="41"/>
        <v>0</v>
      </c>
      <c r="N321" t="e">
        <f t="shared" si="42"/>
        <v>#VALUE!</v>
      </c>
      <c r="O321" t="e">
        <f t="shared" si="43"/>
        <v>#VALUE!</v>
      </c>
    </row>
    <row r="322" spans="9:15" x14ac:dyDescent="0.3">
      <c r="I322" t="e">
        <f t="shared" si="38"/>
        <v>#VALUE!</v>
      </c>
      <c r="J322" t="e">
        <f t="shared" si="39"/>
        <v>#VALUE!</v>
      </c>
      <c r="K322" t="e">
        <f t="shared" si="40"/>
        <v>#VALUE!</v>
      </c>
      <c r="M322" s="1">
        <f t="shared" si="41"/>
        <v>0</v>
      </c>
      <c r="N322" t="e">
        <f t="shared" si="42"/>
        <v>#VALUE!</v>
      </c>
      <c r="O322" t="e">
        <f t="shared" si="43"/>
        <v>#VALUE!</v>
      </c>
    </row>
    <row r="323" spans="9:15" x14ac:dyDescent="0.3">
      <c r="I323" t="e">
        <f t="shared" si="38"/>
        <v>#VALUE!</v>
      </c>
      <c r="J323" t="e">
        <f t="shared" si="39"/>
        <v>#VALUE!</v>
      </c>
      <c r="K323" t="e">
        <f t="shared" si="40"/>
        <v>#VALUE!</v>
      </c>
      <c r="M323" s="1">
        <f t="shared" si="41"/>
        <v>0</v>
      </c>
      <c r="N323" t="e">
        <f t="shared" si="42"/>
        <v>#VALUE!</v>
      </c>
      <c r="O323" t="e">
        <f t="shared" si="43"/>
        <v>#VALUE!</v>
      </c>
    </row>
    <row r="324" spans="9:15" x14ac:dyDescent="0.3">
      <c r="I324" t="e">
        <f t="shared" si="38"/>
        <v>#VALUE!</v>
      </c>
      <c r="J324" t="e">
        <f t="shared" si="39"/>
        <v>#VALUE!</v>
      </c>
      <c r="K324" t="e">
        <f t="shared" si="40"/>
        <v>#VALUE!</v>
      </c>
      <c r="M324" s="1">
        <f t="shared" si="41"/>
        <v>0</v>
      </c>
      <c r="N324" t="e">
        <f t="shared" si="42"/>
        <v>#VALUE!</v>
      </c>
      <c r="O324" t="e">
        <f t="shared" si="43"/>
        <v>#VALUE!</v>
      </c>
    </row>
    <row r="325" spans="9:15" x14ac:dyDescent="0.3">
      <c r="I325" t="e">
        <f t="shared" si="38"/>
        <v>#VALUE!</v>
      </c>
      <c r="J325" t="e">
        <f t="shared" si="39"/>
        <v>#VALUE!</v>
      </c>
      <c r="K325" t="e">
        <f t="shared" si="40"/>
        <v>#VALUE!</v>
      </c>
      <c r="M325" s="1">
        <f t="shared" si="41"/>
        <v>0</v>
      </c>
      <c r="N325" t="e">
        <f t="shared" si="42"/>
        <v>#VALUE!</v>
      </c>
      <c r="O325" t="e">
        <f t="shared" si="43"/>
        <v>#VALUE!</v>
      </c>
    </row>
    <row r="326" spans="9:15" x14ac:dyDescent="0.3">
      <c r="I326" t="e">
        <f t="shared" si="38"/>
        <v>#VALUE!</v>
      </c>
      <c r="J326" t="e">
        <f t="shared" si="39"/>
        <v>#VALUE!</v>
      </c>
      <c r="K326" t="e">
        <f t="shared" si="40"/>
        <v>#VALUE!</v>
      </c>
      <c r="M326" s="1">
        <f t="shared" si="41"/>
        <v>0</v>
      </c>
      <c r="N326" t="e">
        <f t="shared" si="42"/>
        <v>#VALUE!</v>
      </c>
      <c r="O326" t="e">
        <f t="shared" si="43"/>
        <v>#VALUE!</v>
      </c>
    </row>
    <row r="327" spans="9:15" x14ac:dyDescent="0.3">
      <c r="I327" t="e">
        <f t="shared" si="38"/>
        <v>#VALUE!</v>
      </c>
      <c r="J327" t="e">
        <f t="shared" si="39"/>
        <v>#VALUE!</v>
      </c>
      <c r="K327" t="e">
        <f t="shared" si="40"/>
        <v>#VALUE!</v>
      </c>
      <c r="M327" s="1">
        <f t="shared" si="41"/>
        <v>0</v>
      </c>
      <c r="N327" t="e">
        <f t="shared" si="42"/>
        <v>#VALUE!</v>
      </c>
      <c r="O327" t="e">
        <f t="shared" si="43"/>
        <v>#VALUE!</v>
      </c>
    </row>
    <row r="328" spans="9:15" x14ac:dyDescent="0.3">
      <c r="I328" t="e">
        <f t="shared" si="38"/>
        <v>#VALUE!</v>
      </c>
      <c r="J328" t="e">
        <f t="shared" si="39"/>
        <v>#VALUE!</v>
      </c>
      <c r="K328" t="e">
        <f t="shared" si="40"/>
        <v>#VALUE!</v>
      </c>
      <c r="M328" s="1">
        <f t="shared" si="41"/>
        <v>0</v>
      </c>
      <c r="N328" t="e">
        <f t="shared" si="42"/>
        <v>#VALUE!</v>
      </c>
      <c r="O328" t="e">
        <f t="shared" si="43"/>
        <v>#VALUE!</v>
      </c>
    </row>
    <row r="329" spans="9:15" x14ac:dyDescent="0.3">
      <c r="I329" t="e">
        <f t="shared" si="38"/>
        <v>#VALUE!</v>
      </c>
      <c r="J329" t="e">
        <f t="shared" si="39"/>
        <v>#VALUE!</v>
      </c>
      <c r="K329" t="e">
        <f t="shared" si="40"/>
        <v>#VALUE!</v>
      </c>
      <c r="M329" s="1">
        <f t="shared" si="41"/>
        <v>0</v>
      </c>
      <c r="N329" t="e">
        <f t="shared" si="42"/>
        <v>#VALUE!</v>
      </c>
      <c r="O329" t="e">
        <f t="shared" si="43"/>
        <v>#VALUE!</v>
      </c>
    </row>
    <row r="330" spans="9:15" x14ac:dyDescent="0.3">
      <c r="I330" t="e">
        <f t="shared" si="38"/>
        <v>#VALUE!</v>
      </c>
      <c r="J330" t="e">
        <f t="shared" si="39"/>
        <v>#VALUE!</v>
      </c>
      <c r="K330" t="e">
        <f t="shared" si="40"/>
        <v>#VALUE!</v>
      </c>
      <c r="M330" s="1">
        <f t="shared" si="41"/>
        <v>0</v>
      </c>
      <c r="N330" t="e">
        <f t="shared" si="42"/>
        <v>#VALUE!</v>
      </c>
      <c r="O330" t="e">
        <f t="shared" si="43"/>
        <v>#VALUE!</v>
      </c>
    </row>
    <row r="331" spans="9:15" x14ac:dyDescent="0.3">
      <c r="I331" t="e">
        <f t="shared" si="38"/>
        <v>#VALUE!</v>
      </c>
      <c r="J331" t="e">
        <f t="shared" si="39"/>
        <v>#VALUE!</v>
      </c>
      <c r="K331" t="e">
        <f t="shared" si="40"/>
        <v>#VALUE!</v>
      </c>
      <c r="M331" s="1">
        <f t="shared" si="41"/>
        <v>0</v>
      </c>
      <c r="N331" t="e">
        <f t="shared" si="42"/>
        <v>#VALUE!</v>
      </c>
      <c r="O331" t="e">
        <f t="shared" si="43"/>
        <v>#VALUE!</v>
      </c>
    </row>
    <row r="332" spans="9:15" x14ac:dyDescent="0.3">
      <c r="I332" t="e">
        <f t="shared" si="38"/>
        <v>#VALUE!</v>
      </c>
      <c r="J332" t="e">
        <f t="shared" si="39"/>
        <v>#VALUE!</v>
      </c>
      <c r="K332" t="e">
        <f t="shared" si="40"/>
        <v>#VALUE!</v>
      </c>
      <c r="M332" s="1">
        <f t="shared" si="41"/>
        <v>0</v>
      </c>
      <c r="N332" t="e">
        <f t="shared" si="42"/>
        <v>#VALUE!</v>
      </c>
      <c r="O332" t="e">
        <f t="shared" si="43"/>
        <v>#VALUE!</v>
      </c>
    </row>
    <row r="333" spans="9:15" x14ac:dyDescent="0.3">
      <c r="I333" t="e">
        <f t="shared" si="38"/>
        <v>#VALUE!</v>
      </c>
      <c r="J333" t="e">
        <f t="shared" si="39"/>
        <v>#VALUE!</v>
      </c>
      <c r="K333" t="e">
        <f t="shared" si="40"/>
        <v>#VALUE!</v>
      </c>
      <c r="M333" s="1">
        <f t="shared" si="41"/>
        <v>0</v>
      </c>
      <c r="N333" t="e">
        <f t="shared" si="42"/>
        <v>#VALUE!</v>
      </c>
      <c r="O333" t="e">
        <f t="shared" si="43"/>
        <v>#VALUE!</v>
      </c>
    </row>
    <row r="334" spans="9:15" x14ac:dyDescent="0.3">
      <c r="I334" t="e">
        <f t="shared" si="38"/>
        <v>#VALUE!</v>
      </c>
      <c r="J334" t="e">
        <f t="shared" si="39"/>
        <v>#VALUE!</v>
      </c>
      <c r="K334" t="e">
        <f t="shared" si="40"/>
        <v>#VALUE!</v>
      </c>
      <c r="M334" s="1">
        <f t="shared" si="41"/>
        <v>0</v>
      </c>
      <c r="N334" t="e">
        <f t="shared" si="42"/>
        <v>#VALUE!</v>
      </c>
      <c r="O334" t="e">
        <f t="shared" si="43"/>
        <v>#VALUE!</v>
      </c>
    </row>
    <row r="335" spans="9:15" x14ac:dyDescent="0.3">
      <c r="I335" t="e">
        <f t="shared" si="38"/>
        <v>#VALUE!</v>
      </c>
      <c r="J335" t="e">
        <f t="shared" si="39"/>
        <v>#VALUE!</v>
      </c>
      <c r="K335" t="e">
        <f t="shared" si="40"/>
        <v>#VALUE!</v>
      </c>
      <c r="M335" s="1">
        <f t="shared" si="41"/>
        <v>0</v>
      </c>
      <c r="N335" t="e">
        <f t="shared" si="42"/>
        <v>#VALUE!</v>
      </c>
      <c r="O335" t="e">
        <f t="shared" si="43"/>
        <v>#VALUE!</v>
      </c>
    </row>
    <row r="336" spans="9:15" x14ac:dyDescent="0.3">
      <c r="I336" t="e">
        <f t="shared" si="38"/>
        <v>#VALUE!</v>
      </c>
      <c r="J336" t="e">
        <f t="shared" si="39"/>
        <v>#VALUE!</v>
      </c>
      <c r="K336" t="e">
        <f t="shared" si="40"/>
        <v>#VALUE!</v>
      </c>
      <c r="M336" s="1">
        <f t="shared" si="41"/>
        <v>0</v>
      </c>
      <c r="N336" t="e">
        <f t="shared" si="42"/>
        <v>#VALUE!</v>
      </c>
      <c r="O336" t="e">
        <f t="shared" si="43"/>
        <v>#VALUE!</v>
      </c>
    </row>
    <row r="337" spans="9:15" x14ac:dyDescent="0.3">
      <c r="I337" t="e">
        <f t="shared" si="38"/>
        <v>#VALUE!</v>
      </c>
      <c r="J337" t="e">
        <f t="shared" si="39"/>
        <v>#VALUE!</v>
      </c>
      <c r="K337" t="e">
        <f t="shared" si="40"/>
        <v>#VALUE!</v>
      </c>
      <c r="M337" s="1">
        <f t="shared" si="41"/>
        <v>0</v>
      </c>
      <c r="N337" t="e">
        <f t="shared" si="42"/>
        <v>#VALUE!</v>
      </c>
      <c r="O337" t="e">
        <f t="shared" si="43"/>
        <v>#VALUE!</v>
      </c>
    </row>
    <row r="338" spans="9:15" x14ac:dyDescent="0.3">
      <c r="I338" t="e">
        <f t="shared" si="38"/>
        <v>#VALUE!</v>
      </c>
      <c r="J338" t="e">
        <f t="shared" si="39"/>
        <v>#VALUE!</v>
      </c>
      <c r="K338" t="e">
        <f t="shared" si="40"/>
        <v>#VALUE!</v>
      </c>
      <c r="M338" s="1">
        <f t="shared" si="41"/>
        <v>0</v>
      </c>
      <c r="N338" t="e">
        <f t="shared" si="42"/>
        <v>#VALUE!</v>
      </c>
      <c r="O338" t="e">
        <f t="shared" si="43"/>
        <v>#VALUE!</v>
      </c>
    </row>
    <row r="339" spans="9:15" x14ac:dyDescent="0.3">
      <c r="I339" t="e">
        <f t="shared" si="38"/>
        <v>#VALUE!</v>
      </c>
      <c r="J339" t="e">
        <f t="shared" si="39"/>
        <v>#VALUE!</v>
      </c>
      <c r="K339" t="e">
        <f t="shared" si="40"/>
        <v>#VALUE!</v>
      </c>
      <c r="M339" s="1">
        <f t="shared" si="41"/>
        <v>0</v>
      </c>
      <c r="N339" t="e">
        <f t="shared" si="42"/>
        <v>#VALUE!</v>
      </c>
      <c r="O339" t="e">
        <f t="shared" si="43"/>
        <v>#VALUE!</v>
      </c>
    </row>
    <row r="340" spans="9:15" x14ac:dyDescent="0.3">
      <c r="I340" t="e">
        <f t="shared" si="38"/>
        <v>#VALUE!</v>
      </c>
      <c r="J340" t="e">
        <f t="shared" si="39"/>
        <v>#VALUE!</v>
      </c>
      <c r="K340" t="e">
        <f t="shared" si="40"/>
        <v>#VALUE!</v>
      </c>
      <c r="M340" s="1">
        <f t="shared" si="41"/>
        <v>0</v>
      </c>
      <c r="N340" t="e">
        <f t="shared" si="42"/>
        <v>#VALUE!</v>
      </c>
      <c r="O340" t="e">
        <f t="shared" si="43"/>
        <v>#VALUE!</v>
      </c>
    </row>
    <row r="341" spans="9:15" x14ac:dyDescent="0.3">
      <c r="I341" t="e">
        <f t="shared" si="38"/>
        <v>#VALUE!</v>
      </c>
      <c r="J341" t="e">
        <f t="shared" si="39"/>
        <v>#VALUE!</v>
      </c>
      <c r="K341" t="e">
        <f t="shared" si="40"/>
        <v>#VALUE!</v>
      </c>
      <c r="M341" s="1">
        <f t="shared" si="41"/>
        <v>0</v>
      </c>
      <c r="N341" t="e">
        <f t="shared" si="42"/>
        <v>#VALUE!</v>
      </c>
      <c r="O341" t="e">
        <f t="shared" si="43"/>
        <v>#VALUE!</v>
      </c>
    </row>
    <row r="342" spans="9:15" x14ac:dyDescent="0.3">
      <c r="I342" t="e">
        <f t="shared" si="38"/>
        <v>#VALUE!</v>
      </c>
      <c r="J342" t="e">
        <f t="shared" si="39"/>
        <v>#VALUE!</v>
      </c>
      <c r="K342" t="e">
        <f t="shared" si="40"/>
        <v>#VALUE!</v>
      </c>
      <c r="M342" s="1">
        <f t="shared" si="41"/>
        <v>0</v>
      </c>
      <c r="N342" t="e">
        <f t="shared" si="42"/>
        <v>#VALUE!</v>
      </c>
      <c r="O342" t="e">
        <f t="shared" si="43"/>
        <v>#VALUE!</v>
      </c>
    </row>
    <row r="343" spans="9:15" x14ac:dyDescent="0.3">
      <c r="I343" t="e">
        <f t="shared" si="38"/>
        <v>#VALUE!</v>
      </c>
      <c r="J343" t="e">
        <f t="shared" si="39"/>
        <v>#VALUE!</v>
      </c>
      <c r="K343" t="e">
        <f t="shared" si="40"/>
        <v>#VALUE!</v>
      </c>
      <c r="M343" s="1">
        <f t="shared" si="41"/>
        <v>0</v>
      </c>
      <c r="N343" t="e">
        <f t="shared" si="42"/>
        <v>#VALUE!</v>
      </c>
      <c r="O343" t="e">
        <f t="shared" si="43"/>
        <v>#VALUE!</v>
      </c>
    </row>
    <row r="344" spans="9:15" x14ac:dyDescent="0.3">
      <c r="I344" t="e">
        <f t="shared" si="38"/>
        <v>#VALUE!</v>
      </c>
      <c r="J344" t="e">
        <f t="shared" si="39"/>
        <v>#VALUE!</v>
      </c>
      <c r="K344" t="e">
        <f t="shared" si="40"/>
        <v>#VALUE!</v>
      </c>
      <c r="M344" s="1">
        <f t="shared" si="41"/>
        <v>0</v>
      </c>
      <c r="N344" t="e">
        <f t="shared" si="42"/>
        <v>#VALUE!</v>
      </c>
      <c r="O344" t="e">
        <f t="shared" si="43"/>
        <v>#VALUE!</v>
      </c>
    </row>
    <row r="345" spans="9:15" x14ac:dyDescent="0.3">
      <c r="I345" t="e">
        <f t="shared" si="38"/>
        <v>#VALUE!</v>
      </c>
      <c r="J345" t="e">
        <f t="shared" si="39"/>
        <v>#VALUE!</v>
      </c>
      <c r="K345" t="e">
        <f t="shared" si="40"/>
        <v>#VALUE!</v>
      </c>
      <c r="M345" s="1">
        <f t="shared" si="41"/>
        <v>0</v>
      </c>
      <c r="N345" t="e">
        <f t="shared" si="42"/>
        <v>#VALUE!</v>
      </c>
      <c r="O345" t="e">
        <f t="shared" si="43"/>
        <v>#VALUE!</v>
      </c>
    </row>
    <row r="346" spans="9:15" x14ac:dyDescent="0.3">
      <c r="I346" t="e">
        <f t="shared" si="38"/>
        <v>#VALUE!</v>
      </c>
      <c r="J346" t="e">
        <f t="shared" si="39"/>
        <v>#VALUE!</v>
      </c>
      <c r="K346" t="e">
        <f t="shared" si="40"/>
        <v>#VALUE!</v>
      </c>
      <c r="M346" s="1">
        <f t="shared" si="41"/>
        <v>0</v>
      </c>
      <c r="N346" t="e">
        <f t="shared" si="42"/>
        <v>#VALUE!</v>
      </c>
      <c r="O346" t="e">
        <f t="shared" si="43"/>
        <v>#VALUE!</v>
      </c>
    </row>
    <row r="347" spans="9:15" x14ac:dyDescent="0.3">
      <c r="I347" t="e">
        <f t="shared" si="38"/>
        <v>#VALUE!</v>
      </c>
      <c r="J347" t="e">
        <f t="shared" si="39"/>
        <v>#VALUE!</v>
      </c>
      <c r="K347" t="e">
        <f t="shared" si="40"/>
        <v>#VALUE!</v>
      </c>
      <c r="M347" s="1">
        <f t="shared" si="41"/>
        <v>0</v>
      </c>
      <c r="N347" t="e">
        <f t="shared" si="42"/>
        <v>#VALUE!</v>
      </c>
      <c r="O347" t="e">
        <f t="shared" si="43"/>
        <v>#VALUE!</v>
      </c>
    </row>
    <row r="348" spans="9:15" x14ac:dyDescent="0.3">
      <c r="I348" t="e">
        <f t="shared" si="38"/>
        <v>#VALUE!</v>
      </c>
      <c r="J348" t="e">
        <f t="shared" si="39"/>
        <v>#VALUE!</v>
      </c>
      <c r="K348" t="e">
        <f t="shared" si="40"/>
        <v>#VALUE!</v>
      </c>
      <c r="M348" s="1">
        <f t="shared" si="41"/>
        <v>0</v>
      </c>
      <c r="N348" t="e">
        <f t="shared" si="42"/>
        <v>#VALUE!</v>
      </c>
      <c r="O348" t="e">
        <f t="shared" si="43"/>
        <v>#VALUE!</v>
      </c>
    </row>
    <row r="349" spans="9:15" x14ac:dyDescent="0.3">
      <c r="I349" t="e">
        <f t="shared" si="38"/>
        <v>#VALUE!</v>
      </c>
      <c r="J349" t="e">
        <f t="shared" si="39"/>
        <v>#VALUE!</v>
      </c>
      <c r="K349" t="e">
        <f t="shared" si="40"/>
        <v>#VALUE!</v>
      </c>
      <c r="M349" s="1">
        <f t="shared" si="41"/>
        <v>0</v>
      </c>
      <c r="N349" t="e">
        <f t="shared" si="42"/>
        <v>#VALUE!</v>
      </c>
      <c r="O349" t="e">
        <f t="shared" si="43"/>
        <v>#VALUE!</v>
      </c>
    </row>
    <row r="350" spans="9:15" x14ac:dyDescent="0.3">
      <c r="I350" t="e">
        <f t="shared" si="38"/>
        <v>#VALUE!</v>
      </c>
      <c r="J350" t="e">
        <f t="shared" si="39"/>
        <v>#VALUE!</v>
      </c>
      <c r="K350" t="e">
        <f t="shared" si="40"/>
        <v>#VALUE!</v>
      </c>
      <c r="M350" s="1">
        <f t="shared" si="41"/>
        <v>0</v>
      </c>
      <c r="N350" t="e">
        <f t="shared" si="42"/>
        <v>#VALUE!</v>
      </c>
      <c r="O350" t="e">
        <f t="shared" si="43"/>
        <v>#VALUE!</v>
      </c>
    </row>
    <row r="351" spans="9:15" x14ac:dyDescent="0.3">
      <c r="I351" t="e">
        <f t="shared" si="38"/>
        <v>#VALUE!</v>
      </c>
      <c r="J351" t="e">
        <f t="shared" si="39"/>
        <v>#VALUE!</v>
      </c>
      <c r="K351" t="e">
        <f t="shared" si="40"/>
        <v>#VALUE!</v>
      </c>
      <c r="M351" s="1">
        <f t="shared" si="41"/>
        <v>0</v>
      </c>
      <c r="N351" t="e">
        <f t="shared" si="42"/>
        <v>#VALUE!</v>
      </c>
      <c r="O351" t="e">
        <f t="shared" si="43"/>
        <v>#VALUE!</v>
      </c>
    </row>
    <row r="352" spans="9:15" x14ac:dyDescent="0.3">
      <c r="I352" t="e">
        <f t="shared" si="38"/>
        <v>#VALUE!</v>
      </c>
      <c r="J352" t="e">
        <f t="shared" si="39"/>
        <v>#VALUE!</v>
      </c>
      <c r="K352" t="e">
        <f t="shared" si="40"/>
        <v>#VALUE!</v>
      </c>
      <c r="M352" s="1">
        <f t="shared" si="41"/>
        <v>0</v>
      </c>
      <c r="N352" t="e">
        <f t="shared" si="42"/>
        <v>#VALUE!</v>
      </c>
      <c r="O352" t="e">
        <f t="shared" si="43"/>
        <v>#VALUE!</v>
      </c>
    </row>
    <row r="353" spans="9:15" x14ac:dyDescent="0.3">
      <c r="I353" t="e">
        <f t="shared" si="38"/>
        <v>#VALUE!</v>
      </c>
      <c r="J353" t="e">
        <f t="shared" si="39"/>
        <v>#VALUE!</v>
      </c>
      <c r="K353" t="e">
        <f t="shared" si="40"/>
        <v>#VALUE!</v>
      </c>
      <c r="M353" s="1">
        <f t="shared" si="41"/>
        <v>0</v>
      </c>
      <c r="N353" t="e">
        <f t="shared" si="42"/>
        <v>#VALUE!</v>
      </c>
      <c r="O353" t="e">
        <f t="shared" si="43"/>
        <v>#VALUE!</v>
      </c>
    </row>
    <row r="354" spans="9:15" x14ac:dyDescent="0.3">
      <c r="I354" t="e">
        <f t="shared" ref="I354:I417" si="44">RIGHT(C354,LEN(C354)-FIND(" ",C354,LEN(C354)-12))</f>
        <v>#VALUE!</v>
      </c>
      <c r="J354" t="e">
        <f t="shared" ref="J354:J417" si="45">RIGHT(C354,LEN(I354)/2)</f>
        <v>#VALUE!</v>
      </c>
      <c r="K354" t="e">
        <f t="shared" ref="K354:K417" si="46">LEFT(C354,FIND(" ",C354)-1)</f>
        <v>#VALUE!</v>
      </c>
      <c r="M354" s="1">
        <f t="shared" ref="M354:M417" si="47">B354</f>
        <v>0</v>
      </c>
      <c r="N354" t="e">
        <f t="shared" ref="N354:N417" si="48">VLOOKUP(J354,$R$1:$S$30,2,FALSE)</f>
        <v>#VALUE!</v>
      </c>
      <c r="O354" t="e">
        <f t="shared" ref="O354:O417" si="49">VLOOKUP(K354,$R$1:$S$30,2,FALSE)</f>
        <v>#VALUE!</v>
      </c>
    </row>
    <row r="355" spans="9:15" x14ac:dyDescent="0.3">
      <c r="I355" t="e">
        <f t="shared" si="44"/>
        <v>#VALUE!</v>
      </c>
      <c r="J355" t="e">
        <f t="shared" si="45"/>
        <v>#VALUE!</v>
      </c>
      <c r="K355" t="e">
        <f t="shared" si="46"/>
        <v>#VALUE!</v>
      </c>
      <c r="M355" s="1">
        <f t="shared" si="47"/>
        <v>0</v>
      </c>
      <c r="N355" t="e">
        <f t="shared" si="48"/>
        <v>#VALUE!</v>
      </c>
      <c r="O355" t="e">
        <f t="shared" si="49"/>
        <v>#VALUE!</v>
      </c>
    </row>
    <row r="356" spans="9:15" x14ac:dyDescent="0.3">
      <c r="I356" t="e">
        <f t="shared" si="44"/>
        <v>#VALUE!</v>
      </c>
      <c r="J356" t="e">
        <f t="shared" si="45"/>
        <v>#VALUE!</v>
      </c>
      <c r="K356" t="e">
        <f t="shared" si="46"/>
        <v>#VALUE!</v>
      </c>
      <c r="M356" s="1">
        <f t="shared" si="47"/>
        <v>0</v>
      </c>
      <c r="N356" t="e">
        <f t="shared" si="48"/>
        <v>#VALUE!</v>
      </c>
      <c r="O356" t="e">
        <f t="shared" si="49"/>
        <v>#VALUE!</v>
      </c>
    </row>
    <row r="357" spans="9:15" x14ac:dyDescent="0.3">
      <c r="I357" t="e">
        <f t="shared" si="44"/>
        <v>#VALUE!</v>
      </c>
      <c r="J357" t="e">
        <f t="shared" si="45"/>
        <v>#VALUE!</v>
      </c>
      <c r="K357" t="e">
        <f t="shared" si="46"/>
        <v>#VALUE!</v>
      </c>
      <c r="M357" s="1">
        <f t="shared" si="47"/>
        <v>0</v>
      </c>
      <c r="N357" t="e">
        <f t="shared" si="48"/>
        <v>#VALUE!</v>
      </c>
      <c r="O357" t="e">
        <f t="shared" si="49"/>
        <v>#VALUE!</v>
      </c>
    </row>
    <row r="358" spans="9:15" x14ac:dyDescent="0.3">
      <c r="I358" t="e">
        <f t="shared" si="44"/>
        <v>#VALUE!</v>
      </c>
      <c r="J358" t="e">
        <f t="shared" si="45"/>
        <v>#VALUE!</v>
      </c>
      <c r="K358" t="e">
        <f t="shared" si="46"/>
        <v>#VALUE!</v>
      </c>
      <c r="M358" s="1">
        <f t="shared" si="47"/>
        <v>0</v>
      </c>
      <c r="N358" t="e">
        <f t="shared" si="48"/>
        <v>#VALUE!</v>
      </c>
      <c r="O358" t="e">
        <f t="shared" si="49"/>
        <v>#VALUE!</v>
      </c>
    </row>
    <row r="359" spans="9:15" x14ac:dyDescent="0.3">
      <c r="I359" t="e">
        <f t="shared" si="44"/>
        <v>#VALUE!</v>
      </c>
      <c r="J359" t="e">
        <f t="shared" si="45"/>
        <v>#VALUE!</v>
      </c>
      <c r="K359" t="e">
        <f t="shared" si="46"/>
        <v>#VALUE!</v>
      </c>
      <c r="M359" s="1">
        <f t="shared" si="47"/>
        <v>0</v>
      </c>
      <c r="N359" t="e">
        <f t="shared" si="48"/>
        <v>#VALUE!</v>
      </c>
      <c r="O359" t="e">
        <f t="shared" si="49"/>
        <v>#VALUE!</v>
      </c>
    </row>
    <row r="360" spans="9:15" x14ac:dyDescent="0.3">
      <c r="I360" t="e">
        <f t="shared" si="44"/>
        <v>#VALUE!</v>
      </c>
      <c r="J360" t="e">
        <f t="shared" si="45"/>
        <v>#VALUE!</v>
      </c>
      <c r="K360" t="e">
        <f t="shared" si="46"/>
        <v>#VALUE!</v>
      </c>
      <c r="M360" s="1">
        <f t="shared" si="47"/>
        <v>0</v>
      </c>
      <c r="N360" t="e">
        <f t="shared" si="48"/>
        <v>#VALUE!</v>
      </c>
      <c r="O360" t="e">
        <f t="shared" si="49"/>
        <v>#VALUE!</v>
      </c>
    </row>
    <row r="361" spans="9:15" x14ac:dyDescent="0.3">
      <c r="I361" t="e">
        <f t="shared" si="44"/>
        <v>#VALUE!</v>
      </c>
      <c r="J361" t="e">
        <f t="shared" si="45"/>
        <v>#VALUE!</v>
      </c>
      <c r="K361" t="e">
        <f t="shared" si="46"/>
        <v>#VALUE!</v>
      </c>
      <c r="M361" s="1">
        <f t="shared" si="47"/>
        <v>0</v>
      </c>
      <c r="N361" t="e">
        <f t="shared" si="48"/>
        <v>#VALUE!</v>
      </c>
      <c r="O361" t="e">
        <f t="shared" si="49"/>
        <v>#VALUE!</v>
      </c>
    </row>
    <row r="362" spans="9:15" x14ac:dyDescent="0.3">
      <c r="I362" t="e">
        <f t="shared" si="44"/>
        <v>#VALUE!</v>
      </c>
      <c r="J362" t="e">
        <f t="shared" si="45"/>
        <v>#VALUE!</v>
      </c>
      <c r="K362" t="e">
        <f t="shared" si="46"/>
        <v>#VALUE!</v>
      </c>
      <c r="M362" s="1">
        <f t="shared" si="47"/>
        <v>0</v>
      </c>
      <c r="N362" t="e">
        <f t="shared" si="48"/>
        <v>#VALUE!</v>
      </c>
      <c r="O362" t="e">
        <f t="shared" si="49"/>
        <v>#VALUE!</v>
      </c>
    </row>
    <row r="363" spans="9:15" x14ac:dyDescent="0.3">
      <c r="I363" t="e">
        <f t="shared" si="44"/>
        <v>#VALUE!</v>
      </c>
      <c r="J363" t="e">
        <f t="shared" si="45"/>
        <v>#VALUE!</v>
      </c>
      <c r="K363" t="e">
        <f t="shared" si="46"/>
        <v>#VALUE!</v>
      </c>
      <c r="M363" s="1">
        <f t="shared" si="47"/>
        <v>0</v>
      </c>
      <c r="N363" t="e">
        <f t="shared" si="48"/>
        <v>#VALUE!</v>
      </c>
      <c r="O363" t="e">
        <f t="shared" si="49"/>
        <v>#VALUE!</v>
      </c>
    </row>
    <row r="364" spans="9:15" x14ac:dyDescent="0.3">
      <c r="I364" t="e">
        <f t="shared" si="44"/>
        <v>#VALUE!</v>
      </c>
      <c r="J364" t="e">
        <f t="shared" si="45"/>
        <v>#VALUE!</v>
      </c>
      <c r="K364" t="e">
        <f t="shared" si="46"/>
        <v>#VALUE!</v>
      </c>
      <c r="M364" s="1">
        <f t="shared" si="47"/>
        <v>0</v>
      </c>
      <c r="N364" t="e">
        <f t="shared" si="48"/>
        <v>#VALUE!</v>
      </c>
      <c r="O364" t="e">
        <f t="shared" si="49"/>
        <v>#VALUE!</v>
      </c>
    </row>
    <row r="365" spans="9:15" x14ac:dyDescent="0.3">
      <c r="I365" t="e">
        <f t="shared" si="44"/>
        <v>#VALUE!</v>
      </c>
      <c r="J365" t="e">
        <f t="shared" si="45"/>
        <v>#VALUE!</v>
      </c>
      <c r="K365" t="e">
        <f t="shared" si="46"/>
        <v>#VALUE!</v>
      </c>
      <c r="M365" s="1">
        <f t="shared" si="47"/>
        <v>0</v>
      </c>
      <c r="N365" t="e">
        <f t="shared" si="48"/>
        <v>#VALUE!</v>
      </c>
      <c r="O365" t="e">
        <f t="shared" si="49"/>
        <v>#VALUE!</v>
      </c>
    </row>
    <row r="366" spans="9:15" x14ac:dyDescent="0.3">
      <c r="I366" t="e">
        <f t="shared" si="44"/>
        <v>#VALUE!</v>
      </c>
      <c r="J366" t="e">
        <f t="shared" si="45"/>
        <v>#VALUE!</v>
      </c>
      <c r="K366" t="e">
        <f t="shared" si="46"/>
        <v>#VALUE!</v>
      </c>
      <c r="M366" s="1">
        <f t="shared" si="47"/>
        <v>0</v>
      </c>
      <c r="N366" t="e">
        <f t="shared" si="48"/>
        <v>#VALUE!</v>
      </c>
      <c r="O366" t="e">
        <f t="shared" si="49"/>
        <v>#VALUE!</v>
      </c>
    </row>
    <row r="367" spans="9:15" x14ac:dyDescent="0.3">
      <c r="I367" t="e">
        <f t="shared" si="44"/>
        <v>#VALUE!</v>
      </c>
      <c r="J367" t="e">
        <f t="shared" si="45"/>
        <v>#VALUE!</v>
      </c>
      <c r="K367" t="e">
        <f t="shared" si="46"/>
        <v>#VALUE!</v>
      </c>
      <c r="M367" s="1">
        <f t="shared" si="47"/>
        <v>0</v>
      </c>
      <c r="N367" t="e">
        <f t="shared" si="48"/>
        <v>#VALUE!</v>
      </c>
      <c r="O367" t="e">
        <f t="shared" si="49"/>
        <v>#VALUE!</v>
      </c>
    </row>
    <row r="368" spans="9:15" x14ac:dyDescent="0.3">
      <c r="I368" t="e">
        <f t="shared" si="44"/>
        <v>#VALUE!</v>
      </c>
      <c r="J368" t="e">
        <f t="shared" si="45"/>
        <v>#VALUE!</v>
      </c>
      <c r="K368" t="e">
        <f t="shared" si="46"/>
        <v>#VALUE!</v>
      </c>
      <c r="M368" s="1">
        <f t="shared" si="47"/>
        <v>0</v>
      </c>
      <c r="N368" t="e">
        <f t="shared" si="48"/>
        <v>#VALUE!</v>
      </c>
      <c r="O368" t="e">
        <f t="shared" si="49"/>
        <v>#VALUE!</v>
      </c>
    </row>
    <row r="369" spans="9:15" x14ac:dyDescent="0.3">
      <c r="I369" t="e">
        <f t="shared" si="44"/>
        <v>#VALUE!</v>
      </c>
      <c r="J369" t="e">
        <f t="shared" si="45"/>
        <v>#VALUE!</v>
      </c>
      <c r="K369" t="e">
        <f t="shared" si="46"/>
        <v>#VALUE!</v>
      </c>
      <c r="M369" s="1">
        <f t="shared" si="47"/>
        <v>0</v>
      </c>
      <c r="N369" t="e">
        <f t="shared" si="48"/>
        <v>#VALUE!</v>
      </c>
      <c r="O369" t="e">
        <f t="shared" si="49"/>
        <v>#VALUE!</v>
      </c>
    </row>
    <row r="370" spans="9:15" x14ac:dyDescent="0.3">
      <c r="I370" t="e">
        <f t="shared" si="44"/>
        <v>#VALUE!</v>
      </c>
      <c r="J370" t="e">
        <f t="shared" si="45"/>
        <v>#VALUE!</v>
      </c>
      <c r="K370" t="e">
        <f t="shared" si="46"/>
        <v>#VALUE!</v>
      </c>
      <c r="M370" s="1">
        <f t="shared" si="47"/>
        <v>0</v>
      </c>
      <c r="N370" t="e">
        <f t="shared" si="48"/>
        <v>#VALUE!</v>
      </c>
      <c r="O370" t="e">
        <f t="shared" si="49"/>
        <v>#VALUE!</v>
      </c>
    </row>
    <row r="371" spans="9:15" x14ac:dyDescent="0.3">
      <c r="I371" t="e">
        <f t="shared" si="44"/>
        <v>#VALUE!</v>
      </c>
      <c r="J371" t="e">
        <f t="shared" si="45"/>
        <v>#VALUE!</v>
      </c>
      <c r="K371" t="e">
        <f t="shared" si="46"/>
        <v>#VALUE!</v>
      </c>
      <c r="M371" s="1">
        <f t="shared" si="47"/>
        <v>0</v>
      </c>
      <c r="N371" t="e">
        <f t="shared" si="48"/>
        <v>#VALUE!</v>
      </c>
      <c r="O371" t="e">
        <f t="shared" si="49"/>
        <v>#VALUE!</v>
      </c>
    </row>
    <row r="372" spans="9:15" x14ac:dyDescent="0.3">
      <c r="I372" t="e">
        <f t="shared" si="44"/>
        <v>#VALUE!</v>
      </c>
      <c r="J372" t="e">
        <f t="shared" si="45"/>
        <v>#VALUE!</v>
      </c>
      <c r="K372" t="e">
        <f t="shared" si="46"/>
        <v>#VALUE!</v>
      </c>
      <c r="M372" s="1">
        <f t="shared" si="47"/>
        <v>0</v>
      </c>
      <c r="N372" t="e">
        <f t="shared" si="48"/>
        <v>#VALUE!</v>
      </c>
      <c r="O372" t="e">
        <f t="shared" si="49"/>
        <v>#VALUE!</v>
      </c>
    </row>
    <row r="373" spans="9:15" x14ac:dyDescent="0.3">
      <c r="I373" t="e">
        <f t="shared" si="44"/>
        <v>#VALUE!</v>
      </c>
      <c r="J373" t="e">
        <f t="shared" si="45"/>
        <v>#VALUE!</v>
      </c>
      <c r="K373" t="e">
        <f t="shared" si="46"/>
        <v>#VALUE!</v>
      </c>
      <c r="M373" s="1">
        <f t="shared" si="47"/>
        <v>0</v>
      </c>
      <c r="N373" t="e">
        <f t="shared" si="48"/>
        <v>#VALUE!</v>
      </c>
      <c r="O373" t="e">
        <f t="shared" si="49"/>
        <v>#VALUE!</v>
      </c>
    </row>
    <row r="374" spans="9:15" x14ac:dyDescent="0.3">
      <c r="I374" t="e">
        <f t="shared" si="44"/>
        <v>#VALUE!</v>
      </c>
      <c r="J374" t="e">
        <f t="shared" si="45"/>
        <v>#VALUE!</v>
      </c>
      <c r="K374" t="e">
        <f t="shared" si="46"/>
        <v>#VALUE!</v>
      </c>
      <c r="M374" s="1">
        <f t="shared" si="47"/>
        <v>0</v>
      </c>
      <c r="N374" t="e">
        <f t="shared" si="48"/>
        <v>#VALUE!</v>
      </c>
      <c r="O374" t="e">
        <f t="shared" si="49"/>
        <v>#VALUE!</v>
      </c>
    </row>
    <row r="375" spans="9:15" x14ac:dyDescent="0.3">
      <c r="I375" t="e">
        <f t="shared" si="44"/>
        <v>#VALUE!</v>
      </c>
      <c r="J375" t="e">
        <f t="shared" si="45"/>
        <v>#VALUE!</v>
      </c>
      <c r="K375" t="e">
        <f t="shared" si="46"/>
        <v>#VALUE!</v>
      </c>
      <c r="M375" s="1">
        <f t="shared" si="47"/>
        <v>0</v>
      </c>
      <c r="N375" t="e">
        <f t="shared" si="48"/>
        <v>#VALUE!</v>
      </c>
      <c r="O375" t="e">
        <f t="shared" si="49"/>
        <v>#VALUE!</v>
      </c>
    </row>
    <row r="376" spans="9:15" x14ac:dyDescent="0.3">
      <c r="I376" t="e">
        <f t="shared" si="44"/>
        <v>#VALUE!</v>
      </c>
      <c r="J376" t="e">
        <f t="shared" si="45"/>
        <v>#VALUE!</v>
      </c>
      <c r="K376" t="e">
        <f t="shared" si="46"/>
        <v>#VALUE!</v>
      </c>
      <c r="M376" s="1">
        <f t="shared" si="47"/>
        <v>0</v>
      </c>
      <c r="N376" t="e">
        <f t="shared" si="48"/>
        <v>#VALUE!</v>
      </c>
      <c r="O376" t="e">
        <f t="shared" si="49"/>
        <v>#VALUE!</v>
      </c>
    </row>
    <row r="377" spans="9:15" x14ac:dyDescent="0.3">
      <c r="I377" t="e">
        <f t="shared" si="44"/>
        <v>#VALUE!</v>
      </c>
      <c r="J377" t="e">
        <f t="shared" si="45"/>
        <v>#VALUE!</v>
      </c>
      <c r="K377" t="e">
        <f t="shared" si="46"/>
        <v>#VALUE!</v>
      </c>
      <c r="M377" s="1">
        <f t="shared" si="47"/>
        <v>0</v>
      </c>
      <c r="N377" t="e">
        <f t="shared" si="48"/>
        <v>#VALUE!</v>
      </c>
      <c r="O377" t="e">
        <f t="shared" si="49"/>
        <v>#VALUE!</v>
      </c>
    </row>
    <row r="378" spans="9:15" x14ac:dyDescent="0.3">
      <c r="I378" t="e">
        <f t="shared" si="44"/>
        <v>#VALUE!</v>
      </c>
      <c r="J378" t="e">
        <f t="shared" si="45"/>
        <v>#VALUE!</v>
      </c>
      <c r="K378" t="e">
        <f t="shared" si="46"/>
        <v>#VALUE!</v>
      </c>
      <c r="M378" s="1">
        <f t="shared" si="47"/>
        <v>0</v>
      </c>
      <c r="N378" t="e">
        <f t="shared" si="48"/>
        <v>#VALUE!</v>
      </c>
      <c r="O378" t="e">
        <f t="shared" si="49"/>
        <v>#VALUE!</v>
      </c>
    </row>
    <row r="379" spans="9:15" x14ac:dyDescent="0.3">
      <c r="I379" t="e">
        <f t="shared" si="44"/>
        <v>#VALUE!</v>
      </c>
      <c r="J379" t="e">
        <f t="shared" si="45"/>
        <v>#VALUE!</v>
      </c>
      <c r="K379" t="e">
        <f t="shared" si="46"/>
        <v>#VALUE!</v>
      </c>
      <c r="M379" s="1">
        <f t="shared" si="47"/>
        <v>0</v>
      </c>
      <c r="N379" t="e">
        <f t="shared" si="48"/>
        <v>#VALUE!</v>
      </c>
      <c r="O379" t="e">
        <f t="shared" si="49"/>
        <v>#VALUE!</v>
      </c>
    </row>
    <row r="380" spans="9:15" x14ac:dyDescent="0.3">
      <c r="I380" t="e">
        <f t="shared" si="44"/>
        <v>#VALUE!</v>
      </c>
      <c r="J380" t="e">
        <f t="shared" si="45"/>
        <v>#VALUE!</v>
      </c>
      <c r="K380" t="e">
        <f t="shared" si="46"/>
        <v>#VALUE!</v>
      </c>
      <c r="M380" s="1">
        <f t="shared" si="47"/>
        <v>0</v>
      </c>
      <c r="N380" t="e">
        <f t="shared" si="48"/>
        <v>#VALUE!</v>
      </c>
      <c r="O380" t="e">
        <f t="shared" si="49"/>
        <v>#VALUE!</v>
      </c>
    </row>
    <row r="381" spans="9:15" x14ac:dyDescent="0.3">
      <c r="I381" t="e">
        <f t="shared" si="44"/>
        <v>#VALUE!</v>
      </c>
      <c r="J381" t="e">
        <f t="shared" si="45"/>
        <v>#VALUE!</v>
      </c>
      <c r="K381" t="e">
        <f t="shared" si="46"/>
        <v>#VALUE!</v>
      </c>
      <c r="M381" s="1">
        <f t="shared" si="47"/>
        <v>0</v>
      </c>
      <c r="N381" t="e">
        <f t="shared" si="48"/>
        <v>#VALUE!</v>
      </c>
      <c r="O381" t="e">
        <f t="shared" si="49"/>
        <v>#VALUE!</v>
      </c>
    </row>
    <row r="382" spans="9:15" x14ac:dyDescent="0.3">
      <c r="I382" t="e">
        <f t="shared" si="44"/>
        <v>#VALUE!</v>
      </c>
      <c r="J382" t="e">
        <f t="shared" si="45"/>
        <v>#VALUE!</v>
      </c>
      <c r="K382" t="e">
        <f t="shared" si="46"/>
        <v>#VALUE!</v>
      </c>
      <c r="M382" s="1">
        <f t="shared" si="47"/>
        <v>0</v>
      </c>
      <c r="N382" t="e">
        <f t="shared" si="48"/>
        <v>#VALUE!</v>
      </c>
      <c r="O382" t="e">
        <f t="shared" si="49"/>
        <v>#VALUE!</v>
      </c>
    </row>
    <row r="383" spans="9:15" x14ac:dyDescent="0.3">
      <c r="I383" t="e">
        <f t="shared" si="44"/>
        <v>#VALUE!</v>
      </c>
      <c r="J383" t="e">
        <f t="shared" si="45"/>
        <v>#VALUE!</v>
      </c>
      <c r="K383" t="e">
        <f t="shared" si="46"/>
        <v>#VALUE!</v>
      </c>
      <c r="M383" s="1">
        <f t="shared" si="47"/>
        <v>0</v>
      </c>
      <c r="N383" t="e">
        <f t="shared" si="48"/>
        <v>#VALUE!</v>
      </c>
      <c r="O383" t="e">
        <f t="shared" si="49"/>
        <v>#VALUE!</v>
      </c>
    </row>
    <row r="384" spans="9:15" x14ac:dyDescent="0.3">
      <c r="I384" t="e">
        <f t="shared" si="44"/>
        <v>#VALUE!</v>
      </c>
      <c r="J384" t="e">
        <f t="shared" si="45"/>
        <v>#VALUE!</v>
      </c>
      <c r="K384" t="e">
        <f t="shared" si="46"/>
        <v>#VALUE!</v>
      </c>
      <c r="M384" s="1">
        <f t="shared" si="47"/>
        <v>0</v>
      </c>
      <c r="N384" t="e">
        <f t="shared" si="48"/>
        <v>#VALUE!</v>
      </c>
      <c r="O384" t="e">
        <f t="shared" si="49"/>
        <v>#VALUE!</v>
      </c>
    </row>
    <row r="385" spans="9:15" x14ac:dyDescent="0.3">
      <c r="I385" t="e">
        <f t="shared" si="44"/>
        <v>#VALUE!</v>
      </c>
      <c r="J385" t="e">
        <f t="shared" si="45"/>
        <v>#VALUE!</v>
      </c>
      <c r="K385" t="e">
        <f t="shared" si="46"/>
        <v>#VALUE!</v>
      </c>
      <c r="M385" s="1">
        <f t="shared" si="47"/>
        <v>0</v>
      </c>
      <c r="N385" t="e">
        <f t="shared" si="48"/>
        <v>#VALUE!</v>
      </c>
      <c r="O385" t="e">
        <f t="shared" si="49"/>
        <v>#VALUE!</v>
      </c>
    </row>
    <row r="386" spans="9:15" x14ac:dyDescent="0.3">
      <c r="I386" t="e">
        <f t="shared" si="44"/>
        <v>#VALUE!</v>
      </c>
      <c r="J386" t="e">
        <f t="shared" si="45"/>
        <v>#VALUE!</v>
      </c>
      <c r="K386" t="e">
        <f t="shared" si="46"/>
        <v>#VALUE!</v>
      </c>
      <c r="M386" s="1">
        <f t="shared" si="47"/>
        <v>0</v>
      </c>
      <c r="N386" t="e">
        <f t="shared" si="48"/>
        <v>#VALUE!</v>
      </c>
      <c r="O386" t="e">
        <f t="shared" si="49"/>
        <v>#VALUE!</v>
      </c>
    </row>
    <row r="387" spans="9:15" x14ac:dyDescent="0.3">
      <c r="I387" t="e">
        <f t="shared" si="44"/>
        <v>#VALUE!</v>
      </c>
      <c r="J387" t="e">
        <f t="shared" si="45"/>
        <v>#VALUE!</v>
      </c>
      <c r="K387" t="e">
        <f t="shared" si="46"/>
        <v>#VALUE!</v>
      </c>
      <c r="M387" s="1">
        <f t="shared" si="47"/>
        <v>0</v>
      </c>
      <c r="N387" t="e">
        <f t="shared" si="48"/>
        <v>#VALUE!</v>
      </c>
      <c r="O387" t="e">
        <f t="shared" si="49"/>
        <v>#VALUE!</v>
      </c>
    </row>
    <row r="388" spans="9:15" x14ac:dyDescent="0.3">
      <c r="I388" t="e">
        <f t="shared" si="44"/>
        <v>#VALUE!</v>
      </c>
      <c r="J388" t="e">
        <f t="shared" si="45"/>
        <v>#VALUE!</v>
      </c>
      <c r="K388" t="e">
        <f t="shared" si="46"/>
        <v>#VALUE!</v>
      </c>
      <c r="M388" s="1">
        <f t="shared" si="47"/>
        <v>0</v>
      </c>
      <c r="N388" t="e">
        <f t="shared" si="48"/>
        <v>#VALUE!</v>
      </c>
      <c r="O388" t="e">
        <f t="shared" si="49"/>
        <v>#VALUE!</v>
      </c>
    </row>
    <row r="389" spans="9:15" x14ac:dyDescent="0.3">
      <c r="I389" t="e">
        <f t="shared" si="44"/>
        <v>#VALUE!</v>
      </c>
      <c r="J389" t="e">
        <f t="shared" si="45"/>
        <v>#VALUE!</v>
      </c>
      <c r="K389" t="e">
        <f t="shared" si="46"/>
        <v>#VALUE!</v>
      </c>
      <c r="M389" s="1">
        <f t="shared" si="47"/>
        <v>0</v>
      </c>
      <c r="N389" t="e">
        <f t="shared" si="48"/>
        <v>#VALUE!</v>
      </c>
      <c r="O389" t="e">
        <f t="shared" si="49"/>
        <v>#VALUE!</v>
      </c>
    </row>
    <row r="390" spans="9:15" x14ac:dyDescent="0.3">
      <c r="I390" t="e">
        <f t="shared" si="44"/>
        <v>#VALUE!</v>
      </c>
      <c r="J390" t="e">
        <f t="shared" si="45"/>
        <v>#VALUE!</v>
      </c>
      <c r="K390" t="e">
        <f t="shared" si="46"/>
        <v>#VALUE!</v>
      </c>
      <c r="M390" s="1">
        <f t="shared" si="47"/>
        <v>0</v>
      </c>
      <c r="N390" t="e">
        <f t="shared" si="48"/>
        <v>#VALUE!</v>
      </c>
      <c r="O390" t="e">
        <f t="shared" si="49"/>
        <v>#VALUE!</v>
      </c>
    </row>
    <row r="391" spans="9:15" x14ac:dyDescent="0.3">
      <c r="I391" t="e">
        <f t="shared" si="44"/>
        <v>#VALUE!</v>
      </c>
      <c r="J391" t="e">
        <f t="shared" si="45"/>
        <v>#VALUE!</v>
      </c>
      <c r="K391" t="e">
        <f t="shared" si="46"/>
        <v>#VALUE!</v>
      </c>
      <c r="M391" s="1">
        <f t="shared" si="47"/>
        <v>0</v>
      </c>
      <c r="N391" t="e">
        <f t="shared" si="48"/>
        <v>#VALUE!</v>
      </c>
      <c r="O391" t="e">
        <f t="shared" si="49"/>
        <v>#VALUE!</v>
      </c>
    </row>
    <row r="392" spans="9:15" x14ac:dyDescent="0.3">
      <c r="I392" t="e">
        <f t="shared" si="44"/>
        <v>#VALUE!</v>
      </c>
      <c r="J392" t="e">
        <f t="shared" si="45"/>
        <v>#VALUE!</v>
      </c>
      <c r="K392" t="e">
        <f t="shared" si="46"/>
        <v>#VALUE!</v>
      </c>
      <c r="M392" s="1">
        <f t="shared" si="47"/>
        <v>0</v>
      </c>
      <c r="N392" t="e">
        <f t="shared" si="48"/>
        <v>#VALUE!</v>
      </c>
      <c r="O392" t="e">
        <f t="shared" si="49"/>
        <v>#VALUE!</v>
      </c>
    </row>
    <row r="393" spans="9:15" x14ac:dyDescent="0.3">
      <c r="I393" t="e">
        <f t="shared" si="44"/>
        <v>#VALUE!</v>
      </c>
      <c r="J393" t="e">
        <f t="shared" si="45"/>
        <v>#VALUE!</v>
      </c>
      <c r="K393" t="e">
        <f t="shared" si="46"/>
        <v>#VALUE!</v>
      </c>
      <c r="M393" s="1">
        <f t="shared" si="47"/>
        <v>0</v>
      </c>
      <c r="N393" t="e">
        <f t="shared" si="48"/>
        <v>#VALUE!</v>
      </c>
      <c r="O393" t="e">
        <f t="shared" si="49"/>
        <v>#VALUE!</v>
      </c>
    </row>
    <row r="394" spans="9:15" x14ac:dyDescent="0.3">
      <c r="I394" t="e">
        <f t="shared" si="44"/>
        <v>#VALUE!</v>
      </c>
      <c r="J394" t="e">
        <f t="shared" si="45"/>
        <v>#VALUE!</v>
      </c>
      <c r="K394" t="e">
        <f t="shared" si="46"/>
        <v>#VALUE!</v>
      </c>
      <c r="M394" s="1">
        <f t="shared" si="47"/>
        <v>0</v>
      </c>
      <c r="N394" t="e">
        <f t="shared" si="48"/>
        <v>#VALUE!</v>
      </c>
      <c r="O394" t="e">
        <f t="shared" si="49"/>
        <v>#VALUE!</v>
      </c>
    </row>
    <row r="395" spans="9:15" x14ac:dyDescent="0.3">
      <c r="I395" t="e">
        <f t="shared" si="44"/>
        <v>#VALUE!</v>
      </c>
      <c r="J395" t="e">
        <f t="shared" si="45"/>
        <v>#VALUE!</v>
      </c>
      <c r="K395" t="e">
        <f t="shared" si="46"/>
        <v>#VALUE!</v>
      </c>
      <c r="M395" s="1">
        <f t="shared" si="47"/>
        <v>0</v>
      </c>
      <c r="N395" t="e">
        <f t="shared" si="48"/>
        <v>#VALUE!</v>
      </c>
      <c r="O395" t="e">
        <f t="shared" si="49"/>
        <v>#VALUE!</v>
      </c>
    </row>
    <row r="396" spans="9:15" x14ac:dyDescent="0.3">
      <c r="I396" t="e">
        <f t="shared" si="44"/>
        <v>#VALUE!</v>
      </c>
      <c r="J396" t="e">
        <f t="shared" si="45"/>
        <v>#VALUE!</v>
      </c>
      <c r="K396" t="e">
        <f t="shared" si="46"/>
        <v>#VALUE!</v>
      </c>
      <c r="M396" s="1">
        <f t="shared" si="47"/>
        <v>0</v>
      </c>
      <c r="N396" t="e">
        <f t="shared" si="48"/>
        <v>#VALUE!</v>
      </c>
      <c r="O396" t="e">
        <f t="shared" si="49"/>
        <v>#VALUE!</v>
      </c>
    </row>
    <row r="397" spans="9:15" x14ac:dyDescent="0.3">
      <c r="I397" t="e">
        <f t="shared" si="44"/>
        <v>#VALUE!</v>
      </c>
      <c r="J397" t="e">
        <f t="shared" si="45"/>
        <v>#VALUE!</v>
      </c>
      <c r="K397" t="e">
        <f t="shared" si="46"/>
        <v>#VALUE!</v>
      </c>
      <c r="M397" s="1">
        <f t="shared" si="47"/>
        <v>0</v>
      </c>
      <c r="N397" t="e">
        <f t="shared" si="48"/>
        <v>#VALUE!</v>
      </c>
      <c r="O397" t="e">
        <f t="shared" si="49"/>
        <v>#VALUE!</v>
      </c>
    </row>
    <row r="398" spans="9:15" x14ac:dyDescent="0.3">
      <c r="I398" t="e">
        <f t="shared" si="44"/>
        <v>#VALUE!</v>
      </c>
      <c r="J398" t="e">
        <f t="shared" si="45"/>
        <v>#VALUE!</v>
      </c>
      <c r="K398" t="e">
        <f t="shared" si="46"/>
        <v>#VALUE!</v>
      </c>
      <c r="M398" s="1">
        <f t="shared" si="47"/>
        <v>0</v>
      </c>
      <c r="N398" t="e">
        <f t="shared" si="48"/>
        <v>#VALUE!</v>
      </c>
      <c r="O398" t="e">
        <f t="shared" si="49"/>
        <v>#VALUE!</v>
      </c>
    </row>
    <row r="399" spans="9:15" x14ac:dyDescent="0.3">
      <c r="I399" t="e">
        <f t="shared" si="44"/>
        <v>#VALUE!</v>
      </c>
      <c r="J399" t="e">
        <f t="shared" si="45"/>
        <v>#VALUE!</v>
      </c>
      <c r="K399" t="e">
        <f t="shared" si="46"/>
        <v>#VALUE!</v>
      </c>
      <c r="M399" s="1">
        <f t="shared" si="47"/>
        <v>0</v>
      </c>
      <c r="N399" t="e">
        <f t="shared" si="48"/>
        <v>#VALUE!</v>
      </c>
      <c r="O399" t="e">
        <f t="shared" si="49"/>
        <v>#VALUE!</v>
      </c>
    </row>
    <row r="400" spans="9:15" x14ac:dyDescent="0.3">
      <c r="I400" t="e">
        <f t="shared" si="44"/>
        <v>#VALUE!</v>
      </c>
      <c r="J400" t="e">
        <f t="shared" si="45"/>
        <v>#VALUE!</v>
      </c>
      <c r="K400" t="e">
        <f t="shared" si="46"/>
        <v>#VALUE!</v>
      </c>
      <c r="M400" s="1">
        <f t="shared" si="47"/>
        <v>0</v>
      </c>
      <c r="N400" t="e">
        <f t="shared" si="48"/>
        <v>#VALUE!</v>
      </c>
      <c r="O400" t="e">
        <f t="shared" si="49"/>
        <v>#VALUE!</v>
      </c>
    </row>
    <row r="401" spans="9:15" x14ac:dyDescent="0.3">
      <c r="I401" t="e">
        <f t="shared" si="44"/>
        <v>#VALUE!</v>
      </c>
      <c r="J401" t="e">
        <f t="shared" si="45"/>
        <v>#VALUE!</v>
      </c>
      <c r="K401" t="e">
        <f t="shared" si="46"/>
        <v>#VALUE!</v>
      </c>
      <c r="M401" s="1">
        <f t="shared" si="47"/>
        <v>0</v>
      </c>
      <c r="N401" t="e">
        <f t="shared" si="48"/>
        <v>#VALUE!</v>
      </c>
      <c r="O401" t="e">
        <f t="shared" si="49"/>
        <v>#VALUE!</v>
      </c>
    </row>
    <row r="402" spans="9:15" x14ac:dyDescent="0.3">
      <c r="I402" t="e">
        <f t="shared" si="44"/>
        <v>#VALUE!</v>
      </c>
      <c r="J402" t="e">
        <f t="shared" si="45"/>
        <v>#VALUE!</v>
      </c>
      <c r="K402" t="e">
        <f t="shared" si="46"/>
        <v>#VALUE!</v>
      </c>
      <c r="M402" s="1">
        <f t="shared" si="47"/>
        <v>0</v>
      </c>
      <c r="N402" t="e">
        <f t="shared" si="48"/>
        <v>#VALUE!</v>
      </c>
      <c r="O402" t="e">
        <f t="shared" si="49"/>
        <v>#VALUE!</v>
      </c>
    </row>
    <row r="403" spans="9:15" x14ac:dyDescent="0.3">
      <c r="I403" t="e">
        <f t="shared" si="44"/>
        <v>#VALUE!</v>
      </c>
      <c r="J403" t="e">
        <f t="shared" si="45"/>
        <v>#VALUE!</v>
      </c>
      <c r="K403" t="e">
        <f t="shared" si="46"/>
        <v>#VALUE!</v>
      </c>
      <c r="M403" s="1">
        <f t="shared" si="47"/>
        <v>0</v>
      </c>
      <c r="N403" t="e">
        <f t="shared" si="48"/>
        <v>#VALUE!</v>
      </c>
      <c r="O403" t="e">
        <f t="shared" si="49"/>
        <v>#VALUE!</v>
      </c>
    </row>
    <row r="404" spans="9:15" x14ac:dyDescent="0.3">
      <c r="I404" t="e">
        <f t="shared" si="44"/>
        <v>#VALUE!</v>
      </c>
      <c r="J404" t="e">
        <f t="shared" si="45"/>
        <v>#VALUE!</v>
      </c>
      <c r="K404" t="e">
        <f t="shared" si="46"/>
        <v>#VALUE!</v>
      </c>
      <c r="M404" s="1">
        <f t="shared" si="47"/>
        <v>0</v>
      </c>
      <c r="N404" t="e">
        <f t="shared" si="48"/>
        <v>#VALUE!</v>
      </c>
      <c r="O404" t="e">
        <f t="shared" si="49"/>
        <v>#VALUE!</v>
      </c>
    </row>
    <row r="405" spans="9:15" x14ac:dyDescent="0.3">
      <c r="I405" t="e">
        <f t="shared" si="44"/>
        <v>#VALUE!</v>
      </c>
      <c r="J405" t="e">
        <f t="shared" si="45"/>
        <v>#VALUE!</v>
      </c>
      <c r="K405" t="e">
        <f t="shared" si="46"/>
        <v>#VALUE!</v>
      </c>
      <c r="M405" s="1">
        <f t="shared" si="47"/>
        <v>0</v>
      </c>
      <c r="N405" t="e">
        <f t="shared" si="48"/>
        <v>#VALUE!</v>
      </c>
      <c r="O405" t="e">
        <f t="shared" si="49"/>
        <v>#VALUE!</v>
      </c>
    </row>
    <row r="406" spans="9:15" x14ac:dyDescent="0.3">
      <c r="I406" t="e">
        <f t="shared" si="44"/>
        <v>#VALUE!</v>
      </c>
      <c r="J406" t="e">
        <f t="shared" si="45"/>
        <v>#VALUE!</v>
      </c>
      <c r="K406" t="e">
        <f t="shared" si="46"/>
        <v>#VALUE!</v>
      </c>
      <c r="M406" s="1">
        <f t="shared" si="47"/>
        <v>0</v>
      </c>
      <c r="N406" t="e">
        <f t="shared" si="48"/>
        <v>#VALUE!</v>
      </c>
      <c r="O406" t="e">
        <f t="shared" si="49"/>
        <v>#VALUE!</v>
      </c>
    </row>
    <row r="407" spans="9:15" x14ac:dyDescent="0.3">
      <c r="I407" t="e">
        <f t="shared" si="44"/>
        <v>#VALUE!</v>
      </c>
      <c r="J407" t="e">
        <f t="shared" si="45"/>
        <v>#VALUE!</v>
      </c>
      <c r="K407" t="e">
        <f t="shared" si="46"/>
        <v>#VALUE!</v>
      </c>
      <c r="M407" s="1">
        <f t="shared" si="47"/>
        <v>0</v>
      </c>
      <c r="N407" t="e">
        <f t="shared" si="48"/>
        <v>#VALUE!</v>
      </c>
      <c r="O407" t="e">
        <f t="shared" si="49"/>
        <v>#VALUE!</v>
      </c>
    </row>
    <row r="408" spans="9:15" x14ac:dyDescent="0.3">
      <c r="I408" t="e">
        <f t="shared" si="44"/>
        <v>#VALUE!</v>
      </c>
      <c r="J408" t="e">
        <f t="shared" si="45"/>
        <v>#VALUE!</v>
      </c>
      <c r="K408" t="e">
        <f t="shared" si="46"/>
        <v>#VALUE!</v>
      </c>
      <c r="M408" s="1">
        <f t="shared" si="47"/>
        <v>0</v>
      </c>
      <c r="N408" t="e">
        <f t="shared" si="48"/>
        <v>#VALUE!</v>
      </c>
      <c r="O408" t="e">
        <f t="shared" si="49"/>
        <v>#VALUE!</v>
      </c>
    </row>
    <row r="409" spans="9:15" x14ac:dyDescent="0.3">
      <c r="I409" t="e">
        <f t="shared" si="44"/>
        <v>#VALUE!</v>
      </c>
      <c r="J409" t="e">
        <f t="shared" si="45"/>
        <v>#VALUE!</v>
      </c>
      <c r="K409" t="e">
        <f t="shared" si="46"/>
        <v>#VALUE!</v>
      </c>
      <c r="M409" s="1">
        <f t="shared" si="47"/>
        <v>0</v>
      </c>
      <c r="N409" t="e">
        <f t="shared" si="48"/>
        <v>#VALUE!</v>
      </c>
      <c r="O409" t="e">
        <f t="shared" si="49"/>
        <v>#VALUE!</v>
      </c>
    </row>
    <row r="410" spans="9:15" x14ac:dyDescent="0.3">
      <c r="I410" t="e">
        <f t="shared" si="44"/>
        <v>#VALUE!</v>
      </c>
      <c r="J410" t="e">
        <f t="shared" si="45"/>
        <v>#VALUE!</v>
      </c>
      <c r="K410" t="e">
        <f t="shared" si="46"/>
        <v>#VALUE!</v>
      </c>
      <c r="M410" s="1">
        <f t="shared" si="47"/>
        <v>0</v>
      </c>
      <c r="N410" t="e">
        <f t="shared" si="48"/>
        <v>#VALUE!</v>
      </c>
      <c r="O410" t="e">
        <f t="shared" si="49"/>
        <v>#VALUE!</v>
      </c>
    </row>
    <row r="411" spans="9:15" x14ac:dyDescent="0.3">
      <c r="I411" t="e">
        <f t="shared" si="44"/>
        <v>#VALUE!</v>
      </c>
      <c r="J411" t="e">
        <f t="shared" si="45"/>
        <v>#VALUE!</v>
      </c>
      <c r="K411" t="e">
        <f t="shared" si="46"/>
        <v>#VALUE!</v>
      </c>
      <c r="M411" s="1">
        <f t="shared" si="47"/>
        <v>0</v>
      </c>
      <c r="N411" t="e">
        <f t="shared" si="48"/>
        <v>#VALUE!</v>
      </c>
      <c r="O411" t="e">
        <f t="shared" si="49"/>
        <v>#VALUE!</v>
      </c>
    </row>
    <row r="412" spans="9:15" x14ac:dyDescent="0.3">
      <c r="I412" t="e">
        <f t="shared" si="44"/>
        <v>#VALUE!</v>
      </c>
      <c r="J412" t="e">
        <f t="shared" si="45"/>
        <v>#VALUE!</v>
      </c>
      <c r="K412" t="e">
        <f t="shared" si="46"/>
        <v>#VALUE!</v>
      </c>
      <c r="M412" s="1">
        <f t="shared" si="47"/>
        <v>0</v>
      </c>
      <c r="N412" t="e">
        <f t="shared" si="48"/>
        <v>#VALUE!</v>
      </c>
      <c r="O412" t="e">
        <f t="shared" si="49"/>
        <v>#VALUE!</v>
      </c>
    </row>
    <row r="413" spans="9:15" x14ac:dyDescent="0.3">
      <c r="I413" t="e">
        <f t="shared" si="44"/>
        <v>#VALUE!</v>
      </c>
      <c r="J413" t="e">
        <f t="shared" si="45"/>
        <v>#VALUE!</v>
      </c>
      <c r="K413" t="e">
        <f t="shared" si="46"/>
        <v>#VALUE!</v>
      </c>
      <c r="M413" s="1">
        <f t="shared" si="47"/>
        <v>0</v>
      </c>
      <c r="N413" t="e">
        <f t="shared" si="48"/>
        <v>#VALUE!</v>
      </c>
      <c r="O413" t="e">
        <f t="shared" si="49"/>
        <v>#VALUE!</v>
      </c>
    </row>
    <row r="414" spans="9:15" x14ac:dyDescent="0.3">
      <c r="I414" t="e">
        <f t="shared" si="44"/>
        <v>#VALUE!</v>
      </c>
      <c r="J414" t="e">
        <f t="shared" si="45"/>
        <v>#VALUE!</v>
      </c>
      <c r="K414" t="e">
        <f t="shared" si="46"/>
        <v>#VALUE!</v>
      </c>
      <c r="M414" s="1">
        <f t="shared" si="47"/>
        <v>0</v>
      </c>
      <c r="N414" t="e">
        <f t="shared" si="48"/>
        <v>#VALUE!</v>
      </c>
      <c r="O414" t="e">
        <f t="shared" si="49"/>
        <v>#VALUE!</v>
      </c>
    </row>
    <row r="415" spans="9:15" x14ac:dyDescent="0.3">
      <c r="I415" t="e">
        <f t="shared" si="44"/>
        <v>#VALUE!</v>
      </c>
      <c r="J415" t="e">
        <f t="shared" si="45"/>
        <v>#VALUE!</v>
      </c>
      <c r="K415" t="e">
        <f t="shared" si="46"/>
        <v>#VALUE!</v>
      </c>
      <c r="M415" s="1">
        <f t="shared" si="47"/>
        <v>0</v>
      </c>
      <c r="N415" t="e">
        <f t="shared" si="48"/>
        <v>#VALUE!</v>
      </c>
      <c r="O415" t="e">
        <f t="shared" si="49"/>
        <v>#VALUE!</v>
      </c>
    </row>
    <row r="416" spans="9:15" x14ac:dyDescent="0.3">
      <c r="I416" t="e">
        <f t="shared" si="44"/>
        <v>#VALUE!</v>
      </c>
      <c r="J416" t="e">
        <f t="shared" si="45"/>
        <v>#VALUE!</v>
      </c>
      <c r="K416" t="e">
        <f t="shared" si="46"/>
        <v>#VALUE!</v>
      </c>
      <c r="M416" s="1">
        <f t="shared" si="47"/>
        <v>0</v>
      </c>
      <c r="N416" t="e">
        <f t="shared" si="48"/>
        <v>#VALUE!</v>
      </c>
      <c r="O416" t="e">
        <f t="shared" si="49"/>
        <v>#VALUE!</v>
      </c>
    </row>
    <row r="417" spans="9:15" x14ac:dyDescent="0.3">
      <c r="I417" t="e">
        <f t="shared" si="44"/>
        <v>#VALUE!</v>
      </c>
      <c r="J417" t="e">
        <f t="shared" si="45"/>
        <v>#VALUE!</v>
      </c>
      <c r="K417" t="e">
        <f t="shared" si="46"/>
        <v>#VALUE!</v>
      </c>
      <c r="M417" s="1">
        <f t="shared" si="47"/>
        <v>0</v>
      </c>
      <c r="N417" t="e">
        <f t="shared" si="48"/>
        <v>#VALUE!</v>
      </c>
      <c r="O417" t="e">
        <f t="shared" si="49"/>
        <v>#VALUE!</v>
      </c>
    </row>
    <row r="418" spans="9:15" x14ac:dyDescent="0.3">
      <c r="I418" t="e">
        <f t="shared" ref="I418:I481" si="50">RIGHT(C418,LEN(C418)-FIND(" ",C418,LEN(C418)-12))</f>
        <v>#VALUE!</v>
      </c>
      <c r="J418" t="e">
        <f t="shared" ref="J418:J481" si="51">RIGHT(C418,LEN(I418)/2)</f>
        <v>#VALUE!</v>
      </c>
      <c r="K418" t="e">
        <f t="shared" ref="K418:K481" si="52">LEFT(C418,FIND(" ",C418)-1)</f>
        <v>#VALUE!</v>
      </c>
      <c r="M418" s="1">
        <f t="shared" ref="M418:M481" si="53">B418</f>
        <v>0</v>
      </c>
      <c r="N418" t="e">
        <f t="shared" ref="N418:N481" si="54">VLOOKUP(J418,$R$1:$S$30,2,FALSE)</f>
        <v>#VALUE!</v>
      </c>
      <c r="O418" t="e">
        <f t="shared" ref="O418:O481" si="55">VLOOKUP(K418,$R$1:$S$30,2,FALSE)</f>
        <v>#VALUE!</v>
      </c>
    </row>
    <row r="419" spans="9:15" x14ac:dyDescent="0.3">
      <c r="I419" t="e">
        <f t="shared" si="50"/>
        <v>#VALUE!</v>
      </c>
      <c r="J419" t="e">
        <f t="shared" si="51"/>
        <v>#VALUE!</v>
      </c>
      <c r="K419" t="e">
        <f t="shared" si="52"/>
        <v>#VALUE!</v>
      </c>
      <c r="M419" s="1">
        <f t="shared" si="53"/>
        <v>0</v>
      </c>
      <c r="N419" t="e">
        <f t="shared" si="54"/>
        <v>#VALUE!</v>
      </c>
      <c r="O419" t="e">
        <f t="shared" si="55"/>
        <v>#VALUE!</v>
      </c>
    </row>
    <row r="420" spans="9:15" x14ac:dyDescent="0.3">
      <c r="I420" t="e">
        <f t="shared" si="50"/>
        <v>#VALUE!</v>
      </c>
      <c r="J420" t="e">
        <f t="shared" si="51"/>
        <v>#VALUE!</v>
      </c>
      <c r="K420" t="e">
        <f t="shared" si="52"/>
        <v>#VALUE!</v>
      </c>
      <c r="M420" s="1">
        <f t="shared" si="53"/>
        <v>0</v>
      </c>
      <c r="N420" t="e">
        <f t="shared" si="54"/>
        <v>#VALUE!</v>
      </c>
      <c r="O420" t="e">
        <f t="shared" si="55"/>
        <v>#VALUE!</v>
      </c>
    </row>
    <row r="421" spans="9:15" x14ac:dyDescent="0.3">
      <c r="I421" t="e">
        <f t="shared" si="50"/>
        <v>#VALUE!</v>
      </c>
      <c r="J421" t="e">
        <f t="shared" si="51"/>
        <v>#VALUE!</v>
      </c>
      <c r="K421" t="e">
        <f t="shared" si="52"/>
        <v>#VALUE!</v>
      </c>
      <c r="M421" s="1">
        <f t="shared" si="53"/>
        <v>0</v>
      </c>
      <c r="N421" t="e">
        <f t="shared" si="54"/>
        <v>#VALUE!</v>
      </c>
      <c r="O421" t="e">
        <f t="shared" si="55"/>
        <v>#VALUE!</v>
      </c>
    </row>
    <row r="422" spans="9:15" x14ac:dyDescent="0.3">
      <c r="I422" t="e">
        <f t="shared" si="50"/>
        <v>#VALUE!</v>
      </c>
      <c r="J422" t="e">
        <f t="shared" si="51"/>
        <v>#VALUE!</v>
      </c>
      <c r="K422" t="e">
        <f t="shared" si="52"/>
        <v>#VALUE!</v>
      </c>
      <c r="M422" s="1">
        <f t="shared" si="53"/>
        <v>0</v>
      </c>
      <c r="N422" t="e">
        <f t="shared" si="54"/>
        <v>#VALUE!</v>
      </c>
      <c r="O422" t="e">
        <f t="shared" si="55"/>
        <v>#VALUE!</v>
      </c>
    </row>
    <row r="423" spans="9:15" x14ac:dyDescent="0.3">
      <c r="I423" t="e">
        <f t="shared" si="50"/>
        <v>#VALUE!</v>
      </c>
      <c r="J423" t="e">
        <f t="shared" si="51"/>
        <v>#VALUE!</v>
      </c>
      <c r="K423" t="e">
        <f t="shared" si="52"/>
        <v>#VALUE!</v>
      </c>
      <c r="M423" s="1">
        <f t="shared" si="53"/>
        <v>0</v>
      </c>
      <c r="N423" t="e">
        <f t="shared" si="54"/>
        <v>#VALUE!</v>
      </c>
      <c r="O423" t="e">
        <f t="shared" si="55"/>
        <v>#VALUE!</v>
      </c>
    </row>
    <row r="424" spans="9:15" x14ac:dyDescent="0.3">
      <c r="I424" t="e">
        <f t="shared" si="50"/>
        <v>#VALUE!</v>
      </c>
      <c r="J424" t="e">
        <f t="shared" si="51"/>
        <v>#VALUE!</v>
      </c>
      <c r="K424" t="e">
        <f t="shared" si="52"/>
        <v>#VALUE!</v>
      </c>
      <c r="M424" s="1">
        <f t="shared" si="53"/>
        <v>0</v>
      </c>
      <c r="N424" t="e">
        <f t="shared" si="54"/>
        <v>#VALUE!</v>
      </c>
      <c r="O424" t="e">
        <f t="shared" si="55"/>
        <v>#VALUE!</v>
      </c>
    </row>
    <row r="425" spans="9:15" x14ac:dyDescent="0.3">
      <c r="I425" t="e">
        <f t="shared" si="50"/>
        <v>#VALUE!</v>
      </c>
      <c r="J425" t="e">
        <f t="shared" si="51"/>
        <v>#VALUE!</v>
      </c>
      <c r="K425" t="e">
        <f t="shared" si="52"/>
        <v>#VALUE!</v>
      </c>
      <c r="M425" s="1">
        <f t="shared" si="53"/>
        <v>0</v>
      </c>
      <c r="N425" t="e">
        <f t="shared" si="54"/>
        <v>#VALUE!</v>
      </c>
      <c r="O425" t="e">
        <f t="shared" si="55"/>
        <v>#VALUE!</v>
      </c>
    </row>
    <row r="426" spans="9:15" x14ac:dyDescent="0.3">
      <c r="I426" t="e">
        <f t="shared" si="50"/>
        <v>#VALUE!</v>
      </c>
      <c r="J426" t="e">
        <f t="shared" si="51"/>
        <v>#VALUE!</v>
      </c>
      <c r="K426" t="e">
        <f t="shared" si="52"/>
        <v>#VALUE!</v>
      </c>
      <c r="M426" s="1">
        <f t="shared" si="53"/>
        <v>0</v>
      </c>
      <c r="N426" t="e">
        <f t="shared" si="54"/>
        <v>#VALUE!</v>
      </c>
      <c r="O426" t="e">
        <f t="shared" si="55"/>
        <v>#VALUE!</v>
      </c>
    </row>
    <row r="427" spans="9:15" x14ac:dyDescent="0.3">
      <c r="I427" t="e">
        <f t="shared" si="50"/>
        <v>#VALUE!</v>
      </c>
      <c r="J427" t="e">
        <f t="shared" si="51"/>
        <v>#VALUE!</v>
      </c>
      <c r="K427" t="e">
        <f t="shared" si="52"/>
        <v>#VALUE!</v>
      </c>
      <c r="M427" s="1">
        <f t="shared" si="53"/>
        <v>0</v>
      </c>
      <c r="N427" t="e">
        <f t="shared" si="54"/>
        <v>#VALUE!</v>
      </c>
      <c r="O427" t="e">
        <f t="shared" si="55"/>
        <v>#VALUE!</v>
      </c>
    </row>
    <row r="428" spans="9:15" x14ac:dyDescent="0.3">
      <c r="I428" t="e">
        <f t="shared" si="50"/>
        <v>#VALUE!</v>
      </c>
      <c r="J428" t="e">
        <f t="shared" si="51"/>
        <v>#VALUE!</v>
      </c>
      <c r="K428" t="e">
        <f t="shared" si="52"/>
        <v>#VALUE!</v>
      </c>
      <c r="M428" s="1">
        <f t="shared" si="53"/>
        <v>0</v>
      </c>
      <c r="N428" t="e">
        <f t="shared" si="54"/>
        <v>#VALUE!</v>
      </c>
      <c r="O428" t="e">
        <f t="shared" si="55"/>
        <v>#VALUE!</v>
      </c>
    </row>
    <row r="429" spans="9:15" x14ac:dyDescent="0.3">
      <c r="I429" t="e">
        <f t="shared" si="50"/>
        <v>#VALUE!</v>
      </c>
      <c r="J429" t="e">
        <f t="shared" si="51"/>
        <v>#VALUE!</v>
      </c>
      <c r="K429" t="e">
        <f t="shared" si="52"/>
        <v>#VALUE!</v>
      </c>
      <c r="M429" s="1">
        <f t="shared" si="53"/>
        <v>0</v>
      </c>
      <c r="N429" t="e">
        <f t="shared" si="54"/>
        <v>#VALUE!</v>
      </c>
      <c r="O429" t="e">
        <f t="shared" si="55"/>
        <v>#VALUE!</v>
      </c>
    </row>
    <row r="430" spans="9:15" x14ac:dyDescent="0.3">
      <c r="I430" t="e">
        <f t="shared" si="50"/>
        <v>#VALUE!</v>
      </c>
      <c r="J430" t="e">
        <f t="shared" si="51"/>
        <v>#VALUE!</v>
      </c>
      <c r="K430" t="e">
        <f t="shared" si="52"/>
        <v>#VALUE!</v>
      </c>
      <c r="M430" s="1">
        <f t="shared" si="53"/>
        <v>0</v>
      </c>
      <c r="N430" t="e">
        <f t="shared" si="54"/>
        <v>#VALUE!</v>
      </c>
      <c r="O430" t="e">
        <f t="shared" si="55"/>
        <v>#VALUE!</v>
      </c>
    </row>
    <row r="431" spans="9:15" x14ac:dyDescent="0.3">
      <c r="I431" t="e">
        <f t="shared" si="50"/>
        <v>#VALUE!</v>
      </c>
      <c r="J431" t="e">
        <f t="shared" si="51"/>
        <v>#VALUE!</v>
      </c>
      <c r="K431" t="e">
        <f t="shared" si="52"/>
        <v>#VALUE!</v>
      </c>
      <c r="M431" s="1">
        <f t="shared" si="53"/>
        <v>0</v>
      </c>
      <c r="N431" t="e">
        <f t="shared" si="54"/>
        <v>#VALUE!</v>
      </c>
      <c r="O431" t="e">
        <f t="shared" si="55"/>
        <v>#VALUE!</v>
      </c>
    </row>
    <row r="432" spans="9:15" x14ac:dyDescent="0.3">
      <c r="I432" t="e">
        <f t="shared" si="50"/>
        <v>#VALUE!</v>
      </c>
      <c r="J432" t="e">
        <f t="shared" si="51"/>
        <v>#VALUE!</v>
      </c>
      <c r="K432" t="e">
        <f t="shared" si="52"/>
        <v>#VALUE!</v>
      </c>
      <c r="M432" s="1">
        <f t="shared" si="53"/>
        <v>0</v>
      </c>
      <c r="N432" t="e">
        <f t="shared" si="54"/>
        <v>#VALUE!</v>
      </c>
      <c r="O432" t="e">
        <f t="shared" si="55"/>
        <v>#VALUE!</v>
      </c>
    </row>
    <row r="433" spans="9:15" x14ac:dyDescent="0.3">
      <c r="I433" t="e">
        <f t="shared" si="50"/>
        <v>#VALUE!</v>
      </c>
      <c r="J433" t="e">
        <f t="shared" si="51"/>
        <v>#VALUE!</v>
      </c>
      <c r="K433" t="e">
        <f t="shared" si="52"/>
        <v>#VALUE!</v>
      </c>
      <c r="M433" s="1">
        <f t="shared" si="53"/>
        <v>0</v>
      </c>
      <c r="N433" t="e">
        <f t="shared" si="54"/>
        <v>#VALUE!</v>
      </c>
      <c r="O433" t="e">
        <f t="shared" si="55"/>
        <v>#VALUE!</v>
      </c>
    </row>
    <row r="434" spans="9:15" x14ac:dyDescent="0.3">
      <c r="I434" t="e">
        <f t="shared" si="50"/>
        <v>#VALUE!</v>
      </c>
      <c r="J434" t="e">
        <f t="shared" si="51"/>
        <v>#VALUE!</v>
      </c>
      <c r="K434" t="e">
        <f t="shared" si="52"/>
        <v>#VALUE!</v>
      </c>
      <c r="M434" s="1">
        <f t="shared" si="53"/>
        <v>0</v>
      </c>
      <c r="N434" t="e">
        <f t="shared" si="54"/>
        <v>#VALUE!</v>
      </c>
      <c r="O434" t="e">
        <f t="shared" si="55"/>
        <v>#VALUE!</v>
      </c>
    </row>
    <row r="435" spans="9:15" x14ac:dyDescent="0.3">
      <c r="I435" t="e">
        <f t="shared" si="50"/>
        <v>#VALUE!</v>
      </c>
      <c r="J435" t="e">
        <f t="shared" si="51"/>
        <v>#VALUE!</v>
      </c>
      <c r="K435" t="e">
        <f t="shared" si="52"/>
        <v>#VALUE!</v>
      </c>
      <c r="M435" s="1">
        <f t="shared" si="53"/>
        <v>0</v>
      </c>
      <c r="N435" t="e">
        <f t="shared" si="54"/>
        <v>#VALUE!</v>
      </c>
      <c r="O435" t="e">
        <f t="shared" si="55"/>
        <v>#VALUE!</v>
      </c>
    </row>
    <row r="436" spans="9:15" x14ac:dyDescent="0.3">
      <c r="I436" t="e">
        <f t="shared" si="50"/>
        <v>#VALUE!</v>
      </c>
      <c r="J436" t="e">
        <f t="shared" si="51"/>
        <v>#VALUE!</v>
      </c>
      <c r="K436" t="e">
        <f t="shared" si="52"/>
        <v>#VALUE!</v>
      </c>
      <c r="M436" s="1">
        <f t="shared" si="53"/>
        <v>0</v>
      </c>
      <c r="N436" t="e">
        <f t="shared" si="54"/>
        <v>#VALUE!</v>
      </c>
      <c r="O436" t="e">
        <f t="shared" si="55"/>
        <v>#VALUE!</v>
      </c>
    </row>
    <row r="437" spans="9:15" x14ac:dyDescent="0.3">
      <c r="I437" t="e">
        <f t="shared" si="50"/>
        <v>#VALUE!</v>
      </c>
      <c r="J437" t="e">
        <f t="shared" si="51"/>
        <v>#VALUE!</v>
      </c>
      <c r="K437" t="e">
        <f t="shared" si="52"/>
        <v>#VALUE!</v>
      </c>
      <c r="M437" s="1">
        <f t="shared" si="53"/>
        <v>0</v>
      </c>
      <c r="N437" t="e">
        <f t="shared" si="54"/>
        <v>#VALUE!</v>
      </c>
      <c r="O437" t="e">
        <f t="shared" si="55"/>
        <v>#VALUE!</v>
      </c>
    </row>
    <row r="438" spans="9:15" x14ac:dyDescent="0.3">
      <c r="I438" t="e">
        <f t="shared" si="50"/>
        <v>#VALUE!</v>
      </c>
      <c r="J438" t="e">
        <f t="shared" si="51"/>
        <v>#VALUE!</v>
      </c>
      <c r="K438" t="e">
        <f t="shared" si="52"/>
        <v>#VALUE!</v>
      </c>
      <c r="M438" s="1">
        <f t="shared" si="53"/>
        <v>0</v>
      </c>
      <c r="N438" t="e">
        <f t="shared" si="54"/>
        <v>#VALUE!</v>
      </c>
      <c r="O438" t="e">
        <f t="shared" si="55"/>
        <v>#VALUE!</v>
      </c>
    </row>
    <row r="439" spans="9:15" x14ac:dyDescent="0.3">
      <c r="I439" t="e">
        <f t="shared" si="50"/>
        <v>#VALUE!</v>
      </c>
      <c r="J439" t="e">
        <f t="shared" si="51"/>
        <v>#VALUE!</v>
      </c>
      <c r="K439" t="e">
        <f t="shared" si="52"/>
        <v>#VALUE!</v>
      </c>
      <c r="M439" s="1">
        <f t="shared" si="53"/>
        <v>0</v>
      </c>
      <c r="N439" t="e">
        <f t="shared" si="54"/>
        <v>#VALUE!</v>
      </c>
      <c r="O439" t="e">
        <f t="shared" si="55"/>
        <v>#VALUE!</v>
      </c>
    </row>
    <row r="440" spans="9:15" x14ac:dyDescent="0.3">
      <c r="I440" t="e">
        <f t="shared" si="50"/>
        <v>#VALUE!</v>
      </c>
      <c r="J440" t="e">
        <f t="shared" si="51"/>
        <v>#VALUE!</v>
      </c>
      <c r="K440" t="e">
        <f t="shared" si="52"/>
        <v>#VALUE!</v>
      </c>
      <c r="M440" s="1">
        <f t="shared" si="53"/>
        <v>0</v>
      </c>
      <c r="N440" t="e">
        <f t="shared" si="54"/>
        <v>#VALUE!</v>
      </c>
      <c r="O440" t="e">
        <f t="shared" si="55"/>
        <v>#VALUE!</v>
      </c>
    </row>
    <row r="441" spans="9:15" x14ac:dyDescent="0.3">
      <c r="I441" t="e">
        <f t="shared" si="50"/>
        <v>#VALUE!</v>
      </c>
      <c r="J441" t="e">
        <f t="shared" si="51"/>
        <v>#VALUE!</v>
      </c>
      <c r="K441" t="e">
        <f t="shared" si="52"/>
        <v>#VALUE!</v>
      </c>
      <c r="M441" s="1">
        <f t="shared" si="53"/>
        <v>0</v>
      </c>
      <c r="N441" t="e">
        <f t="shared" si="54"/>
        <v>#VALUE!</v>
      </c>
      <c r="O441" t="e">
        <f t="shared" si="55"/>
        <v>#VALUE!</v>
      </c>
    </row>
    <row r="442" spans="9:15" x14ac:dyDescent="0.3">
      <c r="I442" t="e">
        <f t="shared" si="50"/>
        <v>#VALUE!</v>
      </c>
      <c r="J442" t="e">
        <f t="shared" si="51"/>
        <v>#VALUE!</v>
      </c>
      <c r="K442" t="e">
        <f t="shared" si="52"/>
        <v>#VALUE!</v>
      </c>
      <c r="M442" s="1">
        <f t="shared" si="53"/>
        <v>0</v>
      </c>
      <c r="N442" t="e">
        <f t="shared" si="54"/>
        <v>#VALUE!</v>
      </c>
      <c r="O442" t="e">
        <f t="shared" si="55"/>
        <v>#VALUE!</v>
      </c>
    </row>
    <row r="443" spans="9:15" x14ac:dyDescent="0.3">
      <c r="I443" t="e">
        <f t="shared" si="50"/>
        <v>#VALUE!</v>
      </c>
      <c r="J443" t="e">
        <f t="shared" si="51"/>
        <v>#VALUE!</v>
      </c>
      <c r="K443" t="e">
        <f t="shared" si="52"/>
        <v>#VALUE!</v>
      </c>
      <c r="M443" s="1">
        <f t="shared" si="53"/>
        <v>0</v>
      </c>
      <c r="N443" t="e">
        <f t="shared" si="54"/>
        <v>#VALUE!</v>
      </c>
      <c r="O443" t="e">
        <f t="shared" si="55"/>
        <v>#VALUE!</v>
      </c>
    </row>
    <row r="444" spans="9:15" x14ac:dyDescent="0.3">
      <c r="I444" t="e">
        <f t="shared" si="50"/>
        <v>#VALUE!</v>
      </c>
      <c r="J444" t="e">
        <f t="shared" si="51"/>
        <v>#VALUE!</v>
      </c>
      <c r="K444" t="e">
        <f t="shared" si="52"/>
        <v>#VALUE!</v>
      </c>
      <c r="M444" s="1">
        <f t="shared" si="53"/>
        <v>0</v>
      </c>
      <c r="N444" t="e">
        <f t="shared" si="54"/>
        <v>#VALUE!</v>
      </c>
      <c r="O444" t="e">
        <f t="shared" si="55"/>
        <v>#VALUE!</v>
      </c>
    </row>
    <row r="445" spans="9:15" x14ac:dyDescent="0.3">
      <c r="I445" t="e">
        <f t="shared" si="50"/>
        <v>#VALUE!</v>
      </c>
      <c r="J445" t="e">
        <f t="shared" si="51"/>
        <v>#VALUE!</v>
      </c>
      <c r="K445" t="e">
        <f t="shared" si="52"/>
        <v>#VALUE!</v>
      </c>
      <c r="M445" s="1">
        <f t="shared" si="53"/>
        <v>0</v>
      </c>
      <c r="N445" t="e">
        <f t="shared" si="54"/>
        <v>#VALUE!</v>
      </c>
      <c r="O445" t="e">
        <f t="shared" si="55"/>
        <v>#VALUE!</v>
      </c>
    </row>
    <row r="446" spans="9:15" x14ac:dyDescent="0.3">
      <c r="I446" t="e">
        <f t="shared" si="50"/>
        <v>#VALUE!</v>
      </c>
      <c r="J446" t="e">
        <f t="shared" si="51"/>
        <v>#VALUE!</v>
      </c>
      <c r="K446" t="e">
        <f t="shared" si="52"/>
        <v>#VALUE!</v>
      </c>
      <c r="M446" s="1">
        <f t="shared" si="53"/>
        <v>0</v>
      </c>
      <c r="N446" t="e">
        <f t="shared" si="54"/>
        <v>#VALUE!</v>
      </c>
      <c r="O446" t="e">
        <f t="shared" si="55"/>
        <v>#VALUE!</v>
      </c>
    </row>
    <row r="447" spans="9:15" x14ac:dyDescent="0.3">
      <c r="I447" t="e">
        <f t="shared" si="50"/>
        <v>#VALUE!</v>
      </c>
      <c r="J447" t="e">
        <f t="shared" si="51"/>
        <v>#VALUE!</v>
      </c>
      <c r="K447" t="e">
        <f t="shared" si="52"/>
        <v>#VALUE!</v>
      </c>
      <c r="M447" s="1">
        <f t="shared" si="53"/>
        <v>0</v>
      </c>
      <c r="N447" t="e">
        <f t="shared" si="54"/>
        <v>#VALUE!</v>
      </c>
      <c r="O447" t="e">
        <f t="shared" si="55"/>
        <v>#VALUE!</v>
      </c>
    </row>
    <row r="448" spans="9:15" x14ac:dyDescent="0.3">
      <c r="I448" t="e">
        <f t="shared" si="50"/>
        <v>#VALUE!</v>
      </c>
      <c r="J448" t="e">
        <f t="shared" si="51"/>
        <v>#VALUE!</v>
      </c>
      <c r="K448" t="e">
        <f t="shared" si="52"/>
        <v>#VALUE!</v>
      </c>
      <c r="M448" s="1">
        <f t="shared" si="53"/>
        <v>0</v>
      </c>
      <c r="N448" t="e">
        <f t="shared" si="54"/>
        <v>#VALUE!</v>
      </c>
      <c r="O448" t="e">
        <f t="shared" si="55"/>
        <v>#VALUE!</v>
      </c>
    </row>
    <row r="449" spans="9:15" x14ac:dyDescent="0.3">
      <c r="I449" t="e">
        <f t="shared" si="50"/>
        <v>#VALUE!</v>
      </c>
      <c r="J449" t="e">
        <f t="shared" si="51"/>
        <v>#VALUE!</v>
      </c>
      <c r="K449" t="e">
        <f t="shared" si="52"/>
        <v>#VALUE!</v>
      </c>
      <c r="M449" s="1">
        <f t="shared" si="53"/>
        <v>0</v>
      </c>
      <c r="N449" t="e">
        <f t="shared" si="54"/>
        <v>#VALUE!</v>
      </c>
      <c r="O449" t="e">
        <f t="shared" si="55"/>
        <v>#VALUE!</v>
      </c>
    </row>
    <row r="450" spans="9:15" x14ac:dyDescent="0.3">
      <c r="I450" t="e">
        <f t="shared" si="50"/>
        <v>#VALUE!</v>
      </c>
      <c r="J450" t="e">
        <f t="shared" si="51"/>
        <v>#VALUE!</v>
      </c>
      <c r="K450" t="e">
        <f t="shared" si="52"/>
        <v>#VALUE!</v>
      </c>
      <c r="M450" s="1">
        <f t="shared" si="53"/>
        <v>0</v>
      </c>
      <c r="N450" t="e">
        <f t="shared" si="54"/>
        <v>#VALUE!</v>
      </c>
      <c r="O450" t="e">
        <f t="shared" si="55"/>
        <v>#VALUE!</v>
      </c>
    </row>
    <row r="451" spans="9:15" x14ac:dyDescent="0.3">
      <c r="I451" t="e">
        <f t="shared" si="50"/>
        <v>#VALUE!</v>
      </c>
      <c r="J451" t="e">
        <f t="shared" si="51"/>
        <v>#VALUE!</v>
      </c>
      <c r="K451" t="e">
        <f t="shared" si="52"/>
        <v>#VALUE!</v>
      </c>
      <c r="M451" s="1">
        <f t="shared" si="53"/>
        <v>0</v>
      </c>
      <c r="N451" t="e">
        <f t="shared" si="54"/>
        <v>#VALUE!</v>
      </c>
      <c r="O451" t="e">
        <f t="shared" si="55"/>
        <v>#VALUE!</v>
      </c>
    </row>
    <row r="452" spans="9:15" x14ac:dyDescent="0.3">
      <c r="I452" t="e">
        <f t="shared" si="50"/>
        <v>#VALUE!</v>
      </c>
      <c r="J452" t="e">
        <f t="shared" si="51"/>
        <v>#VALUE!</v>
      </c>
      <c r="K452" t="e">
        <f t="shared" si="52"/>
        <v>#VALUE!</v>
      </c>
      <c r="M452" s="1">
        <f t="shared" si="53"/>
        <v>0</v>
      </c>
      <c r="N452" t="e">
        <f t="shared" si="54"/>
        <v>#VALUE!</v>
      </c>
      <c r="O452" t="e">
        <f t="shared" si="55"/>
        <v>#VALUE!</v>
      </c>
    </row>
    <row r="453" spans="9:15" x14ac:dyDescent="0.3">
      <c r="I453" t="e">
        <f t="shared" si="50"/>
        <v>#VALUE!</v>
      </c>
      <c r="J453" t="e">
        <f t="shared" si="51"/>
        <v>#VALUE!</v>
      </c>
      <c r="K453" t="e">
        <f t="shared" si="52"/>
        <v>#VALUE!</v>
      </c>
      <c r="M453" s="1">
        <f t="shared" si="53"/>
        <v>0</v>
      </c>
      <c r="N453" t="e">
        <f t="shared" si="54"/>
        <v>#VALUE!</v>
      </c>
      <c r="O453" t="e">
        <f t="shared" si="55"/>
        <v>#VALUE!</v>
      </c>
    </row>
    <row r="454" spans="9:15" x14ac:dyDescent="0.3">
      <c r="I454" t="e">
        <f t="shared" si="50"/>
        <v>#VALUE!</v>
      </c>
      <c r="J454" t="e">
        <f t="shared" si="51"/>
        <v>#VALUE!</v>
      </c>
      <c r="K454" t="e">
        <f t="shared" si="52"/>
        <v>#VALUE!</v>
      </c>
      <c r="M454" s="1">
        <f t="shared" si="53"/>
        <v>0</v>
      </c>
      <c r="N454" t="e">
        <f t="shared" si="54"/>
        <v>#VALUE!</v>
      </c>
      <c r="O454" t="e">
        <f t="shared" si="55"/>
        <v>#VALUE!</v>
      </c>
    </row>
    <row r="455" spans="9:15" x14ac:dyDescent="0.3">
      <c r="I455" t="e">
        <f t="shared" si="50"/>
        <v>#VALUE!</v>
      </c>
      <c r="J455" t="e">
        <f t="shared" si="51"/>
        <v>#VALUE!</v>
      </c>
      <c r="K455" t="e">
        <f t="shared" si="52"/>
        <v>#VALUE!</v>
      </c>
      <c r="M455" s="1">
        <f t="shared" si="53"/>
        <v>0</v>
      </c>
      <c r="N455" t="e">
        <f t="shared" si="54"/>
        <v>#VALUE!</v>
      </c>
      <c r="O455" t="e">
        <f t="shared" si="55"/>
        <v>#VALUE!</v>
      </c>
    </row>
    <row r="456" spans="9:15" x14ac:dyDescent="0.3">
      <c r="I456" t="e">
        <f t="shared" si="50"/>
        <v>#VALUE!</v>
      </c>
      <c r="J456" t="e">
        <f t="shared" si="51"/>
        <v>#VALUE!</v>
      </c>
      <c r="K456" t="e">
        <f t="shared" si="52"/>
        <v>#VALUE!</v>
      </c>
      <c r="M456" s="1">
        <f t="shared" si="53"/>
        <v>0</v>
      </c>
      <c r="N456" t="e">
        <f t="shared" si="54"/>
        <v>#VALUE!</v>
      </c>
      <c r="O456" t="e">
        <f t="shared" si="55"/>
        <v>#VALUE!</v>
      </c>
    </row>
    <row r="457" spans="9:15" x14ac:dyDescent="0.3">
      <c r="I457" t="e">
        <f t="shared" si="50"/>
        <v>#VALUE!</v>
      </c>
      <c r="J457" t="e">
        <f t="shared" si="51"/>
        <v>#VALUE!</v>
      </c>
      <c r="K457" t="e">
        <f t="shared" si="52"/>
        <v>#VALUE!</v>
      </c>
      <c r="M457" s="1">
        <f t="shared" si="53"/>
        <v>0</v>
      </c>
      <c r="N457" t="e">
        <f t="shared" si="54"/>
        <v>#VALUE!</v>
      </c>
      <c r="O457" t="e">
        <f t="shared" si="55"/>
        <v>#VALUE!</v>
      </c>
    </row>
    <row r="458" spans="9:15" x14ac:dyDescent="0.3">
      <c r="I458" t="e">
        <f t="shared" si="50"/>
        <v>#VALUE!</v>
      </c>
      <c r="J458" t="e">
        <f t="shared" si="51"/>
        <v>#VALUE!</v>
      </c>
      <c r="K458" t="e">
        <f t="shared" si="52"/>
        <v>#VALUE!</v>
      </c>
      <c r="M458" s="1">
        <f t="shared" si="53"/>
        <v>0</v>
      </c>
      <c r="N458" t="e">
        <f t="shared" si="54"/>
        <v>#VALUE!</v>
      </c>
      <c r="O458" t="e">
        <f t="shared" si="55"/>
        <v>#VALUE!</v>
      </c>
    </row>
    <row r="459" spans="9:15" x14ac:dyDescent="0.3">
      <c r="I459" t="e">
        <f t="shared" si="50"/>
        <v>#VALUE!</v>
      </c>
      <c r="J459" t="e">
        <f t="shared" si="51"/>
        <v>#VALUE!</v>
      </c>
      <c r="K459" t="e">
        <f t="shared" si="52"/>
        <v>#VALUE!</v>
      </c>
      <c r="M459" s="1">
        <f t="shared" si="53"/>
        <v>0</v>
      </c>
      <c r="N459" t="e">
        <f t="shared" si="54"/>
        <v>#VALUE!</v>
      </c>
      <c r="O459" t="e">
        <f t="shared" si="55"/>
        <v>#VALUE!</v>
      </c>
    </row>
    <row r="460" spans="9:15" x14ac:dyDescent="0.3">
      <c r="I460" t="e">
        <f t="shared" si="50"/>
        <v>#VALUE!</v>
      </c>
      <c r="J460" t="e">
        <f t="shared" si="51"/>
        <v>#VALUE!</v>
      </c>
      <c r="K460" t="e">
        <f t="shared" si="52"/>
        <v>#VALUE!</v>
      </c>
      <c r="M460" s="1">
        <f t="shared" si="53"/>
        <v>0</v>
      </c>
      <c r="N460" t="e">
        <f t="shared" si="54"/>
        <v>#VALUE!</v>
      </c>
      <c r="O460" t="e">
        <f t="shared" si="55"/>
        <v>#VALUE!</v>
      </c>
    </row>
    <row r="461" spans="9:15" x14ac:dyDescent="0.3">
      <c r="I461" t="e">
        <f t="shared" si="50"/>
        <v>#VALUE!</v>
      </c>
      <c r="J461" t="e">
        <f t="shared" si="51"/>
        <v>#VALUE!</v>
      </c>
      <c r="K461" t="e">
        <f t="shared" si="52"/>
        <v>#VALUE!</v>
      </c>
      <c r="M461" s="1">
        <f t="shared" si="53"/>
        <v>0</v>
      </c>
      <c r="N461" t="e">
        <f t="shared" si="54"/>
        <v>#VALUE!</v>
      </c>
      <c r="O461" t="e">
        <f t="shared" si="55"/>
        <v>#VALUE!</v>
      </c>
    </row>
    <row r="462" spans="9:15" x14ac:dyDescent="0.3">
      <c r="I462" t="e">
        <f t="shared" si="50"/>
        <v>#VALUE!</v>
      </c>
      <c r="J462" t="e">
        <f t="shared" si="51"/>
        <v>#VALUE!</v>
      </c>
      <c r="K462" t="e">
        <f t="shared" si="52"/>
        <v>#VALUE!</v>
      </c>
      <c r="M462" s="1">
        <f t="shared" si="53"/>
        <v>0</v>
      </c>
      <c r="N462" t="e">
        <f t="shared" si="54"/>
        <v>#VALUE!</v>
      </c>
      <c r="O462" t="e">
        <f t="shared" si="55"/>
        <v>#VALUE!</v>
      </c>
    </row>
    <row r="463" spans="9:15" x14ac:dyDescent="0.3">
      <c r="I463" t="e">
        <f t="shared" si="50"/>
        <v>#VALUE!</v>
      </c>
      <c r="J463" t="e">
        <f t="shared" si="51"/>
        <v>#VALUE!</v>
      </c>
      <c r="K463" t="e">
        <f t="shared" si="52"/>
        <v>#VALUE!</v>
      </c>
      <c r="M463" s="1">
        <f t="shared" si="53"/>
        <v>0</v>
      </c>
      <c r="N463" t="e">
        <f t="shared" si="54"/>
        <v>#VALUE!</v>
      </c>
      <c r="O463" t="e">
        <f t="shared" si="55"/>
        <v>#VALUE!</v>
      </c>
    </row>
    <row r="464" spans="9:15" x14ac:dyDescent="0.3">
      <c r="I464" t="e">
        <f t="shared" si="50"/>
        <v>#VALUE!</v>
      </c>
      <c r="J464" t="e">
        <f t="shared" si="51"/>
        <v>#VALUE!</v>
      </c>
      <c r="K464" t="e">
        <f t="shared" si="52"/>
        <v>#VALUE!</v>
      </c>
      <c r="M464" s="1">
        <f t="shared" si="53"/>
        <v>0</v>
      </c>
      <c r="N464" t="e">
        <f t="shared" si="54"/>
        <v>#VALUE!</v>
      </c>
      <c r="O464" t="e">
        <f t="shared" si="55"/>
        <v>#VALUE!</v>
      </c>
    </row>
    <row r="465" spans="9:15" x14ac:dyDescent="0.3">
      <c r="I465" t="e">
        <f t="shared" si="50"/>
        <v>#VALUE!</v>
      </c>
      <c r="J465" t="e">
        <f t="shared" si="51"/>
        <v>#VALUE!</v>
      </c>
      <c r="K465" t="e">
        <f t="shared" si="52"/>
        <v>#VALUE!</v>
      </c>
      <c r="M465" s="1">
        <f t="shared" si="53"/>
        <v>0</v>
      </c>
      <c r="N465" t="e">
        <f t="shared" si="54"/>
        <v>#VALUE!</v>
      </c>
      <c r="O465" t="e">
        <f t="shared" si="55"/>
        <v>#VALUE!</v>
      </c>
    </row>
    <row r="466" spans="9:15" x14ac:dyDescent="0.3">
      <c r="I466" t="e">
        <f t="shared" si="50"/>
        <v>#VALUE!</v>
      </c>
      <c r="J466" t="e">
        <f t="shared" si="51"/>
        <v>#VALUE!</v>
      </c>
      <c r="K466" t="e">
        <f t="shared" si="52"/>
        <v>#VALUE!</v>
      </c>
      <c r="M466" s="1">
        <f t="shared" si="53"/>
        <v>0</v>
      </c>
      <c r="N466" t="e">
        <f t="shared" si="54"/>
        <v>#VALUE!</v>
      </c>
      <c r="O466" t="e">
        <f t="shared" si="55"/>
        <v>#VALUE!</v>
      </c>
    </row>
    <row r="467" spans="9:15" x14ac:dyDescent="0.3">
      <c r="I467" t="e">
        <f t="shared" si="50"/>
        <v>#VALUE!</v>
      </c>
      <c r="J467" t="e">
        <f t="shared" si="51"/>
        <v>#VALUE!</v>
      </c>
      <c r="K467" t="e">
        <f t="shared" si="52"/>
        <v>#VALUE!</v>
      </c>
      <c r="M467" s="1">
        <f t="shared" si="53"/>
        <v>0</v>
      </c>
      <c r="N467" t="e">
        <f t="shared" si="54"/>
        <v>#VALUE!</v>
      </c>
      <c r="O467" t="e">
        <f t="shared" si="55"/>
        <v>#VALUE!</v>
      </c>
    </row>
    <row r="468" spans="9:15" x14ac:dyDescent="0.3">
      <c r="I468" t="e">
        <f t="shared" si="50"/>
        <v>#VALUE!</v>
      </c>
      <c r="J468" t="e">
        <f t="shared" si="51"/>
        <v>#VALUE!</v>
      </c>
      <c r="K468" t="e">
        <f t="shared" si="52"/>
        <v>#VALUE!</v>
      </c>
      <c r="M468" s="1">
        <f t="shared" si="53"/>
        <v>0</v>
      </c>
      <c r="N468" t="e">
        <f t="shared" si="54"/>
        <v>#VALUE!</v>
      </c>
      <c r="O468" t="e">
        <f t="shared" si="55"/>
        <v>#VALUE!</v>
      </c>
    </row>
    <row r="469" spans="9:15" x14ac:dyDescent="0.3">
      <c r="I469" t="e">
        <f t="shared" si="50"/>
        <v>#VALUE!</v>
      </c>
      <c r="J469" t="e">
        <f t="shared" si="51"/>
        <v>#VALUE!</v>
      </c>
      <c r="K469" t="e">
        <f t="shared" si="52"/>
        <v>#VALUE!</v>
      </c>
      <c r="M469" s="1">
        <f t="shared" si="53"/>
        <v>0</v>
      </c>
      <c r="N469" t="e">
        <f t="shared" si="54"/>
        <v>#VALUE!</v>
      </c>
      <c r="O469" t="e">
        <f t="shared" si="55"/>
        <v>#VALUE!</v>
      </c>
    </row>
    <row r="470" spans="9:15" x14ac:dyDescent="0.3">
      <c r="I470" t="e">
        <f t="shared" si="50"/>
        <v>#VALUE!</v>
      </c>
      <c r="J470" t="e">
        <f t="shared" si="51"/>
        <v>#VALUE!</v>
      </c>
      <c r="K470" t="e">
        <f t="shared" si="52"/>
        <v>#VALUE!</v>
      </c>
      <c r="M470" s="1">
        <f t="shared" si="53"/>
        <v>0</v>
      </c>
      <c r="N470" t="e">
        <f t="shared" si="54"/>
        <v>#VALUE!</v>
      </c>
      <c r="O470" t="e">
        <f t="shared" si="55"/>
        <v>#VALUE!</v>
      </c>
    </row>
    <row r="471" spans="9:15" x14ac:dyDescent="0.3">
      <c r="I471" t="e">
        <f t="shared" si="50"/>
        <v>#VALUE!</v>
      </c>
      <c r="J471" t="e">
        <f t="shared" si="51"/>
        <v>#VALUE!</v>
      </c>
      <c r="K471" t="e">
        <f t="shared" si="52"/>
        <v>#VALUE!</v>
      </c>
      <c r="M471" s="1">
        <f t="shared" si="53"/>
        <v>0</v>
      </c>
      <c r="N471" t="e">
        <f t="shared" si="54"/>
        <v>#VALUE!</v>
      </c>
      <c r="O471" t="e">
        <f t="shared" si="55"/>
        <v>#VALUE!</v>
      </c>
    </row>
    <row r="472" spans="9:15" x14ac:dyDescent="0.3">
      <c r="I472" t="e">
        <f t="shared" si="50"/>
        <v>#VALUE!</v>
      </c>
      <c r="J472" t="e">
        <f t="shared" si="51"/>
        <v>#VALUE!</v>
      </c>
      <c r="K472" t="e">
        <f t="shared" si="52"/>
        <v>#VALUE!</v>
      </c>
      <c r="M472" s="1">
        <f t="shared" si="53"/>
        <v>0</v>
      </c>
      <c r="N472" t="e">
        <f t="shared" si="54"/>
        <v>#VALUE!</v>
      </c>
      <c r="O472" t="e">
        <f t="shared" si="55"/>
        <v>#VALUE!</v>
      </c>
    </row>
    <row r="473" spans="9:15" x14ac:dyDescent="0.3">
      <c r="I473" t="e">
        <f t="shared" si="50"/>
        <v>#VALUE!</v>
      </c>
      <c r="J473" t="e">
        <f t="shared" si="51"/>
        <v>#VALUE!</v>
      </c>
      <c r="K473" t="e">
        <f t="shared" si="52"/>
        <v>#VALUE!</v>
      </c>
      <c r="M473" s="1">
        <f t="shared" si="53"/>
        <v>0</v>
      </c>
      <c r="N473" t="e">
        <f t="shared" si="54"/>
        <v>#VALUE!</v>
      </c>
      <c r="O473" t="e">
        <f t="shared" si="55"/>
        <v>#VALUE!</v>
      </c>
    </row>
    <row r="474" spans="9:15" x14ac:dyDescent="0.3">
      <c r="I474" t="e">
        <f t="shared" si="50"/>
        <v>#VALUE!</v>
      </c>
      <c r="J474" t="e">
        <f t="shared" si="51"/>
        <v>#VALUE!</v>
      </c>
      <c r="K474" t="e">
        <f t="shared" si="52"/>
        <v>#VALUE!</v>
      </c>
      <c r="M474" s="1">
        <f t="shared" si="53"/>
        <v>0</v>
      </c>
      <c r="N474" t="e">
        <f t="shared" si="54"/>
        <v>#VALUE!</v>
      </c>
      <c r="O474" t="e">
        <f t="shared" si="55"/>
        <v>#VALUE!</v>
      </c>
    </row>
    <row r="475" spans="9:15" x14ac:dyDescent="0.3">
      <c r="I475" t="e">
        <f t="shared" si="50"/>
        <v>#VALUE!</v>
      </c>
      <c r="J475" t="e">
        <f t="shared" si="51"/>
        <v>#VALUE!</v>
      </c>
      <c r="K475" t="e">
        <f t="shared" si="52"/>
        <v>#VALUE!</v>
      </c>
      <c r="M475" s="1">
        <f t="shared" si="53"/>
        <v>0</v>
      </c>
      <c r="N475" t="e">
        <f t="shared" si="54"/>
        <v>#VALUE!</v>
      </c>
      <c r="O475" t="e">
        <f t="shared" si="55"/>
        <v>#VALUE!</v>
      </c>
    </row>
    <row r="476" spans="9:15" x14ac:dyDescent="0.3">
      <c r="I476" t="e">
        <f t="shared" si="50"/>
        <v>#VALUE!</v>
      </c>
      <c r="J476" t="e">
        <f t="shared" si="51"/>
        <v>#VALUE!</v>
      </c>
      <c r="K476" t="e">
        <f t="shared" si="52"/>
        <v>#VALUE!</v>
      </c>
      <c r="M476" s="1">
        <f t="shared" si="53"/>
        <v>0</v>
      </c>
      <c r="N476" t="e">
        <f t="shared" si="54"/>
        <v>#VALUE!</v>
      </c>
      <c r="O476" t="e">
        <f t="shared" si="55"/>
        <v>#VALUE!</v>
      </c>
    </row>
    <row r="477" spans="9:15" x14ac:dyDescent="0.3">
      <c r="I477" t="e">
        <f t="shared" si="50"/>
        <v>#VALUE!</v>
      </c>
      <c r="J477" t="e">
        <f t="shared" si="51"/>
        <v>#VALUE!</v>
      </c>
      <c r="K477" t="e">
        <f t="shared" si="52"/>
        <v>#VALUE!</v>
      </c>
      <c r="M477" s="1">
        <f t="shared" si="53"/>
        <v>0</v>
      </c>
      <c r="N477" t="e">
        <f t="shared" si="54"/>
        <v>#VALUE!</v>
      </c>
      <c r="O477" t="e">
        <f t="shared" si="55"/>
        <v>#VALUE!</v>
      </c>
    </row>
    <row r="478" spans="9:15" x14ac:dyDescent="0.3">
      <c r="I478" t="e">
        <f t="shared" si="50"/>
        <v>#VALUE!</v>
      </c>
      <c r="J478" t="e">
        <f t="shared" si="51"/>
        <v>#VALUE!</v>
      </c>
      <c r="K478" t="e">
        <f t="shared" si="52"/>
        <v>#VALUE!</v>
      </c>
      <c r="M478" s="1">
        <f t="shared" si="53"/>
        <v>0</v>
      </c>
      <c r="N478" t="e">
        <f t="shared" si="54"/>
        <v>#VALUE!</v>
      </c>
      <c r="O478" t="e">
        <f t="shared" si="55"/>
        <v>#VALUE!</v>
      </c>
    </row>
    <row r="479" spans="9:15" x14ac:dyDescent="0.3">
      <c r="I479" t="e">
        <f t="shared" si="50"/>
        <v>#VALUE!</v>
      </c>
      <c r="J479" t="e">
        <f t="shared" si="51"/>
        <v>#VALUE!</v>
      </c>
      <c r="K479" t="e">
        <f t="shared" si="52"/>
        <v>#VALUE!</v>
      </c>
      <c r="M479" s="1">
        <f t="shared" si="53"/>
        <v>0</v>
      </c>
      <c r="N479" t="e">
        <f t="shared" si="54"/>
        <v>#VALUE!</v>
      </c>
      <c r="O479" t="e">
        <f t="shared" si="55"/>
        <v>#VALUE!</v>
      </c>
    </row>
    <row r="480" spans="9:15" x14ac:dyDescent="0.3">
      <c r="I480" t="e">
        <f t="shared" si="50"/>
        <v>#VALUE!</v>
      </c>
      <c r="J480" t="e">
        <f t="shared" si="51"/>
        <v>#VALUE!</v>
      </c>
      <c r="K480" t="e">
        <f t="shared" si="52"/>
        <v>#VALUE!</v>
      </c>
      <c r="M480" s="1">
        <f t="shared" si="53"/>
        <v>0</v>
      </c>
      <c r="N480" t="e">
        <f t="shared" si="54"/>
        <v>#VALUE!</v>
      </c>
      <c r="O480" t="e">
        <f t="shared" si="55"/>
        <v>#VALUE!</v>
      </c>
    </row>
    <row r="481" spans="9:15" x14ac:dyDescent="0.3">
      <c r="I481" t="e">
        <f t="shared" si="50"/>
        <v>#VALUE!</v>
      </c>
      <c r="J481" t="e">
        <f t="shared" si="51"/>
        <v>#VALUE!</v>
      </c>
      <c r="K481" t="e">
        <f t="shared" si="52"/>
        <v>#VALUE!</v>
      </c>
      <c r="M481" s="1">
        <f t="shared" si="53"/>
        <v>0</v>
      </c>
      <c r="N481" t="e">
        <f t="shared" si="54"/>
        <v>#VALUE!</v>
      </c>
      <c r="O481" t="e">
        <f t="shared" si="55"/>
        <v>#VALUE!</v>
      </c>
    </row>
    <row r="482" spans="9:15" x14ac:dyDescent="0.3">
      <c r="I482" t="e">
        <f t="shared" ref="I482:I545" si="56">RIGHT(C482,LEN(C482)-FIND(" ",C482,LEN(C482)-12))</f>
        <v>#VALUE!</v>
      </c>
      <c r="J482" t="e">
        <f t="shared" ref="J482:J545" si="57">RIGHT(C482,LEN(I482)/2)</f>
        <v>#VALUE!</v>
      </c>
      <c r="K482" t="e">
        <f t="shared" ref="K482:K545" si="58">LEFT(C482,FIND(" ",C482)-1)</f>
        <v>#VALUE!</v>
      </c>
      <c r="M482" s="1">
        <f t="shared" ref="M482:M545" si="59">B482</f>
        <v>0</v>
      </c>
      <c r="N482" t="e">
        <f t="shared" ref="N482:N545" si="60">VLOOKUP(J482,$R$1:$S$30,2,FALSE)</f>
        <v>#VALUE!</v>
      </c>
      <c r="O482" t="e">
        <f t="shared" ref="O482:O545" si="61">VLOOKUP(K482,$R$1:$S$30,2,FALSE)</f>
        <v>#VALUE!</v>
      </c>
    </row>
    <row r="483" spans="9:15" x14ac:dyDescent="0.3">
      <c r="I483" t="e">
        <f t="shared" si="56"/>
        <v>#VALUE!</v>
      </c>
      <c r="J483" t="e">
        <f t="shared" si="57"/>
        <v>#VALUE!</v>
      </c>
      <c r="K483" t="e">
        <f t="shared" si="58"/>
        <v>#VALUE!</v>
      </c>
      <c r="M483" s="1">
        <f t="shared" si="59"/>
        <v>0</v>
      </c>
      <c r="N483" t="e">
        <f t="shared" si="60"/>
        <v>#VALUE!</v>
      </c>
      <c r="O483" t="e">
        <f t="shared" si="61"/>
        <v>#VALUE!</v>
      </c>
    </row>
    <row r="484" spans="9:15" x14ac:dyDescent="0.3">
      <c r="I484" t="e">
        <f t="shared" si="56"/>
        <v>#VALUE!</v>
      </c>
      <c r="J484" t="e">
        <f t="shared" si="57"/>
        <v>#VALUE!</v>
      </c>
      <c r="K484" t="e">
        <f t="shared" si="58"/>
        <v>#VALUE!</v>
      </c>
      <c r="M484" s="1">
        <f t="shared" si="59"/>
        <v>0</v>
      </c>
      <c r="N484" t="e">
        <f t="shared" si="60"/>
        <v>#VALUE!</v>
      </c>
      <c r="O484" t="e">
        <f t="shared" si="61"/>
        <v>#VALUE!</v>
      </c>
    </row>
    <row r="485" spans="9:15" x14ac:dyDescent="0.3">
      <c r="I485" t="e">
        <f t="shared" si="56"/>
        <v>#VALUE!</v>
      </c>
      <c r="J485" t="e">
        <f t="shared" si="57"/>
        <v>#VALUE!</v>
      </c>
      <c r="K485" t="e">
        <f t="shared" si="58"/>
        <v>#VALUE!</v>
      </c>
      <c r="M485" s="1">
        <f t="shared" si="59"/>
        <v>0</v>
      </c>
      <c r="N485" t="e">
        <f t="shared" si="60"/>
        <v>#VALUE!</v>
      </c>
      <c r="O485" t="e">
        <f t="shared" si="61"/>
        <v>#VALUE!</v>
      </c>
    </row>
    <row r="486" spans="9:15" x14ac:dyDescent="0.3">
      <c r="I486" t="e">
        <f t="shared" si="56"/>
        <v>#VALUE!</v>
      </c>
      <c r="J486" t="e">
        <f t="shared" si="57"/>
        <v>#VALUE!</v>
      </c>
      <c r="K486" t="e">
        <f t="shared" si="58"/>
        <v>#VALUE!</v>
      </c>
      <c r="M486" s="1">
        <f t="shared" si="59"/>
        <v>0</v>
      </c>
      <c r="N486" t="e">
        <f t="shared" si="60"/>
        <v>#VALUE!</v>
      </c>
      <c r="O486" t="e">
        <f t="shared" si="61"/>
        <v>#VALUE!</v>
      </c>
    </row>
    <row r="487" spans="9:15" x14ac:dyDescent="0.3">
      <c r="I487" t="e">
        <f t="shared" si="56"/>
        <v>#VALUE!</v>
      </c>
      <c r="J487" t="e">
        <f t="shared" si="57"/>
        <v>#VALUE!</v>
      </c>
      <c r="K487" t="e">
        <f t="shared" si="58"/>
        <v>#VALUE!</v>
      </c>
      <c r="M487" s="1">
        <f t="shared" si="59"/>
        <v>0</v>
      </c>
      <c r="N487" t="e">
        <f t="shared" si="60"/>
        <v>#VALUE!</v>
      </c>
      <c r="O487" t="e">
        <f t="shared" si="61"/>
        <v>#VALUE!</v>
      </c>
    </row>
    <row r="488" spans="9:15" x14ac:dyDescent="0.3">
      <c r="I488" t="e">
        <f t="shared" si="56"/>
        <v>#VALUE!</v>
      </c>
      <c r="J488" t="e">
        <f t="shared" si="57"/>
        <v>#VALUE!</v>
      </c>
      <c r="K488" t="e">
        <f t="shared" si="58"/>
        <v>#VALUE!</v>
      </c>
      <c r="M488" s="1">
        <f t="shared" si="59"/>
        <v>0</v>
      </c>
      <c r="N488" t="e">
        <f t="shared" si="60"/>
        <v>#VALUE!</v>
      </c>
      <c r="O488" t="e">
        <f t="shared" si="61"/>
        <v>#VALUE!</v>
      </c>
    </row>
    <row r="489" spans="9:15" x14ac:dyDescent="0.3">
      <c r="I489" t="e">
        <f t="shared" si="56"/>
        <v>#VALUE!</v>
      </c>
      <c r="J489" t="e">
        <f t="shared" si="57"/>
        <v>#VALUE!</v>
      </c>
      <c r="K489" t="e">
        <f t="shared" si="58"/>
        <v>#VALUE!</v>
      </c>
      <c r="M489" s="1">
        <f t="shared" si="59"/>
        <v>0</v>
      </c>
      <c r="N489" t="e">
        <f t="shared" si="60"/>
        <v>#VALUE!</v>
      </c>
      <c r="O489" t="e">
        <f t="shared" si="61"/>
        <v>#VALUE!</v>
      </c>
    </row>
    <row r="490" spans="9:15" x14ac:dyDescent="0.3">
      <c r="I490" t="e">
        <f t="shared" si="56"/>
        <v>#VALUE!</v>
      </c>
      <c r="J490" t="e">
        <f t="shared" si="57"/>
        <v>#VALUE!</v>
      </c>
      <c r="K490" t="e">
        <f t="shared" si="58"/>
        <v>#VALUE!</v>
      </c>
      <c r="M490" s="1">
        <f t="shared" si="59"/>
        <v>0</v>
      </c>
      <c r="N490" t="e">
        <f t="shared" si="60"/>
        <v>#VALUE!</v>
      </c>
      <c r="O490" t="e">
        <f t="shared" si="61"/>
        <v>#VALUE!</v>
      </c>
    </row>
    <row r="491" spans="9:15" x14ac:dyDescent="0.3">
      <c r="I491" t="e">
        <f t="shared" si="56"/>
        <v>#VALUE!</v>
      </c>
      <c r="J491" t="e">
        <f t="shared" si="57"/>
        <v>#VALUE!</v>
      </c>
      <c r="K491" t="e">
        <f t="shared" si="58"/>
        <v>#VALUE!</v>
      </c>
      <c r="M491" s="1">
        <f t="shared" si="59"/>
        <v>0</v>
      </c>
      <c r="N491" t="e">
        <f t="shared" si="60"/>
        <v>#VALUE!</v>
      </c>
      <c r="O491" t="e">
        <f t="shared" si="61"/>
        <v>#VALUE!</v>
      </c>
    </row>
    <row r="492" spans="9:15" x14ac:dyDescent="0.3">
      <c r="I492" t="e">
        <f t="shared" si="56"/>
        <v>#VALUE!</v>
      </c>
      <c r="J492" t="e">
        <f t="shared" si="57"/>
        <v>#VALUE!</v>
      </c>
      <c r="K492" t="e">
        <f t="shared" si="58"/>
        <v>#VALUE!</v>
      </c>
      <c r="M492" s="1">
        <f t="shared" si="59"/>
        <v>0</v>
      </c>
      <c r="N492" t="e">
        <f t="shared" si="60"/>
        <v>#VALUE!</v>
      </c>
      <c r="O492" t="e">
        <f t="shared" si="61"/>
        <v>#VALUE!</v>
      </c>
    </row>
    <row r="493" spans="9:15" x14ac:dyDescent="0.3">
      <c r="I493" t="e">
        <f t="shared" si="56"/>
        <v>#VALUE!</v>
      </c>
      <c r="J493" t="e">
        <f t="shared" si="57"/>
        <v>#VALUE!</v>
      </c>
      <c r="K493" t="e">
        <f t="shared" si="58"/>
        <v>#VALUE!</v>
      </c>
      <c r="M493" s="1">
        <f t="shared" si="59"/>
        <v>0</v>
      </c>
      <c r="N493" t="e">
        <f t="shared" si="60"/>
        <v>#VALUE!</v>
      </c>
      <c r="O493" t="e">
        <f t="shared" si="61"/>
        <v>#VALUE!</v>
      </c>
    </row>
    <row r="494" spans="9:15" x14ac:dyDescent="0.3">
      <c r="I494" t="e">
        <f t="shared" si="56"/>
        <v>#VALUE!</v>
      </c>
      <c r="J494" t="e">
        <f t="shared" si="57"/>
        <v>#VALUE!</v>
      </c>
      <c r="K494" t="e">
        <f t="shared" si="58"/>
        <v>#VALUE!</v>
      </c>
      <c r="M494" s="1">
        <f t="shared" si="59"/>
        <v>0</v>
      </c>
      <c r="N494" t="e">
        <f t="shared" si="60"/>
        <v>#VALUE!</v>
      </c>
      <c r="O494" t="e">
        <f t="shared" si="61"/>
        <v>#VALUE!</v>
      </c>
    </row>
    <row r="495" spans="9:15" x14ac:dyDescent="0.3">
      <c r="I495" t="e">
        <f t="shared" si="56"/>
        <v>#VALUE!</v>
      </c>
      <c r="J495" t="e">
        <f t="shared" si="57"/>
        <v>#VALUE!</v>
      </c>
      <c r="K495" t="e">
        <f t="shared" si="58"/>
        <v>#VALUE!</v>
      </c>
      <c r="M495" s="1">
        <f t="shared" si="59"/>
        <v>0</v>
      </c>
      <c r="N495" t="e">
        <f t="shared" si="60"/>
        <v>#VALUE!</v>
      </c>
      <c r="O495" t="e">
        <f t="shared" si="61"/>
        <v>#VALUE!</v>
      </c>
    </row>
    <row r="496" spans="9:15" x14ac:dyDescent="0.3">
      <c r="I496" t="e">
        <f t="shared" si="56"/>
        <v>#VALUE!</v>
      </c>
      <c r="J496" t="e">
        <f t="shared" si="57"/>
        <v>#VALUE!</v>
      </c>
      <c r="K496" t="e">
        <f t="shared" si="58"/>
        <v>#VALUE!</v>
      </c>
      <c r="M496" s="1">
        <f t="shared" si="59"/>
        <v>0</v>
      </c>
      <c r="N496" t="e">
        <f t="shared" si="60"/>
        <v>#VALUE!</v>
      </c>
      <c r="O496" t="e">
        <f t="shared" si="61"/>
        <v>#VALUE!</v>
      </c>
    </row>
    <row r="497" spans="9:15" x14ac:dyDescent="0.3">
      <c r="I497" t="e">
        <f t="shared" si="56"/>
        <v>#VALUE!</v>
      </c>
      <c r="J497" t="e">
        <f t="shared" si="57"/>
        <v>#VALUE!</v>
      </c>
      <c r="K497" t="e">
        <f t="shared" si="58"/>
        <v>#VALUE!</v>
      </c>
      <c r="M497" s="1">
        <f t="shared" si="59"/>
        <v>0</v>
      </c>
      <c r="N497" t="e">
        <f t="shared" si="60"/>
        <v>#VALUE!</v>
      </c>
      <c r="O497" t="e">
        <f t="shared" si="61"/>
        <v>#VALUE!</v>
      </c>
    </row>
    <row r="498" spans="9:15" x14ac:dyDescent="0.3">
      <c r="I498" t="e">
        <f t="shared" si="56"/>
        <v>#VALUE!</v>
      </c>
      <c r="J498" t="e">
        <f t="shared" si="57"/>
        <v>#VALUE!</v>
      </c>
      <c r="K498" t="e">
        <f t="shared" si="58"/>
        <v>#VALUE!</v>
      </c>
      <c r="M498" s="1">
        <f t="shared" si="59"/>
        <v>0</v>
      </c>
      <c r="N498" t="e">
        <f t="shared" si="60"/>
        <v>#VALUE!</v>
      </c>
      <c r="O498" t="e">
        <f t="shared" si="61"/>
        <v>#VALUE!</v>
      </c>
    </row>
    <row r="499" spans="9:15" x14ac:dyDescent="0.3">
      <c r="I499" t="e">
        <f t="shared" si="56"/>
        <v>#VALUE!</v>
      </c>
      <c r="J499" t="e">
        <f t="shared" si="57"/>
        <v>#VALUE!</v>
      </c>
      <c r="K499" t="e">
        <f t="shared" si="58"/>
        <v>#VALUE!</v>
      </c>
      <c r="M499" s="1">
        <f t="shared" si="59"/>
        <v>0</v>
      </c>
      <c r="N499" t="e">
        <f t="shared" si="60"/>
        <v>#VALUE!</v>
      </c>
      <c r="O499" t="e">
        <f t="shared" si="61"/>
        <v>#VALUE!</v>
      </c>
    </row>
    <row r="500" spans="9:15" x14ac:dyDescent="0.3">
      <c r="I500" t="e">
        <f t="shared" si="56"/>
        <v>#VALUE!</v>
      </c>
      <c r="J500" t="e">
        <f t="shared" si="57"/>
        <v>#VALUE!</v>
      </c>
      <c r="K500" t="e">
        <f t="shared" si="58"/>
        <v>#VALUE!</v>
      </c>
      <c r="M500" s="1">
        <f t="shared" si="59"/>
        <v>0</v>
      </c>
      <c r="N500" t="e">
        <f t="shared" si="60"/>
        <v>#VALUE!</v>
      </c>
      <c r="O500" t="e">
        <f t="shared" si="61"/>
        <v>#VALUE!</v>
      </c>
    </row>
    <row r="501" spans="9:15" x14ac:dyDescent="0.3">
      <c r="I501" t="e">
        <f t="shared" si="56"/>
        <v>#VALUE!</v>
      </c>
      <c r="J501" t="e">
        <f t="shared" si="57"/>
        <v>#VALUE!</v>
      </c>
      <c r="K501" t="e">
        <f t="shared" si="58"/>
        <v>#VALUE!</v>
      </c>
      <c r="M501" s="1">
        <f t="shared" si="59"/>
        <v>0</v>
      </c>
      <c r="N501" t="e">
        <f t="shared" si="60"/>
        <v>#VALUE!</v>
      </c>
      <c r="O501" t="e">
        <f t="shared" si="61"/>
        <v>#VALUE!</v>
      </c>
    </row>
    <row r="502" spans="9:15" x14ac:dyDescent="0.3">
      <c r="I502" t="e">
        <f t="shared" si="56"/>
        <v>#VALUE!</v>
      </c>
      <c r="J502" t="e">
        <f t="shared" si="57"/>
        <v>#VALUE!</v>
      </c>
      <c r="K502" t="e">
        <f t="shared" si="58"/>
        <v>#VALUE!</v>
      </c>
      <c r="M502" s="1">
        <f t="shared" si="59"/>
        <v>0</v>
      </c>
      <c r="N502" t="e">
        <f t="shared" si="60"/>
        <v>#VALUE!</v>
      </c>
      <c r="O502" t="e">
        <f t="shared" si="61"/>
        <v>#VALUE!</v>
      </c>
    </row>
    <row r="503" spans="9:15" x14ac:dyDescent="0.3">
      <c r="I503" t="e">
        <f t="shared" si="56"/>
        <v>#VALUE!</v>
      </c>
      <c r="J503" t="e">
        <f t="shared" si="57"/>
        <v>#VALUE!</v>
      </c>
      <c r="K503" t="e">
        <f t="shared" si="58"/>
        <v>#VALUE!</v>
      </c>
      <c r="M503" s="1">
        <f t="shared" si="59"/>
        <v>0</v>
      </c>
      <c r="N503" t="e">
        <f t="shared" si="60"/>
        <v>#VALUE!</v>
      </c>
      <c r="O503" t="e">
        <f t="shared" si="61"/>
        <v>#VALUE!</v>
      </c>
    </row>
    <row r="504" spans="9:15" x14ac:dyDescent="0.3">
      <c r="I504" t="e">
        <f t="shared" si="56"/>
        <v>#VALUE!</v>
      </c>
      <c r="J504" t="e">
        <f t="shared" si="57"/>
        <v>#VALUE!</v>
      </c>
      <c r="K504" t="e">
        <f t="shared" si="58"/>
        <v>#VALUE!</v>
      </c>
      <c r="M504" s="1">
        <f t="shared" si="59"/>
        <v>0</v>
      </c>
      <c r="N504" t="e">
        <f t="shared" si="60"/>
        <v>#VALUE!</v>
      </c>
      <c r="O504" t="e">
        <f t="shared" si="61"/>
        <v>#VALUE!</v>
      </c>
    </row>
    <row r="505" spans="9:15" x14ac:dyDescent="0.3">
      <c r="I505" t="e">
        <f t="shared" si="56"/>
        <v>#VALUE!</v>
      </c>
      <c r="J505" t="e">
        <f t="shared" si="57"/>
        <v>#VALUE!</v>
      </c>
      <c r="K505" t="e">
        <f t="shared" si="58"/>
        <v>#VALUE!</v>
      </c>
      <c r="M505" s="1">
        <f t="shared" si="59"/>
        <v>0</v>
      </c>
      <c r="N505" t="e">
        <f t="shared" si="60"/>
        <v>#VALUE!</v>
      </c>
      <c r="O505" t="e">
        <f t="shared" si="61"/>
        <v>#VALUE!</v>
      </c>
    </row>
    <row r="506" spans="9:15" x14ac:dyDescent="0.3">
      <c r="I506" t="e">
        <f t="shared" si="56"/>
        <v>#VALUE!</v>
      </c>
      <c r="J506" t="e">
        <f t="shared" si="57"/>
        <v>#VALUE!</v>
      </c>
      <c r="K506" t="e">
        <f t="shared" si="58"/>
        <v>#VALUE!</v>
      </c>
      <c r="M506" s="1">
        <f t="shared" si="59"/>
        <v>0</v>
      </c>
      <c r="N506" t="e">
        <f t="shared" si="60"/>
        <v>#VALUE!</v>
      </c>
      <c r="O506" t="e">
        <f t="shared" si="61"/>
        <v>#VALUE!</v>
      </c>
    </row>
    <row r="507" spans="9:15" x14ac:dyDescent="0.3">
      <c r="I507" t="e">
        <f t="shared" si="56"/>
        <v>#VALUE!</v>
      </c>
      <c r="J507" t="e">
        <f t="shared" si="57"/>
        <v>#VALUE!</v>
      </c>
      <c r="K507" t="e">
        <f t="shared" si="58"/>
        <v>#VALUE!</v>
      </c>
      <c r="M507" s="1">
        <f t="shared" si="59"/>
        <v>0</v>
      </c>
      <c r="N507" t="e">
        <f t="shared" si="60"/>
        <v>#VALUE!</v>
      </c>
      <c r="O507" t="e">
        <f t="shared" si="61"/>
        <v>#VALUE!</v>
      </c>
    </row>
    <row r="508" spans="9:15" x14ac:dyDescent="0.3">
      <c r="I508" t="e">
        <f t="shared" si="56"/>
        <v>#VALUE!</v>
      </c>
      <c r="J508" t="e">
        <f t="shared" si="57"/>
        <v>#VALUE!</v>
      </c>
      <c r="K508" t="e">
        <f t="shared" si="58"/>
        <v>#VALUE!</v>
      </c>
      <c r="M508" s="1">
        <f t="shared" si="59"/>
        <v>0</v>
      </c>
      <c r="N508" t="e">
        <f t="shared" si="60"/>
        <v>#VALUE!</v>
      </c>
      <c r="O508" t="e">
        <f t="shared" si="61"/>
        <v>#VALUE!</v>
      </c>
    </row>
    <row r="509" spans="9:15" x14ac:dyDescent="0.3">
      <c r="I509" t="e">
        <f t="shared" si="56"/>
        <v>#VALUE!</v>
      </c>
      <c r="J509" t="e">
        <f t="shared" si="57"/>
        <v>#VALUE!</v>
      </c>
      <c r="K509" t="e">
        <f t="shared" si="58"/>
        <v>#VALUE!</v>
      </c>
      <c r="M509" s="1">
        <f t="shared" si="59"/>
        <v>0</v>
      </c>
      <c r="N509" t="e">
        <f t="shared" si="60"/>
        <v>#VALUE!</v>
      </c>
      <c r="O509" t="e">
        <f t="shared" si="61"/>
        <v>#VALUE!</v>
      </c>
    </row>
    <row r="510" spans="9:15" x14ac:dyDescent="0.3">
      <c r="I510" t="e">
        <f t="shared" si="56"/>
        <v>#VALUE!</v>
      </c>
      <c r="J510" t="e">
        <f t="shared" si="57"/>
        <v>#VALUE!</v>
      </c>
      <c r="K510" t="e">
        <f t="shared" si="58"/>
        <v>#VALUE!</v>
      </c>
      <c r="M510" s="1">
        <f t="shared" si="59"/>
        <v>0</v>
      </c>
      <c r="N510" t="e">
        <f t="shared" si="60"/>
        <v>#VALUE!</v>
      </c>
      <c r="O510" t="e">
        <f t="shared" si="61"/>
        <v>#VALUE!</v>
      </c>
    </row>
    <row r="511" spans="9:15" x14ac:dyDescent="0.3">
      <c r="I511" t="e">
        <f t="shared" si="56"/>
        <v>#VALUE!</v>
      </c>
      <c r="J511" t="e">
        <f t="shared" si="57"/>
        <v>#VALUE!</v>
      </c>
      <c r="K511" t="e">
        <f t="shared" si="58"/>
        <v>#VALUE!</v>
      </c>
      <c r="M511" s="1">
        <f t="shared" si="59"/>
        <v>0</v>
      </c>
      <c r="N511" t="e">
        <f t="shared" si="60"/>
        <v>#VALUE!</v>
      </c>
      <c r="O511" t="e">
        <f t="shared" si="61"/>
        <v>#VALUE!</v>
      </c>
    </row>
    <row r="512" spans="9:15" x14ac:dyDescent="0.3">
      <c r="I512" t="e">
        <f t="shared" si="56"/>
        <v>#VALUE!</v>
      </c>
      <c r="J512" t="e">
        <f t="shared" si="57"/>
        <v>#VALUE!</v>
      </c>
      <c r="K512" t="e">
        <f t="shared" si="58"/>
        <v>#VALUE!</v>
      </c>
      <c r="M512" s="1">
        <f t="shared" si="59"/>
        <v>0</v>
      </c>
      <c r="N512" t="e">
        <f t="shared" si="60"/>
        <v>#VALUE!</v>
      </c>
      <c r="O512" t="e">
        <f t="shared" si="61"/>
        <v>#VALUE!</v>
      </c>
    </row>
    <row r="513" spans="9:15" x14ac:dyDescent="0.3">
      <c r="I513" t="e">
        <f t="shared" si="56"/>
        <v>#VALUE!</v>
      </c>
      <c r="J513" t="e">
        <f t="shared" si="57"/>
        <v>#VALUE!</v>
      </c>
      <c r="K513" t="e">
        <f t="shared" si="58"/>
        <v>#VALUE!</v>
      </c>
      <c r="M513" s="1">
        <f t="shared" si="59"/>
        <v>0</v>
      </c>
      <c r="N513" t="e">
        <f t="shared" si="60"/>
        <v>#VALUE!</v>
      </c>
      <c r="O513" t="e">
        <f t="shared" si="61"/>
        <v>#VALUE!</v>
      </c>
    </row>
    <row r="514" spans="9:15" x14ac:dyDescent="0.3">
      <c r="I514" t="e">
        <f t="shared" si="56"/>
        <v>#VALUE!</v>
      </c>
      <c r="J514" t="e">
        <f t="shared" si="57"/>
        <v>#VALUE!</v>
      </c>
      <c r="K514" t="e">
        <f t="shared" si="58"/>
        <v>#VALUE!</v>
      </c>
      <c r="M514" s="1">
        <f t="shared" si="59"/>
        <v>0</v>
      </c>
      <c r="N514" t="e">
        <f t="shared" si="60"/>
        <v>#VALUE!</v>
      </c>
      <c r="O514" t="e">
        <f t="shared" si="61"/>
        <v>#VALUE!</v>
      </c>
    </row>
    <row r="515" spans="9:15" x14ac:dyDescent="0.3">
      <c r="I515" t="e">
        <f t="shared" si="56"/>
        <v>#VALUE!</v>
      </c>
      <c r="J515" t="e">
        <f t="shared" si="57"/>
        <v>#VALUE!</v>
      </c>
      <c r="K515" t="e">
        <f t="shared" si="58"/>
        <v>#VALUE!</v>
      </c>
      <c r="M515" s="1">
        <f t="shared" si="59"/>
        <v>0</v>
      </c>
      <c r="N515" t="e">
        <f t="shared" si="60"/>
        <v>#VALUE!</v>
      </c>
      <c r="O515" t="e">
        <f t="shared" si="61"/>
        <v>#VALUE!</v>
      </c>
    </row>
    <row r="516" spans="9:15" x14ac:dyDescent="0.3">
      <c r="I516" t="e">
        <f t="shared" si="56"/>
        <v>#VALUE!</v>
      </c>
      <c r="J516" t="e">
        <f t="shared" si="57"/>
        <v>#VALUE!</v>
      </c>
      <c r="K516" t="e">
        <f t="shared" si="58"/>
        <v>#VALUE!</v>
      </c>
      <c r="M516" s="1">
        <f t="shared" si="59"/>
        <v>0</v>
      </c>
      <c r="N516" t="e">
        <f t="shared" si="60"/>
        <v>#VALUE!</v>
      </c>
      <c r="O516" t="e">
        <f t="shared" si="61"/>
        <v>#VALUE!</v>
      </c>
    </row>
    <row r="517" spans="9:15" x14ac:dyDescent="0.3">
      <c r="I517" t="e">
        <f t="shared" si="56"/>
        <v>#VALUE!</v>
      </c>
      <c r="J517" t="e">
        <f t="shared" si="57"/>
        <v>#VALUE!</v>
      </c>
      <c r="K517" t="e">
        <f t="shared" si="58"/>
        <v>#VALUE!</v>
      </c>
      <c r="M517" s="1">
        <f t="shared" si="59"/>
        <v>0</v>
      </c>
      <c r="N517" t="e">
        <f t="shared" si="60"/>
        <v>#VALUE!</v>
      </c>
      <c r="O517" t="e">
        <f t="shared" si="61"/>
        <v>#VALUE!</v>
      </c>
    </row>
    <row r="518" spans="9:15" x14ac:dyDescent="0.3">
      <c r="I518" t="e">
        <f t="shared" si="56"/>
        <v>#VALUE!</v>
      </c>
      <c r="J518" t="e">
        <f t="shared" si="57"/>
        <v>#VALUE!</v>
      </c>
      <c r="K518" t="e">
        <f t="shared" si="58"/>
        <v>#VALUE!</v>
      </c>
      <c r="M518" s="1">
        <f t="shared" si="59"/>
        <v>0</v>
      </c>
      <c r="N518" t="e">
        <f t="shared" si="60"/>
        <v>#VALUE!</v>
      </c>
      <c r="O518" t="e">
        <f t="shared" si="61"/>
        <v>#VALUE!</v>
      </c>
    </row>
    <row r="519" spans="9:15" x14ac:dyDescent="0.3">
      <c r="I519" t="e">
        <f t="shared" si="56"/>
        <v>#VALUE!</v>
      </c>
      <c r="J519" t="e">
        <f t="shared" si="57"/>
        <v>#VALUE!</v>
      </c>
      <c r="K519" t="e">
        <f t="shared" si="58"/>
        <v>#VALUE!</v>
      </c>
      <c r="M519" s="1">
        <f t="shared" si="59"/>
        <v>0</v>
      </c>
      <c r="N519" t="e">
        <f t="shared" si="60"/>
        <v>#VALUE!</v>
      </c>
      <c r="O519" t="e">
        <f t="shared" si="61"/>
        <v>#VALUE!</v>
      </c>
    </row>
    <row r="520" spans="9:15" x14ac:dyDescent="0.3">
      <c r="I520" t="e">
        <f t="shared" si="56"/>
        <v>#VALUE!</v>
      </c>
      <c r="J520" t="e">
        <f t="shared" si="57"/>
        <v>#VALUE!</v>
      </c>
      <c r="K520" t="e">
        <f t="shared" si="58"/>
        <v>#VALUE!</v>
      </c>
      <c r="M520" s="1">
        <f t="shared" si="59"/>
        <v>0</v>
      </c>
      <c r="N520" t="e">
        <f t="shared" si="60"/>
        <v>#VALUE!</v>
      </c>
      <c r="O520" t="e">
        <f t="shared" si="61"/>
        <v>#VALUE!</v>
      </c>
    </row>
    <row r="521" spans="9:15" x14ac:dyDescent="0.3">
      <c r="I521" t="e">
        <f t="shared" si="56"/>
        <v>#VALUE!</v>
      </c>
      <c r="J521" t="e">
        <f t="shared" si="57"/>
        <v>#VALUE!</v>
      </c>
      <c r="K521" t="e">
        <f t="shared" si="58"/>
        <v>#VALUE!</v>
      </c>
      <c r="M521" s="1">
        <f t="shared" si="59"/>
        <v>0</v>
      </c>
      <c r="N521" t="e">
        <f t="shared" si="60"/>
        <v>#VALUE!</v>
      </c>
      <c r="O521" t="e">
        <f t="shared" si="61"/>
        <v>#VALUE!</v>
      </c>
    </row>
    <row r="522" spans="9:15" x14ac:dyDescent="0.3">
      <c r="I522" t="e">
        <f t="shared" si="56"/>
        <v>#VALUE!</v>
      </c>
      <c r="J522" t="e">
        <f t="shared" si="57"/>
        <v>#VALUE!</v>
      </c>
      <c r="K522" t="e">
        <f t="shared" si="58"/>
        <v>#VALUE!</v>
      </c>
      <c r="M522" s="1">
        <f t="shared" si="59"/>
        <v>0</v>
      </c>
      <c r="N522" t="e">
        <f t="shared" si="60"/>
        <v>#VALUE!</v>
      </c>
      <c r="O522" t="e">
        <f t="shared" si="61"/>
        <v>#VALUE!</v>
      </c>
    </row>
    <row r="523" spans="9:15" x14ac:dyDescent="0.3">
      <c r="I523" t="e">
        <f t="shared" si="56"/>
        <v>#VALUE!</v>
      </c>
      <c r="J523" t="e">
        <f t="shared" si="57"/>
        <v>#VALUE!</v>
      </c>
      <c r="K523" t="e">
        <f t="shared" si="58"/>
        <v>#VALUE!</v>
      </c>
      <c r="M523" s="1">
        <f t="shared" si="59"/>
        <v>0</v>
      </c>
      <c r="N523" t="e">
        <f t="shared" si="60"/>
        <v>#VALUE!</v>
      </c>
      <c r="O523" t="e">
        <f t="shared" si="61"/>
        <v>#VALUE!</v>
      </c>
    </row>
    <row r="524" spans="9:15" x14ac:dyDescent="0.3">
      <c r="I524" t="e">
        <f t="shared" si="56"/>
        <v>#VALUE!</v>
      </c>
      <c r="J524" t="e">
        <f t="shared" si="57"/>
        <v>#VALUE!</v>
      </c>
      <c r="K524" t="e">
        <f t="shared" si="58"/>
        <v>#VALUE!</v>
      </c>
      <c r="M524" s="1">
        <f t="shared" si="59"/>
        <v>0</v>
      </c>
      <c r="N524" t="e">
        <f t="shared" si="60"/>
        <v>#VALUE!</v>
      </c>
      <c r="O524" t="e">
        <f t="shared" si="61"/>
        <v>#VALUE!</v>
      </c>
    </row>
    <row r="525" spans="9:15" x14ac:dyDescent="0.3">
      <c r="I525" t="e">
        <f t="shared" si="56"/>
        <v>#VALUE!</v>
      </c>
      <c r="J525" t="e">
        <f t="shared" si="57"/>
        <v>#VALUE!</v>
      </c>
      <c r="K525" t="e">
        <f t="shared" si="58"/>
        <v>#VALUE!</v>
      </c>
      <c r="M525" s="1">
        <f t="shared" si="59"/>
        <v>0</v>
      </c>
      <c r="N525" t="e">
        <f t="shared" si="60"/>
        <v>#VALUE!</v>
      </c>
      <c r="O525" t="e">
        <f t="shared" si="61"/>
        <v>#VALUE!</v>
      </c>
    </row>
    <row r="526" spans="9:15" x14ac:dyDescent="0.3">
      <c r="I526" t="e">
        <f t="shared" si="56"/>
        <v>#VALUE!</v>
      </c>
      <c r="J526" t="e">
        <f t="shared" si="57"/>
        <v>#VALUE!</v>
      </c>
      <c r="K526" t="e">
        <f t="shared" si="58"/>
        <v>#VALUE!</v>
      </c>
      <c r="M526" s="1">
        <f t="shared" si="59"/>
        <v>0</v>
      </c>
      <c r="N526" t="e">
        <f t="shared" si="60"/>
        <v>#VALUE!</v>
      </c>
      <c r="O526" t="e">
        <f t="shared" si="61"/>
        <v>#VALUE!</v>
      </c>
    </row>
    <row r="527" spans="9:15" x14ac:dyDescent="0.3">
      <c r="I527" t="e">
        <f t="shared" si="56"/>
        <v>#VALUE!</v>
      </c>
      <c r="J527" t="e">
        <f t="shared" si="57"/>
        <v>#VALUE!</v>
      </c>
      <c r="K527" t="e">
        <f t="shared" si="58"/>
        <v>#VALUE!</v>
      </c>
      <c r="M527" s="1">
        <f t="shared" si="59"/>
        <v>0</v>
      </c>
      <c r="N527" t="e">
        <f t="shared" si="60"/>
        <v>#VALUE!</v>
      </c>
      <c r="O527" t="e">
        <f t="shared" si="61"/>
        <v>#VALUE!</v>
      </c>
    </row>
    <row r="528" spans="9:15" x14ac:dyDescent="0.3">
      <c r="I528" t="e">
        <f t="shared" si="56"/>
        <v>#VALUE!</v>
      </c>
      <c r="J528" t="e">
        <f t="shared" si="57"/>
        <v>#VALUE!</v>
      </c>
      <c r="K528" t="e">
        <f t="shared" si="58"/>
        <v>#VALUE!</v>
      </c>
      <c r="M528" s="1">
        <f t="shared" si="59"/>
        <v>0</v>
      </c>
      <c r="N528" t="e">
        <f t="shared" si="60"/>
        <v>#VALUE!</v>
      </c>
      <c r="O528" t="e">
        <f t="shared" si="61"/>
        <v>#VALUE!</v>
      </c>
    </row>
    <row r="529" spans="9:15" x14ac:dyDescent="0.3">
      <c r="I529" t="e">
        <f t="shared" si="56"/>
        <v>#VALUE!</v>
      </c>
      <c r="J529" t="e">
        <f t="shared" si="57"/>
        <v>#VALUE!</v>
      </c>
      <c r="K529" t="e">
        <f t="shared" si="58"/>
        <v>#VALUE!</v>
      </c>
      <c r="M529" s="1">
        <f t="shared" si="59"/>
        <v>0</v>
      </c>
      <c r="N529" t="e">
        <f t="shared" si="60"/>
        <v>#VALUE!</v>
      </c>
      <c r="O529" t="e">
        <f t="shared" si="61"/>
        <v>#VALUE!</v>
      </c>
    </row>
    <row r="530" spans="9:15" x14ac:dyDescent="0.3">
      <c r="I530" t="e">
        <f t="shared" si="56"/>
        <v>#VALUE!</v>
      </c>
      <c r="J530" t="e">
        <f t="shared" si="57"/>
        <v>#VALUE!</v>
      </c>
      <c r="K530" t="e">
        <f t="shared" si="58"/>
        <v>#VALUE!</v>
      </c>
      <c r="M530" s="1">
        <f t="shared" si="59"/>
        <v>0</v>
      </c>
      <c r="N530" t="e">
        <f t="shared" si="60"/>
        <v>#VALUE!</v>
      </c>
      <c r="O530" t="e">
        <f t="shared" si="61"/>
        <v>#VALUE!</v>
      </c>
    </row>
    <row r="531" spans="9:15" x14ac:dyDescent="0.3">
      <c r="I531" t="e">
        <f t="shared" si="56"/>
        <v>#VALUE!</v>
      </c>
      <c r="J531" t="e">
        <f t="shared" si="57"/>
        <v>#VALUE!</v>
      </c>
      <c r="K531" t="e">
        <f t="shared" si="58"/>
        <v>#VALUE!</v>
      </c>
      <c r="M531" s="1">
        <f t="shared" si="59"/>
        <v>0</v>
      </c>
      <c r="N531" t="e">
        <f t="shared" si="60"/>
        <v>#VALUE!</v>
      </c>
      <c r="O531" t="e">
        <f t="shared" si="61"/>
        <v>#VALUE!</v>
      </c>
    </row>
    <row r="532" spans="9:15" x14ac:dyDescent="0.3">
      <c r="I532" t="e">
        <f t="shared" si="56"/>
        <v>#VALUE!</v>
      </c>
      <c r="J532" t="e">
        <f t="shared" si="57"/>
        <v>#VALUE!</v>
      </c>
      <c r="K532" t="e">
        <f t="shared" si="58"/>
        <v>#VALUE!</v>
      </c>
      <c r="M532" s="1">
        <f t="shared" si="59"/>
        <v>0</v>
      </c>
      <c r="N532" t="e">
        <f t="shared" si="60"/>
        <v>#VALUE!</v>
      </c>
      <c r="O532" t="e">
        <f t="shared" si="61"/>
        <v>#VALUE!</v>
      </c>
    </row>
    <row r="533" spans="9:15" x14ac:dyDescent="0.3">
      <c r="I533" t="e">
        <f t="shared" si="56"/>
        <v>#VALUE!</v>
      </c>
      <c r="J533" t="e">
        <f t="shared" si="57"/>
        <v>#VALUE!</v>
      </c>
      <c r="K533" t="e">
        <f t="shared" si="58"/>
        <v>#VALUE!</v>
      </c>
      <c r="M533" s="1">
        <f t="shared" si="59"/>
        <v>0</v>
      </c>
      <c r="N533" t="e">
        <f t="shared" si="60"/>
        <v>#VALUE!</v>
      </c>
      <c r="O533" t="e">
        <f t="shared" si="61"/>
        <v>#VALUE!</v>
      </c>
    </row>
    <row r="534" spans="9:15" x14ac:dyDescent="0.3">
      <c r="I534" t="e">
        <f t="shared" si="56"/>
        <v>#VALUE!</v>
      </c>
      <c r="J534" t="e">
        <f t="shared" si="57"/>
        <v>#VALUE!</v>
      </c>
      <c r="K534" t="e">
        <f t="shared" si="58"/>
        <v>#VALUE!</v>
      </c>
      <c r="M534" s="1">
        <f t="shared" si="59"/>
        <v>0</v>
      </c>
      <c r="N534" t="e">
        <f t="shared" si="60"/>
        <v>#VALUE!</v>
      </c>
      <c r="O534" t="e">
        <f t="shared" si="61"/>
        <v>#VALUE!</v>
      </c>
    </row>
    <row r="535" spans="9:15" x14ac:dyDescent="0.3">
      <c r="I535" t="e">
        <f t="shared" si="56"/>
        <v>#VALUE!</v>
      </c>
      <c r="J535" t="e">
        <f t="shared" si="57"/>
        <v>#VALUE!</v>
      </c>
      <c r="K535" t="e">
        <f t="shared" si="58"/>
        <v>#VALUE!</v>
      </c>
      <c r="M535" s="1">
        <f t="shared" si="59"/>
        <v>0</v>
      </c>
      <c r="N535" t="e">
        <f t="shared" si="60"/>
        <v>#VALUE!</v>
      </c>
      <c r="O535" t="e">
        <f t="shared" si="61"/>
        <v>#VALUE!</v>
      </c>
    </row>
    <row r="536" spans="9:15" x14ac:dyDescent="0.3">
      <c r="I536" t="e">
        <f t="shared" si="56"/>
        <v>#VALUE!</v>
      </c>
      <c r="J536" t="e">
        <f t="shared" si="57"/>
        <v>#VALUE!</v>
      </c>
      <c r="K536" t="e">
        <f t="shared" si="58"/>
        <v>#VALUE!</v>
      </c>
      <c r="M536" s="1">
        <f t="shared" si="59"/>
        <v>0</v>
      </c>
      <c r="N536" t="e">
        <f t="shared" si="60"/>
        <v>#VALUE!</v>
      </c>
      <c r="O536" t="e">
        <f t="shared" si="61"/>
        <v>#VALUE!</v>
      </c>
    </row>
    <row r="537" spans="9:15" x14ac:dyDescent="0.3">
      <c r="I537" t="e">
        <f t="shared" si="56"/>
        <v>#VALUE!</v>
      </c>
      <c r="J537" t="e">
        <f t="shared" si="57"/>
        <v>#VALUE!</v>
      </c>
      <c r="K537" t="e">
        <f t="shared" si="58"/>
        <v>#VALUE!</v>
      </c>
      <c r="M537" s="1">
        <f t="shared" si="59"/>
        <v>0</v>
      </c>
      <c r="N537" t="e">
        <f t="shared" si="60"/>
        <v>#VALUE!</v>
      </c>
      <c r="O537" t="e">
        <f t="shared" si="61"/>
        <v>#VALUE!</v>
      </c>
    </row>
    <row r="538" spans="9:15" x14ac:dyDescent="0.3">
      <c r="I538" t="e">
        <f t="shared" si="56"/>
        <v>#VALUE!</v>
      </c>
      <c r="J538" t="e">
        <f t="shared" si="57"/>
        <v>#VALUE!</v>
      </c>
      <c r="K538" t="e">
        <f t="shared" si="58"/>
        <v>#VALUE!</v>
      </c>
      <c r="M538" s="1">
        <f t="shared" si="59"/>
        <v>0</v>
      </c>
      <c r="N538" t="e">
        <f t="shared" si="60"/>
        <v>#VALUE!</v>
      </c>
      <c r="O538" t="e">
        <f t="shared" si="61"/>
        <v>#VALUE!</v>
      </c>
    </row>
    <row r="539" spans="9:15" x14ac:dyDescent="0.3">
      <c r="I539" t="e">
        <f t="shared" si="56"/>
        <v>#VALUE!</v>
      </c>
      <c r="J539" t="e">
        <f t="shared" si="57"/>
        <v>#VALUE!</v>
      </c>
      <c r="K539" t="e">
        <f t="shared" si="58"/>
        <v>#VALUE!</v>
      </c>
      <c r="M539" s="1">
        <f t="shared" si="59"/>
        <v>0</v>
      </c>
      <c r="N539" t="e">
        <f t="shared" si="60"/>
        <v>#VALUE!</v>
      </c>
      <c r="O539" t="e">
        <f t="shared" si="61"/>
        <v>#VALUE!</v>
      </c>
    </row>
    <row r="540" spans="9:15" x14ac:dyDescent="0.3">
      <c r="I540" t="e">
        <f t="shared" si="56"/>
        <v>#VALUE!</v>
      </c>
      <c r="J540" t="e">
        <f t="shared" si="57"/>
        <v>#VALUE!</v>
      </c>
      <c r="K540" t="e">
        <f t="shared" si="58"/>
        <v>#VALUE!</v>
      </c>
      <c r="M540" s="1">
        <f t="shared" si="59"/>
        <v>0</v>
      </c>
      <c r="N540" t="e">
        <f t="shared" si="60"/>
        <v>#VALUE!</v>
      </c>
      <c r="O540" t="e">
        <f t="shared" si="61"/>
        <v>#VALUE!</v>
      </c>
    </row>
    <row r="541" spans="9:15" x14ac:dyDescent="0.3">
      <c r="I541" t="e">
        <f t="shared" si="56"/>
        <v>#VALUE!</v>
      </c>
      <c r="J541" t="e">
        <f t="shared" si="57"/>
        <v>#VALUE!</v>
      </c>
      <c r="K541" t="e">
        <f t="shared" si="58"/>
        <v>#VALUE!</v>
      </c>
      <c r="M541" s="1">
        <f t="shared" si="59"/>
        <v>0</v>
      </c>
      <c r="N541" t="e">
        <f t="shared" si="60"/>
        <v>#VALUE!</v>
      </c>
      <c r="O541" t="e">
        <f t="shared" si="61"/>
        <v>#VALUE!</v>
      </c>
    </row>
    <row r="542" spans="9:15" x14ac:dyDescent="0.3">
      <c r="I542" t="e">
        <f t="shared" si="56"/>
        <v>#VALUE!</v>
      </c>
      <c r="J542" t="e">
        <f t="shared" si="57"/>
        <v>#VALUE!</v>
      </c>
      <c r="K542" t="e">
        <f t="shared" si="58"/>
        <v>#VALUE!</v>
      </c>
      <c r="M542" s="1">
        <f t="shared" si="59"/>
        <v>0</v>
      </c>
      <c r="N542" t="e">
        <f t="shared" si="60"/>
        <v>#VALUE!</v>
      </c>
      <c r="O542" t="e">
        <f t="shared" si="61"/>
        <v>#VALUE!</v>
      </c>
    </row>
    <row r="543" spans="9:15" x14ac:dyDescent="0.3">
      <c r="I543" t="e">
        <f t="shared" si="56"/>
        <v>#VALUE!</v>
      </c>
      <c r="J543" t="e">
        <f t="shared" si="57"/>
        <v>#VALUE!</v>
      </c>
      <c r="K543" t="e">
        <f t="shared" si="58"/>
        <v>#VALUE!</v>
      </c>
      <c r="M543" s="1">
        <f t="shared" si="59"/>
        <v>0</v>
      </c>
      <c r="N543" t="e">
        <f t="shared" si="60"/>
        <v>#VALUE!</v>
      </c>
      <c r="O543" t="e">
        <f t="shared" si="61"/>
        <v>#VALUE!</v>
      </c>
    </row>
    <row r="544" spans="9:15" x14ac:dyDescent="0.3">
      <c r="I544" t="e">
        <f t="shared" si="56"/>
        <v>#VALUE!</v>
      </c>
      <c r="J544" t="e">
        <f t="shared" si="57"/>
        <v>#VALUE!</v>
      </c>
      <c r="K544" t="e">
        <f t="shared" si="58"/>
        <v>#VALUE!</v>
      </c>
      <c r="M544" s="1">
        <f t="shared" si="59"/>
        <v>0</v>
      </c>
      <c r="N544" t="e">
        <f t="shared" si="60"/>
        <v>#VALUE!</v>
      </c>
      <c r="O544" t="e">
        <f t="shared" si="61"/>
        <v>#VALUE!</v>
      </c>
    </row>
    <row r="545" spans="9:15" x14ac:dyDescent="0.3">
      <c r="I545" t="e">
        <f t="shared" si="56"/>
        <v>#VALUE!</v>
      </c>
      <c r="J545" t="e">
        <f t="shared" si="57"/>
        <v>#VALUE!</v>
      </c>
      <c r="K545" t="e">
        <f t="shared" si="58"/>
        <v>#VALUE!</v>
      </c>
      <c r="M545" s="1">
        <f t="shared" si="59"/>
        <v>0</v>
      </c>
      <c r="N545" t="e">
        <f t="shared" si="60"/>
        <v>#VALUE!</v>
      </c>
      <c r="O545" t="e">
        <f t="shared" si="61"/>
        <v>#VALUE!</v>
      </c>
    </row>
    <row r="546" spans="9:15" x14ac:dyDescent="0.3">
      <c r="I546" t="e">
        <f t="shared" ref="I546:I591" si="62">RIGHT(C546,LEN(C546)-FIND(" ",C546,LEN(C546)-12))</f>
        <v>#VALUE!</v>
      </c>
      <c r="J546" t="e">
        <f t="shared" ref="J546:J591" si="63">RIGHT(C546,LEN(I546)/2)</f>
        <v>#VALUE!</v>
      </c>
      <c r="K546" t="e">
        <f t="shared" ref="K546:K591" si="64">LEFT(C546,FIND(" ",C546)-1)</f>
        <v>#VALUE!</v>
      </c>
      <c r="M546" s="1">
        <f t="shared" ref="M546:M591" si="65">B546</f>
        <v>0</v>
      </c>
      <c r="N546" t="e">
        <f t="shared" ref="N546:N591" si="66">VLOOKUP(J546,$R$1:$S$30,2,FALSE)</f>
        <v>#VALUE!</v>
      </c>
      <c r="O546" t="e">
        <f t="shared" ref="O546:O591" si="67">VLOOKUP(K546,$R$1:$S$30,2,FALSE)</f>
        <v>#VALUE!</v>
      </c>
    </row>
    <row r="547" spans="9:15" x14ac:dyDescent="0.3">
      <c r="I547" t="e">
        <f t="shared" si="62"/>
        <v>#VALUE!</v>
      </c>
      <c r="J547" t="e">
        <f t="shared" si="63"/>
        <v>#VALUE!</v>
      </c>
      <c r="K547" t="e">
        <f t="shared" si="64"/>
        <v>#VALUE!</v>
      </c>
      <c r="M547" s="1">
        <f t="shared" si="65"/>
        <v>0</v>
      </c>
      <c r="N547" t="e">
        <f t="shared" si="66"/>
        <v>#VALUE!</v>
      </c>
      <c r="O547" t="e">
        <f t="shared" si="67"/>
        <v>#VALUE!</v>
      </c>
    </row>
    <row r="548" spans="9:15" x14ac:dyDescent="0.3">
      <c r="I548" t="e">
        <f t="shared" si="62"/>
        <v>#VALUE!</v>
      </c>
      <c r="J548" t="e">
        <f t="shared" si="63"/>
        <v>#VALUE!</v>
      </c>
      <c r="K548" t="e">
        <f t="shared" si="64"/>
        <v>#VALUE!</v>
      </c>
      <c r="M548" s="1">
        <f t="shared" si="65"/>
        <v>0</v>
      </c>
      <c r="N548" t="e">
        <f t="shared" si="66"/>
        <v>#VALUE!</v>
      </c>
      <c r="O548" t="e">
        <f t="shared" si="67"/>
        <v>#VALUE!</v>
      </c>
    </row>
    <row r="549" spans="9:15" x14ac:dyDescent="0.3">
      <c r="I549" t="e">
        <f t="shared" si="62"/>
        <v>#VALUE!</v>
      </c>
      <c r="J549" t="e">
        <f t="shared" si="63"/>
        <v>#VALUE!</v>
      </c>
      <c r="K549" t="e">
        <f t="shared" si="64"/>
        <v>#VALUE!</v>
      </c>
      <c r="M549" s="1">
        <f t="shared" si="65"/>
        <v>0</v>
      </c>
      <c r="N549" t="e">
        <f t="shared" si="66"/>
        <v>#VALUE!</v>
      </c>
      <c r="O549" t="e">
        <f t="shared" si="67"/>
        <v>#VALUE!</v>
      </c>
    </row>
    <row r="550" spans="9:15" x14ac:dyDescent="0.3">
      <c r="I550" t="e">
        <f t="shared" si="62"/>
        <v>#VALUE!</v>
      </c>
      <c r="J550" t="e">
        <f t="shared" si="63"/>
        <v>#VALUE!</v>
      </c>
      <c r="K550" t="e">
        <f t="shared" si="64"/>
        <v>#VALUE!</v>
      </c>
      <c r="M550" s="1">
        <f t="shared" si="65"/>
        <v>0</v>
      </c>
      <c r="N550" t="e">
        <f t="shared" si="66"/>
        <v>#VALUE!</v>
      </c>
      <c r="O550" t="e">
        <f t="shared" si="67"/>
        <v>#VALUE!</v>
      </c>
    </row>
    <row r="551" spans="9:15" x14ac:dyDescent="0.3">
      <c r="I551" t="e">
        <f t="shared" si="62"/>
        <v>#VALUE!</v>
      </c>
      <c r="J551" t="e">
        <f t="shared" si="63"/>
        <v>#VALUE!</v>
      </c>
      <c r="K551" t="e">
        <f t="shared" si="64"/>
        <v>#VALUE!</v>
      </c>
      <c r="M551" s="1">
        <f t="shared" si="65"/>
        <v>0</v>
      </c>
      <c r="N551" t="e">
        <f t="shared" si="66"/>
        <v>#VALUE!</v>
      </c>
      <c r="O551" t="e">
        <f t="shared" si="67"/>
        <v>#VALUE!</v>
      </c>
    </row>
    <row r="552" spans="9:15" x14ac:dyDescent="0.3">
      <c r="I552" t="e">
        <f t="shared" si="62"/>
        <v>#VALUE!</v>
      </c>
      <c r="J552" t="e">
        <f t="shared" si="63"/>
        <v>#VALUE!</v>
      </c>
      <c r="K552" t="e">
        <f t="shared" si="64"/>
        <v>#VALUE!</v>
      </c>
      <c r="M552" s="1">
        <f t="shared" si="65"/>
        <v>0</v>
      </c>
      <c r="N552" t="e">
        <f t="shared" si="66"/>
        <v>#VALUE!</v>
      </c>
      <c r="O552" t="e">
        <f t="shared" si="67"/>
        <v>#VALUE!</v>
      </c>
    </row>
    <row r="553" spans="9:15" x14ac:dyDescent="0.3">
      <c r="I553" t="e">
        <f t="shared" si="62"/>
        <v>#VALUE!</v>
      </c>
      <c r="J553" t="e">
        <f t="shared" si="63"/>
        <v>#VALUE!</v>
      </c>
      <c r="K553" t="e">
        <f t="shared" si="64"/>
        <v>#VALUE!</v>
      </c>
      <c r="M553" s="1">
        <f t="shared" si="65"/>
        <v>0</v>
      </c>
      <c r="N553" t="e">
        <f t="shared" si="66"/>
        <v>#VALUE!</v>
      </c>
      <c r="O553" t="e">
        <f t="shared" si="67"/>
        <v>#VALUE!</v>
      </c>
    </row>
    <row r="554" spans="9:15" x14ac:dyDescent="0.3">
      <c r="I554" t="e">
        <f t="shared" si="62"/>
        <v>#VALUE!</v>
      </c>
      <c r="J554" t="e">
        <f t="shared" si="63"/>
        <v>#VALUE!</v>
      </c>
      <c r="K554" t="e">
        <f t="shared" si="64"/>
        <v>#VALUE!</v>
      </c>
      <c r="M554" s="1">
        <f t="shared" si="65"/>
        <v>0</v>
      </c>
      <c r="N554" t="e">
        <f t="shared" si="66"/>
        <v>#VALUE!</v>
      </c>
      <c r="O554" t="e">
        <f t="shared" si="67"/>
        <v>#VALUE!</v>
      </c>
    </row>
    <row r="555" spans="9:15" x14ac:dyDescent="0.3">
      <c r="I555" t="e">
        <f t="shared" si="62"/>
        <v>#VALUE!</v>
      </c>
      <c r="J555" t="e">
        <f t="shared" si="63"/>
        <v>#VALUE!</v>
      </c>
      <c r="K555" t="e">
        <f t="shared" si="64"/>
        <v>#VALUE!</v>
      </c>
      <c r="M555" s="1">
        <f t="shared" si="65"/>
        <v>0</v>
      </c>
      <c r="N555" t="e">
        <f t="shared" si="66"/>
        <v>#VALUE!</v>
      </c>
      <c r="O555" t="e">
        <f t="shared" si="67"/>
        <v>#VALUE!</v>
      </c>
    </row>
    <row r="556" spans="9:15" x14ac:dyDescent="0.3">
      <c r="I556" t="e">
        <f t="shared" si="62"/>
        <v>#VALUE!</v>
      </c>
      <c r="J556" t="e">
        <f t="shared" si="63"/>
        <v>#VALUE!</v>
      </c>
      <c r="K556" t="e">
        <f t="shared" si="64"/>
        <v>#VALUE!</v>
      </c>
      <c r="M556" s="1">
        <f t="shared" si="65"/>
        <v>0</v>
      </c>
      <c r="N556" t="e">
        <f t="shared" si="66"/>
        <v>#VALUE!</v>
      </c>
      <c r="O556" t="e">
        <f t="shared" si="67"/>
        <v>#VALUE!</v>
      </c>
    </row>
    <row r="557" spans="9:15" x14ac:dyDescent="0.3">
      <c r="I557" t="e">
        <f t="shared" si="62"/>
        <v>#VALUE!</v>
      </c>
      <c r="J557" t="e">
        <f t="shared" si="63"/>
        <v>#VALUE!</v>
      </c>
      <c r="K557" t="e">
        <f t="shared" si="64"/>
        <v>#VALUE!</v>
      </c>
      <c r="M557" s="1">
        <f t="shared" si="65"/>
        <v>0</v>
      </c>
      <c r="N557" t="e">
        <f t="shared" si="66"/>
        <v>#VALUE!</v>
      </c>
      <c r="O557" t="e">
        <f t="shared" si="67"/>
        <v>#VALUE!</v>
      </c>
    </row>
    <row r="558" spans="9:15" x14ac:dyDescent="0.3">
      <c r="I558" t="e">
        <f t="shared" si="62"/>
        <v>#VALUE!</v>
      </c>
      <c r="J558" t="e">
        <f t="shared" si="63"/>
        <v>#VALUE!</v>
      </c>
      <c r="K558" t="e">
        <f t="shared" si="64"/>
        <v>#VALUE!</v>
      </c>
      <c r="M558" s="1">
        <f t="shared" si="65"/>
        <v>0</v>
      </c>
      <c r="N558" t="e">
        <f t="shared" si="66"/>
        <v>#VALUE!</v>
      </c>
      <c r="O558" t="e">
        <f t="shared" si="67"/>
        <v>#VALUE!</v>
      </c>
    </row>
    <row r="559" spans="9:15" x14ac:dyDescent="0.3">
      <c r="I559" t="e">
        <f t="shared" si="62"/>
        <v>#VALUE!</v>
      </c>
      <c r="J559" t="e">
        <f t="shared" si="63"/>
        <v>#VALUE!</v>
      </c>
      <c r="K559" t="e">
        <f t="shared" si="64"/>
        <v>#VALUE!</v>
      </c>
      <c r="M559" s="1">
        <f t="shared" si="65"/>
        <v>0</v>
      </c>
      <c r="N559" t="e">
        <f t="shared" si="66"/>
        <v>#VALUE!</v>
      </c>
      <c r="O559" t="e">
        <f t="shared" si="67"/>
        <v>#VALUE!</v>
      </c>
    </row>
    <row r="560" spans="9:15" x14ac:dyDescent="0.3">
      <c r="I560" t="e">
        <f t="shared" si="62"/>
        <v>#VALUE!</v>
      </c>
      <c r="J560" t="e">
        <f t="shared" si="63"/>
        <v>#VALUE!</v>
      </c>
      <c r="K560" t="e">
        <f t="shared" si="64"/>
        <v>#VALUE!</v>
      </c>
      <c r="M560" s="1">
        <f t="shared" si="65"/>
        <v>0</v>
      </c>
      <c r="N560" t="e">
        <f t="shared" si="66"/>
        <v>#VALUE!</v>
      </c>
      <c r="O560" t="e">
        <f t="shared" si="67"/>
        <v>#VALUE!</v>
      </c>
    </row>
    <row r="561" spans="9:15" x14ac:dyDescent="0.3">
      <c r="I561" t="e">
        <f t="shared" si="62"/>
        <v>#VALUE!</v>
      </c>
      <c r="J561" t="e">
        <f t="shared" si="63"/>
        <v>#VALUE!</v>
      </c>
      <c r="K561" t="e">
        <f t="shared" si="64"/>
        <v>#VALUE!</v>
      </c>
      <c r="M561" s="1">
        <f t="shared" si="65"/>
        <v>0</v>
      </c>
      <c r="N561" t="e">
        <f t="shared" si="66"/>
        <v>#VALUE!</v>
      </c>
      <c r="O561" t="e">
        <f t="shared" si="67"/>
        <v>#VALUE!</v>
      </c>
    </row>
    <row r="562" spans="9:15" x14ac:dyDescent="0.3">
      <c r="I562" t="e">
        <f t="shared" si="62"/>
        <v>#VALUE!</v>
      </c>
      <c r="J562" t="e">
        <f t="shared" si="63"/>
        <v>#VALUE!</v>
      </c>
      <c r="K562" t="e">
        <f t="shared" si="64"/>
        <v>#VALUE!</v>
      </c>
      <c r="M562" s="1">
        <f t="shared" si="65"/>
        <v>0</v>
      </c>
      <c r="N562" t="e">
        <f t="shared" si="66"/>
        <v>#VALUE!</v>
      </c>
      <c r="O562" t="e">
        <f t="shared" si="67"/>
        <v>#VALUE!</v>
      </c>
    </row>
    <row r="563" spans="9:15" x14ac:dyDescent="0.3">
      <c r="I563" t="e">
        <f t="shared" si="62"/>
        <v>#VALUE!</v>
      </c>
      <c r="J563" t="e">
        <f t="shared" si="63"/>
        <v>#VALUE!</v>
      </c>
      <c r="K563" t="e">
        <f t="shared" si="64"/>
        <v>#VALUE!</v>
      </c>
      <c r="M563" s="1">
        <f t="shared" si="65"/>
        <v>0</v>
      </c>
      <c r="N563" t="e">
        <f t="shared" si="66"/>
        <v>#VALUE!</v>
      </c>
      <c r="O563" t="e">
        <f t="shared" si="67"/>
        <v>#VALUE!</v>
      </c>
    </row>
    <row r="564" spans="9:15" x14ac:dyDescent="0.3">
      <c r="I564" t="e">
        <f t="shared" si="62"/>
        <v>#VALUE!</v>
      </c>
      <c r="J564" t="e">
        <f t="shared" si="63"/>
        <v>#VALUE!</v>
      </c>
      <c r="K564" t="e">
        <f t="shared" si="64"/>
        <v>#VALUE!</v>
      </c>
      <c r="M564" s="1">
        <f t="shared" si="65"/>
        <v>0</v>
      </c>
      <c r="N564" t="e">
        <f t="shared" si="66"/>
        <v>#VALUE!</v>
      </c>
      <c r="O564" t="e">
        <f t="shared" si="67"/>
        <v>#VALUE!</v>
      </c>
    </row>
    <row r="565" spans="9:15" x14ac:dyDescent="0.3">
      <c r="I565" t="e">
        <f t="shared" si="62"/>
        <v>#VALUE!</v>
      </c>
      <c r="J565" t="e">
        <f t="shared" si="63"/>
        <v>#VALUE!</v>
      </c>
      <c r="K565" t="e">
        <f t="shared" si="64"/>
        <v>#VALUE!</v>
      </c>
      <c r="M565" s="1">
        <f t="shared" si="65"/>
        <v>0</v>
      </c>
      <c r="N565" t="e">
        <f t="shared" si="66"/>
        <v>#VALUE!</v>
      </c>
      <c r="O565" t="e">
        <f t="shared" si="67"/>
        <v>#VALUE!</v>
      </c>
    </row>
    <row r="566" spans="9:15" x14ac:dyDescent="0.3">
      <c r="I566" t="e">
        <f t="shared" si="62"/>
        <v>#VALUE!</v>
      </c>
      <c r="J566" t="e">
        <f t="shared" si="63"/>
        <v>#VALUE!</v>
      </c>
      <c r="K566" t="e">
        <f t="shared" si="64"/>
        <v>#VALUE!</v>
      </c>
      <c r="M566" s="1">
        <f t="shared" si="65"/>
        <v>0</v>
      </c>
      <c r="N566" t="e">
        <f t="shared" si="66"/>
        <v>#VALUE!</v>
      </c>
      <c r="O566" t="e">
        <f t="shared" si="67"/>
        <v>#VALUE!</v>
      </c>
    </row>
    <row r="567" spans="9:15" x14ac:dyDescent="0.3">
      <c r="I567" t="e">
        <f t="shared" si="62"/>
        <v>#VALUE!</v>
      </c>
      <c r="J567" t="e">
        <f t="shared" si="63"/>
        <v>#VALUE!</v>
      </c>
      <c r="K567" t="e">
        <f t="shared" si="64"/>
        <v>#VALUE!</v>
      </c>
      <c r="M567" s="1">
        <f t="shared" si="65"/>
        <v>0</v>
      </c>
      <c r="N567" t="e">
        <f t="shared" si="66"/>
        <v>#VALUE!</v>
      </c>
      <c r="O567" t="e">
        <f t="shared" si="67"/>
        <v>#VALUE!</v>
      </c>
    </row>
    <row r="568" spans="9:15" x14ac:dyDescent="0.3">
      <c r="I568" t="e">
        <f t="shared" si="62"/>
        <v>#VALUE!</v>
      </c>
      <c r="J568" t="e">
        <f t="shared" si="63"/>
        <v>#VALUE!</v>
      </c>
      <c r="K568" t="e">
        <f t="shared" si="64"/>
        <v>#VALUE!</v>
      </c>
      <c r="M568" s="1">
        <f t="shared" si="65"/>
        <v>0</v>
      </c>
      <c r="N568" t="e">
        <f t="shared" si="66"/>
        <v>#VALUE!</v>
      </c>
      <c r="O568" t="e">
        <f t="shared" si="67"/>
        <v>#VALUE!</v>
      </c>
    </row>
    <row r="569" spans="9:15" x14ac:dyDescent="0.3">
      <c r="I569" t="e">
        <f t="shared" si="62"/>
        <v>#VALUE!</v>
      </c>
      <c r="J569" t="e">
        <f t="shared" si="63"/>
        <v>#VALUE!</v>
      </c>
      <c r="K569" t="e">
        <f t="shared" si="64"/>
        <v>#VALUE!</v>
      </c>
      <c r="M569" s="1">
        <f t="shared" si="65"/>
        <v>0</v>
      </c>
      <c r="N569" t="e">
        <f t="shared" si="66"/>
        <v>#VALUE!</v>
      </c>
      <c r="O569" t="e">
        <f t="shared" si="67"/>
        <v>#VALUE!</v>
      </c>
    </row>
    <row r="570" spans="9:15" x14ac:dyDescent="0.3">
      <c r="I570" t="e">
        <f t="shared" si="62"/>
        <v>#VALUE!</v>
      </c>
      <c r="J570" t="e">
        <f t="shared" si="63"/>
        <v>#VALUE!</v>
      </c>
      <c r="K570" t="e">
        <f t="shared" si="64"/>
        <v>#VALUE!</v>
      </c>
      <c r="M570" s="1">
        <f t="shared" si="65"/>
        <v>0</v>
      </c>
      <c r="N570" t="e">
        <f t="shared" si="66"/>
        <v>#VALUE!</v>
      </c>
      <c r="O570" t="e">
        <f t="shared" si="67"/>
        <v>#VALUE!</v>
      </c>
    </row>
    <row r="571" spans="9:15" x14ac:dyDescent="0.3">
      <c r="I571" t="e">
        <f t="shared" si="62"/>
        <v>#VALUE!</v>
      </c>
      <c r="J571" t="e">
        <f t="shared" si="63"/>
        <v>#VALUE!</v>
      </c>
      <c r="K571" t="e">
        <f t="shared" si="64"/>
        <v>#VALUE!</v>
      </c>
      <c r="M571" s="1">
        <f t="shared" si="65"/>
        <v>0</v>
      </c>
      <c r="N571" t="e">
        <f t="shared" si="66"/>
        <v>#VALUE!</v>
      </c>
      <c r="O571" t="e">
        <f t="shared" si="67"/>
        <v>#VALUE!</v>
      </c>
    </row>
    <row r="572" spans="9:15" x14ac:dyDescent="0.3">
      <c r="I572" t="e">
        <f t="shared" si="62"/>
        <v>#VALUE!</v>
      </c>
      <c r="J572" t="e">
        <f t="shared" si="63"/>
        <v>#VALUE!</v>
      </c>
      <c r="K572" t="e">
        <f t="shared" si="64"/>
        <v>#VALUE!</v>
      </c>
      <c r="M572" s="1">
        <f t="shared" si="65"/>
        <v>0</v>
      </c>
      <c r="N572" t="e">
        <f t="shared" si="66"/>
        <v>#VALUE!</v>
      </c>
      <c r="O572" t="e">
        <f t="shared" si="67"/>
        <v>#VALUE!</v>
      </c>
    </row>
    <row r="573" spans="9:15" x14ac:dyDescent="0.3">
      <c r="I573" t="e">
        <f t="shared" si="62"/>
        <v>#VALUE!</v>
      </c>
      <c r="J573" t="e">
        <f t="shared" si="63"/>
        <v>#VALUE!</v>
      </c>
      <c r="K573" t="e">
        <f t="shared" si="64"/>
        <v>#VALUE!</v>
      </c>
      <c r="M573" s="1">
        <f t="shared" si="65"/>
        <v>0</v>
      </c>
      <c r="N573" t="e">
        <f t="shared" si="66"/>
        <v>#VALUE!</v>
      </c>
      <c r="O573" t="e">
        <f t="shared" si="67"/>
        <v>#VALUE!</v>
      </c>
    </row>
    <row r="574" spans="9:15" x14ac:dyDescent="0.3">
      <c r="I574" t="e">
        <f t="shared" si="62"/>
        <v>#VALUE!</v>
      </c>
      <c r="J574" t="e">
        <f t="shared" si="63"/>
        <v>#VALUE!</v>
      </c>
      <c r="K574" t="e">
        <f t="shared" si="64"/>
        <v>#VALUE!</v>
      </c>
      <c r="M574" s="1">
        <f t="shared" si="65"/>
        <v>0</v>
      </c>
      <c r="N574" t="e">
        <f t="shared" si="66"/>
        <v>#VALUE!</v>
      </c>
      <c r="O574" t="e">
        <f t="shared" si="67"/>
        <v>#VALUE!</v>
      </c>
    </row>
    <row r="575" spans="9:15" x14ac:dyDescent="0.3">
      <c r="I575" t="e">
        <f t="shared" si="62"/>
        <v>#VALUE!</v>
      </c>
      <c r="J575" t="e">
        <f t="shared" si="63"/>
        <v>#VALUE!</v>
      </c>
      <c r="K575" t="e">
        <f t="shared" si="64"/>
        <v>#VALUE!</v>
      </c>
      <c r="M575" s="1">
        <f t="shared" si="65"/>
        <v>0</v>
      </c>
      <c r="N575" t="e">
        <f t="shared" si="66"/>
        <v>#VALUE!</v>
      </c>
      <c r="O575" t="e">
        <f t="shared" si="67"/>
        <v>#VALUE!</v>
      </c>
    </row>
    <row r="576" spans="9:15" x14ac:dyDescent="0.3">
      <c r="I576" t="e">
        <f t="shared" si="62"/>
        <v>#VALUE!</v>
      </c>
      <c r="J576" t="e">
        <f t="shared" si="63"/>
        <v>#VALUE!</v>
      </c>
      <c r="K576" t="e">
        <f t="shared" si="64"/>
        <v>#VALUE!</v>
      </c>
      <c r="M576" s="1">
        <f t="shared" si="65"/>
        <v>0</v>
      </c>
      <c r="N576" t="e">
        <f t="shared" si="66"/>
        <v>#VALUE!</v>
      </c>
      <c r="O576" t="e">
        <f t="shared" si="67"/>
        <v>#VALUE!</v>
      </c>
    </row>
    <row r="577" spans="9:15" x14ac:dyDescent="0.3">
      <c r="I577" t="e">
        <f t="shared" si="62"/>
        <v>#VALUE!</v>
      </c>
      <c r="J577" t="e">
        <f t="shared" si="63"/>
        <v>#VALUE!</v>
      </c>
      <c r="K577" t="e">
        <f t="shared" si="64"/>
        <v>#VALUE!</v>
      </c>
      <c r="M577" s="1">
        <f t="shared" si="65"/>
        <v>0</v>
      </c>
      <c r="N577" t="e">
        <f t="shared" si="66"/>
        <v>#VALUE!</v>
      </c>
      <c r="O577" t="e">
        <f t="shared" si="67"/>
        <v>#VALUE!</v>
      </c>
    </row>
    <row r="578" spans="9:15" x14ac:dyDescent="0.3">
      <c r="I578" t="e">
        <f t="shared" si="62"/>
        <v>#VALUE!</v>
      </c>
      <c r="J578" t="e">
        <f t="shared" si="63"/>
        <v>#VALUE!</v>
      </c>
      <c r="K578" t="e">
        <f t="shared" si="64"/>
        <v>#VALUE!</v>
      </c>
      <c r="M578" s="1">
        <f t="shared" si="65"/>
        <v>0</v>
      </c>
      <c r="N578" t="e">
        <f t="shared" si="66"/>
        <v>#VALUE!</v>
      </c>
      <c r="O578" t="e">
        <f t="shared" si="67"/>
        <v>#VALUE!</v>
      </c>
    </row>
    <row r="579" spans="9:15" x14ac:dyDescent="0.3">
      <c r="I579" t="e">
        <f t="shared" si="62"/>
        <v>#VALUE!</v>
      </c>
      <c r="J579" t="e">
        <f t="shared" si="63"/>
        <v>#VALUE!</v>
      </c>
      <c r="K579" t="e">
        <f t="shared" si="64"/>
        <v>#VALUE!</v>
      </c>
      <c r="M579" s="1">
        <f t="shared" si="65"/>
        <v>0</v>
      </c>
      <c r="N579" t="e">
        <f t="shared" si="66"/>
        <v>#VALUE!</v>
      </c>
      <c r="O579" t="e">
        <f t="shared" si="67"/>
        <v>#VALUE!</v>
      </c>
    </row>
    <row r="580" spans="9:15" x14ac:dyDescent="0.3">
      <c r="I580" t="e">
        <f t="shared" si="62"/>
        <v>#VALUE!</v>
      </c>
      <c r="J580" t="e">
        <f t="shared" si="63"/>
        <v>#VALUE!</v>
      </c>
      <c r="K580" t="e">
        <f t="shared" si="64"/>
        <v>#VALUE!</v>
      </c>
      <c r="M580" s="1">
        <f t="shared" si="65"/>
        <v>0</v>
      </c>
      <c r="N580" t="e">
        <f t="shared" si="66"/>
        <v>#VALUE!</v>
      </c>
      <c r="O580" t="e">
        <f t="shared" si="67"/>
        <v>#VALUE!</v>
      </c>
    </row>
    <row r="581" spans="9:15" x14ac:dyDescent="0.3">
      <c r="I581" t="e">
        <f t="shared" si="62"/>
        <v>#VALUE!</v>
      </c>
      <c r="J581" t="e">
        <f t="shared" si="63"/>
        <v>#VALUE!</v>
      </c>
      <c r="K581" t="e">
        <f t="shared" si="64"/>
        <v>#VALUE!</v>
      </c>
      <c r="M581" s="1">
        <f t="shared" si="65"/>
        <v>0</v>
      </c>
      <c r="N581" t="e">
        <f t="shared" si="66"/>
        <v>#VALUE!</v>
      </c>
      <c r="O581" t="e">
        <f t="shared" si="67"/>
        <v>#VALUE!</v>
      </c>
    </row>
    <row r="582" spans="9:15" x14ac:dyDescent="0.3">
      <c r="I582" t="e">
        <f t="shared" si="62"/>
        <v>#VALUE!</v>
      </c>
      <c r="J582" t="e">
        <f t="shared" si="63"/>
        <v>#VALUE!</v>
      </c>
      <c r="K582" t="e">
        <f t="shared" si="64"/>
        <v>#VALUE!</v>
      </c>
      <c r="M582" s="1">
        <f t="shared" si="65"/>
        <v>0</v>
      </c>
      <c r="N582" t="e">
        <f t="shared" si="66"/>
        <v>#VALUE!</v>
      </c>
      <c r="O582" t="e">
        <f t="shared" si="67"/>
        <v>#VALUE!</v>
      </c>
    </row>
    <row r="583" spans="9:15" x14ac:dyDescent="0.3">
      <c r="I583" t="e">
        <f t="shared" si="62"/>
        <v>#VALUE!</v>
      </c>
      <c r="J583" t="e">
        <f t="shared" si="63"/>
        <v>#VALUE!</v>
      </c>
      <c r="K583" t="e">
        <f t="shared" si="64"/>
        <v>#VALUE!</v>
      </c>
      <c r="M583" s="1">
        <f t="shared" si="65"/>
        <v>0</v>
      </c>
      <c r="N583" t="e">
        <f t="shared" si="66"/>
        <v>#VALUE!</v>
      </c>
      <c r="O583" t="e">
        <f t="shared" si="67"/>
        <v>#VALUE!</v>
      </c>
    </row>
    <row r="584" spans="9:15" x14ac:dyDescent="0.3">
      <c r="I584" t="e">
        <f t="shared" si="62"/>
        <v>#VALUE!</v>
      </c>
      <c r="J584" t="e">
        <f t="shared" si="63"/>
        <v>#VALUE!</v>
      </c>
      <c r="K584" t="e">
        <f t="shared" si="64"/>
        <v>#VALUE!</v>
      </c>
      <c r="M584" s="1">
        <f t="shared" si="65"/>
        <v>0</v>
      </c>
      <c r="N584" t="e">
        <f t="shared" si="66"/>
        <v>#VALUE!</v>
      </c>
      <c r="O584" t="e">
        <f t="shared" si="67"/>
        <v>#VALUE!</v>
      </c>
    </row>
    <row r="585" spans="9:15" x14ac:dyDescent="0.3">
      <c r="I585" t="e">
        <f t="shared" si="62"/>
        <v>#VALUE!</v>
      </c>
      <c r="J585" t="e">
        <f t="shared" si="63"/>
        <v>#VALUE!</v>
      </c>
      <c r="K585" t="e">
        <f t="shared" si="64"/>
        <v>#VALUE!</v>
      </c>
      <c r="M585" s="1">
        <f t="shared" si="65"/>
        <v>0</v>
      </c>
      <c r="N585" t="e">
        <f t="shared" si="66"/>
        <v>#VALUE!</v>
      </c>
      <c r="O585" t="e">
        <f t="shared" si="67"/>
        <v>#VALUE!</v>
      </c>
    </row>
    <row r="586" spans="9:15" x14ac:dyDescent="0.3">
      <c r="I586" t="e">
        <f t="shared" si="62"/>
        <v>#VALUE!</v>
      </c>
      <c r="J586" t="e">
        <f t="shared" si="63"/>
        <v>#VALUE!</v>
      </c>
      <c r="K586" t="e">
        <f t="shared" si="64"/>
        <v>#VALUE!</v>
      </c>
      <c r="M586" s="1">
        <f t="shared" si="65"/>
        <v>0</v>
      </c>
      <c r="N586" t="e">
        <f t="shared" si="66"/>
        <v>#VALUE!</v>
      </c>
      <c r="O586" t="e">
        <f t="shared" si="67"/>
        <v>#VALUE!</v>
      </c>
    </row>
    <row r="587" spans="9:15" x14ac:dyDescent="0.3">
      <c r="I587" t="e">
        <f t="shared" si="62"/>
        <v>#VALUE!</v>
      </c>
      <c r="J587" t="e">
        <f t="shared" si="63"/>
        <v>#VALUE!</v>
      </c>
      <c r="K587" t="e">
        <f t="shared" si="64"/>
        <v>#VALUE!</v>
      </c>
      <c r="M587" s="1">
        <f t="shared" si="65"/>
        <v>0</v>
      </c>
      <c r="N587" t="e">
        <f t="shared" si="66"/>
        <v>#VALUE!</v>
      </c>
      <c r="O587" t="e">
        <f t="shared" si="67"/>
        <v>#VALUE!</v>
      </c>
    </row>
    <row r="588" spans="9:15" x14ac:dyDescent="0.3">
      <c r="I588" t="e">
        <f t="shared" si="62"/>
        <v>#VALUE!</v>
      </c>
      <c r="J588" t="e">
        <f t="shared" si="63"/>
        <v>#VALUE!</v>
      </c>
      <c r="K588" t="e">
        <f t="shared" si="64"/>
        <v>#VALUE!</v>
      </c>
      <c r="M588" s="1">
        <f t="shared" si="65"/>
        <v>0</v>
      </c>
      <c r="N588" t="e">
        <f t="shared" si="66"/>
        <v>#VALUE!</v>
      </c>
      <c r="O588" t="e">
        <f t="shared" si="67"/>
        <v>#VALUE!</v>
      </c>
    </row>
    <row r="589" spans="9:15" x14ac:dyDescent="0.3">
      <c r="I589" t="e">
        <f t="shared" si="62"/>
        <v>#VALUE!</v>
      </c>
      <c r="J589" t="e">
        <f t="shared" si="63"/>
        <v>#VALUE!</v>
      </c>
      <c r="K589" t="e">
        <f t="shared" si="64"/>
        <v>#VALUE!</v>
      </c>
      <c r="M589" s="1">
        <f t="shared" si="65"/>
        <v>0</v>
      </c>
      <c r="N589" t="e">
        <f t="shared" si="66"/>
        <v>#VALUE!</v>
      </c>
      <c r="O589" t="e">
        <f t="shared" si="67"/>
        <v>#VALUE!</v>
      </c>
    </row>
    <row r="590" spans="9:15" x14ac:dyDescent="0.3">
      <c r="I590" t="e">
        <f t="shared" si="62"/>
        <v>#VALUE!</v>
      </c>
      <c r="J590" t="e">
        <f t="shared" si="63"/>
        <v>#VALUE!</v>
      </c>
      <c r="K590" t="e">
        <f t="shared" si="64"/>
        <v>#VALUE!</v>
      </c>
      <c r="M590" s="1">
        <f t="shared" si="65"/>
        <v>0</v>
      </c>
      <c r="N590" t="e">
        <f t="shared" si="66"/>
        <v>#VALUE!</v>
      </c>
      <c r="O590" t="e">
        <f t="shared" si="67"/>
        <v>#VALUE!</v>
      </c>
    </row>
    <row r="591" spans="9:15" x14ac:dyDescent="0.3">
      <c r="I591" t="e">
        <f t="shared" si="62"/>
        <v>#VALUE!</v>
      </c>
      <c r="J591" t="e">
        <f t="shared" si="63"/>
        <v>#VALUE!</v>
      </c>
      <c r="K591" t="e">
        <f t="shared" si="64"/>
        <v>#VALUE!</v>
      </c>
      <c r="M591" s="1">
        <f t="shared" si="65"/>
        <v>0</v>
      </c>
      <c r="N591" t="e">
        <f t="shared" si="66"/>
        <v>#VALUE!</v>
      </c>
      <c r="O591" t="e">
        <f t="shared" si="67"/>
        <v>#VALUE!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125"/>
  <sheetViews>
    <sheetView topLeftCell="A75" workbookViewId="0">
      <selection activeCell="B75" sqref="B75"/>
    </sheetView>
  </sheetViews>
  <sheetFormatPr defaultRowHeight="16.5" x14ac:dyDescent="0.3"/>
  <sheetData>
    <row r="1" spans="1:11" x14ac:dyDescent="0.3">
      <c r="A1" t="s">
        <v>37</v>
      </c>
      <c r="B1">
        <v>93</v>
      </c>
      <c r="C1" t="s">
        <v>1</v>
      </c>
    </row>
    <row r="2" spans="1:11" x14ac:dyDescent="0.3">
      <c r="A2" t="s">
        <v>30</v>
      </c>
      <c r="B2">
        <v>114</v>
      </c>
    </row>
    <row r="3" spans="1:11" x14ac:dyDescent="0.3">
      <c r="B3">
        <v>1</v>
      </c>
      <c r="C3">
        <v>2</v>
      </c>
      <c r="D3">
        <v>3</v>
      </c>
      <c r="E3">
        <v>4</v>
      </c>
    </row>
    <row r="4" spans="1:11" x14ac:dyDescent="0.3">
      <c r="A4" t="s">
        <v>39</v>
      </c>
      <c r="B4">
        <v>26</v>
      </c>
      <c r="C4">
        <v>22</v>
      </c>
      <c r="D4">
        <v>21</v>
      </c>
      <c r="E4">
        <v>24</v>
      </c>
    </row>
    <row r="5" spans="1:11" x14ac:dyDescent="0.3">
      <c r="A5" t="s">
        <v>32</v>
      </c>
      <c r="B5">
        <v>28</v>
      </c>
      <c r="C5">
        <v>32</v>
      </c>
      <c r="D5">
        <v>31</v>
      </c>
      <c r="E5">
        <v>23</v>
      </c>
      <c r="G5">
        <f>B4</f>
        <v>26</v>
      </c>
      <c r="H5">
        <f t="shared" ref="H5:J5" si="0">C4</f>
        <v>22</v>
      </c>
      <c r="I5">
        <f t="shared" si="0"/>
        <v>21</v>
      </c>
      <c r="J5">
        <f t="shared" si="0"/>
        <v>24</v>
      </c>
      <c r="K5" t="str">
        <f>IF(F4="","",F4)</f>
        <v/>
      </c>
    </row>
    <row r="7" spans="1:11" x14ac:dyDescent="0.3">
      <c r="A7" t="s">
        <v>5</v>
      </c>
    </row>
    <row r="9" spans="1:11" x14ac:dyDescent="0.3">
      <c r="A9" t="s">
        <v>6</v>
      </c>
      <c r="B9" t="s">
        <v>34</v>
      </c>
      <c r="C9">
        <v>26</v>
      </c>
    </row>
    <row r="10" spans="1:11" x14ac:dyDescent="0.3">
      <c r="A10" t="s">
        <v>8</v>
      </c>
      <c r="B10" t="s">
        <v>79</v>
      </c>
      <c r="C10">
        <v>18</v>
      </c>
    </row>
    <row r="11" spans="1:11" x14ac:dyDescent="0.3">
      <c r="A11" t="s">
        <v>70</v>
      </c>
      <c r="B11">
        <v>107</v>
      </c>
      <c r="C11" t="s">
        <v>1</v>
      </c>
    </row>
    <row r="12" spans="1:11" x14ac:dyDescent="0.3">
      <c r="A12" t="s">
        <v>26</v>
      </c>
      <c r="B12">
        <v>114</v>
      </c>
    </row>
    <row r="13" spans="1:11" x14ac:dyDescent="0.3">
      <c r="B13">
        <v>1</v>
      </c>
      <c r="C13">
        <v>2</v>
      </c>
      <c r="D13">
        <v>3</v>
      </c>
      <c r="E13">
        <v>4</v>
      </c>
    </row>
    <row r="14" spans="1:11" x14ac:dyDescent="0.3">
      <c r="A14" t="s">
        <v>71</v>
      </c>
      <c r="B14">
        <v>27</v>
      </c>
      <c r="C14">
        <v>24</v>
      </c>
      <c r="D14">
        <v>36</v>
      </c>
      <c r="E14">
        <v>20</v>
      </c>
    </row>
    <row r="15" spans="1:11" x14ac:dyDescent="0.3">
      <c r="A15" t="s">
        <v>28</v>
      </c>
      <c r="B15">
        <v>25</v>
      </c>
      <c r="C15">
        <v>30</v>
      </c>
      <c r="D15">
        <v>26</v>
      </c>
      <c r="E15">
        <v>33</v>
      </c>
      <c r="G15">
        <f>B14</f>
        <v>27</v>
      </c>
      <c r="H15">
        <f t="shared" ref="H15:J15" si="1">C14</f>
        <v>24</v>
      </c>
      <c r="I15">
        <f t="shared" si="1"/>
        <v>36</v>
      </c>
      <c r="J15">
        <f t="shared" si="1"/>
        <v>20</v>
      </c>
      <c r="K15" t="str">
        <f>IF(F14="","",F14)</f>
        <v/>
      </c>
    </row>
    <row r="17" spans="1:11" x14ac:dyDescent="0.3">
      <c r="A17" t="s">
        <v>5</v>
      </c>
    </row>
    <row r="19" spans="1:11" x14ac:dyDescent="0.3">
      <c r="A19" t="s">
        <v>6</v>
      </c>
      <c r="B19" t="s">
        <v>410</v>
      </c>
      <c r="C19">
        <v>33</v>
      </c>
    </row>
    <row r="20" spans="1:11" x14ac:dyDescent="0.3">
      <c r="A20" t="s">
        <v>8</v>
      </c>
      <c r="B20" t="s">
        <v>411</v>
      </c>
      <c r="C20">
        <v>15</v>
      </c>
    </row>
    <row r="21" spans="1:11" x14ac:dyDescent="0.3">
      <c r="A21" t="s">
        <v>72</v>
      </c>
      <c r="B21">
        <v>100</v>
      </c>
      <c r="C21" t="s">
        <v>1</v>
      </c>
    </row>
    <row r="22" spans="1:11" x14ac:dyDescent="0.3">
      <c r="A22" t="s">
        <v>31</v>
      </c>
      <c r="B22">
        <v>109</v>
      </c>
    </row>
    <row r="23" spans="1:11" x14ac:dyDescent="0.3">
      <c r="B23">
        <v>1</v>
      </c>
      <c r="C23">
        <v>2</v>
      </c>
      <c r="D23">
        <v>3</v>
      </c>
      <c r="E23">
        <v>4</v>
      </c>
    </row>
    <row r="24" spans="1:11" x14ac:dyDescent="0.3">
      <c r="A24" t="s">
        <v>73</v>
      </c>
      <c r="B24">
        <v>20</v>
      </c>
      <c r="C24">
        <v>31</v>
      </c>
      <c r="D24">
        <v>24</v>
      </c>
      <c r="E24">
        <v>25</v>
      </c>
    </row>
    <row r="25" spans="1:11" x14ac:dyDescent="0.3">
      <c r="A25" t="s">
        <v>33</v>
      </c>
      <c r="B25">
        <v>33</v>
      </c>
      <c r="C25">
        <v>28</v>
      </c>
      <c r="D25">
        <v>21</v>
      </c>
      <c r="E25">
        <v>27</v>
      </c>
      <c r="G25">
        <f>B24</f>
        <v>20</v>
      </c>
      <c r="H25">
        <f t="shared" ref="H25:J25" si="2">C24</f>
        <v>31</v>
      </c>
      <c r="I25">
        <f t="shared" si="2"/>
        <v>24</v>
      </c>
      <c r="J25">
        <f t="shared" si="2"/>
        <v>25</v>
      </c>
      <c r="K25" t="str">
        <f>IF(F24="","",F24)</f>
        <v/>
      </c>
    </row>
    <row r="27" spans="1:11" x14ac:dyDescent="0.3">
      <c r="A27" t="s">
        <v>5</v>
      </c>
    </row>
    <row r="29" spans="1:11" x14ac:dyDescent="0.3">
      <c r="A29" t="s">
        <v>6</v>
      </c>
      <c r="B29" t="s">
        <v>404</v>
      </c>
      <c r="C29">
        <v>28</v>
      </c>
    </row>
    <row r="30" spans="1:11" x14ac:dyDescent="0.3">
      <c r="A30" t="s">
        <v>8</v>
      </c>
      <c r="B30" t="s">
        <v>35</v>
      </c>
      <c r="C30">
        <v>10</v>
      </c>
    </row>
    <row r="31" spans="1:11" x14ac:dyDescent="0.3">
      <c r="A31" t="s">
        <v>10</v>
      </c>
      <c r="B31">
        <v>102</v>
      </c>
      <c r="C31" t="s">
        <v>1</v>
      </c>
    </row>
    <row r="32" spans="1:11" x14ac:dyDescent="0.3">
      <c r="A32" t="s">
        <v>50</v>
      </c>
      <c r="B32">
        <v>106</v>
      </c>
    </row>
    <row r="33" spans="1:11" x14ac:dyDescent="0.3">
      <c r="B33">
        <v>1</v>
      </c>
      <c r="C33">
        <v>2</v>
      </c>
      <c r="D33">
        <v>3</v>
      </c>
      <c r="E33">
        <v>4</v>
      </c>
    </row>
    <row r="34" spans="1:11" x14ac:dyDescent="0.3">
      <c r="A34" t="s">
        <v>12</v>
      </c>
      <c r="B34">
        <v>16</v>
      </c>
      <c r="C34">
        <v>28</v>
      </c>
      <c r="D34">
        <v>37</v>
      </c>
      <c r="E34">
        <v>21</v>
      </c>
    </row>
    <row r="35" spans="1:11" x14ac:dyDescent="0.3">
      <c r="A35" t="s">
        <v>52</v>
      </c>
      <c r="B35">
        <v>31</v>
      </c>
      <c r="C35">
        <v>25</v>
      </c>
      <c r="D35">
        <v>22</v>
      </c>
      <c r="E35">
        <v>28</v>
      </c>
      <c r="G35">
        <f>B34</f>
        <v>16</v>
      </c>
      <c r="H35">
        <f t="shared" ref="H35:J35" si="3">C34</f>
        <v>28</v>
      </c>
      <c r="I35">
        <f t="shared" si="3"/>
        <v>37</v>
      </c>
      <c r="J35">
        <f t="shared" si="3"/>
        <v>21</v>
      </c>
      <c r="K35" t="str">
        <f>IF(F34="","",F34)</f>
        <v/>
      </c>
    </row>
    <row r="37" spans="1:11" x14ac:dyDescent="0.3">
      <c r="A37" t="s">
        <v>5</v>
      </c>
    </row>
    <row r="39" spans="1:11" x14ac:dyDescent="0.3">
      <c r="A39" t="s">
        <v>6</v>
      </c>
      <c r="B39" t="s">
        <v>172</v>
      </c>
      <c r="C39">
        <v>25</v>
      </c>
    </row>
    <row r="40" spans="1:11" x14ac:dyDescent="0.3">
      <c r="A40" t="s">
        <v>8</v>
      </c>
      <c r="B40" t="s">
        <v>405</v>
      </c>
      <c r="C40">
        <v>10</v>
      </c>
    </row>
    <row r="41" spans="1:11" x14ac:dyDescent="0.3">
      <c r="A41" t="s">
        <v>14</v>
      </c>
      <c r="B41">
        <v>105</v>
      </c>
      <c r="C41" t="s">
        <v>1</v>
      </c>
    </row>
    <row r="42" spans="1:11" x14ac:dyDescent="0.3">
      <c r="A42" t="s">
        <v>66</v>
      </c>
      <c r="B42">
        <v>119</v>
      </c>
    </row>
    <row r="43" spans="1:11" x14ac:dyDescent="0.3">
      <c r="B43">
        <v>1</v>
      </c>
      <c r="C43">
        <v>2</v>
      </c>
      <c r="D43">
        <v>3</v>
      </c>
      <c r="E43">
        <v>4</v>
      </c>
    </row>
    <row r="44" spans="1:11" x14ac:dyDescent="0.3">
      <c r="A44" t="s">
        <v>16</v>
      </c>
      <c r="B44">
        <v>32</v>
      </c>
      <c r="C44">
        <v>25</v>
      </c>
      <c r="D44">
        <v>22</v>
      </c>
      <c r="E44">
        <v>26</v>
      </c>
    </row>
    <row r="45" spans="1:11" x14ac:dyDescent="0.3">
      <c r="A45" t="s">
        <v>68</v>
      </c>
      <c r="B45">
        <v>30</v>
      </c>
      <c r="C45">
        <v>38</v>
      </c>
      <c r="D45">
        <v>24</v>
      </c>
      <c r="E45">
        <v>27</v>
      </c>
      <c r="G45">
        <f>B44</f>
        <v>32</v>
      </c>
      <c r="H45">
        <f t="shared" ref="H45:J45" si="4">C44</f>
        <v>25</v>
      </c>
      <c r="I45">
        <f t="shared" si="4"/>
        <v>22</v>
      </c>
      <c r="J45">
        <f t="shared" si="4"/>
        <v>26</v>
      </c>
      <c r="K45" t="str">
        <f>IF(F44="","",F44)</f>
        <v/>
      </c>
    </row>
    <row r="47" spans="1:11" x14ac:dyDescent="0.3">
      <c r="A47" t="s">
        <v>5</v>
      </c>
    </row>
    <row r="49" spans="1:11" x14ac:dyDescent="0.3">
      <c r="A49" t="s">
        <v>6</v>
      </c>
      <c r="B49" t="s">
        <v>173</v>
      </c>
      <c r="C49">
        <v>23</v>
      </c>
    </row>
    <row r="50" spans="1:11" x14ac:dyDescent="0.3">
      <c r="A50" t="s">
        <v>8</v>
      </c>
      <c r="B50" t="s">
        <v>34</v>
      </c>
      <c r="C50">
        <v>9</v>
      </c>
    </row>
    <row r="51" spans="1:11" x14ac:dyDescent="0.3">
      <c r="A51" t="s">
        <v>75</v>
      </c>
      <c r="B51">
        <v>114</v>
      </c>
      <c r="C51" t="s">
        <v>1</v>
      </c>
    </row>
    <row r="52" spans="1:11" x14ac:dyDescent="0.3">
      <c r="A52" t="s">
        <v>20</v>
      </c>
      <c r="B52">
        <v>129</v>
      </c>
    </row>
    <row r="53" spans="1:11" x14ac:dyDescent="0.3">
      <c r="B53">
        <v>1</v>
      </c>
      <c r="C53">
        <v>2</v>
      </c>
      <c r="D53">
        <v>3</v>
      </c>
      <c r="E53">
        <v>4</v>
      </c>
    </row>
    <row r="54" spans="1:11" x14ac:dyDescent="0.3">
      <c r="A54" t="s">
        <v>76</v>
      </c>
      <c r="B54">
        <v>20</v>
      </c>
      <c r="C54">
        <v>27</v>
      </c>
      <c r="D54">
        <v>27</v>
      </c>
      <c r="E54">
        <v>40</v>
      </c>
    </row>
    <row r="55" spans="1:11" x14ac:dyDescent="0.3">
      <c r="A55" t="s">
        <v>22</v>
      </c>
      <c r="B55">
        <v>39</v>
      </c>
      <c r="C55">
        <v>31</v>
      </c>
      <c r="D55">
        <v>28</v>
      </c>
      <c r="E55">
        <v>31</v>
      </c>
      <c r="G55">
        <f>B54</f>
        <v>20</v>
      </c>
      <c r="H55">
        <f t="shared" ref="H55:J55" si="5">C54</f>
        <v>27</v>
      </c>
      <c r="I55">
        <f t="shared" si="5"/>
        <v>27</v>
      </c>
      <c r="J55">
        <f t="shared" si="5"/>
        <v>40</v>
      </c>
      <c r="K55" t="str">
        <f>IF(F54="","",F54)</f>
        <v/>
      </c>
    </row>
    <row r="57" spans="1:11" x14ac:dyDescent="0.3">
      <c r="A57" t="s">
        <v>5</v>
      </c>
    </row>
    <row r="59" spans="1:11" x14ac:dyDescent="0.3">
      <c r="A59" t="s">
        <v>6</v>
      </c>
      <c r="B59" t="s">
        <v>412</v>
      </c>
      <c r="C59">
        <v>30</v>
      </c>
    </row>
    <row r="60" spans="1:11" x14ac:dyDescent="0.3">
      <c r="A60" t="s">
        <v>8</v>
      </c>
      <c r="B60" t="s">
        <v>413</v>
      </c>
      <c r="C60">
        <v>13</v>
      </c>
    </row>
    <row r="61" spans="1:11" x14ac:dyDescent="0.3">
      <c r="A61" t="s">
        <v>11</v>
      </c>
      <c r="B61">
        <v>108</v>
      </c>
      <c r="C61" t="s">
        <v>1</v>
      </c>
    </row>
    <row r="62" spans="1:11" x14ac:dyDescent="0.3">
      <c r="A62" t="s">
        <v>44</v>
      </c>
      <c r="B62">
        <v>126</v>
      </c>
    </row>
    <row r="63" spans="1:11" x14ac:dyDescent="0.3">
      <c r="B63">
        <v>1</v>
      </c>
      <c r="C63">
        <v>2</v>
      </c>
      <c r="D63">
        <v>3</v>
      </c>
      <c r="E63">
        <v>4</v>
      </c>
    </row>
    <row r="64" spans="1:11" x14ac:dyDescent="0.3">
      <c r="A64" t="s">
        <v>13</v>
      </c>
      <c r="B64">
        <v>23</v>
      </c>
      <c r="C64">
        <v>27</v>
      </c>
      <c r="D64">
        <v>41</v>
      </c>
      <c r="E64">
        <v>17</v>
      </c>
    </row>
    <row r="65" spans="1:11" x14ac:dyDescent="0.3">
      <c r="A65" t="s">
        <v>46</v>
      </c>
      <c r="B65">
        <v>26</v>
      </c>
      <c r="C65">
        <v>31</v>
      </c>
      <c r="D65">
        <v>44</v>
      </c>
      <c r="E65">
        <v>25</v>
      </c>
      <c r="G65">
        <f>B64</f>
        <v>23</v>
      </c>
      <c r="H65">
        <f t="shared" ref="H65:J65" si="6">C64</f>
        <v>27</v>
      </c>
      <c r="I65">
        <f t="shared" si="6"/>
        <v>41</v>
      </c>
      <c r="J65">
        <f t="shared" si="6"/>
        <v>17</v>
      </c>
      <c r="K65" t="str">
        <f>IF(F64="","",F64)</f>
        <v/>
      </c>
    </row>
    <row r="67" spans="1:11" x14ac:dyDescent="0.3">
      <c r="A67" t="s">
        <v>5</v>
      </c>
    </row>
    <row r="69" spans="1:11" x14ac:dyDescent="0.3">
      <c r="A69" t="s">
        <v>6</v>
      </c>
      <c r="B69" t="s">
        <v>414</v>
      </c>
      <c r="C69">
        <v>32</v>
      </c>
    </row>
    <row r="70" spans="1:11" x14ac:dyDescent="0.3">
      <c r="A70" t="s">
        <v>8</v>
      </c>
      <c r="B70" t="s">
        <v>34</v>
      </c>
      <c r="C70">
        <v>9</v>
      </c>
    </row>
    <row r="71" spans="1:11" x14ac:dyDescent="0.3">
      <c r="A71" t="s">
        <v>27</v>
      </c>
      <c r="B71">
        <v>117</v>
      </c>
      <c r="C71" t="s">
        <v>1</v>
      </c>
    </row>
    <row r="72" spans="1:11" x14ac:dyDescent="0.3">
      <c r="A72" t="s">
        <v>406</v>
      </c>
      <c r="B72">
        <v>98</v>
      </c>
    </row>
    <row r="73" spans="1:11" x14ac:dyDescent="0.3">
      <c r="B73">
        <v>1</v>
      </c>
      <c r="C73">
        <v>2</v>
      </c>
      <c r="D73">
        <v>3</v>
      </c>
      <c r="E73">
        <v>4</v>
      </c>
    </row>
    <row r="74" spans="1:11" x14ac:dyDescent="0.3">
      <c r="A74" t="s">
        <v>29</v>
      </c>
      <c r="B74">
        <v>35</v>
      </c>
      <c r="C74">
        <v>28</v>
      </c>
      <c r="D74">
        <v>25</v>
      </c>
      <c r="E74">
        <v>29</v>
      </c>
    </row>
    <row r="75" spans="1:11" x14ac:dyDescent="0.3">
      <c r="A75" t="s">
        <v>407</v>
      </c>
      <c r="B75">
        <v>28</v>
      </c>
      <c r="C75">
        <v>29</v>
      </c>
      <c r="D75">
        <v>20</v>
      </c>
      <c r="E75">
        <v>21</v>
      </c>
      <c r="G75">
        <f>B74</f>
        <v>35</v>
      </c>
      <c r="H75">
        <f t="shared" ref="H75:J75" si="7">C74</f>
        <v>28</v>
      </c>
      <c r="I75">
        <f t="shared" si="7"/>
        <v>25</v>
      </c>
      <c r="J75">
        <f t="shared" si="7"/>
        <v>29</v>
      </c>
      <c r="K75" t="str">
        <f>IF(F74="","",F74)</f>
        <v/>
      </c>
    </row>
    <row r="77" spans="1:11" x14ac:dyDescent="0.3">
      <c r="A77" t="s">
        <v>5</v>
      </c>
    </row>
    <row r="79" spans="1:11" x14ac:dyDescent="0.3">
      <c r="A79" t="s">
        <v>6</v>
      </c>
      <c r="B79" t="s">
        <v>408</v>
      </c>
      <c r="C79">
        <v>33</v>
      </c>
    </row>
    <row r="80" spans="1:11" x14ac:dyDescent="0.3">
      <c r="A80" t="s">
        <v>8</v>
      </c>
      <c r="B80" t="s">
        <v>415</v>
      </c>
      <c r="C80">
        <v>18</v>
      </c>
    </row>
    <row r="81" spans="1:11" x14ac:dyDescent="0.3">
      <c r="A81" t="s">
        <v>65</v>
      </c>
      <c r="B81">
        <v>103</v>
      </c>
      <c r="C81" t="s">
        <v>1</v>
      </c>
    </row>
    <row r="82" spans="1:11" x14ac:dyDescent="0.3">
      <c r="A82" t="s">
        <v>0</v>
      </c>
      <c r="B82">
        <v>118</v>
      </c>
    </row>
    <row r="83" spans="1:11" x14ac:dyDescent="0.3">
      <c r="B83">
        <v>1</v>
      </c>
      <c r="C83">
        <v>2</v>
      </c>
      <c r="D83">
        <v>3</v>
      </c>
      <c r="E83">
        <v>4</v>
      </c>
    </row>
    <row r="84" spans="1:11" x14ac:dyDescent="0.3">
      <c r="A84" t="s">
        <v>67</v>
      </c>
      <c r="B84">
        <v>13</v>
      </c>
      <c r="C84">
        <v>31</v>
      </c>
      <c r="D84">
        <v>31</v>
      </c>
      <c r="E84">
        <v>28</v>
      </c>
    </row>
    <row r="85" spans="1:11" x14ac:dyDescent="0.3">
      <c r="A85" t="s">
        <v>3</v>
      </c>
      <c r="B85">
        <v>31</v>
      </c>
      <c r="C85">
        <v>26</v>
      </c>
      <c r="D85">
        <v>36</v>
      </c>
      <c r="E85">
        <v>25</v>
      </c>
      <c r="G85">
        <f>B84</f>
        <v>13</v>
      </c>
      <c r="H85">
        <f t="shared" ref="H85:J85" si="8">C84</f>
        <v>31</v>
      </c>
      <c r="I85">
        <f t="shared" si="8"/>
        <v>31</v>
      </c>
      <c r="J85">
        <f t="shared" si="8"/>
        <v>28</v>
      </c>
      <c r="K85" t="str">
        <f>IF(F84="","",F84)</f>
        <v/>
      </c>
    </row>
    <row r="87" spans="1:11" x14ac:dyDescent="0.3">
      <c r="A87" t="s">
        <v>5</v>
      </c>
    </row>
    <row r="89" spans="1:11" x14ac:dyDescent="0.3">
      <c r="A89" t="s">
        <v>6</v>
      </c>
      <c r="B89" t="s">
        <v>409</v>
      </c>
      <c r="C89">
        <v>36</v>
      </c>
    </row>
    <row r="90" spans="1:11" x14ac:dyDescent="0.3">
      <c r="A90" t="s">
        <v>8</v>
      </c>
      <c r="B90" t="s">
        <v>80</v>
      </c>
      <c r="C90">
        <v>17</v>
      </c>
    </row>
    <row r="91" spans="1:11" x14ac:dyDescent="0.3">
      <c r="A91" t="s">
        <v>57</v>
      </c>
      <c r="B91">
        <v>118</v>
      </c>
      <c r="C91" t="s">
        <v>1</v>
      </c>
    </row>
    <row r="92" spans="1:11" x14ac:dyDescent="0.3">
      <c r="A92" t="s">
        <v>60</v>
      </c>
      <c r="B92">
        <v>122</v>
      </c>
    </row>
    <row r="93" spans="1:11" x14ac:dyDescent="0.3">
      <c r="B93">
        <v>1</v>
      </c>
      <c r="C93">
        <v>2</v>
      </c>
      <c r="D93">
        <v>3</v>
      </c>
      <c r="E93">
        <v>4</v>
      </c>
    </row>
    <row r="94" spans="1:11" x14ac:dyDescent="0.3">
      <c r="A94" t="s">
        <v>59</v>
      </c>
      <c r="B94">
        <v>23</v>
      </c>
      <c r="C94">
        <v>29</v>
      </c>
      <c r="D94">
        <v>33</v>
      </c>
      <c r="E94">
        <v>33</v>
      </c>
    </row>
    <row r="95" spans="1:11" x14ac:dyDescent="0.3">
      <c r="A95" t="s">
        <v>61</v>
      </c>
      <c r="B95">
        <v>40</v>
      </c>
      <c r="C95">
        <v>28</v>
      </c>
      <c r="D95">
        <v>28</v>
      </c>
      <c r="E95">
        <v>26</v>
      </c>
      <c r="G95">
        <f>B94</f>
        <v>23</v>
      </c>
      <c r="H95">
        <f t="shared" ref="H95:J95" si="9">C94</f>
        <v>29</v>
      </c>
      <c r="I95">
        <f t="shared" si="9"/>
        <v>33</v>
      </c>
      <c r="J95">
        <f t="shared" si="9"/>
        <v>33</v>
      </c>
      <c r="K95" t="str">
        <f>IF(F94="","",F94)</f>
        <v/>
      </c>
    </row>
    <row r="97" spans="1:11" x14ac:dyDescent="0.3">
      <c r="A97" t="s">
        <v>5</v>
      </c>
    </row>
    <row r="99" spans="1:11" x14ac:dyDescent="0.3">
      <c r="A99" t="s">
        <v>6</v>
      </c>
      <c r="B99" t="s">
        <v>416</v>
      </c>
      <c r="C99">
        <v>37</v>
      </c>
    </row>
    <row r="100" spans="1:11" x14ac:dyDescent="0.3">
      <c r="A100" t="s">
        <v>8</v>
      </c>
      <c r="B100" t="s">
        <v>417</v>
      </c>
      <c r="C100">
        <v>10</v>
      </c>
    </row>
    <row r="105" spans="1:11" x14ac:dyDescent="0.3">
      <c r="G105">
        <f>B104</f>
        <v>0</v>
      </c>
      <c r="H105">
        <f t="shared" ref="H105:J105" si="10">C104</f>
        <v>0</v>
      </c>
      <c r="I105">
        <f t="shared" si="10"/>
        <v>0</v>
      </c>
      <c r="J105">
        <f t="shared" si="10"/>
        <v>0</v>
      </c>
      <c r="K105" t="str">
        <f>IF(F104="","",F104)</f>
        <v/>
      </c>
    </row>
    <row r="115" spans="7:11" x14ac:dyDescent="0.3">
      <c r="G115">
        <f>B114</f>
        <v>0</v>
      </c>
      <c r="H115">
        <f t="shared" ref="H115:J115" si="11">C114</f>
        <v>0</v>
      </c>
      <c r="I115">
        <f t="shared" si="11"/>
        <v>0</v>
      </c>
      <c r="J115">
        <f t="shared" si="11"/>
        <v>0</v>
      </c>
      <c r="K115" t="str">
        <f>IF(F114="","",F114)</f>
        <v/>
      </c>
    </row>
    <row r="125" spans="7:11" x14ac:dyDescent="0.3">
      <c r="G125">
        <f>B124</f>
        <v>0</v>
      </c>
      <c r="H125">
        <f t="shared" ref="H125:J125" si="12">C124</f>
        <v>0</v>
      </c>
      <c r="I125">
        <f t="shared" si="12"/>
        <v>0</v>
      </c>
      <c r="J125">
        <f t="shared" si="12"/>
        <v>0</v>
      </c>
      <c r="K125" t="str">
        <f>IF(F124="","",F124)</f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opLeftCell="A96" workbookViewId="0">
      <selection activeCell="B104" sqref="B104"/>
    </sheetView>
  </sheetViews>
  <sheetFormatPr defaultRowHeight="16.5" x14ac:dyDescent="0.3"/>
  <sheetData>
    <row r="1" spans="1:11" ht="17.100000000000001" x14ac:dyDescent="0.45">
      <c r="A1" t="s">
        <v>31</v>
      </c>
      <c r="B1">
        <v>95</v>
      </c>
      <c r="C1" t="s">
        <v>1</v>
      </c>
    </row>
    <row r="2" spans="1:11" ht="17.100000000000001" x14ac:dyDescent="0.45">
      <c r="A2" t="s">
        <v>30</v>
      </c>
      <c r="B2">
        <v>108</v>
      </c>
    </row>
    <row r="3" spans="1:11" ht="17.100000000000001" x14ac:dyDescent="0.45">
      <c r="B3">
        <v>1</v>
      </c>
      <c r="C3">
        <v>2</v>
      </c>
      <c r="D3">
        <v>3</v>
      </c>
      <c r="E3">
        <v>4</v>
      </c>
    </row>
    <row r="4" spans="1:11" x14ac:dyDescent="0.3">
      <c r="A4" t="s">
        <v>33</v>
      </c>
      <c r="B4">
        <v>26</v>
      </c>
      <c r="C4">
        <v>19</v>
      </c>
      <c r="D4">
        <v>19</v>
      </c>
      <c r="E4">
        <v>31</v>
      </c>
    </row>
    <row r="5" spans="1:11" x14ac:dyDescent="0.3">
      <c r="A5" t="s">
        <v>32</v>
      </c>
      <c r="B5">
        <v>33</v>
      </c>
      <c r="C5">
        <v>20</v>
      </c>
      <c r="D5">
        <v>32</v>
      </c>
      <c r="E5">
        <v>23</v>
      </c>
      <c r="G5">
        <f>B4</f>
        <v>26</v>
      </c>
      <c r="H5">
        <f t="shared" ref="H5:J5" si="0">C4</f>
        <v>19</v>
      </c>
      <c r="I5">
        <f t="shared" si="0"/>
        <v>19</v>
      </c>
      <c r="J5">
        <f t="shared" si="0"/>
        <v>31</v>
      </c>
      <c r="K5" t="str">
        <f>IF(F4="","",F4)</f>
        <v/>
      </c>
    </row>
    <row r="7" spans="1:11" ht="17.100000000000001" x14ac:dyDescent="0.45">
      <c r="A7" t="s">
        <v>5</v>
      </c>
    </row>
    <row r="9" spans="1:11" x14ac:dyDescent="0.3">
      <c r="A9" t="s">
        <v>6</v>
      </c>
      <c r="B9" t="s">
        <v>35</v>
      </c>
      <c r="C9">
        <v>30</v>
      </c>
    </row>
    <row r="10" spans="1:11" x14ac:dyDescent="0.3">
      <c r="A10" t="s">
        <v>8</v>
      </c>
      <c r="B10" t="s">
        <v>35</v>
      </c>
      <c r="C10">
        <v>10</v>
      </c>
    </row>
    <row r="11" spans="1:11" ht="17.100000000000001" x14ac:dyDescent="0.45">
      <c r="A11" t="s">
        <v>50</v>
      </c>
      <c r="B11">
        <v>100</v>
      </c>
      <c r="C11" t="s">
        <v>1</v>
      </c>
    </row>
    <row r="12" spans="1:11" ht="17.100000000000001" x14ac:dyDescent="0.45">
      <c r="A12" t="s">
        <v>21</v>
      </c>
      <c r="B12">
        <v>98</v>
      </c>
    </row>
    <row r="13" spans="1:11" ht="17.100000000000001" x14ac:dyDescent="0.45">
      <c r="B13">
        <v>1</v>
      </c>
      <c r="C13">
        <v>2</v>
      </c>
      <c r="D13">
        <v>3</v>
      </c>
      <c r="E13">
        <v>4</v>
      </c>
    </row>
    <row r="14" spans="1:11" x14ac:dyDescent="0.3">
      <c r="A14" t="s">
        <v>52</v>
      </c>
      <c r="B14">
        <v>23</v>
      </c>
      <c r="C14">
        <v>27</v>
      </c>
      <c r="D14">
        <v>27</v>
      </c>
      <c r="E14">
        <v>23</v>
      </c>
    </row>
    <row r="15" spans="1:11" x14ac:dyDescent="0.3">
      <c r="A15" t="s">
        <v>23</v>
      </c>
      <c r="B15">
        <v>28</v>
      </c>
      <c r="C15">
        <v>23</v>
      </c>
      <c r="D15">
        <v>32</v>
      </c>
      <c r="E15">
        <v>15</v>
      </c>
      <c r="G15">
        <f>B14</f>
        <v>23</v>
      </c>
      <c r="H15">
        <f t="shared" ref="H15" si="1">C14</f>
        <v>27</v>
      </c>
      <c r="I15">
        <f t="shared" ref="I15" si="2">D14</f>
        <v>27</v>
      </c>
      <c r="J15">
        <f t="shared" ref="J15" si="3">E14</f>
        <v>23</v>
      </c>
      <c r="K15" t="str">
        <f>IF(F14="","",F14)</f>
        <v/>
      </c>
    </row>
    <row r="17" spans="1:11" ht="17.100000000000001" x14ac:dyDescent="0.45">
      <c r="A17" t="s">
        <v>5</v>
      </c>
    </row>
    <row r="19" spans="1:11" ht="17.100000000000001" x14ac:dyDescent="0.45">
      <c r="A19" t="s">
        <v>6</v>
      </c>
      <c r="B19" t="s">
        <v>64</v>
      </c>
      <c r="C19">
        <v>22</v>
      </c>
    </row>
    <row r="20" spans="1:11" ht="17.100000000000001" x14ac:dyDescent="0.45">
      <c r="A20" t="s">
        <v>8</v>
      </c>
      <c r="B20" t="s">
        <v>188</v>
      </c>
      <c r="C20">
        <v>12</v>
      </c>
    </row>
    <row r="21" spans="1:11" ht="17.100000000000001" x14ac:dyDescent="0.45">
      <c r="A21" t="s">
        <v>15</v>
      </c>
      <c r="B21">
        <v>111</v>
      </c>
      <c r="C21" t="s">
        <v>1</v>
      </c>
    </row>
    <row r="22" spans="1:11" ht="17.100000000000001" x14ac:dyDescent="0.45">
      <c r="A22" t="s">
        <v>56</v>
      </c>
      <c r="B22">
        <v>104</v>
      </c>
    </row>
    <row r="23" spans="1:11" ht="17.100000000000001" x14ac:dyDescent="0.45">
      <c r="B23">
        <v>1</v>
      </c>
      <c r="C23">
        <v>2</v>
      </c>
      <c r="D23">
        <v>3</v>
      </c>
      <c r="E23">
        <v>4</v>
      </c>
    </row>
    <row r="24" spans="1:11" x14ac:dyDescent="0.3">
      <c r="A24" t="s">
        <v>17</v>
      </c>
      <c r="B24">
        <v>29</v>
      </c>
      <c r="C24">
        <v>26</v>
      </c>
      <c r="D24">
        <v>31</v>
      </c>
      <c r="E24">
        <v>25</v>
      </c>
    </row>
    <row r="25" spans="1:11" x14ac:dyDescent="0.3">
      <c r="A25" t="s">
        <v>58</v>
      </c>
      <c r="B25">
        <v>32</v>
      </c>
      <c r="C25">
        <v>25</v>
      </c>
      <c r="D25">
        <v>27</v>
      </c>
      <c r="E25">
        <v>20</v>
      </c>
      <c r="G25">
        <f>B24</f>
        <v>29</v>
      </c>
      <c r="H25">
        <f t="shared" ref="H25" si="4">C24</f>
        <v>26</v>
      </c>
      <c r="I25">
        <f t="shared" ref="I25" si="5">D24</f>
        <v>31</v>
      </c>
      <c r="J25">
        <f t="shared" ref="J25" si="6">E24</f>
        <v>25</v>
      </c>
      <c r="K25" t="str">
        <f>IF(F24="","",F24)</f>
        <v/>
      </c>
    </row>
    <row r="27" spans="1:11" ht="17.100000000000001" x14ac:dyDescent="0.45">
      <c r="A27" t="s">
        <v>5</v>
      </c>
    </row>
    <row r="29" spans="1:11" ht="17.100000000000001" x14ac:dyDescent="0.45">
      <c r="A29" t="s">
        <v>6</v>
      </c>
      <c r="B29" t="s">
        <v>171</v>
      </c>
      <c r="C29">
        <v>29</v>
      </c>
    </row>
    <row r="30" spans="1:11" ht="17.100000000000001" x14ac:dyDescent="0.45">
      <c r="A30" t="s">
        <v>8</v>
      </c>
      <c r="B30" t="s">
        <v>19</v>
      </c>
      <c r="C30">
        <v>13</v>
      </c>
    </row>
    <row r="31" spans="1:11" ht="17.100000000000001" x14ac:dyDescent="0.45">
      <c r="A31" t="s">
        <v>65</v>
      </c>
      <c r="B31">
        <v>93</v>
      </c>
      <c r="C31" t="s">
        <v>1</v>
      </c>
    </row>
    <row r="32" spans="1:11" ht="17.100000000000001" x14ac:dyDescent="0.45">
      <c r="A32" t="s">
        <v>26</v>
      </c>
      <c r="B32">
        <v>87</v>
      </c>
    </row>
    <row r="33" spans="1:11" ht="17.100000000000001" x14ac:dyDescent="0.45">
      <c r="B33">
        <v>1</v>
      </c>
      <c r="C33">
        <v>2</v>
      </c>
      <c r="D33">
        <v>3</v>
      </c>
      <c r="E33">
        <v>4</v>
      </c>
    </row>
    <row r="34" spans="1:11" x14ac:dyDescent="0.3">
      <c r="A34" t="s">
        <v>67</v>
      </c>
      <c r="B34">
        <v>24</v>
      </c>
      <c r="C34">
        <v>28</v>
      </c>
      <c r="D34">
        <v>16</v>
      </c>
      <c r="E34">
        <v>25</v>
      </c>
    </row>
    <row r="35" spans="1:11" x14ac:dyDescent="0.3">
      <c r="A35" t="s">
        <v>28</v>
      </c>
      <c r="B35">
        <v>25</v>
      </c>
      <c r="C35">
        <v>22</v>
      </c>
      <c r="D35">
        <v>23</v>
      </c>
      <c r="E35">
        <v>17</v>
      </c>
      <c r="G35">
        <f>B34</f>
        <v>24</v>
      </c>
      <c r="H35">
        <f t="shared" ref="H35" si="7">C34</f>
        <v>28</v>
      </c>
      <c r="I35">
        <f t="shared" ref="I35" si="8">D34</f>
        <v>16</v>
      </c>
      <c r="J35">
        <f t="shared" ref="J35" si="9">E34</f>
        <v>25</v>
      </c>
      <c r="K35" t="str">
        <f>IF(F34="","",F34)</f>
        <v/>
      </c>
    </row>
    <row r="37" spans="1:11" ht="17.100000000000001" x14ac:dyDescent="0.45">
      <c r="A37" t="s">
        <v>5</v>
      </c>
    </row>
    <row r="39" spans="1:11" ht="17.100000000000001" x14ac:dyDescent="0.45">
      <c r="A39" t="s">
        <v>6</v>
      </c>
      <c r="B39" t="s">
        <v>189</v>
      </c>
      <c r="C39">
        <v>21</v>
      </c>
    </row>
    <row r="40" spans="1:11" ht="17.100000000000001" x14ac:dyDescent="0.45">
      <c r="A40" t="s">
        <v>8</v>
      </c>
      <c r="B40" t="s">
        <v>190</v>
      </c>
      <c r="C40">
        <v>11</v>
      </c>
    </row>
    <row r="41" spans="1:11" ht="17.100000000000001" x14ac:dyDescent="0.45">
      <c r="A41" t="s">
        <v>66</v>
      </c>
      <c r="B41">
        <v>101</v>
      </c>
      <c r="C41" t="s">
        <v>1</v>
      </c>
    </row>
    <row r="42" spans="1:11" ht="17.100000000000001" x14ac:dyDescent="0.45">
      <c r="A42" t="s">
        <v>37</v>
      </c>
      <c r="B42">
        <v>108</v>
      </c>
    </row>
    <row r="43" spans="1:11" ht="17.100000000000001" x14ac:dyDescent="0.45">
      <c r="B43">
        <v>1</v>
      </c>
      <c r="C43">
        <v>2</v>
      </c>
      <c r="D43">
        <v>3</v>
      </c>
      <c r="E43">
        <v>4</v>
      </c>
    </row>
    <row r="44" spans="1:11" x14ac:dyDescent="0.3">
      <c r="A44" t="s">
        <v>68</v>
      </c>
      <c r="B44">
        <v>19</v>
      </c>
      <c r="C44">
        <v>25</v>
      </c>
      <c r="D44">
        <v>31</v>
      </c>
      <c r="E44">
        <v>26</v>
      </c>
    </row>
    <row r="45" spans="1:11" x14ac:dyDescent="0.3">
      <c r="A45" t="s">
        <v>39</v>
      </c>
      <c r="B45">
        <v>32</v>
      </c>
      <c r="C45">
        <v>23</v>
      </c>
      <c r="D45">
        <v>16</v>
      </c>
      <c r="E45">
        <v>37</v>
      </c>
      <c r="G45">
        <f>B44</f>
        <v>19</v>
      </c>
      <c r="H45">
        <f t="shared" ref="H45" si="10">C44</f>
        <v>25</v>
      </c>
      <c r="I45">
        <f t="shared" ref="I45" si="11">D44</f>
        <v>31</v>
      </c>
      <c r="J45">
        <f t="shared" ref="J45" si="12">E44</f>
        <v>26</v>
      </c>
      <c r="K45" t="str">
        <f>IF(F44="","",F44)</f>
        <v/>
      </c>
    </row>
    <row r="47" spans="1:11" ht="17.100000000000001" x14ac:dyDescent="0.45">
      <c r="A47" t="s">
        <v>5</v>
      </c>
    </row>
    <row r="49" spans="1:11" ht="17.100000000000001" x14ac:dyDescent="0.45">
      <c r="A49" t="s">
        <v>6</v>
      </c>
      <c r="B49" t="s">
        <v>173</v>
      </c>
      <c r="C49">
        <v>26</v>
      </c>
    </row>
    <row r="50" spans="1:11" ht="17.100000000000001" x14ac:dyDescent="0.45">
      <c r="A50" t="s">
        <v>8</v>
      </c>
      <c r="B50" t="s">
        <v>40</v>
      </c>
      <c r="C50">
        <v>22</v>
      </c>
    </row>
    <row r="51" spans="1:11" ht="17.100000000000001" x14ac:dyDescent="0.45">
      <c r="A51" t="s">
        <v>57</v>
      </c>
      <c r="B51">
        <v>103</v>
      </c>
      <c r="C51" t="s">
        <v>1</v>
      </c>
    </row>
    <row r="52" spans="1:11" ht="17.100000000000001" x14ac:dyDescent="0.45">
      <c r="A52" t="s">
        <v>20</v>
      </c>
      <c r="B52">
        <v>112</v>
      </c>
    </row>
    <row r="53" spans="1:11" ht="17.100000000000001" x14ac:dyDescent="0.45">
      <c r="B53">
        <v>1</v>
      </c>
      <c r="C53">
        <v>2</v>
      </c>
      <c r="D53">
        <v>3</v>
      </c>
      <c r="E53">
        <v>4</v>
      </c>
    </row>
    <row r="54" spans="1:11" x14ac:dyDescent="0.3">
      <c r="A54" t="s">
        <v>59</v>
      </c>
      <c r="B54">
        <v>28</v>
      </c>
      <c r="C54">
        <v>37</v>
      </c>
      <c r="D54">
        <v>20</v>
      </c>
      <c r="E54">
        <v>18</v>
      </c>
    </row>
    <row r="55" spans="1:11" x14ac:dyDescent="0.3">
      <c r="A55" t="s">
        <v>22</v>
      </c>
      <c r="B55">
        <v>27</v>
      </c>
      <c r="C55">
        <v>34</v>
      </c>
      <c r="D55">
        <v>25</v>
      </c>
      <c r="E55">
        <v>26</v>
      </c>
      <c r="G55">
        <f>B54</f>
        <v>28</v>
      </c>
      <c r="H55">
        <f t="shared" ref="H55" si="13">C54</f>
        <v>37</v>
      </c>
      <c r="I55">
        <f t="shared" ref="I55" si="14">D54</f>
        <v>20</v>
      </c>
      <c r="J55">
        <f t="shared" ref="J55" si="15">E54</f>
        <v>18</v>
      </c>
      <c r="K55" t="str">
        <f>IF(F54="","",F54)</f>
        <v/>
      </c>
    </row>
    <row r="57" spans="1:11" ht="17.100000000000001" x14ac:dyDescent="0.45">
      <c r="A57" t="s">
        <v>5</v>
      </c>
    </row>
    <row r="59" spans="1:11" ht="17.100000000000001" x14ac:dyDescent="0.45">
      <c r="A59" t="s">
        <v>6</v>
      </c>
      <c r="B59" t="s">
        <v>24</v>
      </c>
      <c r="C59">
        <v>28</v>
      </c>
    </row>
    <row r="60" spans="1:11" ht="17.100000000000001" x14ac:dyDescent="0.45">
      <c r="A60" t="s">
        <v>8</v>
      </c>
      <c r="B60" t="s">
        <v>25</v>
      </c>
      <c r="C60">
        <v>14</v>
      </c>
    </row>
    <row r="61" spans="1:11" ht="17.100000000000001" x14ac:dyDescent="0.45">
      <c r="A61" t="s">
        <v>41</v>
      </c>
      <c r="B61">
        <v>91</v>
      </c>
      <c r="C61" t="s">
        <v>1</v>
      </c>
    </row>
    <row r="62" spans="1:11" ht="17.100000000000001" x14ac:dyDescent="0.45">
      <c r="A62" t="s">
        <v>2</v>
      </c>
      <c r="B62">
        <v>119</v>
      </c>
    </row>
    <row r="63" spans="1:11" ht="17.100000000000001" x14ac:dyDescent="0.45">
      <c r="B63">
        <v>1</v>
      </c>
      <c r="C63">
        <v>2</v>
      </c>
      <c r="D63">
        <v>3</v>
      </c>
      <c r="E63">
        <v>4</v>
      </c>
    </row>
    <row r="64" spans="1:11" x14ac:dyDescent="0.3">
      <c r="A64" t="s">
        <v>42</v>
      </c>
      <c r="B64">
        <v>15</v>
      </c>
      <c r="C64">
        <v>28</v>
      </c>
      <c r="D64">
        <v>19</v>
      </c>
      <c r="E64">
        <v>29</v>
      </c>
    </row>
    <row r="65" spans="1:11" x14ac:dyDescent="0.3">
      <c r="A65" t="s">
        <v>4</v>
      </c>
      <c r="B65">
        <v>30</v>
      </c>
      <c r="C65">
        <v>22</v>
      </c>
      <c r="D65">
        <v>35</v>
      </c>
      <c r="E65">
        <v>32</v>
      </c>
      <c r="G65">
        <f>B64</f>
        <v>15</v>
      </c>
      <c r="H65">
        <f t="shared" ref="H65" si="16">C64</f>
        <v>28</v>
      </c>
      <c r="I65">
        <f t="shared" ref="I65" si="17">D64</f>
        <v>19</v>
      </c>
      <c r="J65">
        <f t="shared" ref="J65" si="18">E64</f>
        <v>29</v>
      </c>
      <c r="K65" t="str">
        <f>IF(F64="","",F64)</f>
        <v/>
      </c>
    </row>
    <row r="67" spans="1:11" ht="17.100000000000001" x14ac:dyDescent="0.45">
      <c r="A67" t="s">
        <v>5</v>
      </c>
    </row>
    <row r="69" spans="1:11" ht="17.100000000000001" x14ac:dyDescent="0.45">
      <c r="A69" t="s">
        <v>6</v>
      </c>
      <c r="B69" t="s">
        <v>9</v>
      </c>
      <c r="C69">
        <v>27</v>
      </c>
    </row>
    <row r="70" spans="1:11" ht="17.100000000000001" x14ac:dyDescent="0.45">
      <c r="A70" t="s">
        <v>8</v>
      </c>
      <c r="B70" t="s">
        <v>191</v>
      </c>
      <c r="C70">
        <v>12</v>
      </c>
    </row>
    <row r="71" spans="1:11" ht="17.100000000000001" x14ac:dyDescent="0.45">
      <c r="A71" t="s">
        <v>72</v>
      </c>
      <c r="B71">
        <v>127</v>
      </c>
      <c r="C71" t="s">
        <v>1</v>
      </c>
    </row>
    <row r="72" spans="1:11" ht="17.100000000000001" x14ac:dyDescent="0.45">
      <c r="A72" t="s">
        <v>44</v>
      </c>
      <c r="B72">
        <v>139</v>
      </c>
      <c r="C72" t="s">
        <v>84</v>
      </c>
    </row>
    <row r="73" spans="1:11" ht="17.100000000000001" x14ac:dyDescent="0.45">
      <c r="B73">
        <v>1</v>
      </c>
      <c r="C73">
        <v>2</v>
      </c>
      <c r="D73">
        <v>3</v>
      </c>
      <c r="E73">
        <v>4</v>
      </c>
      <c r="F73" t="s">
        <v>84</v>
      </c>
    </row>
    <row r="74" spans="1:11" x14ac:dyDescent="0.3">
      <c r="A74" t="s">
        <v>73</v>
      </c>
      <c r="B74">
        <v>27</v>
      </c>
      <c r="C74">
        <v>31</v>
      </c>
      <c r="D74">
        <v>39</v>
      </c>
      <c r="E74">
        <v>25</v>
      </c>
      <c r="F74">
        <v>5</v>
      </c>
    </row>
    <row r="75" spans="1:11" x14ac:dyDescent="0.3">
      <c r="A75" t="s">
        <v>46</v>
      </c>
      <c r="B75">
        <v>30</v>
      </c>
      <c r="C75">
        <v>23</v>
      </c>
      <c r="D75">
        <v>41</v>
      </c>
      <c r="E75">
        <v>28</v>
      </c>
      <c r="F75">
        <v>17</v>
      </c>
      <c r="G75">
        <f>B74</f>
        <v>27</v>
      </c>
      <c r="H75">
        <f t="shared" ref="H75" si="19">C74</f>
        <v>31</v>
      </c>
      <c r="I75">
        <f t="shared" ref="I75" si="20">D74</f>
        <v>39</v>
      </c>
      <c r="J75">
        <f t="shared" ref="J75" si="21">E74</f>
        <v>25</v>
      </c>
      <c r="K75">
        <f>IF(F74="","",F74)</f>
        <v>5</v>
      </c>
    </row>
    <row r="77" spans="1:11" ht="17.100000000000001" x14ac:dyDescent="0.45">
      <c r="A77" t="s">
        <v>5</v>
      </c>
    </row>
    <row r="79" spans="1:11" ht="17.100000000000001" x14ac:dyDescent="0.45">
      <c r="A79" t="s">
        <v>6</v>
      </c>
      <c r="B79" t="s">
        <v>192</v>
      </c>
      <c r="C79">
        <v>32</v>
      </c>
    </row>
    <row r="80" spans="1:11" ht="17.100000000000001" x14ac:dyDescent="0.45">
      <c r="A80" t="s">
        <v>8</v>
      </c>
      <c r="B80" t="s">
        <v>193</v>
      </c>
      <c r="C80">
        <v>11</v>
      </c>
    </row>
    <row r="81" spans="1:11" ht="17.100000000000001" x14ac:dyDescent="0.45">
      <c r="A81" t="s">
        <v>43</v>
      </c>
      <c r="B81">
        <v>136</v>
      </c>
      <c r="C81" t="s">
        <v>1</v>
      </c>
    </row>
    <row r="82" spans="1:11" ht="17.100000000000001" x14ac:dyDescent="0.45">
      <c r="A82" t="s">
        <v>0</v>
      </c>
      <c r="B82">
        <v>113</v>
      </c>
    </row>
    <row r="83" spans="1:11" ht="17.100000000000001" x14ac:dyDescent="0.45">
      <c r="B83">
        <v>1</v>
      </c>
      <c r="C83">
        <v>2</v>
      </c>
      <c r="D83">
        <v>3</v>
      </c>
      <c r="E83">
        <v>4</v>
      </c>
    </row>
    <row r="84" spans="1:11" x14ac:dyDescent="0.3">
      <c r="A84" t="s">
        <v>45</v>
      </c>
      <c r="B84">
        <v>39</v>
      </c>
      <c r="C84">
        <v>38</v>
      </c>
      <c r="D84">
        <v>33</v>
      </c>
      <c r="E84">
        <v>26</v>
      </c>
    </row>
    <row r="85" spans="1:11" x14ac:dyDescent="0.3">
      <c r="A85" t="s">
        <v>3</v>
      </c>
      <c r="B85">
        <v>34</v>
      </c>
      <c r="C85">
        <v>28</v>
      </c>
      <c r="D85">
        <v>31</v>
      </c>
      <c r="E85">
        <v>20</v>
      </c>
      <c r="G85">
        <f>B84</f>
        <v>39</v>
      </c>
      <c r="H85">
        <f t="shared" ref="H85" si="22">C84</f>
        <v>38</v>
      </c>
      <c r="I85">
        <f t="shared" ref="I85" si="23">D84</f>
        <v>33</v>
      </c>
      <c r="J85">
        <f t="shared" ref="J85" si="24">E84</f>
        <v>26</v>
      </c>
      <c r="K85" t="str">
        <f>IF(F84="","",F84)</f>
        <v/>
      </c>
    </row>
    <row r="87" spans="1:11" ht="17.100000000000001" x14ac:dyDescent="0.45">
      <c r="A87" t="s">
        <v>5</v>
      </c>
    </row>
    <row r="89" spans="1:11" ht="17.100000000000001" x14ac:dyDescent="0.45">
      <c r="A89" t="s">
        <v>6</v>
      </c>
      <c r="B89" t="s">
        <v>47</v>
      </c>
      <c r="C89">
        <v>39</v>
      </c>
    </row>
    <row r="90" spans="1:11" ht="17.100000000000001" x14ac:dyDescent="0.45">
      <c r="A90" t="s">
        <v>8</v>
      </c>
      <c r="B90" t="s">
        <v>34</v>
      </c>
      <c r="C90">
        <v>10</v>
      </c>
    </row>
    <row r="91" spans="1:11" ht="17.100000000000001" x14ac:dyDescent="0.45">
      <c r="A91" t="s">
        <v>14</v>
      </c>
      <c r="B91">
        <v>104</v>
      </c>
      <c r="C91" t="s">
        <v>1</v>
      </c>
    </row>
    <row r="92" spans="1:11" ht="17.100000000000001" x14ac:dyDescent="0.45">
      <c r="A92" t="s">
        <v>48</v>
      </c>
      <c r="B92">
        <v>105</v>
      </c>
      <c r="C92" t="s">
        <v>84</v>
      </c>
    </row>
    <row r="93" spans="1:11" ht="17.100000000000001" x14ac:dyDescent="0.45">
      <c r="B93">
        <v>1</v>
      </c>
      <c r="C93">
        <v>2</v>
      </c>
      <c r="D93">
        <v>3</v>
      </c>
      <c r="E93">
        <v>4</v>
      </c>
      <c r="F93" t="s">
        <v>84</v>
      </c>
    </row>
    <row r="94" spans="1:11" x14ac:dyDescent="0.3">
      <c r="A94" t="s">
        <v>16</v>
      </c>
      <c r="B94">
        <v>17</v>
      </c>
      <c r="C94">
        <v>25</v>
      </c>
      <c r="D94">
        <v>30</v>
      </c>
      <c r="E94">
        <v>28</v>
      </c>
      <c r="F94">
        <v>4</v>
      </c>
    </row>
    <row r="95" spans="1:11" x14ac:dyDescent="0.3">
      <c r="A95" t="s">
        <v>49</v>
      </c>
      <c r="B95">
        <v>21</v>
      </c>
      <c r="C95">
        <v>31</v>
      </c>
      <c r="D95">
        <v>17</v>
      </c>
      <c r="E95">
        <v>31</v>
      </c>
      <c r="F95">
        <v>5</v>
      </c>
      <c r="G95">
        <f>B94</f>
        <v>17</v>
      </c>
      <c r="H95">
        <f t="shared" ref="H95" si="25">C94</f>
        <v>25</v>
      </c>
      <c r="I95">
        <f t="shared" ref="I95" si="26">D94</f>
        <v>30</v>
      </c>
      <c r="J95">
        <f t="shared" ref="J95" si="27">E94</f>
        <v>28</v>
      </c>
      <c r="K95">
        <f>IF(F94="","",F94)</f>
        <v>4</v>
      </c>
    </row>
    <row r="97" spans="1:11" ht="17.100000000000001" x14ac:dyDescent="0.45">
      <c r="A97" t="s">
        <v>5</v>
      </c>
    </row>
    <row r="99" spans="1:11" ht="17.100000000000001" x14ac:dyDescent="0.45">
      <c r="A99" t="s">
        <v>6</v>
      </c>
      <c r="B99" t="s">
        <v>78</v>
      </c>
      <c r="C99">
        <v>23</v>
      </c>
    </row>
    <row r="100" spans="1:11" ht="17.100000000000001" x14ac:dyDescent="0.45">
      <c r="A100" t="s">
        <v>8</v>
      </c>
      <c r="B100" t="s">
        <v>194</v>
      </c>
      <c r="C100">
        <v>14</v>
      </c>
    </row>
    <row r="105" spans="1:11" ht="17.100000000000001" x14ac:dyDescent="0.45">
      <c r="G105">
        <f>B104</f>
        <v>0</v>
      </c>
      <c r="H105">
        <f t="shared" ref="H105" si="28">C104</f>
        <v>0</v>
      </c>
      <c r="I105">
        <f t="shared" ref="I105" si="29">D104</f>
        <v>0</v>
      </c>
      <c r="J105">
        <f t="shared" ref="J105" si="30">E104</f>
        <v>0</v>
      </c>
      <c r="K105" t="str">
        <f>IF(F104="","",F104)</f>
        <v/>
      </c>
    </row>
    <row r="115" spans="7:11" ht="17.100000000000001" x14ac:dyDescent="0.45">
      <c r="G115">
        <f>B114</f>
        <v>0</v>
      </c>
      <c r="H115">
        <f t="shared" ref="H115" si="31">C114</f>
        <v>0</v>
      </c>
      <c r="I115">
        <f t="shared" ref="I115" si="32">D114</f>
        <v>0</v>
      </c>
      <c r="J115">
        <f t="shared" ref="J115" si="33">E114</f>
        <v>0</v>
      </c>
      <c r="K115" t="str">
        <f>IF(F114="","",F114)</f>
        <v/>
      </c>
    </row>
    <row r="125" spans="7:11" x14ac:dyDescent="0.3">
      <c r="G125">
        <f>B124</f>
        <v>0</v>
      </c>
      <c r="H125">
        <f t="shared" ref="H125" si="34">C124</f>
        <v>0</v>
      </c>
      <c r="I125">
        <f t="shared" ref="I125" si="35">D124</f>
        <v>0</v>
      </c>
      <c r="J125">
        <f t="shared" ref="J125" si="36">E124</f>
        <v>0</v>
      </c>
      <c r="K125" t="str">
        <f>IF(F124="","",F124)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sqref="A1:F100"/>
    </sheetView>
  </sheetViews>
  <sheetFormatPr defaultRowHeight="16.5" x14ac:dyDescent="0.3"/>
  <sheetData>
    <row r="1" spans="1:5" ht="17.100000000000001" x14ac:dyDescent="0.45">
      <c r="A1" t="s">
        <v>31</v>
      </c>
      <c r="B1">
        <v>95</v>
      </c>
      <c r="C1" t="s">
        <v>1</v>
      </c>
    </row>
    <row r="2" spans="1:5" ht="17.100000000000001" x14ac:dyDescent="0.45">
      <c r="A2" t="s">
        <v>30</v>
      </c>
      <c r="B2">
        <v>108</v>
      </c>
    </row>
    <row r="3" spans="1:5" ht="17.100000000000001" x14ac:dyDescent="0.45">
      <c r="B3">
        <v>1</v>
      </c>
      <c r="C3">
        <v>2</v>
      </c>
      <c r="D3">
        <v>3</v>
      </c>
      <c r="E3">
        <v>4</v>
      </c>
    </row>
    <row r="4" spans="1:5" x14ac:dyDescent="0.3">
      <c r="A4" t="s">
        <v>33</v>
      </c>
      <c r="B4">
        <v>26</v>
      </c>
      <c r="C4">
        <v>19</v>
      </c>
      <c r="D4">
        <v>19</v>
      </c>
      <c r="E4">
        <v>31</v>
      </c>
    </row>
    <row r="5" spans="1:5" x14ac:dyDescent="0.3">
      <c r="A5" t="s">
        <v>32</v>
      </c>
      <c r="B5">
        <v>33</v>
      </c>
      <c r="C5">
        <v>20</v>
      </c>
      <c r="D5">
        <v>32</v>
      </c>
      <c r="E5">
        <v>23</v>
      </c>
    </row>
    <row r="7" spans="1:5" ht="17.100000000000001" x14ac:dyDescent="0.45">
      <c r="A7" t="s">
        <v>5</v>
      </c>
    </row>
    <row r="9" spans="1:5" x14ac:dyDescent="0.3">
      <c r="A9" t="s">
        <v>6</v>
      </c>
      <c r="B9" t="s">
        <v>35</v>
      </c>
      <c r="C9">
        <v>30</v>
      </c>
    </row>
    <row r="10" spans="1:5" x14ac:dyDescent="0.3">
      <c r="A10" t="s">
        <v>8</v>
      </c>
      <c r="B10" t="s">
        <v>35</v>
      </c>
      <c r="C10">
        <v>10</v>
      </c>
    </row>
    <row r="11" spans="1:5" ht="17.100000000000001" x14ac:dyDescent="0.45">
      <c r="A11" t="s">
        <v>50</v>
      </c>
      <c r="B11">
        <v>100</v>
      </c>
      <c r="C11" t="s">
        <v>1</v>
      </c>
    </row>
    <row r="12" spans="1:5" ht="17.100000000000001" x14ac:dyDescent="0.45">
      <c r="A12" t="s">
        <v>21</v>
      </c>
      <c r="B12">
        <v>98</v>
      </c>
    </row>
    <row r="13" spans="1:5" ht="17.100000000000001" x14ac:dyDescent="0.45">
      <c r="B13">
        <v>1</v>
      </c>
      <c r="C13">
        <v>2</v>
      </c>
      <c r="D13">
        <v>3</v>
      </c>
      <c r="E13">
        <v>4</v>
      </c>
    </row>
    <row r="14" spans="1:5" x14ac:dyDescent="0.3">
      <c r="A14" t="s">
        <v>52</v>
      </c>
      <c r="B14">
        <v>23</v>
      </c>
      <c r="C14">
        <v>27</v>
      </c>
      <c r="D14">
        <v>27</v>
      </c>
      <c r="E14">
        <v>23</v>
      </c>
    </row>
    <row r="15" spans="1:5" x14ac:dyDescent="0.3">
      <c r="A15" t="s">
        <v>23</v>
      </c>
      <c r="B15">
        <v>28</v>
      </c>
      <c r="C15">
        <v>23</v>
      </c>
      <c r="D15">
        <v>32</v>
      </c>
      <c r="E15">
        <v>15</v>
      </c>
    </row>
    <row r="17" spans="1:5" ht="17.100000000000001" x14ac:dyDescent="0.45">
      <c r="A17" t="s">
        <v>5</v>
      </c>
    </row>
    <row r="19" spans="1:5" ht="17.100000000000001" x14ac:dyDescent="0.45">
      <c r="A19" t="s">
        <v>6</v>
      </c>
      <c r="B19" t="s">
        <v>64</v>
      </c>
      <c r="C19">
        <v>22</v>
      </c>
    </row>
    <row r="20" spans="1:5" ht="17.100000000000001" x14ac:dyDescent="0.45">
      <c r="A20" t="s">
        <v>8</v>
      </c>
      <c r="B20" t="s">
        <v>188</v>
      </c>
      <c r="C20">
        <v>12</v>
      </c>
    </row>
    <row r="21" spans="1:5" ht="17.100000000000001" x14ac:dyDescent="0.45">
      <c r="A21" t="s">
        <v>15</v>
      </c>
      <c r="B21">
        <v>111</v>
      </c>
      <c r="C21" t="s">
        <v>1</v>
      </c>
    </row>
    <row r="22" spans="1:5" ht="17.100000000000001" x14ac:dyDescent="0.45">
      <c r="A22" t="s">
        <v>56</v>
      </c>
      <c r="B22">
        <v>104</v>
      </c>
    </row>
    <row r="23" spans="1:5" ht="17.100000000000001" x14ac:dyDescent="0.45">
      <c r="B23">
        <v>1</v>
      </c>
      <c r="C23">
        <v>2</v>
      </c>
      <c r="D23">
        <v>3</v>
      </c>
      <c r="E23">
        <v>4</v>
      </c>
    </row>
    <row r="24" spans="1:5" x14ac:dyDescent="0.3">
      <c r="A24" t="s">
        <v>17</v>
      </c>
      <c r="B24">
        <v>29</v>
      </c>
      <c r="C24">
        <v>26</v>
      </c>
      <c r="D24">
        <v>31</v>
      </c>
      <c r="E24">
        <v>25</v>
      </c>
    </row>
    <row r="25" spans="1:5" x14ac:dyDescent="0.3">
      <c r="A25" t="s">
        <v>58</v>
      </c>
      <c r="B25">
        <v>32</v>
      </c>
      <c r="C25">
        <v>25</v>
      </c>
      <c r="D25">
        <v>27</v>
      </c>
      <c r="E25">
        <v>20</v>
      </c>
    </row>
    <row r="27" spans="1:5" ht="17.100000000000001" x14ac:dyDescent="0.45">
      <c r="A27" t="s">
        <v>5</v>
      </c>
    </row>
    <row r="29" spans="1:5" x14ac:dyDescent="0.3">
      <c r="A29" t="s">
        <v>6</v>
      </c>
      <c r="B29" t="s">
        <v>171</v>
      </c>
      <c r="C29">
        <v>29</v>
      </c>
    </row>
    <row r="30" spans="1:5" x14ac:dyDescent="0.3">
      <c r="A30" t="s">
        <v>8</v>
      </c>
      <c r="B30" t="s">
        <v>19</v>
      </c>
      <c r="C30">
        <v>13</v>
      </c>
    </row>
    <row r="31" spans="1:5" x14ac:dyDescent="0.3">
      <c r="A31" t="s">
        <v>65</v>
      </c>
      <c r="B31">
        <v>93</v>
      </c>
      <c r="C31" t="s">
        <v>1</v>
      </c>
    </row>
    <row r="32" spans="1:5" x14ac:dyDescent="0.3">
      <c r="A32" t="s">
        <v>26</v>
      </c>
      <c r="B32">
        <v>87</v>
      </c>
    </row>
    <row r="33" spans="1:5" x14ac:dyDescent="0.3">
      <c r="B33">
        <v>1</v>
      </c>
      <c r="C33">
        <v>2</v>
      </c>
      <c r="D33">
        <v>3</v>
      </c>
      <c r="E33">
        <v>4</v>
      </c>
    </row>
    <row r="34" spans="1:5" x14ac:dyDescent="0.3">
      <c r="A34" t="s">
        <v>67</v>
      </c>
      <c r="B34">
        <v>24</v>
      </c>
      <c r="C34">
        <v>28</v>
      </c>
      <c r="D34">
        <v>16</v>
      </c>
      <c r="E34">
        <v>25</v>
      </c>
    </row>
    <row r="35" spans="1:5" x14ac:dyDescent="0.3">
      <c r="A35" t="s">
        <v>28</v>
      </c>
      <c r="B35">
        <v>25</v>
      </c>
      <c r="C35">
        <v>22</v>
      </c>
      <c r="D35">
        <v>23</v>
      </c>
      <c r="E35">
        <v>17</v>
      </c>
    </row>
    <row r="37" spans="1:5" x14ac:dyDescent="0.3">
      <c r="A37" t="s">
        <v>5</v>
      </c>
    </row>
    <row r="39" spans="1:5" x14ac:dyDescent="0.3">
      <c r="A39" t="s">
        <v>6</v>
      </c>
      <c r="B39" t="s">
        <v>189</v>
      </c>
      <c r="C39">
        <v>21</v>
      </c>
    </row>
    <row r="40" spans="1:5" x14ac:dyDescent="0.3">
      <c r="A40" t="s">
        <v>8</v>
      </c>
      <c r="B40" t="s">
        <v>190</v>
      </c>
      <c r="C40">
        <v>11</v>
      </c>
    </row>
    <row r="41" spans="1:5" x14ac:dyDescent="0.3">
      <c r="A41" t="s">
        <v>66</v>
      </c>
      <c r="B41">
        <v>101</v>
      </c>
      <c r="C41" t="s">
        <v>1</v>
      </c>
    </row>
    <row r="42" spans="1:5" x14ac:dyDescent="0.3">
      <c r="A42" t="s">
        <v>37</v>
      </c>
      <c r="B42">
        <v>108</v>
      </c>
    </row>
    <row r="43" spans="1:5" x14ac:dyDescent="0.3">
      <c r="B43">
        <v>1</v>
      </c>
      <c r="C43">
        <v>2</v>
      </c>
      <c r="D43">
        <v>3</v>
      </c>
      <c r="E43">
        <v>4</v>
      </c>
    </row>
    <row r="44" spans="1:5" x14ac:dyDescent="0.3">
      <c r="A44" t="s">
        <v>68</v>
      </c>
      <c r="B44">
        <v>19</v>
      </c>
      <c r="C44">
        <v>25</v>
      </c>
      <c r="D44">
        <v>31</v>
      </c>
      <c r="E44">
        <v>26</v>
      </c>
    </row>
    <row r="45" spans="1:5" x14ac:dyDescent="0.3">
      <c r="A45" t="s">
        <v>39</v>
      </c>
      <c r="B45">
        <v>32</v>
      </c>
      <c r="C45">
        <v>23</v>
      </c>
      <c r="D45">
        <v>16</v>
      </c>
      <c r="E45">
        <v>37</v>
      </c>
    </row>
    <row r="47" spans="1:5" x14ac:dyDescent="0.3">
      <c r="A47" t="s">
        <v>5</v>
      </c>
    </row>
    <row r="49" spans="1:5" x14ac:dyDescent="0.3">
      <c r="A49" t="s">
        <v>6</v>
      </c>
      <c r="B49" t="s">
        <v>173</v>
      </c>
      <c r="C49">
        <v>26</v>
      </c>
    </row>
    <row r="50" spans="1:5" x14ac:dyDescent="0.3">
      <c r="A50" t="s">
        <v>8</v>
      </c>
      <c r="B50" t="s">
        <v>40</v>
      </c>
      <c r="C50">
        <v>22</v>
      </c>
    </row>
    <row r="51" spans="1:5" x14ac:dyDescent="0.3">
      <c r="A51" t="s">
        <v>57</v>
      </c>
      <c r="B51">
        <v>103</v>
      </c>
      <c r="C51" t="s">
        <v>1</v>
      </c>
    </row>
    <row r="52" spans="1:5" x14ac:dyDescent="0.3">
      <c r="A52" t="s">
        <v>20</v>
      </c>
      <c r="B52">
        <v>112</v>
      </c>
    </row>
    <row r="53" spans="1:5" x14ac:dyDescent="0.3">
      <c r="B53">
        <v>1</v>
      </c>
      <c r="C53">
        <v>2</v>
      </c>
      <c r="D53">
        <v>3</v>
      </c>
      <c r="E53">
        <v>4</v>
      </c>
    </row>
    <row r="54" spans="1:5" x14ac:dyDescent="0.3">
      <c r="A54" t="s">
        <v>59</v>
      </c>
      <c r="B54">
        <v>28</v>
      </c>
      <c r="C54">
        <v>37</v>
      </c>
      <c r="D54">
        <v>20</v>
      </c>
      <c r="E54">
        <v>18</v>
      </c>
    </row>
    <row r="55" spans="1:5" x14ac:dyDescent="0.3">
      <c r="A55" t="s">
        <v>22</v>
      </c>
      <c r="B55">
        <v>27</v>
      </c>
      <c r="C55">
        <v>34</v>
      </c>
      <c r="D55">
        <v>25</v>
      </c>
      <c r="E55">
        <v>26</v>
      </c>
    </row>
    <row r="57" spans="1:5" x14ac:dyDescent="0.3">
      <c r="A57" t="s">
        <v>5</v>
      </c>
    </row>
    <row r="59" spans="1:5" x14ac:dyDescent="0.3">
      <c r="A59" t="s">
        <v>6</v>
      </c>
      <c r="B59" t="s">
        <v>24</v>
      </c>
      <c r="C59">
        <v>28</v>
      </c>
    </row>
    <row r="60" spans="1:5" x14ac:dyDescent="0.3">
      <c r="A60" t="s">
        <v>8</v>
      </c>
      <c r="B60" t="s">
        <v>25</v>
      </c>
      <c r="C60">
        <v>14</v>
      </c>
    </row>
    <row r="61" spans="1:5" x14ac:dyDescent="0.3">
      <c r="A61" t="s">
        <v>41</v>
      </c>
      <c r="B61">
        <v>91</v>
      </c>
      <c r="C61" t="s">
        <v>1</v>
      </c>
    </row>
    <row r="62" spans="1:5" x14ac:dyDescent="0.3">
      <c r="A62" t="s">
        <v>2</v>
      </c>
      <c r="B62">
        <v>119</v>
      </c>
    </row>
    <row r="63" spans="1:5" x14ac:dyDescent="0.3">
      <c r="B63">
        <v>1</v>
      </c>
      <c r="C63">
        <v>2</v>
      </c>
      <c r="D63">
        <v>3</v>
      </c>
      <c r="E63">
        <v>4</v>
      </c>
    </row>
    <row r="64" spans="1:5" x14ac:dyDescent="0.3">
      <c r="A64" t="s">
        <v>42</v>
      </c>
      <c r="B64">
        <v>15</v>
      </c>
      <c r="C64">
        <v>28</v>
      </c>
      <c r="D64">
        <v>19</v>
      </c>
      <c r="E64">
        <v>29</v>
      </c>
    </row>
    <row r="65" spans="1:6" x14ac:dyDescent="0.3">
      <c r="A65" t="s">
        <v>4</v>
      </c>
      <c r="B65">
        <v>30</v>
      </c>
      <c r="C65">
        <v>22</v>
      </c>
      <c r="D65">
        <v>35</v>
      </c>
      <c r="E65">
        <v>32</v>
      </c>
    </row>
    <row r="67" spans="1:6" x14ac:dyDescent="0.3">
      <c r="A67" t="s">
        <v>5</v>
      </c>
    </row>
    <row r="69" spans="1:6" x14ac:dyDescent="0.3">
      <c r="A69" t="s">
        <v>6</v>
      </c>
      <c r="B69" t="s">
        <v>9</v>
      </c>
      <c r="C69">
        <v>27</v>
      </c>
    </row>
    <row r="70" spans="1:6" x14ac:dyDescent="0.3">
      <c r="A70" t="s">
        <v>8</v>
      </c>
      <c r="B70" t="s">
        <v>191</v>
      </c>
      <c r="C70">
        <v>12</v>
      </c>
    </row>
    <row r="71" spans="1:6" x14ac:dyDescent="0.3">
      <c r="A71" t="s">
        <v>72</v>
      </c>
      <c r="B71">
        <v>127</v>
      </c>
      <c r="C71" t="s">
        <v>1</v>
      </c>
    </row>
    <row r="72" spans="1:6" x14ac:dyDescent="0.3">
      <c r="A72" t="s">
        <v>44</v>
      </c>
      <c r="B72">
        <v>139</v>
      </c>
      <c r="C72" t="s">
        <v>84</v>
      </c>
    </row>
    <row r="73" spans="1:6" x14ac:dyDescent="0.3">
      <c r="B73">
        <v>1</v>
      </c>
      <c r="C73">
        <v>2</v>
      </c>
      <c r="D73">
        <v>3</v>
      </c>
      <c r="E73">
        <v>4</v>
      </c>
      <c r="F73" t="s">
        <v>84</v>
      </c>
    </row>
    <row r="74" spans="1:6" x14ac:dyDescent="0.3">
      <c r="A74" t="s">
        <v>73</v>
      </c>
      <c r="B74">
        <v>27</v>
      </c>
      <c r="C74">
        <v>31</v>
      </c>
      <c r="D74">
        <v>39</v>
      </c>
      <c r="E74">
        <v>25</v>
      </c>
      <c r="F74">
        <v>5</v>
      </c>
    </row>
    <row r="75" spans="1:6" x14ac:dyDescent="0.3">
      <c r="A75" t="s">
        <v>46</v>
      </c>
      <c r="B75">
        <v>30</v>
      </c>
      <c r="C75">
        <v>23</v>
      </c>
      <c r="D75">
        <v>41</v>
      </c>
      <c r="E75">
        <v>28</v>
      </c>
      <c r="F75">
        <v>17</v>
      </c>
    </row>
    <row r="77" spans="1:6" x14ac:dyDescent="0.3">
      <c r="A77" t="s">
        <v>5</v>
      </c>
    </row>
    <row r="79" spans="1:6" x14ac:dyDescent="0.3">
      <c r="A79" t="s">
        <v>6</v>
      </c>
      <c r="B79" t="s">
        <v>192</v>
      </c>
      <c r="C79">
        <v>32</v>
      </c>
    </row>
    <row r="80" spans="1:6" x14ac:dyDescent="0.3">
      <c r="A80" t="s">
        <v>8</v>
      </c>
      <c r="B80" t="s">
        <v>193</v>
      </c>
      <c r="C80">
        <v>11</v>
      </c>
    </row>
    <row r="81" spans="1:6" x14ac:dyDescent="0.3">
      <c r="A81" t="s">
        <v>43</v>
      </c>
      <c r="B81">
        <v>136</v>
      </c>
      <c r="C81" t="s">
        <v>1</v>
      </c>
    </row>
    <row r="82" spans="1:6" x14ac:dyDescent="0.3">
      <c r="A82" t="s">
        <v>0</v>
      </c>
      <c r="B82">
        <v>113</v>
      </c>
    </row>
    <row r="83" spans="1:6" x14ac:dyDescent="0.3">
      <c r="B83">
        <v>1</v>
      </c>
      <c r="C83">
        <v>2</v>
      </c>
      <c r="D83">
        <v>3</v>
      </c>
      <c r="E83">
        <v>4</v>
      </c>
    </row>
    <row r="84" spans="1:6" x14ac:dyDescent="0.3">
      <c r="A84" t="s">
        <v>45</v>
      </c>
      <c r="B84">
        <v>39</v>
      </c>
      <c r="C84">
        <v>38</v>
      </c>
      <c r="D84">
        <v>33</v>
      </c>
      <c r="E84">
        <v>26</v>
      </c>
    </row>
    <row r="85" spans="1:6" x14ac:dyDescent="0.3">
      <c r="A85" t="s">
        <v>3</v>
      </c>
      <c r="B85">
        <v>34</v>
      </c>
      <c r="C85">
        <v>28</v>
      </c>
      <c r="D85">
        <v>31</v>
      </c>
      <c r="E85">
        <v>20</v>
      </c>
    </row>
    <row r="87" spans="1:6" x14ac:dyDescent="0.3">
      <c r="A87" t="s">
        <v>5</v>
      </c>
    </row>
    <row r="89" spans="1:6" x14ac:dyDescent="0.3">
      <c r="A89" t="s">
        <v>6</v>
      </c>
      <c r="B89" t="s">
        <v>47</v>
      </c>
      <c r="C89">
        <v>39</v>
      </c>
    </row>
    <row r="90" spans="1:6" x14ac:dyDescent="0.3">
      <c r="A90" t="s">
        <v>8</v>
      </c>
      <c r="B90" t="s">
        <v>34</v>
      </c>
      <c r="C90">
        <v>10</v>
      </c>
    </row>
    <row r="91" spans="1:6" x14ac:dyDescent="0.3">
      <c r="A91" t="s">
        <v>14</v>
      </c>
      <c r="B91">
        <v>104</v>
      </c>
      <c r="C91" t="s">
        <v>1</v>
      </c>
    </row>
    <row r="92" spans="1:6" x14ac:dyDescent="0.3">
      <c r="A92" t="s">
        <v>48</v>
      </c>
      <c r="B92">
        <v>105</v>
      </c>
      <c r="C92" t="s">
        <v>84</v>
      </c>
    </row>
    <row r="93" spans="1:6" x14ac:dyDescent="0.3">
      <c r="B93">
        <v>1</v>
      </c>
      <c r="C93">
        <v>2</v>
      </c>
      <c r="D93">
        <v>3</v>
      </c>
      <c r="E93">
        <v>4</v>
      </c>
      <c r="F93" t="s">
        <v>84</v>
      </c>
    </row>
    <row r="94" spans="1:6" x14ac:dyDescent="0.3">
      <c r="A94" t="s">
        <v>16</v>
      </c>
      <c r="B94">
        <v>17</v>
      </c>
      <c r="C94">
        <v>25</v>
      </c>
      <c r="D94">
        <v>30</v>
      </c>
      <c r="E94">
        <v>28</v>
      </c>
      <c r="F94">
        <v>4</v>
      </c>
    </row>
    <row r="95" spans="1:6" x14ac:dyDescent="0.3">
      <c r="A95" t="s">
        <v>49</v>
      </c>
      <c r="B95">
        <v>21</v>
      </c>
      <c r="C95">
        <v>31</v>
      </c>
      <c r="D95">
        <v>17</v>
      </c>
      <c r="E95">
        <v>31</v>
      </c>
      <c r="F95">
        <v>5</v>
      </c>
    </row>
    <row r="97" spans="1:3" x14ac:dyDescent="0.3">
      <c r="A97" t="s">
        <v>5</v>
      </c>
    </row>
    <row r="99" spans="1:3" x14ac:dyDescent="0.3">
      <c r="A99" t="s">
        <v>6</v>
      </c>
      <c r="B99" t="s">
        <v>78</v>
      </c>
      <c r="C99">
        <v>23</v>
      </c>
    </row>
    <row r="100" spans="1:3" x14ac:dyDescent="0.3">
      <c r="A100" t="s">
        <v>8</v>
      </c>
      <c r="B100" t="s">
        <v>194</v>
      </c>
      <c r="C100">
        <v>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opLeftCell="A109" zoomScaleNormal="100" workbookViewId="0">
      <selection activeCell="B115" sqref="B115:K115"/>
    </sheetView>
  </sheetViews>
  <sheetFormatPr defaultRowHeight="16.5" x14ac:dyDescent="0.3"/>
  <sheetData>
    <row r="1" spans="1:10" ht="17.100000000000001" x14ac:dyDescent="0.45">
      <c r="A1" t="s">
        <v>20</v>
      </c>
      <c r="B1">
        <v>109</v>
      </c>
      <c r="C1" t="s">
        <v>1</v>
      </c>
    </row>
    <row r="2" spans="1:10" ht="17.100000000000001" x14ac:dyDescent="0.45">
      <c r="A2" t="s">
        <v>15</v>
      </c>
      <c r="B2">
        <v>106</v>
      </c>
    </row>
    <row r="3" spans="1:10" ht="17.100000000000001" x14ac:dyDescent="0.45">
      <c r="B3">
        <v>1</v>
      </c>
      <c r="C3">
        <v>2</v>
      </c>
      <c r="D3">
        <v>3</v>
      </c>
      <c r="E3">
        <v>4</v>
      </c>
    </row>
    <row r="4" spans="1:10" x14ac:dyDescent="0.3">
      <c r="A4" t="s">
        <v>22</v>
      </c>
      <c r="B4">
        <v>32</v>
      </c>
      <c r="C4">
        <v>26</v>
      </c>
      <c r="D4">
        <v>25</v>
      </c>
      <c r="E4">
        <v>26</v>
      </c>
    </row>
    <row r="5" spans="1:10" x14ac:dyDescent="0.3">
      <c r="A5" t="s">
        <v>17</v>
      </c>
      <c r="B5">
        <v>30</v>
      </c>
      <c r="C5">
        <v>35</v>
      </c>
      <c r="D5">
        <v>16</v>
      </c>
      <c r="E5">
        <v>25</v>
      </c>
      <c r="G5">
        <v>32</v>
      </c>
      <c r="H5">
        <v>26</v>
      </c>
      <c r="I5">
        <v>25</v>
      </c>
      <c r="J5">
        <v>26</v>
      </c>
    </row>
    <row r="7" spans="1:10" ht="17.100000000000001" x14ac:dyDescent="0.45">
      <c r="A7" t="s">
        <v>5</v>
      </c>
    </row>
    <row r="9" spans="1:10" ht="17.100000000000001" x14ac:dyDescent="0.45">
      <c r="A9" t="s">
        <v>6</v>
      </c>
      <c r="B9" t="s">
        <v>18</v>
      </c>
      <c r="C9">
        <v>29</v>
      </c>
    </row>
    <row r="10" spans="1:10" ht="17.100000000000001" x14ac:dyDescent="0.45">
      <c r="A10" t="s">
        <v>8</v>
      </c>
      <c r="B10" t="s">
        <v>25</v>
      </c>
      <c r="C10">
        <v>16</v>
      </c>
    </row>
    <row r="11" spans="1:10" ht="17.100000000000001" x14ac:dyDescent="0.45">
      <c r="A11" t="s">
        <v>48</v>
      </c>
      <c r="B11">
        <v>98</v>
      </c>
      <c r="C11" t="s">
        <v>1</v>
      </c>
    </row>
    <row r="12" spans="1:10" ht="17.100000000000001" x14ac:dyDescent="0.45">
      <c r="A12" t="s">
        <v>37</v>
      </c>
      <c r="B12">
        <v>132</v>
      </c>
    </row>
    <row r="13" spans="1:10" ht="17.100000000000001" x14ac:dyDescent="0.45">
      <c r="B13">
        <v>1</v>
      </c>
      <c r="C13">
        <v>2</v>
      </c>
      <c r="D13">
        <v>3</v>
      </c>
      <c r="E13">
        <v>4</v>
      </c>
    </row>
    <row r="14" spans="1:10" x14ac:dyDescent="0.3">
      <c r="A14" t="s">
        <v>49</v>
      </c>
      <c r="B14">
        <v>27</v>
      </c>
      <c r="C14">
        <v>24</v>
      </c>
      <c r="D14">
        <v>20</v>
      </c>
      <c r="E14">
        <v>27</v>
      </c>
    </row>
    <row r="15" spans="1:10" x14ac:dyDescent="0.3">
      <c r="A15" t="s">
        <v>39</v>
      </c>
      <c r="B15">
        <v>32</v>
      </c>
      <c r="C15">
        <v>27</v>
      </c>
      <c r="D15">
        <v>37</v>
      </c>
      <c r="E15">
        <v>36</v>
      </c>
      <c r="G15">
        <v>27</v>
      </c>
      <c r="H15">
        <v>24</v>
      </c>
      <c r="I15">
        <v>20</v>
      </c>
      <c r="J15">
        <v>27</v>
      </c>
    </row>
    <row r="17" spans="1:10" ht="17.100000000000001" x14ac:dyDescent="0.45">
      <c r="A17" t="s">
        <v>5</v>
      </c>
    </row>
    <row r="19" spans="1:10" ht="17.100000000000001" x14ac:dyDescent="0.45">
      <c r="A19" t="s">
        <v>6</v>
      </c>
      <c r="B19" t="s">
        <v>85</v>
      </c>
      <c r="C19">
        <v>28</v>
      </c>
    </row>
    <row r="20" spans="1:10" ht="17.100000000000001" x14ac:dyDescent="0.45">
      <c r="A20" t="s">
        <v>8</v>
      </c>
      <c r="B20" t="s">
        <v>40</v>
      </c>
      <c r="C20">
        <v>16</v>
      </c>
    </row>
    <row r="21" spans="1:10" ht="17.100000000000001" x14ac:dyDescent="0.45">
      <c r="A21" t="s">
        <v>57</v>
      </c>
      <c r="B21">
        <v>125</v>
      </c>
      <c r="C21" t="s">
        <v>1</v>
      </c>
    </row>
    <row r="22" spans="1:10" ht="17.100000000000001" x14ac:dyDescent="0.45">
      <c r="A22" t="s">
        <v>41</v>
      </c>
      <c r="B22">
        <v>150</v>
      </c>
    </row>
    <row r="23" spans="1:10" ht="17.100000000000001" x14ac:dyDescent="0.45">
      <c r="B23">
        <v>1</v>
      </c>
      <c r="C23">
        <v>2</v>
      </c>
      <c r="D23">
        <v>3</v>
      </c>
      <c r="E23">
        <v>4</v>
      </c>
    </row>
    <row r="24" spans="1:10" x14ac:dyDescent="0.3">
      <c r="A24" t="s">
        <v>59</v>
      </c>
      <c r="B24">
        <v>35</v>
      </c>
      <c r="C24">
        <v>22</v>
      </c>
      <c r="D24">
        <v>41</v>
      </c>
      <c r="E24">
        <v>27</v>
      </c>
    </row>
    <row r="25" spans="1:10" x14ac:dyDescent="0.3">
      <c r="A25" t="s">
        <v>42</v>
      </c>
      <c r="B25">
        <v>39</v>
      </c>
      <c r="C25">
        <v>43</v>
      </c>
      <c r="D25">
        <v>34</v>
      </c>
      <c r="E25">
        <v>34</v>
      </c>
      <c r="G25">
        <v>35</v>
      </c>
      <c r="H25">
        <v>22</v>
      </c>
      <c r="I25">
        <v>41</v>
      </c>
      <c r="J25">
        <v>27</v>
      </c>
    </row>
    <row r="27" spans="1:10" ht="17.100000000000001" x14ac:dyDescent="0.45">
      <c r="A27" t="s">
        <v>5</v>
      </c>
    </row>
    <row r="29" spans="1:10" ht="17.100000000000001" x14ac:dyDescent="0.45">
      <c r="A29" t="s">
        <v>6</v>
      </c>
      <c r="B29" t="s">
        <v>83</v>
      </c>
      <c r="C29">
        <v>34</v>
      </c>
    </row>
    <row r="30" spans="1:10" ht="17.100000000000001" x14ac:dyDescent="0.45">
      <c r="A30" t="s">
        <v>8</v>
      </c>
      <c r="B30" t="s">
        <v>77</v>
      </c>
      <c r="C30">
        <v>15</v>
      </c>
    </row>
    <row r="31" spans="1:10" ht="17.100000000000001" x14ac:dyDescent="0.45">
      <c r="A31" t="s">
        <v>27</v>
      </c>
      <c r="B31">
        <v>114</v>
      </c>
      <c r="C31" t="s">
        <v>1</v>
      </c>
    </row>
    <row r="32" spans="1:10" ht="17.100000000000001" x14ac:dyDescent="0.45">
      <c r="A32" t="s">
        <v>43</v>
      </c>
      <c r="B32">
        <v>100</v>
      </c>
    </row>
    <row r="33" spans="1:10" ht="17.100000000000001" x14ac:dyDescent="0.45">
      <c r="B33">
        <v>1</v>
      </c>
      <c r="C33">
        <v>2</v>
      </c>
      <c r="D33">
        <v>3</v>
      </c>
      <c r="E33">
        <v>4</v>
      </c>
    </row>
    <row r="34" spans="1:10" x14ac:dyDescent="0.3">
      <c r="A34" t="s">
        <v>29</v>
      </c>
      <c r="B34">
        <v>25</v>
      </c>
      <c r="C34">
        <v>34</v>
      </c>
      <c r="D34">
        <v>35</v>
      </c>
      <c r="E34">
        <v>20</v>
      </c>
    </row>
    <row r="35" spans="1:10" x14ac:dyDescent="0.3">
      <c r="A35" t="s">
        <v>45</v>
      </c>
      <c r="B35">
        <v>30</v>
      </c>
      <c r="C35">
        <v>32</v>
      </c>
      <c r="D35">
        <v>17</v>
      </c>
      <c r="E35">
        <v>21</v>
      </c>
      <c r="G35">
        <v>25</v>
      </c>
      <c r="H35">
        <v>34</v>
      </c>
      <c r="I35">
        <v>35</v>
      </c>
      <c r="J35">
        <v>20</v>
      </c>
    </row>
    <row r="37" spans="1:10" ht="17.100000000000001" x14ac:dyDescent="0.45">
      <c r="A37" t="s">
        <v>5</v>
      </c>
    </row>
    <row r="39" spans="1:10" ht="17.100000000000001" x14ac:dyDescent="0.45">
      <c r="A39" t="s">
        <v>6</v>
      </c>
      <c r="B39" t="s">
        <v>34</v>
      </c>
      <c r="C39">
        <v>27</v>
      </c>
    </row>
    <row r="40" spans="1:10" ht="17.100000000000001" x14ac:dyDescent="0.45">
      <c r="A40" t="s">
        <v>8</v>
      </c>
      <c r="B40" t="s">
        <v>34</v>
      </c>
      <c r="C40">
        <v>10</v>
      </c>
    </row>
    <row r="41" spans="1:10" ht="17.100000000000001" x14ac:dyDescent="0.45">
      <c r="A41" t="s">
        <v>70</v>
      </c>
      <c r="B41">
        <v>115</v>
      </c>
      <c r="C41" t="s">
        <v>1</v>
      </c>
    </row>
    <row r="42" spans="1:10" ht="17.100000000000001" x14ac:dyDescent="0.45">
      <c r="A42" t="s">
        <v>72</v>
      </c>
      <c r="B42">
        <v>107</v>
      </c>
    </row>
    <row r="43" spans="1:10" ht="17.100000000000001" x14ac:dyDescent="0.45">
      <c r="B43">
        <v>1</v>
      </c>
      <c r="C43">
        <v>2</v>
      </c>
      <c r="D43">
        <v>3</v>
      </c>
      <c r="E43">
        <v>4</v>
      </c>
    </row>
    <row r="44" spans="1:10" x14ac:dyDescent="0.3">
      <c r="A44" t="s">
        <v>71</v>
      </c>
      <c r="B44">
        <v>25</v>
      </c>
      <c r="C44">
        <v>23</v>
      </c>
      <c r="D44">
        <v>38</v>
      </c>
      <c r="E44">
        <v>29</v>
      </c>
    </row>
    <row r="45" spans="1:10" x14ac:dyDescent="0.3">
      <c r="A45" t="s">
        <v>73</v>
      </c>
      <c r="B45">
        <v>21</v>
      </c>
      <c r="C45">
        <v>26</v>
      </c>
      <c r="D45">
        <v>32</v>
      </c>
      <c r="E45">
        <v>28</v>
      </c>
      <c r="G45">
        <v>25</v>
      </c>
      <c r="H45">
        <v>23</v>
      </c>
      <c r="I45">
        <v>38</v>
      </c>
      <c r="J45">
        <v>29</v>
      </c>
    </row>
    <row r="47" spans="1:10" ht="17.100000000000001" x14ac:dyDescent="0.45">
      <c r="A47" t="s">
        <v>5</v>
      </c>
    </row>
    <row r="49" spans="1:10" ht="17.100000000000001" x14ac:dyDescent="0.45">
      <c r="A49" t="s">
        <v>6</v>
      </c>
      <c r="B49" t="s">
        <v>86</v>
      </c>
      <c r="C49">
        <v>26</v>
      </c>
    </row>
    <row r="50" spans="1:10" ht="17.100000000000001" x14ac:dyDescent="0.45">
      <c r="A50" t="s">
        <v>8</v>
      </c>
      <c r="B50" t="s">
        <v>87</v>
      </c>
      <c r="C50">
        <v>13</v>
      </c>
    </row>
    <row r="51" spans="1:10" ht="17.100000000000001" x14ac:dyDescent="0.45">
      <c r="A51" t="s">
        <v>44</v>
      </c>
      <c r="B51">
        <v>107</v>
      </c>
      <c r="C51" t="s">
        <v>1</v>
      </c>
    </row>
    <row r="52" spans="1:10" ht="17.100000000000001" x14ac:dyDescent="0.45">
      <c r="A52" t="s">
        <v>10</v>
      </c>
      <c r="B52">
        <v>104</v>
      </c>
    </row>
    <row r="53" spans="1:10" ht="17.100000000000001" x14ac:dyDescent="0.45">
      <c r="B53">
        <v>1</v>
      </c>
      <c r="C53">
        <v>2</v>
      </c>
      <c r="D53">
        <v>3</v>
      </c>
      <c r="E53">
        <v>4</v>
      </c>
    </row>
    <row r="54" spans="1:10" x14ac:dyDescent="0.3">
      <c r="A54" t="s">
        <v>46</v>
      </c>
      <c r="B54">
        <v>33</v>
      </c>
      <c r="C54">
        <v>23</v>
      </c>
      <c r="D54">
        <v>26</v>
      </c>
      <c r="E54">
        <v>25</v>
      </c>
    </row>
    <row r="55" spans="1:10" x14ac:dyDescent="0.3">
      <c r="A55" t="s">
        <v>12</v>
      </c>
      <c r="B55">
        <v>29</v>
      </c>
      <c r="C55">
        <v>26</v>
      </c>
      <c r="D55">
        <v>22</v>
      </c>
      <c r="E55">
        <v>27</v>
      </c>
      <c r="G55">
        <v>33</v>
      </c>
      <c r="H55">
        <v>23</v>
      </c>
      <c r="I55">
        <v>26</v>
      </c>
      <c r="J55">
        <v>25</v>
      </c>
    </row>
    <row r="57" spans="1:10" ht="17.100000000000001" x14ac:dyDescent="0.45">
      <c r="A57" t="s">
        <v>5</v>
      </c>
    </row>
    <row r="59" spans="1:10" ht="17.100000000000001" x14ac:dyDescent="0.45">
      <c r="A59" t="s">
        <v>6</v>
      </c>
      <c r="B59" t="s">
        <v>88</v>
      </c>
      <c r="C59">
        <v>26</v>
      </c>
    </row>
    <row r="60" spans="1:10" ht="17.100000000000001" x14ac:dyDescent="0.45">
      <c r="A60" t="s">
        <v>8</v>
      </c>
      <c r="B60" t="s">
        <v>34</v>
      </c>
      <c r="C60">
        <v>11</v>
      </c>
    </row>
    <row r="61" spans="1:10" ht="17.100000000000001" x14ac:dyDescent="0.45">
      <c r="A61" t="s">
        <v>30</v>
      </c>
      <c r="B61">
        <v>113</v>
      </c>
      <c r="C61" t="s">
        <v>1</v>
      </c>
    </row>
    <row r="62" spans="1:10" ht="17.100000000000001" x14ac:dyDescent="0.45">
      <c r="A62" t="s">
        <v>75</v>
      </c>
      <c r="B62">
        <v>104</v>
      </c>
    </row>
    <row r="63" spans="1:10" ht="17.100000000000001" x14ac:dyDescent="0.45">
      <c r="B63">
        <v>1</v>
      </c>
      <c r="C63">
        <v>2</v>
      </c>
      <c r="D63">
        <v>3</v>
      </c>
      <c r="E63">
        <v>4</v>
      </c>
    </row>
    <row r="64" spans="1:10" x14ac:dyDescent="0.3">
      <c r="A64" t="s">
        <v>32</v>
      </c>
      <c r="B64">
        <v>31</v>
      </c>
      <c r="C64">
        <v>27</v>
      </c>
      <c r="D64">
        <v>23</v>
      </c>
      <c r="E64">
        <v>32</v>
      </c>
    </row>
    <row r="65" spans="1:10" x14ac:dyDescent="0.3">
      <c r="A65" t="s">
        <v>76</v>
      </c>
      <c r="B65">
        <v>30</v>
      </c>
      <c r="C65">
        <v>28</v>
      </c>
      <c r="D65">
        <v>27</v>
      </c>
      <c r="E65">
        <v>19</v>
      </c>
      <c r="G65">
        <v>31</v>
      </c>
      <c r="H65">
        <v>27</v>
      </c>
      <c r="I65">
        <v>23</v>
      </c>
      <c r="J65">
        <v>32</v>
      </c>
    </row>
    <row r="67" spans="1:10" ht="17.100000000000001" x14ac:dyDescent="0.45">
      <c r="A67" t="s">
        <v>5</v>
      </c>
    </row>
    <row r="69" spans="1:10" ht="17.100000000000001" x14ac:dyDescent="0.45">
      <c r="A69" t="s">
        <v>6</v>
      </c>
      <c r="B69" t="s">
        <v>89</v>
      </c>
      <c r="C69">
        <v>30</v>
      </c>
    </row>
    <row r="70" spans="1:10" ht="17.100000000000001" x14ac:dyDescent="0.45">
      <c r="A70" t="s">
        <v>8</v>
      </c>
      <c r="B70" t="s">
        <v>79</v>
      </c>
      <c r="C70">
        <v>11</v>
      </c>
    </row>
    <row r="71" spans="1:10" ht="17.100000000000001" x14ac:dyDescent="0.45">
      <c r="A71" t="s">
        <v>50</v>
      </c>
      <c r="B71">
        <v>96</v>
      </c>
      <c r="C71" t="s">
        <v>1</v>
      </c>
    </row>
    <row r="72" spans="1:10" ht="17.100000000000001" x14ac:dyDescent="0.45">
      <c r="A72" t="s">
        <v>65</v>
      </c>
      <c r="B72">
        <v>100</v>
      </c>
    </row>
    <row r="73" spans="1:10" ht="17.100000000000001" x14ac:dyDescent="0.45">
      <c r="B73">
        <v>1</v>
      </c>
      <c r="C73">
        <v>2</v>
      </c>
      <c r="D73">
        <v>3</v>
      </c>
      <c r="E73">
        <v>4</v>
      </c>
    </row>
    <row r="74" spans="1:10" x14ac:dyDescent="0.3">
      <c r="A74" t="s">
        <v>52</v>
      </c>
      <c r="B74">
        <v>22</v>
      </c>
      <c r="C74">
        <v>29</v>
      </c>
      <c r="D74">
        <v>20</v>
      </c>
      <c r="E74">
        <v>25</v>
      </c>
    </row>
    <row r="75" spans="1:10" x14ac:dyDescent="0.3">
      <c r="A75" t="s">
        <v>67</v>
      </c>
      <c r="B75">
        <v>26</v>
      </c>
      <c r="C75">
        <v>25</v>
      </c>
      <c r="D75">
        <v>21</v>
      </c>
      <c r="E75">
        <v>28</v>
      </c>
      <c r="G75">
        <v>22</v>
      </c>
      <c r="H75">
        <v>29</v>
      </c>
      <c r="I75">
        <v>20</v>
      </c>
      <c r="J75">
        <v>25</v>
      </c>
    </row>
    <row r="77" spans="1:10" ht="17.100000000000001" x14ac:dyDescent="0.45">
      <c r="A77" t="s">
        <v>5</v>
      </c>
    </row>
    <row r="79" spans="1:10" ht="17.100000000000001" x14ac:dyDescent="0.45">
      <c r="A79" t="s">
        <v>6</v>
      </c>
      <c r="B79" t="s">
        <v>69</v>
      </c>
      <c r="C79">
        <v>32</v>
      </c>
    </row>
    <row r="80" spans="1:10" ht="17.100000000000001" x14ac:dyDescent="0.45">
      <c r="A80" t="s">
        <v>8</v>
      </c>
      <c r="B80" t="s">
        <v>90</v>
      </c>
      <c r="C80">
        <v>12</v>
      </c>
    </row>
    <row r="81" spans="1:10" ht="17.100000000000001" x14ac:dyDescent="0.45">
      <c r="A81" t="s">
        <v>51</v>
      </c>
      <c r="B81">
        <v>110</v>
      </c>
      <c r="C81" t="s">
        <v>1</v>
      </c>
    </row>
    <row r="82" spans="1:10" ht="17.100000000000001" x14ac:dyDescent="0.45">
      <c r="A82" t="s">
        <v>60</v>
      </c>
      <c r="B82">
        <v>130</v>
      </c>
    </row>
    <row r="83" spans="1:10" ht="17.100000000000001" x14ac:dyDescent="0.45">
      <c r="B83">
        <v>1</v>
      </c>
      <c r="C83">
        <v>2</v>
      </c>
      <c r="D83">
        <v>3</v>
      </c>
      <c r="E83">
        <v>4</v>
      </c>
    </row>
    <row r="84" spans="1:10" x14ac:dyDescent="0.3">
      <c r="A84" t="s">
        <v>53</v>
      </c>
      <c r="B84">
        <v>20</v>
      </c>
      <c r="C84">
        <v>17</v>
      </c>
      <c r="D84">
        <v>49</v>
      </c>
      <c r="E84">
        <v>24</v>
      </c>
    </row>
    <row r="85" spans="1:10" x14ac:dyDescent="0.3">
      <c r="A85" t="s">
        <v>61</v>
      </c>
      <c r="B85">
        <v>37</v>
      </c>
      <c r="C85">
        <v>40</v>
      </c>
      <c r="D85">
        <v>30</v>
      </c>
      <c r="E85">
        <v>23</v>
      </c>
      <c r="G85">
        <v>20</v>
      </c>
      <c r="H85">
        <v>17</v>
      </c>
      <c r="I85">
        <v>49</v>
      </c>
      <c r="J85">
        <v>24</v>
      </c>
    </row>
    <row r="87" spans="1:10" ht="17.100000000000001" x14ac:dyDescent="0.45">
      <c r="A87" t="s">
        <v>5</v>
      </c>
    </row>
    <row r="89" spans="1:10" ht="17.100000000000001" x14ac:dyDescent="0.45">
      <c r="A89" t="s">
        <v>6</v>
      </c>
      <c r="B89" t="s">
        <v>62</v>
      </c>
      <c r="C89">
        <v>35</v>
      </c>
    </row>
    <row r="90" spans="1:10" ht="17.100000000000001" x14ac:dyDescent="0.45">
      <c r="A90" t="s">
        <v>8</v>
      </c>
      <c r="B90" t="s">
        <v>55</v>
      </c>
      <c r="C90">
        <v>11</v>
      </c>
    </row>
    <row r="92" spans="1:10" ht="17.100000000000001" x14ac:dyDescent="0.45">
      <c r="B92">
        <v>1</v>
      </c>
      <c r="C92">
        <v>2</v>
      </c>
      <c r="D92">
        <v>3</v>
      </c>
      <c r="E92">
        <v>4</v>
      </c>
      <c r="G92" t="s">
        <v>92</v>
      </c>
    </row>
    <row r="93" spans="1:10" ht="17.100000000000001" x14ac:dyDescent="0.45">
      <c r="A93" t="s">
        <v>142</v>
      </c>
      <c r="B93">
        <v>32</v>
      </c>
      <c r="C93">
        <v>30</v>
      </c>
      <c r="D93">
        <v>35</v>
      </c>
      <c r="E93">
        <v>30</v>
      </c>
    </row>
    <row r="94" spans="1:10" ht="17.100000000000001" x14ac:dyDescent="0.45">
      <c r="A94" t="s">
        <v>100</v>
      </c>
      <c r="B94">
        <v>28</v>
      </c>
      <c r="C94">
        <v>18</v>
      </c>
      <c r="D94">
        <v>22</v>
      </c>
      <c r="E94">
        <v>26</v>
      </c>
      <c r="G94">
        <v>32</v>
      </c>
      <c r="H94">
        <v>30</v>
      </c>
      <c r="I94">
        <v>35</v>
      </c>
      <c r="J94">
        <v>30</v>
      </c>
    </row>
    <row r="95" spans="1:10" ht="17.100000000000001" x14ac:dyDescent="0.45">
      <c r="B95">
        <v>1</v>
      </c>
      <c r="C95">
        <v>2</v>
      </c>
      <c r="D95">
        <v>3</v>
      </c>
      <c r="E95">
        <v>4</v>
      </c>
      <c r="G95" t="s">
        <v>92</v>
      </c>
    </row>
    <row r="96" spans="1:10" ht="17.100000000000001" x14ac:dyDescent="0.45">
      <c r="A96" t="s">
        <v>129</v>
      </c>
      <c r="B96">
        <v>32</v>
      </c>
      <c r="C96">
        <v>36</v>
      </c>
      <c r="D96">
        <v>29</v>
      </c>
      <c r="E96">
        <v>30</v>
      </c>
    </row>
    <row r="97" spans="1:10" ht="17.100000000000001" x14ac:dyDescent="0.45">
      <c r="A97" t="s">
        <v>136</v>
      </c>
      <c r="B97">
        <v>26</v>
      </c>
      <c r="C97">
        <v>28</v>
      </c>
      <c r="D97">
        <v>34</v>
      </c>
      <c r="E97">
        <v>32</v>
      </c>
      <c r="G97">
        <v>32</v>
      </c>
      <c r="H97">
        <v>36</v>
      </c>
      <c r="I97">
        <v>29</v>
      </c>
      <c r="J97">
        <v>30</v>
      </c>
    </row>
    <row r="98" spans="1:10" ht="17.100000000000001" x14ac:dyDescent="0.45">
      <c r="B98">
        <v>1</v>
      </c>
      <c r="C98">
        <v>2</v>
      </c>
      <c r="D98">
        <v>3</v>
      </c>
      <c r="E98">
        <v>4</v>
      </c>
      <c r="G98" t="s">
        <v>91</v>
      </c>
      <c r="H98" t="s">
        <v>92</v>
      </c>
    </row>
    <row r="99" spans="1:10" ht="17.100000000000001" x14ac:dyDescent="0.45">
      <c r="A99" t="s">
        <v>138</v>
      </c>
      <c r="B99">
        <v>32</v>
      </c>
      <c r="C99">
        <v>26</v>
      </c>
      <c r="D99">
        <v>25</v>
      </c>
      <c r="E99">
        <v>25</v>
      </c>
      <c r="G99">
        <v>121</v>
      </c>
    </row>
    <row r="100" spans="1:10" ht="17.100000000000001" x14ac:dyDescent="0.45">
      <c r="A100" t="s">
        <v>144</v>
      </c>
      <c r="B100">
        <v>23</v>
      </c>
      <c r="C100">
        <v>30</v>
      </c>
      <c r="D100">
        <v>28</v>
      </c>
      <c r="E100">
        <v>27</v>
      </c>
      <c r="G100">
        <v>32</v>
      </c>
      <c r="H100">
        <v>26</v>
      </c>
      <c r="I100">
        <v>25</v>
      </c>
      <c r="J100">
        <v>25</v>
      </c>
    </row>
    <row r="101" spans="1:10" ht="17.100000000000001" x14ac:dyDescent="0.45">
      <c r="B101">
        <v>1</v>
      </c>
      <c r="C101">
        <v>2</v>
      </c>
      <c r="D101">
        <v>3</v>
      </c>
      <c r="E101">
        <v>4</v>
      </c>
      <c r="G101" t="s">
        <v>92</v>
      </c>
    </row>
    <row r="102" spans="1:10" ht="17.100000000000001" x14ac:dyDescent="0.45">
      <c r="A102" t="s">
        <v>135</v>
      </c>
      <c r="B102">
        <v>24</v>
      </c>
      <c r="C102">
        <v>35</v>
      </c>
      <c r="D102">
        <v>25</v>
      </c>
      <c r="E102">
        <v>34</v>
      </c>
    </row>
    <row r="103" spans="1:10" ht="17.100000000000001" x14ac:dyDescent="0.45">
      <c r="A103" t="s">
        <v>150</v>
      </c>
      <c r="B103">
        <v>24</v>
      </c>
      <c r="C103">
        <v>29</v>
      </c>
      <c r="D103">
        <v>22</v>
      </c>
      <c r="E103">
        <v>22</v>
      </c>
      <c r="G103">
        <v>24</v>
      </c>
      <c r="H103">
        <v>35</v>
      </c>
      <c r="I103">
        <v>25</v>
      </c>
      <c r="J103">
        <v>34</v>
      </c>
    </row>
    <row r="104" spans="1:10" ht="17.100000000000001" x14ac:dyDescent="0.45">
      <c r="B104">
        <v>1</v>
      </c>
      <c r="C104">
        <v>2</v>
      </c>
      <c r="D104">
        <v>3</v>
      </c>
      <c r="E104">
        <v>4</v>
      </c>
      <c r="G104" t="s">
        <v>91</v>
      </c>
      <c r="H104" t="s">
        <v>92</v>
      </c>
    </row>
    <row r="105" spans="1:10" ht="17.100000000000001" x14ac:dyDescent="0.45">
      <c r="A105" t="s">
        <v>146</v>
      </c>
      <c r="B105">
        <v>25</v>
      </c>
      <c r="C105">
        <v>38</v>
      </c>
      <c r="D105">
        <v>34</v>
      </c>
      <c r="E105">
        <v>18</v>
      </c>
      <c r="G105">
        <v>133</v>
      </c>
    </row>
    <row r="106" spans="1:10" ht="17.100000000000001" x14ac:dyDescent="0.45">
      <c r="A106" t="s">
        <v>169</v>
      </c>
      <c r="B106">
        <v>27</v>
      </c>
      <c r="C106">
        <v>32</v>
      </c>
      <c r="D106">
        <v>22</v>
      </c>
      <c r="E106">
        <v>34</v>
      </c>
      <c r="G106">
        <v>25</v>
      </c>
      <c r="H106">
        <v>38</v>
      </c>
      <c r="I106">
        <v>34</v>
      </c>
      <c r="J106">
        <v>18</v>
      </c>
    </row>
    <row r="107" spans="1:10" ht="17.100000000000001" x14ac:dyDescent="0.45">
      <c r="B107">
        <v>1</v>
      </c>
      <c r="C107">
        <v>2</v>
      </c>
      <c r="D107">
        <v>3</v>
      </c>
      <c r="E107">
        <v>4</v>
      </c>
      <c r="G107" t="s">
        <v>92</v>
      </c>
    </row>
    <row r="108" spans="1:10" ht="17.100000000000001" x14ac:dyDescent="0.45">
      <c r="A108" t="s">
        <v>148</v>
      </c>
      <c r="B108">
        <v>28</v>
      </c>
      <c r="C108">
        <v>32</v>
      </c>
      <c r="D108">
        <v>24</v>
      </c>
      <c r="E108">
        <v>21</v>
      </c>
    </row>
    <row r="109" spans="1:10" ht="17.100000000000001" x14ac:dyDescent="0.45">
      <c r="A109" t="s">
        <v>147</v>
      </c>
      <c r="B109">
        <v>24</v>
      </c>
      <c r="C109">
        <v>25</v>
      </c>
      <c r="D109">
        <v>27</v>
      </c>
      <c r="E109">
        <v>20</v>
      </c>
      <c r="G109">
        <v>28</v>
      </c>
      <c r="H109">
        <v>32</v>
      </c>
      <c r="I109">
        <v>24</v>
      </c>
      <c r="J109">
        <v>21</v>
      </c>
    </row>
    <row r="110" spans="1:10" ht="17.100000000000001" x14ac:dyDescent="0.45">
      <c r="B110">
        <v>1</v>
      </c>
      <c r="C110">
        <v>2</v>
      </c>
      <c r="D110">
        <v>3</v>
      </c>
      <c r="E110">
        <v>4</v>
      </c>
      <c r="G110" t="s">
        <v>92</v>
      </c>
    </row>
    <row r="111" spans="1:10" ht="17.100000000000001" x14ac:dyDescent="0.45">
      <c r="A111" t="s">
        <v>139</v>
      </c>
      <c r="B111">
        <v>30</v>
      </c>
      <c r="C111">
        <v>29</v>
      </c>
      <c r="D111">
        <v>17</v>
      </c>
      <c r="E111">
        <v>21</v>
      </c>
    </row>
    <row r="112" spans="1:10" ht="17.100000000000001" x14ac:dyDescent="0.45">
      <c r="A112" t="s">
        <v>149</v>
      </c>
      <c r="B112">
        <v>29</v>
      </c>
      <c r="C112">
        <v>33</v>
      </c>
      <c r="D112">
        <v>27</v>
      </c>
      <c r="E112">
        <v>28</v>
      </c>
      <c r="G112">
        <v>30</v>
      </c>
      <c r="H112">
        <v>29</v>
      </c>
      <c r="I112">
        <v>17</v>
      </c>
      <c r="J112">
        <v>21</v>
      </c>
    </row>
    <row r="113" spans="1:11" ht="17.100000000000001" x14ac:dyDescent="0.45">
      <c r="B113">
        <v>1</v>
      </c>
      <c r="C113">
        <v>2</v>
      </c>
      <c r="D113">
        <v>3</v>
      </c>
      <c r="E113">
        <v>4</v>
      </c>
      <c r="F113" t="s">
        <v>168</v>
      </c>
      <c r="G113" t="s">
        <v>91</v>
      </c>
      <c r="H113" t="s">
        <v>92</v>
      </c>
    </row>
    <row r="114" spans="1:11" ht="17.100000000000001" x14ac:dyDescent="0.45">
      <c r="A114" t="s">
        <v>146</v>
      </c>
      <c r="B114">
        <v>25</v>
      </c>
      <c r="C114">
        <v>38</v>
      </c>
      <c r="D114">
        <v>34</v>
      </c>
      <c r="E114">
        <v>18</v>
      </c>
      <c r="F114">
        <v>18</v>
      </c>
      <c r="G114">
        <v>133</v>
      </c>
    </row>
    <row r="115" spans="1:11" ht="17.100000000000001" x14ac:dyDescent="0.45">
      <c r="A115" t="s">
        <v>169</v>
      </c>
      <c r="B115">
        <v>27</v>
      </c>
      <c r="C115">
        <v>32</v>
      </c>
      <c r="D115">
        <v>22</v>
      </c>
      <c r="E115">
        <v>34</v>
      </c>
      <c r="F115">
        <v>20</v>
      </c>
      <c r="G115">
        <v>25</v>
      </c>
      <c r="H115">
        <v>38</v>
      </c>
      <c r="I115">
        <v>34</v>
      </c>
      <c r="J115">
        <v>18</v>
      </c>
      <c r="K115">
        <v>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F32"/>
  <sheetViews>
    <sheetView tabSelected="1" zoomScale="55" zoomScaleNormal="55" workbookViewId="0">
      <selection sqref="A1:AB31"/>
    </sheetView>
  </sheetViews>
  <sheetFormatPr defaultRowHeight="16.5" x14ac:dyDescent="0.3"/>
  <cols>
    <col min="6" max="9" width="4.875" bestFit="1" customWidth="1"/>
    <col min="10" max="10" width="4.5" bestFit="1" customWidth="1"/>
    <col min="11" max="14" width="4.75" bestFit="1" customWidth="1"/>
  </cols>
  <sheetData>
    <row r="1" spans="1:32" x14ac:dyDescent="0.3">
      <c r="A1" t="s">
        <v>139</v>
      </c>
      <c r="AC1">
        <f>COUNTIF($V$3:$Y$40,"O")</f>
        <v>60</v>
      </c>
      <c r="AD1">
        <f>COUNTIF($V$3:$Y$40,"U")</f>
        <v>53</v>
      </c>
      <c r="AE1">
        <f>COUNTIF($V$1:$Y$12,"O")</f>
        <v>18</v>
      </c>
      <c r="AF1">
        <f>COUNTIF($V$1:$Y$12,"U")</f>
        <v>20</v>
      </c>
    </row>
    <row r="2" spans="1:32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</row>
    <row r="3" spans="1:32" x14ac:dyDescent="0.3">
      <c r="A3">
        <v>468</v>
      </c>
      <c r="B3">
        <v>191221</v>
      </c>
      <c r="C3" s="1">
        <v>0.5</v>
      </c>
      <c r="D3" t="s">
        <v>139</v>
      </c>
      <c r="E3" t="s">
        <v>129</v>
      </c>
      <c r="F3">
        <v>31</v>
      </c>
      <c r="G3">
        <v>26</v>
      </c>
      <c r="H3">
        <v>36</v>
      </c>
      <c r="I3">
        <v>25</v>
      </c>
      <c r="K3">
        <v>13</v>
      </c>
      <c r="L3">
        <v>31</v>
      </c>
      <c r="M3">
        <v>31</v>
      </c>
      <c r="N3">
        <v>28</v>
      </c>
      <c r="P3">
        <v>118</v>
      </c>
      <c r="Q3">
        <v>103</v>
      </c>
      <c r="R3" t="s">
        <v>130</v>
      </c>
      <c r="S3" t="s">
        <v>131</v>
      </c>
      <c r="T3" t="s">
        <v>130</v>
      </c>
      <c r="U3" t="s">
        <v>131</v>
      </c>
      <c r="V3" t="s">
        <v>132</v>
      </c>
      <c r="W3" t="s">
        <v>133</v>
      </c>
      <c r="X3" t="s">
        <v>133</v>
      </c>
      <c r="Y3" t="s">
        <v>132</v>
      </c>
      <c r="AA3">
        <v>56</v>
      </c>
      <c r="AB3" t="s">
        <v>418</v>
      </c>
    </row>
    <row r="4" spans="1:32" x14ac:dyDescent="0.3">
      <c r="A4">
        <v>455</v>
      </c>
      <c r="B4">
        <v>191219</v>
      </c>
      <c r="C4" s="1">
        <v>0.5</v>
      </c>
      <c r="D4" t="s">
        <v>139</v>
      </c>
      <c r="E4" t="s">
        <v>95</v>
      </c>
      <c r="F4">
        <v>40</v>
      </c>
      <c r="G4">
        <v>27</v>
      </c>
      <c r="H4">
        <v>30</v>
      </c>
      <c r="I4">
        <v>25</v>
      </c>
      <c r="K4">
        <v>29</v>
      </c>
      <c r="L4">
        <v>37</v>
      </c>
      <c r="M4">
        <v>26</v>
      </c>
      <c r="N4">
        <v>20</v>
      </c>
      <c r="P4">
        <v>122</v>
      </c>
      <c r="Q4">
        <v>112</v>
      </c>
      <c r="R4" t="s">
        <v>130</v>
      </c>
      <c r="S4" t="s">
        <v>131</v>
      </c>
      <c r="T4" t="s">
        <v>130</v>
      </c>
      <c r="U4" t="s">
        <v>130</v>
      </c>
      <c r="V4" t="s">
        <v>133</v>
      </c>
      <c r="W4" t="s">
        <v>133</v>
      </c>
      <c r="X4" t="s">
        <v>132</v>
      </c>
      <c r="Y4" t="s">
        <v>132</v>
      </c>
      <c r="AA4">
        <v>56.5</v>
      </c>
      <c r="AB4" t="s">
        <v>419</v>
      </c>
    </row>
    <row r="5" spans="1:32" x14ac:dyDescent="0.3">
      <c r="A5">
        <v>440</v>
      </c>
      <c r="B5">
        <v>191217</v>
      </c>
      <c r="C5" s="1">
        <v>0.45833333333333331</v>
      </c>
      <c r="D5" t="s">
        <v>93</v>
      </c>
      <c r="E5" t="s">
        <v>139</v>
      </c>
      <c r="F5">
        <v>33</v>
      </c>
      <c r="G5">
        <v>34</v>
      </c>
      <c r="H5">
        <v>21</v>
      </c>
      <c r="I5">
        <v>22</v>
      </c>
      <c r="K5">
        <v>25</v>
      </c>
      <c r="L5">
        <v>34</v>
      </c>
      <c r="M5">
        <v>31</v>
      </c>
      <c r="N5">
        <v>21</v>
      </c>
      <c r="P5">
        <v>110</v>
      </c>
      <c r="Q5">
        <v>111</v>
      </c>
      <c r="R5" t="s">
        <v>130</v>
      </c>
      <c r="S5" t="s">
        <v>134</v>
      </c>
      <c r="T5" t="s">
        <v>131</v>
      </c>
      <c r="U5" t="s">
        <v>130</v>
      </c>
      <c r="V5" t="s">
        <v>91</v>
      </c>
      <c r="W5" t="s">
        <v>133</v>
      </c>
      <c r="X5" t="s">
        <v>132</v>
      </c>
      <c r="Y5" t="s">
        <v>132</v>
      </c>
      <c r="AA5">
        <v>58</v>
      </c>
      <c r="AB5" t="s">
        <v>374</v>
      </c>
    </row>
    <row r="6" spans="1:32" x14ac:dyDescent="0.3">
      <c r="A6">
        <v>410</v>
      </c>
      <c r="B6">
        <v>191213</v>
      </c>
      <c r="C6" s="1">
        <v>0.52083333333333337</v>
      </c>
      <c r="D6" t="s">
        <v>147</v>
      </c>
      <c r="E6" t="s">
        <v>139</v>
      </c>
      <c r="F6">
        <v>33</v>
      </c>
      <c r="G6">
        <v>29</v>
      </c>
      <c r="H6">
        <v>27</v>
      </c>
      <c r="I6">
        <v>25</v>
      </c>
      <c r="K6">
        <v>26</v>
      </c>
      <c r="L6">
        <v>27</v>
      </c>
      <c r="M6">
        <v>25</v>
      </c>
      <c r="N6">
        <v>21</v>
      </c>
      <c r="P6">
        <v>114</v>
      </c>
      <c r="Q6">
        <v>99</v>
      </c>
      <c r="R6" t="s">
        <v>130</v>
      </c>
      <c r="S6" t="s">
        <v>130</v>
      </c>
      <c r="T6" t="s">
        <v>130</v>
      </c>
      <c r="U6" t="s">
        <v>130</v>
      </c>
      <c r="V6" t="s">
        <v>133</v>
      </c>
      <c r="W6" t="s">
        <v>133</v>
      </c>
      <c r="X6" t="s">
        <v>132</v>
      </c>
      <c r="Y6" t="s">
        <v>132</v>
      </c>
      <c r="AA6">
        <v>54.5</v>
      </c>
      <c r="AB6" t="s">
        <v>373</v>
      </c>
    </row>
    <row r="7" spans="1:32" x14ac:dyDescent="0.3">
      <c r="A7">
        <v>395</v>
      </c>
      <c r="B7">
        <v>191211</v>
      </c>
      <c r="C7" s="1">
        <v>0.5</v>
      </c>
      <c r="D7" t="s">
        <v>139</v>
      </c>
      <c r="E7" t="s">
        <v>137</v>
      </c>
      <c r="F7">
        <v>32</v>
      </c>
      <c r="G7">
        <v>28</v>
      </c>
      <c r="H7">
        <v>26</v>
      </c>
      <c r="I7">
        <v>29</v>
      </c>
      <c r="K7">
        <v>22</v>
      </c>
      <c r="L7">
        <v>19</v>
      </c>
      <c r="M7">
        <v>18</v>
      </c>
      <c r="N7">
        <v>28</v>
      </c>
      <c r="P7">
        <v>115</v>
      </c>
      <c r="Q7">
        <v>87</v>
      </c>
      <c r="R7" t="s">
        <v>130</v>
      </c>
      <c r="S7" t="s">
        <v>130</v>
      </c>
      <c r="T7" t="s">
        <v>130</v>
      </c>
      <c r="U7" t="s">
        <v>130</v>
      </c>
      <c r="V7" t="s">
        <v>132</v>
      </c>
      <c r="W7" t="s">
        <v>132</v>
      </c>
      <c r="X7" t="s">
        <v>132</v>
      </c>
      <c r="Y7" t="s">
        <v>91</v>
      </c>
      <c r="AA7">
        <v>57</v>
      </c>
      <c r="AB7" t="s">
        <v>375</v>
      </c>
    </row>
    <row r="8" spans="1:32" x14ac:dyDescent="0.3">
      <c r="A8">
        <v>381</v>
      </c>
      <c r="B8">
        <v>191209</v>
      </c>
      <c r="C8" s="1">
        <v>0.45833333333333331</v>
      </c>
      <c r="D8" t="s">
        <v>139</v>
      </c>
      <c r="E8" t="s">
        <v>145</v>
      </c>
      <c r="F8">
        <v>20</v>
      </c>
      <c r="G8">
        <v>27</v>
      </c>
      <c r="H8">
        <v>31</v>
      </c>
      <c r="I8">
        <v>18</v>
      </c>
      <c r="K8">
        <v>21</v>
      </c>
      <c r="L8">
        <v>34</v>
      </c>
      <c r="M8">
        <v>27</v>
      </c>
      <c r="N8">
        <v>26</v>
      </c>
      <c r="P8">
        <v>96</v>
      </c>
      <c r="Q8">
        <v>108</v>
      </c>
      <c r="R8" t="s">
        <v>131</v>
      </c>
      <c r="S8" t="s">
        <v>131</v>
      </c>
      <c r="T8" t="s">
        <v>130</v>
      </c>
      <c r="U8" t="s">
        <v>131</v>
      </c>
      <c r="V8" t="s">
        <v>132</v>
      </c>
      <c r="W8" t="s">
        <v>133</v>
      </c>
      <c r="X8" t="s">
        <v>133</v>
      </c>
      <c r="Y8" t="s">
        <v>132</v>
      </c>
      <c r="AA8">
        <v>57.5</v>
      </c>
      <c r="AB8" t="s">
        <v>158</v>
      </c>
    </row>
    <row r="9" spans="1:32" x14ac:dyDescent="0.3">
      <c r="A9">
        <v>369</v>
      </c>
      <c r="B9">
        <v>191207</v>
      </c>
      <c r="C9" s="1">
        <v>0.52083333333333337</v>
      </c>
      <c r="D9" t="s">
        <v>139</v>
      </c>
      <c r="E9" t="s">
        <v>148</v>
      </c>
      <c r="F9">
        <v>34</v>
      </c>
      <c r="G9">
        <v>28</v>
      </c>
      <c r="H9">
        <v>31</v>
      </c>
      <c r="I9">
        <v>20</v>
      </c>
      <c r="K9">
        <v>39</v>
      </c>
      <c r="L9">
        <v>38</v>
      </c>
      <c r="M9">
        <v>33</v>
      </c>
      <c r="N9">
        <v>26</v>
      </c>
      <c r="P9">
        <v>113</v>
      </c>
      <c r="Q9">
        <v>136</v>
      </c>
      <c r="R9" t="s">
        <v>131</v>
      </c>
      <c r="S9" t="s">
        <v>131</v>
      </c>
      <c r="T9" t="s">
        <v>131</v>
      </c>
      <c r="U9" t="s">
        <v>131</v>
      </c>
      <c r="V9" t="s">
        <v>133</v>
      </c>
      <c r="W9" t="s">
        <v>133</v>
      </c>
      <c r="X9" t="s">
        <v>133</v>
      </c>
      <c r="Y9" t="s">
        <v>132</v>
      </c>
      <c r="AA9">
        <v>58</v>
      </c>
      <c r="AB9" t="s">
        <v>376</v>
      </c>
    </row>
    <row r="10" spans="1:32" x14ac:dyDescent="0.3">
      <c r="A10">
        <v>355</v>
      </c>
      <c r="B10">
        <v>191205</v>
      </c>
      <c r="C10" s="1">
        <v>0.5</v>
      </c>
      <c r="D10" t="s">
        <v>139</v>
      </c>
      <c r="E10" t="s">
        <v>99</v>
      </c>
      <c r="F10">
        <v>30</v>
      </c>
      <c r="G10">
        <v>36</v>
      </c>
      <c r="H10">
        <v>34</v>
      </c>
      <c r="I10">
        <v>27</v>
      </c>
      <c r="K10">
        <v>35</v>
      </c>
      <c r="L10">
        <v>29</v>
      </c>
      <c r="M10">
        <v>31</v>
      </c>
      <c r="N10">
        <v>21</v>
      </c>
      <c r="P10">
        <v>127</v>
      </c>
      <c r="Q10">
        <v>116</v>
      </c>
      <c r="R10" t="s">
        <v>131</v>
      </c>
      <c r="S10" t="s">
        <v>130</v>
      </c>
      <c r="T10" t="s">
        <v>130</v>
      </c>
      <c r="U10" t="s">
        <v>130</v>
      </c>
      <c r="V10" t="s">
        <v>133</v>
      </c>
      <c r="W10" t="s">
        <v>133</v>
      </c>
      <c r="X10" t="s">
        <v>133</v>
      </c>
      <c r="Y10" t="s">
        <v>132</v>
      </c>
      <c r="AA10">
        <v>55.5</v>
      </c>
      <c r="AB10" t="s">
        <v>377</v>
      </c>
    </row>
    <row r="11" spans="1:32" x14ac:dyDescent="0.3">
      <c r="A11">
        <v>345</v>
      </c>
      <c r="B11">
        <v>191204</v>
      </c>
      <c r="C11" s="1">
        <v>0.5</v>
      </c>
      <c r="D11" t="s">
        <v>149</v>
      </c>
      <c r="E11" t="s">
        <v>139</v>
      </c>
      <c r="F11">
        <v>29</v>
      </c>
      <c r="G11">
        <v>33</v>
      </c>
      <c r="H11">
        <v>27</v>
      </c>
      <c r="I11">
        <v>28</v>
      </c>
      <c r="K11">
        <v>30</v>
      </c>
      <c r="L11">
        <v>29</v>
      </c>
      <c r="M11">
        <v>17</v>
      </c>
      <c r="N11">
        <v>21</v>
      </c>
      <c r="P11">
        <v>117</v>
      </c>
      <c r="Q11">
        <v>97</v>
      </c>
      <c r="R11" t="s">
        <v>131</v>
      </c>
      <c r="S11" t="s">
        <v>130</v>
      </c>
      <c r="T11" t="s">
        <v>130</v>
      </c>
      <c r="U11" t="s">
        <v>130</v>
      </c>
      <c r="V11" t="s">
        <v>133</v>
      </c>
      <c r="W11" t="s">
        <v>133</v>
      </c>
      <c r="X11" t="s">
        <v>132</v>
      </c>
      <c r="Y11" t="s">
        <v>132</v>
      </c>
      <c r="AA11">
        <v>58.5</v>
      </c>
      <c r="AB11" t="s">
        <v>156</v>
      </c>
    </row>
    <row r="12" spans="1:32" x14ac:dyDescent="0.3">
      <c r="A12">
        <v>316</v>
      </c>
      <c r="B12">
        <v>191130</v>
      </c>
      <c r="C12" s="1">
        <v>0.5</v>
      </c>
      <c r="D12" t="s">
        <v>139</v>
      </c>
      <c r="E12" t="s">
        <v>98</v>
      </c>
      <c r="F12">
        <v>25</v>
      </c>
      <c r="G12">
        <v>28</v>
      </c>
      <c r="H12">
        <v>28</v>
      </c>
      <c r="I12">
        <v>26</v>
      </c>
      <c r="K12">
        <v>28</v>
      </c>
      <c r="L12">
        <v>19</v>
      </c>
      <c r="M12">
        <v>31</v>
      </c>
      <c r="N12">
        <v>25</v>
      </c>
      <c r="P12">
        <v>107</v>
      </c>
      <c r="Q12">
        <v>103</v>
      </c>
      <c r="R12" t="s">
        <v>131</v>
      </c>
      <c r="S12" t="s">
        <v>130</v>
      </c>
      <c r="T12" t="s">
        <v>131</v>
      </c>
      <c r="U12" t="s">
        <v>130</v>
      </c>
      <c r="V12" t="s">
        <v>132</v>
      </c>
      <c r="W12" t="s">
        <v>132</v>
      </c>
      <c r="X12" t="s">
        <v>133</v>
      </c>
      <c r="Y12" t="s">
        <v>132</v>
      </c>
      <c r="AA12">
        <v>57.5</v>
      </c>
      <c r="AB12" t="s">
        <v>157</v>
      </c>
    </row>
    <row r="13" spans="1:32" x14ac:dyDescent="0.3">
      <c r="A13">
        <v>303</v>
      </c>
      <c r="B13">
        <v>191128</v>
      </c>
      <c r="C13" s="1">
        <v>0.5</v>
      </c>
      <c r="D13" t="s">
        <v>139</v>
      </c>
      <c r="E13" t="s">
        <v>145</v>
      </c>
      <c r="F13">
        <v>42</v>
      </c>
      <c r="G13">
        <v>21</v>
      </c>
      <c r="H13">
        <v>41</v>
      </c>
      <c r="I13">
        <v>32</v>
      </c>
      <c r="K13">
        <v>26</v>
      </c>
      <c r="L13">
        <v>24</v>
      </c>
      <c r="M13">
        <v>27</v>
      </c>
      <c r="N13">
        <v>42</v>
      </c>
      <c r="P13">
        <v>136</v>
      </c>
      <c r="Q13">
        <v>119</v>
      </c>
      <c r="R13" t="s">
        <v>130</v>
      </c>
      <c r="S13" t="s">
        <v>131</v>
      </c>
      <c r="T13" t="s">
        <v>130</v>
      </c>
      <c r="U13" t="s">
        <v>131</v>
      </c>
      <c r="V13" t="s">
        <v>133</v>
      </c>
      <c r="W13" t="s">
        <v>132</v>
      </c>
      <c r="X13" t="s">
        <v>133</v>
      </c>
      <c r="Y13" t="s">
        <v>133</v>
      </c>
      <c r="AA13">
        <v>56</v>
      </c>
      <c r="AB13" t="s">
        <v>158</v>
      </c>
    </row>
    <row r="14" spans="1:32" x14ac:dyDescent="0.3">
      <c r="A14">
        <v>285</v>
      </c>
      <c r="B14">
        <v>191126</v>
      </c>
      <c r="C14" s="1">
        <v>0.41666666666666669</v>
      </c>
      <c r="D14" t="s">
        <v>98</v>
      </c>
      <c r="E14" t="s">
        <v>139</v>
      </c>
      <c r="F14">
        <v>28</v>
      </c>
      <c r="G14">
        <v>26</v>
      </c>
      <c r="H14">
        <v>18</v>
      </c>
      <c r="I14">
        <v>22</v>
      </c>
      <c r="K14">
        <v>27</v>
      </c>
      <c r="L14">
        <v>35</v>
      </c>
      <c r="M14">
        <v>30</v>
      </c>
      <c r="N14">
        <v>25</v>
      </c>
      <c r="P14">
        <v>94</v>
      </c>
      <c r="Q14">
        <v>117</v>
      </c>
      <c r="R14" t="s">
        <v>130</v>
      </c>
      <c r="S14" t="s">
        <v>131</v>
      </c>
      <c r="T14" t="s">
        <v>131</v>
      </c>
      <c r="U14" t="s">
        <v>131</v>
      </c>
      <c r="V14" t="s">
        <v>91</v>
      </c>
      <c r="W14" t="s">
        <v>133</v>
      </c>
      <c r="X14" t="s">
        <v>132</v>
      </c>
      <c r="Y14" t="s">
        <v>132</v>
      </c>
      <c r="AA14">
        <v>55</v>
      </c>
      <c r="AB14" t="s">
        <v>159</v>
      </c>
    </row>
    <row r="15" spans="1:32" x14ac:dyDescent="0.3">
      <c r="A15">
        <v>269</v>
      </c>
      <c r="B15">
        <v>191124</v>
      </c>
      <c r="C15" s="1">
        <v>0.41666666666666669</v>
      </c>
      <c r="D15" t="s">
        <v>100</v>
      </c>
      <c r="E15" t="s">
        <v>139</v>
      </c>
      <c r="F15">
        <v>19</v>
      </c>
      <c r="G15">
        <v>30</v>
      </c>
      <c r="H15">
        <v>27</v>
      </c>
      <c r="I15">
        <v>34</v>
      </c>
      <c r="K15">
        <v>19</v>
      </c>
      <c r="L15">
        <v>23</v>
      </c>
      <c r="M15">
        <v>27</v>
      </c>
      <c r="N15">
        <v>35</v>
      </c>
      <c r="P15">
        <v>110</v>
      </c>
      <c r="Q15">
        <v>104</v>
      </c>
      <c r="R15" t="s">
        <v>134</v>
      </c>
      <c r="S15" t="s">
        <v>130</v>
      </c>
      <c r="T15" t="s">
        <v>134</v>
      </c>
      <c r="U15" t="s">
        <v>131</v>
      </c>
      <c r="V15" t="s">
        <v>132</v>
      </c>
      <c r="W15" t="s">
        <v>132</v>
      </c>
      <c r="X15" t="s">
        <v>132</v>
      </c>
      <c r="Y15" t="s">
        <v>133</v>
      </c>
      <c r="AA15">
        <v>55</v>
      </c>
      <c r="AB15" t="s">
        <v>140</v>
      </c>
    </row>
    <row r="16" spans="1:32" x14ac:dyDescent="0.3">
      <c r="A16">
        <v>251</v>
      </c>
      <c r="B16">
        <v>191122</v>
      </c>
      <c r="C16" s="1">
        <v>0.41666666666666669</v>
      </c>
      <c r="D16" t="s">
        <v>97</v>
      </c>
      <c r="E16" t="s">
        <v>139</v>
      </c>
      <c r="F16">
        <v>37</v>
      </c>
      <c r="G16">
        <v>35</v>
      </c>
      <c r="H16">
        <v>35</v>
      </c>
      <c r="I16">
        <v>30</v>
      </c>
      <c r="K16">
        <v>27</v>
      </c>
      <c r="L16">
        <v>31</v>
      </c>
      <c r="M16">
        <v>40</v>
      </c>
      <c r="N16">
        <v>31</v>
      </c>
      <c r="P16">
        <v>137</v>
      </c>
      <c r="Q16">
        <v>129</v>
      </c>
      <c r="R16" t="s">
        <v>130</v>
      </c>
      <c r="S16" t="s">
        <v>130</v>
      </c>
      <c r="T16" t="s">
        <v>131</v>
      </c>
      <c r="U16" t="s">
        <v>131</v>
      </c>
      <c r="V16" t="s">
        <v>133</v>
      </c>
      <c r="W16" t="s">
        <v>133</v>
      </c>
      <c r="X16" t="s">
        <v>133</v>
      </c>
      <c r="Y16" t="s">
        <v>133</v>
      </c>
      <c r="AA16">
        <v>55.5</v>
      </c>
      <c r="AB16" t="s">
        <v>160</v>
      </c>
    </row>
    <row r="17" spans="1:28" x14ac:dyDescent="0.3">
      <c r="A17">
        <v>233</v>
      </c>
      <c r="B17">
        <v>191120</v>
      </c>
      <c r="C17" s="1">
        <v>0.41666666666666669</v>
      </c>
      <c r="D17" t="s">
        <v>150</v>
      </c>
      <c r="E17" t="s">
        <v>139</v>
      </c>
      <c r="F17">
        <v>27</v>
      </c>
      <c r="G17">
        <v>26</v>
      </c>
      <c r="H17">
        <v>35</v>
      </c>
      <c r="I17">
        <v>27</v>
      </c>
      <c r="K17">
        <v>28</v>
      </c>
      <c r="L17">
        <v>26</v>
      </c>
      <c r="M17">
        <v>25</v>
      </c>
      <c r="N17">
        <v>25</v>
      </c>
      <c r="P17">
        <v>115</v>
      </c>
      <c r="Q17">
        <v>104</v>
      </c>
      <c r="R17" t="s">
        <v>131</v>
      </c>
      <c r="S17" t="s">
        <v>134</v>
      </c>
      <c r="T17" t="s">
        <v>130</v>
      </c>
      <c r="U17" t="s">
        <v>130</v>
      </c>
      <c r="V17" t="s">
        <v>132</v>
      </c>
      <c r="W17" t="s">
        <v>132</v>
      </c>
      <c r="X17" t="s">
        <v>133</v>
      </c>
      <c r="Y17" t="s">
        <v>132</v>
      </c>
      <c r="AA17">
        <v>56.5</v>
      </c>
      <c r="AB17" t="s">
        <v>151</v>
      </c>
    </row>
    <row r="18" spans="1:28" x14ac:dyDescent="0.3">
      <c r="A18">
        <v>228</v>
      </c>
      <c r="B18">
        <v>191119</v>
      </c>
      <c r="C18" s="1">
        <v>0.41666666666666669</v>
      </c>
      <c r="D18" t="s">
        <v>146</v>
      </c>
      <c r="E18" t="s">
        <v>139</v>
      </c>
      <c r="F18">
        <v>29</v>
      </c>
      <c r="G18">
        <v>35</v>
      </c>
      <c r="H18">
        <v>35</v>
      </c>
      <c r="I18">
        <v>33</v>
      </c>
      <c r="K18">
        <v>30</v>
      </c>
      <c r="L18">
        <v>20</v>
      </c>
      <c r="M18">
        <v>26</v>
      </c>
      <c r="N18">
        <v>32</v>
      </c>
      <c r="P18">
        <v>132</v>
      </c>
      <c r="Q18">
        <v>108</v>
      </c>
      <c r="R18" t="s">
        <v>131</v>
      </c>
      <c r="S18" t="s">
        <v>130</v>
      </c>
      <c r="T18" t="s">
        <v>130</v>
      </c>
      <c r="U18" t="s">
        <v>130</v>
      </c>
      <c r="V18" t="s">
        <v>133</v>
      </c>
      <c r="W18" t="s">
        <v>132</v>
      </c>
      <c r="X18" t="s">
        <v>133</v>
      </c>
      <c r="Y18" t="s">
        <v>133</v>
      </c>
      <c r="AA18">
        <v>56.5</v>
      </c>
      <c r="AB18" t="s">
        <v>161</v>
      </c>
    </row>
    <row r="19" spans="1:28" x14ac:dyDescent="0.3">
      <c r="A19">
        <v>216</v>
      </c>
      <c r="B19">
        <v>191117</v>
      </c>
      <c r="C19" s="1">
        <v>0.4375</v>
      </c>
      <c r="D19" t="s">
        <v>143</v>
      </c>
      <c r="E19" t="s">
        <v>139</v>
      </c>
      <c r="F19">
        <v>23</v>
      </c>
      <c r="G19">
        <v>35</v>
      </c>
      <c r="H19">
        <v>38</v>
      </c>
      <c r="I19">
        <v>20</v>
      </c>
      <c r="K19">
        <v>41</v>
      </c>
      <c r="L19">
        <v>25</v>
      </c>
      <c r="M19">
        <v>24</v>
      </c>
      <c r="N19">
        <v>31</v>
      </c>
      <c r="P19">
        <v>116</v>
      </c>
      <c r="Q19">
        <v>121</v>
      </c>
      <c r="R19" t="s">
        <v>131</v>
      </c>
      <c r="S19" t="s">
        <v>130</v>
      </c>
      <c r="T19" t="s">
        <v>130</v>
      </c>
      <c r="U19" t="s">
        <v>131</v>
      </c>
      <c r="V19" t="s">
        <v>133</v>
      </c>
      <c r="W19" t="s">
        <v>133</v>
      </c>
      <c r="X19" t="s">
        <v>133</v>
      </c>
      <c r="Y19" t="s">
        <v>132</v>
      </c>
      <c r="AA19">
        <v>55</v>
      </c>
      <c r="AB19" t="s">
        <v>154</v>
      </c>
    </row>
    <row r="20" spans="1:28" x14ac:dyDescent="0.3">
      <c r="A20">
        <v>181</v>
      </c>
      <c r="B20">
        <v>191114</v>
      </c>
      <c r="C20" s="1">
        <v>0.5</v>
      </c>
      <c r="D20" t="s">
        <v>139</v>
      </c>
      <c r="E20" t="s">
        <v>144</v>
      </c>
      <c r="F20">
        <v>30</v>
      </c>
      <c r="G20">
        <v>23</v>
      </c>
      <c r="H20">
        <v>25</v>
      </c>
      <c r="I20">
        <v>28</v>
      </c>
      <c r="K20">
        <v>23</v>
      </c>
      <c r="L20">
        <v>31</v>
      </c>
      <c r="M20">
        <v>33</v>
      </c>
      <c r="N20">
        <v>27</v>
      </c>
      <c r="P20">
        <v>106</v>
      </c>
      <c r="Q20">
        <v>114</v>
      </c>
      <c r="R20" t="s">
        <v>130</v>
      </c>
      <c r="S20" t="s">
        <v>131</v>
      </c>
      <c r="T20" t="s">
        <v>131</v>
      </c>
      <c r="U20" t="s">
        <v>130</v>
      </c>
      <c r="V20" t="s">
        <v>132</v>
      </c>
      <c r="W20" t="s">
        <v>132</v>
      </c>
      <c r="X20" t="s">
        <v>133</v>
      </c>
      <c r="Y20" t="s">
        <v>132</v>
      </c>
      <c r="AA20">
        <v>56.5</v>
      </c>
      <c r="AB20" t="s">
        <v>153</v>
      </c>
    </row>
    <row r="21" spans="1:28" x14ac:dyDescent="0.3">
      <c r="A21">
        <v>174</v>
      </c>
      <c r="B21">
        <v>191113</v>
      </c>
      <c r="C21" s="1">
        <v>0.5</v>
      </c>
      <c r="D21" t="s">
        <v>99</v>
      </c>
      <c r="E21" t="s">
        <v>139</v>
      </c>
      <c r="F21">
        <v>21</v>
      </c>
      <c r="G21">
        <v>25</v>
      </c>
      <c r="H21">
        <v>35</v>
      </c>
      <c r="I21">
        <v>26</v>
      </c>
      <c r="K21">
        <v>24</v>
      </c>
      <c r="L21">
        <v>25</v>
      </c>
      <c r="M21">
        <v>21</v>
      </c>
      <c r="N21">
        <v>29</v>
      </c>
      <c r="P21">
        <v>107</v>
      </c>
      <c r="Q21">
        <v>99</v>
      </c>
      <c r="R21" t="s">
        <v>131</v>
      </c>
      <c r="S21" t="s">
        <v>134</v>
      </c>
      <c r="T21" t="s">
        <v>130</v>
      </c>
      <c r="U21" t="s">
        <v>131</v>
      </c>
      <c r="V21" t="s">
        <v>132</v>
      </c>
      <c r="W21" t="s">
        <v>132</v>
      </c>
      <c r="X21" t="s">
        <v>133</v>
      </c>
      <c r="Y21" t="s">
        <v>133</v>
      </c>
      <c r="AA21">
        <v>54.5</v>
      </c>
      <c r="AB21" t="s">
        <v>162</v>
      </c>
    </row>
    <row r="22" spans="1:28" x14ac:dyDescent="0.3">
      <c r="A22">
        <v>151</v>
      </c>
      <c r="B22">
        <v>191111</v>
      </c>
      <c r="C22" s="1">
        <v>0.45833333333333331</v>
      </c>
      <c r="D22" t="s">
        <v>139</v>
      </c>
      <c r="E22" t="s">
        <v>96</v>
      </c>
      <c r="F22">
        <v>20</v>
      </c>
      <c r="G22">
        <v>26</v>
      </c>
      <c r="H22">
        <v>29</v>
      </c>
      <c r="I22">
        <v>32</v>
      </c>
      <c r="J22">
        <v>17</v>
      </c>
      <c r="K22">
        <v>21</v>
      </c>
      <c r="L22">
        <v>23</v>
      </c>
      <c r="M22">
        <v>31</v>
      </c>
      <c r="N22">
        <v>32</v>
      </c>
      <c r="O22">
        <v>6</v>
      </c>
      <c r="P22">
        <v>124</v>
      </c>
      <c r="Q22">
        <v>113</v>
      </c>
      <c r="R22" t="s">
        <v>131</v>
      </c>
      <c r="S22" t="s">
        <v>130</v>
      </c>
      <c r="T22" t="s">
        <v>131</v>
      </c>
      <c r="U22" t="s">
        <v>134</v>
      </c>
      <c r="V22" t="s">
        <v>132</v>
      </c>
      <c r="W22" t="s">
        <v>132</v>
      </c>
      <c r="X22" t="s">
        <v>133</v>
      </c>
      <c r="Y22" t="s">
        <v>133</v>
      </c>
      <c r="AA22">
        <v>58</v>
      </c>
      <c r="AB22" t="s">
        <v>163</v>
      </c>
    </row>
    <row r="23" spans="1:28" x14ac:dyDescent="0.3">
      <c r="A23">
        <v>138</v>
      </c>
      <c r="B23">
        <v>191109</v>
      </c>
      <c r="C23" s="1">
        <v>0.5</v>
      </c>
      <c r="D23" t="s">
        <v>139</v>
      </c>
      <c r="E23" t="s">
        <v>141</v>
      </c>
      <c r="F23">
        <v>20</v>
      </c>
      <c r="G23">
        <v>29</v>
      </c>
      <c r="H23">
        <v>37</v>
      </c>
      <c r="I23">
        <v>29</v>
      </c>
      <c r="K23">
        <v>26</v>
      </c>
      <c r="L23">
        <v>28</v>
      </c>
      <c r="M23">
        <v>35</v>
      </c>
      <c r="N23">
        <v>30</v>
      </c>
      <c r="P23">
        <v>115</v>
      </c>
      <c r="Q23">
        <v>119</v>
      </c>
      <c r="R23" t="s">
        <v>131</v>
      </c>
      <c r="S23" t="s">
        <v>130</v>
      </c>
      <c r="T23" t="s">
        <v>130</v>
      </c>
      <c r="U23" t="s">
        <v>131</v>
      </c>
      <c r="V23" t="s">
        <v>132</v>
      </c>
      <c r="W23" t="s">
        <v>132</v>
      </c>
      <c r="X23" t="s">
        <v>133</v>
      </c>
      <c r="Y23" t="s">
        <v>133</v>
      </c>
      <c r="AA23">
        <v>57.5</v>
      </c>
      <c r="AB23" t="s">
        <v>164</v>
      </c>
    </row>
    <row r="24" spans="1:28" ht="21.6" customHeight="1" x14ac:dyDescent="0.3">
      <c r="A24">
        <v>117</v>
      </c>
      <c r="B24">
        <v>191108</v>
      </c>
      <c r="C24" s="1">
        <v>0.52083333333333337</v>
      </c>
      <c r="D24" t="s">
        <v>149</v>
      </c>
      <c r="E24" t="s">
        <v>139</v>
      </c>
      <c r="F24">
        <v>26</v>
      </c>
      <c r="G24">
        <v>21</v>
      </c>
      <c r="H24">
        <v>23</v>
      </c>
      <c r="I24">
        <v>37</v>
      </c>
      <c r="K24">
        <v>22</v>
      </c>
      <c r="L24">
        <v>18</v>
      </c>
      <c r="M24">
        <v>36</v>
      </c>
      <c r="N24">
        <v>25</v>
      </c>
      <c r="P24">
        <v>107</v>
      </c>
      <c r="Q24">
        <v>101</v>
      </c>
      <c r="R24" t="s">
        <v>130</v>
      </c>
      <c r="S24" t="s">
        <v>130</v>
      </c>
      <c r="T24" t="s">
        <v>131</v>
      </c>
      <c r="U24" t="s">
        <v>130</v>
      </c>
      <c r="V24" t="s">
        <v>132</v>
      </c>
      <c r="W24" t="s">
        <v>132</v>
      </c>
      <c r="X24" t="s">
        <v>133</v>
      </c>
      <c r="Y24" t="s">
        <v>133</v>
      </c>
      <c r="AA24">
        <v>56.5</v>
      </c>
      <c r="AB24" t="s">
        <v>156</v>
      </c>
    </row>
    <row r="25" spans="1:28" x14ac:dyDescent="0.3">
      <c r="A25">
        <v>98</v>
      </c>
      <c r="B25">
        <v>191105</v>
      </c>
      <c r="C25" s="1">
        <v>0.52083333333333337</v>
      </c>
      <c r="D25" t="s">
        <v>95</v>
      </c>
      <c r="E25" t="s">
        <v>139</v>
      </c>
      <c r="F25">
        <v>34</v>
      </c>
      <c r="G25">
        <v>26</v>
      </c>
      <c r="H25">
        <v>27</v>
      </c>
      <c r="I25">
        <v>40</v>
      </c>
      <c r="K25">
        <v>32</v>
      </c>
      <c r="L25">
        <v>31</v>
      </c>
      <c r="M25">
        <v>20</v>
      </c>
      <c r="N25">
        <v>35</v>
      </c>
      <c r="P25">
        <v>127</v>
      </c>
      <c r="Q25">
        <v>118</v>
      </c>
      <c r="R25" t="s">
        <v>130</v>
      </c>
      <c r="S25" t="s">
        <v>131</v>
      </c>
      <c r="T25" t="s">
        <v>130</v>
      </c>
      <c r="U25" t="s">
        <v>130</v>
      </c>
      <c r="V25" t="s">
        <v>133</v>
      </c>
      <c r="W25" t="s">
        <v>133</v>
      </c>
      <c r="X25" t="s">
        <v>132</v>
      </c>
      <c r="Y25" t="s">
        <v>133</v>
      </c>
      <c r="AA25">
        <v>53.5</v>
      </c>
      <c r="AB25" t="s">
        <v>165</v>
      </c>
    </row>
    <row r="26" spans="1:28" x14ac:dyDescent="0.3">
      <c r="A26">
        <v>86</v>
      </c>
      <c r="B26">
        <v>191103</v>
      </c>
      <c r="C26" s="1">
        <v>0.45833333333333331</v>
      </c>
      <c r="D26" t="s">
        <v>139</v>
      </c>
      <c r="E26" t="s">
        <v>94</v>
      </c>
      <c r="F26">
        <v>32</v>
      </c>
      <c r="G26">
        <v>36</v>
      </c>
      <c r="H26">
        <v>34</v>
      </c>
      <c r="I26">
        <v>26</v>
      </c>
      <c r="K26">
        <v>27</v>
      </c>
      <c r="L26">
        <v>30</v>
      </c>
      <c r="M26">
        <v>35</v>
      </c>
      <c r="N26">
        <v>37</v>
      </c>
      <c r="P26">
        <v>128</v>
      </c>
      <c r="Q26">
        <v>129</v>
      </c>
      <c r="R26" t="s">
        <v>130</v>
      </c>
      <c r="S26" t="s">
        <v>130</v>
      </c>
      <c r="T26" t="s">
        <v>131</v>
      </c>
      <c r="U26" t="s">
        <v>131</v>
      </c>
      <c r="V26" t="s">
        <v>133</v>
      </c>
      <c r="W26" t="s">
        <v>133</v>
      </c>
      <c r="X26" t="s">
        <v>133</v>
      </c>
      <c r="Y26" t="s">
        <v>133</v>
      </c>
      <c r="AA26">
        <v>57.5</v>
      </c>
      <c r="AB26" t="s">
        <v>166</v>
      </c>
    </row>
    <row r="27" spans="1:28" x14ac:dyDescent="0.3">
      <c r="A27">
        <v>63</v>
      </c>
      <c r="B27">
        <v>191031</v>
      </c>
      <c r="C27" s="1">
        <v>0.375</v>
      </c>
      <c r="D27" t="s">
        <v>145</v>
      </c>
      <c r="E27" t="s">
        <v>139</v>
      </c>
      <c r="F27">
        <v>17</v>
      </c>
      <c r="G27">
        <v>27</v>
      </c>
      <c r="H27">
        <v>25</v>
      </c>
      <c r="I27">
        <v>30</v>
      </c>
      <c r="K27">
        <v>24</v>
      </c>
      <c r="L27">
        <v>25</v>
      </c>
      <c r="M27">
        <v>19</v>
      </c>
      <c r="N27">
        <v>34</v>
      </c>
      <c r="P27">
        <v>99</v>
      </c>
      <c r="Q27">
        <v>102</v>
      </c>
      <c r="R27" t="s">
        <v>131</v>
      </c>
      <c r="S27" t="s">
        <v>130</v>
      </c>
      <c r="T27" t="s">
        <v>130</v>
      </c>
      <c r="U27" t="s">
        <v>131</v>
      </c>
      <c r="V27" t="s">
        <v>132</v>
      </c>
      <c r="W27" t="s">
        <v>132</v>
      </c>
      <c r="X27" t="s">
        <v>132</v>
      </c>
      <c r="Y27" t="s">
        <v>133</v>
      </c>
      <c r="AA27">
        <v>54</v>
      </c>
      <c r="AB27" t="s">
        <v>167</v>
      </c>
    </row>
    <row r="28" spans="1:28" x14ac:dyDescent="0.3">
      <c r="A28">
        <v>48</v>
      </c>
      <c r="B28">
        <v>191029</v>
      </c>
      <c r="C28" s="1">
        <v>0.39583333333333331</v>
      </c>
      <c r="D28" t="s">
        <v>143</v>
      </c>
      <c r="E28" t="s">
        <v>139</v>
      </c>
      <c r="F28">
        <v>19</v>
      </c>
      <c r="G28">
        <v>26</v>
      </c>
      <c r="H28">
        <v>37</v>
      </c>
      <c r="I28">
        <v>31</v>
      </c>
      <c r="K28">
        <v>33</v>
      </c>
      <c r="L28">
        <v>18</v>
      </c>
      <c r="M28">
        <v>20</v>
      </c>
      <c r="N28">
        <v>39</v>
      </c>
      <c r="P28">
        <v>113</v>
      </c>
      <c r="Q28">
        <v>110</v>
      </c>
      <c r="R28" t="s">
        <v>131</v>
      </c>
      <c r="S28" t="s">
        <v>130</v>
      </c>
      <c r="T28" t="s">
        <v>130</v>
      </c>
      <c r="U28" t="s">
        <v>131</v>
      </c>
      <c r="V28" t="s">
        <v>132</v>
      </c>
      <c r="W28" t="s">
        <v>132</v>
      </c>
      <c r="X28" t="s">
        <v>133</v>
      </c>
      <c r="Y28" t="s">
        <v>133</v>
      </c>
      <c r="AA28">
        <v>54</v>
      </c>
      <c r="AB28" t="s">
        <v>154</v>
      </c>
    </row>
    <row r="29" spans="1:28" x14ac:dyDescent="0.3">
      <c r="A29">
        <v>38</v>
      </c>
      <c r="B29">
        <v>191028</v>
      </c>
      <c r="C29" s="1">
        <v>0.33333333333333331</v>
      </c>
      <c r="D29" t="s">
        <v>135</v>
      </c>
      <c r="E29" t="s">
        <v>139</v>
      </c>
      <c r="F29">
        <v>40</v>
      </c>
      <c r="G29">
        <v>31</v>
      </c>
      <c r="H29">
        <v>24</v>
      </c>
      <c r="I29">
        <v>24</v>
      </c>
      <c r="K29">
        <v>25</v>
      </c>
      <c r="L29">
        <v>34</v>
      </c>
      <c r="M29">
        <v>36</v>
      </c>
      <c r="N29">
        <v>26</v>
      </c>
      <c r="P29">
        <v>119</v>
      </c>
      <c r="Q29">
        <v>121</v>
      </c>
      <c r="R29" t="s">
        <v>130</v>
      </c>
      <c r="S29" t="s">
        <v>131</v>
      </c>
      <c r="T29" t="s">
        <v>131</v>
      </c>
      <c r="U29" t="s">
        <v>131</v>
      </c>
      <c r="V29" t="s">
        <v>133</v>
      </c>
      <c r="W29" t="s">
        <v>133</v>
      </c>
      <c r="X29" t="s">
        <v>133</v>
      </c>
      <c r="Y29" t="s">
        <v>132</v>
      </c>
      <c r="AA29">
        <v>54</v>
      </c>
      <c r="AB29" t="s">
        <v>152</v>
      </c>
    </row>
    <row r="30" spans="1:28" x14ac:dyDescent="0.3">
      <c r="A30">
        <v>25</v>
      </c>
      <c r="B30">
        <v>191026</v>
      </c>
      <c r="C30" s="1">
        <v>0.47916666666666669</v>
      </c>
      <c r="D30" t="s">
        <v>99</v>
      </c>
      <c r="E30" t="s">
        <v>139</v>
      </c>
      <c r="F30">
        <v>27</v>
      </c>
      <c r="G30">
        <v>30</v>
      </c>
      <c r="H30">
        <v>27</v>
      </c>
      <c r="I30">
        <v>28</v>
      </c>
      <c r="K30">
        <v>25</v>
      </c>
      <c r="L30">
        <v>32</v>
      </c>
      <c r="M30">
        <v>37</v>
      </c>
      <c r="N30">
        <v>28</v>
      </c>
      <c r="P30">
        <v>112</v>
      </c>
      <c r="Q30">
        <v>122</v>
      </c>
      <c r="R30" t="s">
        <v>130</v>
      </c>
      <c r="S30" t="s">
        <v>131</v>
      </c>
      <c r="T30" t="s">
        <v>131</v>
      </c>
      <c r="U30" t="s">
        <v>134</v>
      </c>
      <c r="V30" t="s">
        <v>132</v>
      </c>
      <c r="W30" t="s">
        <v>133</v>
      </c>
      <c r="X30" t="s">
        <v>133</v>
      </c>
      <c r="Y30" t="s">
        <v>133</v>
      </c>
      <c r="AA30">
        <v>55.5</v>
      </c>
      <c r="AB30" t="s">
        <v>162</v>
      </c>
    </row>
    <row r="31" spans="1:28" x14ac:dyDescent="0.3">
      <c r="A31">
        <v>11</v>
      </c>
      <c r="B31">
        <v>191024</v>
      </c>
      <c r="C31" s="1"/>
      <c r="D31" t="s">
        <v>139</v>
      </c>
      <c r="E31" t="s">
        <v>147</v>
      </c>
      <c r="F31">
        <v>27</v>
      </c>
      <c r="G31">
        <v>23</v>
      </c>
      <c r="H31">
        <v>24</v>
      </c>
      <c r="I31">
        <v>26</v>
      </c>
      <c r="K31">
        <v>24</v>
      </c>
      <c r="L31">
        <v>30</v>
      </c>
      <c r="M31">
        <v>19</v>
      </c>
      <c r="N31">
        <v>35</v>
      </c>
      <c r="P31">
        <v>100</v>
      </c>
      <c r="Q31">
        <v>108</v>
      </c>
      <c r="R31" t="s">
        <v>130</v>
      </c>
      <c r="S31" t="s">
        <v>131</v>
      </c>
      <c r="T31" t="s">
        <v>130</v>
      </c>
      <c r="U31" t="s">
        <v>131</v>
      </c>
      <c r="V31" t="s">
        <v>132</v>
      </c>
      <c r="W31" t="s">
        <v>132</v>
      </c>
      <c r="X31" t="s">
        <v>132</v>
      </c>
      <c r="Y31" t="s">
        <v>133</v>
      </c>
      <c r="AA31">
        <v>56.5</v>
      </c>
      <c r="AB31" t="s">
        <v>155</v>
      </c>
    </row>
    <row r="32" spans="1:28" x14ac:dyDescent="0.3">
      <c r="C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6.5" x14ac:dyDescent="0.3"/>
  <cols>
    <col min="4" max="4" width="13.375" customWidth="1"/>
  </cols>
  <sheetData>
    <row r="1" spans="1:5" x14ac:dyDescent="0.3">
      <c r="A1" t="s">
        <v>249</v>
      </c>
      <c r="D1" t="s">
        <v>271</v>
      </c>
      <c r="E1" t="s">
        <v>287</v>
      </c>
    </row>
    <row r="2" spans="1:5" x14ac:dyDescent="0.3">
      <c r="A2" t="s">
        <v>251</v>
      </c>
      <c r="D2" t="s">
        <v>267</v>
      </c>
      <c r="E2" t="s">
        <v>288</v>
      </c>
    </row>
    <row r="3" spans="1:5" x14ac:dyDescent="0.3">
      <c r="A3" t="s">
        <v>253</v>
      </c>
      <c r="D3" t="s">
        <v>277</v>
      </c>
      <c r="E3" t="s">
        <v>289</v>
      </c>
    </row>
    <row r="4" spans="1:5" x14ac:dyDescent="0.3">
      <c r="A4" t="s">
        <v>255</v>
      </c>
      <c r="D4" t="s">
        <v>250</v>
      </c>
      <c r="E4" t="s">
        <v>290</v>
      </c>
    </row>
    <row r="5" spans="1:5" x14ac:dyDescent="0.3">
      <c r="A5" t="s">
        <v>257</v>
      </c>
      <c r="D5" t="s">
        <v>251</v>
      </c>
      <c r="E5" t="s">
        <v>291</v>
      </c>
    </row>
    <row r="6" spans="1:5" x14ac:dyDescent="0.3">
      <c r="A6" t="e">
        <v>#VALUE!</v>
      </c>
      <c r="D6" t="s">
        <v>249</v>
      </c>
      <c r="E6" t="s">
        <v>292</v>
      </c>
    </row>
    <row r="7" spans="1:5" x14ac:dyDescent="0.3">
      <c r="A7" t="s">
        <v>259</v>
      </c>
      <c r="D7" t="s">
        <v>260</v>
      </c>
      <c r="E7" t="s">
        <v>293</v>
      </c>
    </row>
    <row r="8" spans="1:5" x14ac:dyDescent="0.3">
      <c r="A8" t="s">
        <v>261</v>
      </c>
      <c r="D8" t="s">
        <v>274</v>
      </c>
      <c r="E8" t="s">
        <v>294</v>
      </c>
    </row>
    <row r="9" spans="1:5" x14ac:dyDescent="0.3">
      <c r="A9" t="s">
        <v>263</v>
      </c>
      <c r="D9" t="s">
        <v>263</v>
      </c>
      <c r="E9" t="s">
        <v>295</v>
      </c>
    </row>
    <row r="10" spans="1:5" x14ac:dyDescent="0.3">
      <c r="A10" t="s">
        <v>266</v>
      </c>
      <c r="D10" t="s">
        <v>258</v>
      </c>
      <c r="E10" t="s">
        <v>296</v>
      </c>
    </row>
    <row r="11" spans="1:5" x14ac:dyDescent="0.3">
      <c r="A11" t="s">
        <v>269</v>
      </c>
      <c r="D11" t="s">
        <v>272</v>
      </c>
      <c r="E11" t="s">
        <v>297</v>
      </c>
    </row>
    <row r="12" spans="1:5" x14ac:dyDescent="0.3">
      <c r="A12" t="s">
        <v>271</v>
      </c>
      <c r="D12" t="s">
        <v>275</v>
      </c>
      <c r="E12" t="s">
        <v>298</v>
      </c>
    </row>
    <row r="13" spans="1:5" x14ac:dyDescent="0.3">
      <c r="A13" t="s">
        <v>252</v>
      </c>
      <c r="D13" t="s">
        <v>273</v>
      </c>
      <c r="E13" t="s">
        <v>299</v>
      </c>
    </row>
    <row r="14" spans="1:5" x14ac:dyDescent="0.3">
      <c r="A14" t="s">
        <v>273</v>
      </c>
      <c r="D14" t="s">
        <v>259</v>
      </c>
      <c r="E14" t="s">
        <v>300</v>
      </c>
    </row>
    <row r="15" spans="1:5" x14ac:dyDescent="0.3">
      <c r="A15" t="s">
        <v>250</v>
      </c>
      <c r="D15" t="s">
        <v>268</v>
      </c>
      <c r="E15" t="s">
        <v>301</v>
      </c>
    </row>
    <row r="16" spans="1:5" x14ac:dyDescent="0.3">
      <c r="A16" t="s">
        <v>264</v>
      </c>
      <c r="D16" t="s">
        <v>286</v>
      </c>
      <c r="E16" t="s">
        <v>302</v>
      </c>
    </row>
    <row r="17" spans="1:5" x14ac:dyDescent="0.3">
      <c r="A17" t="s">
        <v>275</v>
      </c>
      <c r="D17" t="s">
        <v>261</v>
      </c>
      <c r="E17" t="s">
        <v>303</v>
      </c>
    </row>
    <row r="18" spans="1:5" x14ac:dyDescent="0.3">
      <c r="A18" t="s">
        <v>256</v>
      </c>
      <c r="D18" t="s">
        <v>264</v>
      </c>
      <c r="E18" t="s">
        <v>304</v>
      </c>
    </row>
    <row r="19" spans="1:5" x14ac:dyDescent="0.3">
      <c r="A19" t="s">
        <v>277</v>
      </c>
      <c r="D19" t="s">
        <v>262</v>
      </c>
      <c r="E19" t="s">
        <v>305</v>
      </c>
    </row>
    <row r="20" spans="1:5" x14ac:dyDescent="0.3">
      <c r="A20" t="s">
        <v>254</v>
      </c>
      <c r="D20" t="s">
        <v>270</v>
      </c>
      <c r="E20" t="s">
        <v>306</v>
      </c>
    </row>
    <row r="21" spans="1:5" x14ac:dyDescent="0.3">
      <c r="A21" t="s">
        <v>276</v>
      </c>
      <c r="D21" t="s">
        <v>276</v>
      </c>
      <c r="E21" t="s">
        <v>307</v>
      </c>
    </row>
    <row r="22" spans="1:5" x14ac:dyDescent="0.3">
      <c r="A22" t="s">
        <v>265</v>
      </c>
      <c r="D22" t="s">
        <v>266</v>
      </c>
      <c r="E22" t="s">
        <v>308</v>
      </c>
    </row>
    <row r="23" spans="1:5" x14ac:dyDescent="0.3">
      <c r="A23" t="s">
        <v>272</v>
      </c>
      <c r="D23" t="s">
        <v>257</v>
      </c>
      <c r="E23" t="s">
        <v>309</v>
      </c>
    </row>
    <row r="24" spans="1:5" x14ac:dyDescent="0.3">
      <c r="A24" t="s">
        <v>268</v>
      </c>
      <c r="D24" t="s">
        <v>252</v>
      </c>
      <c r="E24" t="s">
        <v>310</v>
      </c>
    </row>
    <row r="25" spans="1:5" x14ac:dyDescent="0.3">
      <c r="A25" t="s">
        <v>258</v>
      </c>
      <c r="D25" t="s">
        <v>254</v>
      </c>
      <c r="E25" t="s">
        <v>311</v>
      </c>
    </row>
    <row r="26" spans="1:5" x14ac:dyDescent="0.3">
      <c r="A26" t="s">
        <v>260</v>
      </c>
      <c r="D26" t="s">
        <v>265</v>
      </c>
      <c r="E26" t="s">
        <v>312</v>
      </c>
    </row>
    <row r="27" spans="1:5" x14ac:dyDescent="0.3">
      <c r="A27" t="s">
        <v>262</v>
      </c>
      <c r="D27" t="s">
        <v>269</v>
      </c>
      <c r="E27" t="s">
        <v>313</v>
      </c>
    </row>
    <row r="28" spans="1:5" x14ac:dyDescent="0.3">
      <c r="A28" t="s">
        <v>267</v>
      </c>
      <c r="D28" t="s">
        <v>256</v>
      </c>
      <c r="E28" t="s">
        <v>314</v>
      </c>
    </row>
    <row r="29" spans="1:5" x14ac:dyDescent="0.3">
      <c r="A29" t="s">
        <v>270</v>
      </c>
      <c r="D29" t="s">
        <v>253</v>
      </c>
      <c r="E29" t="s">
        <v>315</v>
      </c>
    </row>
    <row r="30" spans="1:5" x14ac:dyDescent="0.3">
      <c r="A30" t="s">
        <v>274</v>
      </c>
      <c r="D30" t="s">
        <v>255</v>
      </c>
      <c r="E30" t="s">
        <v>316</v>
      </c>
    </row>
  </sheetData>
  <sortState ref="D1:D31">
    <sortCondition ref="D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 (2)</vt:lpstr>
      <vt:lpstr>Sheet3</vt:lpstr>
      <vt:lpstr>Sheet6</vt:lpstr>
      <vt:lpstr>Sheet4</vt:lpstr>
      <vt:lpstr>Sheet5</vt:lpstr>
      <vt:lpstr>Sheet7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Kim</dc:creator>
  <cp:lastModifiedBy>USER</cp:lastModifiedBy>
  <dcterms:created xsi:type="dcterms:W3CDTF">2019-11-27T10:57:16Z</dcterms:created>
  <dcterms:modified xsi:type="dcterms:W3CDTF">2019-12-21T17:20:47Z</dcterms:modified>
</cp:coreProperties>
</file>