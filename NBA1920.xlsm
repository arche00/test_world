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defaultThemeVersion="124226"/>
  <bookViews>
    <workbookView xWindow="-105" yWindow="-105" windowWidth="19425" windowHeight="10425" activeTab="2"/>
  </bookViews>
  <sheets>
    <sheet name="T" sheetId="3" r:id="rId1"/>
    <sheet name="T (2)" sheetId="5" r:id="rId2"/>
    <sheet name="Sheet4" sheetId="4" r:id="rId3"/>
  </sheets>
  <definedNames>
    <definedName name="_xlnm._FilterDatabase" localSheetId="0" hidden="1">T!$AA$1:$AA$36</definedName>
    <definedName name="_xlnm._FilterDatabase" localSheetId="1" hidden="1">'T (2)'!$AB$1:$AB$41</definedName>
  </definedNames>
  <calcPr calcId="144525"/>
</workbook>
</file>

<file path=xl/calcChain.xml><?xml version="1.0" encoding="utf-8"?>
<calcChain xmlns="http://schemas.openxmlformats.org/spreadsheetml/2006/main">
  <c r="AD1" i="5" l="1"/>
  <c r="AC1" i="5"/>
  <c r="AC605" i="5"/>
  <c r="AD605" i="5"/>
  <c r="AC606" i="5"/>
  <c r="AD606" i="5"/>
  <c r="AC607" i="5"/>
  <c r="AD607" i="5"/>
  <c r="AC608" i="5"/>
  <c r="AD608" i="5"/>
  <c r="AC609" i="5"/>
  <c r="AD609" i="5"/>
  <c r="AC610" i="5"/>
  <c r="AD610" i="5"/>
  <c r="AC611" i="5"/>
  <c r="AD611" i="5"/>
  <c r="AC612" i="5"/>
  <c r="AD612" i="5"/>
  <c r="AC613" i="5"/>
  <c r="AD613" i="5"/>
  <c r="AC614" i="5"/>
  <c r="AD614" i="5"/>
  <c r="AC615" i="5"/>
  <c r="AD615" i="5"/>
  <c r="AC616" i="5"/>
  <c r="AD616" i="5"/>
  <c r="AC617" i="5"/>
  <c r="AD617" i="5"/>
  <c r="AC618" i="5"/>
  <c r="AD618" i="5"/>
  <c r="AC619" i="5"/>
  <c r="AD619" i="5"/>
  <c r="AC620" i="5"/>
  <c r="AD620" i="5"/>
  <c r="AC621" i="5"/>
  <c r="AD621" i="5"/>
  <c r="AC622" i="5"/>
  <c r="AD622" i="5"/>
  <c r="AC623" i="5"/>
  <c r="AD623" i="5"/>
  <c r="AC624" i="5"/>
  <c r="AD624" i="5"/>
  <c r="AC625" i="5"/>
  <c r="AD625" i="5"/>
  <c r="AC626" i="5"/>
  <c r="AD626" i="5"/>
  <c r="AC627" i="5"/>
  <c r="AD627" i="5"/>
  <c r="AC628" i="5"/>
  <c r="AD628" i="5"/>
  <c r="AC629" i="5"/>
  <c r="AD629" i="5"/>
  <c r="AC630" i="5"/>
  <c r="AD630" i="5"/>
  <c r="AC631" i="5"/>
  <c r="AD631" i="5"/>
  <c r="AC632" i="5"/>
  <c r="AD632" i="5"/>
  <c r="AC633" i="5"/>
  <c r="AD633" i="5"/>
  <c r="AC634" i="5"/>
  <c r="AD634" i="5"/>
  <c r="AC635" i="5"/>
  <c r="AD635" i="5"/>
  <c r="AC636" i="5"/>
  <c r="AD636" i="5"/>
  <c r="AC637" i="5"/>
  <c r="AD637" i="5"/>
  <c r="AC638" i="5"/>
  <c r="AD638" i="5"/>
  <c r="AC639" i="5"/>
  <c r="AD639" i="5"/>
  <c r="AC640" i="5"/>
  <c r="AD640" i="5"/>
  <c r="AC641" i="5"/>
  <c r="AD641" i="5"/>
  <c r="AC642" i="5"/>
  <c r="AD642" i="5"/>
  <c r="AC643" i="5"/>
  <c r="AD643" i="5"/>
  <c r="AC644" i="5"/>
  <c r="AD644" i="5"/>
  <c r="AC645" i="5"/>
  <c r="AD645" i="5"/>
  <c r="AC646" i="5"/>
  <c r="AD646" i="5"/>
  <c r="AC647" i="5"/>
  <c r="AD647" i="5"/>
  <c r="AC648" i="5"/>
  <c r="AD648" i="5"/>
  <c r="AC649" i="5"/>
  <c r="AD649" i="5"/>
  <c r="AC650" i="5"/>
  <c r="AD650" i="5"/>
  <c r="AC651" i="5"/>
  <c r="AD651" i="5"/>
  <c r="AC652" i="5"/>
  <c r="AD652" i="5"/>
  <c r="AC653" i="5"/>
  <c r="AD653" i="5"/>
  <c r="AC654" i="5"/>
  <c r="AD654" i="5"/>
  <c r="AC655" i="5"/>
  <c r="AD655" i="5"/>
  <c r="AC656" i="5"/>
  <c r="AD656" i="5"/>
  <c r="AC657" i="5"/>
  <c r="AD657" i="5"/>
  <c r="AC658" i="5"/>
  <c r="AD658" i="5"/>
  <c r="AC659" i="5"/>
  <c r="AD659" i="5"/>
  <c r="AC660" i="5"/>
  <c r="AD660" i="5"/>
  <c r="AC661" i="5"/>
  <c r="AD661" i="5"/>
  <c r="AC662" i="5"/>
  <c r="AD662" i="5"/>
  <c r="AC663" i="5"/>
  <c r="AD663" i="5"/>
  <c r="AC664" i="5"/>
  <c r="AD664" i="5"/>
  <c r="AC665" i="5"/>
  <c r="AD665" i="5"/>
  <c r="AC666" i="5"/>
  <c r="AD666" i="5"/>
  <c r="AC667" i="5"/>
  <c r="AD667" i="5"/>
  <c r="AC668" i="5"/>
  <c r="AD668" i="5"/>
  <c r="AC669" i="5"/>
  <c r="AD669" i="5"/>
  <c r="AC670" i="5"/>
  <c r="AD670" i="5"/>
  <c r="AC671" i="5"/>
  <c r="AD671" i="5"/>
  <c r="AC672" i="5"/>
  <c r="AD672" i="5"/>
  <c r="AC673" i="5"/>
  <c r="AD673" i="5"/>
  <c r="AC674" i="5"/>
  <c r="AD674" i="5"/>
  <c r="AC675" i="5"/>
  <c r="AD675" i="5"/>
  <c r="AC676" i="5"/>
  <c r="AD676" i="5"/>
  <c r="AC677" i="5"/>
  <c r="AD677" i="5"/>
  <c r="AC678" i="5"/>
  <c r="AD678" i="5"/>
  <c r="AC679" i="5"/>
  <c r="AD679" i="5"/>
  <c r="AC680" i="5"/>
  <c r="AD680" i="5"/>
  <c r="AC681" i="5"/>
  <c r="AD681" i="5"/>
  <c r="AC682" i="5"/>
  <c r="AD682" i="5"/>
  <c r="AC683" i="5"/>
  <c r="AD683" i="5"/>
  <c r="AC684" i="5"/>
  <c r="AD684" i="5"/>
  <c r="AC685" i="5"/>
  <c r="AD685" i="5"/>
  <c r="AC686" i="5"/>
  <c r="AD686" i="5"/>
  <c r="AC687" i="5"/>
  <c r="AD687" i="5"/>
  <c r="AC688" i="5"/>
  <c r="AD688" i="5"/>
  <c r="AC689" i="5"/>
  <c r="AD689" i="5"/>
  <c r="AC690" i="5"/>
  <c r="AD690" i="5"/>
  <c r="AC691" i="5"/>
  <c r="AD691" i="5"/>
  <c r="AC692" i="5"/>
  <c r="AD692" i="5"/>
  <c r="AC693" i="5"/>
  <c r="AD693" i="5"/>
  <c r="AC694" i="5"/>
  <c r="AD694" i="5"/>
  <c r="AC695" i="5"/>
  <c r="AD695" i="5"/>
  <c r="AC696" i="5"/>
  <c r="AD696" i="5"/>
  <c r="AC697" i="5"/>
  <c r="AD697" i="5"/>
  <c r="AC698" i="5"/>
  <c r="AD698" i="5"/>
  <c r="AC699" i="5"/>
  <c r="AD699" i="5"/>
  <c r="AC700" i="5"/>
  <c r="AD700" i="5"/>
  <c r="AC701" i="5"/>
  <c r="AD701" i="5"/>
  <c r="AC702" i="5"/>
  <c r="AD702" i="5"/>
  <c r="AC703" i="5"/>
  <c r="AD703" i="5"/>
  <c r="AC704" i="5"/>
  <c r="AD704" i="5"/>
  <c r="AC705" i="5"/>
  <c r="AD705" i="5"/>
  <c r="AC706" i="5"/>
  <c r="AD706" i="5"/>
  <c r="AC707" i="5"/>
  <c r="AD707" i="5"/>
  <c r="AC708" i="5"/>
  <c r="AD708" i="5"/>
  <c r="AC709" i="5"/>
  <c r="AD709" i="5"/>
  <c r="AC710" i="5"/>
  <c r="AD710" i="5"/>
  <c r="AC711" i="5"/>
  <c r="AD711" i="5"/>
  <c r="AC712" i="5"/>
  <c r="AD712" i="5"/>
  <c r="AC713" i="5"/>
  <c r="AD713" i="5"/>
  <c r="AC714" i="5"/>
  <c r="AD714" i="5"/>
  <c r="AC715" i="5"/>
  <c r="AD715" i="5"/>
  <c r="AC716" i="5"/>
  <c r="AD716" i="5"/>
  <c r="AC717" i="5"/>
  <c r="AD717" i="5"/>
  <c r="AC718" i="5"/>
  <c r="AD718" i="5"/>
  <c r="AC719" i="5"/>
  <c r="AD719" i="5"/>
  <c r="AC720" i="5"/>
  <c r="AD720" i="5"/>
  <c r="AC721" i="5"/>
  <c r="AD721" i="5"/>
  <c r="AC722" i="5"/>
  <c r="AD722" i="5"/>
  <c r="AC723" i="5"/>
  <c r="AD723" i="5"/>
  <c r="AC724" i="5"/>
  <c r="AD724" i="5"/>
  <c r="AC725" i="5"/>
  <c r="AD725" i="5"/>
  <c r="AC726" i="5"/>
  <c r="AD726" i="5"/>
  <c r="O605" i="5"/>
  <c r="P605" i="5"/>
  <c r="Q605" i="5"/>
  <c r="R605" i="5"/>
  <c r="S605" i="5"/>
  <c r="T605" i="5"/>
  <c r="U605" i="5"/>
  <c r="V605" i="5"/>
  <c r="W605" i="5"/>
  <c r="X605" i="5"/>
  <c r="O606" i="5"/>
  <c r="P606" i="5"/>
  <c r="Q606" i="5"/>
  <c r="R606" i="5"/>
  <c r="S606" i="5"/>
  <c r="T606" i="5"/>
  <c r="U606" i="5"/>
  <c r="V606" i="5"/>
  <c r="W606" i="5"/>
  <c r="X606" i="5"/>
  <c r="O607" i="5"/>
  <c r="P607" i="5"/>
  <c r="Q607" i="5"/>
  <c r="R607" i="5"/>
  <c r="S607" i="5"/>
  <c r="T607" i="5"/>
  <c r="U607" i="5"/>
  <c r="V607" i="5"/>
  <c r="W607" i="5"/>
  <c r="X607" i="5"/>
  <c r="O608" i="5"/>
  <c r="P608" i="5"/>
  <c r="Q608" i="5"/>
  <c r="R608" i="5"/>
  <c r="S608" i="5"/>
  <c r="T608" i="5"/>
  <c r="U608" i="5"/>
  <c r="V608" i="5"/>
  <c r="W608" i="5"/>
  <c r="X608" i="5"/>
  <c r="O609" i="5"/>
  <c r="P609" i="5"/>
  <c r="Q609" i="5"/>
  <c r="R609" i="5"/>
  <c r="S609" i="5"/>
  <c r="T609" i="5"/>
  <c r="U609" i="5"/>
  <c r="V609" i="5"/>
  <c r="W609" i="5"/>
  <c r="X609" i="5"/>
  <c r="O610" i="5"/>
  <c r="P610" i="5"/>
  <c r="Q610" i="5"/>
  <c r="R610" i="5"/>
  <c r="S610" i="5"/>
  <c r="T610" i="5"/>
  <c r="U610" i="5"/>
  <c r="V610" i="5"/>
  <c r="W610" i="5"/>
  <c r="X610" i="5"/>
  <c r="O611" i="5"/>
  <c r="P611" i="5"/>
  <c r="Q611" i="5"/>
  <c r="R611" i="5"/>
  <c r="S611" i="5"/>
  <c r="T611" i="5"/>
  <c r="U611" i="5"/>
  <c r="V611" i="5"/>
  <c r="W611" i="5"/>
  <c r="X611" i="5"/>
  <c r="O612" i="5"/>
  <c r="P612" i="5"/>
  <c r="Q612" i="5"/>
  <c r="R612" i="5"/>
  <c r="S612" i="5"/>
  <c r="T612" i="5"/>
  <c r="U612" i="5"/>
  <c r="V612" i="5"/>
  <c r="W612" i="5"/>
  <c r="X612" i="5"/>
  <c r="O613" i="5"/>
  <c r="P613" i="5"/>
  <c r="Q613" i="5"/>
  <c r="R613" i="5"/>
  <c r="S613" i="5"/>
  <c r="T613" i="5"/>
  <c r="U613" i="5"/>
  <c r="V613" i="5"/>
  <c r="W613" i="5"/>
  <c r="X613" i="5"/>
  <c r="O614" i="5"/>
  <c r="P614" i="5"/>
  <c r="Q614" i="5"/>
  <c r="R614" i="5"/>
  <c r="S614" i="5"/>
  <c r="T614" i="5"/>
  <c r="U614" i="5"/>
  <c r="V614" i="5"/>
  <c r="W614" i="5"/>
  <c r="X614" i="5"/>
  <c r="O615" i="5"/>
  <c r="P615" i="5"/>
  <c r="Q615" i="5"/>
  <c r="R615" i="5"/>
  <c r="S615" i="5"/>
  <c r="T615" i="5"/>
  <c r="U615" i="5"/>
  <c r="V615" i="5"/>
  <c r="W615" i="5"/>
  <c r="X615" i="5"/>
  <c r="O616" i="5"/>
  <c r="P616" i="5"/>
  <c r="Q616" i="5"/>
  <c r="R616" i="5"/>
  <c r="S616" i="5"/>
  <c r="T616" i="5"/>
  <c r="U616" i="5"/>
  <c r="V616" i="5"/>
  <c r="W616" i="5"/>
  <c r="X616" i="5"/>
  <c r="O617" i="5"/>
  <c r="P617" i="5"/>
  <c r="Q617" i="5"/>
  <c r="R617" i="5"/>
  <c r="S617" i="5"/>
  <c r="T617" i="5"/>
  <c r="U617" i="5"/>
  <c r="V617" i="5"/>
  <c r="W617" i="5"/>
  <c r="X617" i="5"/>
  <c r="O618" i="5"/>
  <c r="P618" i="5"/>
  <c r="Q618" i="5"/>
  <c r="R618" i="5"/>
  <c r="S618" i="5"/>
  <c r="T618" i="5"/>
  <c r="U618" i="5"/>
  <c r="V618" i="5"/>
  <c r="W618" i="5"/>
  <c r="X618" i="5"/>
  <c r="O619" i="5"/>
  <c r="P619" i="5"/>
  <c r="Q619" i="5"/>
  <c r="R619" i="5"/>
  <c r="S619" i="5"/>
  <c r="T619" i="5"/>
  <c r="U619" i="5"/>
  <c r="V619" i="5"/>
  <c r="W619" i="5"/>
  <c r="X619" i="5"/>
  <c r="O620" i="5"/>
  <c r="P620" i="5"/>
  <c r="Q620" i="5"/>
  <c r="R620" i="5"/>
  <c r="S620" i="5"/>
  <c r="T620" i="5"/>
  <c r="U620" i="5"/>
  <c r="V620" i="5"/>
  <c r="W620" i="5"/>
  <c r="X620" i="5"/>
  <c r="O621" i="5"/>
  <c r="P621" i="5"/>
  <c r="Q621" i="5"/>
  <c r="R621" i="5"/>
  <c r="S621" i="5"/>
  <c r="T621" i="5"/>
  <c r="U621" i="5"/>
  <c r="V621" i="5"/>
  <c r="W621" i="5"/>
  <c r="X621" i="5"/>
  <c r="O622" i="5"/>
  <c r="P622" i="5"/>
  <c r="Q622" i="5"/>
  <c r="R622" i="5"/>
  <c r="S622" i="5"/>
  <c r="T622" i="5"/>
  <c r="U622" i="5"/>
  <c r="V622" i="5"/>
  <c r="W622" i="5"/>
  <c r="X622" i="5"/>
  <c r="O623" i="5"/>
  <c r="P623" i="5"/>
  <c r="Q623" i="5"/>
  <c r="R623" i="5"/>
  <c r="S623" i="5"/>
  <c r="T623" i="5"/>
  <c r="U623" i="5"/>
  <c r="V623" i="5"/>
  <c r="W623" i="5"/>
  <c r="X623" i="5"/>
  <c r="O624" i="5"/>
  <c r="P624" i="5"/>
  <c r="Q624" i="5"/>
  <c r="R624" i="5"/>
  <c r="S624" i="5"/>
  <c r="T624" i="5"/>
  <c r="U624" i="5"/>
  <c r="V624" i="5"/>
  <c r="W624" i="5"/>
  <c r="X624" i="5"/>
  <c r="O625" i="5"/>
  <c r="P625" i="5"/>
  <c r="Q625" i="5"/>
  <c r="R625" i="5"/>
  <c r="S625" i="5"/>
  <c r="T625" i="5"/>
  <c r="U625" i="5"/>
  <c r="V625" i="5"/>
  <c r="W625" i="5"/>
  <c r="X625" i="5"/>
  <c r="O626" i="5"/>
  <c r="P626" i="5"/>
  <c r="Q626" i="5"/>
  <c r="R626" i="5"/>
  <c r="S626" i="5"/>
  <c r="T626" i="5"/>
  <c r="U626" i="5"/>
  <c r="V626" i="5"/>
  <c r="W626" i="5"/>
  <c r="X626" i="5"/>
  <c r="O627" i="5"/>
  <c r="P627" i="5"/>
  <c r="Q627" i="5"/>
  <c r="R627" i="5"/>
  <c r="S627" i="5"/>
  <c r="T627" i="5"/>
  <c r="U627" i="5"/>
  <c r="V627" i="5"/>
  <c r="W627" i="5"/>
  <c r="X627" i="5"/>
  <c r="O628" i="5"/>
  <c r="P628" i="5"/>
  <c r="Q628" i="5"/>
  <c r="R628" i="5"/>
  <c r="S628" i="5"/>
  <c r="T628" i="5"/>
  <c r="U628" i="5"/>
  <c r="V628" i="5"/>
  <c r="W628" i="5"/>
  <c r="X628" i="5"/>
  <c r="O629" i="5"/>
  <c r="P629" i="5"/>
  <c r="Q629" i="5"/>
  <c r="R629" i="5"/>
  <c r="S629" i="5"/>
  <c r="T629" i="5"/>
  <c r="U629" i="5"/>
  <c r="V629" i="5"/>
  <c r="W629" i="5"/>
  <c r="X629" i="5"/>
  <c r="O630" i="5"/>
  <c r="P630" i="5"/>
  <c r="Q630" i="5"/>
  <c r="R630" i="5"/>
  <c r="S630" i="5"/>
  <c r="T630" i="5"/>
  <c r="U630" i="5"/>
  <c r="V630" i="5"/>
  <c r="W630" i="5"/>
  <c r="X630" i="5"/>
  <c r="O631" i="5"/>
  <c r="P631" i="5"/>
  <c r="Q631" i="5"/>
  <c r="R631" i="5"/>
  <c r="S631" i="5"/>
  <c r="T631" i="5"/>
  <c r="U631" i="5"/>
  <c r="V631" i="5"/>
  <c r="W631" i="5"/>
  <c r="X631" i="5"/>
  <c r="O632" i="5"/>
  <c r="P632" i="5"/>
  <c r="Q632" i="5"/>
  <c r="R632" i="5"/>
  <c r="S632" i="5"/>
  <c r="T632" i="5"/>
  <c r="U632" i="5"/>
  <c r="V632" i="5"/>
  <c r="W632" i="5"/>
  <c r="X632" i="5"/>
  <c r="O633" i="5"/>
  <c r="P633" i="5"/>
  <c r="Q633" i="5"/>
  <c r="R633" i="5"/>
  <c r="S633" i="5"/>
  <c r="T633" i="5"/>
  <c r="U633" i="5"/>
  <c r="V633" i="5"/>
  <c r="W633" i="5"/>
  <c r="X633" i="5"/>
  <c r="O634" i="5"/>
  <c r="P634" i="5"/>
  <c r="Q634" i="5"/>
  <c r="R634" i="5"/>
  <c r="S634" i="5"/>
  <c r="T634" i="5"/>
  <c r="U634" i="5"/>
  <c r="V634" i="5"/>
  <c r="W634" i="5"/>
  <c r="X634" i="5"/>
  <c r="O635" i="5"/>
  <c r="P635" i="5"/>
  <c r="Q635" i="5"/>
  <c r="R635" i="5"/>
  <c r="S635" i="5"/>
  <c r="T635" i="5"/>
  <c r="U635" i="5"/>
  <c r="V635" i="5"/>
  <c r="W635" i="5"/>
  <c r="X635" i="5"/>
  <c r="O636" i="5"/>
  <c r="P636" i="5"/>
  <c r="Q636" i="5"/>
  <c r="R636" i="5"/>
  <c r="S636" i="5"/>
  <c r="T636" i="5"/>
  <c r="U636" i="5"/>
  <c r="V636" i="5"/>
  <c r="W636" i="5"/>
  <c r="X636" i="5"/>
  <c r="O637" i="5"/>
  <c r="P637" i="5"/>
  <c r="Q637" i="5"/>
  <c r="R637" i="5"/>
  <c r="S637" i="5"/>
  <c r="T637" i="5"/>
  <c r="U637" i="5"/>
  <c r="V637" i="5"/>
  <c r="W637" i="5"/>
  <c r="X637" i="5"/>
  <c r="O638" i="5"/>
  <c r="P638" i="5"/>
  <c r="Q638" i="5"/>
  <c r="R638" i="5"/>
  <c r="S638" i="5"/>
  <c r="T638" i="5"/>
  <c r="U638" i="5"/>
  <c r="V638" i="5"/>
  <c r="W638" i="5"/>
  <c r="X638" i="5"/>
  <c r="O639" i="5"/>
  <c r="P639" i="5"/>
  <c r="Q639" i="5"/>
  <c r="R639" i="5"/>
  <c r="S639" i="5"/>
  <c r="T639" i="5"/>
  <c r="U639" i="5"/>
  <c r="V639" i="5"/>
  <c r="W639" i="5"/>
  <c r="X639" i="5"/>
  <c r="O640" i="5"/>
  <c r="P640" i="5"/>
  <c r="Q640" i="5"/>
  <c r="R640" i="5"/>
  <c r="S640" i="5"/>
  <c r="T640" i="5"/>
  <c r="U640" i="5"/>
  <c r="V640" i="5"/>
  <c r="W640" i="5"/>
  <c r="X640" i="5"/>
  <c r="O641" i="5"/>
  <c r="P641" i="5"/>
  <c r="Q641" i="5"/>
  <c r="R641" i="5"/>
  <c r="S641" i="5"/>
  <c r="T641" i="5"/>
  <c r="U641" i="5"/>
  <c r="V641" i="5"/>
  <c r="W641" i="5"/>
  <c r="X641" i="5"/>
  <c r="O642" i="5"/>
  <c r="P642" i="5"/>
  <c r="Q642" i="5"/>
  <c r="R642" i="5"/>
  <c r="S642" i="5"/>
  <c r="T642" i="5"/>
  <c r="U642" i="5"/>
  <c r="V642" i="5"/>
  <c r="W642" i="5"/>
  <c r="X642" i="5"/>
  <c r="O643" i="5"/>
  <c r="P643" i="5"/>
  <c r="Q643" i="5"/>
  <c r="R643" i="5"/>
  <c r="S643" i="5"/>
  <c r="T643" i="5"/>
  <c r="U643" i="5"/>
  <c r="V643" i="5"/>
  <c r="W643" i="5"/>
  <c r="X643" i="5"/>
  <c r="O644" i="5"/>
  <c r="P644" i="5"/>
  <c r="Q644" i="5"/>
  <c r="R644" i="5"/>
  <c r="S644" i="5"/>
  <c r="T644" i="5"/>
  <c r="U644" i="5"/>
  <c r="V644" i="5"/>
  <c r="W644" i="5"/>
  <c r="X644" i="5"/>
  <c r="O645" i="5"/>
  <c r="P645" i="5"/>
  <c r="Q645" i="5"/>
  <c r="R645" i="5"/>
  <c r="S645" i="5"/>
  <c r="T645" i="5"/>
  <c r="U645" i="5"/>
  <c r="V645" i="5"/>
  <c r="W645" i="5"/>
  <c r="X645" i="5"/>
  <c r="O646" i="5"/>
  <c r="P646" i="5"/>
  <c r="Q646" i="5"/>
  <c r="R646" i="5"/>
  <c r="S646" i="5"/>
  <c r="T646" i="5"/>
  <c r="U646" i="5"/>
  <c r="V646" i="5"/>
  <c r="W646" i="5"/>
  <c r="X646" i="5"/>
  <c r="O647" i="5"/>
  <c r="P647" i="5"/>
  <c r="Q647" i="5"/>
  <c r="R647" i="5"/>
  <c r="S647" i="5"/>
  <c r="T647" i="5"/>
  <c r="U647" i="5"/>
  <c r="V647" i="5"/>
  <c r="W647" i="5"/>
  <c r="X647" i="5"/>
  <c r="O648" i="5"/>
  <c r="P648" i="5"/>
  <c r="Q648" i="5"/>
  <c r="R648" i="5"/>
  <c r="S648" i="5"/>
  <c r="T648" i="5"/>
  <c r="U648" i="5"/>
  <c r="V648" i="5"/>
  <c r="W648" i="5"/>
  <c r="X648" i="5"/>
  <c r="O649" i="5"/>
  <c r="P649" i="5"/>
  <c r="Q649" i="5"/>
  <c r="R649" i="5"/>
  <c r="S649" i="5"/>
  <c r="T649" i="5"/>
  <c r="U649" i="5"/>
  <c r="V649" i="5"/>
  <c r="W649" i="5"/>
  <c r="X649" i="5"/>
  <c r="O650" i="5"/>
  <c r="P650" i="5"/>
  <c r="Q650" i="5"/>
  <c r="R650" i="5"/>
  <c r="S650" i="5"/>
  <c r="T650" i="5"/>
  <c r="U650" i="5"/>
  <c r="V650" i="5"/>
  <c r="W650" i="5"/>
  <c r="X650" i="5"/>
  <c r="O651" i="5"/>
  <c r="P651" i="5"/>
  <c r="Q651" i="5"/>
  <c r="R651" i="5"/>
  <c r="S651" i="5"/>
  <c r="T651" i="5"/>
  <c r="U651" i="5"/>
  <c r="V651" i="5"/>
  <c r="W651" i="5"/>
  <c r="X651" i="5"/>
  <c r="O652" i="5"/>
  <c r="P652" i="5"/>
  <c r="Q652" i="5"/>
  <c r="R652" i="5"/>
  <c r="S652" i="5"/>
  <c r="T652" i="5"/>
  <c r="U652" i="5"/>
  <c r="V652" i="5"/>
  <c r="W652" i="5"/>
  <c r="X652" i="5"/>
  <c r="O653" i="5"/>
  <c r="P653" i="5"/>
  <c r="Q653" i="5"/>
  <c r="R653" i="5"/>
  <c r="S653" i="5"/>
  <c r="T653" i="5"/>
  <c r="U653" i="5"/>
  <c r="V653" i="5"/>
  <c r="W653" i="5"/>
  <c r="X653" i="5"/>
  <c r="O654" i="5"/>
  <c r="P654" i="5"/>
  <c r="Q654" i="5"/>
  <c r="R654" i="5"/>
  <c r="S654" i="5"/>
  <c r="T654" i="5"/>
  <c r="U654" i="5"/>
  <c r="V654" i="5"/>
  <c r="W654" i="5"/>
  <c r="X654" i="5"/>
  <c r="O655" i="5"/>
  <c r="P655" i="5"/>
  <c r="Q655" i="5"/>
  <c r="R655" i="5"/>
  <c r="S655" i="5"/>
  <c r="T655" i="5"/>
  <c r="U655" i="5"/>
  <c r="V655" i="5"/>
  <c r="W655" i="5"/>
  <c r="X655" i="5"/>
  <c r="O656" i="5"/>
  <c r="P656" i="5"/>
  <c r="Q656" i="5"/>
  <c r="R656" i="5"/>
  <c r="S656" i="5"/>
  <c r="T656" i="5"/>
  <c r="U656" i="5"/>
  <c r="V656" i="5"/>
  <c r="W656" i="5"/>
  <c r="X656" i="5"/>
  <c r="O657" i="5"/>
  <c r="P657" i="5"/>
  <c r="Q657" i="5"/>
  <c r="R657" i="5"/>
  <c r="S657" i="5"/>
  <c r="T657" i="5"/>
  <c r="U657" i="5"/>
  <c r="V657" i="5"/>
  <c r="W657" i="5"/>
  <c r="X657" i="5"/>
  <c r="O658" i="5"/>
  <c r="P658" i="5"/>
  <c r="Q658" i="5"/>
  <c r="R658" i="5"/>
  <c r="S658" i="5"/>
  <c r="T658" i="5"/>
  <c r="U658" i="5"/>
  <c r="V658" i="5"/>
  <c r="W658" i="5"/>
  <c r="X658" i="5"/>
  <c r="O659" i="5"/>
  <c r="P659" i="5"/>
  <c r="Q659" i="5"/>
  <c r="R659" i="5"/>
  <c r="S659" i="5"/>
  <c r="T659" i="5"/>
  <c r="U659" i="5"/>
  <c r="V659" i="5"/>
  <c r="W659" i="5"/>
  <c r="X659" i="5"/>
  <c r="O660" i="5"/>
  <c r="P660" i="5"/>
  <c r="Q660" i="5"/>
  <c r="R660" i="5"/>
  <c r="S660" i="5"/>
  <c r="T660" i="5"/>
  <c r="U660" i="5"/>
  <c r="V660" i="5"/>
  <c r="W660" i="5"/>
  <c r="X660" i="5"/>
  <c r="O661" i="5"/>
  <c r="P661" i="5"/>
  <c r="Q661" i="5"/>
  <c r="R661" i="5"/>
  <c r="S661" i="5"/>
  <c r="T661" i="5"/>
  <c r="U661" i="5"/>
  <c r="V661" i="5"/>
  <c r="W661" i="5"/>
  <c r="X661" i="5"/>
  <c r="O662" i="5"/>
  <c r="P662" i="5"/>
  <c r="Q662" i="5"/>
  <c r="R662" i="5"/>
  <c r="S662" i="5"/>
  <c r="T662" i="5"/>
  <c r="U662" i="5"/>
  <c r="V662" i="5"/>
  <c r="W662" i="5"/>
  <c r="X662" i="5"/>
  <c r="O663" i="5"/>
  <c r="P663" i="5"/>
  <c r="Q663" i="5"/>
  <c r="R663" i="5"/>
  <c r="S663" i="5"/>
  <c r="T663" i="5"/>
  <c r="U663" i="5"/>
  <c r="V663" i="5"/>
  <c r="W663" i="5"/>
  <c r="X663" i="5"/>
  <c r="O664" i="5"/>
  <c r="P664" i="5"/>
  <c r="Q664" i="5"/>
  <c r="R664" i="5"/>
  <c r="S664" i="5"/>
  <c r="T664" i="5"/>
  <c r="U664" i="5"/>
  <c r="V664" i="5"/>
  <c r="W664" i="5"/>
  <c r="X664" i="5"/>
  <c r="O665" i="5"/>
  <c r="P665" i="5"/>
  <c r="Q665" i="5"/>
  <c r="R665" i="5"/>
  <c r="S665" i="5"/>
  <c r="T665" i="5"/>
  <c r="U665" i="5"/>
  <c r="V665" i="5"/>
  <c r="W665" i="5"/>
  <c r="X665" i="5"/>
  <c r="O666" i="5"/>
  <c r="P666" i="5"/>
  <c r="Q666" i="5"/>
  <c r="R666" i="5"/>
  <c r="S666" i="5"/>
  <c r="T666" i="5"/>
  <c r="U666" i="5"/>
  <c r="V666" i="5"/>
  <c r="W666" i="5"/>
  <c r="X666" i="5"/>
  <c r="O667" i="5"/>
  <c r="P667" i="5"/>
  <c r="Q667" i="5"/>
  <c r="R667" i="5"/>
  <c r="S667" i="5"/>
  <c r="T667" i="5"/>
  <c r="U667" i="5"/>
  <c r="V667" i="5"/>
  <c r="W667" i="5"/>
  <c r="X667" i="5"/>
  <c r="O668" i="5"/>
  <c r="P668" i="5"/>
  <c r="Q668" i="5"/>
  <c r="R668" i="5"/>
  <c r="S668" i="5"/>
  <c r="T668" i="5"/>
  <c r="U668" i="5"/>
  <c r="V668" i="5"/>
  <c r="W668" i="5"/>
  <c r="X668" i="5"/>
  <c r="O669" i="5"/>
  <c r="P669" i="5"/>
  <c r="Q669" i="5"/>
  <c r="R669" i="5"/>
  <c r="S669" i="5"/>
  <c r="T669" i="5"/>
  <c r="U669" i="5"/>
  <c r="V669" i="5"/>
  <c r="W669" i="5"/>
  <c r="X669" i="5"/>
  <c r="O670" i="5"/>
  <c r="P670" i="5"/>
  <c r="Q670" i="5"/>
  <c r="R670" i="5"/>
  <c r="S670" i="5"/>
  <c r="T670" i="5"/>
  <c r="U670" i="5"/>
  <c r="V670" i="5"/>
  <c r="W670" i="5"/>
  <c r="X670" i="5"/>
  <c r="O671" i="5"/>
  <c r="P671" i="5"/>
  <c r="Q671" i="5"/>
  <c r="R671" i="5"/>
  <c r="S671" i="5"/>
  <c r="T671" i="5"/>
  <c r="U671" i="5"/>
  <c r="V671" i="5"/>
  <c r="W671" i="5"/>
  <c r="X671" i="5"/>
  <c r="O672" i="5"/>
  <c r="P672" i="5"/>
  <c r="Q672" i="5"/>
  <c r="R672" i="5"/>
  <c r="S672" i="5"/>
  <c r="T672" i="5"/>
  <c r="U672" i="5"/>
  <c r="V672" i="5"/>
  <c r="W672" i="5"/>
  <c r="X672" i="5"/>
  <c r="O673" i="5"/>
  <c r="P673" i="5"/>
  <c r="Q673" i="5"/>
  <c r="R673" i="5"/>
  <c r="S673" i="5"/>
  <c r="T673" i="5"/>
  <c r="U673" i="5"/>
  <c r="V673" i="5"/>
  <c r="W673" i="5"/>
  <c r="X673" i="5"/>
  <c r="O674" i="5"/>
  <c r="P674" i="5"/>
  <c r="Q674" i="5"/>
  <c r="R674" i="5"/>
  <c r="S674" i="5"/>
  <c r="T674" i="5"/>
  <c r="U674" i="5"/>
  <c r="V674" i="5"/>
  <c r="W674" i="5"/>
  <c r="X674" i="5"/>
  <c r="O675" i="5"/>
  <c r="P675" i="5"/>
  <c r="Q675" i="5"/>
  <c r="R675" i="5"/>
  <c r="S675" i="5"/>
  <c r="T675" i="5"/>
  <c r="U675" i="5"/>
  <c r="V675" i="5"/>
  <c r="W675" i="5"/>
  <c r="X675" i="5"/>
  <c r="O676" i="5"/>
  <c r="P676" i="5"/>
  <c r="Q676" i="5"/>
  <c r="R676" i="5"/>
  <c r="S676" i="5"/>
  <c r="T676" i="5"/>
  <c r="U676" i="5"/>
  <c r="V676" i="5"/>
  <c r="W676" i="5"/>
  <c r="X676" i="5"/>
  <c r="O677" i="5"/>
  <c r="P677" i="5"/>
  <c r="Q677" i="5"/>
  <c r="R677" i="5"/>
  <c r="S677" i="5"/>
  <c r="T677" i="5"/>
  <c r="U677" i="5"/>
  <c r="V677" i="5"/>
  <c r="W677" i="5"/>
  <c r="X677" i="5"/>
  <c r="O678" i="5"/>
  <c r="P678" i="5"/>
  <c r="Q678" i="5"/>
  <c r="R678" i="5"/>
  <c r="S678" i="5"/>
  <c r="T678" i="5"/>
  <c r="U678" i="5"/>
  <c r="V678" i="5"/>
  <c r="W678" i="5"/>
  <c r="X678" i="5"/>
  <c r="O679" i="5"/>
  <c r="P679" i="5"/>
  <c r="Q679" i="5"/>
  <c r="R679" i="5"/>
  <c r="S679" i="5"/>
  <c r="T679" i="5"/>
  <c r="U679" i="5"/>
  <c r="V679" i="5"/>
  <c r="W679" i="5"/>
  <c r="X679" i="5"/>
  <c r="O680" i="5"/>
  <c r="P680" i="5"/>
  <c r="Q680" i="5"/>
  <c r="R680" i="5"/>
  <c r="S680" i="5"/>
  <c r="T680" i="5"/>
  <c r="U680" i="5"/>
  <c r="V680" i="5"/>
  <c r="W680" i="5"/>
  <c r="X680" i="5"/>
  <c r="O681" i="5"/>
  <c r="P681" i="5"/>
  <c r="Q681" i="5"/>
  <c r="R681" i="5"/>
  <c r="S681" i="5"/>
  <c r="T681" i="5"/>
  <c r="U681" i="5"/>
  <c r="V681" i="5"/>
  <c r="W681" i="5"/>
  <c r="X681" i="5"/>
  <c r="O682" i="5"/>
  <c r="P682" i="5"/>
  <c r="Q682" i="5"/>
  <c r="R682" i="5"/>
  <c r="S682" i="5"/>
  <c r="T682" i="5"/>
  <c r="U682" i="5"/>
  <c r="V682" i="5"/>
  <c r="W682" i="5"/>
  <c r="X682" i="5"/>
  <c r="O683" i="5"/>
  <c r="P683" i="5"/>
  <c r="Q683" i="5"/>
  <c r="R683" i="5"/>
  <c r="S683" i="5"/>
  <c r="T683" i="5"/>
  <c r="U683" i="5"/>
  <c r="V683" i="5"/>
  <c r="W683" i="5"/>
  <c r="X683" i="5"/>
  <c r="O684" i="5"/>
  <c r="P684" i="5"/>
  <c r="Q684" i="5"/>
  <c r="R684" i="5"/>
  <c r="S684" i="5"/>
  <c r="T684" i="5"/>
  <c r="U684" i="5"/>
  <c r="V684" i="5"/>
  <c r="W684" i="5"/>
  <c r="X684" i="5"/>
  <c r="O685" i="5"/>
  <c r="P685" i="5"/>
  <c r="Q685" i="5"/>
  <c r="R685" i="5"/>
  <c r="S685" i="5"/>
  <c r="T685" i="5"/>
  <c r="U685" i="5"/>
  <c r="V685" i="5"/>
  <c r="W685" i="5"/>
  <c r="X685" i="5"/>
  <c r="O686" i="5"/>
  <c r="P686" i="5"/>
  <c r="Q686" i="5"/>
  <c r="R686" i="5"/>
  <c r="S686" i="5"/>
  <c r="T686" i="5"/>
  <c r="U686" i="5"/>
  <c r="V686" i="5"/>
  <c r="W686" i="5"/>
  <c r="X686" i="5"/>
  <c r="O687" i="5"/>
  <c r="P687" i="5"/>
  <c r="Q687" i="5"/>
  <c r="R687" i="5"/>
  <c r="S687" i="5"/>
  <c r="T687" i="5"/>
  <c r="U687" i="5"/>
  <c r="V687" i="5"/>
  <c r="W687" i="5"/>
  <c r="X687" i="5"/>
  <c r="O688" i="5"/>
  <c r="P688" i="5"/>
  <c r="Q688" i="5"/>
  <c r="R688" i="5"/>
  <c r="S688" i="5"/>
  <c r="T688" i="5"/>
  <c r="U688" i="5"/>
  <c r="V688" i="5"/>
  <c r="W688" i="5"/>
  <c r="X688" i="5"/>
  <c r="O689" i="5"/>
  <c r="P689" i="5"/>
  <c r="Q689" i="5"/>
  <c r="R689" i="5"/>
  <c r="S689" i="5"/>
  <c r="T689" i="5"/>
  <c r="U689" i="5"/>
  <c r="V689" i="5"/>
  <c r="W689" i="5"/>
  <c r="X689" i="5"/>
  <c r="O690" i="5"/>
  <c r="P690" i="5"/>
  <c r="Q690" i="5"/>
  <c r="R690" i="5"/>
  <c r="S690" i="5"/>
  <c r="T690" i="5"/>
  <c r="U690" i="5"/>
  <c r="V690" i="5"/>
  <c r="W690" i="5"/>
  <c r="X690" i="5"/>
  <c r="O691" i="5"/>
  <c r="P691" i="5"/>
  <c r="Q691" i="5"/>
  <c r="R691" i="5"/>
  <c r="S691" i="5"/>
  <c r="T691" i="5"/>
  <c r="U691" i="5"/>
  <c r="V691" i="5"/>
  <c r="W691" i="5"/>
  <c r="X691" i="5"/>
  <c r="O692" i="5"/>
  <c r="P692" i="5"/>
  <c r="Q692" i="5"/>
  <c r="R692" i="5"/>
  <c r="S692" i="5"/>
  <c r="T692" i="5"/>
  <c r="U692" i="5"/>
  <c r="V692" i="5"/>
  <c r="W692" i="5"/>
  <c r="X692" i="5"/>
  <c r="O693" i="5"/>
  <c r="P693" i="5"/>
  <c r="Q693" i="5"/>
  <c r="R693" i="5"/>
  <c r="S693" i="5"/>
  <c r="T693" i="5"/>
  <c r="U693" i="5"/>
  <c r="V693" i="5"/>
  <c r="W693" i="5"/>
  <c r="X693" i="5"/>
  <c r="O694" i="5"/>
  <c r="P694" i="5"/>
  <c r="Q694" i="5"/>
  <c r="R694" i="5"/>
  <c r="S694" i="5"/>
  <c r="T694" i="5"/>
  <c r="U694" i="5"/>
  <c r="V694" i="5"/>
  <c r="W694" i="5"/>
  <c r="X694" i="5"/>
  <c r="O695" i="5"/>
  <c r="P695" i="5"/>
  <c r="Q695" i="5"/>
  <c r="R695" i="5"/>
  <c r="S695" i="5"/>
  <c r="T695" i="5"/>
  <c r="U695" i="5"/>
  <c r="V695" i="5"/>
  <c r="W695" i="5"/>
  <c r="X695" i="5"/>
  <c r="O696" i="5"/>
  <c r="P696" i="5"/>
  <c r="Q696" i="5"/>
  <c r="R696" i="5"/>
  <c r="S696" i="5"/>
  <c r="T696" i="5"/>
  <c r="U696" i="5"/>
  <c r="V696" i="5"/>
  <c r="W696" i="5"/>
  <c r="X696" i="5"/>
  <c r="O697" i="5"/>
  <c r="P697" i="5"/>
  <c r="Q697" i="5"/>
  <c r="R697" i="5"/>
  <c r="S697" i="5"/>
  <c r="T697" i="5"/>
  <c r="U697" i="5"/>
  <c r="V697" i="5"/>
  <c r="W697" i="5"/>
  <c r="X697" i="5"/>
  <c r="O698" i="5"/>
  <c r="P698" i="5"/>
  <c r="Q698" i="5"/>
  <c r="R698" i="5"/>
  <c r="S698" i="5"/>
  <c r="T698" i="5"/>
  <c r="U698" i="5"/>
  <c r="V698" i="5"/>
  <c r="W698" i="5"/>
  <c r="X698" i="5"/>
  <c r="O699" i="5"/>
  <c r="P699" i="5"/>
  <c r="Q699" i="5"/>
  <c r="R699" i="5"/>
  <c r="S699" i="5"/>
  <c r="T699" i="5"/>
  <c r="U699" i="5"/>
  <c r="V699" i="5"/>
  <c r="W699" i="5"/>
  <c r="X699" i="5"/>
  <c r="O700" i="5"/>
  <c r="P700" i="5"/>
  <c r="Q700" i="5"/>
  <c r="R700" i="5"/>
  <c r="S700" i="5"/>
  <c r="T700" i="5"/>
  <c r="U700" i="5"/>
  <c r="V700" i="5"/>
  <c r="W700" i="5"/>
  <c r="X700" i="5"/>
  <c r="O701" i="5"/>
  <c r="P701" i="5"/>
  <c r="Q701" i="5"/>
  <c r="R701" i="5"/>
  <c r="S701" i="5"/>
  <c r="T701" i="5"/>
  <c r="U701" i="5"/>
  <c r="V701" i="5"/>
  <c r="W701" i="5"/>
  <c r="X701" i="5"/>
  <c r="O702" i="5"/>
  <c r="P702" i="5"/>
  <c r="Q702" i="5"/>
  <c r="R702" i="5"/>
  <c r="S702" i="5"/>
  <c r="T702" i="5"/>
  <c r="U702" i="5"/>
  <c r="V702" i="5"/>
  <c r="W702" i="5"/>
  <c r="X702" i="5"/>
  <c r="O703" i="5"/>
  <c r="P703" i="5"/>
  <c r="Q703" i="5"/>
  <c r="R703" i="5"/>
  <c r="S703" i="5"/>
  <c r="T703" i="5"/>
  <c r="U703" i="5"/>
  <c r="V703" i="5"/>
  <c r="W703" i="5"/>
  <c r="X703" i="5"/>
  <c r="O704" i="5"/>
  <c r="P704" i="5"/>
  <c r="Q704" i="5"/>
  <c r="R704" i="5"/>
  <c r="S704" i="5"/>
  <c r="T704" i="5"/>
  <c r="U704" i="5"/>
  <c r="V704" i="5"/>
  <c r="W704" i="5"/>
  <c r="X704" i="5"/>
  <c r="O705" i="5"/>
  <c r="P705" i="5"/>
  <c r="Q705" i="5"/>
  <c r="R705" i="5"/>
  <c r="S705" i="5"/>
  <c r="T705" i="5"/>
  <c r="U705" i="5"/>
  <c r="V705" i="5"/>
  <c r="W705" i="5"/>
  <c r="X705" i="5"/>
  <c r="O706" i="5"/>
  <c r="P706" i="5"/>
  <c r="Q706" i="5"/>
  <c r="R706" i="5"/>
  <c r="S706" i="5"/>
  <c r="T706" i="5"/>
  <c r="U706" i="5"/>
  <c r="V706" i="5"/>
  <c r="W706" i="5"/>
  <c r="X706" i="5"/>
  <c r="O707" i="5"/>
  <c r="P707" i="5"/>
  <c r="Q707" i="5"/>
  <c r="R707" i="5"/>
  <c r="S707" i="5"/>
  <c r="T707" i="5"/>
  <c r="U707" i="5"/>
  <c r="V707" i="5"/>
  <c r="W707" i="5"/>
  <c r="X707" i="5"/>
  <c r="O708" i="5"/>
  <c r="P708" i="5"/>
  <c r="Q708" i="5"/>
  <c r="R708" i="5"/>
  <c r="S708" i="5"/>
  <c r="T708" i="5"/>
  <c r="U708" i="5"/>
  <c r="V708" i="5"/>
  <c r="W708" i="5"/>
  <c r="X708" i="5"/>
  <c r="O709" i="5"/>
  <c r="P709" i="5"/>
  <c r="Q709" i="5"/>
  <c r="R709" i="5"/>
  <c r="S709" i="5"/>
  <c r="T709" i="5"/>
  <c r="U709" i="5"/>
  <c r="V709" i="5"/>
  <c r="W709" i="5"/>
  <c r="X709" i="5"/>
  <c r="O710" i="5"/>
  <c r="P710" i="5"/>
  <c r="Q710" i="5"/>
  <c r="R710" i="5"/>
  <c r="S710" i="5"/>
  <c r="T710" i="5"/>
  <c r="U710" i="5"/>
  <c r="V710" i="5"/>
  <c r="W710" i="5"/>
  <c r="X710" i="5"/>
  <c r="O711" i="5"/>
  <c r="P711" i="5"/>
  <c r="Q711" i="5"/>
  <c r="R711" i="5"/>
  <c r="S711" i="5"/>
  <c r="T711" i="5"/>
  <c r="U711" i="5"/>
  <c r="V711" i="5"/>
  <c r="W711" i="5"/>
  <c r="X711" i="5"/>
  <c r="O712" i="5"/>
  <c r="P712" i="5"/>
  <c r="Q712" i="5"/>
  <c r="R712" i="5"/>
  <c r="S712" i="5"/>
  <c r="T712" i="5"/>
  <c r="U712" i="5"/>
  <c r="V712" i="5"/>
  <c r="W712" i="5"/>
  <c r="X712" i="5"/>
  <c r="O713" i="5"/>
  <c r="P713" i="5"/>
  <c r="Q713" i="5"/>
  <c r="R713" i="5"/>
  <c r="S713" i="5"/>
  <c r="T713" i="5"/>
  <c r="U713" i="5"/>
  <c r="V713" i="5"/>
  <c r="W713" i="5"/>
  <c r="X713" i="5"/>
  <c r="O714" i="5"/>
  <c r="P714" i="5"/>
  <c r="Q714" i="5"/>
  <c r="R714" i="5"/>
  <c r="S714" i="5"/>
  <c r="T714" i="5"/>
  <c r="U714" i="5"/>
  <c r="V714" i="5"/>
  <c r="W714" i="5"/>
  <c r="X714" i="5"/>
  <c r="O715" i="5"/>
  <c r="P715" i="5"/>
  <c r="Q715" i="5"/>
  <c r="R715" i="5"/>
  <c r="S715" i="5"/>
  <c r="T715" i="5"/>
  <c r="U715" i="5"/>
  <c r="V715" i="5"/>
  <c r="W715" i="5"/>
  <c r="X715" i="5"/>
  <c r="O716" i="5"/>
  <c r="P716" i="5"/>
  <c r="Q716" i="5"/>
  <c r="R716" i="5"/>
  <c r="S716" i="5"/>
  <c r="T716" i="5"/>
  <c r="U716" i="5"/>
  <c r="V716" i="5"/>
  <c r="W716" i="5"/>
  <c r="X716" i="5"/>
  <c r="O717" i="5"/>
  <c r="P717" i="5"/>
  <c r="Q717" i="5"/>
  <c r="R717" i="5"/>
  <c r="S717" i="5"/>
  <c r="T717" i="5"/>
  <c r="U717" i="5"/>
  <c r="V717" i="5"/>
  <c r="W717" i="5"/>
  <c r="X717" i="5"/>
  <c r="O718" i="5"/>
  <c r="P718" i="5"/>
  <c r="Q718" i="5"/>
  <c r="R718" i="5"/>
  <c r="S718" i="5"/>
  <c r="T718" i="5"/>
  <c r="U718" i="5"/>
  <c r="V718" i="5"/>
  <c r="W718" i="5"/>
  <c r="X718" i="5"/>
  <c r="O719" i="5"/>
  <c r="P719" i="5"/>
  <c r="Q719" i="5"/>
  <c r="R719" i="5"/>
  <c r="S719" i="5"/>
  <c r="T719" i="5"/>
  <c r="U719" i="5"/>
  <c r="V719" i="5"/>
  <c r="W719" i="5"/>
  <c r="X719" i="5"/>
  <c r="O720" i="5"/>
  <c r="P720" i="5"/>
  <c r="Q720" i="5"/>
  <c r="R720" i="5"/>
  <c r="S720" i="5"/>
  <c r="T720" i="5"/>
  <c r="U720" i="5"/>
  <c r="V720" i="5"/>
  <c r="W720" i="5"/>
  <c r="X720" i="5"/>
  <c r="O721" i="5"/>
  <c r="P721" i="5"/>
  <c r="Q721" i="5"/>
  <c r="R721" i="5"/>
  <c r="S721" i="5"/>
  <c r="T721" i="5"/>
  <c r="U721" i="5"/>
  <c r="V721" i="5"/>
  <c r="W721" i="5"/>
  <c r="X721" i="5"/>
  <c r="O722" i="5"/>
  <c r="P722" i="5"/>
  <c r="Q722" i="5"/>
  <c r="R722" i="5"/>
  <c r="S722" i="5"/>
  <c r="T722" i="5"/>
  <c r="U722" i="5"/>
  <c r="V722" i="5"/>
  <c r="W722" i="5"/>
  <c r="X722" i="5"/>
  <c r="O723" i="5"/>
  <c r="P723" i="5"/>
  <c r="Q723" i="5"/>
  <c r="R723" i="5"/>
  <c r="S723" i="5"/>
  <c r="T723" i="5"/>
  <c r="U723" i="5"/>
  <c r="V723" i="5"/>
  <c r="W723" i="5"/>
  <c r="X723" i="5"/>
  <c r="O724" i="5"/>
  <c r="P724" i="5"/>
  <c r="Q724" i="5"/>
  <c r="R724" i="5"/>
  <c r="S724" i="5"/>
  <c r="T724" i="5"/>
  <c r="U724" i="5"/>
  <c r="V724" i="5"/>
  <c r="W724" i="5"/>
  <c r="X724" i="5"/>
  <c r="O725" i="5"/>
  <c r="P725" i="5"/>
  <c r="Q725" i="5"/>
  <c r="R725" i="5"/>
  <c r="S725" i="5"/>
  <c r="T725" i="5"/>
  <c r="U725" i="5"/>
  <c r="V725" i="5"/>
  <c r="W725" i="5"/>
  <c r="X725" i="5"/>
  <c r="O726" i="5"/>
  <c r="P726" i="5"/>
  <c r="Q726" i="5"/>
  <c r="R726" i="5"/>
  <c r="S726" i="5"/>
  <c r="T726" i="5"/>
  <c r="U726" i="5"/>
  <c r="V726" i="5"/>
  <c r="W726" i="5"/>
  <c r="X726" i="5"/>
  <c r="AB605" i="5"/>
  <c r="AB606" i="5"/>
  <c r="AB607" i="5"/>
  <c r="AB608" i="5"/>
  <c r="AB609" i="5"/>
  <c r="AB610" i="5"/>
  <c r="AB611" i="5"/>
  <c r="AB612" i="5"/>
  <c r="AB613" i="5"/>
  <c r="AB614" i="5"/>
  <c r="AB615" i="5"/>
  <c r="AB616" i="5"/>
  <c r="AB617" i="5"/>
  <c r="AB618" i="5"/>
  <c r="AB619" i="5"/>
  <c r="AB620" i="5"/>
  <c r="AB621" i="5"/>
  <c r="AB622" i="5"/>
  <c r="AB623" i="5"/>
  <c r="AB624" i="5"/>
  <c r="AB625" i="5"/>
  <c r="AB626" i="5"/>
  <c r="AB627" i="5"/>
  <c r="AB628" i="5"/>
  <c r="AB629" i="5"/>
  <c r="AB630" i="5"/>
  <c r="AB631" i="5"/>
  <c r="AB632" i="5"/>
  <c r="AB633" i="5"/>
  <c r="AB634" i="5"/>
  <c r="AB635" i="5"/>
  <c r="AB636" i="5"/>
  <c r="AB637" i="5"/>
  <c r="AB638" i="5"/>
  <c r="AB639" i="5"/>
  <c r="AB640" i="5"/>
  <c r="AB641" i="5"/>
  <c r="AB642" i="5"/>
  <c r="AB643" i="5"/>
  <c r="AB644" i="5"/>
  <c r="AB645" i="5"/>
  <c r="AB646" i="5"/>
  <c r="AB647" i="5"/>
  <c r="AB648" i="5"/>
  <c r="AB649" i="5"/>
  <c r="AB650" i="5"/>
  <c r="AB651" i="5"/>
  <c r="AB652" i="5"/>
  <c r="AB653" i="5"/>
  <c r="AB654" i="5"/>
  <c r="AB655" i="5"/>
  <c r="AB656" i="5"/>
  <c r="AB657" i="5"/>
  <c r="AB658" i="5"/>
  <c r="AB659" i="5"/>
  <c r="AB660" i="5"/>
  <c r="AB661" i="5"/>
  <c r="AB662" i="5"/>
  <c r="AB663" i="5"/>
  <c r="AB664" i="5"/>
  <c r="AB665" i="5"/>
  <c r="AB666" i="5"/>
  <c r="AB667" i="5"/>
  <c r="AB668" i="5"/>
  <c r="AB669" i="5"/>
  <c r="AB670" i="5"/>
  <c r="AB671" i="5"/>
  <c r="AB672" i="5"/>
  <c r="AB673" i="5"/>
  <c r="AB674" i="5"/>
  <c r="AB675" i="5"/>
  <c r="AB676" i="5"/>
  <c r="AB677" i="5"/>
  <c r="AB678" i="5"/>
  <c r="AB679" i="5"/>
  <c r="AB680" i="5"/>
  <c r="AB681" i="5"/>
  <c r="AB682" i="5"/>
  <c r="AB683" i="5"/>
  <c r="AB684" i="5"/>
  <c r="AB685" i="5"/>
  <c r="AB686" i="5"/>
  <c r="AB687" i="5"/>
  <c r="AB688" i="5"/>
  <c r="AB689" i="5"/>
  <c r="AB690" i="5"/>
  <c r="AB691" i="5"/>
  <c r="AB692" i="5"/>
  <c r="AB693" i="5"/>
  <c r="AB694" i="5"/>
  <c r="AB695" i="5"/>
  <c r="AB696" i="5"/>
  <c r="AB697" i="5"/>
  <c r="AB698" i="5"/>
  <c r="AB699" i="5"/>
  <c r="AB700" i="5"/>
  <c r="AB701" i="5"/>
  <c r="AB702" i="5"/>
  <c r="AB703" i="5"/>
  <c r="AB704" i="5"/>
  <c r="AB705" i="5"/>
  <c r="AB706" i="5"/>
  <c r="AB707" i="5"/>
  <c r="AB708" i="5"/>
  <c r="AB709" i="5"/>
  <c r="AB710" i="5"/>
  <c r="AB711" i="5"/>
  <c r="AB712" i="5"/>
  <c r="AB713" i="5"/>
  <c r="AB714" i="5"/>
  <c r="AB715" i="5"/>
  <c r="AB716" i="5"/>
  <c r="AB717" i="5"/>
  <c r="AB718" i="5"/>
  <c r="AB719" i="5"/>
  <c r="AB720" i="5"/>
  <c r="AB721" i="5"/>
  <c r="AB722" i="5"/>
  <c r="AB723" i="5"/>
  <c r="AB724" i="5"/>
  <c r="AB725" i="5"/>
  <c r="AB726" i="5"/>
  <c r="AA2" i="4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O2" i="4"/>
  <c r="P2" i="4"/>
  <c r="Q2" i="4"/>
  <c r="R2" i="4"/>
  <c r="S2" i="4"/>
  <c r="T2" i="4"/>
  <c r="U2" i="4"/>
  <c r="V2" i="4"/>
  <c r="W2" i="4"/>
  <c r="X2" i="4"/>
  <c r="O3" i="4"/>
  <c r="P3" i="4"/>
  <c r="Q3" i="4"/>
  <c r="R3" i="4"/>
  <c r="S3" i="4"/>
  <c r="T3" i="4"/>
  <c r="U3" i="4"/>
  <c r="V3" i="4"/>
  <c r="W3" i="4"/>
  <c r="X3" i="4"/>
  <c r="O4" i="4"/>
  <c r="P4" i="4"/>
  <c r="Q4" i="4"/>
  <c r="R4" i="4"/>
  <c r="S4" i="4"/>
  <c r="T4" i="4"/>
  <c r="U4" i="4"/>
  <c r="V4" i="4"/>
  <c r="W4" i="4"/>
  <c r="X4" i="4"/>
  <c r="O5" i="4"/>
  <c r="P5" i="4"/>
  <c r="Q5" i="4"/>
  <c r="R5" i="4"/>
  <c r="S5" i="4"/>
  <c r="T5" i="4"/>
  <c r="U5" i="4"/>
  <c r="V5" i="4"/>
  <c r="W5" i="4"/>
  <c r="X5" i="4"/>
  <c r="O6" i="4"/>
  <c r="P6" i="4"/>
  <c r="Q6" i="4"/>
  <c r="R6" i="4"/>
  <c r="S6" i="4"/>
  <c r="T6" i="4"/>
  <c r="U6" i="4"/>
  <c r="V6" i="4"/>
  <c r="W6" i="4"/>
  <c r="X6" i="4"/>
  <c r="O7" i="4"/>
  <c r="P7" i="4"/>
  <c r="Q7" i="4"/>
  <c r="R7" i="4"/>
  <c r="S7" i="4"/>
  <c r="T7" i="4"/>
  <c r="U7" i="4"/>
  <c r="V7" i="4"/>
  <c r="W7" i="4"/>
  <c r="X7" i="4"/>
  <c r="O8" i="4"/>
  <c r="P8" i="4"/>
  <c r="Q8" i="4"/>
  <c r="R8" i="4"/>
  <c r="S8" i="4"/>
  <c r="T8" i="4"/>
  <c r="U8" i="4"/>
  <c r="V8" i="4"/>
  <c r="W8" i="4"/>
  <c r="X8" i="4"/>
  <c r="O9" i="4"/>
  <c r="P9" i="4"/>
  <c r="Q9" i="4"/>
  <c r="R9" i="4"/>
  <c r="S9" i="4"/>
  <c r="T9" i="4"/>
  <c r="U9" i="4"/>
  <c r="V9" i="4"/>
  <c r="W9" i="4"/>
  <c r="X9" i="4"/>
  <c r="O10" i="4"/>
  <c r="P10" i="4"/>
  <c r="Q10" i="4"/>
  <c r="R10" i="4"/>
  <c r="S10" i="4"/>
  <c r="T10" i="4"/>
  <c r="U10" i="4"/>
  <c r="V10" i="4"/>
  <c r="W10" i="4"/>
  <c r="X10" i="4"/>
  <c r="O11" i="4"/>
  <c r="P11" i="4"/>
  <c r="Q11" i="4"/>
  <c r="R11" i="4"/>
  <c r="S11" i="4"/>
  <c r="T11" i="4"/>
  <c r="U11" i="4"/>
  <c r="V11" i="4"/>
  <c r="W11" i="4"/>
  <c r="X11" i="4"/>
  <c r="O12" i="4"/>
  <c r="P12" i="4"/>
  <c r="Q12" i="4"/>
  <c r="R12" i="4"/>
  <c r="S12" i="4"/>
  <c r="T12" i="4"/>
  <c r="U12" i="4"/>
  <c r="V12" i="4"/>
  <c r="W12" i="4"/>
  <c r="X12" i="4"/>
  <c r="O13" i="4"/>
  <c r="P13" i="4"/>
  <c r="Q13" i="4"/>
  <c r="R13" i="4"/>
  <c r="S13" i="4"/>
  <c r="T13" i="4"/>
  <c r="U13" i="4"/>
  <c r="V13" i="4"/>
  <c r="W13" i="4"/>
  <c r="X13" i="4"/>
  <c r="O14" i="4"/>
  <c r="P14" i="4"/>
  <c r="Q14" i="4"/>
  <c r="R14" i="4"/>
  <c r="S14" i="4"/>
  <c r="T14" i="4"/>
  <c r="U14" i="4"/>
  <c r="V14" i="4"/>
  <c r="W14" i="4"/>
  <c r="X14" i="4"/>
  <c r="O15" i="4"/>
  <c r="P15" i="4"/>
  <c r="Q15" i="4"/>
  <c r="R15" i="4"/>
  <c r="S15" i="4"/>
  <c r="T15" i="4"/>
  <c r="U15" i="4"/>
  <c r="V15" i="4"/>
  <c r="W15" i="4"/>
  <c r="X15" i="4"/>
  <c r="O16" i="4"/>
  <c r="P16" i="4"/>
  <c r="Q16" i="4"/>
  <c r="R16" i="4"/>
  <c r="S16" i="4"/>
  <c r="T16" i="4"/>
  <c r="U16" i="4"/>
  <c r="V16" i="4"/>
  <c r="W16" i="4"/>
  <c r="X16" i="4"/>
  <c r="O17" i="4"/>
  <c r="P17" i="4"/>
  <c r="Q17" i="4"/>
  <c r="R17" i="4"/>
  <c r="S17" i="4"/>
  <c r="T17" i="4"/>
  <c r="U17" i="4"/>
  <c r="V17" i="4"/>
  <c r="W17" i="4"/>
  <c r="X17" i="4"/>
  <c r="O18" i="4"/>
  <c r="P18" i="4"/>
  <c r="Q18" i="4"/>
  <c r="R18" i="4"/>
  <c r="S18" i="4"/>
  <c r="T18" i="4"/>
  <c r="U18" i="4"/>
  <c r="V18" i="4"/>
  <c r="W18" i="4"/>
  <c r="X18" i="4"/>
  <c r="O19" i="4"/>
  <c r="P19" i="4"/>
  <c r="Q19" i="4"/>
  <c r="R19" i="4"/>
  <c r="S19" i="4"/>
  <c r="T19" i="4"/>
  <c r="U19" i="4"/>
  <c r="V19" i="4"/>
  <c r="W19" i="4"/>
  <c r="X19" i="4"/>
  <c r="O20" i="4"/>
  <c r="P20" i="4"/>
  <c r="Q20" i="4"/>
  <c r="R20" i="4"/>
  <c r="S20" i="4"/>
  <c r="T20" i="4"/>
  <c r="U20" i="4"/>
  <c r="V20" i="4"/>
  <c r="W20" i="4"/>
  <c r="X20" i="4"/>
  <c r="O21" i="4"/>
  <c r="P21" i="4"/>
  <c r="Q21" i="4"/>
  <c r="R21" i="4"/>
  <c r="S21" i="4"/>
  <c r="T21" i="4"/>
  <c r="U21" i="4"/>
  <c r="V21" i="4"/>
  <c r="W21" i="4"/>
  <c r="X21" i="4"/>
  <c r="O22" i="4"/>
  <c r="P22" i="4"/>
  <c r="Q22" i="4"/>
  <c r="R22" i="4"/>
  <c r="S22" i="4"/>
  <c r="T22" i="4"/>
  <c r="U22" i="4"/>
  <c r="V22" i="4"/>
  <c r="W22" i="4"/>
  <c r="X22" i="4"/>
  <c r="O23" i="4"/>
  <c r="P23" i="4"/>
  <c r="Q23" i="4"/>
  <c r="R23" i="4"/>
  <c r="S23" i="4"/>
  <c r="T23" i="4"/>
  <c r="U23" i="4"/>
  <c r="V23" i="4"/>
  <c r="W23" i="4"/>
  <c r="X23" i="4"/>
  <c r="O24" i="4"/>
  <c r="P24" i="4"/>
  <c r="Q24" i="4"/>
  <c r="R24" i="4"/>
  <c r="S24" i="4"/>
  <c r="T24" i="4"/>
  <c r="U24" i="4"/>
  <c r="V24" i="4"/>
  <c r="W24" i="4"/>
  <c r="X24" i="4"/>
  <c r="O25" i="4"/>
  <c r="P25" i="4"/>
  <c r="Q25" i="4"/>
  <c r="R25" i="4"/>
  <c r="S25" i="4"/>
  <c r="T25" i="4"/>
  <c r="U25" i="4"/>
  <c r="V25" i="4"/>
  <c r="W25" i="4"/>
  <c r="X25" i="4"/>
  <c r="O26" i="4"/>
  <c r="P26" i="4"/>
  <c r="Q26" i="4"/>
  <c r="R26" i="4"/>
  <c r="S26" i="4"/>
  <c r="T26" i="4"/>
  <c r="U26" i="4"/>
  <c r="V26" i="4"/>
  <c r="W26" i="4"/>
  <c r="X26" i="4"/>
  <c r="O27" i="4"/>
  <c r="P27" i="4"/>
  <c r="Q27" i="4"/>
  <c r="R27" i="4"/>
  <c r="S27" i="4"/>
  <c r="T27" i="4"/>
  <c r="U27" i="4"/>
  <c r="V27" i="4"/>
  <c r="W27" i="4"/>
  <c r="X27" i="4"/>
  <c r="O28" i="4"/>
  <c r="P28" i="4"/>
  <c r="Q28" i="4"/>
  <c r="R28" i="4"/>
  <c r="S28" i="4"/>
  <c r="T28" i="4"/>
  <c r="U28" i="4"/>
  <c r="V28" i="4"/>
  <c r="W28" i="4"/>
  <c r="X28" i="4"/>
  <c r="O29" i="4"/>
  <c r="P29" i="4"/>
  <c r="Q29" i="4"/>
  <c r="R29" i="4"/>
  <c r="S29" i="4"/>
  <c r="T29" i="4"/>
  <c r="U29" i="4"/>
  <c r="V29" i="4"/>
  <c r="W29" i="4"/>
  <c r="X29" i="4"/>
  <c r="O30" i="4"/>
  <c r="P30" i="4"/>
  <c r="Q30" i="4"/>
  <c r="R30" i="4"/>
  <c r="S30" i="4"/>
  <c r="T30" i="4"/>
  <c r="U30" i="4"/>
  <c r="V30" i="4"/>
  <c r="W30" i="4"/>
  <c r="X30" i="4"/>
  <c r="O31" i="4"/>
  <c r="P31" i="4"/>
  <c r="Q31" i="4"/>
  <c r="R31" i="4"/>
  <c r="S31" i="4"/>
  <c r="T31" i="4"/>
  <c r="U31" i="4"/>
  <c r="V31" i="4"/>
  <c r="W31" i="4"/>
  <c r="X31" i="4"/>
  <c r="O32" i="4"/>
  <c r="P32" i="4"/>
  <c r="Q32" i="4"/>
  <c r="R32" i="4"/>
  <c r="S32" i="4"/>
  <c r="T32" i="4"/>
  <c r="U32" i="4"/>
  <c r="V32" i="4"/>
  <c r="W32" i="4"/>
  <c r="X32" i="4"/>
  <c r="O33" i="4"/>
  <c r="P33" i="4"/>
  <c r="Q33" i="4"/>
  <c r="R33" i="4"/>
  <c r="S33" i="4"/>
  <c r="T33" i="4"/>
  <c r="U33" i="4"/>
  <c r="V33" i="4"/>
  <c r="W33" i="4"/>
  <c r="X33" i="4"/>
  <c r="O34" i="4"/>
  <c r="P34" i="4"/>
  <c r="Q34" i="4"/>
  <c r="R34" i="4"/>
  <c r="S34" i="4"/>
  <c r="T34" i="4"/>
  <c r="U34" i="4"/>
  <c r="V34" i="4"/>
  <c r="W34" i="4"/>
  <c r="X34" i="4"/>
  <c r="O35" i="4"/>
  <c r="P35" i="4"/>
  <c r="Q35" i="4"/>
  <c r="R35" i="4"/>
  <c r="S35" i="4"/>
  <c r="T35" i="4"/>
  <c r="U35" i="4"/>
  <c r="V35" i="4"/>
  <c r="W35" i="4"/>
  <c r="X35" i="4"/>
  <c r="O36" i="4"/>
  <c r="P36" i="4"/>
  <c r="Q36" i="4"/>
  <c r="R36" i="4"/>
  <c r="S36" i="4"/>
  <c r="T36" i="4"/>
  <c r="U36" i="4"/>
  <c r="V36" i="4"/>
  <c r="W36" i="4"/>
  <c r="X36" i="4"/>
  <c r="O37" i="4"/>
  <c r="P37" i="4"/>
  <c r="Q37" i="4"/>
  <c r="R37" i="4"/>
  <c r="S37" i="4"/>
  <c r="T37" i="4"/>
  <c r="U37" i="4"/>
  <c r="V37" i="4"/>
  <c r="W37" i="4"/>
  <c r="X37" i="4"/>
  <c r="O38" i="4"/>
  <c r="P38" i="4"/>
  <c r="Q38" i="4"/>
  <c r="R38" i="4"/>
  <c r="S38" i="4"/>
  <c r="T38" i="4"/>
  <c r="U38" i="4"/>
  <c r="V38" i="4"/>
  <c r="W38" i="4"/>
  <c r="X38" i="4"/>
  <c r="O39" i="4"/>
  <c r="P39" i="4"/>
  <c r="Q39" i="4"/>
  <c r="R39" i="4"/>
  <c r="S39" i="4"/>
  <c r="T39" i="4"/>
  <c r="U39" i="4"/>
  <c r="V39" i="4"/>
  <c r="W39" i="4"/>
  <c r="X39" i="4"/>
  <c r="O40" i="4"/>
  <c r="P40" i="4"/>
  <c r="Q40" i="4"/>
  <c r="R40" i="4"/>
  <c r="S40" i="4"/>
  <c r="T40" i="4"/>
  <c r="U40" i="4"/>
  <c r="V40" i="4"/>
  <c r="W40" i="4"/>
  <c r="X40" i="4"/>
  <c r="O41" i="4"/>
  <c r="P41" i="4"/>
  <c r="Q41" i="4"/>
  <c r="R41" i="4"/>
  <c r="S41" i="4"/>
  <c r="T41" i="4"/>
  <c r="U41" i="4"/>
  <c r="V41" i="4"/>
  <c r="W41" i="4"/>
  <c r="X41" i="4"/>
  <c r="O42" i="4"/>
  <c r="P42" i="4"/>
  <c r="Q42" i="4"/>
  <c r="R42" i="4"/>
  <c r="S42" i="4"/>
  <c r="T42" i="4"/>
  <c r="U42" i="4"/>
  <c r="V42" i="4"/>
  <c r="W42" i="4"/>
  <c r="X42" i="4"/>
  <c r="O43" i="4"/>
  <c r="P43" i="4"/>
  <c r="Q43" i="4"/>
  <c r="R43" i="4"/>
  <c r="S43" i="4"/>
  <c r="T43" i="4"/>
  <c r="U43" i="4"/>
  <c r="V43" i="4"/>
  <c r="W43" i="4"/>
  <c r="X43" i="4"/>
  <c r="O44" i="4"/>
  <c r="P44" i="4"/>
  <c r="Q44" i="4"/>
  <c r="R44" i="4"/>
  <c r="S44" i="4"/>
  <c r="T44" i="4"/>
  <c r="U44" i="4"/>
  <c r="V44" i="4"/>
  <c r="W44" i="4"/>
  <c r="X44" i="4"/>
  <c r="O45" i="4"/>
  <c r="P45" i="4"/>
  <c r="Q45" i="4"/>
  <c r="R45" i="4"/>
  <c r="S45" i="4"/>
  <c r="T45" i="4"/>
  <c r="U45" i="4"/>
  <c r="V45" i="4"/>
  <c r="W45" i="4"/>
  <c r="X45" i="4"/>
  <c r="O46" i="4"/>
  <c r="P46" i="4"/>
  <c r="Q46" i="4"/>
  <c r="R46" i="4"/>
  <c r="S46" i="4"/>
  <c r="T46" i="4"/>
  <c r="U46" i="4"/>
  <c r="V46" i="4"/>
  <c r="W46" i="4"/>
  <c r="X46" i="4"/>
  <c r="O47" i="4"/>
  <c r="P47" i="4"/>
  <c r="Q47" i="4"/>
  <c r="R47" i="4"/>
  <c r="S47" i="4"/>
  <c r="T47" i="4"/>
  <c r="U47" i="4"/>
  <c r="V47" i="4"/>
  <c r="W47" i="4"/>
  <c r="X47" i="4"/>
  <c r="O48" i="4"/>
  <c r="P48" i="4"/>
  <c r="Q48" i="4"/>
  <c r="R48" i="4"/>
  <c r="S48" i="4"/>
  <c r="T48" i="4"/>
  <c r="U48" i="4"/>
  <c r="V48" i="4"/>
  <c r="W48" i="4"/>
  <c r="X48" i="4"/>
  <c r="O49" i="4"/>
  <c r="P49" i="4"/>
  <c r="Q49" i="4"/>
  <c r="R49" i="4"/>
  <c r="S49" i="4"/>
  <c r="T49" i="4"/>
  <c r="U49" i="4"/>
  <c r="V49" i="4"/>
  <c r="W49" i="4"/>
  <c r="X49" i="4"/>
  <c r="O50" i="4"/>
  <c r="P50" i="4"/>
  <c r="Q50" i="4"/>
  <c r="R50" i="4"/>
  <c r="S50" i="4"/>
  <c r="T50" i="4"/>
  <c r="U50" i="4"/>
  <c r="V50" i="4"/>
  <c r="W50" i="4"/>
  <c r="X50" i="4"/>
  <c r="O51" i="4"/>
  <c r="P51" i="4"/>
  <c r="Q51" i="4"/>
  <c r="R51" i="4"/>
  <c r="S51" i="4"/>
  <c r="T51" i="4"/>
  <c r="U51" i="4"/>
  <c r="V51" i="4"/>
  <c r="W51" i="4"/>
  <c r="X51" i="4"/>
  <c r="O52" i="4"/>
  <c r="P52" i="4"/>
  <c r="Q52" i="4"/>
  <c r="R52" i="4"/>
  <c r="S52" i="4"/>
  <c r="T52" i="4"/>
  <c r="U52" i="4"/>
  <c r="V52" i="4"/>
  <c r="W52" i="4"/>
  <c r="X52" i="4"/>
  <c r="O53" i="4"/>
  <c r="P53" i="4"/>
  <c r="Q53" i="4"/>
  <c r="R53" i="4"/>
  <c r="S53" i="4"/>
  <c r="T53" i="4"/>
  <c r="U53" i="4"/>
  <c r="V53" i="4"/>
  <c r="W53" i="4"/>
  <c r="X53" i="4"/>
  <c r="O54" i="4"/>
  <c r="P54" i="4"/>
  <c r="Q54" i="4"/>
  <c r="R54" i="4"/>
  <c r="S54" i="4"/>
  <c r="T54" i="4"/>
  <c r="U54" i="4"/>
  <c r="V54" i="4"/>
  <c r="W54" i="4"/>
  <c r="X54" i="4"/>
  <c r="O55" i="4"/>
  <c r="P55" i="4"/>
  <c r="Q55" i="4"/>
  <c r="R55" i="4"/>
  <c r="S55" i="4"/>
  <c r="T55" i="4"/>
  <c r="U55" i="4"/>
  <c r="V55" i="4"/>
  <c r="W55" i="4"/>
  <c r="X55" i="4"/>
  <c r="O56" i="4"/>
  <c r="P56" i="4"/>
  <c r="Q56" i="4"/>
  <c r="R56" i="4"/>
  <c r="S56" i="4"/>
  <c r="T56" i="4"/>
  <c r="U56" i="4"/>
  <c r="V56" i="4"/>
  <c r="W56" i="4"/>
  <c r="X56" i="4"/>
  <c r="O57" i="4"/>
  <c r="P57" i="4"/>
  <c r="Q57" i="4"/>
  <c r="R57" i="4"/>
  <c r="S57" i="4"/>
  <c r="T57" i="4"/>
  <c r="U57" i="4"/>
  <c r="V57" i="4"/>
  <c r="W57" i="4"/>
  <c r="X57" i="4"/>
  <c r="O58" i="4"/>
  <c r="P58" i="4"/>
  <c r="Q58" i="4"/>
  <c r="R58" i="4"/>
  <c r="S58" i="4"/>
  <c r="T58" i="4"/>
  <c r="U58" i="4"/>
  <c r="V58" i="4"/>
  <c r="W58" i="4"/>
  <c r="X58" i="4"/>
  <c r="O59" i="4"/>
  <c r="P59" i="4"/>
  <c r="Q59" i="4"/>
  <c r="R59" i="4"/>
  <c r="S59" i="4"/>
  <c r="T59" i="4"/>
  <c r="U59" i="4"/>
  <c r="V59" i="4"/>
  <c r="W59" i="4"/>
  <c r="X59" i="4"/>
  <c r="O60" i="4"/>
  <c r="P60" i="4"/>
  <c r="Q60" i="4"/>
  <c r="R60" i="4"/>
  <c r="S60" i="4"/>
  <c r="T60" i="4"/>
  <c r="U60" i="4"/>
  <c r="V60" i="4"/>
  <c r="W60" i="4"/>
  <c r="X60" i="4"/>
  <c r="O61" i="4"/>
  <c r="P61" i="4"/>
  <c r="Q61" i="4"/>
  <c r="R61" i="4"/>
  <c r="S61" i="4"/>
  <c r="T61" i="4"/>
  <c r="U61" i="4"/>
  <c r="V61" i="4"/>
  <c r="W61" i="4"/>
  <c r="X61" i="4"/>
  <c r="O62" i="4"/>
  <c r="P62" i="4"/>
  <c r="Q62" i="4"/>
  <c r="R62" i="4"/>
  <c r="S62" i="4"/>
  <c r="T62" i="4"/>
  <c r="U62" i="4"/>
  <c r="V62" i="4"/>
  <c r="W62" i="4"/>
  <c r="X62" i="4"/>
  <c r="O63" i="4"/>
  <c r="P63" i="4"/>
  <c r="Q63" i="4"/>
  <c r="R63" i="4"/>
  <c r="S63" i="4"/>
  <c r="T63" i="4"/>
  <c r="U63" i="4"/>
  <c r="V63" i="4"/>
  <c r="W63" i="4"/>
  <c r="X63" i="4"/>
  <c r="O64" i="4"/>
  <c r="P64" i="4"/>
  <c r="Q64" i="4"/>
  <c r="R64" i="4"/>
  <c r="S64" i="4"/>
  <c r="T64" i="4"/>
  <c r="U64" i="4"/>
  <c r="V64" i="4"/>
  <c r="W64" i="4"/>
  <c r="X64" i="4"/>
  <c r="O65" i="4"/>
  <c r="P65" i="4"/>
  <c r="Q65" i="4"/>
  <c r="R65" i="4"/>
  <c r="S65" i="4"/>
  <c r="T65" i="4"/>
  <c r="U65" i="4"/>
  <c r="V65" i="4"/>
  <c r="W65" i="4"/>
  <c r="X65" i="4"/>
  <c r="O66" i="4"/>
  <c r="P66" i="4"/>
  <c r="Q66" i="4"/>
  <c r="R66" i="4"/>
  <c r="S66" i="4"/>
  <c r="T66" i="4"/>
  <c r="U66" i="4"/>
  <c r="V66" i="4"/>
  <c r="W66" i="4"/>
  <c r="X66" i="4"/>
  <c r="O67" i="4"/>
  <c r="P67" i="4"/>
  <c r="Q67" i="4"/>
  <c r="R67" i="4"/>
  <c r="S67" i="4"/>
  <c r="T67" i="4"/>
  <c r="U67" i="4"/>
  <c r="V67" i="4"/>
  <c r="W67" i="4"/>
  <c r="X67" i="4"/>
  <c r="O68" i="4"/>
  <c r="P68" i="4"/>
  <c r="Q68" i="4"/>
  <c r="R68" i="4"/>
  <c r="S68" i="4"/>
  <c r="T68" i="4"/>
  <c r="U68" i="4"/>
  <c r="V68" i="4"/>
  <c r="W68" i="4"/>
  <c r="X68" i="4"/>
  <c r="O69" i="4"/>
  <c r="P69" i="4"/>
  <c r="Q69" i="4"/>
  <c r="R69" i="4"/>
  <c r="S69" i="4"/>
  <c r="T69" i="4"/>
  <c r="U69" i="4"/>
  <c r="V69" i="4"/>
  <c r="W69" i="4"/>
  <c r="X69" i="4"/>
  <c r="O70" i="4"/>
  <c r="P70" i="4"/>
  <c r="Q70" i="4"/>
  <c r="R70" i="4"/>
  <c r="S70" i="4"/>
  <c r="T70" i="4"/>
  <c r="U70" i="4"/>
  <c r="V70" i="4"/>
  <c r="W70" i="4"/>
  <c r="X70" i="4"/>
  <c r="O71" i="4"/>
  <c r="P71" i="4"/>
  <c r="Q71" i="4"/>
  <c r="R71" i="4"/>
  <c r="S71" i="4"/>
  <c r="T71" i="4"/>
  <c r="U71" i="4"/>
  <c r="V71" i="4"/>
  <c r="W71" i="4"/>
  <c r="X71" i="4"/>
  <c r="O72" i="4"/>
  <c r="P72" i="4"/>
  <c r="Q72" i="4"/>
  <c r="R72" i="4"/>
  <c r="S72" i="4"/>
  <c r="T72" i="4"/>
  <c r="U72" i="4"/>
  <c r="V72" i="4"/>
  <c r="W72" i="4"/>
  <c r="X72" i="4"/>
  <c r="O73" i="4"/>
  <c r="P73" i="4"/>
  <c r="Q73" i="4"/>
  <c r="R73" i="4"/>
  <c r="S73" i="4"/>
  <c r="T73" i="4"/>
  <c r="U73" i="4"/>
  <c r="V73" i="4"/>
  <c r="W73" i="4"/>
  <c r="X73" i="4"/>
  <c r="O74" i="4"/>
  <c r="P74" i="4"/>
  <c r="Q74" i="4"/>
  <c r="R74" i="4"/>
  <c r="S74" i="4"/>
  <c r="T74" i="4"/>
  <c r="U74" i="4"/>
  <c r="V74" i="4"/>
  <c r="W74" i="4"/>
  <c r="X74" i="4"/>
  <c r="O75" i="4"/>
  <c r="P75" i="4"/>
  <c r="Q75" i="4"/>
  <c r="R75" i="4"/>
  <c r="S75" i="4"/>
  <c r="T75" i="4"/>
  <c r="U75" i="4"/>
  <c r="V75" i="4"/>
  <c r="W75" i="4"/>
  <c r="X75" i="4"/>
  <c r="O76" i="4"/>
  <c r="P76" i="4"/>
  <c r="Q76" i="4"/>
  <c r="R76" i="4"/>
  <c r="S76" i="4"/>
  <c r="T76" i="4"/>
  <c r="U76" i="4"/>
  <c r="V76" i="4"/>
  <c r="W76" i="4"/>
  <c r="X76" i="4"/>
  <c r="O77" i="4"/>
  <c r="P77" i="4"/>
  <c r="Q77" i="4"/>
  <c r="R77" i="4"/>
  <c r="S77" i="4"/>
  <c r="T77" i="4"/>
  <c r="U77" i="4"/>
  <c r="V77" i="4"/>
  <c r="W77" i="4"/>
  <c r="X77" i="4"/>
  <c r="O78" i="4"/>
  <c r="P78" i="4"/>
  <c r="Q78" i="4"/>
  <c r="R78" i="4"/>
  <c r="S78" i="4"/>
  <c r="T78" i="4"/>
  <c r="U78" i="4"/>
  <c r="V78" i="4"/>
  <c r="W78" i="4"/>
  <c r="X78" i="4"/>
  <c r="O79" i="4"/>
  <c r="P79" i="4"/>
  <c r="Q79" i="4"/>
  <c r="R79" i="4"/>
  <c r="S79" i="4"/>
  <c r="T79" i="4"/>
  <c r="U79" i="4"/>
  <c r="V79" i="4"/>
  <c r="W79" i="4"/>
  <c r="X79" i="4"/>
  <c r="O80" i="4"/>
  <c r="P80" i="4"/>
  <c r="Q80" i="4"/>
  <c r="R80" i="4"/>
  <c r="S80" i="4"/>
  <c r="T80" i="4"/>
  <c r="U80" i="4"/>
  <c r="V80" i="4"/>
  <c r="W80" i="4"/>
  <c r="X80" i="4"/>
  <c r="O81" i="4"/>
  <c r="P81" i="4"/>
  <c r="Q81" i="4"/>
  <c r="R81" i="4"/>
  <c r="S81" i="4"/>
  <c r="T81" i="4"/>
  <c r="U81" i="4"/>
  <c r="V81" i="4"/>
  <c r="W81" i="4"/>
  <c r="X81" i="4"/>
  <c r="O82" i="4"/>
  <c r="P82" i="4"/>
  <c r="Q82" i="4"/>
  <c r="R82" i="4"/>
  <c r="S82" i="4"/>
  <c r="T82" i="4"/>
  <c r="U82" i="4"/>
  <c r="V82" i="4"/>
  <c r="W82" i="4"/>
  <c r="X82" i="4"/>
  <c r="O83" i="4"/>
  <c r="P83" i="4"/>
  <c r="Q83" i="4"/>
  <c r="R83" i="4"/>
  <c r="S83" i="4"/>
  <c r="T83" i="4"/>
  <c r="U83" i="4"/>
  <c r="V83" i="4"/>
  <c r="W83" i="4"/>
  <c r="X83" i="4"/>
  <c r="O84" i="4"/>
  <c r="P84" i="4"/>
  <c r="Q84" i="4"/>
  <c r="R84" i="4"/>
  <c r="S84" i="4"/>
  <c r="T84" i="4"/>
  <c r="U84" i="4"/>
  <c r="V84" i="4"/>
  <c r="W84" i="4"/>
  <c r="X84" i="4"/>
  <c r="O85" i="4"/>
  <c r="P85" i="4"/>
  <c r="Q85" i="4"/>
  <c r="R85" i="4"/>
  <c r="S85" i="4"/>
  <c r="T85" i="4"/>
  <c r="U85" i="4"/>
  <c r="V85" i="4"/>
  <c r="W85" i="4"/>
  <c r="X85" i="4"/>
  <c r="O86" i="4"/>
  <c r="P86" i="4"/>
  <c r="Q86" i="4"/>
  <c r="R86" i="4"/>
  <c r="S86" i="4"/>
  <c r="T86" i="4"/>
  <c r="U86" i="4"/>
  <c r="V86" i="4"/>
  <c r="W86" i="4"/>
  <c r="X86" i="4"/>
  <c r="O87" i="4"/>
  <c r="P87" i="4"/>
  <c r="Q87" i="4"/>
  <c r="R87" i="4"/>
  <c r="S87" i="4"/>
  <c r="T87" i="4"/>
  <c r="U87" i="4"/>
  <c r="V87" i="4"/>
  <c r="W87" i="4"/>
  <c r="X87" i="4"/>
  <c r="O88" i="4"/>
  <c r="P88" i="4"/>
  <c r="Q88" i="4"/>
  <c r="R88" i="4"/>
  <c r="S88" i="4"/>
  <c r="T88" i="4"/>
  <c r="U88" i="4"/>
  <c r="V88" i="4"/>
  <c r="W88" i="4"/>
  <c r="X88" i="4"/>
  <c r="O89" i="4"/>
  <c r="P89" i="4"/>
  <c r="Q89" i="4"/>
  <c r="R89" i="4"/>
  <c r="S89" i="4"/>
  <c r="T89" i="4"/>
  <c r="U89" i="4"/>
  <c r="V89" i="4"/>
  <c r="W89" i="4"/>
  <c r="X89" i="4"/>
  <c r="O90" i="4"/>
  <c r="P90" i="4"/>
  <c r="Q90" i="4"/>
  <c r="R90" i="4"/>
  <c r="S90" i="4"/>
  <c r="T90" i="4"/>
  <c r="U90" i="4"/>
  <c r="V90" i="4"/>
  <c r="W90" i="4"/>
  <c r="X90" i="4"/>
  <c r="O91" i="4"/>
  <c r="P91" i="4"/>
  <c r="Q91" i="4"/>
  <c r="R91" i="4"/>
  <c r="S91" i="4"/>
  <c r="T91" i="4"/>
  <c r="U91" i="4"/>
  <c r="V91" i="4"/>
  <c r="W91" i="4"/>
  <c r="X91" i="4"/>
  <c r="O92" i="4"/>
  <c r="P92" i="4"/>
  <c r="Q92" i="4"/>
  <c r="R92" i="4"/>
  <c r="S92" i="4"/>
  <c r="T92" i="4"/>
  <c r="U92" i="4"/>
  <c r="V92" i="4"/>
  <c r="W92" i="4"/>
  <c r="X92" i="4"/>
  <c r="O93" i="4"/>
  <c r="P93" i="4"/>
  <c r="Q93" i="4"/>
  <c r="R93" i="4"/>
  <c r="S93" i="4"/>
  <c r="T93" i="4"/>
  <c r="U93" i="4"/>
  <c r="V93" i="4"/>
  <c r="W93" i="4"/>
  <c r="X93" i="4"/>
  <c r="O94" i="4"/>
  <c r="P94" i="4"/>
  <c r="Q94" i="4"/>
  <c r="R94" i="4"/>
  <c r="S94" i="4"/>
  <c r="T94" i="4"/>
  <c r="U94" i="4"/>
  <c r="V94" i="4"/>
  <c r="W94" i="4"/>
  <c r="X94" i="4"/>
  <c r="O95" i="4"/>
  <c r="P95" i="4"/>
  <c r="Q95" i="4"/>
  <c r="R95" i="4"/>
  <c r="S95" i="4"/>
  <c r="T95" i="4"/>
  <c r="U95" i="4"/>
  <c r="V95" i="4"/>
  <c r="W95" i="4"/>
  <c r="X95" i="4"/>
  <c r="O96" i="4"/>
  <c r="P96" i="4"/>
  <c r="Q96" i="4"/>
  <c r="R96" i="4"/>
  <c r="S96" i="4"/>
  <c r="T96" i="4"/>
  <c r="U96" i="4"/>
  <c r="V96" i="4"/>
  <c r="W96" i="4"/>
  <c r="X96" i="4"/>
  <c r="O97" i="4"/>
  <c r="P97" i="4"/>
  <c r="Q97" i="4"/>
  <c r="R97" i="4"/>
  <c r="S97" i="4"/>
  <c r="T97" i="4"/>
  <c r="U97" i="4"/>
  <c r="V97" i="4"/>
  <c r="W97" i="4"/>
  <c r="X97" i="4"/>
  <c r="O98" i="4"/>
  <c r="P98" i="4"/>
  <c r="Q98" i="4"/>
  <c r="R98" i="4"/>
  <c r="S98" i="4"/>
  <c r="T98" i="4"/>
  <c r="U98" i="4"/>
  <c r="V98" i="4"/>
  <c r="W98" i="4"/>
  <c r="X98" i="4"/>
  <c r="O99" i="4"/>
  <c r="P99" i="4"/>
  <c r="Q99" i="4"/>
  <c r="R99" i="4"/>
  <c r="S99" i="4"/>
  <c r="T99" i="4"/>
  <c r="U99" i="4"/>
  <c r="V99" i="4"/>
  <c r="W99" i="4"/>
  <c r="X99" i="4"/>
  <c r="O100" i="4"/>
  <c r="P100" i="4"/>
  <c r="Q100" i="4"/>
  <c r="R100" i="4"/>
  <c r="S100" i="4"/>
  <c r="T100" i="4"/>
  <c r="U100" i="4"/>
  <c r="V100" i="4"/>
  <c r="W100" i="4"/>
  <c r="X100" i="4"/>
  <c r="O101" i="4"/>
  <c r="P101" i="4"/>
  <c r="Q101" i="4"/>
  <c r="R101" i="4"/>
  <c r="S101" i="4"/>
  <c r="T101" i="4"/>
  <c r="U101" i="4"/>
  <c r="V101" i="4"/>
  <c r="W101" i="4"/>
  <c r="X101" i="4"/>
  <c r="O102" i="4"/>
  <c r="P102" i="4"/>
  <c r="Q102" i="4"/>
  <c r="R102" i="4"/>
  <c r="S102" i="4"/>
  <c r="T102" i="4"/>
  <c r="U102" i="4"/>
  <c r="V102" i="4"/>
  <c r="W102" i="4"/>
  <c r="X102" i="4"/>
  <c r="O103" i="4"/>
  <c r="P103" i="4"/>
  <c r="Q103" i="4"/>
  <c r="R103" i="4"/>
  <c r="S103" i="4"/>
  <c r="T103" i="4"/>
  <c r="U103" i="4"/>
  <c r="V103" i="4"/>
  <c r="W103" i="4"/>
  <c r="X103" i="4"/>
  <c r="O104" i="4"/>
  <c r="P104" i="4"/>
  <c r="Q104" i="4"/>
  <c r="R104" i="4"/>
  <c r="S104" i="4"/>
  <c r="T104" i="4"/>
  <c r="U104" i="4"/>
  <c r="V104" i="4"/>
  <c r="W104" i="4"/>
  <c r="X104" i="4"/>
  <c r="O105" i="4"/>
  <c r="P105" i="4"/>
  <c r="Q105" i="4"/>
  <c r="R105" i="4"/>
  <c r="S105" i="4"/>
  <c r="T105" i="4"/>
  <c r="U105" i="4"/>
  <c r="V105" i="4"/>
  <c r="W105" i="4"/>
  <c r="X105" i="4"/>
  <c r="O106" i="4"/>
  <c r="P106" i="4"/>
  <c r="Q106" i="4"/>
  <c r="R106" i="4"/>
  <c r="S106" i="4"/>
  <c r="T106" i="4"/>
  <c r="U106" i="4"/>
  <c r="V106" i="4"/>
  <c r="W106" i="4"/>
  <c r="X106" i="4"/>
  <c r="O107" i="4"/>
  <c r="P107" i="4"/>
  <c r="Q107" i="4"/>
  <c r="R107" i="4"/>
  <c r="S107" i="4"/>
  <c r="T107" i="4"/>
  <c r="U107" i="4"/>
  <c r="V107" i="4"/>
  <c r="W107" i="4"/>
  <c r="X107" i="4"/>
  <c r="O108" i="4"/>
  <c r="P108" i="4"/>
  <c r="Q108" i="4"/>
  <c r="R108" i="4"/>
  <c r="S108" i="4"/>
  <c r="T108" i="4"/>
  <c r="U108" i="4"/>
  <c r="V108" i="4"/>
  <c r="W108" i="4"/>
  <c r="X108" i="4"/>
  <c r="O109" i="4"/>
  <c r="P109" i="4"/>
  <c r="Q109" i="4"/>
  <c r="R109" i="4"/>
  <c r="S109" i="4"/>
  <c r="T109" i="4"/>
  <c r="U109" i="4"/>
  <c r="V109" i="4"/>
  <c r="W109" i="4"/>
  <c r="X109" i="4"/>
  <c r="O110" i="4"/>
  <c r="P110" i="4"/>
  <c r="Q110" i="4"/>
  <c r="R110" i="4"/>
  <c r="S110" i="4"/>
  <c r="T110" i="4"/>
  <c r="U110" i="4"/>
  <c r="V110" i="4"/>
  <c r="W110" i="4"/>
  <c r="X110" i="4"/>
  <c r="O111" i="4"/>
  <c r="P111" i="4"/>
  <c r="Q111" i="4"/>
  <c r="R111" i="4"/>
  <c r="S111" i="4"/>
  <c r="T111" i="4"/>
  <c r="U111" i="4"/>
  <c r="V111" i="4"/>
  <c r="W111" i="4"/>
  <c r="X111" i="4"/>
  <c r="O112" i="4"/>
  <c r="P112" i="4"/>
  <c r="Q112" i="4"/>
  <c r="R112" i="4"/>
  <c r="S112" i="4"/>
  <c r="T112" i="4"/>
  <c r="U112" i="4"/>
  <c r="V112" i="4"/>
  <c r="W112" i="4"/>
  <c r="X112" i="4"/>
  <c r="O113" i="4"/>
  <c r="P113" i="4"/>
  <c r="Q113" i="4"/>
  <c r="R113" i="4"/>
  <c r="S113" i="4"/>
  <c r="T113" i="4"/>
  <c r="U113" i="4"/>
  <c r="V113" i="4"/>
  <c r="W113" i="4"/>
  <c r="X113" i="4"/>
  <c r="O114" i="4"/>
  <c r="P114" i="4"/>
  <c r="Q114" i="4"/>
  <c r="R114" i="4"/>
  <c r="S114" i="4"/>
  <c r="T114" i="4"/>
  <c r="U114" i="4"/>
  <c r="V114" i="4"/>
  <c r="W114" i="4"/>
  <c r="X114" i="4"/>
  <c r="O115" i="4"/>
  <c r="P115" i="4"/>
  <c r="Q115" i="4"/>
  <c r="R115" i="4"/>
  <c r="S115" i="4"/>
  <c r="T115" i="4"/>
  <c r="U115" i="4"/>
  <c r="V115" i="4"/>
  <c r="W115" i="4"/>
  <c r="X115" i="4"/>
  <c r="O116" i="4"/>
  <c r="P116" i="4"/>
  <c r="Q116" i="4"/>
  <c r="R116" i="4"/>
  <c r="S116" i="4"/>
  <c r="T116" i="4"/>
  <c r="U116" i="4"/>
  <c r="V116" i="4"/>
  <c r="W116" i="4"/>
  <c r="X116" i="4"/>
  <c r="O117" i="4"/>
  <c r="P117" i="4"/>
  <c r="Q117" i="4"/>
  <c r="R117" i="4"/>
  <c r="S117" i="4"/>
  <c r="T117" i="4"/>
  <c r="U117" i="4"/>
  <c r="V117" i="4"/>
  <c r="W117" i="4"/>
  <c r="X117" i="4"/>
  <c r="O118" i="4"/>
  <c r="P118" i="4"/>
  <c r="Q118" i="4"/>
  <c r="R118" i="4"/>
  <c r="S118" i="4"/>
  <c r="T118" i="4"/>
  <c r="U118" i="4"/>
  <c r="V118" i="4"/>
  <c r="W118" i="4"/>
  <c r="X118" i="4"/>
  <c r="O119" i="4"/>
  <c r="P119" i="4"/>
  <c r="Q119" i="4"/>
  <c r="R119" i="4"/>
  <c r="S119" i="4"/>
  <c r="T119" i="4"/>
  <c r="U119" i="4"/>
  <c r="V119" i="4"/>
  <c r="W119" i="4"/>
  <c r="X119" i="4"/>
  <c r="O120" i="4"/>
  <c r="P120" i="4"/>
  <c r="Q120" i="4"/>
  <c r="R120" i="4"/>
  <c r="S120" i="4"/>
  <c r="T120" i="4"/>
  <c r="U120" i="4"/>
  <c r="V120" i="4"/>
  <c r="W120" i="4"/>
  <c r="X120" i="4"/>
  <c r="O121" i="4"/>
  <c r="P121" i="4"/>
  <c r="Q121" i="4"/>
  <c r="R121" i="4"/>
  <c r="S121" i="4"/>
  <c r="T121" i="4"/>
  <c r="U121" i="4"/>
  <c r="V121" i="4"/>
  <c r="W121" i="4"/>
  <c r="X121" i="4"/>
  <c r="O122" i="4"/>
  <c r="P122" i="4"/>
  <c r="Q122" i="4"/>
  <c r="R122" i="4"/>
  <c r="S122" i="4"/>
  <c r="T122" i="4"/>
  <c r="U122" i="4"/>
  <c r="V122" i="4"/>
  <c r="W122" i="4"/>
  <c r="X122" i="4"/>
  <c r="O123" i="4"/>
  <c r="P123" i="4"/>
  <c r="Q123" i="4"/>
  <c r="R123" i="4"/>
  <c r="S123" i="4"/>
  <c r="T123" i="4"/>
  <c r="U123" i="4"/>
  <c r="V123" i="4"/>
  <c r="W123" i="4"/>
  <c r="X123" i="4"/>
  <c r="U612" i="3"/>
  <c r="X619" i="3"/>
  <c r="X628" i="3"/>
  <c r="V631" i="3"/>
  <c r="X635" i="3"/>
  <c r="W644" i="3"/>
  <c r="V647" i="3"/>
  <c r="X651" i="3"/>
  <c r="W606" i="3"/>
  <c r="W614" i="3"/>
  <c r="V622" i="3"/>
  <c r="X630" i="3"/>
  <c r="V638" i="3"/>
  <c r="W646" i="3"/>
  <c r="W609" i="3"/>
  <c r="U624" i="3"/>
  <c r="W625" i="3"/>
  <c r="W633" i="3"/>
  <c r="W641" i="3"/>
  <c r="V64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O605" i="3"/>
  <c r="P605" i="3"/>
  <c r="Q605" i="3"/>
  <c r="R605" i="3"/>
  <c r="S605" i="3"/>
  <c r="T605" i="3"/>
  <c r="X605" i="3"/>
  <c r="O606" i="3"/>
  <c r="P606" i="3"/>
  <c r="Q606" i="3"/>
  <c r="R606" i="3"/>
  <c r="S606" i="3"/>
  <c r="T606" i="3"/>
  <c r="O607" i="3"/>
  <c r="P607" i="3"/>
  <c r="Q607" i="3"/>
  <c r="R607" i="3"/>
  <c r="S607" i="3"/>
  <c r="T607" i="3"/>
  <c r="U607" i="3"/>
  <c r="W607" i="3"/>
  <c r="X607" i="3"/>
  <c r="O608" i="3"/>
  <c r="P608" i="3"/>
  <c r="Q608" i="3"/>
  <c r="R608" i="3"/>
  <c r="S608" i="3"/>
  <c r="T608" i="3"/>
  <c r="O609" i="3"/>
  <c r="P609" i="3"/>
  <c r="Q609" i="3"/>
  <c r="R609" i="3"/>
  <c r="S609" i="3"/>
  <c r="T609" i="3"/>
  <c r="V609" i="3"/>
  <c r="O610" i="3"/>
  <c r="P610" i="3"/>
  <c r="Q610" i="3"/>
  <c r="R610" i="3"/>
  <c r="S610" i="3"/>
  <c r="T610" i="3"/>
  <c r="O611" i="3"/>
  <c r="P611" i="3"/>
  <c r="Q611" i="3"/>
  <c r="R611" i="3"/>
  <c r="S611" i="3"/>
  <c r="T611" i="3"/>
  <c r="U611" i="3"/>
  <c r="V611" i="3"/>
  <c r="W611" i="3"/>
  <c r="O612" i="3"/>
  <c r="P612" i="3"/>
  <c r="Q612" i="3"/>
  <c r="R612" i="3"/>
  <c r="S612" i="3"/>
  <c r="T612" i="3"/>
  <c r="O613" i="3"/>
  <c r="P613" i="3"/>
  <c r="Q613" i="3"/>
  <c r="R613" i="3"/>
  <c r="S613" i="3"/>
  <c r="T613" i="3"/>
  <c r="V613" i="3"/>
  <c r="O614" i="3"/>
  <c r="P614" i="3"/>
  <c r="Q614" i="3"/>
  <c r="R614" i="3"/>
  <c r="S614" i="3"/>
  <c r="T614" i="3"/>
  <c r="O615" i="3"/>
  <c r="P615" i="3"/>
  <c r="Q615" i="3"/>
  <c r="R615" i="3"/>
  <c r="S615" i="3"/>
  <c r="T615" i="3"/>
  <c r="U615" i="3"/>
  <c r="W615" i="3"/>
  <c r="X615" i="3"/>
  <c r="O616" i="3"/>
  <c r="P616" i="3"/>
  <c r="Q616" i="3"/>
  <c r="R616" i="3"/>
  <c r="S616" i="3"/>
  <c r="T616" i="3"/>
  <c r="O617" i="3"/>
  <c r="P617" i="3"/>
  <c r="Q617" i="3"/>
  <c r="R617" i="3"/>
  <c r="S617" i="3"/>
  <c r="T617" i="3"/>
  <c r="V617" i="3"/>
  <c r="O618" i="3"/>
  <c r="P618" i="3"/>
  <c r="Q618" i="3"/>
  <c r="R618" i="3"/>
  <c r="S618" i="3"/>
  <c r="T618" i="3"/>
  <c r="O619" i="3"/>
  <c r="P619" i="3"/>
  <c r="Q619" i="3"/>
  <c r="R619" i="3"/>
  <c r="S619" i="3"/>
  <c r="T619" i="3"/>
  <c r="U619" i="3"/>
  <c r="V619" i="3"/>
  <c r="W619" i="3"/>
  <c r="O620" i="3"/>
  <c r="P620" i="3"/>
  <c r="Q620" i="3"/>
  <c r="R620" i="3"/>
  <c r="S620" i="3"/>
  <c r="T620" i="3"/>
  <c r="O621" i="3"/>
  <c r="P621" i="3"/>
  <c r="Q621" i="3"/>
  <c r="R621" i="3"/>
  <c r="S621" i="3"/>
  <c r="T621" i="3"/>
  <c r="V621" i="3"/>
  <c r="O622" i="3"/>
  <c r="P622" i="3"/>
  <c r="Q622" i="3"/>
  <c r="R622" i="3"/>
  <c r="S622" i="3"/>
  <c r="T622" i="3"/>
  <c r="O623" i="3"/>
  <c r="P623" i="3"/>
  <c r="Q623" i="3"/>
  <c r="R623" i="3"/>
  <c r="S623" i="3"/>
  <c r="T623" i="3"/>
  <c r="U623" i="3"/>
  <c r="W623" i="3"/>
  <c r="X623" i="3"/>
  <c r="O624" i="3"/>
  <c r="P624" i="3"/>
  <c r="Q624" i="3"/>
  <c r="R624" i="3"/>
  <c r="S624" i="3"/>
  <c r="T624" i="3"/>
  <c r="O625" i="3"/>
  <c r="P625" i="3"/>
  <c r="Q625" i="3"/>
  <c r="R625" i="3"/>
  <c r="S625" i="3"/>
  <c r="T625" i="3"/>
  <c r="V625" i="3"/>
  <c r="O626" i="3"/>
  <c r="P626" i="3"/>
  <c r="Q626" i="3"/>
  <c r="R626" i="3"/>
  <c r="S626" i="3"/>
  <c r="T626" i="3"/>
  <c r="O627" i="3"/>
  <c r="P627" i="3"/>
  <c r="Q627" i="3"/>
  <c r="R627" i="3"/>
  <c r="S627" i="3"/>
  <c r="T627" i="3"/>
  <c r="U627" i="3"/>
  <c r="V627" i="3"/>
  <c r="W627" i="3"/>
  <c r="O628" i="3"/>
  <c r="P628" i="3"/>
  <c r="Q628" i="3"/>
  <c r="R628" i="3"/>
  <c r="S628" i="3"/>
  <c r="T628" i="3"/>
  <c r="O629" i="3"/>
  <c r="P629" i="3"/>
  <c r="Q629" i="3"/>
  <c r="R629" i="3"/>
  <c r="S629" i="3"/>
  <c r="T629" i="3"/>
  <c r="V629" i="3"/>
  <c r="O630" i="3"/>
  <c r="P630" i="3"/>
  <c r="Q630" i="3"/>
  <c r="R630" i="3"/>
  <c r="S630" i="3"/>
  <c r="T630" i="3"/>
  <c r="O631" i="3"/>
  <c r="P631" i="3"/>
  <c r="Q631" i="3"/>
  <c r="R631" i="3"/>
  <c r="S631" i="3"/>
  <c r="T631" i="3"/>
  <c r="U631" i="3"/>
  <c r="W631" i="3"/>
  <c r="X631" i="3"/>
  <c r="O632" i="3"/>
  <c r="P632" i="3"/>
  <c r="Q632" i="3"/>
  <c r="R632" i="3"/>
  <c r="S632" i="3"/>
  <c r="T632" i="3"/>
  <c r="O633" i="3"/>
  <c r="P633" i="3"/>
  <c r="Q633" i="3"/>
  <c r="R633" i="3"/>
  <c r="S633" i="3"/>
  <c r="T633" i="3"/>
  <c r="V633" i="3"/>
  <c r="O634" i="3"/>
  <c r="P634" i="3"/>
  <c r="Q634" i="3"/>
  <c r="R634" i="3"/>
  <c r="S634" i="3"/>
  <c r="T634" i="3"/>
  <c r="O635" i="3"/>
  <c r="P635" i="3"/>
  <c r="Q635" i="3"/>
  <c r="R635" i="3"/>
  <c r="S635" i="3"/>
  <c r="T635" i="3"/>
  <c r="U635" i="3"/>
  <c r="V635" i="3"/>
  <c r="W635" i="3"/>
  <c r="O636" i="3"/>
  <c r="P636" i="3"/>
  <c r="Q636" i="3"/>
  <c r="R636" i="3"/>
  <c r="S636" i="3"/>
  <c r="T636" i="3"/>
  <c r="O637" i="3"/>
  <c r="P637" i="3"/>
  <c r="Q637" i="3"/>
  <c r="R637" i="3"/>
  <c r="S637" i="3"/>
  <c r="T637" i="3"/>
  <c r="V637" i="3"/>
  <c r="O638" i="3"/>
  <c r="P638" i="3"/>
  <c r="Q638" i="3"/>
  <c r="R638" i="3"/>
  <c r="S638" i="3"/>
  <c r="T638" i="3"/>
  <c r="O639" i="3"/>
  <c r="P639" i="3"/>
  <c r="Q639" i="3"/>
  <c r="R639" i="3"/>
  <c r="S639" i="3"/>
  <c r="T639" i="3"/>
  <c r="U639" i="3"/>
  <c r="W639" i="3"/>
  <c r="X639" i="3"/>
  <c r="O640" i="3"/>
  <c r="P640" i="3"/>
  <c r="Q640" i="3"/>
  <c r="R640" i="3"/>
  <c r="S640" i="3"/>
  <c r="T640" i="3"/>
  <c r="O641" i="3"/>
  <c r="P641" i="3"/>
  <c r="Q641" i="3"/>
  <c r="R641" i="3"/>
  <c r="S641" i="3"/>
  <c r="T641" i="3"/>
  <c r="V641" i="3"/>
  <c r="O642" i="3"/>
  <c r="P642" i="3"/>
  <c r="Q642" i="3"/>
  <c r="R642" i="3"/>
  <c r="S642" i="3"/>
  <c r="T642" i="3"/>
  <c r="O643" i="3"/>
  <c r="P643" i="3"/>
  <c r="Q643" i="3"/>
  <c r="R643" i="3"/>
  <c r="S643" i="3"/>
  <c r="T643" i="3"/>
  <c r="U643" i="3"/>
  <c r="V643" i="3"/>
  <c r="W643" i="3"/>
  <c r="O644" i="3"/>
  <c r="P644" i="3"/>
  <c r="Q644" i="3"/>
  <c r="R644" i="3"/>
  <c r="S644" i="3"/>
  <c r="T644" i="3"/>
  <c r="O645" i="3"/>
  <c r="P645" i="3"/>
  <c r="Q645" i="3"/>
  <c r="R645" i="3"/>
  <c r="S645" i="3"/>
  <c r="T645" i="3"/>
  <c r="V645" i="3"/>
  <c r="O646" i="3"/>
  <c r="P646" i="3"/>
  <c r="Q646" i="3"/>
  <c r="R646" i="3"/>
  <c r="S646" i="3"/>
  <c r="T646" i="3"/>
  <c r="O647" i="3"/>
  <c r="P647" i="3"/>
  <c r="Q647" i="3"/>
  <c r="R647" i="3"/>
  <c r="S647" i="3"/>
  <c r="T647" i="3"/>
  <c r="U647" i="3"/>
  <c r="W647" i="3"/>
  <c r="X647" i="3"/>
  <c r="O648" i="3"/>
  <c r="P648" i="3"/>
  <c r="Q648" i="3"/>
  <c r="R648" i="3"/>
  <c r="S648" i="3"/>
  <c r="T648" i="3"/>
  <c r="O649" i="3"/>
  <c r="P649" i="3"/>
  <c r="Q649" i="3"/>
  <c r="R649" i="3"/>
  <c r="S649" i="3"/>
  <c r="T649" i="3"/>
  <c r="V649" i="3"/>
  <c r="O650" i="3"/>
  <c r="P650" i="3"/>
  <c r="Q650" i="3"/>
  <c r="R650" i="3"/>
  <c r="S650" i="3"/>
  <c r="T650" i="3"/>
  <c r="O651" i="3"/>
  <c r="P651" i="3"/>
  <c r="Q651" i="3"/>
  <c r="R651" i="3"/>
  <c r="S651" i="3"/>
  <c r="T651" i="3"/>
  <c r="U651" i="3"/>
  <c r="V651" i="3"/>
  <c r="W651" i="3"/>
  <c r="O652" i="3"/>
  <c r="P652" i="3"/>
  <c r="Q652" i="3"/>
  <c r="R652" i="3"/>
  <c r="S652" i="3"/>
  <c r="T652" i="3"/>
  <c r="O653" i="3"/>
  <c r="P653" i="3"/>
  <c r="Q653" i="3"/>
  <c r="R653" i="3"/>
  <c r="S653" i="3"/>
  <c r="T653" i="3"/>
  <c r="V653" i="3"/>
  <c r="O654" i="3"/>
  <c r="P654" i="3"/>
  <c r="Q654" i="3"/>
  <c r="R654" i="3"/>
  <c r="S654" i="3"/>
  <c r="T654" i="3"/>
  <c r="U654" i="3"/>
  <c r="V654" i="3"/>
  <c r="W654" i="3"/>
  <c r="X654" i="3"/>
  <c r="O655" i="3"/>
  <c r="P655" i="3"/>
  <c r="Q655" i="3"/>
  <c r="R655" i="3"/>
  <c r="S655" i="3"/>
  <c r="T655" i="3"/>
  <c r="U655" i="3"/>
  <c r="V655" i="3"/>
  <c r="W655" i="3"/>
  <c r="X655" i="3"/>
  <c r="O656" i="3"/>
  <c r="P656" i="3"/>
  <c r="Q656" i="3"/>
  <c r="R656" i="3"/>
  <c r="S656" i="3"/>
  <c r="T656" i="3"/>
  <c r="U656" i="3"/>
  <c r="V656" i="3"/>
  <c r="W656" i="3"/>
  <c r="X656" i="3"/>
  <c r="O657" i="3"/>
  <c r="P657" i="3"/>
  <c r="Q657" i="3"/>
  <c r="R657" i="3"/>
  <c r="S657" i="3"/>
  <c r="T657" i="3"/>
  <c r="U657" i="3"/>
  <c r="V657" i="3"/>
  <c r="W657" i="3"/>
  <c r="X657" i="3"/>
  <c r="O658" i="3"/>
  <c r="P658" i="3"/>
  <c r="Q658" i="3"/>
  <c r="R658" i="3"/>
  <c r="S658" i="3"/>
  <c r="T658" i="3"/>
  <c r="U658" i="3"/>
  <c r="V658" i="3"/>
  <c r="W658" i="3"/>
  <c r="X658" i="3"/>
  <c r="O659" i="3"/>
  <c r="P659" i="3"/>
  <c r="Q659" i="3"/>
  <c r="R659" i="3"/>
  <c r="S659" i="3"/>
  <c r="T659" i="3"/>
  <c r="U659" i="3"/>
  <c r="V659" i="3"/>
  <c r="W659" i="3"/>
  <c r="X659" i="3"/>
  <c r="O660" i="3"/>
  <c r="P660" i="3"/>
  <c r="Q660" i="3"/>
  <c r="R660" i="3"/>
  <c r="S660" i="3"/>
  <c r="T660" i="3"/>
  <c r="U660" i="3"/>
  <c r="V660" i="3"/>
  <c r="W660" i="3"/>
  <c r="X660" i="3"/>
  <c r="O661" i="3"/>
  <c r="P661" i="3"/>
  <c r="Q661" i="3"/>
  <c r="R661" i="3"/>
  <c r="S661" i="3"/>
  <c r="T661" i="3"/>
  <c r="U661" i="3"/>
  <c r="V661" i="3"/>
  <c r="W661" i="3"/>
  <c r="X661" i="3"/>
  <c r="O662" i="3"/>
  <c r="P662" i="3"/>
  <c r="Q662" i="3"/>
  <c r="R662" i="3"/>
  <c r="S662" i="3"/>
  <c r="T662" i="3"/>
  <c r="U662" i="3"/>
  <c r="V662" i="3"/>
  <c r="W662" i="3"/>
  <c r="X662" i="3"/>
  <c r="O663" i="3"/>
  <c r="P663" i="3"/>
  <c r="Q663" i="3"/>
  <c r="R663" i="3"/>
  <c r="S663" i="3"/>
  <c r="T663" i="3"/>
  <c r="U663" i="3"/>
  <c r="V663" i="3"/>
  <c r="W663" i="3"/>
  <c r="X663" i="3"/>
  <c r="O664" i="3"/>
  <c r="P664" i="3"/>
  <c r="Q664" i="3"/>
  <c r="R664" i="3"/>
  <c r="S664" i="3"/>
  <c r="T664" i="3"/>
  <c r="U664" i="3"/>
  <c r="V664" i="3"/>
  <c r="W664" i="3"/>
  <c r="X664" i="3"/>
  <c r="O665" i="3"/>
  <c r="P665" i="3"/>
  <c r="Q665" i="3"/>
  <c r="R665" i="3"/>
  <c r="S665" i="3"/>
  <c r="T665" i="3"/>
  <c r="U665" i="3"/>
  <c r="V665" i="3"/>
  <c r="W665" i="3"/>
  <c r="X665" i="3"/>
  <c r="O666" i="3"/>
  <c r="P666" i="3"/>
  <c r="Q666" i="3"/>
  <c r="R666" i="3"/>
  <c r="S666" i="3"/>
  <c r="T666" i="3"/>
  <c r="U666" i="3"/>
  <c r="V666" i="3"/>
  <c r="W666" i="3"/>
  <c r="X666" i="3"/>
  <c r="O667" i="3"/>
  <c r="P667" i="3"/>
  <c r="Q667" i="3"/>
  <c r="R667" i="3"/>
  <c r="S667" i="3"/>
  <c r="T667" i="3"/>
  <c r="U667" i="3"/>
  <c r="V667" i="3"/>
  <c r="W667" i="3"/>
  <c r="X667" i="3"/>
  <c r="O668" i="3"/>
  <c r="P668" i="3"/>
  <c r="Q668" i="3"/>
  <c r="R668" i="3"/>
  <c r="S668" i="3"/>
  <c r="T668" i="3"/>
  <c r="U668" i="3"/>
  <c r="V668" i="3"/>
  <c r="W668" i="3"/>
  <c r="X668" i="3"/>
  <c r="O669" i="3"/>
  <c r="P669" i="3"/>
  <c r="Q669" i="3"/>
  <c r="R669" i="3"/>
  <c r="S669" i="3"/>
  <c r="T669" i="3"/>
  <c r="U669" i="3"/>
  <c r="V669" i="3"/>
  <c r="W669" i="3"/>
  <c r="X669" i="3"/>
  <c r="O670" i="3"/>
  <c r="P670" i="3"/>
  <c r="Q670" i="3"/>
  <c r="R670" i="3"/>
  <c r="S670" i="3"/>
  <c r="T670" i="3"/>
  <c r="U670" i="3"/>
  <c r="V670" i="3"/>
  <c r="W670" i="3"/>
  <c r="X670" i="3"/>
  <c r="O671" i="3"/>
  <c r="P671" i="3"/>
  <c r="Q671" i="3"/>
  <c r="R671" i="3"/>
  <c r="S671" i="3"/>
  <c r="T671" i="3"/>
  <c r="U671" i="3"/>
  <c r="V671" i="3"/>
  <c r="W671" i="3"/>
  <c r="X671" i="3"/>
  <c r="O672" i="3"/>
  <c r="P672" i="3"/>
  <c r="Q672" i="3"/>
  <c r="R672" i="3"/>
  <c r="S672" i="3"/>
  <c r="T672" i="3"/>
  <c r="U672" i="3"/>
  <c r="V672" i="3"/>
  <c r="W672" i="3"/>
  <c r="X672" i="3"/>
  <c r="O673" i="3"/>
  <c r="P673" i="3"/>
  <c r="Q673" i="3"/>
  <c r="R673" i="3"/>
  <c r="S673" i="3"/>
  <c r="T673" i="3"/>
  <c r="U673" i="3"/>
  <c r="V673" i="3"/>
  <c r="W673" i="3"/>
  <c r="X673" i="3"/>
  <c r="O674" i="3"/>
  <c r="P674" i="3"/>
  <c r="Q674" i="3"/>
  <c r="R674" i="3"/>
  <c r="S674" i="3"/>
  <c r="T674" i="3"/>
  <c r="U674" i="3"/>
  <c r="V674" i="3"/>
  <c r="W674" i="3"/>
  <c r="X674" i="3"/>
  <c r="O675" i="3"/>
  <c r="P675" i="3"/>
  <c r="Q675" i="3"/>
  <c r="R675" i="3"/>
  <c r="S675" i="3"/>
  <c r="T675" i="3"/>
  <c r="U675" i="3"/>
  <c r="V675" i="3"/>
  <c r="W675" i="3"/>
  <c r="X675" i="3"/>
  <c r="O676" i="3"/>
  <c r="P676" i="3"/>
  <c r="Q676" i="3"/>
  <c r="R676" i="3"/>
  <c r="S676" i="3"/>
  <c r="T676" i="3"/>
  <c r="U676" i="3"/>
  <c r="V676" i="3"/>
  <c r="W676" i="3"/>
  <c r="X676" i="3"/>
  <c r="O677" i="3"/>
  <c r="P677" i="3"/>
  <c r="Q677" i="3"/>
  <c r="R677" i="3"/>
  <c r="S677" i="3"/>
  <c r="T677" i="3"/>
  <c r="U677" i="3"/>
  <c r="V677" i="3"/>
  <c r="W677" i="3"/>
  <c r="X677" i="3"/>
  <c r="O678" i="3"/>
  <c r="P678" i="3"/>
  <c r="Q678" i="3"/>
  <c r="R678" i="3"/>
  <c r="S678" i="3"/>
  <c r="T678" i="3"/>
  <c r="U678" i="3"/>
  <c r="V678" i="3"/>
  <c r="W678" i="3"/>
  <c r="X678" i="3"/>
  <c r="O679" i="3"/>
  <c r="P679" i="3"/>
  <c r="Q679" i="3"/>
  <c r="R679" i="3"/>
  <c r="S679" i="3"/>
  <c r="T679" i="3"/>
  <c r="U679" i="3"/>
  <c r="V679" i="3"/>
  <c r="W679" i="3"/>
  <c r="X679" i="3"/>
  <c r="O680" i="3"/>
  <c r="P680" i="3"/>
  <c r="Q680" i="3"/>
  <c r="R680" i="3"/>
  <c r="S680" i="3"/>
  <c r="T680" i="3"/>
  <c r="U680" i="3"/>
  <c r="V680" i="3"/>
  <c r="W680" i="3"/>
  <c r="X680" i="3"/>
  <c r="O681" i="3"/>
  <c r="P681" i="3"/>
  <c r="Q681" i="3"/>
  <c r="R681" i="3"/>
  <c r="S681" i="3"/>
  <c r="T681" i="3"/>
  <c r="U681" i="3"/>
  <c r="V681" i="3"/>
  <c r="W681" i="3"/>
  <c r="X681" i="3"/>
  <c r="O682" i="3"/>
  <c r="P682" i="3"/>
  <c r="Q682" i="3"/>
  <c r="R682" i="3"/>
  <c r="S682" i="3"/>
  <c r="T682" i="3"/>
  <c r="U682" i="3"/>
  <c r="V682" i="3"/>
  <c r="W682" i="3"/>
  <c r="X682" i="3"/>
  <c r="O683" i="3"/>
  <c r="P683" i="3"/>
  <c r="Q683" i="3"/>
  <c r="R683" i="3"/>
  <c r="S683" i="3"/>
  <c r="T683" i="3"/>
  <c r="U683" i="3"/>
  <c r="V683" i="3"/>
  <c r="W683" i="3"/>
  <c r="X683" i="3"/>
  <c r="O684" i="3"/>
  <c r="P684" i="3"/>
  <c r="Q684" i="3"/>
  <c r="R684" i="3"/>
  <c r="S684" i="3"/>
  <c r="T684" i="3"/>
  <c r="U684" i="3"/>
  <c r="V684" i="3"/>
  <c r="W684" i="3"/>
  <c r="X684" i="3"/>
  <c r="O685" i="3"/>
  <c r="P685" i="3"/>
  <c r="Q685" i="3"/>
  <c r="R685" i="3"/>
  <c r="S685" i="3"/>
  <c r="T685" i="3"/>
  <c r="U685" i="3"/>
  <c r="V685" i="3"/>
  <c r="W685" i="3"/>
  <c r="X685" i="3"/>
  <c r="O686" i="3"/>
  <c r="P686" i="3"/>
  <c r="Q686" i="3"/>
  <c r="R686" i="3"/>
  <c r="S686" i="3"/>
  <c r="T686" i="3"/>
  <c r="U686" i="3"/>
  <c r="V686" i="3"/>
  <c r="W686" i="3"/>
  <c r="X686" i="3"/>
  <c r="O687" i="3"/>
  <c r="P687" i="3"/>
  <c r="Q687" i="3"/>
  <c r="R687" i="3"/>
  <c r="S687" i="3"/>
  <c r="T687" i="3"/>
  <c r="U687" i="3"/>
  <c r="V687" i="3"/>
  <c r="W687" i="3"/>
  <c r="X687" i="3"/>
  <c r="O688" i="3"/>
  <c r="P688" i="3"/>
  <c r="Q688" i="3"/>
  <c r="R688" i="3"/>
  <c r="S688" i="3"/>
  <c r="T688" i="3"/>
  <c r="U688" i="3"/>
  <c r="V688" i="3"/>
  <c r="W688" i="3"/>
  <c r="X688" i="3"/>
  <c r="O689" i="3"/>
  <c r="P689" i="3"/>
  <c r="Q689" i="3"/>
  <c r="R689" i="3"/>
  <c r="S689" i="3"/>
  <c r="T689" i="3"/>
  <c r="U689" i="3"/>
  <c r="V689" i="3"/>
  <c r="W689" i="3"/>
  <c r="X689" i="3"/>
  <c r="O690" i="3"/>
  <c r="P690" i="3"/>
  <c r="Q690" i="3"/>
  <c r="R690" i="3"/>
  <c r="S690" i="3"/>
  <c r="T690" i="3"/>
  <c r="U690" i="3"/>
  <c r="V690" i="3"/>
  <c r="W690" i="3"/>
  <c r="X690" i="3"/>
  <c r="O691" i="3"/>
  <c r="P691" i="3"/>
  <c r="Q691" i="3"/>
  <c r="R691" i="3"/>
  <c r="S691" i="3"/>
  <c r="T691" i="3"/>
  <c r="U691" i="3"/>
  <c r="V691" i="3"/>
  <c r="W691" i="3"/>
  <c r="X691" i="3"/>
  <c r="O692" i="3"/>
  <c r="P692" i="3"/>
  <c r="Q692" i="3"/>
  <c r="R692" i="3"/>
  <c r="S692" i="3"/>
  <c r="T692" i="3"/>
  <c r="U692" i="3"/>
  <c r="V692" i="3"/>
  <c r="W692" i="3"/>
  <c r="X692" i="3"/>
  <c r="O693" i="3"/>
  <c r="P693" i="3"/>
  <c r="Q693" i="3"/>
  <c r="R693" i="3"/>
  <c r="S693" i="3"/>
  <c r="T693" i="3"/>
  <c r="U693" i="3"/>
  <c r="V693" i="3"/>
  <c r="W693" i="3"/>
  <c r="X693" i="3"/>
  <c r="O694" i="3"/>
  <c r="P694" i="3"/>
  <c r="Q694" i="3"/>
  <c r="R694" i="3"/>
  <c r="S694" i="3"/>
  <c r="T694" i="3"/>
  <c r="U694" i="3"/>
  <c r="V694" i="3"/>
  <c r="W694" i="3"/>
  <c r="X694" i="3"/>
  <c r="O695" i="3"/>
  <c r="P695" i="3"/>
  <c r="Q695" i="3"/>
  <c r="R695" i="3"/>
  <c r="S695" i="3"/>
  <c r="T695" i="3"/>
  <c r="U695" i="3"/>
  <c r="V695" i="3"/>
  <c r="W695" i="3"/>
  <c r="X695" i="3"/>
  <c r="O696" i="3"/>
  <c r="P696" i="3"/>
  <c r="Q696" i="3"/>
  <c r="R696" i="3"/>
  <c r="S696" i="3"/>
  <c r="T696" i="3"/>
  <c r="U696" i="3"/>
  <c r="V696" i="3"/>
  <c r="W696" i="3"/>
  <c r="X696" i="3"/>
  <c r="O697" i="3"/>
  <c r="P697" i="3"/>
  <c r="Q697" i="3"/>
  <c r="R697" i="3"/>
  <c r="S697" i="3"/>
  <c r="T697" i="3"/>
  <c r="U697" i="3"/>
  <c r="V697" i="3"/>
  <c r="W697" i="3"/>
  <c r="X697" i="3"/>
  <c r="O698" i="3"/>
  <c r="P698" i="3"/>
  <c r="Q698" i="3"/>
  <c r="R698" i="3"/>
  <c r="S698" i="3"/>
  <c r="T698" i="3"/>
  <c r="U698" i="3"/>
  <c r="V698" i="3"/>
  <c r="W698" i="3"/>
  <c r="X698" i="3"/>
  <c r="O699" i="3"/>
  <c r="P699" i="3"/>
  <c r="Q699" i="3"/>
  <c r="R699" i="3"/>
  <c r="S699" i="3"/>
  <c r="T699" i="3"/>
  <c r="U699" i="3"/>
  <c r="V699" i="3"/>
  <c r="W699" i="3"/>
  <c r="X699" i="3"/>
  <c r="O700" i="3"/>
  <c r="P700" i="3"/>
  <c r="Q700" i="3"/>
  <c r="R700" i="3"/>
  <c r="S700" i="3"/>
  <c r="T700" i="3"/>
  <c r="U700" i="3"/>
  <c r="V700" i="3"/>
  <c r="W700" i="3"/>
  <c r="X700" i="3"/>
  <c r="O701" i="3"/>
  <c r="P701" i="3"/>
  <c r="Q701" i="3"/>
  <c r="R701" i="3"/>
  <c r="S701" i="3"/>
  <c r="T701" i="3"/>
  <c r="U701" i="3"/>
  <c r="V701" i="3"/>
  <c r="W701" i="3"/>
  <c r="X701" i="3"/>
  <c r="O702" i="3"/>
  <c r="P702" i="3"/>
  <c r="Q702" i="3"/>
  <c r="R702" i="3"/>
  <c r="S702" i="3"/>
  <c r="T702" i="3"/>
  <c r="U702" i="3"/>
  <c r="V702" i="3"/>
  <c r="W702" i="3"/>
  <c r="X702" i="3"/>
  <c r="O703" i="3"/>
  <c r="P703" i="3"/>
  <c r="Q703" i="3"/>
  <c r="R703" i="3"/>
  <c r="S703" i="3"/>
  <c r="T703" i="3"/>
  <c r="U703" i="3"/>
  <c r="V703" i="3"/>
  <c r="W703" i="3"/>
  <c r="X703" i="3"/>
  <c r="O704" i="3"/>
  <c r="P704" i="3"/>
  <c r="Q704" i="3"/>
  <c r="R704" i="3"/>
  <c r="S704" i="3"/>
  <c r="T704" i="3"/>
  <c r="U704" i="3"/>
  <c r="V704" i="3"/>
  <c r="W704" i="3"/>
  <c r="X704" i="3"/>
  <c r="O705" i="3"/>
  <c r="P705" i="3"/>
  <c r="Q705" i="3"/>
  <c r="R705" i="3"/>
  <c r="S705" i="3"/>
  <c r="T705" i="3"/>
  <c r="U705" i="3"/>
  <c r="V705" i="3"/>
  <c r="W705" i="3"/>
  <c r="X705" i="3"/>
  <c r="O706" i="3"/>
  <c r="P706" i="3"/>
  <c r="Q706" i="3"/>
  <c r="R706" i="3"/>
  <c r="S706" i="3"/>
  <c r="T706" i="3"/>
  <c r="U706" i="3"/>
  <c r="V706" i="3"/>
  <c r="W706" i="3"/>
  <c r="X706" i="3"/>
  <c r="O707" i="3"/>
  <c r="P707" i="3"/>
  <c r="Q707" i="3"/>
  <c r="R707" i="3"/>
  <c r="S707" i="3"/>
  <c r="T707" i="3"/>
  <c r="U707" i="3"/>
  <c r="V707" i="3"/>
  <c r="W707" i="3"/>
  <c r="X707" i="3"/>
  <c r="O708" i="3"/>
  <c r="P708" i="3"/>
  <c r="Q708" i="3"/>
  <c r="R708" i="3"/>
  <c r="S708" i="3"/>
  <c r="T708" i="3"/>
  <c r="U708" i="3"/>
  <c r="V708" i="3"/>
  <c r="W708" i="3"/>
  <c r="X708" i="3"/>
  <c r="O709" i="3"/>
  <c r="P709" i="3"/>
  <c r="Q709" i="3"/>
  <c r="R709" i="3"/>
  <c r="S709" i="3"/>
  <c r="T709" i="3"/>
  <c r="U709" i="3"/>
  <c r="V709" i="3"/>
  <c r="W709" i="3"/>
  <c r="X709" i="3"/>
  <c r="O710" i="3"/>
  <c r="P710" i="3"/>
  <c r="Q710" i="3"/>
  <c r="R710" i="3"/>
  <c r="S710" i="3"/>
  <c r="T710" i="3"/>
  <c r="U710" i="3"/>
  <c r="V710" i="3"/>
  <c r="W710" i="3"/>
  <c r="X710" i="3"/>
  <c r="O711" i="3"/>
  <c r="P711" i="3"/>
  <c r="Q711" i="3"/>
  <c r="R711" i="3"/>
  <c r="S711" i="3"/>
  <c r="T711" i="3"/>
  <c r="U711" i="3"/>
  <c r="V711" i="3"/>
  <c r="W711" i="3"/>
  <c r="X711" i="3"/>
  <c r="O712" i="3"/>
  <c r="P712" i="3"/>
  <c r="Q712" i="3"/>
  <c r="R712" i="3"/>
  <c r="S712" i="3"/>
  <c r="T712" i="3"/>
  <c r="U712" i="3"/>
  <c r="V712" i="3"/>
  <c r="W712" i="3"/>
  <c r="X712" i="3"/>
  <c r="O713" i="3"/>
  <c r="P713" i="3"/>
  <c r="Q713" i="3"/>
  <c r="R713" i="3"/>
  <c r="S713" i="3"/>
  <c r="T713" i="3"/>
  <c r="U713" i="3"/>
  <c r="V713" i="3"/>
  <c r="W713" i="3"/>
  <c r="X713" i="3"/>
  <c r="O714" i="3"/>
  <c r="P714" i="3"/>
  <c r="Q714" i="3"/>
  <c r="R714" i="3"/>
  <c r="S714" i="3"/>
  <c r="T714" i="3"/>
  <c r="U714" i="3"/>
  <c r="V714" i="3"/>
  <c r="W714" i="3"/>
  <c r="X714" i="3"/>
  <c r="O715" i="3"/>
  <c r="P715" i="3"/>
  <c r="Q715" i="3"/>
  <c r="R715" i="3"/>
  <c r="S715" i="3"/>
  <c r="T715" i="3"/>
  <c r="U715" i="3"/>
  <c r="V715" i="3"/>
  <c r="W715" i="3"/>
  <c r="X715" i="3"/>
  <c r="O716" i="3"/>
  <c r="P716" i="3"/>
  <c r="Q716" i="3"/>
  <c r="R716" i="3"/>
  <c r="S716" i="3"/>
  <c r="T716" i="3"/>
  <c r="U716" i="3"/>
  <c r="V716" i="3"/>
  <c r="W716" i="3"/>
  <c r="X716" i="3"/>
  <c r="O717" i="3"/>
  <c r="P717" i="3"/>
  <c r="Q717" i="3"/>
  <c r="R717" i="3"/>
  <c r="S717" i="3"/>
  <c r="T717" i="3"/>
  <c r="U717" i="3"/>
  <c r="V717" i="3"/>
  <c r="W717" i="3"/>
  <c r="X717" i="3"/>
  <c r="O718" i="3"/>
  <c r="P718" i="3"/>
  <c r="Q718" i="3"/>
  <c r="R718" i="3"/>
  <c r="S718" i="3"/>
  <c r="T718" i="3"/>
  <c r="U718" i="3"/>
  <c r="V718" i="3"/>
  <c r="W718" i="3"/>
  <c r="X718" i="3"/>
  <c r="O719" i="3"/>
  <c r="P719" i="3"/>
  <c r="Q719" i="3"/>
  <c r="R719" i="3"/>
  <c r="S719" i="3"/>
  <c r="T719" i="3"/>
  <c r="U719" i="3"/>
  <c r="V719" i="3"/>
  <c r="W719" i="3"/>
  <c r="X719" i="3"/>
  <c r="O720" i="3"/>
  <c r="P720" i="3"/>
  <c r="Q720" i="3"/>
  <c r="R720" i="3"/>
  <c r="S720" i="3"/>
  <c r="T720" i="3"/>
  <c r="U720" i="3"/>
  <c r="V720" i="3"/>
  <c r="W720" i="3"/>
  <c r="X720" i="3"/>
  <c r="O721" i="3"/>
  <c r="P721" i="3"/>
  <c r="Q721" i="3"/>
  <c r="R721" i="3"/>
  <c r="S721" i="3"/>
  <c r="T721" i="3"/>
  <c r="U721" i="3"/>
  <c r="V721" i="3"/>
  <c r="W721" i="3"/>
  <c r="X721" i="3"/>
  <c r="O722" i="3"/>
  <c r="P722" i="3"/>
  <c r="Q722" i="3"/>
  <c r="R722" i="3"/>
  <c r="S722" i="3"/>
  <c r="T722" i="3"/>
  <c r="U722" i="3"/>
  <c r="V722" i="3"/>
  <c r="W722" i="3"/>
  <c r="X722" i="3"/>
  <c r="O723" i="3"/>
  <c r="P723" i="3"/>
  <c r="Q723" i="3"/>
  <c r="R723" i="3"/>
  <c r="S723" i="3"/>
  <c r="T723" i="3"/>
  <c r="U723" i="3"/>
  <c r="V723" i="3"/>
  <c r="W723" i="3"/>
  <c r="X723" i="3"/>
  <c r="O724" i="3"/>
  <c r="P724" i="3"/>
  <c r="Q724" i="3"/>
  <c r="R724" i="3"/>
  <c r="S724" i="3"/>
  <c r="T724" i="3"/>
  <c r="U724" i="3"/>
  <c r="V724" i="3"/>
  <c r="W724" i="3"/>
  <c r="X724" i="3"/>
  <c r="O725" i="3"/>
  <c r="P725" i="3"/>
  <c r="Q725" i="3"/>
  <c r="R725" i="3"/>
  <c r="S725" i="3"/>
  <c r="T725" i="3"/>
  <c r="U725" i="3"/>
  <c r="V725" i="3"/>
  <c r="W725" i="3"/>
  <c r="X725" i="3"/>
  <c r="O726" i="3"/>
  <c r="P726" i="3"/>
  <c r="Q726" i="3"/>
  <c r="R726" i="3"/>
  <c r="S726" i="3"/>
  <c r="T726" i="3"/>
  <c r="U726" i="3"/>
  <c r="V726" i="3"/>
  <c r="W726" i="3"/>
  <c r="X726" i="3"/>
  <c r="W648" i="3" l="1"/>
  <c r="W640" i="3"/>
  <c r="W632" i="3"/>
  <c r="W624" i="3"/>
  <c r="X616" i="3"/>
  <c r="X608" i="3"/>
  <c r="V652" i="3"/>
  <c r="U632" i="3"/>
  <c r="U620" i="3"/>
  <c r="X643" i="3"/>
  <c r="V639" i="3"/>
  <c r="X627" i="3"/>
  <c r="V623" i="3"/>
  <c r="V615" i="3"/>
  <c r="X611" i="3"/>
  <c r="V607" i="3"/>
  <c r="W649" i="3"/>
  <c r="U640" i="3"/>
  <c r="U628" i="3"/>
  <c r="W617" i="3"/>
  <c r="W652" i="3"/>
  <c r="X636" i="3"/>
  <c r="X620" i="3"/>
  <c r="X612" i="3"/>
  <c r="V648" i="3"/>
  <c r="U636" i="3"/>
  <c r="X650" i="3"/>
  <c r="X646" i="3"/>
  <c r="X642" i="3"/>
  <c r="W638" i="3"/>
  <c r="X634" i="3"/>
  <c r="W630" i="3"/>
  <c r="X626" i="3"/>
  <c r="W622" i="3"/>
  <c r="X618" i="3"/>
  <c r="X614" i="3"/>
  <c r="X610" i="3"/>
  <c r="X606" i="3"/>
  <c r="W650" i="3"/>
  <c r="W642" i="3"/>
  <c r="U634" i="3"/>
  <c r="W626" i="3"/>
  <c r="V618" i="3"/>
  <c r="V650" i="3"/>
  <c r="V646" i="3"/>
  <c r="V642" i="3"/>
  <c r="U638" i="3"/>
  <c r="V634" i="3"/>
  <c r="U630" i="3"/>
  <c r="V626" i="3"/>
  <c r="U622" i="3"/>
  <c r="U618" i="3"/>
  <c r="U614" i="3"/>
  <c r="U610" i="3"/>
  <c r="U606" i="3"/>
  <c r="U605" i="3"/>
  <c r="V614" i="3"/>
  <c r="V606" i="3"/>
  <c r="W653" i="3"/>
  <c r="W645" i="3"/>
  <c r="W637" i="3"/>
  <c r="W629" i="3"/>
  <c r="W621" i="3"/>
  <c r="W613" i="3"/>
  <c r="U652" i="3"/>
  <c r="U650" i="3"/>
  <c r="U648" i="3"/>
  <c r="U646" i="3"/>
  <c r="U644" i="3"/>
  <c r="U642" i="3"/>
  <c r="X638" i="3"/>
  <c r="W634" i="3"/>
  <c r="X632" i="3"/>
  <c r="V630" i="3"/>
  <c r="W628" i="3"/>
  <c r="U626" i="3"/>
  <c r="X622" i="3"/>
  <c r="W618" i="3"/>
  <c r="W616" i="3"/>
  <c r="W610" i="3"/>
  <c r="W608" i="3"/>
  <c r="U616" i="3"/>
  <c r="V610" i="3"/>
  <c r="X652" i="3"/>
  <c r="X648" i="3"/>
  <c r="X644" i="3"/>
  <c r="X640" i="3"/>
  <c r="W636" i="3"/>
  <c r="X624" i="3"/>
  <c r="W620" i="3"/>
  <c r="W612" i="3"/>
  <c r="U608" i="3"/>
  <c r="U653" i="3"/>
  <c r="U645" i="3"/>
  <c r="U633" i="3"/>
  <c r="U625" i="3"/>
  <c r="U621" i="3"/>
  <c r="U617" i="3"/>
  <c r="U613" i="3"/>
  <c r="U609" i="3"/>
  <c r="X653" i="3"/>
  <c r="X649" i="3"/>
  <c r="X645" i="3"/>
  <c r="X641" i="3"/>
  <c r="V640" i="3"/>
  <c r="X637" i="3"/>
  <c r="V636" i="3"/>
  <c r="X633" i="3"/>
  <c r="V632" i="3"/>
  <c r="X629" i="3"/>
  <c r="V628" i="3"/>
  <c r="X625" i="3"/>
  <c r="V624" i="3"/>
  <c r="X621" i="3"/>
  <c r="V620" i="3"/>
  <c r="X617" i="3"/>
  <c r="V616" i="3"/>
  <c r="X613" i="3"/>
  <c r="V612" i="3"/>
  <c r="X609" i="3"/>
  <c r="V608" i="3"/>
  <c r="U649" i="3"/>
  <c r="U641" i="3"/>
  <c r="U637" i="3"/>
  <c r="U629" i="3"/>
  <c r="W605" i="3"/>
  <c r="V605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O535" i="3"/>
  <c r="P535" i="3"/>
  <c r="Q535" i="3"/>
  <c r="R535" i="3"/>
  <c r="S535" i="3"/>
  <c r="T535" i="3"/>
  <c r="U535" i="3"/>
  <c r="V535" i="3"/>
  <c r="W535" i="3"/>
  <c r="X535" i="3"/>
  <c r="O536" i="3"/>
  <c r="P536" i="3"/>
  <c r="Q536" i="3"/>
  <c r="R536" i="3"/>
  <c r="S536" i="3"/>
  <c r="T536" i="3"/>
  <c r="U536" i="3"/>
  <c r="V536" i="3"/>
  <c r="W536" i="3"/>
  <c r="X536" i="3"/>
  <c r="O537" i="3"/>
  <c r="P537" i="3"/>
  <c r="Q537" i="3"/>
  <c r="R537" i="3"/>
  <c r="S537" i="3"/>
  <c r="T537" i="3"/>
  <c r="U537" i="3"/>
  <c r="V537" i="3"/>
  <c r="W537" i="3"/>
  <c r="X537" i="3"/>
  <c r="O538" i="3"/>
  <c r="P538" i="3"/>
  <c r="Q538" i="3"/>
  <c r="R538" i="3"/>
  <c r="S538" i="3"/>
  <c r="T538" i="3"/>
  <c r="U538" i="3"/>
  <c r="V538" i="3"/>
  <c r="W538" i="3"/>
  <c r="X538" i="3"/>
  <c r="O539" i="3"/>
  <c r="P539" i="3"/>
  <c r="Q539" i="3"/>
  <c r="R539" i="3"/>
  <c r="S539" i="3"/>
  <c r="T539" i="3"/>
  <c r="U539" i="3"/>
  <c r="V539" i="3"/>
  <c r="W539" i="3"/>
  <c r="X539" i="3"/>
  <c r="O540" i="3"/>
  <c r="P540" i="3"/>
  <c r="Q540" i="3"/>
  <c r="R540" i="3"/>
  <c r="S540" i="3"/>
  <c r="T540" i="3"/>
  <c r="U540" i="3"/>
  <c r="V540" i="3"/>
  <c r="W540" i="3"/>
  <c r="X540" i="3"/>
  <c r="O541" i="3"/>
  <c r="P541" i="3"/>
  <c r="Q541" i="3"/>
  <c r="R541" i="3"/>
  <c r="S541" i="3"/>
  <c r="T541" i="3"/>
  <c r="U541" i="3"/>
  <c r="V541" i="3"/>
  <c r="W541" i="3"/>
  <c r="X541" i="3"/>
  <c r="O542" i="3"/>
  <c r="P542" i="3"/>
  <c r="Q542" i="3"/>
  <c r="R542" i="3"/>
  <c r="S542" i="3"/>
  <c r="T542" i="3"/>
  <c r="U542" i="3"/>
  <c r="V542" i="3"/>
  <c r="W542" i="3"/>
  <c r="X542" i="3"/>
  <c r="O543" i="3"/>
  <c r="P543" i="3"/>
  <c r="Q543" i="3"/>
  <c r="R543" i="3"/>
  <c r="S543" i="3"/>
  <c r="T543" i="3"/>
  <c r="U543" i="3"/>
  <c r="V543" i="3"/>
  <c r="W543" i="3"/>
  <c r="X543" i="3"/>
  <c r="O544" i="3"/>
  <c r="P544" i="3"/>
  <c r="Q544" i="3"/>
  <c r="R544" i="3"/>
  <c r="S544" i="3"/>
  <c r="T544" i="3"/>
  <c r="U544" i="3"/>
  <c r="V544" i="3"/>
  <c r="W544" i="3"/>
  <c r="X544" i="3"/>
  <c r="O545" i="3"/>
  <c r="P545" i="3"/>
  <c r="Q545" i="3"/>
  <c r="R545" i="3"/>
  <c r="S545" i="3"/>
  <c r="T545" i="3"/>
  <c r="U545" i="3"/>
  <c r="V545" i="3"/>
  <c r="W545" i="3"/>
  <c r="X545" i="3"/>
  <c r="O546" i="3"/>
  <c r="P546" i="3"/>
  <c r="Q546" i="3"/>
  <c r="R546" i="3"/>
  <c r="S546" i="3"/>
  <c r="T546" i="3"/>
  <c r="U546" i="3"/>
  <c r="V546" i="3"/>
  <c r="W546" i="3"/>
  <c r="X546" i="3"/>
  <c r="O547" i="3"/>
  <c r="P547" i="3"/>
  <c r="Q547" i="3"/>
  <c r="R547" i="3"/>
  <c r="S547" i="3"/>
  <c r="T547" i="3"/>
  <c r="U547" i="3"/>
  <c r="V547" i="3"/>
  <c r="W547" i="3"/>
  <c r="X547" i="3"/>
  <c r="O548" i="3"/>
  <c r="P548" i="3"/>
  <c r="Q548" i="3"/>
  <c r="R548" i="3"/>
  <c r="S548" i="3"/>
  <c r="T548" i="3"/>
  <c r="U548" i="3"/>
  <c r="V548" i="3"/>
  <c r="W548" i="3"/>
  <c r="X548" i="3"/>
  <c r="O549" i="3"/>
  <c r="P549" i="3"/>
  <c r="Q549" i="3"/>
  <c r="R549" i="3"/>
  <c r="S549" i="3"/>
  <c r="T549" i="3"/>
  <c r="U549" i="3"/>
  <c r="V549" i="3"/>
  <c r="W549" i="3"/>
  <c r="X549" i="3"/>
  <c r="O550" i="3"/>
  <c r="P550" i="3"/>
  <c r="Q550" i="3"/>
  <c r="R550" i="3"/>
  <c r="S550" i="3"/>
  <c r="T550" i="3"/>
  <c r="U550" i="3"/>
  <c r="V550" i="3"/>
  <c r="W550" i="3"/>
  <c r="X550" i="3"/>
  <c r="O551" i="3"/>
  <c r="P551" i="3"/>
  <c r="Q551" i="3"/>
  <c r="R551" i="3"/>
  <c r="S551" i="3"/>
  <c r="T551" i="3"/>
  <c r="U551" i="3"/>
  <c r="V551" i="3"/>
  <c r="W551" i="3"/>
  <c r="X551" i="3"/>
  <c r="O552" i="3"/>
  <c r="P552" i="3"/>
  <c r="Q552" i="3"/>
  <c r="R552" i="3"/>
  <c r="S552" i="3"/>
  <c r="T552" i="3"/>
  <c r="U552" i="3"/>
  <c r="V552" i="3"/>
  <c r="W552" i="3"/>
  <c r="X552" i="3"/>
  <c r="O553" i="3"/>
  <c r="P553" i="3"/>
  <c r="Q553" i="3"/>
  <c r="R553" i="3"/>
  <c r="S553" i="3"/>
  <c r="T553" i="3"/>
  <c r="U553" i="3"/>
  <c r="V553" i="3"/>
  <c r="W553" i="3"/>
  <c r="X553" i="3"/>
  <c r="O554" i="3"/>
  <c r="P554" i="3"/>
  <c r="Q554" i="3"/>
  <c r="R554" i="3"/>
  <c r="S554" i="3"/>
  <c r="T554" i="3"/>
  <c r="U554" i="3"/>
  <c r="V554" i="3"/>
  <c r="W554" i="3"/>
  <c r="X554" i="3"/>
  <c r="O555" i="3"/>
  <c r="P555" i="3"/>
  <c r="Q555" i="3"/>
  <c r="R555" i="3"/>
  <c r="S555" i="3"/>
  <c r="T555" i="3"/>
  <c r="U555" i="3"/>
  <c r="V555" i="3"/>
  <c r="W555" i="3"/>
  <c r="X555" i="3"/>
  <c r="O556" i="3"/>
  <c r="P556" i="3"/>
  <c r="Q556" i="3"/>
  <c r="R556" i="3"/>
  <c r="S556" i="3"/>
  <c r="T556" i="3"/>
  <c r="U556" i="3"/>
  <c r="V556" i="3"/>
  <c r="W556" i="3"/>
  <c r="X556" i="3"/>
  <c r="O557" i="3"/>
  <c r="P557" i="3"/>
  <c r="Q557" i="3"/>
  <c r="R557" i="3"/>
  <c r="S557" i="3"/>
  <c r="T557" i="3"/>
  <c r="U557" i="3"/>
  <c r="V557" i="3"/>
  <c r="W557" i="3"/>
  <c r="X557" i="3"/>
  <c r="O558" i="3"/>
  <c r="P558" i="3"/>
  <c r="Q558" i="3"/>
  <c r="R558" i="3"/>
  <c r="S558" i="3"/>
  <c r="T558" i="3"/>
  <c r="U558" i="3"/>
  <c r="V558" i="3"/>
  <c r="W558" i="3"/>
  <c r="X558" i="3"/>
  <c r="O559" i="3"/>
  <c r="P559" i="3"/>
  <c r="Q559" i="3"/>
  <c r="R559" i="3"/>
  <c r="S559" i="3"/>
  <c r="T559" i="3"/>
  <c r="U559" i="3"/>
  <c r="V559" i="3"/>
  <c r="W559" i="3"/>
  <c r="X559" i="3"/>
  <c r="O560" i="3"/>
  <c r="P560" i="3"/>
  <c r="Q560" i="3"/>
  <c r="R560" i="3"/>
  <c r="S560" i="3"/>
  <c r="T560" i="3"/>
  <c r="U560" i="3"/>
  <c r="V560" i="3"/>
  <c r="W560" i="3"/>
  <c r="X560" i="3"/>
  <c r="O561" i="3"/>
  <c r="P561" i="3"/>
  <c r="Q561" i="3"/>
  <c r="R561" i="3"/>
  <c r="S561" i="3"/>
  <c r="T561" i="3"/>
  <c r="U561" i="3"/>
  <c r="V561" i="3"/>
  <c r="W561" i="3"/>
  <c r="X561" i="3"/>
  <c r="O562" i="3"/>
  <c r="P562" i="3"/>
  <c r="Q562" i="3"/>
  <c r="R562" i="3"/>
  <c r="S562" i="3"/>
  <c r="T562" i="3"/>
  <c r="U562" i="3"/>
  <c r="V562" i="3"/>
  <c r="W562" i="3"/>
  <c r="X562" i="3"/>
  <c r="O563" i="3"/>
  <c r="P563" i="3"/>
  <c r="Q563" i="3"/>
  <c r="R563" i="3"/>
  <c r="S563" i="3"/>
  <c r="T563" i="3"/>
  <c r="U563" i="3"/>
  <c r="V563" i="3"/>
  <c r="W563" i="3"/>
  <c r="X563" i="3"/>
  <c r="O564" i="3"/>
  <c r="P564" i="3"/>
  <c r="Q564" i="3"/>
  <c r="R564" i="3"/>
  <c r="S564" i="3"/>
  <c r="T564" i="3"/>
  <c r="U564" i="3"/>
  <c r="V564" i="3"/>
  <c r="W564" i="3"/>
  <c r="X564" i="3"/>
  <c r="O565" i="3"/>
  <c r="P565" i="3"/>
  <c r="Q565" i="3"/>
  <c r="R565" i="3"/>
  <c r="S565" i="3"/>
  <c r="T565" i="3"/>
  <c r="U565" i="3"/>
  <c r="V565" i="3"/>
  <c r="W565" i="3"/>
  <c r="X565" i="3"/>
  <c r="O566" i="3"/>
  <c r="P566" i="3"/>
  <c r="Q566" i="3"/>
  <c r="R566" i="3"/>
  <c r="S566" i="3"/>
  <c r="T566" i="3"/>
  <c r="U566" i="3"/>
  <c r="V566" i="3"/>
  <c r="W566" i="3"/>
  <c r="X566" i="3"/>
  <c r="O567" i="3"/>
  <c r="P567" i="3"/>
  <c r="Q567" i="3"/>
  <c r="R567" i="3"/>
  <c r="S567" i="3"/>
  <c r="T567" i="3"/>
  <c r="U567" i="3"/>
  <c r="V567" i="3"/>
  <c r="W567" i="3"/>
  <c r="X567" i="3"/>
  <c r="O568" i="3"/>
  <c r="P568" i="3"/>
  <c r="Q568" i="3"/>
  <c r="R568" i="3"/>
  <c r="S568" i="3"/>
  <c r="T568" i="3"/>
  <c r="U568" i="3"/>
  <c r="V568" i="3"/>
  <c r="W568" i="3"/>
  <c r="X568" i="3"/>
  <c r="O569" i="3"/>
  <c r="P569" i="3"/>
  <c r="Q569" i="3"/>
  <c r="R569" i="3"/>
  <c r="S569" i="3"/>
  <c r="T569" i="3"/>
  <c r="U569" i="3"/>
  <c r="V569" i="3"/>
  <c r="W569" i="3"/>
  <c r="X569" i="3"/>
  <c r="O570" i="3"/>
  <c r="P570" i="3"/>
  <c r="Q570" i="3"/>
  <c r="R570" i="3"/>
  <c r="S570" i="3"/>
  <c r="T570" i="3"/>
  <c r="U570" i="3"/>
  <c r="V570" i="3"/>
  <c r="W570" i="3"/>
  <c r="X570" i="3"/>
  <c r="O571" i="3"/>
  <c r="P571" i="3"/>
  <c r="Q571" i="3"/>
  <c r="R571" i="3"/>
  <c r="S571" i="3"/>
  <c r="T571" i="3"/>
  <c r="U571" i="3"/>
  <c r="V571" i="3"/>
  <c r="W571" i="3"/>
  <c r="X571" i="3"/>
  <c r="O572" i="3"/>
  <c r="P572" i="3"/>
  <c r="Q572" i="3"/>
  <c r="R572" i="3"/>
  <c r="S572" i="3"/>
  <c r="T572" i="3"/>
  <c r="U572" i="3"/>
  <c r="V572" i="3"/>
  <c r="W572" i="3"/>
  <c r="X572" i="3"/>
  <c r="O573" i="3"/>
  <c r="P573" i="3"/>
  <c r="Q573" i="3"/>
  <c r="R573" i="3"/>
  <c r="S573" i="3"/>
  <c r="T573" i="3"/>
  <c r="U573" i="3"/>
  <c r="V573" i="3"/>
  <c r="W573" i="3"/>
  <c r="X573" i="3"/>
  <c r="O574" i="3"/>
  <c r="P574" i="3"/>
  <c r="Q574" i="3"/>
  <c r="R574" i="3"/>
  <c r="S574" i="3"/>
  <c r="T574" i="3"/>
  <c r="U574" i="3"/>
  <c r="V574" i="3"/>
  <c r="W574" i="3"/>
  <c r="X574" i="3"/>
  <c r="O575" i="3"/>
  <c r="P575" i="3"/>
  <c r="Q575" i="3"/>
  <c r="R575" i="3"/>
  <c r="S575" i="3"/>
  <c r="T575" i="3"/>
  <c r="U575" i="3"/>
  <c r="V575" i="3"/>
  <c r="W575" i="3"/>
  <c r="X575" i="3"/>
  <c r="O576" i="3"/>
  <c r="P576" i="3"/>
  <c r="Q576" i="3"/>
  <c r="R576" i="3"/>
  <c r="S576" i="3"/>
  <c r="T576" i="3"/>
  <c r="U576" i="3"/>
  <c r="V576" i="3"/>
  <c r="W576" i="3"/>
  <c r="X576" i="3"/>
  <c r="O577" i="3"/>
  <c r="P577" i="3"/>
  <c r="Q577" i="3"/>
  <c r="R577" i="3"/>
  <c r="S577" i="3"/>
  <c r="T577" i="3"/>
  <c r="U577" i="3"/>
  <c r="V577" i="3"/>
  <c r="W577" i="3"/>
  <c r="X577" i="3"/>
  <c r="O578" i="3"/>
  <c r="P578" i="3"/>
  <c r="Q578" i="3"/>
  <c r="R578" i="3"/>
  <c r="S578" i="3"/>
  <c r="T578" i="3"/>
  <c r="U578" i="3"/>
  <c r="V578" i="3"/>
  <c r="W578" i="3"/>
  <c r="X578" i="3"/>
  <c r="O579" i="3"/>
  <c r="P579" i="3"/>
  <c r="Q579" i="3"/>
  <c r="R579" i="3"/>
  <c r="S579" i="3"/>
  <c r="T579" i="3"/>
  <c r="U579" i="3"/>
  <c r="V579" i="3"/>
  <c r="W579" i="3"/>
  <c r="X579" i="3"/>
  <c r="O580" i="3"/>
  <c r="P580" i="3"/>
  <c r="Q580" i="3"/>
  <c r="R580" i="3"/>
  <c r="S580" i="3"/>
  <c r="T580" i="3"/>
  <c r="U580" i="3"/>
  <c r="V580" i="3"/>
  <c r="W580" i="3"/>
  <c r="X580" i="3"/>
  <c r="O581" i="3"/>
  <c r="P581" i="3"/>
  <c r="Q581" i="3"/>
  <c r="R581" i="3"/>
  <c r="S581" i="3"/>
  <c r="T581" i="3"/>
  <c r="U581" i="3"/>
  <c r="V581" i="3"/>
  <c r="W581" i="3"/>
  <c r="X581" i="3"/>
  <c r="O582" i="3"/>
  <c r="P582" i="3"/>
  <c r="Q582" i="3"/>
  <c r="R582" i="3"/>
  <c r="S582" i="3"/>
  <c r="T582" i="3"/>
  <c r="U582" i="3"/>
  <c r="V582" i="3"/>
  <c r="W582" i="3"/>
  <c r="X582" i="3"/>
  <c r="O583" i="3"/>
  <c r="P583" i="3"/>
  <c r="Q583" i="3"/>
  <c r="R583" i="3"/>
  <c r="S583" i="3"/>
  <c r="T583" i="3"/>
  <c r="U583" i="3"/>
  <c r="V583" i="3"/>
  <c r="W583" i="3"/>
  <c r="X583" i="3"/>
  <c r="O584" i="3"/>
  <c r="P584" i="3"/>
  <c r="Q584" i="3"/>
  <c r="R584" i="3"/>
  <c r="S584" i="3"/>
  <c r="T584" i="3"/>
  <c r="U584" i="3"/>
  <c r="V584" i="3"/>
  <c r="W584" i="3"/>
  <c r="X584" i="3"/>
  <c r="O585" i="3"/>
  <c r="P585" i="3"/>
  <c r="Q585" i="3"/>
  <c r="R585" i="3"/>
  <c r="S585" i="3"/>
  <c r="T585" i="3"/>
  <c r="U585" i="3"/>
  <c r="V585" i="3"/>
  <c r="W585" i="3"/>
  <c r="X585" i="3"/>
  <c r="O586" i="3"/>
  <c r="P586" i="3"/>
  <c r="Q586" i="3"/>
  <c r="R586" i="3"/>
  <c r="S586" i="3"/>
  <c r="T586" i="3"/>
  <c r="U586" i="3"/>
  <c r="V586" i="3"/>
  <c r="W586" i="3"/>
  <c r="X586" i="3"/>
  <c r="O587" i="3"/>
  <c r="P587" i="3"/>
  <c r="Q587" i="3"/>
  <c r="R587" i="3"/>
  <c r="S587" i="3"/>
  <c r="T587" i="3"/>
  <c r="U587" i="3"/>
  <c r="V587" i="3"/>
  <c r="W587" i="3"/>
  <c r="X587" i="3"/>
  <c r="O588" i="3"/>
  <c r="P588" i="3"/>
  <c r="Q588" i="3"/>
  <c r="R588" i="3"/>
  <c r="S588" i="3"/>
  <c r="T588" i="3"/>
  <c r="U588" i="3"/>
  <c r="V588" i="3"/>
  <c r="W588" i="3"/>
  <c r="X588" i="3"/>
  <c r="O589" i="3"/>
  <c r="P589" i="3"/>
  <c r="Q589" i="3"/>
  <c r="R589" i="3"/>
  <c r="S589" i="3"/>
  <c r="T589" i="3"/>
  <c r="U589" i="3"/>
  <c r="V589" i="3"/>
  <c r="W589" i="3"/>
  <c r="X589" i="3"/>
  <c r="O590" i="3"/>
  <c r="P590" i="3"/>
  <c r="Q590" i="3"/>
  <c r="R590" i="3"/>
  <c r="S590" i="3"/>
  <c r="T590" i="3"/>
  <c r="U590" i="3"/>
  <c r="V590" i="3"/>
  <c r="W590" i="3"/>
  <c r="X590" i="3"/>
  <c r="O591" i="3"/>
  <c r="P591" i="3"/>
  <c r="Q591" i="3"/>
  <c r="R591" i="3"/>
  <c r="S591" i="3"/>
  <c r="T591" i="3"/>
  <c r="U591" i="3"/>
  <c r="V591" i="3"/>
  <c r="W591" i="3"/>
  <c r="X591" i="3"/>
  <c r="O592" i="3"/>
  <c r="P592" i="3"/>
  <c r="Q592" i="3"/>
  <c r="R592" i="3"/>
  <c r="S592" i="3"/>
  <c r="T592" i="3"/>
  <c r="U592" i="3"/>
  <c r="V592" i="3"/>
  <c r="W592" i="3"/>
  <c r="X592" i="3"/>
  <c r="O593" i="3"/>
  <c r="P593" i="3"/>
  <c r="Q593" i="3"/>
  <c r="R593" i="3"/>
  <c r="S593" i="3"/>
  <c r="T593" i="3"/>
  <c r="U593" i="3"/>
  <c r="V593" i="3"/>
  <c r="W593" i="3"/>
  <c r="X593" i="3"/>
  <c r="O594" i="3"/>
  <c r="P594" i="3"/>
  <c r="Q594" i="3"/>
  <c r="R594" i="3"/>
  <c r="S594" i="3"/>
  <c r="T594" i="3"/>
  <c r="U594" i="3"/>
  <c r="V594" i="3"/>
  <c r="W594" i="3"/>
  <c r="X594" i="3"/>
  <c r="O595" i="3"/>
  <c r="P595" i="3"/>
  <c r="Q595" i="3"/>
  <c r="R595" i="3"/>
  <c r="S595" i="3"/>
  <c r="T595" i="3"/>
  <c r="U595" i="3"/>
  <c r="V595" i="3"/>
  <c r="W595" i="3"/>
  <c r="X595" i="3"/>
  <c r="O596" i="3"/>
  <c r="P596" i="3"/>
  <c r="Q596" i="3"/>
  <c r="R596" i="3"/>
  <c r="S596" i="3"/>
  <c r="T596" i="3"/>
  <c r="U596" i="3"/>
  <c r="V596" i="3"/>
  <c r="W596" i="3"/>
  <c r="X596" i="3"/>
  <c r="O597" i="3"/>
  <c r="P597" i="3"/>
  <c r="Q597" i="3"/>
  <c r="R597" i="3"/>
  <c r="S597" i="3"/>
  <c r="T597" i="3"/>
  <c r="U597" i="3"/>
  <c r="V597" i="3"/>
  <c r="W597" i="3"/>
  <c r="X597" i="3"/>
  <c r="O598" i="3"/>
  <c r="P598" i="3"/>
  <c r="Q598" i="3"/>
  <c r="R598" i="3"/>
  <c r="S598" i="3"/>
  <c r="T598" i="3"/>
  <c r="U598" i="3"/>
  <c r="V598" i="3"/>
  <c r="W598" i="3"/>
  <c r="X598" i="3"/>
  <c r="O599" i="3"/>
  <c r="P599" i="3"/>
  <c r="Q599" i="3"/>
  <c r="R599" i="3"/>
  <c r="S599" i="3"/>
  <c r="T599" i="3"/>
  <c r="U599" i="3"/>
  <c r="V599" i="3"/>
  <c r="W599" i="3"/>
  <c r="X599" i="3"/>
  <c r="O600" i="3"/>
  <c r="P600" i="3"/>
  <c r="Q600" i="3"/>
  <c r="R600" i="3"/>
  <c r="S600" i="3"/>
  <c r="T600" i="3"/>
  <c r="U600" i="3"/>
  <c r="V600" i="3"/>
  <c r="W600" i="3"/>
  <c r="X600" i="3"/>
  <c r="O601" i="3"/>
  <c r="P601" i="3"/>
  <c r="Q601" i="3"/>
  <c r="R601" i="3"/>
  <c r="S601" i="3"/>
  <c r="T601" i="3"/>
  <c r="U601" i="3"/>
  <c r="V601" i="3"/>
  <c r="W601" i="3"/>
  <c r="X601" i="3"/>
  <c r="O602" i="3"/>
  <c r="P602" i="3"/>
  <c r="Q602" i="3"/>
  <c r="R602" i="3"/>
  <c r="S602" i="3"/>
  <c r="T602" i="3"/>
  <c r="U602" i="3"/>
  <c r="V602" i="3"/>
  <c r="W602" i="3"/>
  <c r="X602" i="3"/>
  <c r="O603" i="3"/>
  <c r="P603" i="3"/>
  <c r="Q603" i="3"/>
  <c r="R603" i="3"/>
  <c r="S603" i="3"/>
  <c r="T603" i="3"/>
  <c r="U603" i="3"/>
  <c r="V603" i="3"/>
  <c r="W603" i="3"/>
  <c r="X603" i="3"/>
  <c r="O604" i="3"/>
  <c r="P604" i="3"/>
  <c r="Q604" i="3"/>
  <c r="R604" i="3"/>
  <c r="S604" i="3"/>
  <c r="T604" i="3"/>
  <c r="U604" i="3"/>
  <c r="V604" i="3"/>
  <c r="W604" i="3"/>
  <c r="X604" i="3"/>
  <c r="AC535" i="5"/>
  <c r="AD535" i="5"/>
  <c r="AC536" i="5"/>
  <c r="AD536" i="5"/>
  <c r="AC537" i="5"/>
  <c r="AD537" i="5"/>
  <c r="AC538" i="5"/>
  <c r="AD538" i="5"/>
  <c r="AC539" i="5"/>
  <c r="AD539" i="5"/>
  <c r="AC540" i="5"/>
  <c r="AD540" i="5"/>
  <c r="AC541" i="5"/>
  <c r="AD541" i="5"/>
  <c r="AC542" i="5"/>
  <c r="AD542" i="5"/>
  <c r="AC543" i="5"/>
  <c r="AD543" i="5"/>
  <c r="AC544" i="5"/>
  <c r="AD544" i="5"/>
  <c r="AC545" i="5"/>
  <c r="AD545" i="5"/>
  <c r="AC546" i="5"/>
  <c r="AD546" i="5"/>
  <c r="AC547" i="5"/>
  <c r="AD547" i="5"/>
  <c r="AC548" i="5"/>
  <c r="AD548" i="5"/>
  <c r="AC549" i="5"/>
  <c r="AD549" i="5"/>
  <c r="AC550" i="5"/>
  <c r="AD550" i="5"/>
  <c r="AC551" i="5"/>
  <c r="AD551" i="5"/>
  <c r="AC552" i="5"/>
  <c r="AD552" i="5"/>
  <c r="AC553" i="5"/>
  <c r="AD553" i="5"/>
  <c r="AC554" i="5"/>
  <c r="AD554" i="5"/>
  <c r="AC555" i="5"/>
  <c r="AD555" i="5"/>
  <c r="AC556" i="5"/>
  <c r="AD556" i="5"/>
  <c r="AC557" i="5"/>
  <c r="AD557" i="5"/>
  <c r="AC558" i="5"/>
  <c r="AD558" i="5"/>
  <c r="AC559" i="5"/>
  <c r="AD559" i="5"/>
  <c r="AC560" i="5"/>
  <c r="AD560" i="5"/>
  <c r="AC561" i="5"/>
  <c r="AD561" i="5"/>
  <c r="AC562" i="5"/>
  <c r="AD562" i="5"/>
  <c r="AC563" i="5"/>
  <c r="AD563" i="5"/>
  <c r="AC564" i="5"/>
  <c r="AD564" i="5"/>
  <c r="AC565" i="5"/>
  <c r="AD565" i="5"/>
  <c r="AC566" i="5"/>
  <c r="AD566" i="5"/>
  <c r="AC567" i="5"/>
  <c r="AD567" i="5"/>
  <c r="AC568" i="5"/>
  <c r="AD568" i="5"/>
  <c r="AC569" i="5"/>
  <c r="AD569" i="5"/>
  <c r="AC570" i="5"/>
  <c r="AD570" i="5"/>
  <c r="AC571" i="5"/>
  <c r="AD571" i="5"/>
  <c r="AC572" i="5"/>
  <c r="AD572" i="5"/>
  <c r="AC573" i="5"/>
  <c r="AD573" i="5"/>
  <c r="AC574" i="5"/>
  <c r="AD574" i="5"/>
  <c r="AC575" i="5"/>
  <c r="AD575" i="5"/>
  <c r="AC576" i="5"/>
  <c r="AD576" i="5"/>
  <c r="AC577" i="5"/>
  <c r="AD577" i="5"/>
  <c r="AC578" i="5"/>
  <c r="AD578" i="5"/>
  <c r="AC579" i="5"/>
  <c r="AD579" i="5"/>
  <c r="AC580" i="5"/>
  <c r="AD580" i="5"/>
  <c r="AC581" i="5"/>
  <c r="AD581" i="5"/>
  <c r="AC582" i="5"/>
  <c r="AD582" i="5"/>
  <c r="AC583" i="5"/>
  <c r="AD583" i="5"/>
  <c r="AC584" i="5"/>
  <c r="AD584" i="5"/>
  <c r="AC585" i="5"/>
  <c r="AD585" i="5"/>
  <c r="AC586" i="5"/>
  <c r="AD586" i="5"/>
  <c r="AC587" i="5"/>
  <c r="AD587" i="5"/>
  <c r="AC588" i="5"/>
  <c r="AD588" i="5"/>
  <c r="AC589" i="5"/>
  <c r="AD589" i="5"/>
  <c r="AC590" i="5"/>
  <c r="AD590" i="5"/>
  <c r="AC591" i="5"/>
  <c r="AD591" i="5"/>
  <c r="AC592" i="5"/>
  <c r="AD592" i="5"/>
  <c r="AC593" i="5"/>
  <c r="AD593" i="5"/>
  <c r="AC594" i="5"/>
  <c r="AD594" i="5"/>
  <c r="AC595" i="5"/>
  <c r="AD595" i="5"/>
  <c r="AC596" i="5"/>
  <c r="AD596" i="5"/>
  <c r="AC597" i="5"/>
  <c r="AD597" i="5"/>
  <c r="AC598" i="5"/>
  <c r="AD598" i="5"/>
  <c r="AC599" i="5"/>
  <c r="AD599" i="5"/>
  <c r="AC600" i="5"/>
  <c r="AD600" i="5"/>
  <c r="AC601" i="5"/>
  <c r="AD601" i="5"/>
  <c r="AC602" i="5"/>
  <c r="AD602" i="5"/>
  <c r="AC603" i="5"/>
  <c r="AD603" i="5"/>
  <c r="AC604" i="5"/>
  <c r="AD604" i="5"/>
  <c r="O535" i="5"/>
  <c r="P535" i="5"/>
  <c r="Q535" i="5"/>
  <c r="R535" i="5"/>
  <c r="S535" i="5"/>
  <c r="T535" i="5"/>
  <c r="U535" i="5"/>
  <c r="V535" i="5"/>
  <c r="W535" i="5"/>
  <c r="X535" i="5"/>
  <c r="O536" i="5"/>
  <c r="P536" i="5"/>
  <c r="Q536" i="5"/>
  <c r="R536" i="5"/>
  <c r="S536" i="5"/>
  <c r="T536" i="5"/>
  <c r="U536" i="5"/>
  <c r="V536" i="5"/>
  <c r="W536" i="5"/>
  <c r="X536" i="5"/>
  <c r="O537" i="5"/>
  <c r="P537" i="5"/>
  <c r="Q537" i="5"/>
  <c r="R537" i="5"/>
  <c r="S537" i="5"/>
  <c r="T537" i="5"/>
  <c r="U537" i="5"/>
  <c r="V537" i="5"/>
  <c r="W537" i="5"/>
  <c r="X537" i="5"/>
  <c r="O538" i="5"/>
  <c r="P538" i="5"/>
  <c r="Q538" i="5"/>
  <c r="R538" i="5"/>
  <c r="S538" i="5"/>
  <c r="T538" i="5"/>
  <c r="U538" i="5"/>
  <c r="V538" i="5"/>
  <c r="W538" i="5"/>
  <c r="X538" i="5"/>
  <c r="O539" i="5"/>
  <c r="P539" i="5"/>
  <c r="Q539" i="5"/>
  <c r="R539" i="5"/>
  <c r="S539" i="5"/>
  <c r="T539" i="5"/>
  <c r="U539" i="5"/>
  <c r="V539" i="5"/>
  <c r="W539" i="5"/>
  <c r="X539" i="5"/>
  <c r="O540" i="5"/>
  <c r="P540" i="5"/>
  <c r="Q540" i="5"/>
  <c r="R540" i="5"/>
  <c r="S540" i="5"/>
  <c r="T540" i="5"/>
  <c r="U540" i="5"/>
  <c r="V540" i="5"/>
  <c r="W540" i="5"/>
  <c r="X540" i="5"/>
  <c r="O541" i="5"/>
  <c r="P541" i="5"/>
  <c r="Q541" i="5"/>
  <c r="R541" i="5"/>
  <c r="S541" i="5"/>
  <c r="T541" i="5"/>
  <c r="U541" i="5"/>
  <c r="V541" i="5"/>
  <c r="W541" i="5"/>
  <c r="X541" i="5"/>
  <c r="O542" i="5"/>
  <c r="P542" i="5"/>
  <c r="Q542" i="5"/>
  <c r="R542" i="5"/>
  <c r="S542" i="5"/>
  <c r="T542" i="5"/>
  <c r="U542" i="5"/>
  <c r="V542" i="5"/>
  <c r="W542" i="5"/>
  <c r="X542" i="5"/>
  <c r="O543" i="5"/>
  <c r="P543" i="5"/>
  <c r="Q543" i="5"/>
  <c r="R543" i="5"/>
  <c r="S543" i="5"/>
  <c r="T543" i="5"/>
  <c r="U543" i="5"/>
  <c r="V543" i="5"/>
  <c r="W543" i="5"/>
  <c r="X543" i="5"/>
  <c r="O544" i="5"/>
  <c r="P544" i="5"/>
  <c r="Q544" i="5"/>
  <c r="R544" i="5"/>
  <c r="S544" i="5"/>
  <c r="T544" i="5"/>
  <c r="U544" i="5"/>
  <c r="V544" i="5"/>
  <c r="W544" i="5"/>
  <c r="X544" i="5"/>
  <c r="O545" i="5"/>
  <c r="P545" i="5"/>
  <c r="Q545" i="5"/>
  <c r="R545" i="5"/>
  <c r="S545" i="5"/>
  <c r="T545" i="5"/>
  <c r="U545" i="5"/>
  <c r="V545" i="5"/>
  <c r="W545" i="5"/>
  <c r="X545" i="5"/>
  <c r="O546" i="5"/>
  <c r="P546" i="5"/>
  <c r="Q546" i="5"/>
  <c r="R546" i="5"/>
  <c r="S546" i="5"/>
  <c r="T546" i="5"/>
  <c r="U546" i="5"/>
  <c r="V546" i="5"/>
  <c r="W546" i="5"/>
  <c r="X546" i="5"/>
  <c r="O547" i="5"/>
  <c r="P547" i="5"/>
  <c r="Q547" i="5"/>
  <c r="R547" i="5"/>
  <c r="S547" i="5"/>
  <c r="T547" i="5"/>
  <c r="U547" i="5"/>
  <c r="V547" i="5"/>
  <c r="W547" i="5"/>
  <c r="X547" i="5"/>
  <c r="O548" i="5"/>
  <c r="P548" i="5"/>
  <c r="Q548" i="5"/>
  <c r="R548" i="5"/>
  <c r="S548" i="5"/>
  <c r="T548" i="5"/>
  <c r="U548" i="5"/>
  <c r="V548" i="5"/>
  <c r="W548" i="5"/>
  <c r="X548" i="5"/>
  <c r="O549" i="5"/>
  <c r="P549" i="5"/>
  <c r="Q549" i="5"/>
  <c r="R549" i="5"/>
  <c r="S549" i="5"/>
  <c r="T549" i="5"/>
  <c r="U549" i="5"/>
  <c r="V549" i="5"/>
  <c r="W549" i="5"/>
  <c r="X549" i="5"/>
  <c r="O550" i="5"/>
  <c r="P550" i="5"/>
  <c r="Q550" i="5"/>
  <c r="R550" i="5"/>
  <c r="S550" i="5"/>
  <c r="T550" i="5"/>
  <c r="U550" i="5"/>
  <c r="V550" i="5"/>
  <c r="W550" i="5"/>
  <c r="X550" i="5"/>
  <c r="O551" i="5"/>
  <c r="P551" i="5"/>
  <c r="Q551" i="5"/>
  <c r="R551" i="5"/>
  <c r="S551" i="5"/>
  <c r="T551" i="5"/>
  <c r="U551" i="5"/>
  <c r="V551" i="5"/>
  <c r="W551" i="5"/>
  <c r="X551" i="5"/>
  <c r="O552" i="5"/>
  <c r="P552" i="5"/>
  <c r="Q552" i="5"/>
  <c r="R552" i="5"/>
  <c r="S552" i="5"/>
  <c r="T552" i="5"/>
  <c r="U552" i="5"/>
  <c r="V552" i="5"/>
  <c r="W552" i="5"/>
  <c r="X552" i="5"/>
  <c r="O553" i="5"/>
  <c r="P553" i="5"/>
  <c r="Q553" i="5"/>
  <c r="R553" i="5"/>
  <c r="S553" i="5"/>
  <c r="T553" i="5"/>
  <c r="U553" i="5"/>
  <c r="V553" i="5"/>
  <c r="W553" i="5"/>
  <c r="X553" i="5"/>
  <c r="O554" i="5"/>
  <c r="P554" i="5"/>
  <c r="Q554" i="5"/>
  <c r="R554" i="5"/>
  <c r="S554" i="5"/>
  <c r="T554" i="5"/>
  <c r="U554" i="5"/>
  <c r="V554" i="5"/>
  <c r="W554" i="5"/>
  <c r="X554" i="5"/>
  <c r="O555" i="5"/>
  <c r="P555" i="5"/>
  <c r="Q555" i="5"/>
  <c r="R555" i="5"/>
  <c r="S555" i="5"/>
  <c r="T555" i="5"/>
  <c r="U555" i="5"/>
  <c r="V555" i="5"/>
  <c r="W555" i="5"/>
  <c r="X555" i="5"/>
  <c r="O556" i="5"/>
  <c r="P556" i="5"/>
  <c r="Q556" i="5"/>
  <c r="R556" i="5"/>
  <c r="S556" i="5"/>
  <c r="T556" i="5"/>
  <c r="U556" i="5"/>
  <c r="V556" i="5"/>
  <c r="W556" i="5"/>
  <c r="X556" i="5"/>
  <c r="O557" i="5"/>
  <c r="P557" i="5"/>
  <c r="Q557" i="5"/>
  <c r="R557" i="5"/>
  <c r="S557" i="5"/>
  <c r="T557" i="5"/>
  <c r="U557" i="5"/>
  <c r="V557" i="5"/>
  <c r="W557" i="5"/>
  <c r="X557" i="5"/>
  <c r="O558" i="5"/>
  <c r="P558" i="5"/>
  <c r="Q558" i="5"/>
  <c r="R558" i="5"/>
  <c r="S558" i="5"/>
  <c r="T558" i="5"/>
  <c r="U558" i="5"/>
  <c r="V558" i="5"/>
  <c r="W558" i="5"/>
  <c r="X558" i="5"/>
  <c r="O559" i="5"/>
  <c r="P559" i="5"/>
  <c r="Q559" i="5"/>
  <c r="R559" i="5"/>
  <c r="S559" i="5"/>
  <c r="T559" i="5"/>
  <c r="U559" i="5"/>
  <c r="V559" i="5"/>
  <c r="W559" i="5"/>
  <c r="X559" i="5"/>
  <c r="O560" i="5"/>
  <c r="P560" i="5"/>
  <c r="Q560" i="5"/>
  <c r="R560" i="5"/>
  <c r="S560" i="5"/>
  <c r="T560" i="5"/>
  <c r="U560" i="5"/>
  <c r="V560" i="5"/>
  <c r="W560" i="5"/>
  <c r="X560" i="5"/>
  <c r="O561" i="5"/>
  <c r="P561" i="5"/>
  <c r="Q561" i="5"/>
  <c r="R561" i="5"/>
  <c r="S561" i="5"/>
  <c r="T561" i="5"/>
  <c r="U561" i="5"/>
  <c r="V561" i="5"/>
  <c r="W561" i="5"/>
  <c r="X561" i="5"/>
  <c r="O562" i="5"/>
  <c r="P562" i="5"/>
  <c r="Q562" i="5"/>
  <c r="R562" i="5"/>
  <c r="S562" i="5"/>
  <c r="T562" i="5"/>
  <c r="U562" i="5"/>
  <c r="V562" i="5"/>
  <c r="W562" i="5"/>
  <c r="X562" i="5"/>
  <c r="O563" i="5"/>
  <c r="P563" i="5"/>
  <c r="Q563" i="5"/>
  <c r="R563" i="5"/>
  <c r="S563" i="5"/>
  <c r="T563" i="5"/>
  <c r="U563" i="5"/>
  <c r="V563" i="5"/>
  <c r="W563" i="5"/>
  <c r="X563" i="5"/>
  <c r="O564" i="5"/>
  <c r="P564" i="5"/>
  <c r="Q564" i="5"/>
  <c r="R564" i="5"/>
  <c r="S564" i="5"/>
  <c r="T564" i="5"/>
  <c r="U564" i="5"/>
  <c r="V564" i="5"/>
  <c r="W564" i="5"/>
  <c r="X564" i="5"/>
  <c r="O565" i="5"/>
  <c r="P565" i="5"/>
  <c r="Q565" i="5"/>
  <c r="R565" i="5"/>
  <c r="S565" i="5"/>
  <c r="T565" i="5"/>
  <c r="U565" i="5"/>
  <c r="V565" i="5"/>
  <c r="W565" i="5"/>
  <c r="X565" i="5"/>
  <c r="O566" i="5"/>
  <c r="P566" i="5"/>
  <c r="Q566" i="5"/>
  <c r="R566" i="5"/>
  <c r="S566" i="5"/>
  <c r="T566" i="5"/>
  <c r="U566" i="5"/>
  <c r="V566" i="5"/>
  <c r="W566" i="5"/>
  <c r="X566" i="5"/>
  <c r="O567" i="5"/>
  <c r="P567" i="5"/>
  <c r="Q567" i="5"/>
  <c r="R567" i="5"/>
  <c r="S567" i="5"/>
  <c r="T567" i="5"/>
  <c r="U567" i="5"/>
  <c r="V567" i="5"/>
  <c r="W567" i="5"/>
  <c r="X567" i="5"/>
  <c r="O568" i="5"/>
  <c r="P568" i="5"/>
  <c r="Q568" i="5"/>
  <c r="R568" i="5"/>
  <c r="S568" i="5"/>
  <c r="T568" i="5"/>
  <c r="U568" i="5"/>
  <c r="V568" i="5"/>
  <c r="W568" i="5"/>
  <c r="X568" i="5"/>
  <c r="O569" i="5"/>
  <c r="P569" i="5"/>
  <c r="Q569" i="5"/>
  <c r="R569" i="5"/>
  <c r="S569" i="5"/>
  <c r="T569" i="5"/>
  <c r="U569" i="5"/>
  <c r="V569" i="5"/>
  <c r="W569" i="5"/>
  <c r="X569" i="5"/>
  <c r="O570" i="5"/>
  <c r="P570" i="5"/>
  <c r="Q570" i="5"/>
  <c r="R570" i="5"/>
  <c r="S570" i="5"/>
  <c r="T570" i="5"/>
  <c r="U570" i="5"/>
  <c r="V570" i="5"/>
  <c r="W570" i="5"/>
  <c r="X570" i="5"/>
  <c r="O571" i="5"/>
  <c r="P571" i="5"/>
  <c r="Q571" i="5"/>
  <c r="R571" i="5"/>
  <c r="S571" i="5"/>
  <c r="T571" i="5"/>
  <c r="U571" i="5"/>
  <c r="V571" i="5"/>
  <c r="W571" i="5"/>
  <c r="X571" i="5"/>
  <c r="O572" i="5"/>
  <c r="P572" i="5"/>
  <c r="Q572" i="5"/>
  <c r="R572" i="5"/>
  <c r="S572" i="5"/>
  <c r="T572" i="5"/>
  <c r="U572" i="5"/>
  <c r="V572" i="5"/>
  <c r="W572" i="5"/>
  <c r="X572" i="5"/>
  <c r="O573" i="5"/>
  <c r="P573" i="5"/>
  <c r="Q573" i="5"/>
  <c r="R573" i="5"/>
  <c r="S573" i="5"/>
  <c r="T573" i="5"/>
  <c r="U573" i="5"/>
  <c r="V573" i="5"/>
  <c r="W573" i="5"/>
  <c r="X573" i="5"/>
  <c r="O574" i="5"/>
  <c r="P574" i="5"/>
  <c r="Q574" i="5"/>
  <c r="R574" i="5"/>
  <c r="S574" i="5"/>
  <c r="T574" i="5"/>
  <c r="U574" i="5"/>
  <c r="V574" i="5"/>
  <c r="W574" i="5"/>
  <c r="X574" i="5"/>
  <c r="O575" i="5"/>
  <c r="P575" i="5"/>
  <c r="Q575" i="5"/>
  <c r="R575" i="5"/>
  <c r="S575" i="5"/>
  <c r="T575" i="5"/>
  <c r="U575" i="5"/>
  <c r="V575" i="5"/>
  <c r="W575" i="5"/>
  <c r="X575" i="5"/>
  <c r="O576" i="5"/>
  <c r="P576" i="5"/>
  <c r="Q576" i="5"/>
  <c r="R576" i="5"/>
  <c r="S576" i="5"/>
  <c r="T576" i="5"/>
  <c r="U576" i="5"/>
  <c r="V576" i="5"/>
  <c r="W576" i="5"/>
  <c r="X576" i="5"/>
  <c r="O577" i="5"/>
  <c r="P577" i="5"/>
  <c r="Q577" i="5"/>
  <c r="R577" i="5"/>
  <c r="S577" i="5"/>
  <c r="T577" i="5"/>
  <c r="U577" i="5"/>
  <c r="V577" i="5"/>
  <c r="W577" i="5"/>
  <c r="X577" i="5"/>
  <c r="O578" i="5"/>
  <c r="P578" i="5"/>
  <c r="Q578" i="5"/>
  <c r="R578" i="5"/>
  <c r="S578" i="5"/>
  <c r="T578" i="5"/>
  <c r="U578" i="5"/>
  <c r="V578" i="5"/>
  <c r="W578" i="5"/>
  <c r="X578" i="5"/>
  <c r="O579" i="5"/>
  <c r="P579" i="5"/>
  <c r="Q579" i="5"/>
  <c r="R579" i="5"/>
  <c r="S579" i="5"/>
  <c r="T579" i="5"/>
  <c r="U579" i="5"/>
  <c r="V579" i="5"/>
  <c r="W579" i="5"/>
  <c r="X579" i="5"/>
  <c r="O580" i="5"/>
  <c r="P580" i="5"/>
  <c r="Q580" i="5"/>
  <c r="R580" i="5"/>
  <c r="S580" i="5"/>
  <c r="T580" i="5"/>
  <c r="U580" i="5"/>
  <c r="V580" i="5"/>
  <c r="W580" i="5"/>
  <c r="X580" i="5"/>
  <c r="O581" i="5"/>
  <c r="P581" i="5"/>
  <c r="Q581" i="5"/>
  <c r="R581" i="5"/>
  <c r="S581" i="5"/>
  <c r="T581" i="5"/>
  <c r="U581" i="5"/>
  <c r="V581" i="5"/>
  <c r="W581" i="5"/>
  <c r="X581" i="5"/>
  <c r="O582" i="5"/>
  <c r="P582" i="5"/>
  <c r="Q582" i="5"/>
  <c r="R582" i="5"/>
  <c r="S582" i="5"/>
  <c r="T582" i="5"/>
  <c r="U582" i="5"/>
  <c r="V582" i="5"/>
  <c r="W582" i="5"/>
  <c r="X582" i="5"/>
  <c r="O583" i="5"/>
  <c r="P583" i="5"/>
  <c r="Q583" i="5"/>
  <c r="R583" i="5"/>
  <c r="S583" i="5"/>
  <c r="T583" i="5"/>
  <c r="U583" i="5"/>
  <c r="V583" i="5"/>
  <c r="W583" i="5"/>
  <c r="X583" i="5"/>
  <c r="O584" i="5"/>
  <c r="P584" i="5"/>
  <c r="Q584" i="5"/>
  <c r="R584" i="5"/>
  <c r="S584" i="5"/>
  <c r="T584" i="5"/>
  <c r="U584" i="5"/>
  <c r="V584" i="5"/>
  <c r="W584" i="5"/>
  <c r="X584" i="5"/>
  <c r="O585" i="5"/>
  <c r="P585" i="5"/>
  <c r="Q585" i="5"/>
  <c r="R585" i="5"/>
  <c r="S585" i="5"/>
  <c r="T585" i="5"/>
  <c r="U585" i="5"/>
  <c r="V585" i="5"/>
  <c r="W585" i="5"/>
  <c r="X585" i="5"/>
  <c r="O586" i="5"/>
  <c r="P586" i="5"/>
  <c r="Q586" i="5"/>
  <c r="R586" i="5"/>
  <c r="S586" i="5"/>
  <c r="T586" i="5"/>
  <c r="U586" i="5"/>
  <c r="V586" i="5"/>
  <c r="W586" i="5"/>
  <c r="X586" i="5"/>
  <c r="O587" i="5"/>
  <c r="P587" i="5"/>
  <c r="Q587" i="5"/>
  <c r="R587" i="5"/>
  <c r="S587" i="5"/>
  <c r="T587" i="5"/>
  <c r="U587" i="5"/>
  <c r="V587" i="5"/>
  <c r="W587" i="5"/>
  <c r="X587" i="5"/>
  <c r="O588" i="5"/>
  <c r="P588" i="5"/>
  <c r="Q588" i="5"/>
  <c r="R588" i="5"/>
  <c r="S588" i="5"/>
  <c r="T588" i="5"/>
  <c r="U588" i="5"/>
  <c r="V588" i="5"/>
  <c r="W588" i="5"/>
  <c r="X588" i="5"/>
  <c r="O589" i="5"/>
  <c r="P589" i="5"/>
  <c r="Q589" i="5"/>
  <c r="R589" i="5"/>
  <c r="S589" i="5"/>
  <c r="T589" i="5"/>
  <c r="U589" i="5"/>
  <c r="V589" i="5"/>
  <c r="W589" i="5"/>
  <c r="X589" i="5"/>
  <c r="O590" i="5"/>
  <c r="P590" i="5"/>
  <c r="Q590" i="5"/>
  <c r="R590" i="5"/>
  <c r="S590" i="5"/>
  <c r="T590" i="5"/>
  <c r="U590" i="5"/>
  <c r="V590" i="5"/>
  <c r="W590" i="5"/>
  <c r="X590" i="5"/>
  <c r="O591" i="5"/>
  <c r="P591" i="5"/>
  <c r="Q591" i="5"/>
  <c r="R591" i="5"/>
  <c r="S591" i="5"/>
  <c r="T591" i="5"/>
  <c r="U591" i="5"/>
  <c r="V591" i="5"/>
  <c r="W591" i="5"/>
  <c r="X591" i="5"/>
  <c r="O592" i="5"/>
  <c r="P592" i="5"/>
  <c r="Q592" i="5"/>
  <c r="R592" i="5"/>
  <c r="S592" i="5"/>
  <c r="T592" i="5"/>
  <c r="U592" i="5"/>
  <c r="V592" i="5"/>
  <c r="W592" i="5"/>
  <c r="X592" i="5"/>
  <c r="O593" i="5"/>
  <c r="P593" i="5"/>
  <c r="Q593" i="5"/>
  <c r="R593" i="5"/>
  <c r="S593" i="5"/>
  <c r="T593" i="5"/>
  <c r="U593" i="5"/>
  <c r="V593" i="5"/>
  <c r="W593" i="5"/>
  <c r="X593" i="5"/>
  <c r="O594" i="5"/>
  <c r="P594" i="5"/>
  <c r="Q594" i="5"/>
  <c r="R594" i="5"/>
  <c r="S594" i="5"/>
  <c r="T594" i="5"/>
  <c r="U594" i="5"/>
  <c r="V594" i="5"/>
  <c r="W594" i="5"/>
  <c r="X594" i="5"/>
  <c r="O595" i="5"/>
  <c r="P595" i="5"/>
  <c r="Q595" i="5"/>
  <c r="R595" i="5"/>
  <c r="S595" i="5"/>
  <c r="T595" i="5"/>
  <c r="U595" i="5"/>
  <c r="V595" i="5"/>
  <c r="W595" i="5"/>
  <c r="X595" i="5"/>
  <c r="O596" i="5"/>
  <c r="P596" i="5"/>
  <c r="Q596" i="5"/>
  <c r="R596" i="5"/>
  <c r="S596" i="5"/>
  <c r="T596" i="5"/>
  <c r="U596" i="5"/>
  <c r="V596" i="5"/>
  <c r="W596" i="5"/>
  <c r="X596" i="5"/>
  <c r="O597" i="5"/>
  <c r="P597" i="5"/>
  <c r="Q597" i="5"/>
  <c r="R597" i="5"/>
  <c r="S597" i="5"/>
  <c r="T597" i="5"/>
  <c r="U597" i="5"/>
  <c r="V597" i="5"/>
  <c r="W597" i="5"/>
  <c r="X597" i="5"/>
  <c r="O598" i="5"/>
  <c r="P598" i="5"/>
  <c r="Q598" i="5"/>
  <c r="R598" i="5"/>
  <c r="S598" i="5"/>
  <c r="T598" i="5"/>
  <c r="U598" i="5"/>
  <c r="V598" i="5"/>
  <c r="W598" i="5"/>
  <c r="X598" i="5"/>
  <c r="O599" i="5"/>
  <c r="P599" i="5"/>
  <c r="Q599" i="5"/>
  <c r="R599" i="5"/>
  <c r="S599" i="5"/>
  <c r="T599" i="5"/>
  <c r="U599" i="5"/>
  <c r="V599" i="5"/>
  <c r="W599" i="5"/>
  <c r="X599" i="5"/>
  <c r="O600" i="5"/>
  <c r="P600" i="5"/>
  <c r="Q600" i="5"/>
  <c r="R600" i="5"/>
  <c r="S600" i="5"/>
  <c r="T600" i="5"/>
  <c r="U600" i="5"/>
  <c r="V600" i="5"/>
  <c r="W600" i="5"/>
  <c r="X600" i="5"/>
  <c r="O601" i="5"/>
  <c r="P601" i="5"/>
  <c r="Q601" i="5"/>
  <c r="R601" i="5"/>
  <c r="S601" i="5"/>
  <c r="T601" i="5"/>
  <c r="U601" i="5"/>
  <c r="V601" i="5"/>
  <c r="W601" i="5"/>
  <c r="X601" i="5"/>
  <c r="O602" i="5"/>
  <c r="P602" i="5"/>
  <c r="Q602" i="5"/>
  <c r="R602" i="5"/>
  <c r="S602" i="5"/>
  <c r="T602" i="5"/>
  <c r="U602" i="5"/>
  <c r="V602" i="5"/>
  <c r="W602" i="5"/>
  <c r="X602" i="5"/>
  <c r="O603" i="5"/>
  <c r="P603" i="5"/>
  <c r="Q603" i="5"/>
  <c r="R603" i="5"/>
  <c r="S603" i="5"/>
  <c r="T603" i="5"/>
  <c r="U603" i="5"/>
  <c r="V603" i="5"/>
  <c r="W603" i="5"/>
  <c r="X603" i="5"/>
  <c r="O604" i="5"/>
  <c r="P604" i="5"/>
  <c r="Q604" i="5"/>
  <c r="R604" i="5"/>
  <c r="S604" i="5"/>
  <c r="T604" i="5"/>
  <c r="U604" i="5"/>
  <c r="V604" i="5"/>
  <c r="W604" i="5"/>
  <c r="X604" i="5"/>
  <c r="AB540" i="5"/>
  <c r="AB541" i="5"/>
  <c r="AB542" i="5"/>
  <c r="AB543" i="5"/>
  <c r="AB544" i="5"/>
  <c r="AB545" i="5"/>
  <c r="AB546" i="5"/>
  <c r="AB547" i="5"/>
  <c r="AB548" i="5"/>
  <c r="AB549" i="5"/>
  <c r="AB550" i="5"/>
  <c r="AB551" i="5"/>
  <c r="AB552" i="5"/>
  <c r="AB553" i="5"/>
  <c r="AB554" i="5"/>
  <c r="AB555" i="5"/>
  <c r="AB556" i="5"/>
  <c r="AB557" i="5"/>
  <c r="AB558" i="5"/>
  <c r="AB559" i="5"/>
  <c r="AB560" i="5"/>
  <c r="AB561" i="5"/>
  <c r="AB562" i="5"/>
  <c r="AB563" i="5"/>
  <c r="AB564" i="5"/>
  <c r="AB565" i="5"/>
  <c r="AB566" i="5"/>
  <c r="AB567" i="5"/>
  <c r="AB568" i="5"/>
  <c r="AB569" i="5"/>
  <c r="AB570" i="5"/>
  <c r="AB571" i="5"/>
  <c r="AB572" i="5"/>
  <c r="AB573" i="5"/>
  <c r="AB574" i="5"/>
  <c r="AB575" i="5"/>
  <c r="AB576" i="5"/>
  <c r="AB577" i="5"/>
  <c r="AB578" i="5"/>
  <c r="AB579" i="5"/>
  <c r="AB580" i="5"/>
  <c r="AB581" i="5"/>
  <c r="AB582" i="5"/>
  <c r="AB583" i="5"/>
  <c r="AB584" i="5"/>
  <c r="AB585" i="5"/>
  <c r="AB586" i="5"/>
  <c r="AB587" i="5"/>
  <c r="AB588" i="5"/>
  <c r="AB589" i="5"/>
  <c r="AB590" i="5"/>
  <c r="AB591" i="5"/>
  <c r="AB592" i="5"/>
  <c r="AB593" i="5"/>
  <c r="AB594" i="5"/>
  <c r="AB595" i="5"/>
  <c r="AB596" i="5"/>
  <c r="AB597" i="5"/>
  <c r="AB598" i="5"/>
  <c r="AB599" i="5"/>
  <c r="AB600" i="5"/>
  <c r="AB601" i="5"/>
  <c r="AB602" i="5"/>
  <c r="AB603" i="5"/>
  <c r="AB604" i="5"/>
  <c r="AA535" i="3" l="1"/>
  <c r="AA536" i="3"/>
  <c r="AA537" i="3"/>
  <c r="AA538" i="3"/>
  <c r="AA539" i="3"/>
  <c r="O524" i="3" l="1"/>
  <c r="P524" i="3"/>
  <c r="Q524" i="3"/>
  <c r="R524" i="3"/>
  <c r="S524" i="3"/>
  <c r="T524" i="3"/>
  <c r="U524" i="3"/>
  <c r="V524" i="3"/>
  <c r="W524" i="3"/>
  <c r="X524" i="3"/>
  <c r="AA524" i="3"/>
  <c r="O525" i="3"/>
  <c r="P525" i="3"/>
  <c r="Q525" i="3"/>
  <c r="R525" i="3"/>
  <c r="S525" i="3"/>
  <c r="T525" i="3"/>
  <c r="U525" i="3"/>
  <c r="V525" i="3"/>
  <c r="W525" i="3"/>
  <c r="X525" i="3"/>
  <c r="AA525" i="3"/>
  <c r="O526" i="3"/>
  <c r="P526" i="3"/>
  <c r="Q526" i="3"/>
  <c r="R526" i="3"/>
  <c r="S526" i="3"/>
  <c r="T526" i="3"/>
  <c r="U526" i="3"/>
  <c r="V526" i="3"/>
  <c r="W526" i="3"/>
  <c r="X526" i="3"/>
  <c r="AA526" i="3"/>
  <c r="O527" i="3"/>
  <c r="P527" i="3"/>
  <c r="Q527" i="3"/>
  <c r="R527" i="3"/>
  <c r="S527" i="3"/>
  <c r="T527" i="3"/>
  <c r="U527" i="3"/>
  <c r="V527" i="3"/>
  <c r="W527" i="3"/>
  <c r="X527" i="3"/>
  <c r="AA527" i="3"/>
  <c r="O528" i="3"/>
  <c r="P528" i="3"/>
  <c r="Q528" i="3"/>
  <c r="R528" i="3"/>
  <c r="S528" i="3"/>
  <c r="T528" i="3"/>
  <c r="U528" i="3"/>
  <c r="V528" i="3"/>
  <c r="W528" i="3"/>
  <c r="X528" i="3"/>
  <c r="AA528" i="3"/>
  <c r="O529" i="3"/>
  <c r="P529" i="3"/>
  <c r="Q529" i="3"/>
  <c r="R529" i="3"/>
  <c r="S529" i="3"/>
  <c r="T529" i="3"/>
  <c r="U529" i="3"/>
  <c r="V529" i="3"/>
  <c r="W529" i="3"/>
  <c r="X529" i="3"/>
  <c r="AA529" i="3"/>
  <c r="O530" i="3"/>
  <c r="P530" i="3"/>
  <c r="Q530" i="3"/>
  <c r="R530" i="3"/>
  <c r="S530" i="3"/>
  <c r="T530" i="3"/>
  <c r="U530" i="3"/>
  <c r="V530" i="3"/>
  <c r="W530" i="3"/>
  <c r="X530" i="3"/>
  <c r="AA530" i="3"/>
  <c r="O531" i="3"/>
  <c r="P531" i="3"/>
  <c r="Q531" i="3"/>
  <c r="R531" i="3"/>
  <c r="S531" i="3"/>
  <c r="T531" i="3"/>
  <c r="U531" i="3"/>
  <c r="V531" i="3"/>
  <c r="W531" i="3"/>
  <c r="X531" i="3"/>
  <c r="AA531" i="3"/>
  <c r="O532" i="3"/>
  <c r="P532" i="3"/>
  <c r="Q532" i="3"/>
  <c r="R532" i="3"/>
  <c r="S532" i="3"/>
  <c r="T532" i="3"/>
  <c r="U532" i="3"/>
  <c r="V532" i="3"/>
  <c r="W532" i="3"/>
  <c r="X532" i="3"/>
  <c r="AA532" i="3"/>
  <c r="O533" i="3"/>
  <c r="P533" i="3"/>
  <c r="Q533" i="3"/>
  <c r="R533" i="3"/>
  <c r="S533" i="3"/>
  <c r="T533" i="3"/>
  <c r="U533" i="3"/>
  <c r="V533" i="3"/>
  <c r="W533" i="3"/>
  <c r="X533" i="3"/>
  <c r="AA533" i="3"/>
  <c r="O534" i="3"/>
  <c r="P534" i="3"/>
  <c r="Q534" i="3"/>
  <c r="R534" i="3"/>
  <c r="S534" i="3"/>
  <c r="T534" i="3"/>
  <c r="U534" i="3"/>
  <c r="V534" i="3"/>
  <c r="W534" i="3"/>
  <c r="X534" i="3"/>
  <c r="AA534" i="3"/>
  <c r="AB535" i="5"/>
  <c r="AB536" i="5"/>
  <c r="AB537" i="5"/>
  <c r="AB538" i="5"/>
  <c r="AB539" i="5"/>
  <c r="O524" i="5"/>
  <c r="P524" i="5"/>
  <c r="Q524" i="5"/>
  <c r="R524" i="5"/>
  <c r="S524" i="5"/>
  <c r="T524" i="5"/>
  <c r="U524" i="5"/>
  <c r="V524" i="5"/>
  <c r="W524" i="5"/>
  <c r="AC524" i="5" s="1"/>
  <c r="X524" i="5"/>
  <c r="AB524" i="5"/>
  <c r="AD524" i="5"/>
  <c r="O525" i="5"/>
  <c r="P525" i="5"/>
  <c r="Q525" i="5"/>
  <c r="R525" i="5"/>
  <c r="S525" i="5"/>
  <c r="T525" i="5"/>
  <c r="U525" i="5"/>
  <c r="V525" i="5"/>
  <c r="AC525" i="5" s="1"/>
  <c r="W525" i="5"/>
  <c r="X525" i="5"/>
  <c r="AB525" i="5"/>
  <c r="O526" i="5"/>
  <c r="P526" i="5"/>
  <c r="Q526" i="5"/>
  <c r="R526" i="5"/>
  <c r="S526" i="5"/>
  <c r="T526" i="5"/>
  <c r="U526" i="5"/>
  <c r="V526" i="5"/>
  <c r="W526" i="5"/>
  <c r="X526" i="5"/>
  <c r="AD526" i="5" s="1"/>
  <c r="AB526" i="5"/>
  <c r="O527" i="5"/>
  <c r="P527" i="5"/>
  <c r="Q527" i="5"/>
  <c r="R527" i="5"/>
  <c r="S527" i="5"/>
  <c r="T527" i="5"/>
  <c r="U527" i="5"/>
  <c r="AC527" i="5" s="1"/>
  <c r="V527" i="5"/>
  <c r="W527" i="5"/>
  <c r="X527" i="5"/>
  <c r="AB527" i="5"/>
  <c r="O528" i="5"/>
  <c r="P528" i="5"/>
  <c r="Q528" i="5"/>
  <c r="R528" i="5"/>
  <c r="S528" i="5"/>
  <c r="T528" i="5"/>
  <c r="U528" i="5"/>
  <c r="V528" i="5"/>
  <c r="W528" i="5"/>
  <c r="X528" i="5"/>
  <c r="AB528" i="5"/>
  <c r="AD528" i="5"/>
  <c r="O529" i="5"/>
  <c r="P529" i="5"/>
  <c r="Q529" i="5"/>
  <c r="R529" i="5"/>
  <c r="S529" i="5"/>
  <c r="T529" i="5"/>
  <c r="U529" i="5"/>
  <c r="V529" i="5"/>
  <c r="W529" i="5"/>
  <c r="AC529" i="5" s="1"/>
  <c r="X529" i="5"/>
  <c r="AB529" i="5"/>
  <c r="O530" i="5"/>
  <c r="P530" i="5"/>
  <c r="Q530" i="5"/>
  <c r="R530" i="5"/>
  <c r="S530" i="5"/>
  <c r="T530" i="5"/>
  <c r="U530" i="5"/>
  <c r="V530" i="5"/>
  <c r="W530" i="5"/>
  <c r="X530" i="5"/>
  <c r="AB530" i="5"/>
  <c r="O531" i="5"/>
  <c r="P531" i="5"/>
  <c r="Q531" i="5"/>
  <c r="R531" i="5"/>
  <c r="S531" i="5"/>
  <c r="T531" i="5"/>
  <c r="U531" i="5"/>
  <c r="V531" i="5"/>
  <c r="W531" i="5"/>
  <c r="X531" i="5"/>
  <c r="AB531" i="5"/>
  <c r="O532" i="5"/>
  <c r="P532" i="5"/>
  <c r="Q532" i="5"/>
  <c r="R532" i="5"/>
  <c r="S532" i="5"/>
  <c r="T532" i="5"/>
  <c r="U532" i="5"/>
  <c r="V532" i="5"/>
  <c r="W532" i="5"/>
  <c r="X532" i="5"/>
  <c r="AB532" i="5"/>
  <c r="O533" i="5"/>
  <c r="P533" i="5"/>
  <c r="Q533" i="5"/>
  <c r="R533" i="5"/>
  <c r="S533" i="5"/>
  <c r="T533" i="5"/>
  <c r="U533" i="5"/>
  <c r="V533" i="5"/>
  <c r="W533" i="5"/>
  <c r="AC533" i="5" s="1"/>
  <c r="X533" i="5"/>
  <c r="AB533" i="5"/>
  <c r="O534" i="5"/>
  <c r="P534" i="5"/>
  <c r="Q534" i="5"/>
  <c r="R534" i="5"/>
  <c r="S534" i="5"/>
  <c r="T534" i="5"/>
  <c r="U534" i="5"/>
  <c r="V534" i="5"/>
  <c r="W534" i="5"/>
  <c r="X534" i="5"/>
  <c r="AB534" i="5"/>
  <c r="AD532" i="5" l="1"/>
  <c r="AC531" i="5"/>
  <c r="AD529" i="5"/>
  <c r="AC530" i="5"/>
  <c r="AD527" i="5"/>
  <c r="AD525" i="5"/>
  <c r="AC534" i="5"/>
  <c r="AC532" i="5"/>
  <c r="AD533" i="5"/>
  <c r="AC528" i="5"/>
  <c r="AC526" i="5"/>
  <c r="AD531" i="5"/>
  <c r="AD534" i="5"/>
  <c r="AD530" i="5"/>
  <c r="AD518" i="5"/>
  <c r="AD522" i="5"/>
  <c r="O518" i="5"/>
  <c r="P518" i="5"/>
  <c r="Q518" i="5"/>
  <c r="R518" i="5"/>
  <c r="S518" i="5"/>
  <c r="T518" i="5"/>
  <c r="U518" i="5"/>
  <c r="AC518" i="5" s="1"/>
  <c r="V518" i="5"/>
  <c r="W518" i="5"/>
  <c r="X518" i="5"/>
  <c r="O519" i="5"/>
  <c r="P519" i="5"/>
  <c r="Q519" i="5"/>
  <c r="R519" i="5"/>
  <c r="S519" i="5"/>
  <c r="T519" i="5"/>
  <c r="U519" i="5"/>
  <c r="AC519" i="5" s="1"/>
  <c r="V519" i="5"/>
  <c r="W519" i="5"/>
  <c r="X519" i="5"/>
  <c r="O520" i="5"/>
  <c r="P520" i="5"/>
  <c r="Q520" i="5"/>
  <c r="R520" i="5"/>
  <c r="S520" i="5"/>
  <c r="T520" i="5"/>
  <c r="U520" i="5"/>
  <c r="AC520" i="5" s="1"/>
  <c r="V520" i="5"/>
  <c r="W520" i="5"/>
  <c r="X520" i="5"/>
  <c r="O521" i="5"/>
  <c r="P521" i="5"/>
  <c r="Q521" i="5"/>
  <c r="R521" i="5"/>
  <c r="S521" i="5"/>
  <c r="T521" i="5"/>
  <c r="U521" i="5"/>
  <c r="AC521" i="5" s="1"/>
  <c r="V521" i="5"/>
  <c r="W521" i="5"/>
  <c r="X521" i="5"/>
  <c r="O522" i="5"/>
  <c r="P522" i="5"/>
  <c r="Q522" i="5"/>
  <c r="R522" i="5"/>
  <c r="S522" i="5"/>
  <c r="T522" i="5"/>
  <c r="U522" i="5"/>
  <c r="AC522" i="5" s="1"/>
  <c r="V522" i="5"/>
  <c r="W522" i="5"/>
  <c r="X522" i="5"/>
  <c r="O523" i="5"/>
  <c r="P523" i="5"/>
  <c r="Q523" i="5"/>
  <c r="R523" i="5"/>
  <c r="S523" i="5"/>
  <c r="T523" i="5"/>
  <c r="U523" i="5"/>
  <c r="AC523" i="5" s="1"/>
  <c r="V523" i="5"/>
  <c r="W523" i="5"/>
  <c r="X523" i="5"/>
  <c r="O518" i="3"/>
  <c r="P518" i="3"/>
  <c r="Q518" i="3"/>
  <c r="R518" i="3"/>
  <c r="S518" i="3"/>
  <c r="T518" i="3"/>
  <c r="U518" i="3"/>
  <c r="V518" i="3"/>
  <c r="W518" i="3"/>
  <c r="X518" i="3"/>
  <c r="O519" i="3"/>
  <c r="P519" i="3"/>
  <c r="Q519" i="3"/>
  <c r="R519" i="3"/>
  <c r="S519" i="3"/>
  <c r="T519" i="3"/>
  <c r="U519" i="3"/>
  <c r="V519" i="3"/>
  <c r="W519" i="3"/>
  <c r="X519" i="3"/>
  <c r="O520" i="3"/>
  <c r="P520" i="3"/>
  <c r="Q520" i="3"/>
  <c r="R520" i="3"/>
  <c r="S520" i="3"/>
  <c r="T520" i="3"/>
  <c r="U520" i="3"/>
  <c r="V520" i="3"/>
  <c r="W520" i="3"/>
  <c r="X520" i="3"/>
  <c r="O521" i="3"/>
  <c r="P521" i="3"/>
  <c r="Q521" i="3"/>
  <c r="R521" i="3"/>
  <c r="S521" i="3"/>
  <c r="T521" i="3"/>
  <c r="U521" i="3"/>
  <c r="V521" i="3"/>
  <c r="W521" i="3"/>
  <c r="X521" i="3"/>
  <c r="O522" i="3"/>
  <c r="P522" i="3"/>
  <c r="Q522" i="3"/>
  <c r="R522" i="3"/>
  <c r="S522" i="3"/>
  <c r="T522" i="3"/>
  <c r="U522" i="3"/>
  <c r="V522" i="3"/>
  <c r="W522" i="3"/>
  <c r="X522" i="3"/>
  <c r="O523" i="3"/>
  <c r="P523" i="3"/>
  <c r="Q523" i="3"/>
  <c r="R523" i="3"/>
  <c r="S523" i="3"/>
  <c r="T523" i="3"/>
  <c r="U523" i="3"/>
  <c r="V523" i="3"/>
  <c r="W523" i="3"/>
  <c r="X523" i="3"/>
  <c r="AB498" i="5"/>
  <c r="AB499" i="5"/>
  <c r="AB500" i="5"/>
  <c r="AB501" i="5"/>
  <c r="AB502" i="5"/>
  <c r="AB503" i="5"/>
  <c r="AB504" i="5"/>
  <c r="AB505" i="5"/>
  <c r="AB506" i="5"/>
  <c r="AB507" i="5"/>
  <c r="AB508" i="5"/>
  <c r="AB509" i="5"/>
  <c r="AB510" i="5"/>
  <c r="AB511" i="5"/>
  <c r="AB512" i="5"/>
  <c r="AB513" i="5"/>
  <c r="AB514" i="5"/>
  <c r="AB515" i="5"/>
  <c r="AB516" i="5"/>
  <c r="AB517" i="5"/>
  <c r="AB518" i="5"/>
  <c r="AB519" i="5"/>
  <c r="AB520" i="5"/>
  <c r="AB521" i="5"/>
  <c r="AB522" i="5"/>
  <c r="AB523" i="5"/>
  <c r="O431" i="5"/>
  <c r="P431" i="5"/>
  <c r="Q431" i="5"/>
  <c r="R431" i="5"/>
  <c r="S431" i="5"/>
  <c r="T431" i="5"/>
  <c r="U431" i="5"/>
  <c r="AC431" i="5" s="1"/>
  <c r="V431" i="5"/>
  <c r="W431" i="5"/>
  <c r="X431" i="5"/>
  <c r="O432" i="5"/>
  <c r="P432" i="5"/>
  <c r="Q432" i="5"/>
  <c r="R432" i="5"/>
  <c r="S432" i="5"/>
  <c r="T432" i="5"/>
  <c r="U432" i="5"/>
  <c r="AC432" i="5" s="1"/>
  <c r="V432" i="5"/>
  <c r="W432" i="5"/>
  <c r="X432" i="5"/>
  <c r="O433" i="5"/>
  <c r="P433" i="5"/>
  <c r="Q433" i="5"/>
  <c r="R433" i="5"/>
  <c r="S433" i="5"/>
  <c r="T433" i="5"/>
  <c r="U433" i="5"/>
  <c r="AC433" i="5" s="1"/>
  <c r="V433" i="5"/>
  <c r="W433" i="5"/>
  <c r="X433" i="5"/>
  <c r="AD433" i="5" s="1"/>
  <c r="O434" i="5"/>
  <c r="P434" i="5"/>
  <c r="Q434" i="5"/>
  <c r="R434" i="5"/>
  <c r="S434" i="5"/>
  <c r="T434" i="5"/>
  <c r="U434" i="5"/>
  <c r="AC434" i="5" s="1"/>
  <c r="V434" i="5"/>
  <c r="W434" i="5"/>
  <c r="X434" i="5"/>
  <c r="O435" i="5"/>
  <c r="P435" i="5"/>
  <c r="Q435" i="5"/>
  <c r="R435" i="5"/>
  <c r="S435" i="5"/>
  <c r="T435" i="5"/>
  <c r="U435" i="5"/>
  <c r="AC435" i="5" s="1"/>
  <c r="V435" i="5"/>
  <c r="W435" i="5"/>
  <c r="X435" i="5"/>
  <c r="O436" i="5"/>
  <c r="P436" i="5"/>
  <c r="Q436" i="5"/>
  <c r="R436" i="5"/>
  <c r="S436" i="5"/>
  <c r="T436" i="5"/>
  <c r="U436" i="5"/>
  <c r="AC436" i="5" s="1"/>
  <c r="V436" i="5"/>
  <c r="W436" i="5"/>
  <c r="X436" i="5"/>
  <c r="O437" i="5"/>
  <c r="P437" i="5"/>
  <c r="Q437" i="5"/>
  <c r="R437" i="5"/>
  <c r="S437" i="5"/>
  <c r="T437" i="5"/>
  <c r="U437" i="5"/>
  <c r="AC437" i="5" s="1"/>
  <c r="V437" i="5"/>
  <c r="W437" i="5"/>
  <c r="X437" i="5"/>
  <c r="AD437" i="5" s="1"/>
  <c r="O438" i="5"/>
  <c r="P438" i="5"/>
  <c r="Q438" i="5"/>
  <c r="R438" i="5"/>
  <c r="S438" i="5"/>
  <c r="T438" i="5"/>
  <c r="U438" i="5"/>
  <c r="AC438" i="5" s="1"/>
  <c r="V438" i="5"/>
  <c r="W438" i="5"/>
  <c r="X438" i="5"/>
  <c r="O439" i="5"/>
  <c r="P439" i="5"/>
  <c r="Q439" i="5"/>
  <c r="R439" i="5"/>
  <c r="S439" i="5"/>
  <c r="T439" i="5"/>
  <c r="U439" i="5"/>
  <c r="AC439" i="5" s="1"/>
  <c r="V439" i="5"/>
  <c r="W439" i="5"/>
  <c r="X439" i="5"/>
  <c r="O440" i="5"/>
  <c r="P440" i="5"/>
  <c r="Q440" i="5"/>
  <c r="R440" i="5"/>
  <c r="S440" i="5"/>
  <c r="T440" i="5"/>
  <c r="U440" i="5"/>
  <c r="AC440" i="5" s="1"/>
  <c r="V440" i="5"/>
  <c r="W440" i="5"/>
  <c r="X440" i="5"/>
  <c r="O441" i="5"/>
  <c r="P441" i="5"/>
  <c r="Q441" i="5"/>
  <c r="R441" i="5"/>
  <c r="S441" i="5"/>
  <c r="T441" i="5"/>
  <c r="U441" i="5"/>
  <c r="AC441" i="5" s="1"/>
  <c r="V441" i="5"/>
  <c r="W441" i="5"/>
  <c r="X441" i="5"/>
  <c r="AD441" i="5" s="1"/>
  <c r="O442" i="5"/>
  <c r="P442" i="5"/>
  <c r="Q442" i="5"/>
  <c r="R442" i="5"/>
  <c r="S442" i="5"/>
  <c r="T442" i="5"/>
  <c r="U442" i="5"/>
  <c r="AC442" i="5" s="1"/>
  <c r="V442" i="5"/>
  <c r="W442" i="5"/>
  <c r="X442" i="5"/>
  <c r="O443" i="5"/>
  <c r="P443" i="5"/>
  <c r="Q443" i="5"/>
  <c r="R443" i="5"/>
  <c r="S443" i="5"/>
  <c r="T443" i="5"/>
  <c r="U443" i="5"/>
  <c r="AC443" i="5" s="1"/>
  <c r="V443" i="5"/>
  <c r="W443" i="5"/>
  <c r="X443" i="5"/>
  <c r="O444" i="5"/>
  <c r="P444" i="5"/>
  <c r="Q444" i="5"/>
  <c r="R444" i="5"/>
  <c r="S444" i="5"/>
  <c r="T444" i="5"/>
  <c r="U444" i="5"/>
  <c r="AC444" i="5" s="1"/>
  <c r="V444" i="5"/>
  <c r="W444" i="5"/>
  <c r="X444" i="5"/>
  <c r="O445" i="5"/>
  <c r="P445" i="5"/>
  <c r="Q445" i="5"/>
  <c r="R445" i="5"/>
  <c r="S445" i="5"/>
  <c r="T445" i="5"/>
  <c r="U445" i="5"/>
  <c r="AC445" i="5" s="1"/>
  <c r="V445" i="5"/>
  <c r="W445" i="5"/>
  <c r="X445" i="5"/>
  <c r="AD445" i="5" s="1"/>
  <c r="O446" i="5"/>
  <c r="P446" i="5"/>
  <c r="Q446" i="5"/>
  <c r="R446" i="5"/>
  <c r="S446" i="5"/>
  <c r="T446" i="5"/>
  <c r="U446" i="5"/>
  <c r="AC446" i="5" s="1"/>
  <c r="V446" i="5"/>
  <c r="W446" i="5"/>
  <c r="X446" i="5"/>
  <c r="O447" i="5"/>
  <c r="P447" i="5"/>
  <c r="Q447" i="5"/>
  <c r="R447" i="5"/>
  <c r="S447" i="5"/>
  <c r="T447" i="5"/>
  <c r="U447" i="5"/>
  <c r="AC447" i="5" s="1"/>
  <c r="V447" i="5"/>
  <c r="W447" i="5"/>
  <c r="X447" i="5"/>
  <c r="O448" i="5"/>
  <c r="P448" i="5"/>
  <c r="Q448" i="5"/>
  <c r="R448" i="5"/>
  <c r="S448" i="5"/>
  <c r="T448" i="5"/>
  <c r="U448" i="5"/>
  <c r="AC448" i="5" s="1"/>
  <c r="V448" i="5"/>
  <c r="W448" i="5"/>
  <c r="X448" i="5"/>
  <c r="O449" i="5"/>
  <c r="P449" i="5"/>
  <c r="Q449" i="5"/>
  <c r="R449" i="5"/>
  <c r="S449" i="5"/>
  <c r="T449" i="5"/>
  <c r="U449" i="5"/>
  <c r="AC449" i="5" s="1"/>
  <c r="V449" i="5"/>
  <c r="W449" i="5"/>
  <c r="X449" i="5"/>
  <c r="AD449" i="5" s="1"/>
  <c r="O450" i="5"/>
  <c r="P450" i="5"/>
  <c r="Q450" i="5"/>
  <c r="R450" i="5"/>
  <c r="S450" i="5"/>
  <c r="T450" i="5"/>
  <c r="U450" i="5"/>
  <c r="AC450" i="5" s="1"/>
  <c r="V450" i="5"/>
  <c r="W450" i="5"/>
  <c r="X450" i="5"/>
  <c r="O451" i="5"/>
  <c r="P451" i="5"/>
  <c r="Q451" i="5"/>
  <c r="R451" i="5"/>
  <c r="S451" i="5"/>
  <c r="T451" i="5"/>
  <c r="U451" i="5"/>
  <c r="AC451" i="5" s="1"/>
  <c r="V451" i="5"/>
  <c r="W451" i="5"/>
  <c r="X451" i="5"/>
  <c r="O452" i="5"/>
  <c r="P452" i="5"/>
  <c r="Q452" i="5"/>
  <c r="R452" i="5"/>
  <c r="S452" i="5"/>
  <c r="T452" i="5"/>
  <c r="U452" i="5"/>
  <c r="AC452" i="5" s="1"/>
  <c r="V452" i="5"/>
  <c r="W452" i="5"/>
  <c r="X452" i="5"/>
  <c r="O453" i="5"/>
  <c r="P453" i="5"/>
  <c r="Q453" i="5"/>
  <c r="R453" i="5"/>
  <c r="S453" i="5"/>
  <c r="T453" i="5"/>
  <c r="U453" i="5"/>
  <c r="AC453" i="5" s="1"/>
  <c r="V453" i="5"/>
  <c r="W453" i="5"/>
  <c r="X453" i="5"/>
  <c r="AD453" i="5" s="1"/>
  <c r="O454" i="5"/>
  <c r="P454" i="5"/>
  <c r="Q454" i="5"/>
  <c r="R454" i="5"/>
  <c r="S454" i="5"/>
  <c r="T454" i="5"/>
  <c r="U454" i="5"/>
  <c r="AC454" i="5" s="1"/>
  <c r="V454" i="5"/>
  <c r="W454" i="5"/>
  <c r="X454" i="5"/>
  <c r="O455" i="5"/>
  <c r="P455" i="5"/>
  <c r="Q455" i="5"/>
  <c r="R455" i="5"/>
  <c r="S455" i="5"/>
  <c r="T455" i="5"/>
  <c r="U455" i="5"/>
  <c r="AC455" i="5" s="1"/>
  <c r="V455" i="5"/>
  <c r="W455" i="5"/>
  <c r="X455" i="5"/>
  <c r="O456" i="5"/>
  <c r="P456" i="5"/>
  <c r="Q456" i="5"/>
  <c r="R456" i="5"/>
  <c r="S456" i="5"/>
  <c r="T456" i="5"/>
  <c r="U456" i="5"/>
  <c r="AC456" i="5" s="1"/>
  <c r="V456" i="5"/>
  <c r="W456" i="5"/>
  <c r="X456" i="5"/>
  <c r="O457" i="5"/>
  <c r="P457" i="5"/>
  <c r="Q457" i="5"/>
  <c r="R457" i="5"/>
  <c r="S457" i="5"/>
  <c r="T457" i="5"/>
  <c r="U457" i="5"/>
  <c r="AC457" i="5" s="1"/>
  <c r="V457" i="5"/>
  <c r="W457" i="5"/>
  <c r="X457" i="5"/>
  <c r="AD457" i="5" s="1"/>
  <c r="O458" i="5"/>
  <c r="P458" i="5"/>
  <c r="Q458" i="5"/>
  <c r="R458" i="5"/>
  <c r="S458" i="5"/>
  <c r="T458" i="5"/>
  <c r="U458" i="5"/>
  <c r="AC458" i="5" s="1"/>
  <c r="V458" i="5"/>
  <c r="W458" i="5"/>
  <c r="X458" i="5"/>
  <c r="O459" i="5"/>
  <c r="P459" i="5"/>
  <c r="Q459" i="5"/>
  <c r="R459" i="5"/>
  <c r="S459" i="5"/>
  <c r="T459" i="5"/>
  <c r="U459" i="5"/>
  <c r="AC459" i="5" s="1"/>
  <c r="V459" i="5"/>
  <c r="W459" i="5"/>
  <c r="X459" i="5"/>
  <c r="O460" i="5"/>
  <c r="P460" i="5"/>
  <c r="Q460" i="5"/>
  <c r="R460" i="5"/>
  <c r="S460" i="5"/>
  <c r="T460" i="5"/>
  <c r="U460" i="5"/>
  <c r="AC460" i="5" s="1"/>
  <c r="V460" i="5"/>
  <c r="W460" i="5"/>
  <c r="X460" i="5"/>
  <c r="O461" i="5"/>
  <c r="P461" i="5"/>
  <c r="Q461" i="5"/>
  <c r="R461" i="5"/>
  <c r="S461" i="5"/>
  <c r="T461" i="5"/>
  <c r="U461" i="5"/>
  <c r="AC461" i="5" s="1"/>
  <c r="V461" i="5"/>
  <c r="W461" i="5"/>
  <c r="X461" i="5"/>
  <c r="AD461" i="5" s="1"/>
  <c r="O462" i="5"/>
  <c r="P462" i="5"/>
  <c r="Q462" i="5"/>
  <c r="R462" i="5"/>
  <c r="S462" i="5"/>
  <c r="T462" i="5"/>
  <c r="U462" i="5"/>
  <c r="AC462" i="5" s="1"/>
  <c r="V462" i="5"/>
  <c r="W462" i="5"/>
  <c r="X462" i="5"/>
  <c r="O463" i="5"/>
  <c r="P463" i="5"/>
  <c r="Q463" i="5"/>
  <c r="R463" i="5"/>
  <c r="S463" i="5"/>
  <c r="T463" i="5"/>
  <c r="U463" i="5"/>
  <c r="AC463" i="5" s="1"/>
  <c r="V463" i="5"/>
  <c r="W463" i="5"/>
  <c r="X463" i="5"/>
  <c r="O464" i="5"/>
  <c r="P464" i="5"/>
  <c r="Q464" i="5"/>
  <c r="R464" i="5"/>
  <c r="S464" i="5"/>
  <c r="T464" i="5"/>
  <c r="U464" i="5"/>
  <c r="AC464" i="5" s="1"/>
  <c r="V464" i="5"/>
  <c r="W464" i="5"/>
  <c r="X464" i="5"/>
  <c r="O465" i="5"/>
  <c r="P465" i="5"/>
  <c r="Q465" i="5"/>
  <c r="R465" i="5"/>
  <c r="S465" i="5"/>
  <c r="T465" i="5"/>
  <c r="U465" i="5"/>
  <c r="AC465" i="5" s="1"/>
  <c r="V465" i="5"/>
  <c r="W465" i="5"/>
  <c r="X465" i="5"/>
  <c r="AD465" i="5" s="1"/>
  <c r="O466" i="5"/>
  <c r="P466" i="5"/>
  <c r="Q466" i="5"/>
  <c r="R466" i="5"/>
  <c r="S466" i="5"/>
  <c r="T466" i="5"/>
  <c r="U466" i="5"/>
  <c r="AC466" i="5" s="1"/>
  <c r="V466" i="5"/>
  <c r="W466" i="5"/>
  <c r="X466" i="5"/>
  <c r="O467" i="5"/>
  <c r="P467" i="5"/>
  <c r="Q467" i="5"/>
  <c r="R467" i="5"/>
  <c r="S467" i="5"/>
  <c r="T467" i="5"/>
  <c r="U467" i="5"/>
  <c r="AC467" i="5" s="1"/>
  <c r="V467" i="5"/>
  <c r="W467" i="5"/>
  <c r="X467" i="5"/>
  <c r="O468" i="5"/>
  <c r="P468" i="5"/>
  <c r="Q468" i="5"/>
  <c r="R468" i="5"/>
  <c r="S468" i="5"/>
  <c r="T468" i="5"/>
  <c r="U468" i="5"/>
  <c r="AC468" i="5" s="1"/>
  <c r="V468" i="5"/>
  <c r="W468" i="5"/>
  <c r="X468" i="5"/>
  <c r="O469" i="5"/>
  <c r="P469" i="5"/>
  <c r="Q469" i="5"/>
  <c r="R469" i="5"/>
  <c r="S469" i="5"/>
  <c r="T469" i="5"/>
  <c r="U469" i="5"/>
  <c r="AC469" i="5" s="1"/>
  <c r="V469" i="5"/>
  <c r="W469" i="5"/>
  <c r="X469" i="5"/>
  <c r="AD469" i="5" s="1"/>
  <c r="O470" i="5"/>
  <c r="P470" i="5"/>
  <c r="Q470" i="5"/>
  <c r="R470" i="5"/>
  <c r="S470" i="5"/>
  <c r="T470" i="5"/>
  <c r="U470" i="5"/>
  <c r="AC470" i="5" s="1"/>
  <c r="V470" i="5"/>
  <c r="W470" i="5"/>
  <c r="X470" i="5"/>
  <c r="O471" i="5"/>
  <c r="P471" i="5"/>
  <c r="Q471" i="5"/>
  <c r="R471" i="5"/>
  <c r="S471" i="5"/>
  <c r="T471" i="5"/>
  <c r="U471" i="5"/>
  <c r="AC471" i="5" s="1"/>
  <c r="V471" i="5"/>
  <c r="W471" i="5"/>
  <c r="X471" i="5"/>
  <c r="O472" i="5"/>
  <c r="P472" i="5"/>
  <c r="Q472" i="5"/>
  <c r="R472" i="5"/>
  <c r="S472" i="5"/>
  <c r="T472" i="5"/>
  <c r="U472" i="5"/>
  <c r="AC472" i="5" s="1"/>
  <c r="V472" i="5"/>
  <c r="W472" i="5"/>
  <c r="X472" i="5"/>
  <c r="O473" i="5"/>
  <c r="P473" i="5"/>
  <c r="Q473" i="5"/>
  <c r="R473" i="5"/>
  <c r="S473" i="5"/>
  <c r="T473" i="5"/>
  <c r="U473" i="5"/>
  <c r="AC473" i="5" s="1"/>
  <c r="V473" i="5"/>
  <c r="W473" i="5"/>
  <c r="X473" i="5"/>
  <c r="AD473" i="5" s="1"/>
  <c r="O474" i="5"/>
  <c r="P474" i="5"/>
  <c r="Q474" i="5"/>
  <c r="R474" i="5"/>
  <c r="S474" i="5"/>
  <c r="T474" i="5"/>
  <c r="U474" i="5"/>
  <c r="AC474" i="5" s="1"/>
  <c r="V474" i="5"/>
  <c r="W474" i="5"/>
  <c r="X474" i="5"/>
  <c r="O475" i="5"/>
  <c r="P475" i="5"/>
  <c r="Q475" i="5"/>
  <c r="R475" i="5"/>
  <c r="S475" i="5"/>
  <c r="T475" i="5"/>
  <c r="U475" i="5"/>
  <c r="AC475" i="5" s="1"/>
  <c r="V475" i="5"/>
  <c r="W475" i="5"/>
  <c r="X475" i="5"/>
  <c r="O476" i="5"/>
  <c r="P476" i="5"/>
  <c r="Q476" i="5"/>
  <c r="R476" i="5"/>
  <c r="S476" i="5"/>
  <c r="T476" i="5"/>
  <c r="U476" i="5"/>
  <c r="AC476" i="5" s="1"/>
  <c r="V476" i="5"/>
  <c r="W476" i="5"/>
  <c r="X476" i="5"/>
  <c r="O477" i="5"/>
  <c r="P477" i="5"/>
  <c r="Q477" i="5"/>
  <c r="R477" i="5"/>
  <c r="S477" i="5"/>
  <c r="T477" i="5"/>
  <c r="U477" i="5"/>
  <c r="AC477" i="5" s="1"/>
  <c r="V477" i="5"/>
  <c r="W477" i="5"/>
  <c r="X477" i="5"/>
  <c r="AD477" i="5" s="1"/>
  <c r="O478" i="5"/>
  <c r="P478" i="5"/>
  <c r="Q478" i="5"/>
  <c r="R478" i="5"/>
  <c r="S478" i="5"/>
  <c r="T478" i="5"/>
  <c r="U478" i="5"/>
  <c r="AC478" i="5" s="1"/>
  <c r="V478" i="5"/>
  <c r="W478" i="5"/>
  <c r="X478" i="5"/>
  <c r="O479" i="5"/>
  <c r="P479" i="5"/>
  <c r="Q479" i="5"/>
  <c r="R479" i="5"/>
  <c r="S479" i="5"/>
  <c r="T479" i="5"/>
  <c r="U479" i="5"/>
  <c r="AC479" i="5" s="1"/>
  <c r="V479" i="5"/>
  <c r="W479" i="5"/>
  <c r="X479" i="5"/>
  <c r="O480" i="5"/>
  <c r="P480" i="5"/>
  <c r="Q480" i="5"/>
  <c r="R480" i="5"/>
  <c r="S480" i="5"/>
  <c r="T480" i="5"/>
  <c r="U480" i="5"/>
  <c r="AC480" i="5" s="1"/>
  <c r="V480" i="5"/>
  <c r="W480" i="5"/>
  <c r="X480" i="5"/>
  <c r="O481" i="5"/>
  <c r="P481" i="5"/>
  <c r="Q481" i="5"/>
  <c r="R481" i="5"/>
  <c r="S481" i="5"/>
  <c r="T481" i="5"/>
  <c r="U481" i="5"/>
  <c r="AC481" i="5" s="1"/>
  <c r="V481" i="5"/>
  <c r="W481" i="5"/>
  <c r="X481" i="5"/>
  <c r="AD481" i="5" s="1"/>
  <c r="O482" i="5"/>
  <c r="P482" i="5"/>
  <c r="Q482" i="5"/>
  <c r="R482" i="5"/>
  <c r="S482" i="5"/>
  <c r="T482" i="5"/>
  <c r="U482" i="5"/>
  <c r="AC482" i="5" s="1"/>
  <c r="V482" i="5"/>
  <c r="W482" i="5"/>
  <c r="X482" i="5"/>
  <c r="O483" i="5"/>
  <c r="P483" i="5"/>
  <c r="Q483" i="5"/>
  <c r="R483" i="5"/>
  <c r="S483" i="5"/>
  <c r="T483" i="5"/>
  <c r="U483" i="5"/>
  <c r="AC483" i="5" s="1"/>
  <c r="V483" i="5"/>
  <c r="W483" i="5"/>
  <c r="X483" i="5"/>
  <c r="O484" i="5"/>
  <c r="P484" i="5"/>
  <c r="Q484" i="5"/>
  <c r="R484" i="5"/>
  <c r="S484" i="5"/>
  <c r="T484" i="5"/>
  <c r="U484" i="5"/>
  <c r="AC484" i="5" s="1"/>
  <c r="V484" i="5"/>
  <c r="W484" i="5"/>
  <c r="X484" i="5"/>
  <c r="O485" i="5"/>
  <c r="P485" i="5"/>
  <c r="Q485" i="5"/>
  <c r="R485" i="5"/>
  <c r="S485" i="5"/>
  <c r="T485" i="5"/>
  <c r="U485" i="5"/>
  <c r="AC485" i="5" s="1"/>
  <c r="V485" i="5"/>
  <c r="W485" i="5"/>
  <c r="X485" i="5"/>
  <c r="AD485" i="5" s="1"/>
  <c r="O486" i="5"/>
  <c r="P486" i="5"/>
  <c r="Q486" i="5"/>
  <c r="R486" i="5"/>
  <c r="S486" i="5"/>
  <c r="T486" i="5"/>
  <c r="U486" i="5"/>
  <c r="AC486" i="5" s="1"/>
  <c r="V486" i="5"/>
  <c r="W486" i="5"/>
  <c r="X486" i="5"/>
  <c r="O487" i="5"/>
  <c r="P487" i="5"/>
  <c r="Q487" i="5"/>
  <c r="R487" i="5"/>
  <c r="S487" i="5"/>
  <c r="T487" i="5"/>
  <c r="U487" i="5"/>
  <c r="AC487" i="5" s="1"/>
  <c r="V487" i="5"/>
  <c r="W487" i="5"/>
  <c r="X487" i="5"/>
  <c r="O488" i="5"/>
  <c r="P488" i="5"/>
  <c r="Q488" i="5"/>
  <c r="R488" i="5"/>
  <c r="S488" i="5"/>
  <c r="T488" i="5"/>
  <c r="U488" i="5"/>
  <c r="AC488" i="5" s="1"/>
  <c r="V488" i="5"/>
  <c r="W488" i="5"/>
  <c r="X488" i="5"/>
  <c r="O489" i="5"/>
  <c r="P489" i="5"/>
  <c r="Q489" i="5"/>
  <c r="R489" i="5"/>
  <c r="S489" i="5"/>
  <c r="T489" i="5"/>
  <c r="U489" i="5"/>
  <c r="AC489" i="5" s="1"/>
  <c r="V489" i="5"/>
  <c r="W489" i="5"/>
  <c r="X489" i="5"/>
  <c r="AD489" i="5" s="1"/>
  <c r="O490" i="5"/>
  <c r="P490" i="5"/>
  <c r="Q490" i="5"/>
  <c r="R490" i="5"/>
  <c r="S490" i="5"/>
  <c r="T490" i="5"/>
  <c r="U490" i="5"/>
  <c r="AC490" i="5" s="1"/>
  <c r="V490" i="5"/>
  <c r="W490" i="5"/>
  <c r="X490" i="5"/>
  <c r="O491" i="5"/>
  <c r="P491" i="5"/>
  <c r="Q491" i="5"/>
  <c r="R491" i="5"/>
  <c r="S491" i="5"/>
  <c r="T491" i="5"/>
  <c r="U491" i="5"/>
  <c r="AC491" i="5" s="1"/>
  <c r="V491" i="5"/>
  <c r="W491" i="5"/>
  <c r="X491" i="5"/>
  <c r="O492" i="5"/>
  <c r="P492" i="5"/>
  <c r="Q492" i="5"/>
  <c r="R492" i="5"/>
  <c r="S492" i="5"/>
  <c r="T492" i="5"/>
  <c r="U492" i="5"/>
  <c r="AC492" i="5" s="1"/>
  <c r="V492" i="5"/>
  <c r="W492" i="5"/>
  <c r="X492" i="5"/>
  <c r="O493" i="5"/>
  <c r="P493" i="5"/>
  <c r="Q493" i="5"/>
  <c r="R493" i="5"/>
  <c r="S493" i="5"/>
  <c r="T493" i="5"/>
  <c r="U493" i="5"/>
  <c r="AC493" i="5" s="1"/>
  <c r="V493" i="5"/>
  <c r="W493" i="5"/>
  <c r="X493" i="5"/>
  <c r="AD493" i="5" s="1"/>
  <c r="O494" i="5"/>
  <c r="P494" i="5"/>
  <c r="Q494" i="5"/>
  <c r="R494" i="5"/>
  <c r="S494" i="5"/>
  <c r="T494" i="5"/>
  <c r="U494" i="5"/>
  <c r="AC494" i="5" s="1"/>
  <c r="V494" i="5"/>
  <c r="W494" i="5"/>
  <c r="X494" i="5"/>
  <c r="O495" i="5"/>
  <c r="P495" i="5"/>
  <c r="Q495" i="5"/>
  <c r="R495" i="5"/>
  <c r="S495" i="5"/>
  <c r="T495" i="5"/>
  <c r="U495" i="5"/>
  <c r="AC495" i="5" s="1"/>
  <c r="V495" i="5"/>
  <c r="W495" i="5"/>
  <c r="X495" i="5"/>
  <c r="O496" i="5"/>
  <c r="P496" i="5"/>
  <c r="Q496" i="5"/>
  <c r="R496" i="5"/>
  <c r="S496" i="5"/>
  <c r="T496" i="5"/>
  <c r="U496" i="5"/>
  <c r="AC496" i="5" s="1"/>
  <c r="V496" i="5"/>
  <c r="W496" i="5"/>
  <c r="X496" i="5"/>
  <c r="O497" i="5"/>
  <c r="P497" i="5"/>
  <c r="Q497" i="5"/>
  <c r="R497" i="5"/>
  <c r="S497" i="5"/>
  <c r="T497" i="5"/>
  <c r="U497" i="5"/>
  <c r="AC497" i="5" s="1"/>
  <c r="V497" i="5"/>
  <c r="W497" i="5"/>
  <c r="X497" i="5"/>
  <c r="AD497" i="5" s="1"/>
  <c r="O498" i="5"/>
  <c r="P498" i="5"/>
  <c r="Q498" i="5"/>
  <c r="R498" i="5"/>
  <c r="S498" i="5"/>
  <c r="T498" i="5"/>
  <c r="U498" i="5"/>
  <c r="AC498" i="5" s="1"/>
  <c r="V498" i="5"/>
  <c r="W498" i="5"/>
  <c r="X498" i="5"/>
  <c r="O499" i="5"/>
  <c r="P499" i="5"/>
  <c r="Q499" i="5"/>
  <c r="R499" i="5"/>
  <c r="S499" i="5"/>
  <c r="T499" i="5"/>
  <c r="U499" i="5"/>
  <c r="AC499" i="5" s="1"/>
  <c r="V499" i="5"/>
  <c r="W499" i="5"/>
  <c r="X499" i="5"/>
  <c r="O500" i="5"/>
  <c r="P500" i="5"/>
  <c r="Q500" i="5"/>
  <c r="R500" i="5"/>
  <c r="S500" i="5"/>
  <c r="T500" i="5"/>
  <c r="U500" i="5"/>
  <c r="AC500" i="5" s="1"/>
  <c r="V500" i="5"/>
  <c r="W500" i="5"/>
  <c r="X500" i="5"/>
  <c r="O501" i="5"/>
  <c r="P501" i="5"/>
  <c r="Q501" i="5"/>
  <c r="R501" i="5"/>
  <c r="S501" i="5"/>
  <c r="T501" i="5"/>
  <c r="U501" i="5"/>
  <c r="AC501" i="5" s="1"/>
  <c r="V501" i="5"/>
  <c r="W501" i="5"/>
  <c r="X501" i="5"/>
  <c r="AD501" i="5" s="1"/>
  <c r="O502" i="5"/>
  <c r="P502" i="5"/>
  <c r="Q502" i="5"/>
  <c r="R502" i="5"/>
  <c r="S502" i="5"/>
  <c r="T502" i="5"/>
  <c r="U502" i="5"/>
  <c r="AC502" i="5" s="1"/>
  <c r="V502" i="5"/>
  <c r="W502" i="5"/>
  <c r="X502" i="5"/>
  <c r="O503" i="5"/>
  <c r="P503" i="5"/>
  <c r="Q503" i="5"/>
  <c r="R503" i="5"/>
  <c r="S503" i="5"/>
  <c r="T503" i="5"/>
  <c r="U503" i="5"/>
  <c r="AC503" i="5" s="1"/>
  <c r="V503" i="5"/>
  <c r="W503" i="5"/>
  <c r="X503" i="5"/>
  <c r="O504" i="5"/>
  <c r="P504" i="5"/>
  <c r="Q504" i="5"/>
  <c r="R504" i="5"/>
  <c r="S504" i="5"/>
  <c r="T504" i="5"/>
  <c r="U504" i="5"/>
  <c r="AC504" i="5" s="1"/>
  <c r="V504" i="5"/>
  <c r="W504" i="5"/>
  <c r="X504" i="5"/>
  <c r="O505" i="5"/>
  <c r="P505" i="5"/>
  <c r="Q505" i="5"/>
  <c r="R505" i="5"/>
  <c r="S505" i="5"/>
  <c r="T505" i="5"/>
  <c r="U505" i="5"/>
  <c r="AC505" i="5" s="1"/>
  <c r="V505" i="5"/>
  <c r="W505" i="5"/>
  <c r="X505" i="5"/>
  <c r="AD505" i="5" s="1"/>
  <c r="O506" i="5"/>
  <c r="P506" i="5"/>
  <c r="Q506" i="5"/>
  <c r="R506" i="5"/>
  <c r="S506" i="5"/>
  <c r="T506" i="5"/>
  <c r="U506" i="5"/>
  <c r="AC506" i="5" s="1"/>
  <c r="V506" i="5"/>
  <c r="W506" i="5"/>
  <c r="X506" i="5"/>
  <c r="O507" i="5"/>
  <c r="P507" i="5"/>
  <c r="Q507" i="5"/>
  <c r="R507" i="5"/>
  <c r="S507" i="5"/>
  <c r="T507" i="5"/>
  <c r="U507" i="5"/>
  <c r="AC507" i="5" s="1"/>
  <c r="V507" i="5"/>
  <c r="W507" i="5"/>
  <c r="X507" i="5"/>
  <c r="O508" i="5"/>
  <c r="P508" i="5"/>
  <c r="Q508" i="5"/>
  <c r="R508" i="5"/>
  <c r="S508" i="5"/>
  <c r="T508" i="5"/>
  <c r="U508" i="5"/>
  <c r="AC508" i="5" s="1"/>
  <c r="V508" i="5"/>
  <c r="W508" i="5"/>
  <c r="X508" i="5"/>
  <c r="O509" i="5"/>
  <c r="P509" i="5"/>
  <c r="Q509" i="5"/>
  <c r="R509" i="5"/>
  <c r="S509" i="5"/>
  <c r="T509" i="5"/>
  <c r="U509" i="5"/>
  <c r="AC509" i="5" s="1"/>
  <c r="V509" i="5"/>
  <c r="W509" i="5"/>
  <c r="X509" i="5"/>
  <c r="AD509" i="5" s="1"/>
  <c r="O510" i="5"/>
  <c r="P510" i="5"/>
  <c r="Q510" i="5"/>
  <c r="R510" i="5"/>
  <c r="S510" i="5"/>
  <c r="T510" i="5"/>
  <c r="U510" i="5"/>
  <c r="AC510" i="5" s="1"/>
  <c r="V510" i="5"/>
  <c r="W510" i="5"/>
  <c r="X510" i="5"/>
  <c r="O511" i="5"/>
  <c r="P511" i="5"/>
  <c r="Q511" i="5"/>
  <c r="R511" i="5"/>
  <c r="S511" i="5"/>
  <c r="T511" i="5"/>
  <c r="U511" i="5"/>
  <c r="AC511" i="5" s="1"/>
  <c r="V511" i="5"/>
  <c r="W511" i="5"/>
  <c r="X511" i="5"/>
  <c r="O512" i="5"/>
  <c r="P512" i="5"/>
  <c r="Q512" i="5"/>
  <c r="R512" i="5"/>
  <c r="S512" i="5"/>
  <c r="T512" i="5"/>
  <c r="U512" i="5"/>
  <c r="AC512" i="5" s="1"/>
  <c r="V512" i="5"/>
  <c r="W512" i="5"/>
  <c r="X512" i="5"/>
  <c r="O513" i="5"/>
  <c r="P513" i="5"/>
  <c r="Q513" i="5"/>
  <c r="R513" i="5"/>
  <c r="S513" i="5"/>
  <c r="T513" i="5"/>
  <c r="U513" i="5"/>
  <c r="AC513" i="5" s="1"/>
  <c r="V513" i="5"/>
  <c r="W513" i="5"/>
  <c r="X513" i="5"/>
  <c r="AD513" i="5" s="1"/>
  <c r="O514" i="5"/>
  <c r="P514" i="5"/>
  <c r="Q514" i="5"/>
  <c r="R514" i="5"/>
  <c r="S514" i="5"/>
  <c r="T514" i="5"/>
  <c r="U514" i="5"/>
  <c r="AC514" i="5" s="1"/>
  <c r="V514" i="5"/>
  <c r="W514" i="5"/>
  <c r="X514" i="5"/>
  <c r="O515" i="5"/>
  <c r="P515" i="5"/>
  <c r="Q515" i="5"/>
  <c r="R515" i="5"/>
  <c r="S515" i="5"/>
  <c r="T515" i="5"/>
  <c r="U515" i="5"/>
  <c r="AC515" i="5" s="1"/>
  <c r="V515" i="5"/>
  <c r="W515" i="5"/>
  <c r="X515" i="5"/>
  <c r="O516" i="5"/>
  <c r="P516" i="5"/>
  <c r="Q516" i="5"/>
  <c r="R516" i="5"/>
  <c r="S516" i="5"/>
  <c r="T516" i="5"/>
  <c r="U516" i="5"/>
  <c r="AC516" i="5" s="1"/>
  <c r="V516" i="5"/>
  <c r="W516" i="5"/>
  <c r="X516" i="5"/>
  <c r="O517" i="5"/>
  <c r="P517" i="5"/>
  <c r="Q517" i="5"/>
  <c r="R517" i="5"/>
  <c r="S517" i="5"/>
  <c r="T517" i="5"/>
  <c r="U517" i="5"/>
  <c r="AC517" i="5" s="1"/>
  <c r="V517" i="5"/>
  <c r="W517" i="5"/>
  <c r="X517" i="5"/>
  <c r="AD517" i="5" s="1"/>
  <c r="O431" i="3"/>
  <c r="P431" i="3"/>
  <c r="Q431" i="3"/>
  <c r="R431" i="3"/>
  <c r="S431" i="3"/>
  <c r="T431" i="3"/>
  <c r="U431" i="3"/>
  <c r="V431" i="3"/>
  <c r="W431" i="3"/>
  <c r="X431" i="3"/>
  <c r="O432" i="3"/>
  <c r="P432" i="3"/>
  <c r="Q432" i="3"/>
  <c r="R432" i="3"/>
  <c r="S432" i="3"/>
  <c r="T432" i="3"/>
  <c r="U432" i="3"/>
  <c r="V432" i="3"/>
  <c r="W432" i="3"/>
  <c r="X432" i="3"/>
  <c r="O433" i="3"/>
  <c r="P433" i="3"/>
  <c r="Q433" i="3"/>
  <c r="R433" i="3"/>
  <c r="S433" i="3"/>
  <c r="T433" i="3"/>
  <c r="U433" i="3"/>
  <c r="V433" i="3"/>
  <c r="W433" i="3"/>
  <c r="X433" i="3"/>
  <c r="O434" i="3"/>
  <c r="P434" i="3"/>
  <c r="Q434" i="3"/>
  <c r="R434" i="3"/>
  <c r="S434" i="3"/>
  <c r="T434" i="3"/>
  <c r="U434" i="3"/>
  <c r="V434" i="3"/>
  <c r="W434" i="3"/>
  <c r="X434" i="3"/>
  <c r="O435" i="3"/>
  <c r="P435" i="3"/>
  <c r="Q435" i="3"/>
  <c r="R435" i="3"/>
  <c r="S435" i="3"/>
  <c r="T435" i="3"/>
  <c r="U435" i="3"/>
  <c r="V435" i="3"/>
  <c r="W435" i="3"/>
  <c r="X435" i="3"/>
  <c r="O436" i="3"/>
  <c r="P436" i="3"/>
  <c r="Q436" i="3"/>
  <c r="R436" i="3"/>
  <c r="S436" i="3"/>
  <c r="T436" i="3"/>
  <c r="U436" i="3"/>
  <c r="V436" i="3"/>
  <c r="W436" i="3"/>
  <c r="X436" i="3"/>
  <c r="O437" i="3"/>
  <c r="P437" i="3"/>
  <c r="Q437" i="3"/>
  <c r="R437" i="3"/>
  <c r="S437" i="3"/>
  <c r="T437" i="3"/>
  <c r="U437" i="3"/>
  <c r="V437" i="3"/>
  <c r="W437" i="3"/>
  <c r="X437" i="3"/>
  <c r="O438" i="3"/>
  <c r="P438" i="3"/>
  <c r="Q438" i="3"/>
  <c r="R438" i="3"/>
  <c r="S438" i="3"/>
  <c r="T438" i="3"/>
  <c r="U438" i="3"/>
  <c r="V438" i="3"/>
  <c r="W438" i="3"/>
  <c r="X438" i="3"/>
  <c r="O439" i="3"/>
  <c r="P439" i="3"/>
  <c r="Q439" i="3"/>
  <c r="R439" i="3"/>
  <c r="S439" i="3"/>
  <c r="T439" i="3"/>
  <c r="U439" i="3"/>
  <c r="V439" i="3"/>
  <c r="W439" i="3"/>
  <c r="X439" i="3"/>
  <c r="O440" i="3"/>
  <c r="P440" i="3"/>
  <c r="Q440" i="3"/>
  <c r="R440" i="3"/>
  <c r="S440" i="3"/>
  <c r="T440" i="3"/>
  <c r="U440" i="3"/>
  <c r="V440" i="3"/>
  <c r="W440" i="3"/>
  <c r="X440" i="3"/>
  <c r="O441" i="3"/>
  <c r="P441" i="3"/>
  <c r="Q441" i="3"/>
  <c r="R441" i="3"/>
  <c r="S441" i="3"/>
  <c r="T441" i="3"/>
  <c r="U441" i="3"/>
  <c r="V441" i="3"/>
  <c r="W441" i="3"/>
  <c r="X441" i="3"/>
  <c r="O442" i="3"/>
  <c r="P442" i="3"/>
  <c r="Q442" i="3"/>
  <c r="R442" i="3"/>
  <c r="S442" i="3"/>
  <c r="T442" i="3"/>
  <c r="U442" i="3"/>
  <c r="V442" i="3"/>
  <c r="W442" i="3"/>
  <c r="X442" i="3"/>
  <c r="O443" i="3"/>
  <c r="P443" i="3"/>
  <c r="Q443" i="3"/>
  <c r="R443" i="3"/>
  <c r="S443" i="3"/>
  <c r="T443" i="3"/>
  <c r="U443" i="3"/>
  <c r="V443" i="3"/>
  <c r="W443" i="3"/>
  <c r="X443" i="3"/>
  <c r="O444" i="3"/>
  <c r="P444" i="3"/>
  <c r="Q444" i="3"/>
  <c r="R444" i="3"/>
  <c r="S444" i="3"/>
  <c r="T444" i="3"/>
  <c r="U444" i="3"/>
  <c r="V444" i="3"/>
  <c r="W444" i="3"/>
  <c r="X444" i="3"/>
  <c r="O445" i="3"/>
  <c r="P445" i="3"/>
  <c r="Q445" i="3"/>
  <c r="R445" i="3"/>
  <c r="S445" i="3"/>
  <c r="T445" i="3"/>
  <c r="U445" i="3"/>
  <c r="V445" i="3"/>
  <c r="W445" i="3"/>
  <c r="X445" i="3"/>
  <c r="O446" i="3"/>
  <c r="P446" i="3"/>
  <c r="Q446" i="3"/>
  <c r="R446" i="3"/>
  <c r="S446" i="3"/>
  <c r="T446" i="3"/>
  <c r="U446" i="3"/>
  <c r="V446" i="3"/>
  <c r="W446" i="3"/>
  <c r="X446" i="3"/>
  <c r="O447" i="3"/>
  <c r="P447" i="3"/>
  <c r="Q447" i="3"/>
  <c r="R447" i="3"/>
  <c r="S447" i="3"/>
  <c r="T447" i="3"/>
  <c r="U447" i="3"/>
  <c r="V447" i="3"/>
  <c r="W447" i="3"/>
  <c r="X447" i="3"/>
  <c r="O448" i="3"/>
  <c r="P448" i="3"/>
  <c r="Q448" i="3"/>
  <c r="R448" i="3"/>
  <c r="S448" i="3"/>
  <c r="T448" i="3"/>
  <c r="U448" i="3"/>
  <c r="V448" i="3"/>
  <c r="W448" i="3"/>
  <c r="X448" i="3"/>
  <c r="O449" i="3"/>
  <c r="P449" i="3"/>
  <c r="Q449" i="3"/>
  <c r="R449" i="3"/>
  <c r="S449" i="3"/>
  <c r="T449" i="3"/>
  <c r="U449" i="3"/>
  <c r="V449" i="3"/>
  <c r="W449" i="3"/>
  <c r="X449" i="3"/>
  <c r="O450" i="3"/>
  <c r="P450" i="3"/>
  <c r="Q450" i="3"/>
  <c r="R450" i="3"/>
  <c r="S450" i="3"/>
  <c r="T450" i="3"/>
  <c r="U450" i="3"/>
  <c r="V450" i="3"/>
  <c r="W450" i="3"/>
  <c r="X450" i="3"/>
  <c r="O451" i="3"/>
  <c r="P451" i="3"/>
  <c r="Q451" i="3"/>
  <c r="R451" i="3"/>
  <c r="S451" i="3"/>
  <c r="T451" i="3"/>
  <c r="U451" i="3"/>
  <c r="V451" i="3"/>
  <c r="W451" i="3"/>
  <c r="X451" i="3"/>
  <c r="O452" i="3"/>
  <c r="P452" i="3"/>
  <c r="Q452" i="3"/>
  <c r="R452" i="3"/>
  <c r="S452" i="3"/>
  <c r="T452" i="3"/>
  <c r="U452" i="3"/>
  <c r="V452" i="3"/>
  <c r="W452" i="3"/>
  <c r="X452" i="3"/>
  <c r="O453" i="3"/>
  <c r="P453" i="3"/>
  <c r="Q453" i="3"/>
  <c r="R453" i="3"/>
  <c r="S453" i="3"/>
  <c r="T453" i="3"/>
  <c r="U453" i="3"/>
  <c r="V453" i="3"/>
  <c r="W453" i="3"/>
  <c r="X453" i="3"/>
  <c r="O454" i="3"/>
  <c r="P454" i="3"/>
  <c r="Q454" i="3"/>
  <c r="R454" i="3"/>
  <c r="S454" i="3"/>
  <c r="T454" i="3"/>
  <c r="U454" i="3"/>
  <c r="V454" i="3"/>
  <c r="W454" i="3"/>
  <c r="X454" i="3"/>
  <c r="O455" i="3"/>
  <c r="P455" i="3"/>
  <c r="Q455" i="3"/>
  <c r="R455" i="3"/>
  <c r="S455" i="3"/>
  <c r="T455" i="3"/>
  <c r="U455" i="3"/>
  <c r="V455" i="3"/>
  <c r="W455" i="3"/>
  <c r="X455" i="3"/>
  <c r="O456" i="3"/>
  <c r="P456" i="3"/>
  <c r="Q456" i="3"/>
  <c r="R456" i="3"/>
  <c r="S456" i="3"/>
  <c r="T456" i="3"/>
  <c r="U456" i="3"/>
  <c r="V456" i="3"/>
  <c r="W456" i="3"/>
  <c r="X456" i="3"/>
  <c r="O457" i="3"/>
  <c r="P457" i="3"/>
  <c r="Q457" i="3"/>
  <c r="R457" i="3"/>
  <c r="S457" i="3"/>
  <c r="T457" i="3"/>
  <c r="U457" i="3"/>
  <c r="V457" i="3"/>
  <c r="W457" i="3"/>
  <c r="X457" i="3"/>
  <c r="O458" i="3"/>
  <c r="P458" i="3"/>
  <c r="Q458" i="3"/>
  <c r="R458" i="3"/>
  <c r="S458" i="3"/>
  <c r="T458" i="3"/>
  <c r="U458" i="3"/>
  <c r="V458" i="3"/>
  <c r="W458" i="3"/>
  <c r="X458" i="3"/>
  <c r="O459" i="3"/>
  <c r="P459" i="3"/>
  <c r="Q459" i="3"/>
  <c r="R459" i="3"/>
  <c r="S459" i="3"/>
  <c r="T459" i="3"/>
  <c r="U459" i="3"/>
  <c r="V459" i="3"/>
  <c r="W459" i="3"/>
  <c r="X459" i="3"/>
  <c r="O460" i="3"/>
  <c r="P460" i="3"/>
  <c r="Q460" i="3"/>
  <c r="R460" i="3"/>
  <c r="S460" i="3"/>
  <c r="T460" i="3"/>
  <c r="U460" i="3"/>
  <c r="V460" i="3"/>
  <c r="W460" i="3"/>
  <c r="X460" i="3"/>
  <c r="O461" i="3"/>
  <c r="P461" i="3"/>
  <c r="Q461" i="3"/>
  <c r="R461" i="3"/>
  <c r="S461" i="3"/>
  <c r="T461" i="3"/>
  <c r="U461" i="3"/>
  <c r="V461" i="3"/>
  <c r="W461" i="3"/>
  <c r="X461" i="3"/>
  <c r="O462" i="3"/>
  <c r="P462" i="3"/>
  <c r="Q462" i="3"/>
  <c r="R462" i="3"/>
  <c r="S462" i="3"/>
  <c r="T462" i="3"/>
  <c r="U462" i="3"/>
  <c r="V462" i="3"/>
  <c r="W462" i="3"/>
  <c r="X462" i="3"/>
  <c r="O463" i="3"/>
  <c r="P463" i="3"/>
  <c r="Q463" i="3"/>
  <c r="R463" i="3"/>
  <c r="S463" i="3"/>
  <c r="T463" i="3"/>
  <c r="U463" i="3"/>
  <c r="V463" i="3"/>
  <c r="W463" i="3"/>
  <c r="X463" i="3"/>
  <c r="O464" i="3"/>
  <c r="P464" i="3"/>
  <c r="Q464" i="3"/>
  <c r="R464" i="3"/>
  <c r="S464" i="3"/>
  <c r="T464" i="3"/>
  <c r="U464" i="3"/>
  <c r="V464" i="3"/>
  <c r="W464" i="3"/>
  <c r="X464" i="3"/>
  <c r="O465" i="3"/>
  <c r="P465" i="3"/>
  <c r="Q465" i="3"/>
  <c r="R465" i="3"/>
  <c r="S465" i="3"/>
  <c r="T465" i="3"/>
  <c r="U465" i="3"/>
  <c r="V465" i="3"/>
  <c r="W465" i="3"/>
  <c r="X465" i="3"/>
  <c r="O466" i="3"/>
  <c r="P466" i="3"/>
  <c r="Q466" i="3"/>
  <c r="R466" i="3"/>
  <c r="S466" i="3"/>
  <c r="T466" i="3"/>
  <c r="U466" i="3"/>
  <c r="V466" i="3"/>
  <c r="W466" i="3"/>
  <c r="X466" i="3"/>
  <c r="O467" i="3"/>
  <c r="P467" i="3"/>
  <c r="Q467" i="3"/>
  <c r="R467" i="3"/>
  <c r="S467" i="3"/>
  <c r="T467" i="3"/>
  <c r="U467" i="3"/>
  <c r="V467" i="3"/>
  <c r="W467" i="3"/>
  <c r="X467" i="3"/>
  <c r="O468" i="3"/>
  <c r="P468" i="3"/>
  <c r="Q468" i="3"/>
  <c r="R468" i="3"/>
  <c r="S468" i="3"/>
  <c r="T468" i="3"/>
  <c r="U468" i="3"/>
  <c r="V468" i="3"/>
  <c r="W468" i="3"/>
  <c r="X468" i="3"/>
  <c r="O469" i="3"/>
  <c r="P469" i="3"/>
  <c r="Q469" i="3"/>
  <c r="R469" i="3"/>
  <c r="S469" i="3"/>
  <c r="T469" i="3"/>
  <c r="U469" i="3"/>
  <c r="V469" i="3"/>
  <c r="W469" i="3"/>
  <c r="X469" i="3"/>
  <c r="O470" i="3"/>
  <c r="P470" i="3"/>
  <c r="Q470" i="3"/>
  <c r="R470" i="3"/>
  <c r="S470" i="3"/>
  <c r="T470" i="3"/>
  <c r="U470" i="3"/>
  <c r="V470" i="3"/>
  <c r="W470" i="3"/>
  <c r="X470" i="3"/>
  <c r="O471" i="3"/>
  <c r="P471" i="3"/>
  <c r="Q471" i="3"/>
  <c r="R471" i="3"/>
  <c r="S471" i="3"/>
  <c r="T471" i="3"/>
  <c r="U471" i="3"/>
  <c r="V471" i="3"/>
  <c r="W471" i="3"/>
  <c r="X471" i="3"/>
  <c r="O472" i="3"/>
  <c r="P472" i="3"/>
  <c r="Q472" i="3"/>
  <c r="R472" i="3"/>
  <c r="S472" i="3"/>
  <c r="T472" i="3"/>
  <c r="U472" i="3"/>
  <c r="V472" i="3"/>
  <c r="W472" i="3"/>
  <c r="X472" i="3"/>
  <c r="O473" i="3"/>
  <c r="P473" i="3"/>
  <c r="Q473" i="3"/>
  <c r="R473" i="3"/>
  <c r="S473" i="3"/>
  <c r="T473" i="3"/>
  <c r="U473" i="3"/>
  <c r="V473" i="3"/>
  <c r="W473" i="3"/>
  <c r="X473" i="3"/>
  <c r="O474" i="3"/>
  <c r="P474" i="3"/>
  <c r="Q474" i="3"/>
  <c r="R474" i="3"/>
  <c r="S474" i="3"/>
  <c r="T474" i="3"/>
  <c r="U474" i="3"/>
  <c r="V474" i="3"/>
  <c r="W474" i="3"/>
  <c r="X474" i="3"/>
  <c r="O475" i="3"/>
  <c r="P475" i="3"/>
  <c r="Q475" i="3"/>
  <c r="R475" i="3"/>
  <c r="S475" i="3"/>
  <c r="T475" i="3"/>
  <c r="U475" i="3"/>
  <c r="V475" i="3"/>
  <c r="W475" i="3"/>
  <c r="X475" i="3"/>
  <c r="O476" i="3"/>
  <c r="P476" i="3"/>
  <c r="Q476" i="3"/>
  <c r="R476" i="3"/>
  <c r="S476" i="3"/>
  <c r="T476" i="3"/>
  <c r="U476" i="3"/>
  <c r="V476" i="3"/>
  <c r="W476" i="3"/>
  <c r="X476" i="3"/>
  <c r="O477" i="3"/>
  <c r="P477" i="3"/>
  <c r="Q477" i="3"/>
  <c r="R477" i="3"/>
  <c r="S477" i="3"/>
  <c r="T477" i="3"/>
  <c r="U477" i="3"/>
  <c r="V477" i="3"/>
  <c r="W477" i="3"/>
  <c r="X477" i="3"/>
  <c r="O478" i="3"/>
  <c r="P478" i="3"/>
  <c r="Q478" i="3"/>
  <c r="R478" i="3"/>
  <c r="S478" i="3"/>
  <c r="T478" i="3"/>
  <c r="U478" i="3"/>
  <c r="V478" i="3"/>
  <c r="W478" i="3"/>
  <c r="X478" i="3"/>
  <c r="O479" i="3"/>
  <c r="P479" i="3"/>
  <c r="Q479" i="3"/>
  <c r="R479" i="3"/>
  <c r="S479" i="3"/>
  <c r="T479" i="3"/>
  <c r="U479" i="3"/>
  <c r="V479" i="3"/>
  <c r="W479" i="3"/>
  <c r="X479" i="3"/>
  <c r="O480" i="3"/>
  <c r="P480" i="3"/>
  <c r="Q480" i="3"/>
  <c r="R480" i="3"/>
  <c r="S480" i="3"/>
  <c r="T480" i="3"/>
  <c r="U480" i="3"/>
  <c r="V480" i="3"/>
  <c r="W480" i="3"/>
  <c r="X480" i="3"/>
  <c r="O481" i="3"/>
  <c r="P481" i="3"/>
  <c r="Q481" i="3"/>
  <c r="R481" i="3"/>
  <c r="S481" i="3"/>
  <c r="T481" i="3"/>
  <c r="U481" i="3"/>
  <c r="V481" i="3"/>
  <c r="W481" i="3"/>
  <c r="X481" i="3"/>
  <c r="O482" i="3"/>
  <c r="P482" i="3"/>
  <c r="Q482" i="3"/>
  <c r="R482" i="3"/>
  <c r="S482" i="3"/>
  <c r="T482" i="3"/>
  <c r="U482" i="3"/>
  <c r="V482" i="3"/>
  <c r="W482" i="3"/>
  <c r="X482" i="3"/>
  <c r="O483" i="3"/>
  <c r="P483" i="3"/>
  <c r="Q483" i="3"/>
  <c r="R483" i="3"/>
  <c r="S483" i="3"/>
  <c r="T483" i="3"/>
  <c r="U483" i="3"/>
  <c r="V483" i="3"/>
  <c r="W483" i="3"/>
  <c r="X483" i="3"/>
  <c r="O484" i="3"/>
  <c r="P484" i="3"/>
  <c r="Q484" i="3"/>
  <c r="R484" i="3"/>
  <c r="S484" i="3"/>
  <c r="T484" i="3"/>
  <c r="U484" i="3"/>
  <c r="V484" i="3"/>
  <c r="W484" i="3"/>
  <c r="X484" i="3"/>
  <c r="O485" i="3"/>
  <c r="P485" i="3"/>
  <c r="Q485" i="3"/>
  <c r="R485" i="3"/>
  <c r="S485" i="3"/>
  <c r="T485" i="3"/>
  <c r="U485" i="3"/>
  <c r="V485" i="3"/>
  <c r="W485" i="3"/>
  <c r="X485" i="3"/>
  <c r="O486" i="3"/>
  <c r="P486" i="3"/>
  <c r="Q486" i="3"/>
  <c r="R486" i="3"/>
  <c r="S486" i="3"/>
  <c r="T486" i="3"/>
  <c r="U486" i="3"/>
  <c r="V486" i="3"/>
  <c r="W486" i="3"/>
  <c r="X486" i="3"/>
  <c r="O487" i="3"/>
  <c r="P487" i="3"/>
  <c r="Q487" i="3"/>
  <c r="R487" i="3"/>
  <c r="S487" i="3"/>
  <c r="T487" i="3"/>
  <c r="U487" i="3"/>
  <c r="V487" i="3"/>
  <c r="W487" i="3"/>
  <c r="X487" i="3"/>
  <c r="O488" i="3"/>
  <c r="P488" i="3"/>
  <c r="Q488" i="3"/>
  <c r="R488" i="3"/>
  <c r="S488" i="3"/>
  <c r="T488" i="3"/>
  <c r="U488" i="3"/>
  <c r="V488" i="3"/>
  <c r="W488" i="3"/>
  <c r="X488" i="3"/>
  <c r="O489" i="3"/>
  <c r="P489" i="3"/>
  <c r="Q489" i="3"/>
  <c r="R489" i="3"/>
  <c r="S489" i="3"/>
  <c r="T489" i="3"/>
  <c r="U489" i="3"/>
  <c r="V489" i="3"/>
  <c r="W489" i="3"/>
  <c r="X489" i="3"/>
  <c r="O490" i="3"/>
  <c r="P490" i="3"/>
  <c r="Q490" i="3"/>
  <c r="R490" i="3"/>
  <c r="S490" i="3"/>
  <c r="T490" i="3"/>
  <c r="U490" i="3"/>
  <c r="V490" i="3"/>
  <c r="W490" i="3"/>
  <c r="X490" i="3"/>
  <c r="O491" i="3"/>
  <c r="P491" i="3"/>
  <c r="Q491" i="3"/>
  <c r="R491" i="3"/>
  <c r="S491" i="3"/>
  <c r="T491" i="3"/>
  <c r="U491" i="3"/>
  <c r="V491" i="3"/>
  <c r="W491" i="3"/>
  <c r="X491" i="3"/>
  <c r="O492" i="3"/>
  <c r="P492" i="3"/>
  <c r="Q492" i="3"/>
  <c r="R492" i="3"/>
  <c r="S492" i="3"/>
  <c r="T492" i="3"/>
  <c r="U492" i="3"/>
  <c r="V492" i="3"/>
  <c r="W492" i="3"/>
  <c r="X492" i="3"/>
  <c r="O493" i="3"/>
  <c r="P493" i="3"/>
  <c r="Q493" i="3"/>
  <c r="R493" i="3"/>
  <c r="S493" i="3"/>
  <c r="T493" i="3"/>
  <c r="U493" i="3"/>
  <c r="V493" i="3"/>
  <c r="W493" i="3"/>
  <c r="X493" i="3"/>
  <c r="O494" i="3"/>
  <c r="P494" i="3"/>
  <c r="Q494" i="3"/>
  <c r="R494" i="3"/>
  <c r="S494" i="3"/>
  <c r="T494" i="3"/>
  <c r="U494" i="3"/>
  <c r="V494" i="3"/>
  <c r="W494" i="3"/>
  <c r="X494" i="3"/>
  <c r="O495" i="3"/>
  <c r="P495" i="3"/>
  <c r="Q495" i="3"/>
  <c r="R495" i="3"/>
  <c r="S495" i="3"/>
  <c r="T495" i="3"/>
  <c r="U495" i="3"/>
  <c r="V495" i="3"/>
  <c r="W495" i="3"/>
  <c r="X495" i="3"/>
  <c r="O496" i="3"/>
  <c r="P496" i="3"/>
  <c r="Q496" i="3"/>
  <c r="R496" i="3"/>
  <c r="S496" i="3"/>
  <c r="T496" i="3"/>
  <c r="U496" i="3"/>
  <c r="V496" i="3"/>
  <c r="W496" i="3"/>
  <c r="X496" i="3"/>
  <c r="O497" i="3"/>
  <c r="P497" i="3"/>
  <c r="Q497" i="3"/>
  <c r="R497" i="3"/>
  <c r="S497" i="3"/>
  <c r="T497" i="3"/>
  <c r="U497" i="3"/>
  <c r="V497" i="3"/>
  <c r="W497" i="3"/>
  <c r="X497" i="3"/>
  <c r="O498" i="3"/>
  <c r="P498" i="3"/>
  <c r="Q498" i="3"/>
  <c r="R498" i="3"/>
  <c r="S498" i="3"/>
  <c r="T498" i="3"/>
  <c r="U498" i="3"/>
  <c r="V498" i="3"/>
  <c r="W498" i="3"/>
  <c r="X498" i="3"/>
  <c r="O499" i="3"/>
  <c r="P499" i="3"/>
  <c r="Q499" i="3"/>
  <c r="R499" i="3"/>
  <c r="S499" i="3"/>
  <c r="T499" i="3"/>
  <c r="U499" i="3"/>
  <c r="V499" i="3"/>
  <c r="W499" i="3"/>
  <c r="X499" i="3"/>
  <c r="O500" i="3"/>
  <c r="P500" i="3"/>
  <c r="Q500" i="3"/>
  <c r="R500" i="3"/>
  <c r="S500" i="3"/>
  <c r="T500" i="3"/>
  <c r="U500" i="3"/>
  <c r="V500" i="3"/>
  <c r="W500" i="3"/>
  <c r="X500" i="3"/>
  <c r="O501" i="3"/>
  <c r="P501" i="3"/>
  <c r="Q501" i="3"/>
  <c r="R501" i="3"/>
  <c r="S501" i="3"/>
  <c r="T501" i="3"/>
  <c r="U501" i="3"/>
  <c r="V501" i="3"/>
  <c r="W501" i="3"/>
  <c r="X501" i="3"/>
  <c r="O502" i="3"/>
  <c r="P502" i="3"/>
  <c r="Q502" i="3"/>
  <c r="R502" i="3"/>
  <c r="S502" i="3"/>
  <c r="T502" i="3"/>
  <c r="U502" i="3"/>
  <c r="V502" i="3"/>
  <c r="W502" i="3"/>
  <c r="X502" i="3"/>
  <c r="O503" i="3"/>
  <c r="P503" i="3"/>
  <c r="Q503" i="3"/>
  <c r="R503" i="3"/>
  <c r="S503" i="3"/>
  <c r="T503" i="3"/>
  <c r="U503" i="3"/>
  <c r="V503" i="3"/>
  <c r="W503" i="3"/>
  <c r="X503" i="3"/>
  <c r="O504" i="3"/>
  <c r="P504" i="3"/>
  <c r="Q504" i="3"/>
  <c r="R504" i="3"/>
  <c r="S504" i="3"/>
  <c r="T504" i="3"/>
  <c r="U504" i="3"/>
  <c r="V504" i="3"/>
  <c r="W504" i="3"/>
  <c r="X504" i="3"/>
  <c r="O505" i="3"/>
  <c r="P505" i="3"/>
  <c r="Q505" i="3"/>
  <c r="R505" i="3"/>
  <c r="S505" i="3"/>
  <c r="T505" i="3"/>
  <c r="U505" i="3"/>
  <c r="V505" i="3"/>
  <c r="W505" i="3"/>
  <c r="X505" i="3"/>
  <c r="O506" i="3"/>
  <c r="P506" i="3"/>
  <c r="Q506" i="3"/>
  <c r="R506" i="3"/>
  <c r="S506" i="3"/>
  <c r="T506" i="3"/>
  <c r="U506" i="3"/>
  <c r="V506" i="3"/>
  <c r="W506" i="3"/>
  <c r="X506" i="3"/>
  <c r="O507" i="3"/>
  <c r="P507" i="3"/>
  <c r="Q507" i="3"/>
  <c r="R507" i="3"/>
  <c r="S507" i="3"/>
  <c r="T507" i="3"/>
  <c r="U507" i="3"/>
  <c r="V507" i="3"/>
  <c r="W507" i="3"/>
  <c r="X507" i="3"/>
  <c r="O508" i="3"/>
  <c r="P508" i="3"/>
  <c r="Q508" i="3"/>
  <c r="R508" i="3"/>
  <c r="S508" i="3"/>
  <c r="T508" i="3"/>
  <c r="U508" i="3"/>
  <c r="V508" i="3"/>
  <c r="W508" i="3"/>
  <c r="X508" i="3"/>
  <c r="O509" i="3"/>
  <c r="P509" i="3"/>
  <c r="Q509" i="3"/>
  <c r="R509" i="3"/>
  <c r="S509" i="3"/>
  <c r="T509" i="3"/>
  <c r="U509" i="3"/>
  <c r="V509" i="3"/>
  <c r="W509" i="3"/>
  <c r="X509" i="3"/>
  <c r="O510" i="3"/>
  <c r="P510" i="3"/>
  <c r="Q510" i="3"/>
  <c r="R510" i="3"/>
  <c r="S510" i="3"/>
  <c r="T510" i="3"/>
  <c r="U510" i="3"/>
  <c r="V510" i="3"/>
  <c r="W510" i="3"/>
  <c r="X510" i="3"/>
  <c r="O511" i="3"/>
  <c r="P511" i="3"/>
  <c r="Q511" i="3"/>
  <c r="R511" i="3"/>
  <c r="S511" i="3"/>
  <c r="T511" i="3"/>
  <c r="U511" i="3"/>
  <c r="V511" i="3"/>
  <c r="W511" i="3"/>
  <c r="X511" i="3"/>
  <c r="O512" i="3"/>
  <c r="P512" i="3"/>
  <c r="Q512" i="3"/>
  <c r="R512" i="3"/>
  <c r="S512" i="3"/>
  <c r="T512" i="3"/>
  <c r="U512" i="3"/>
  <c r="V512" i="3"/>
  <c r="W512" i="3"/>
  <c r="X512" i="3"/>
  <c r="O513" i="3"/>
  <c r="P513" i="3"/>
  <c r="Q513" i="3"/>
  <c r="R513" i="3"/>
  <c r="S513" i="3"/>
  <c r="T513" i="3"/>
  <c r="U513" i="3"/>
  <c r="V513" i="3"/>
  <c r="W513" i="3"/>
  <c r="X513" i="3"/>
  <c r="O514" i="3"/>
  <c r="P514" i="3"/>
  <c r="Q514" i="3"/>
  <c r="R514" i="3"/>
  <c r="S514" i="3"/>
  <c r="T514" i="3"/>
  <c r="U514" i="3"/>
  <c r="V514" i="3"/>
  <c r="W514" i="3"/>
  <c r="X514" i="3"/>
  <c r="O515" i="3"/>
  <c r="P515" i="3"/>
  <c r="Q515" i="3"/>
  <c r="R515" i="3"/>
  <c r="S515" i="3"/>
  <c r="T515" i="3"/>
  <c r="U515" i="3"/>
  <c r="V515" i="3"/>
  <c r="W515" i="3"/>
  <c r="X515" i="3"/>
  <c r="O516" i="3"/>
  <c r="P516" i="3"/>
  <c r="Q516" i="3"/>
  <c r="R516" i="3"/>
  <c r="S516" i="3"/>
  <c r="T516" i="3"/>
  <c r="U516" i="3"/>
  <c r="V516" i="3"/>
  <c r="W516" i="3"/>
  <c r="X516" i="3"/>
  <c r="O517" i="3"/>
  <c r="P517" i="3"/>
  <c r="Q517" i="3"/>
  <c r="R517" i="3"/>
  <c r="S517" i="3"/>
  <c r="T517" i="3"/>
  <c r="U517" i="3"/>
  <c r="V517" i="3"/>
  <c r="W517" i="3"/>
  <c r="X51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491" i="5"/>
  <c r="AB492" i="5"/>
  <c r="AB493" i="5"/>
  <c r="AB494" i="5"/>
  <c r="AB495" i="5"/>
  <c r="AB496" i="5"/>
  <c r="AB497" i="5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D516" i="5" l="1"/>
  <c r="AD512" i="5"/>
  <c r="AD508" i="5"/>
  <c r="AD504" i="5"/>
  <c r="AD500" i="5"/>
  <c r="AD496" i="5"/>
  <c r="AD492" i="5"/>
  <c r="AD488" i="5"/>
  <c r="AD484" i="5"/>
  <c r="AD480" i="5"/>
  <c r="AD476" i="5"/>
  <c r="AD472" i="5"/>
  <c r="AD468" i="5"/>
  <c r="AD464" i="5"/>
  <c r="AD460" i="5"/>
  <c r="AD456" i="5"/>
  <c r="AD452" i="5"/>
  <c r="AD448" i="5"/>
  <c r="AD444" i="5"/>
  <c r="AD440" i="5"/>
  <c r="AD436" i="5"/>
  <c r="AD432" i="5"/>
  <c r="AD521" i="5"/>
  <c r="AD515" i="5"/>
  <c r="AD511" i="5"/>
  <c r="AD507" i="5"/>
  <c r="AD503" i="5"/>
  <c r="AD499" i="5"/>
  <c r="AD495" i="5"/>
  <c r="AD491" i="5"/>
  <c r="AD487" i="5"/>
  <c r="AD483" i="5"/>
  <c r="AD479" i="5"/>
  <c r="AD475" i="5"/>
  <c r="AD471" i="5"/>
  <c r="AD467" i="5"/>
  <c r="AD463" i="5"/>
  <c r="AD459" i="5"/>
  <c r="AD455" i="5"/>
  <c r="AD451" i="5"/>
  <c r="AD447" i="5"/>
  <c r="AD443" i="5"/>
  <c r="AD439" i="5"/>
  <c r="AD435" i="5"/>
  <c r="AD431" i="5"/>
  <c r="AD520" i="5"/>
  <c r="AD514" i="5"/>
  <c r="AD510" i="5"/>
  <c r="AD506" i="5"/>
  <c r="AD502" i="5"/>
  <c r="AD498" i="5"/>
  <c r="AD494" i="5"/>
  <c r="AD490" i="5"/>
  <c r="AD486" i="5"/>
  <c r="AD482" i="5"/>
  <c r="AD478" i="5"/>
  <c r="AD474" i="5"/>
  <c r="AD470" i="5"/>
  <c r="AD466" i="5"/>
  <c r="AD462" i="5"/>
  <c r="AD458" i="5"/>
  <c r="AD454" i="5"/>
  <c r="AD450" i="5"/>
  <c r="AD446" i="5"/>
  <c r="AD442" i="5"/>
  <c r="AD438" i="5"/>
  <c r="AD434" i="5"/>
  <c r="AD523" i="5"/>
  <c r="AD519" i="5"/>
  <c r="O408" i="5"/>
  <c r="P408" i="5"/>
  <c r="Q408" i="5"/>
  <c r="R408" i="5"/>
  <c r="S408" i="5"/>
  <c r="T408" i="5"/>
  <c r="U408" i="5"/>
  <c r="V408" i="5"/>
  <c r="W408" i="5"/>
  <c r="AC408" i="5" s="1"/>
  <c r="X408" i="5"/>
  <c r="O409" i="5"/>
  <c r="P409" i="5"/>
  <c r="Q409" i="5"/>
  <c r="R409" i="5"/>
  <c r="S409" i="5"/>
  <c r="T409" i="5"/>
  <c r="U409" i="5"/>
  <c r="AD409" i="5" s="1"/>
  <c r="V409" i="5"/>
  <c r="W409" i="5"/>
  <c r="X409" i="5"/>
  <c r="O410" i="5"/>
  <c r="P410" i="5"/>
  <c r="Q410" i="5"/>
  <c r="R410" i="5"/>
  <c r="S410" i="5"/>
  <c r="T410" i="5"/>
  <c r="U410" i="5"/>
  <c r="V410" i="5"/>
  <c r="W410" i="5"/>
  <c r="X410" i="5"/>
  <c r="O411" i="5"/>
  <c r="P411" i="5"/>
  <c r="Q411" i="5"/>
  <c r="R411" i="5"/>
  <c r="S411" i="5"/>
  <c r="T411" i="5"/>
  <c r="U411" i="5"/>
  <c r="V411" i="5"/>
  <c r="W411" i="5"/>
  <c r="X411" i="5"/>
  <c r="O412" i="5"/>
  <c r="P412" i="5"/>
  <c r="Q412" i="5"/>
  <c r="R412" i="5"/>
  <c r="S412" i="5"/>
  <c r="T412" i="5"/>
  <c r="U412" i="5"/>
  <c r="V412" i="5"/>
  <c r="W412" i="5"/>
  <c r="AC412" i="5" s="1"/>
  <c r="X412" i="5"/>
  <c r="O413" i="5"/>
  <c r="P413" i="5"/>
  <c r="Q413" i="5"/>
  <c r="R413" i="5"/>
  <c r="S413" i="5"/>
  <c r="T413" i="5"/>
  <c r="U413" i="5"/>
  <c r="AD413" i="5" s="1"/>
  <c r="V413" i="5"/>
  <c r="W413" i="5"/>
  <c r="X413" i="5"/>
  <c r="O414" i="5"/>
  <c r="P414" i="5"/>
  <c r="Q414" i="5"/>
  <c r="R414" i="5"/>
  <c r="S414" i="5"/>
  <c r="T414" i="5"/>
  <c r="U414" i="5"/>
  <c r="V414" i="5"/>
  <c r="W414" i="5"/>
  <c r="X414" i="5"/>
  <c r="O415" i="5"/>
  <c r="P415" i="5"/>
  <c r="Q415" i="5"/>
  <c r="R415" i="5"/>
  <c r="S415" i="5"/>
  <c r="T415" i="5"/>
  <c r="U415" i="5"/>
  <c r="V415" i="5"/>
  <c r="W415" i="5"/>
  <c r="X415" i="5"/>
  <c r="O416" i="5"/>
  <c r="P416" i="5"/>
  <c r="Q416" i="5"/>
  <c r="R416" i="5"/>
  <c r="S416" i="5"/>
  <c r="T416" i="5"/>
  <c r="U416" i="5"/>
  <c r="V416" i="5"/>
  <c r="W416" i="5"/>
  <c r="AC416" i="5" s="1"/>
  <c r="X416" i="5"/>
  <c r="O417" i="5"/>
  <c r="P417" i="5"/>
  <c r="Q417" i="5"/>
  <c r="R417" i="5"/>
  <c r="S417" i="5"/>
  <c r="T417" i="5"/>
  <c r="U417" i="5"/>
  <c r="AD417" i="5" s="1"/>
  <c r="V417" i="5"/>
  <c r="W417" i="5"/>
  <c r="X417" i="5"/>
  <c r="O418" i="5"/>
  <c r="P418" i="5"/>
  <c r="Q418" i="5"/>
  <c r="R418" i="5"/>
  <c r="S418" i="5"/>
  <c r="T418" i="5"/>
  <c r="U418" i="5"/>
  <c r="V418" i="5"/>
  <c r="W418" i="5"/>
  <c r="X418" i="5"/>
  <c r="O419" i="5"/>
  <c r="P419" i="5"/>
  <c r="Q419" i="5"/>
  <c r="R419" i="5"/>
  <c r="S419" i="5"/>
  <c r="T419" i="5"/>
  <c r="U419" i="5"/>
  <c r="V419" i="5"/>
  <c r="W419" i="5"/>
  <c r="X419" i="5"/>
  <c r="O420" i="5"/>
  <c r="P420" i="5"/>
  <c r="Q420" i="5"/>
  <c r="R420" i="5"/>
  <c r="S420" i="5"/>
  <c r="T420" i="5"/>
  <c r="U420" i="5"/>
  <c r="V420" i="5"/>
  <c r="W420" i="5"/>
  <c r="AC420" i="5" s="1"/>
  <c r="X420" i="5"/>
  <c r="O421" i="5"/>
  <c r="P421" i="5"/>
  <c r="Q421" i="5"/>
  <c r="R421" i="5"/>
  <c r="S421" i="5"/>
  <c r="T421" i="5"/>
  <c r="U421" i="5"/>
  <c r="AD421" i="5" s="1"/>
  <c r="V421" i="5"/>
  <c r="W421" i="5"/>
  <c r="X421" i="5"/>
  <c r="O422" i="5"/>
  <c r="P422" i="5"/>
  <c r="Q422" i="5"/>
  <c r="R422" i="5"/>
  <c r="S422" i="5"/>
  <c r="T422" i="5"/>
  <c r="U422" i="5"/>
  <c r="V422" i="5"/>
  <c r="W422" i="5"/>
  <c r="X422" i="5"/>
  <c r="O423" i="5"/>
  <c r="P423" i="5"/>
  <c r="Q423" i="5"/>
  <c r="R423" i="5"/>
  <c r="S423" i="5"/>
  <c r="T423" i="5"/>
  <c r="U423" i="5"/>
  <c r="V423" i="5"/>
  <c r="W423" i="5"/>
  <c r="X423" i="5"/>
  <c r="O424" i="5"/>
  <c r="P424" i="5"/>
  <c r="Q424" i="5"/>
  <c r="R424" i="5"/>
  <c r="S424" i="5"/>
  <c r="T424" i="5"/>
  <c r="U424" i="5"/>
  <c r="V424" i="5"/>
  <c r="W424" i="5"/>
  <c r="AC424" i="5" s="1"/>
  <c r="X424" i="5"/>
  <c r="O425" i="5"/>
  <c r="P425" i="5"/>
  <c r="Q425" i="5"/>
  <c r="R425" i="5"/>
  <c r="S425" i="5"/>
  <c r="T425" i="5"/>
  <c r="U425" i="5"/>
  <c r="AD425" i="5" s="1"/>
  <c r="V425" i="5"/>
  <c r="W425" i="5"/>
  <c r="X425" i="5"/>
  <c r="O426" i="5"/>
  <c r="P426" i="5"/>
  <c r="Q426" i="5"/>
  <c r="R426" i="5"/>
  <c r="S426" i="5"/>
  <c r="T426" i="5"/>
  <c r="U426" i="5"/>
  <c r="V426" i="5"/>
  <c r="W426" i="5"/>
  <c r="X426" i="5"/>
  <c r="O427" i="5"/>
  <c r="P427" i="5"/>
  <c r="Q427" i="5"/>
  <c r="R427" i="5"/>
  <c r="S427" i="5"/>
  <c r="T427" i="5"/>
  <c r="U427" i="5"/>
  <c r="V427" i="5"/>
  <c r="W427" i="5"/>
  <c r="X427" i="5"/>
  <c r="O428" i="5"/>
  <c r="P428" i="5"/>
  <c r="Q428" i="5"/>
  <c r="R428" i="5"/>
  <c r="S428" i="5"/>
  <c r="T428" i="5"/>
  <c r="U428" i="5"/>
  <c r="V428" i="5"/>
  <c r="W428" i="5"/>
  <c r="AC428" i="5" s="1"/>
  <c r="X428" i="5"/>
  <c r="O429" i="5"/>
  <c r="P429" i="5"/>
  <c r="Q429" i="5"/>
  <c r="R429" i="5"/>
  <c r="S429" i="5"/>
  <c r="T429" i="5"/>
  <c r="U429" i="5"/>
  <c r="AD429" i="5" s="1"/>
  <c r="V429" i="5"/>
  <c r="W429" i="5"/>
  <c r="X429" i="5"/>
  <c r="O430" i="5"/>
  <c r="P430" i="5"/>
  <c r="Q430" i="5"/>
  <c r="R430" i="5"/>
  <c r="S430" i="5"/>
  <c r="T430" i="5"/>
  <c r="U430" i="5"/>
  <c r="V430" i="5"/>
  <c r="W430" i="5"/>
  <c r="X430" i="5"/>
  <c r="AB408" i="5"/>
  <c r="AB409" i="5"/>
  <c r="AB410" i="5"/>
  <c r="AC410" i="5"/>
  <c r="AB411" i="5"/>
  <c r="AD411" i="5"/>
  <c r="AB412" i="5"/>
  <c r="AB413" i="5"/>
  <c r="AB414" i="5"/>
  <c r="AC414" i="5"/>
  <c r="AB415" i="5"/>
  <c r="AD415" i="5"/>
  <c r="AB416" i="5"/>
  <c r="AB417" i="5"/>
  <c r="AB418" i="5"/>
  <c r="AC418" i="5"/>
  <c r="AB419" i="5"/>
  <c r="AD419" i="5"/>
  <c r="AB420" i="5"/>
  <c r="AB421" i="5"/>
  <c r="AB422" i="5"/>
  <c r="AC422" i="5"/>
  <c r="AB423" i="5"/>
  <c r="AD423" i="5"/>
  <c r="AB424" i="5"/>
  <c r="AB425" i="5"/>
  <c r="AB426" i="5"/>
  <c r="AC426" i="5"/>
  <c r="AB427" i="5"/>
  <c r="AD427" i="5"/>
  <c r="AB428" i="5"/>
  <c r="AB429" i="5"/>
  <c r="AB430" i="5"/>
  <c r="AC430" i="5"/>
  <c r="AA431" i="3"/>
  <c r="AA432" i="3"/>
  <c r="AA433" i="3"/>
  <c r="AA434" i="3"/>
  <c r="AA435" i="3"/>
  <c r="AA436" i="3"/>
  <c r="AA437" i="3"/>
  <c r="AA438" i="3"/>
  <c r="AA439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O408" i="3"/>
  <c r="P408" i="3"/>
  <c r="Q408" i="3"/>
  <c r="R408" i="3"/>
  <c r="S408" i="3"/>
  <c r="T408" i="3"/>
  <c r="U408" i="3"/>
  <c r="V408" i="3"/>
  <c r="W408" i="3"/>
  <c r="X408" i="3"/>
  <c r="O409" i="3"/>
  <c r="P409" i="3"/>
  <c r="Q409" i="3"/>
  <c r="R409" i="3"/>
  <c r="S409" i="3"/>
  <c r="T409" i="3"/>
  <c r="U409" i="3"/>
  <c r="V409" i="3"/>
  <c r="W409" i="3"/>
  <c r="X409" i="3"/>
  <c r="O410" i="3"/>
  <c r="P410" i="3"/>
  <c r="Q410" i="3"/>
  <c r="R410" i="3"/>
  <c r="S410" i="3"/>
  <c r="T410" i="3"/>
  <c r="U410" i="3"/>
  <c r="V410" i="3"/>
  <c r="W410" i="3"/>
  <c r="X410" i="3"/>
  <c r="O411" i="3"/>
  <c r="P411" i="3"/>
  <c r="Q411" i="3"/>
  <c r="R411" i="3"/>
  <c r="S411" i="3"/>
  <c r="T411" i="3"/>
  <c r="U411" i="3"/>
  <c r="V411" i="3"/>
  <c r="W411" i="3"/>
  <c r="X411" i="3"/>
  <c r="O412" i="3"/>
  <c r="P412" i="3"/>
  <c r="Q412" i="3"/>
  <c r="R412" i="3"/>
  <c r="S412" i="3"/>
  <c r="T412" i="3"/>
  <c r="U412" i="3"/>
  <c r="V412" i="3"/>
  <c r="W412" i="3"/>
  <c r="X412" i="3"/>
  <c r="O413" i="3"/>
  <c r="P413" i="3"/>
  <c r="Q413" i="3"/>
  <c r="R413" i="3"/>
  <c r="S413" i="3"/>
  <c r="T413" i="3"/>
  <c r="U413" i="3"/>
  <c r="V413" i="3"/>
  <c r="W413" i="3"/>
  <c r="X413" i="3"/>
  <c r="O414" i="3"/>
  <c r="P414" i="3"/>
  <c r="Q414" i="3"/>
  <c r="R414" i="3"/>
  <c r="S414" i="3"/>
  <c r="T414" i="3"/>
  <c r="U414" i="3"/>
  <c r="V414" i="3"/>
  <c r="W414" i="3"/>
  <c r="X414" i="3"/>
  <c r="O415" i="3"/>
  <c r="P415" i="3"/>
  <c r="Q415" i="3"/>
  <c r="R415" i="3"/>
  <c r="S415" i="3"/>
  <c r="T415" i="3"/>
  <c r="U415" i="3"/>
  <c r="V415" i="3"/>
  <c r="W415" i="3"/>
  <c r="X415" i="3"/>
  <c r="O416" i="3"/>
  <c r="P416" i="3"/>
  <c r="Q416" i="3"/>
  <c r="R416" i="3"/>
  <c r="S416" i="3"/>
  <c r="T416" i="3"/>
  <c r="U416" i="3"/>
  <c r="V416" i="3"/>
  <c r="W416" i="3"/>
  <c r="X416" i="3"/>
  <c r="O417" i="3"/>
  <c r="P417" i="3"/>
  <c r="Q417" i="3"/>
  <c r="R417" i="3"/>
  <c r="S417" i="3"/>
  <c r="T417" i="3"/>
  <c r="U417" i="3"/>
  <c r="V417" i="3"/>
  <c r="W417" i="3"/>
  <c r="X417" i="3"/>
  <c r="O418" i="3"/>
  <c r="P418" i="3"/>
  <c r="Q418" i="3"/>
  <c r="R418" i="3"/>
  <c r="S418" i="3"/>
  <c r="T418" i="3"/>
  <c r="U418" i="3"/>
  <c r="V418" i="3"/>
  <c r="W418" i="3"/>
  <c r="X418" i="3"/>
  <c r="O419" i="3"/>
  <c r="P419" i="3"/>
  <c r="Q419" i="3"/>
  <c r="R419" i="3"/>
  <c r="S419" i="3"/>
  <c r="T419" i="3"/>
  <c r="U419" i="3"/>
  <c r="V419" i="3"/>
  <c r="W419" i="3"/>
  <c r="X419" i="3"/>
  <c r="O420" i="3"/>
  <c r="P420" i="3"/>
  <c r="Q420" i="3"/>
  <c r="R420" i="3"/>
  <c r="S420" i="3"/>
  <c r="T420" i="3"/>
  <c r="U420" i="3"/>
  <c r="V420" i="3"/>
  <c r="W420" i="3"/>
  <c r="X420" i="3"/>
  <c r="O421" i="3"/>
  <c r="P421" i="3"/>
  <c r="Q421" i="3"/>
  <c r="R421" i="3"/>
  <c r="S421" i="3"/>
  <c r="T421" i="3"/>
  <c r="U421" i="3"/>
  <c r="V421" i="3"/>
  <c r="W421" i="3"/>
  <c r="X421" i="3"/>
  <c r="O422" i="3"/>
  <c r="P422" i="3"/>
  <c r="Q422" i="3"/>
  <c r="R422" i="3"/>
  <c r="S422" i="3"/>
  <c r="T422" i="3"/>
  <c r="U422" i="3"/>
  <c r="V422" i="3"/>
  <c r="W422" i="3"/>
  <c r="X422" i="3"/>
  <c r="O423" i="3"/>
  <c r="P423" i="3"/>
  <c r="Q423" i="3"/>
  <c r="R423" i="3"/>
  <c r="S423" i="3"/>
  <c r="T423" i="3"/>
  <c r="U423" i="3"/>
  <c r="V423" i="3"/>
  <c r="W423" i="3"/>
  <c r="X423" i="3"/>
  <c r="O424" i="3"/>
  <c r="P424" i="3"/>
  <c r="Q424" i="3"/>
  <c r="R424" i="3"/>
  <c r="S424" i="3"/>
  <c r="T424" i="3"/>
  <c r="U424" i="3"/>
  <c r="V424" i="3"/>
  <c r="W424" i="3"/>
  <c r="X424" i="3"/>
  <c r="O425" i="3"/>
  <c r="P425" i="3"/>
  <c r="Q425" i="3"/>
  <c r="R425" i="3"/>
  <c r="S425" i="3"/>
  <c r="T425" i="3"/>
  <c r="U425" i="3"/>
  <c r="V425" i="3"/>
  <c r="W425" i="3"/>
  <c r="X425" i="3"/>
  <c r="O426" i="3"/>
  <c r="P426" i="3"/>
  <c r="Q426" i="3"/>
  <c r="R426" i="3"/>
  <c r="S426" i="3"/>
  <c r="T426" i="3"/>
  <c r="U426" i="3"/>
  <c r="V426" i="3"/>
  <c r="W426" i="3"/>
  <c r="X426" i="3"/>
  <c r="O427" i="3"/>
  <c r="P427" i="3"/>
  <c r="Q427" i="3"/>
  <c r="R427" i="3"/>
  <c r="S427" i="3"/>
  <c r="T427" i="3"/>
  <c r="U427" i="3"/>
  <c r="V427" i="3"/>
  <c r="W427" i="3"/>
  <c r="X427" i="3"/>
  <c r="O428" i="3"/>
  <c r="P428" i="3"/>
  <c r="Q428" i="3"/>
  <c r="R428" i="3"/>
  <c r="S428" i="3"/>
  <c r="T428" i="3"/>
  <c r="U428" i="3"/>
  <c r="V428" i="3"/>
  <c r="W428" i="3"/>
  <c r="X428" i="3"/>
  <c r="O429" i="3"/>
  <c r="P429" i="3"/>
  <c r="Q429" i="3"/>
  <c r="R429" i="3"/>
  <c r="S429" i="3"/>
  <c r="T429" i="3"/>
  <c r="U429" i="3"/>
  <c r="V429" i="3"/>
  <c r="W429" i="3"/>
  <c r="X429" i="3"/>
  <c r="O430" i="3"/>
  <c r="P430" i="3"/>
  <c r="Q430" i="3"/>
  <c r="R430" i="3"/>
  <c r="S430" i="3"/>
  <c r="T430" i="3"/>
  <c r="U430" i="3"/>
  <c r="V430" i="3"/>
  <c r="W430" i="3"/>
  <c r="X430" i="3"/>
  <c r="AD408" i="5" l="1"/>
  <c r="AC427" i="5"/>
  <c r="AC423" i="5"/>
  <c r="AC419" i="5"/>
  <c r="AC415" i="5"/>
  <c r="AC411" i="5"/>
  <c r="AC429" i="5"/>
  <c r="AC425" i="5"/>
  <c r="AC421" i="5"/>
  <c r="AC417" i="5"/>
  <c r="AC413" i="5"/>
  <c r="AC409" i="5"/>
  <c r="AD430" i="5"/>
  <c r="AD428" i="5"/>
  <c r="AD426" i="5"/>
  <c r="AD424" i="5"/>
  <c r="AD422" i="5"/>
  <c r="AD420" i="5"/>
  <c r="AD418" i="5"/>
  <c r="AD416" i="5"/>
  <c r="AD414" i="5"/>
  <c r="AD412" i="5"/>
  <c r="AD410" i="5"/>
  <c r="AA412" i="3"/>
  <c r="AA413" i="3"/>
  <c r="AA414" i="3"/>
  <c r="AA415" i="3"/>
  <c r="AA416" i="3"/>
  <c r="AA408" i="3"/>
  <c r="AA409" i="3"/>
  <c r="AA410" i="3"/>
  <c r="AA411" i="3"/>
  <c r="AB321" i="5" l="1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O321" i="5"/>
  <c r="P321" i="5"/>
  <c r="Q321" i="5"/>
  <c r="R321" i="5"/>
  <c r="S321" i="5"/>
  <c r="T321" i="5"/>
  <c r="U321" i="5"/>
  <c r="V321" i="5"/>
  <c r="W321" i="5"/>
  <c r="X321" i="5"/>
  <c r="O322" i="5"/>
  <c r="P322" i="5"/>
  <c r="Q322" i="5"/>
  <c r="R322" i="5"/>
  <c r="S322" i="5"/>
  <c r="T322" i="5"/>
  <c r="U322" i="5"/>
  <c r="AC322" i="5" s="1"/>
  <c r="V322" i="5"/>
  <c r="W322" i="5"/>
  <c r="X322" i="5"/>
  <c r="O323" i="5"/>
  <c r="P323" i="5"/>
  <c r="Q323" i="5"/>
  <c r="R323" i="5"/>
  <c r="S323" i="5"/>
  <c r="T323" i="5"/>
  <c r="U323" i="5"/>
  <c r="AD323" i="5" s="1"/>
  <c r="V323" i="5"/>
  <c r="W323" i="5"/>
  <c r="X323" i="5"/>
  <c r="O324" i="5"/>
  <c r="P324" i="5"/>
  <c r="Q324" i="5"/>
  <c r="R324" i="5"/>
  <c r="S324" i="5"/>
  <c r="T324" i="5"/>
  <c r="U324" i="5"/>
  <c r="V324" i="5"/>
  <c r="W324" i="5"/>
  <c r="X324" i="5"/>
  <c r="O325" i="5"/>
  <c r="P325" i="5"/>
  <c r="Q325" i="5"/>
  <c r="R325" i="5"/>
  <c r="S325" i="5"/>
  <c r="T325" i="5"/>
  <c r="U325" i="5"/>
  <c r="V325" i="5"/>
  <c r="W325" i="5"/>
  <c r="AC325" i="5" s="1"/>
  <c r="X325" i="5"/>
  <c r="O326" i="5"/>
  <c r="P326" i="5"/>
  <c r="Q326" i="5"/>
  <c r="R326" i="5"/>
  <c r="S326" i="5"/>
  <c r="T326" i="5"/>
  <c r="U326" i="5"/>
  <c r="AC326" i="5" s="1"/>
  <c r="V326" i="5"/>
  <c r="W326" i="5"/>
  <c r="X326" i="5"/>
  <c r="O327" i="5"/>
  <c r="P327" i="5"/>
  <c r="Q327" i="5"/>
  <c r="R327" i="5"/>
  <c r="S327" i="5"/>
  <c r="T327" i="5"/>
  <c r="U327" i="5"/>
  <c r="AC327" i="5" s="1"/>
  <c r="V327" i="5"/>
  <c r="W327" i="5"/>
  <c r="X327" i="5"/>
  <c r="O328" i="5"/>
  <c r="P328" i="5"/>
  <c r="Q328" i="5"/>
  <c r="R328" i="5"/>
  <c r="S328" i="5"/>
  <c r="T328" i="5"/>
  <c r="U328" i="5"/>
  <c r="V328" i="5"/>
  <c r="W328" i="5"/>
  <c r="X328" i="5"/>
  <c r="O329" i="5"/>
  <c r="P329" i="5"/>
  <c r="Q329" i="5"/>
  <c r="R329" i="5"/>
  <c r="S329" i="5"/>
  <c r="T329" i="5"/>
  <c r="U329" i="5"/>
  <c r="V329" i="5"/>
  <c r="W329" i="5"/>
  <c r="X329" i="5"/>
  <c r="O330" i="5"/>
  <c r="P330" i="5"/>
  <c r="Q330" i="5"/>
  <c r="R330" i="5"/>
  <c r="S330" i="5"/>
  <c r="T330" i="5"/>
  <c r="U330" i="5"/>
  <c r="AD330" i="5" s="1"/>
  <c r="V330" i="5"/>
  <c r="W330" i="5"/>
  <c r="X330" i="5"/>
  <c r="O331" i="5"/>
  <c r="P331" i="5"/>
  <c r="Q331" i="5"/>
  <c r="R331" i="5"/>
  <c r="S331" i="5"/>
  <c r="T331" i="5"/>
  <c r="U331" i="5"/>
  <c r="AD331" i="5" s="1"/>
  <c r="V331" i="5"/>
  <c r="W331" i="5"/>
  <c r="X331" i="5"/>
  <c r="O332" i="5"/>
  <c r="P332" i="5"/>
  <c r="Q332" i="5"/>
  <c r="R332" i="5"/>
  <c r="S332" i="5"/>
  <c r="T332" i="5"/>
  <c r="U332" i="5"/>
  <c r="AC332" i="5" s="1"/>
  <c r="V332" i="5"/>
  <c r="W332" i="5"/>
  <c r="X332" i="5"/>
  <c r="O333" i="5"/>
  <c r="P333" i="5"/>
  <c r="Q333" i="5"/>
  <c r="R333" i="5"/>
  <c r="S333" i="5"/>
  <c r="T333" i="5"/>
  <c r="U333" i="5"/>
  <c r="V333" i="5"/>
  <c r="W333" i="5"/>
  <c r="AC333" i="5" s="1"/>
  <c r="X333" i="5"/>
  <c r="O334" i="5"/>
  <c r="P334" i="5"/>
  <c r="Q334" i="5"/>
  <c r="R334" i="5"/>
  <c r="S334" i="5"/>
  <c r="T334" i="5"/>
  <c r="U334" i="5"/>
  <c r="AC334" i="5" s="1"/>
  <c r="V334" i="5"/>
  <c r="W334" i="5"/>
  <c r="X334" i="5"/>
  <c r="O335" i="5"/>
  <c r="P335" i="5"/>
  <c r="Q335" i="5"/>
  <c r="R335" i="5"/>
  <c r="S335" i="5"/>
  <c r="T335" i="5"/>
  <c r="U335" i="5"/>
  <c r="AC335" i="5" s="1"/>
  <c r="V335" i="5"/>
  <c r="W335" i="5"/>
  <c r="X335" i="5"/>
  <c r="O336" i="5"/>
  <c r="P336" i="5"/>
  <c r="Q336" i="5"/>
  <c r="R336" i="5"/>
  <c r="S336" i="5"/>
  <c r="T336" i="5"/>
  <c r="U336" i="5"/>
  <c r="AC336" i="5" s="1"/>
  <c r="V336" i="5"/>
  <c r="W336" i="5"/>
  <c r="X336" i="5"/>
  <c r="O337" i="5"/>
  <c r="P337" i="5"/>
  <c r="Q337" i="5"/>
  <c r="R337" i="5"/>
  <c r="S337" i="5"/>
  <c r="T337" i="5"/>
  <c r="U337" i="5"/>
  <c r="V337" i="5"/>
  <c r="W337" i="5"/>
  <c r="X337" i="5"/>
  <c r="O338" i="5"/>
  <c r="P338" i="5"/>
  <c r="Q338" i="5"/>
  <c r="R338" i="5"/>
  <c r="S338" i="5"/>
  <c r="T338" i="5"/>
  <c r="U338" i="5"/>
  <c r="AC338" i="5" s="1"/>
  <c r="V338" i="5"/>
  <c r="W338" i="5"/>
  <c r="X338" i="5"/>
  <c r="O339" i="5"/>
  <c r="P339" i="5"/>
  <c r="Q339" i="5"/>
  <c r="R339" i="5"/>
  <c r="S339" i="5"/>
  <c r="T339" i="5"/>
  <c r="U339" i="5"/>
  <c r="AD339" i="5" s="1"/>
  <c r="V339" i="5"/>
  <c r="W339" i="5"/>
  <c r="X339" i="5"/>
  <c r="O340" i="5"/>
  <c r="P340" i="5"/>
  <c r="Q340" i="5"/>
  <c r="R340" i="5"/>
  <c r="S340" i="5"/>
  <c r="T340" i="5"/>
  <c r="U340" i="5"/>
  <c r="AC340" i="5" s="1"/>
  <c r="V340" i="5"/>
  <c r="W340" i="5"/>
  <c r="X340" i="5"/>
  <c r="O341" i="5"/>
  <c r="P341" i="5"/>
  <c r="Q341" i="5"/>
  <c r="R341" i="5"/>
  <c r="S341" i="5"/>
  <c r="T341" i="5"/>
  <c r="U341" i="5"/>
  <c r="V341" i="5"/>
  <c r="W341" i="5"/>
  <c r="AC341" i="5" s="1"/>
  <c r="X341" i="5"/>
  <c r="O342" i="5"/>
  <c r="P342" i="5"/>
  <c r="Q342" i="5"/>
  <c r="R342" i="5"/>
  <c r="S342" i="5"/>
  <c r="T342" i="5"/>
  <c r="U342" i="5"/>
  <c r="AC342" i="5" s="1"/>
  <c r="V342" i="5"/>
  <c r="W342" i="5"/>
  <c r="X342" i="5"/>
  <c r="O343" i="5"/>
  <c r="P343" i="5"/>
  <c r="Q343" i="5"/>
  <c r="R343" i="5"/>
  <c r="S343" i="5"/>
  <c r="T343" i="5"/>
  <c r="U343" i="5"/>
  <c r="AC343" i="5" s="1"/>
  <c r="V343" i="5"/>
  <c r="W343" i="5"/>
  <c r="X343" i="5"/>
  <c r="O344" i="5"/>
  <c r="P344" i="5"/>
  <c r="Q344" i="5"/>
  <c r="R344" i="5"/>
  <c r="S344" i="5"/>
  <c r="T344" i="5"/>
  <c r="U344" i="5"/>
  <c r="AC344" i="5" s="1"/>
  <c r="V344" i="5"/>
  <c r="W344" i="5"/>
  <c r="X344" i="5"/>
  <c r="O345" i="5"/>
  <c r="P345" i="5"/>
  <c r="Q345" i="5"/>
  <c r="R345" i="5"/>
  <c r="S345" i="5"/>
  <c r="T345" i="5"/>
  <c r="U345" i="5"/>
  <c r="V345" i="5"/>
  <c r="W345" i="5"/>
  <c r="X345" i="5"/>
  <c r="O346" i="5"/>
  <c r="P346" i="5"/>
  <c r="Q346" i="5"/>
  <c r="R346" i="5"/>
  <c r="S346" i="5"/>
  <c r="T346" i="5"/>
  <c r="U346" i="5"/>
  <c r="AC346" i="5" s="1"/>
  <c r="V346" i="5"/>
  <c r="W346" i="5"/>
  <c r="X346" i="5"/>
  <c r="O347" i="5"/>
  <c r="P347" i="5"/>
  <c r="Q347" i="5"/>
  <c r="R347" i="5"/>
  <c r="S347" i="5"/>
  <c r="T347" i="5"/>
  <c r="U347" i="5"/>
  <c r="AD347" i="5" s="1"/>
  <c r="V347" i="5"/>
  <c r="W347" i="5"/>
  <c r="X347" i="5"/>
  <c r="O348" i="5"/>
  <c r="P348" i="5"/>
  <c r="Q348" i="5"/>
  <c r="R348" i="5"/>
  <c r="S348" i="5"/>
  <c r="T348" i="5"/>
  <c r="U348" i="5"/>
  <c r="AC348" i="5" s="1"/>
  <c r="V348" i="5"/>
  <c r="W348" i="5"/>
  <c r="X348" i="5"/>
  <c r="O349" i="5"/>
  <c r="P349" i="5"/>
  <c r="Q349" i="5"/>
  <c r="R349" i="5"/>
  <c r="S349" i="5"/>
  <c r="T349" i="5"/>
  <c r="U349" i="5"/>
  <c r="V349" i="5"/>
  <c r="W349" i="5"/>
  <c r="AC349" i="5" s="1"/>
  <c r="X349" i="5"/>
  <c r="O350" i="5"/>
  <c r="P350" i="5"/>
  <c r="Q350" i="5"/>
  <c r="R350" i="5"/>
  <c r="S350" i="5"/>
  <c r="T350" i="5"/>
  <c r="U350" i="5"/>
  <c r="AC350" i="5" s="1"/>
  <c r="V350" i="5"/>
  <c r="W350" i="5"/>
  <c r="X350" i="5"/>
  <c r="O351" i="5"/>
  <c r="P351" i="5"/>
  <c r="Q351" i="5"/>
  <c r="R351" i="5"/>
  <c r="S351" i="5"/>
  <c r="T351" i="5"/>
  <c r="U351" i="5"/>
  <c r="AC351" i="5" s="1"/>
  <c r="V351" i="5"/>
  <c r="W351" i="5"/>
  <c r="X351" i="5"/>
  <c r="O352" i="5"/>
  <c r="P352" i="5"/>
  <c r="Q352" i="5"/>
  <c r="R352" i="5"/>
  <c r="S352" i="5"/>
  <c r="T352" i="5"/>
  <c r="U352" i="5"/>
  <c r="AC352" i="5" s="1"/>
  <c r="V352" i="5"/>
  <c r="W352" i="5"/>
  <c r="X352" i="5"/>
  <c r="O353" i="5"/>
  <c r="P353" i="5"/>
  <c r="Q353" i="5"/>
  <c r="R353" i="5"/>
  <c r="S353" i="5"/>
  <c r="T353" i="5"/>
  <c r="U353" i="5"/>
  <c r="V353" i="5"/>
  <c r="W353" i="5"/>
  <c r="X353" i="5"/>
  <c r="O354" i="5"/>
  <c r="P354" i="5"/>
  <c r="Q354" i="5"/>
  <c r="R354" i="5"/>
  <c r="S354" i="5"/>
  <c r="T354" i="5"/>
  <c r="U354" i="5"/>
  <c r="AD354" i="5" s="1"/>
  <c r="V354" i="5"/>
  <c r="W354" i="5"/>
  <c r="X354" i="5"/>
  <c r="O355" i="5"/>
  <c r="P355" i="5"/>
  <c r="Q355" i="5"/>
  <c r="R355" i="5"/>
  <c r="S355" i="5"/>
  <c r="T355" i="5"/>
  <c r="U355" i="5"/>
  <c r="AD355" i="5" s="1"/>
  <c r="V355" i="5"/>
  <c r="W355" i="5"/>
  <c r="X355" i="5"/>
  <c r="O356" i="5"/>
  <c r="P356" i="5"/>
  <c r="Q356" i="5"/>
  <c r="R356" i="5"/>
  <c r="S356" i="5"/>
  <c r="T356" i="5"/>
  <c r="U356" i="5"/>
  <c r="AC356" i="5" s="1"/>
  <c r="V356" i="5"/>
  <c r="W356" i="5"/>
  <c r="X356" i="5"/>
  <c r="O357" i="5"/>
  <c r="P357" i="5"/>
  <c r="Q357" i="5"/>
  <c r="R357" i="5"/>
  <c r="S357" i="5"/>
  <c r="T357" i="5"/>
  <c r="U357" i="5"/>
  <c r="V357" i="5"/>
  <c r="W357" i="5"/>
  <c r="AC357" i="5" s="1"/>
  <c r="X357" i="5"/>
  <c r="O358" i="5"/>
  <c r="P358" i="5"/>
  <c r="Q358" i="5"/>
  <c r="R358" i="5"/>
  <c r="S358" i="5"/>
  <c r="T358" i="5"/>
  <c r="U358" i="5"/>
  <c r="AC358" i="5" s="1"/>
  <c r="V358" i="5"/>
  <c r="W358" i="5"/>
  <c r="X358" i="5"/>
  <c r="O359" i="5"/>
  <c r="P359" i="5"/>
  <c r="Q359" i="5"/>
  <c r="R359" i="5"/>
  <c r="S359" i="5"/>
  <c r="T359" i="5"/>
  <c r="U359" i="5"/>
  <c r="V359" i="5"/>
  <c r="W359" i="5"/>
  <c r="X359" i="5"/>
  <c r="O360" i="5"/>
  <c r="P360" i="5"/>
  <c r="Q360" i="5"/>
  <c r="R360" i="5"/>
  <c r="S360" i="5"/>
  <c r="T360" i="5"/>
  <c r="U360" i="5"/>
  <c r="AC360" i="5" s="1"/>
  <c r="V360" i="5"/>
  <c r="W360" i="5"/>
  <c r="X360" i="5"/>
  <c r="O361" i="5"/>
  <c r="P361" i="5"/>
  <c r="Q361" i="5"/>
  <c r="R361" i="5"/>
  <c r="S361" i="5"/>
  <c r="T361" i="5"/>
  <c r="U361" i="5"/>
  <c r="V361" i="5"/>
  <c r="W361" i="5"/>
  <c r="X361" i="5"/>
  <c r="O362" i="5"/>
  <c r="P362" i="5"/>
  <c r="Q362" i="5"/>
  <c r="R362" i="5"/>
  <c r="S362" i="5"/>
  <c r="T362" i="5"/>
  <c r="U362" i="5"/>
  <c r="AC362" i="5" s="1"/>
  <c r="V362" i="5"/>
  <c r="W362" i="5"/>
  <c r="X362" i="5"/>
  <c r="O363" i="5"/>
  <c r="P363" i="5"/>
  <c r="Q363" i="5"/>
  <c r="R363" i="5"/>
  <c r="S363" i="5"/>
  <c r="T363" i="5"/>
  <c r="U363" i="5"/>
  <c r="V363" i="5"/>
  <c r="W363" i="5"/>
  <c r="X363" i="5"/>
  <c r="O364" i="5"/>
  <c r="P364" i="5"/>
  <c r="Q364" i="5"/>
  <c r="R364" i="5"/>
  <c r="S364" i="5"/>
  <c r="T364" i="5"/>
  <c r="U364" i="5"/>
  <c r="AC364" i="5" s="1"/>
  <c r="V364" i="5"/>
  <c r="W364" i="5"/>
  <c r="X364" i="5"/>
  <c r="O365" i="5"/>
  <c r="P365" i="5"/>
  <c r="Q365" i="5"/>
  <c r="R365" i="5"/>
  <c r="S365" i="5"/>
  <c r="T365" i="5"/>
  <c r="U365" i="5"/>
  <c r="V365" i="5"/>
  <c r="W365" i="5"/>
  <c r="AC365" i="5" s="1"/>
  <c r="X365" i="5"/>
  <c r="O366" i="5"/>
  <c r="P366" i="5"/>
  <c r="Q366" i="5"/>
  <c r="R366" i="5"/>
  <c r="S366" i="5"/>
  <c r="T366" i="5"/>
  <c r="U366" i="5"/>
  <c r="AC366" i="5" s="1"/>
  <c r="V366" i="5"/>
  <c r="W366" i="5"/>
  <c r="X366" i="5"/>
  <c r="O367" i="5"/>
  <c r="P367" i="5"/>
  <c r="Q367" i="5"/>
  <c r="R367" i="5"/>
  <c r="S367" i="5"/>
  <c r="T367" i="5"/>
  <c r="U367" i="5"/>
  <c r="V367" i="5"/>
  <c r="W367" i="5"/>
  <c r="X367" i="5"/>
  <c r="O368" i="5"/>
  <c r="P368" i="5"/>
  <c r="Q368" i="5"/>
  <c r="R368" i="5"/>
  <c r="S368" i="5"/>
  <c r="T368" i="5"/>
  <c r="U368" i="5"/>
  <c r="AC368" i="5" s="1"/>
  <c r="V368" i="5"/>
  <c r="W368" i="5"/>
  <c r="X368" i="5"/>
  <c r="O369" i="5"/>
  <c r="P369" i="5"/>
  <c r="Q369" i="5"/>
  <c r="R369" i="5"/>
  <c r="S369" i="5"/>
  <c r="T369" i="5"/>
  <c r="U369" i="5"/>
  <c r="V369" i="5"/>
  <c r="W369" i="5"/>
  <c r="X369" i="5"/>
  <c r="O370" i="5"/>
  <c r="P370" i="5"/>
  <c r="Q370" i="5"/>
  <c r="R370" i="5"/>
  <c r="S370" i="5"/>
  <c r="T370" i="5"/>
  <c r="U370" i="5"/>
  <c r="AD370" i="5" s="1"/>
  <c r="V370" i="5"/>
  <c r="W370" i="5"/>
  <c r="X370" i="5"/>
  <c r="O371" i="5"/>
  <c r="P371" i="5"/>
  <c r="Q371" i="5"/>
  <c r="R371" i="5"/>
  <c r="S371" i="5"/>
  <c r="T371" i="5"/>
  <c r="U371" i="5"/>
  <c r="V371" i="5"/>
  <c r="W371" i="5"/>
  <c r="X371" i="5"/>
  <c r="O372" i="5"/>
  <c r="P372" i="5"/>
  <c r="Q372" i="5"/>
  <c r="R372" i="5"/>
  <c r="S372" i="5"/>
  <c r="T372" i="5"/>
  <c r="U372" i="5"/>
  <c r="AC372" i="5" s="1"/>
  <c r="V372" i="5"/>
  <c r="W372" i="5"/>
  <c r="X372" i="5"/>
  <c r="O373" i="5"/>
  <c r="P373" i="5"/>
  <c r="Q373" i="5"/>
  <c r="R373" i="5"/>
  <c r="S373" i="5"/>
  <c r="T373" i="5"/>
  <c r="U373" i="5"/>
  <c r="V373" i="5"/>
  <c r="W373" i="5"/>
  <c r="AC373" i="5" s="1"/>
  <c r="X373" i="5"/>
  <c r="O374" i="5"/>
  <c r="P374" i="5"/>
  <c r="Q374" i="5"/>
  <c r="R374" i="5"/>
  <c r="S374" i="5"/>
  <c r="T374" i="5"/>
  <c r="U374" i="5"/>
  <c r="AC374" i="5" s="1"/>
  <c r="V374" i="5"/>
  <c r="W374" i="5"/>
  <c r="X374" i="5"/>
  <c r="O375" i="5"/>
  <c r="P375" i="5"/>
  <c r="Q375" i="5"/>
  <c r="R375" i="5"/>
  <c r="S375" i="5"/>
  <c r="T375" i="5"/>
  <c r="U375" i="5"/>
  <c r="V375" i="5"/>
  <c r="W375" i="5"/>
  <c r="X375" i="5"/>
  <c r="O376" i="5"/>
  <c r="P376" i="5"/>
  <c r="Q376" i="5"/>
  <c r="R376" i="5"/>
  <c r="S376" i="5"/>
  <c r="T376" i="5"/>
  <c r="U376" i="5"/>
  <c r="AC376" i="5" s="1"/>
  <c r="V376" i="5"/>
  <c r="W376" i="5"/>
  <c r="X376" i="5"/>
  <c r="O377" i="5"/>
  <c r="P377" i="5"/>
  <c r="Q377" i="5"/>
  <c r="R377" i="5"/>
  <c r="S377" i="5"/>
  <c r="T377" i="5"/>
  <c r="U377" i="5"/>
  <c r="V377" i="5"/>
  <c r="W377" i="5"/>
  <c r="X377" i="5"/>
  <c r="O378" i="5"/>
  <c r="P378" i="5"/>
  <c r="Q378" i="5"/>
  <c r="R378" i="5"/>
  <c r="S378" i="5"/>
  <c r="T378" i="5"/>
  <c r="U378" i="5"/>
  <c r="AD378" i="5" s="1"/>
  <c r="V378" i="5"/>
  <c r="W378" i="5"/>
  <c r="X378" i="5"/>
  <c r="O379" i="5"/>
  <c r="P379" i="5"/>
  <c r="Q379" i="5"/>
  <c r="R379" i="5"/>
  <c r="S379" i="5"/>
  <c r="T379" i="5"/>
  <c r="U379" i="5"/>
  <c r="V379" i="5"/>
  <c r="W379" i="5"/>
  <c r="X379" i="5"/>
  <c r="O380" i="5"/>
  <c r="P380" i="5"/>
  <c r="Q380" i="5"/>
  <c r="R380" i="5"/>
  <c r="S380" i="5"/>
  <c r="T380" i="5"/>
  <c r="U380" i="5"/>
  <c r="AC380" i="5" s="1"/>
  <c r="V380" i="5"/>
  <c r="W380" i="5"/>
  <c r="X380" i="5"/>
  <c r="O381" i="5"/>
  <c r="P381" i="5"/>
  <c r="Q381" i="5"/>
  <c r="R381" i="5"/>
  <c r="S381" i="5"/>
  <c r="T381" i="5"/>
  <c r="U381" i="5"/>
  <c r="V381" i="5"/>
  <c r="W381" i="5"/>
  <c r="AC381" i="5" s="1"/>
  <c r="X381" i="5"/>
  <c r="O382" i="5"/>
  <c r="P382" i="5"/>
  <c r="Q382" i="5"/>
  <c r="R382" i="5"/>
  <c r="S382" i="5"/>
  <c r="T382" i="5"/>
  <c r="U382" i="5"/>
  <c r="AC382" i="5" s="1"/>
  <c r="V382" i="5"/>
  <c r="W382" i="5"/>
  <c r="X382" i="5"/>
  <c r="O383" i="5"/>
  <c r="P383" i="5"/>
  <c r="Q383" i="5"/>
  <c r="R383" i="5"/>
  <c r="S383" i="5"/>
  <c r="T383" i="5"/>
  <c r="U383" i="5"/>
  <c r="V383" i="5"/>
  <c r="W383" i="5"/>
  <c r="X383" i="5"/>
  <c r="O384" i="5"/>
  <c r="P384" i="5"/>
  <c r="Q384" i="5"/>
  <c r="R384" i="5"/>
  <c r="S384" i="5"/>
  <c r="T384" i="5"/>
  <c r="U384" i="5"/>
  <c r="AC384" i="5" s="1"/>
  <c r="V384" i="5"/>
  <c r="W384" i="5"/>
  <c r="X384" i="5"/>
  <c r="O385" i="5"/>
  <c r="P385" i="5"/>
  <c r="Q385" i="5"/>
  <c r="R385" i="5"/>
  <c r="S385" i="5"/>
  <c r="T385" i="5"/>
  <c r="U385" i="5"/>
  <c r="V385" i="5"/>
  <c r="W385" i="5"/>
  <c r="X385" i="5"/>
  <c r="O386" i="5"/>
  <c r="P386" i="5"/>
  <c r="Q386" i="5"/>
  <c r="R386" i="5"/>
  <c r="S386" i="5"/>
  <c r="T386" i="5"/>
  <c r="U386" i="5"/>
  <c r="AC386" i="5" s="1"/>
  <c r="V386" i="5"/>
  <c r="W386" i="5"/>
  <c r="X386" i="5"/>
  <c r="O387" i="5"/>
  <c r="P387" i="5"/>
  <c r="Q387" i="5"/>
  <c r="R387" i="5"/>
  <c r="S387" i="5"/>
  <c r="T387" i="5"/>
  <c r="U387" i="5"/>
  <c r="V387" i="5"/>
  <c r="W387" i="5"/>
  <c r="X387" i="5"/>
  <c r="O388" i="5"/>
  <c r="P388" i="5"/>
  <c r="Q388" i="5"/>
  <c r="R388" i="5"/>
  <c r="S388" i="5"/>
  <c r="T388" i="5"/>
  <c r="U388" i="5"/>
  <c r="AC388" i="5" s="1"/>
  <c r="V388" i="5"/>
  <c r="W388" i="5"/>
  <c r="X388" i="5"/>
  <c r="O389" i="5"/>
  <c r="P389" i="5"/>
  <c r="Q389" i="5"/>
  <c r="R389" i="5"/>
  <c r="S389" i="5"/>
  <c r="T389" i="5"/>
  <c r="U389" i="5"/>
  <c r="V389" i="5"/>
  <c r="W389" i="5"/>
  <c r="AC389" i="5" s="1"/>
  <c r="X389" i="5"/>
  <c r="O390" i="5"/>
  <c r="P390" i="5"/>
  <c r="Q390" i="5"/>
  <c r="R390" i="5"/>
  <c r="S390" i="5"/>
  <c r="T390" i="5"/>
  <c r="U390" i="5"/>
  <c r="AC390" i="5" s="1"/>
  <c r="V390" i="5"/>
  <c r="W390" i="5"/>
  <c r="X390" i="5"/>
  <c r="O391" i="5"/>
  <c r="P391" i="5"/>
  <c r="Q391" i="5"/>
  <c r="R391" i="5"/>
  <c r="S391" i="5"/>
  <c r="T391" i="5"/>
  <c r="U391" i="5"/>
  <c r="V391" i="5"/>
  <c r="W391" i="5"/>
  <c r="X391" i="5"/>
  <c r="O392" i="5"/>
  <c r="P392" i="5"/>
  <c r="Q392" i="5"/>
  <c r="R392" i="5"/>
  <c r="S392" i="5"/>
  <c r="T392" i="5"/>
  <c r="U392" i="5"/>
  <c r="AC392" i="5" s="1"/>
  <c r="V392" i="5"/>
  <c r="W392" i="5"/>
  <c r="X392" i="5"/>
  <c r="O393" i="5"/>
  <c r="P393" i="5"/>
  <c r="Q393" i="5"/>
  <c r="R393" i="5"/>
  <c r="S393" i="5"/>
  <c r="T393" i="5"/>
  <c r="U393" i="5"/>
  <c r="V393" i="5"/>
  <c r="W393" i="5"/>
  <c r="X393" i="5"/>
  <c r="O394" i="5"/>
  <c r="P394" i="5"/>
  <c r="Q394" i="5"/>
  <c r="R394" i="5"/>
  <c r="S394" i="5"/>
  <c r="T394" i="5"/>
  <c r="U394" i="5"/>
  <c r="AC394" i="5" s="1"/>
  <c r="V394" i="5"/>
  <c r="W394" i="5"/>
  <c r="X394" i="5"/>
  <c r="O395" i="5"/>
  <c r="P395" i="5"/>
  <c r="Q395" i="5"/>
  <c r="R395" i="5"/>
  <c r="S395" i="5"/>
  <c r="T395" i="5"/>
  <c r="U395" i="5"/>
  <c r="V395" i="5"/>
  <c r="W395" i="5"/>
  <c r="X395" i="5"/>
  <c r="O396" i="5"/>
  <c r="P396" i="5"/>
  <c r="Q396" i="5"/>
  <c r="R396" i="5"/>
  <c r="S396" i="5"/>
  <c r="T396" i="5"/>
  <c r="U396" i="5"/>
  <c r="AC396" i="5" s="1"/>
  <c r="V396" i="5"/>
  <c r="W396" i="5"/>
  <c r="X396" i="5"/>
  <c r="O397" i="5"/>
  <c r="P397" i="5"/>
  <c r="Q397" i="5"/>
  <c r="R397" i="5"/>
  <c r="S397" i="5"/>
  <c r="T397" i="5"/>
  <c r="U397" i="5"/>
  <c r="V397" i="5"/>
  <c r="W397" i="5"/>
  <c r="AC397" i="5" s="1"/>
  <c r="X397" i="5"/>
  <c r="O398" i="5"/>
  <c r="P398" i="5"/>
  <c r="Q398" i="5"/>
  <c r="R398" i="5"/>
  <c r="S398" i="5"/>
  <c r="T398" i="5"/>
  <c r="U398" i="5"/>
  <c r="AC398" i="5" s="1"/>
  <c r="V398" i="5"/>
  <c r="W398" i="5"/>
  <c r="X398" i="5"/>
  <c r="O399" i="5"/>
  <c r="P399" i="5"/>
  <c r="Q399" i="5"/>
  <c r="R399" i="5"/>
  <c r="S399" i="5"/>
  <c r="T399" i="5"/>
  <c r="U399" i="5"/>
  <c r="V399" i="5"/>
  <c r="W399" i="5"/>
  <c r="X399" i="5"/>
  <c r="O400" i="5"/>
  <c r="P400" i="5"/>
  <c r="Q400" i="5"/>
  <c r="R400" i="5"/>
  <c r="S400" i="5"/>
  <c r="T400" i="5"/>
  <c r="U400" i="5"/>
  <c r="AC400" i="5" s="1"/>
  <c r="V400" i="5"/>
  <c r="W400" i="5"/>
  <c r="X400" i="5"/>
  <c r="O401" i="5"/>
  <c r="P401" i="5"/>
  <c r="Q401" i="5"/>
  <c r="R401" i="5"/>
  <c r="S401" i="5"/>
  <c r="T401" i="5"/>
  <c r="U401" i="5"/>
  <c r="V401" i="5"/>
  <c r="W401" i="5"/>
  <c r="X401" i="5"/>
  <c r="O402" i="5"/>
  <c r="P402" i="5"/>
  <c r="Q402" i="5"/>
  <c r="R402" i="5"/>
  <c r="S402" i="5"/>
  <c r="T402" i="5"/>
  <c r="U402" i="5"/>
  <c r="AD402" i="5" s="1"/>
  <c r="V402" i="5"/>
  <c r="W402" i="5"/>
  <c r="X402" i="5"/>
  <c r="O403" i="5"/>
  <c r="P403" i="5"/>
  <c r="Q403" i="5"/>
  <c r="R403" i="5"/>
  <c r="S403" i="5"/>
  <c r="T403" i="5"/>
  <c r="U403" i="5"/>
  <c r="V403" i="5"/>
  <c r="W403" i="5"/>
  <c r="X403" i="5"/>
  <c r="O404" i="5"/>
  <c r="P404" i="5"/>
  <c r="Q404" i="5"/>
  <c r="R404" i="5"/>
  <c r="S404" i="5"/>
  <c r="T404" i="5"/>
  <c r="U404" i="5"/>
  <c r="AC404" i="5" s="1"/>
  <c r="V404" i="5"/>
  <c r="W404" i="5"/>
  <c r="X404" i="5"/>
  <c r="O405" i="5"/>
  <c r="P405" i="5"/>
  <c r="Q405" i="5"/>
  <c r="R405" i="5"/>
  <c r="S405" i="5"/>
  <c r="T405" i="5"/>
  <c r="U405" i="5"/>
  <c r="V405" i="5"/>
  <c r="W405" i="5"/>
  <c r="AC405" i="5" s="1"/>
  <c r="X405" i="5"/>
  <c r="O406" i="5"/>
  <c r="P406" i="5"/>
  <c r="Q406" i="5"/>
  <c r="R406" i="5"/>
  <c r="S406" i="5"/>
  <c r="T406" i="5"/>
  <c r="U406" i="5"/>
  <c r="AC406" i="5" s="1"/>
  <c r="V406" i="5"/>
  <c r="W406" i="5"/>
  <c r="X406" i="5"/>
  <c r="O407" i="5"/>
  <c r="P407" i="5"/>
  <c r="Q407" i="5"/>
  <c r="R407" i="5"/>
  <c r="S407" i="5"/>
  <c r="T407" i="5"/>
  <c r="U407" i="5"/>
  <c r="V407" i="5"/>
  <c r="W407" i="5"/>
  <c r="X407" i="5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O321" i="3"/>
  <c r="P321" i="3"/>
  <c r="Q321" i="3"/>
  <c r="R321" i="3"/>
  <c r="S321" i="3"/>
  <c r="T321" i="3"/>
  <c r="U321" i="3"/>
  <c r="V321" i="3"/>
  <c r="W321" i="3"/>
  <c r="X321" i="3"/>
  <c r="O322" i="3"/>
  <c r="P322" i="3"/>
  <c r="Q322" i="3"/>
  <c r="R322" i="3"/>
  <c r="S322" i="3"/>
  <c r="T322" i="3"/>
  <c r="U322" i="3"/>
  <c r="V322" i="3"/>
  <c r="W322" i="3"/>
  <c r="X322" i="3"/>
  <c r="O323" i="3"/>
  <c r="P323" i="3"/>
  <c r="Q323" i="3"/>
  <c r="R323" i="3"/>
  <c r="S323" i="3"/>
  <c r="T323" i="3"/>
  <c r="U323" i="3"/>
  <c r="V323" i="3"/>
  <c r="W323" i="3"/>
  <c r="X323" i="3"/>
  <c r="O324" i="3"/>
  <c r="P324" i="3"/>
  <c r="Q324" i="3"/>
  <c r="R324" i="3"/>
  <c r="S324" i="3"/>
  <c r="T324" i="3"/>
  <c r="U324" i="3"/>
  <c r="V324" i="3"/>
  <c r="W324" i="3"/>
  <c r="X324" i="3"/>
  <c r="O325" i="3"/>
  <c r="P325" i="3"/>
  <c r="Q325" i="3"/>
  <c r="R325" i="3"/>
  <c r="S325" i="3"/>
  <c r="T325" i="3"/>
  <c r="U325" i="3"/>
  <c r="V325" i="3"/>
  <c r="W325" i="3"/>
  <c r="X325" i="3"/>
  <c r="O326" i="3"/>
  <c r="P326" i="3"/>
  <c r="Q326" i="3"/>
  <c r="R326" i="3"/>
  <c r="S326" i="3"/>
  <c r="T326" i="3"/>
  <c r="U326" i="3"/>
  <c r="V326" i="3"/>
  <c r="W326" i="3"/>
  <c r="X326" i="3"/>
  <c r="O327" i="3"/>
  <c r="P327" i="3"/>
  <c r="Q327" i="3"/>
  <c r="R327" i="3"/>
  <c r="S327" i="3"/>
  <c r="T327" i="3"/>
  <c r="U327" i="3"/>
  <c r="V327" i="3"/>
  <c r="W327" i="3"/>
  <c r="X327" i="3"/>
  <c r="O328" i="3"/>
  <c r="P328" i="3"/>
  <c r="Q328" i="3"/>
  <c r="R328" i="3"/>
  <c r="S328" i="3"/>
  <c r="T328" i="3"/>
  <c r="U328" i="3"/>
  <c r="V328" i="3"/>
  <c r="W328" i="3"/>
  <c r="X328" i="3"/>
  <c r="O329" i="3"/>
  <c r="P329" i="3"/>
  <c r="Q329" i="3"/>
  <c r="R329" i="3"/>
  <c r="S329" i="3"/>
  <c r="T329" i="3"/>
  <c r="U329" i="3"/>
  <c r="V329" i="3"/>
  <c r="W329" i="3"/>
  <c r="X329" i="3"/>
  <c r="O330" i="3"/>
  <c r="P330" i="3"/>
  <c r="Q330" i="3"/>
  <c r="R330" i="3"/>
  <c r="S330" i="3"/>
  <c r="T330" i="3"/>
  <c r="U330" i="3"/>
  <c r="V330" i="3"/>
  <c r="W330" i="3"/>
  <c r="X330" i="3"/>
  <c r="O331" i="3"/>
  <c r="P331" i="3"/>
  <c r="Q331" i="3"/>
  <c r="R331" i="3"/>
  <c r="S331" i="3"/>
  <c r="T331" i="3"/>
  <c r="U331" i="3"/>
  <c r="V331" i="3"/>
  <c r="W331" i="3"/>
  <c r="X331" i="3"/>
  <c r="O332" i="3"/>
  <c r="P332" i="3"/>
  <c r="Q332" i="3"/>
  <c r="R332" i="3"/>
  <c r="S332" i="3"/>
  <c r="T332" i="3"/>
  <c r="U332" i="3"/>
  <c r="V332" i="3"/>
  <c r="W332" i="3"/>
  <c r="X332" i="3"/>
  <c r="O333" i="3"/>
  <c r="P333" i="3"/>
  <c r="Q333" i="3"/>
  <c r="R333" i="3"/>
  <c r="S333" i="3"/>
  <c r="T333" i="3"/>
  <c r="U333" i="3"/>
  <c r="V333" i="3"/>
  <c r="W333" i="3"/>
  <c r="X333" i="3"/>
  <c r="O334" i="3"/>
  <c r="P334" i="3"/>
  <c r="Q334" i="3"/>
  <c r="R334" i="3"/>
  <c r="S334" i="3"/>
  <c r="T334" i="3"/>
  <c r="U334" i="3"/>
  <c r="V334" i="3"/>
  <c r="W334" i="3"/>
  <c r="X334" i="3"/>
  <c r="O335" i="3"/>
  <c r="P335" i="3"/>
  <c r="Q335" i="3"/>
  <c r="R335" i="3"/>
  <c r="S335" i="3"/>
  <c r="T335" i="3"/>
  <c r="U335" i="3"/>
  <c r="V335" i="3"/>
  <c r="W335" i="3"/>
  <c r="X335" i="3"/>
  <c r="O336" i="3"/>
  <c r="P336" i="3"/>
  <c r="Q336" i="3"/>
  <c r="R336" i="3"/>
  <c r="S336" i="3"/>
  <c r="T336" i="3"/>
  <c r="U336" i="3"/>
  <c r="V336" i="3"/>
  <c r="W336" i="3"/>
  <c r="X336" i="3"/>
  <c r="O337" i="3"/>
  <c r="P337" i="3"/>
  <c r="Q337" i="3"/>
  <c r="R337" i="3"/>
  <c r="S337" i="3"/>
  <c r="T337" i="3"/>
  <c r="U337" i="3"/>
  <c r="V337" i="3"/>
  <c r="W337" i="3"/>
  <c r="X337" i="3"/>
  <c r="O338" i="3"/>
  <c r="P338" i="3"/>
  <c r="Q338" i="3"/>
  <c r="R338" i="3"/>
  <c r="S338" i="3"/>
  <c r="T338" i="3"/>
  <c r="U338" i="3"/>
  <c r="V338" i="3"/>
  <c r="W338" i="3"/>
  <c r="X338" i="3"/>
  <c r="O339" i="3"/>
  <c r="P339" i="3"/>
  <c r="Q339" i="3"/>
  <c r="R339" i="3"/>
  <c r="S339" i="3"/>
  <c r="T339" i="3"/>
  <c r="U339" i="3"/>
  <c r="V339" i="3"/>
  <c r="W339" i="3"/>
  <c r="X339" i="3"/>
  <c r="O340" i="3"/>
  <c r="P340" i="3"/>
  <c r="Q340" i="3"/>
  <c r="R340" i="3"/>
  <c r="S340" i="3"/>
  <c r="T340" i="3"/>
  <c r="U340" i="3"/>
  <c r="V340" i="3"/>
  <c r="W340" i="3"/>
  <c r="X340" i="3"/>
  <c r="O341" i="3"/>
  <c r="P341" i="3"/>
  <c r="Q341" i="3"/>
  <c r="R341" i="3"/>
  <c r="S341" i="3"/>
  <c r="T341" i="3"/>
  <c r="U341" i="3"/>
  <c r="V341" i="3"/>
  <c r="W341" i="3"/>
  <c r="X341" i="3"/>
  <c r="O342" i="3"/>
  <c r="P342" i="3"/>
  <c r="Q342" i="3"/>
  <c r="R342" i="3"/>
  <c r="S342" i="3"/>
  <c r="T342" i="3"/>
  <c r="U342" i="3"/>
  <c r="V342" i="3"/>
  <c r="W342" i="3"/>
  <c r="X342" i="3"/>
  <c r="O343" i="3"/>
  <c r="P343" i="3"/>
  <c r="Q343" i="3"/>
  <c r="R343" i="3"/>
  <c r="S343" i="3"/>
  <c r="T343" i="3"/>
  <c r="U343" i="3"/>
  <c r="V343" i="3"/>
  <c r="W343" i="3"/>
  <c r="X343" i="3"/>
  <c r="O344" i="3"/>
  <c r="P344" i="3"/>
  <c r="Q344" i="3"/>
  <c r="R344" i="3"/>
  <c r="S344" i="3"/>
  <c r="T344" i="3"/>
  <c r="U344" i="3"/>
  <c r="V344" i="3"/>
  <c r="W344" i="3"/>
  <c r="X344" i="3"/>
  <c r="O345" i="3"/>
  <c r="P345" i="3"/>
  <c r="Q345" i="3"/>
  <c r="R345" i="3"/>
  <c r="S345" i="3"/>
  <c r="T345" i="3"/>
  <c r="U345" i="3"/>
  <c r="V345" i="3"/>
  <c r="W345" i="3"/>
  <c r="X345" i="3"/>
  <c r="O346" i="3"/>
  <c r="P346" i="3"/>
  <c r="Q346" i="3"/>
  <c r="R346" i="3"/>
  <c r="S346" i="3"/>
  <c r="T346" i="3"/>
  <c r="U346" i="3"/>
  <c r="V346" i="3"/>
  <c r="W346" i="3"/>
  <c r="X346" i="3"/>
  <c r="O347" i="3"/>
  <c r="P347" i="3"/>
  <c r="Q347" i="3"/>
  <c r="R347" i="3"/>
  <c r="S347" i="3"/>
  <c r="T347" i="3"/>
  <c r="U347" i="3"/>
  <c r="V347" i="3"/>
  <c r="W347" i="3"/>
  <c r="X347" i="3"/>
  <c r="O348" i="3"/>
  <c r="P348" i="3"/>
  <c r="Q348" i="3"/>
  <c r="R348" i="3"/>
  <c r="S348" i="3"/>
  <c r="T348" i="3"/>
  <c r="U348" i="3"/>
  <c r="V348" i="3"/>
  <c r="W348" i="3"/>
  <c r="X348" i="3"/>
  <c r="O349" i="3"/>
  <c r="P349" i="3"/>
  <c r="Q349" i="3"/>
  <c r="R349" i="3"/>
  <c r="S349" i="3"/>
  <c r="T349" i="3"/>
  <c r="U349" i="3"/>
  <c r="V349" i="3"/>
  <c r="W349" i="3"/>
  <c r="X349" i="3"/>
  <c r="O350" i="3"/>
  <c r="P350" i="3"/>
  <c r="Q350" i="3"/>
  <c r="R350" i="3"/>
  <c r="S350" i="3"/>
  <c r="T350" i="3"/>
  <c r="U350" i="3"/>
  <c r="V350" i="3"/>
  <c r="W350" i="3"/>
  <c r="X350" i="3"/>
  <c r="O351" i="3"/>
  <c r="P351" i="3"/>
  <c r="Q351" i="3"/>
  <c r="R351" i="3"/>
  <c r="S351" i="3"/>
  <c r="T351" i="3"/>
  <c r="U351" i="3"/>
  <c r="V351" i="3"/>
  <c r="W351" i="3"/>
  <c r="X351" i="3"/>
  <c r="O352" i="3"/>
  <c r="P352" i="3"/>
  <c r="Q352" i="3"/>
  <c r="R352" i="3"/>
  <c r="S352" i="3"/>
  <c r="T352" i="3"/>
  <c r="U352" i="3"/>
  <c r="V352" i="3"/>
  <c r="W352" i="3"/>
  <c r="X352" i="3"/>
  <c r="O353" i="3"/>
  <c r="P353" i="3"/>
  <c r="Q353" i="3"/>
  <c r="R353" i="3"/>
  <c r="S353" i="3"/>
  <c r="T353" i="3"/>
  <c r="U353" i="3"/>
  <c r="V353" i="3"/>
  <c r="W353" i="3"/>
  <c r="X353" i="3"/>
  <c r="O354" i="3"/>
  <c r="P354" i="3"/>
  <c r="Q354" i="3"/>
  <c r="R354" i="3"/>
  <c r="S354" i="3"/>
  <c r="T354" i="3"/>
  <c r="U354" i="3"/>
  <c r="V354" i="3"/>
  <c r="W354" i="3"/>
  <c r="X354" i="3"/>
  <c r="O355" i="3"/>
  <c r="P355" i="3"/>
  <c r="Q355" i="3"/>
  <c r="R355" i="3"/>
  <c r="S355" i="3"/>
  <c r="T355" i="3"/>
  <c r="U355" i="3"/>
  <c r="V355" i="3"/>
  <c r="W355" i="3"/>
  <c r="X355" i="3"/>
  <c r="O356" i="3"/>
  <c r="P356" i="3"/>
  <c r="Q356" i="3"/>
  <c r="R356" i="3"/>
  <c r="S356" i="3"/>
  <c r="T356" i="3"/>
  <c r="U356" i="3"/>
  <c r="V356" i="3"/>
  <c r="W356" i="3"/>
  <c r="X356" i="3"/>
  <c r="O357" i="3"/>
  <c r="P357" i="3"/>
  <c r="Q357" i="3"/>
  <c r="R357" i="3"/>
  <c r="S357" i="3"/>
  <c r="T357" i="3"/>
  <c r="U357" i="3"/>
  <c r="V357" i="3"/>
  <c r="W357" i="3"/>
  <c r="X357" i="3"/>
  <c r="O358" i="3"/>
  <c r="P358" i="3"/>
  <c r="Q358" i="3"/>
  <c r="R358" i="3"/>
  <c r="S358" i="3"/>
  <c r="T358" i="3"/>
  <c r="U358" i="3"/>
  <c r="V358" i="3"/>
  <c r="W358" i="3"/>
  <c r="X358" i="3"/>
  <c r="O359" i="3"/>
  <c r="P359" i="3"/>
  <c r="Q359" i="3"/>
  <c r="R359" i="3"/>
  <c r="S359" i="3"/>
  <c r="T359" i="3"/>
  <c r="U359" i="3"/>
  <c r="V359" i="3"/>
  <c r="W359" i="3"/>
  <c r="X359" i="3"/>
  <c r="O360" i="3"/>
  <c r="P360" i="3"/>
  <c r="Q360" i="3"/>
  <c r="R360" i="3"/>
  <c r="S360" i="3"/>
  <c r="T360" i="3"/>
  <c r="U360" i="3"/>
  <c r="V360" i="3"/>
  <c r="W360" i="3"/>
  <c r="X360" i="3"/>
  <c r="O361" i="3"/>
  <c r="P361" i="3"/>
  <c r="Q361" i="3"/>
  <c r="R361" i="3"/>
  <c r="S361" i="3"/>
  <c r="T361" i="3"/>
  <c r="U361" i="3"/>
  <c r="V361" i="3"/>
  <c r="W361" i="3"/>
  <c r="X361" i="3"/>
  <c r="O362" i="3"/>
  <c r="P362" i="3"/>
  <c r="Q362" i="3"/>
  <c r="R362" i="3"/>
  <c r="S362" i="3"/>
  <c r="T362" i="3"/>
  <c r="U362" i="3"/>
  <c r="V362" i="3"/>
  <c r="W362" i="3"/>
  <c r="X362" i="3"/>
  <c r="O363" i="3"/>
  <c r="P363" i="3"/>
  <c r="Q363" i="3"/>
  <c r="R363" i="3"/>
  <c r="S363" i="3"/>
  <c r="T363" i="3"/>
  <c r="U363" i="3"/>
  <c r="V363" i="3"/>
  <c r="W363" i="3"/>
  <c r="X363" i="3"/>
  <c r="O364" i="3"/>
  <c r="P364" i="3"/>
  <c r="Q364" i="3"/>
  <c r="R364" i="3"/>
  <c r="S364" i="3"/>
  <c r="T364" i="3"/>
  <c r="U364" i="3"/>
  <c r="V364" i="3"/>
  <c r="W364" i="3"/>
  <c r="X364" i="3"/>
  <c r="O365" i="3"/>
  <c r="P365" i="3"/>
  <c r="Q365" i="3"/>
  <c r="R365" i="3"/>
  <c r="S365" i="3"/>
  <c r="T365" i="3"/>
  <c r="U365" i="3"/>
  <c r="V365" i="3"/>
  <c r="W365" i="3"/>
  <c r="X365" i="3"/>
  <c r="O366" i="3"/>
  <c r="P366" i="3"/>
  <c r="Q366" i="3"/>
  <c r="R366" i="3"/>
  <c r="S366" i="3"/>
  <c r="T366" i="3"/>
  <c r="U366" i="3"/>
  <c r="V366" i="3"/>
  <c r="W366" i="3"/>
  <c r="X366" i="3"/>
  <c r="O367" i="3"/>
  <c r="P367" i="3"/>
  <c r="Q367" i="3"/>
  <c r="R367" i="3"/>
  <c r="S367" i="3"/>
  <c r="T367" i="3"/>
  <c r="U367" i="3"/>
  <c r="V367" i="3"/>
  <c r="W367" i="3"/>
  <c r="X367" i="3"/>
  <c r="O368" i="3"/>
  <c r="P368" i="3"/>
  <c r="Q368" i="3"/>
  <c r="R368" i="3"/>
  <c r="S368" i="3"/>
  <c r="T368" i="3"/>
  <c r="U368" i="3"/>
  <c r="V368" i="3"/>
  <c r="W368" i="3"/>
  <c r="X368" i="3"/>
  <c r="O369" i="3"/>
  <c r="P369" i="3"/>
  <c r="Q369" i="3"/>
  <c r="R369" i="3"/>
  <c r="S369" i="3"/>
  <c r="T369" i="3"/>
  <c r="U369" i="3"/>
  <c r="V369" i="3"/>
  <c r="W369" i="3"/>
  <c r="X369" i="3"/>
  <c r="O370" i="3"/>
  <c r="P370" i="3"/>
  <c r="Q370" i="3"/>
  <c r="R370" i="3"/>
  <c r="S370" i="3"/>
  <c r="T370" i="3"/>
  <c r="U370" i="3"/>
  <c r="V370" i="3"/>
  <c r="W370" i="3"/>
  <c r="X370" i="3"/>
  <c r="O371" i="3"/>
  <c r="P371" i="3"/>
  <c r="Q371" i="3"/>
  <c r="R371" i="3"/>
  <c r="S371" i="3"/>
  <c r="T371" i="3"/>
  <c r="U371" i="3"/>
  <c r="V371" i="3"/>
  <c r="W371" i="3"/>
  <c r="X371" i="3"/>
  <c r="O372" i="3"/>
  <c r="P372" i="3"/>
  <c r="Q372" i="3"/>
  <c r="R372" i="3"/>
  <c r="S372" i="3"/>
  <c r="T372" i="3"/>
  <c r="U372" i="3"/>
  <c r="V372" i="3"/>
  <c r="W372" i="3"/>
  <c r="X372" i="3"/>
  <c r="O373" i="3"/>
  <c r="P373" i="3"/>
  <c r="Q373" i="3"/>
  <c r="R373" i="3"/>
  <c r="S373" i="3"/>
  <c r="T373" i="3"/>
  <c r="U373" i="3"/>
  <c r="V373" i="3"/>
  <c r="W373" i="3"/>
  <c r="X373" i="3"/>
  <c r="O374" i="3"/>
  <c r="P374" i="3"/>
  <c r="Q374" i="3"/>
  <c r="R374" i="3"/>
  <c r="S374" i="3"/>
  <c r="T374" i="3"/>
  <c r="U374" i="3"/>
  <c r="V374" i="3"/>
  <c r="W374" i="3"/>
  <c r="X374" i="3"/>
  <c r="O375" i="3"/>
  <c r="P375" i="3"/>
  <c r="Q375" i="3"/>
  <c r="R375" i="3"/>
  <c r="S375" i="3"/>
  <c r="T375" i="3"/>
  <c r="U375" i="3"/>
  <c r="V375" i="3"/>
  <c r="W375" i="3"/>
  <c r="X375" i="3"/>
  <c r="O376" i="3"/>
  <c r="P376" i="3"/>
  <c r="Q376" i="3"/>
  <c r="R376" i="3"/>
  <c r="S376" i="3"/>
  <c r="T376" i="3"/>
  <c r="U376" i="3"/>
  <c r="V376" i="3"/>
  <c r="W376" i="3"/>
  <c r="X376" i="3"/>
  <c r="O377" i="3"/>
  <c r="P377" i="3"/>
  <c r="Q377" i="3"/>
  <c r="R377" i="3"/>
  <c r="S377" i="3"/>
  <c r="T377" i="3"/>
  <c r="U377" i="3"/>
  <c r="V377" i="3"/>
  <c r="W377" i="3"/>
  <c r="X377" i="3"/>
  <c r="O378" i="3"/>
  <c r="P378" i="3"/>
  <c r="Q378" i="3"/>
  <c r="R378" i="3"/>
  <c r="S378" i="3"/>
  <c r="T378" i="3"/>
  <c r="U378" i="3"/>
  <c r="V378" i="3"/>
  <c r="W378" i="3"/>
  <c r="X378" i="3"/>
  <c r="O379" i="3"/>
  <c r="P379" i="3"/>
  <c r="Q379" i="3"/>
  <c r="R379" i="3"/>
  <c r="S379" i="3"/>
  <c r="T379" i="3"/>
  <c r="U379" i="3"/>
  <c r="V379" i="3"/>
  <c r="W379" i="3"/>
  <c r="X379" i="3"/>
  <c r="O380" i="3"/>
  <c r="P380" i="3"/>
  <c r="Q380" i="3"/>
  <c r="R380" i="3"/>
  <c r="S380" i="3"/>
  <c r="T380" i="3"/>
  <c r="U380" i="3"/>
  <c r="V380" i="3"/>
  <c r="W380" i="3"/>
  <c r="X380" i="3"/>
  <c r="O381" i="3"/>
  <c r="P381" i="3"/>
  <c r="Q381" i="3"/>
  <c r="R381" i="3"/>
  <c r="S381" i="3"/>
  <c r="T381" i="3"/>
  <c r="U381" i="3"/>
  <c r="V381" i="3"/>
  <c r="W381" i="3"/>
  <c r="X381" i="3"/>
  <c r="O382" i="3"/>
  <c r="P382" i="3"/>
  <c r="Q382" i="3"/>
  <c r="R382" i="3"/>
  <c r="S382" i="3"/>
  <c r="T382" i="3"/>
  <c r="U382" i="3"/>
  <c r="V382" i="3"/>
  <c r="W382" i="3"/>
  <c r="X382" i="3"/>
  <c r="O383" i="3"/>
  <c r="P383" i="3"/>
  <c r="Q383" i="3"/>
  <c r="R383" i="3"/>
  <c r="S383" i="3"/>
  <c r="T383" i="3"/>
  <c r="U383" i="3"/>
  <c r="V383" i="3"/>
  <c r="W383" i="3"/>
  <c r="X383" i="3"/>
  <c r="O384" i="3"/>
  <c r="P384" i="3"/>
  <c r="Q384" i="3"/>
  <c r="R384" i="3"/>
  <c r="S384" i="3"/>
  <c r="T384" i="3"/>
  <c r="U384" i="3"/>
  <c r="V384" i="3"/>
  <c r="W384" i="3"/>
  <c r="X384" i="3"/>
  <c r="O385" i="3"/>
  <c r="P385" i="3"/>
  <c r="Q385" i="3"/>
  <c r="R385" i="3"/>
  <c r="S385" i="3"/>
  <c r="T385" i="3"/>
  <c r="U385" i="3"/>
  <c r="V385" i="3"/>
  <c r="W385" i="3"/>
  <c r="X385" i="3"/>
  <c r="O386" i="3"/>
  <c r="P386" i="3"/>
  <c r="Q386" i="3"/>
  <c r="R386" i="3"/>
  <c r="S386" i="3"/>
  <c r="T386" i="3"/>
  <c r="U386" i="3"/>
  <c r="V386" i="3"/>
  <c r="W386" i="3"/>
  <c r="X386" i="3"/>
  <c r="O387" i="3"/>
  <c r="P387" i="3"/>
  <c r="Q387" i="3"/>
  <c r="R387" i="3"/>
  <c r="S387" i="3"/>
  <c r="T387" i="3"/>
  <c r="U387" i="3"/>
  <c r="V387" i="3"/>
  <c r="W387" i="3"/>
  <c r="X387" i="3"/>
  <c r="O388" i="3"/>
  <c r="P388" i="3"/>
  <c r="Q388" i="3"/>
  <c r="R388" i="3"/>
  <c r="S388" i="3"/>
  <c r="T388" i="3"/>
  <c r="U388" i="3"/>
  <c r="V388" i="3"/>
  <c r="W388" i="3"/>
  <c r="X388" i="3"/>
  <c r="O389" i="3"/>
  <c r="P389" i="3"/>
  <c r="Q389" i="3"/>
  <c r="R389" i="3"/>
  <c r="S389" i="3"/>
  <c r="T389" i="3"/>
  <c r="U389" i="3"/>
  <c r="V389" i="3"/>
  <c r="W389" i="3"/>
  <c r="X389" i="3"/>
  <c r="O390" i="3"/>
  <c r="P390" i="3"/>
  <c r="Q390" i="3"/>
  <c r="R390" i="3"/>
  <c r="S390" i="3"/>
  <c r="T390" i="3"/>
  <c r="U390" i="3"/>
  <c r="V390" i="3"/>
  <c r="W390" i="3"/>
  <c r="X390" i="3"/>
  <c r="O391" i="3"/>
  <c r="P391" i="3"/>
  <c r="Q391" i="3"/>
  <c r="R391" i="3"/>
  <c r="S391" i="3"/>
  <c r="T391" i="3"/>
  <c r="U391" i="3"/>
  <c r="V391" i="3"/>
  <c r="W391" i="3"/>
  <c r="X391" i="3"/>
  <c r="O392" i="3"/>
  <c r="P392" i="3"/>
  <c r="Q392" i="3"/>
  <c r="R392" i="3"/>
  <c r="S392" i="3"/>
  <c r="T392" i="3"/>
  <c r="U392" i="3"/>
  <c r="V392" i="3"/>
  <c r="W392" i="3"/>
  <c r="X392" i="3"/>
  <c r="O393" i="3"/>
  <c r="P393" i="3"/>
  <c r="Q393" i="3"/>
  <c r="R393" i="3"/>
  <c r="S393" i="3"/>
  <c r="T393" i="3"/>
  <c r="U393" i="3"/>
  <c r="V393" i="3"/>
  <c r="W393" i="3"/>
  <c r="X393" i="3"/>
  <c r="O394" i="3"/>
  <c r="P394" i="3"/>
  <c r="Q394" i="3"/>
  <c r="R394" i="3"/>
  <c r="S394" i="3"/>
  <c r="T394" i="3"/>
  <c r="U394" i="3"/>
  <c r="V394" i="3"/>
  <c r="W394" i="3"/>
  <c r="X394" i="3"/>
  <c r="O395" i="3"/>
  <c r="P395" i="3"/>
  <c r="Q395" i="3"/>
  <c r="R395" i="3"/>
  <c r="S395" i="3"/>
  <c r="T395" i="3"/>
  <c r="U395" i="3"/>
  <c r="V395" i="3"/>
  <c r="W395" i="3"/>
  <c r="X395" i="3"/>
  <c r="O396" i="3"/>
  <c r="P396" i="3"/>
  <c r="Q396" i="3"/>
  <c r="R396" i="3"/>
  <c r="S396" i="3"/>
  <c r="T396" i="3"/>
  <c r="U396" i="3"/>
  <c r="V396" i="3"/>
  <c r="W396" i="3"/>
  <c r="X396" i="3"/>
  <c r="O397" i="3"/>
  <c r="P397" i="3"/>
  <c r="Q397" i="3"/>
  <c r="R397" i="3"/>
  <c r="S397" i="3"/>
  <c r="T397" i="3"/>
  <c r="U397" i="3"/>
  <c r="V397" i="3"/>
  <c r="W397" i="3"/>
  <c r="X397" i="3"/>
  <c r="O398" i="3"/>
  <c r="P398" i="3"/>
  <c r="Q398" i="3"/>
  <c r="R398" i="3"/>
  <c r="S398" i="3"/>
  <c r="T398" i="3"/>
  <c r="U398" i="3"/>
  <c r="V398" i="3"/>
  <c r="W398" i="3"/>
  <c r="X398" i="3"/>
  <c r="O399" i="3"/>
  <c r="P399" i="3"/>
  <c r="Q399" i="3"/>
  <c r="R399" i="3"/>
  <c r="S399" i="3"/>
  <c r="T399" i="3"/>
  <c r="U399" i="3"/>
  <c r="V399" i="3"/>
  <c r="W399" i="3"/>
  <c r="X399" i="3"/>
  <c r="O400" i="3"/>
  <c r="P400" i="3"/>
  <c r="Q400" i="3"/>
  <c r="R400" i="3"/>
  <c r="S400" i="3"/>
  <c r="T400" i="3"/>
  <c r="U400" i="3"/>
  <c r="V400" i="3"/>
  <c r="W400" i="3"/>
  <c r="X400" i="3"/>
  <c r="O401" i="3"/>
  <c r="P401" i="3"/>
  <c r="Q401" i="3"/>
  <c r="R401" i="3"/>
  <c r="S401" i="3"/>
  <c r="T401" i="3"/>
  <c r="U401" i="3"/>
  <c r="V401" i="3"/>
  <c r="W401" i="3"/>
  <c r="X401" i="3"/>
  <c r="O402" i="3"/>
  <c r="P402" i="3"/>
  <c r="Q402" i="3"/>
  <c r="R402" i="3"/>
  <c r="S402" i="3"/>
  <c r="T402" i="3"/>
  <c r="U402" i="3"/>
  <c r="V402" i="3"/>
  <c r="W402" i="3"/>
  <c r="X402" i="3"/>
  <c r="O403" i="3"/>
  <c r="P403" i="3"/>
  <c r="Q403" i="3"/>
  <c r="R403" i="3"/>
  <c r="S403" i="3"/>
  <c r="T403" i="3"/>
  <c r="U403" i="3"/>
  <c r="V403" i="3"/>
  <c r="W403" i="3"/>
  <c r="X403" i="3"/>
  <c r="O404" i="3"/>
  <c r="P404" i="3"/>
  <c r="Q404" i="3"/>
  <c r="R404" i="3"/>
  <c r="S404" i="3"/>
  <c r="T404" i="3"/>
  <c r="U404" i="3"/>
  <c r="V404" i="3"/>
  <c r="W404" i="3"/>
  <c r="X404" i="3"/>
  <c r="O405" i="3"/>
  <c r="P405" i="3"/>
  <c r="Q405" i="3"/>
  <c r="R405" i="3"/>
  <c r="S405" i="3"/>
  <c r="T405" i="3"/>
  <c r="U405" i="3"/>
  <c r="V405" i="3"/>
  <c r="W405" i="3"/>
  <c r="X405" i="3"/>
  <c r="O406" i="3"/>
  <c r="P406" i="3"/>
  <c r="Q406" i="3"/>
  <c r="R406" i="3"/>
  <c r="S406" i="3"/>
  <c r="T406" i="3"/>
  <c r="U406" i="3"/>
  <c r="V406" i="3"/>
  <c r="W406" i="3"/>
  <c r="X406" i="3"/>
  <c r="O407" i="3"/>
  <c r="P407" i="3"/>
  <c r="Q407" i="3"/>
  <c r="R407" i="3"/>
  <c r="S407" i="3"/>
  <c r="T407" i="3"/>
  <c r="U407" i="3"/>
  <c r="V407" i="3"/>
  <c r="W407" i="3"/>
  <c r="X407" i="3"/>
  <c r="AC401" i="5" l="1"/>
  <c r="AC393" i="5"/>
  <c r="AC385" i="5"/>
  <c r="AC377" i="5"/>
  <c r="AC369" i="5"/>
  <c r="AC361" i="5"/>
  <c r="AC353" i="5"/>
  <c r="AC345" i="5"/>
  <c r="AC337" i="5"/>
  <c r="AC329" i="5"/>
  <c r="AD405" i="5"/>
  <c r="AD397" i="5"/>
  <c r="AD393" i="5"/>
  <c r="AD389" i="5"/>
  <c r="AD385" i="5"/>
  <c r="AD381" i="5"/>
  <c r="AD377" i="5"/>
  <c r="AD373" i="5"/>
  <c r="AD369" i="5"/>
  <c r="AD365" i="5"/>
  <c r="AD361" i="5"/>
  <c r="AD357" i="5"/>
  <c r="AD353" i="5"/>
  <c r="AD349" i="5"/>
  <c r="AD345" i="5"/>
  <c r="AD341" i="5"/>
  <c r="AD337" i="5"/>
  <c r="AD333" i="5"/>
  <c r="AD329" i="5"/>
  <c r="AD325" i="5"/>
  <c r="AC321" i="5"/>
  <c r="AC328" i="5"/>
  <c r="AC324" i="5"/>
  <c r="AC407" i="5"/>
  <c r="AC399" i="5"/>
  <c r="AD395" i="5"/>
  <c r="AC391" i="5"/>
  <c r="AD387" i="5"/>
  <c r="AC383" i="5"/>
  <c r="AD379" i="5"/>
  <c r="AC375" i="5"/>
  <c r="AD371" i="5"/>
  <c r="AC367" i="5"/>
  <c r="AD363" i="5"/>
  <c r="AC359" i="5"/>
  <c r="AD403" i="5"/>
  <c r="AD394" i="5"/>
  <c r="AD386" i="5"/>
  <c r="AD346" i="5"/>
  <c r="AD322" i="5"/>
  <c r="AC403" i="5"/>
  <c r="AD400" i="5"/>
  <c r="AC395" i="5"/>
  <c r="AD392" i="5"/>
  <c r="AC387" i="5"/>
  <c r="AD384" i="5"/>
  <c r="AC379" i="5"/>
  <c r="AD376" i="5"/>
  <c r="AC371" i="5"/>
  <c r="AD368" i="5"/>
  <c r="AC363" i="5"/>
  <c r="AD360" i="5"/>
  <c r="AC355" i="5"/>
  <c r="AD352" i="5"/>
  <c r="AC347" i="5"/>
  <c r="AD344" i="5"/>
  <c r="AC339" i="5"/>
  <c r="AD336" i="5"/>
  <c r="AC331" i="5"/>
  <c r="AD328" i="5"/>
  <c r="AC323" i="5"/>
  <c r="AD362" i="5"/>
  <c r="AD338" i="5"/>
  <c r="AD407" i="5"/>
  <c r="AC402" i="5"/>
  <c r="AD399" i="5"/>
  <c r="AD391" i="5"/>
  <c r="AD383" i="5"/>
  <c r="AC378" i="5"/>
  <c r="AD375" i="5"/>
  <c r="AC370" i="5"/>
  <c r="AD367" i="5"/>
  <c r="AD359" i="5"/>
  <c r="AC354" i="5"/>
  <c r="AD351" i="5"/>
  <c r="AD343" i="5"/>
  <c r="AD335" i="5"/>
  <c r="AC330" i="5"/>
  <c r="AD327" i="5"/>
  <c r="AD404" i="5"/>
  <c r="AD396" i="5"/>
  <c r="AD388" i="5"/>
  <c r="AD380" i="5"/>
  <c r="AD372" i="5"/>
  <c r="AD364" i="5"/>
  <c r="AD356" i="5"/>
  <c r="AD348" i="5"/>
  <c r="AD340" i="5"/>
  <c r="AD332" i="5"/>
  <c r="AD324" i="5"/>
  <c r="AD401" i="5"/>
  <c r="AD321" i="5"/>
  <c r="AD382" i="5"/>
  <c r="AD358" i="5"/>
  <c r="AD350" i="5"/>
  <c r="AD342" i="5"/>
  <c r="AD334" i="5"/>
  <c r="AD326" i="5"/>
  <c r="AD406" i="5"/>
  <c r="AD398" i="5"/>
  <c r="AD390" i="5"/>
  <c r="AD374" i="5"/>
  <c r="AD36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O307" i="5"/>
  <c r="P307" i="5"/>
  <c r="Q307" i="5"/>
  <c r="R307" i="5"/>
  <c r="S307" i="5"/>
  <c r="T307" i="5"/>
  <c r="U307" i="5"/>
  <c r="AC307" i="5" s="1"/>
  <c r="V307" i="5"/>
  <c r="W307" i="5"/>
  <c r="X307" i="5"/>
  <c r="O308" i="5"/>
  <c r="P308" i="5"/>
  <c r="Q308" i="5"/>
  <c r="R308" i="5"/>
  <c r="S308" i="5"/>
  <c r="T308" i="5"/>
  <c r="U308" i="5"/>
  <c r="AD308" i="5" s="1"/>
  <c r="V308" i="5"/>
  <c r="W308" i="5"/>
  <c r="X308" i="5"/>
  <c r="O309" i="5"/>
  <c r="P309" i="5"/>
  <c r="Q309" i="5"/>
  <c r="R309" i="5"/>
  <c r="S309" i="5"/>
  <c r="T309" i="5"/>
  <c r="U309" i="5"/>
  <c r="AC309" i="5" s="1"/>
  <c r="V309" i="5"/>
  <c r="W309" i="5"/>
  <c r="X309" i="5"/>
  <c r="O310" i="5"/>
  <c r="P310" i="5"/>
  <c r="Q310" i="5"/>
  <c r="R310" i="5"/>
  <c r="S310" i="5"/>
  <c r="T310" i="5"/>
  <c r="U310" i="5"/>
  <c r="V310" i="5"/>
  <c r="W310" i="5"/>
  <c r="X310" i="5"/>
  <c r="O311" i="5"/>
  <c r="P311" i="5"/>
  <c r="Q311" i="5"/>
  <c r="R311" i="5"/>
  <c r="S311" i="5"/>
  <c r="T311" i="5"/>
  <c r="U311" i="5"/>
  <c r="V311" i="5"/>
  <c r="AD311" i="5" s="1"/>
  <c r="W311" i="5"/>
  <c r="X311" i="5"/>
  <c r="O312" i="5"/>
  <c r="P312" i="5"/>
  <c r="Q312" i="5"/>
  <c r="R312" i="5"/>
  <c r="S312" i="5"/>
  <c r="T312" i="5"/>
  <c r="U312" i="5"/>
  <c r="AC312" i="5" s="1"/>
  <c r="V312" i="5"/>
  <c r="W312" i="5"/>
  <c r="X312" i="5"/>
  <c r="O313" i="5"/>
  <c r="P313" i="5"/>
  <c r="Q313" i="5"/>
  <c r="R313" i="5"/>
  <c r="S313" i="5"/>
  <c r="T313" i="5"/>
  <c r="U313" i="5"/>
  <c r="AD313" i="5" s="1"/>
  <c r="V313" i="5"/>
  <c r="W313" i="5"/>
  <c r="X313" i="5"/>
  <c r="O314" i="5"/>
  <c r="P314" i="5"/>
  <c r="Q314" i="5"/>
  <c r="R314" i="5"/>
  <c r="S314" i="5"/>
  <c r="T314" i="5"/>
  <c r="U314" i="5"/>
  <c r="V314" i="5"/>
  <c r="W314" i="5"/>
  <c r="X314" i="5"/>
  <c r="O315" i="5"/>
  <c r="P315" i="5"/>
  <c r="Q315" i="5"/>
  <c r="R315" i="5"/>
  <c r="S315" i="5"/>
  <c r="T315" i="5"/>
  <c r="U315" i="5"/>
  <c r="V315" i="5"/>
  <c r="W315" i="5"/>
  <c r="X315" i="5"/>
  <c r="O316" i="5"/>
  <c r="P316" i="5"/>
  <c r="Q316" i="5"/>
  <c r="R316" i="5"/>
  <c r="S316" i="5"/>
  <c r="T316" i="5"/>
  <c r="U316" i="5"/>
  <c r="AD316" i="5" s="1"/>
  <c r="V316" i="5"/>
  <c r="W316" i="5"/>
  <c r="X316" i="5"/>
  <c r="O317" i="5"/>
  <c r="P317" i="5"/>
  <c r="Q317" i="5"/>
  <c r="R317" i="5"/>
  <c r="S317" i="5"/>
  <c r="T317" i="5"/>
  <c r="U317" i="5"/>
  <c r="AC317" i="5" s="1"/>
  <c r="V317" i="5"/>
  <c r="W317" i="5"/>
  <c r="X317" i="5"/>
  <c r="O318" i="5"/>
  <c r="P318" i="5"/>
  <c r="Q318" i="5"/>
  <c r="R318" i="5"/>
  <c r="S318" i="5"/>
  <c r="T318" i="5"/>
  <c r="U318" i="5"/>
  <c r="V318" i="5"/>
  <c r="W318" i="5"/>
  <c r="X318" i="5"/>
  <c r="O319" i="5"/>
  <c r="P319" i="5"/>
  <c r="Q319" i="5"/>
  <c r="R319" i="5"/>
  <c r="S319" i="5"/>
  <c r="T319" i="5"/>
  <c r="U319" i="5"/>
  <c r="V319" i="5"/>
  <c r="W319" i="5"/>
  <c r="X319" i="5"/>
  <c r="O320" i="5"/>
  <c r="P320" i="5"/>
  <c r="Q320" i="5"/>
  <c r="R320" i="5"/>
  <c r="S320" i="5"/>
  <c r="T320" i="5"/>
  <c r="U320" i="5"/>
  <c r="AC320" i="5" s="1"/>
  <c r="V320" i="5"/>
  <c r="W320" i="5"/>
  <c r="X320" i="5"/>
  <c r="O307" i="3"/>
  <c r="P307" i="3"/>
  <c r="Q307" i="3"/>
  <c r="R307" i="3"/>
  <c r="S307" i="3"/>
  <c r="T307" i="3"/>
  <c r="U307" i="3"/>
  <c r="V307" i="3"/>
  <c r="W307" i="3"/>
  <c r="X307" i="3"/>
  <c r="O308" i="3"/>
  <c r="P308" i="3"/>
  <c r="Q308" i="3"/>
  <c r="R308" i="3"/>
  <c r="S308" i="3"/>
  <c r="T308" i="3"/>
  <c r="U308" i="3"/>
  <c r="V308" i="3"/>
  <c r="W308" i="3"/>
  <c r="X308" i="3"/>
  <c r="O309" i="3"/>
  <c r="P309" i="3"/>
  <c r="Q309" i="3"/>
  <c r="R309" i="3"/>
  <c r="S309" i="3"/>
  <c r="T309" i="3"/>
  <c r="U309" i="3"/>
  <c r="V309" i="3"/>
  <c r="W309" i="3"/>
  <c r="X309" i="3"/>
  <c r="O310" i="3"/>
  <c r="P310" i="3"/>
  <c r="Q310" i="3"/>
  <c r="R310" i="3"/>
  <c r="S310" i="3"/>
  <c r="T310" i="3"/>
  <c r="U310" i="3"/>
  <c r="V310" i="3"/>
  <c r="W310" i="3"/>
  <c r="X310" i="3"/>
  <c r="O311" i="3"/>
  <c r="P311" i="3"/>
  <c r="Q311" i="3"/>
  <c r="R311" i="3"/>
  <c r="S311" i="3"/>
  <c r="T311" i="3"/>
  <c r="U311" i="3"/>
  <c r="V311" i="3"/>
  <c r="W311" i="3"/>
  <c r="X311" i="3"/>
  <c r="O312" i="3"/>
  <c r="P312" i="3"/>
  <c r="Q312" i="3"/>
  <c r="R312" i="3"/>
  <c r="S312" i="3"/>
  <c r="T312" i="3"/>
  <c r="U312" i="3"/>
  <c r="V312" i="3"/>
  <c r="W312" i="3"/>
  <c r="X312" i="3"/>
  <c r="O313" i="3"/>
  <c r="P313" i="3"/>
  <c r="Q313" i="3"/>
  <c r="R313" i="3"/>
  <c r="S313" i="3"/>
  <c r="T313" i="3"/>
  <c r="U313" i="3"/>
  <c r="V313" i="3"/>
  <c r="W313" i="3"/>
  <c r="X313" i="3"/>
  <c r="O314" i="3"/>
  <c r="P314" i="3"/>
  <c r="Q314" i="3"/>
  <c r="R314" i="3"/>
  <c r="S314" i="3"/>
  <c r="T314" i="3"/>
  <c r="U314" i="3"/>
  <c r="V314" i="3"/>
  <c r="W314" i="3"/>
  <c r="X314" i="3"/>
  <c r="O315" i="3"/>
  <c r="P315" i="3"/>
  <c r="Q315" i="3"/>
  <c r="R315" i="3"/>
  <c r="S315" i="3"/>
  <c r="T315" i="3"/>
  <c r="U315" i="3"/>
  <c r="V315" i="3"/>
  <c r="W315" i="3"/>
  <c r="X315" i="3"/>
  <c r="O316" i="3"/>
  <c r="P316" i="3"/>
  <c r="Q316" i="3"/>
  <c r="R316" i="3"/>
  <c r="S316" i="3"/>
  <c r="T316" i="3"/>
  <c r="U316" i="3"/>
  <c r="V316" i="3"/>
  <c r="W316" i="3"/>
  <c r="X316" i="3"/>
  <c r="O317" i="3"/>
  <c r="P317" i="3"/>
  <c r="Q317" i="3"/>
  <c r="R317" i="3"/>
  <c r="S317" i="3"/>
  <c r="T317" i="3"/>
  <c r="U317" i="3"/>
  <c r="V317" i="3"/>
  <c r="W317" i="3"/>
  <c r="X317" i="3"/>
  <c r="O318" i="3"/>
  <c r="P318" i="3"/>
  <c r="Q318" i="3"/>
  <c r="R318" i="3"/>
  <c r="S318" i="3"/>
  <c r="T318" i="3"/>
  <c r="U318" i="3"/>
  <c r="V318" i="3"/>
  <c r="W318" i="3"/>
  <c r="X318" i="3"/>
  <c r="O319" i="3"/>
  <c r="P319" i="3"/>
  <c r="Q319" i="3"/>
  <c r="R319" i="3"/>
  <c r="S319" i="3"/>
  <c r="T319" i="3"/>
  <c r="U319" i="3"/>
  <c r="V319" i="3"/>
  <c r="W319" i="3"/>
  <c r="X319" i="3"/>
  <c r="O320" i="3"/>
  <c r="P320" i="3"/>
  <c r="Q320" i="3"/>
  <c r="R320" i="3"/>
  <c r="S320" i="3"/>
  <c r="T320" i="3"/>
  <c r="U320" i="3"/>
  <c r="V320" i="3"/>
  <c r="W320" i="3"/>
  <c r="X320" i="3"/>
  <c r="AA330" i="3"/>
  <c r="AA329" i="3"/>
  <c r="AA328" i="3"/>
  <c r="AA327" i="3"/>
  <c r="AA326" i="3"/>
  <c r="AA325" i="3"/>
  <c r="AA324" i="3"/>
  <c r="AA323" i="3"/>
  <c r="AA322" i="3"/>
  <c r="AA321" i="3"/>
  <c r="AA320" i="3"/>
  <c r="AA319" i="3"/>
  <c r="AA318" i="3"/>
  <c r="AA317" i="3"/>
  <c r="AD318" i="5" l="1"/>
  <c r="AD314" i="5"/>
  <c r="AC313" i="5"/>
  <c r="AD310" i="5"/>
  <c r="AC316" i="5"/>
  <c r="AC308" i="5"/>
  <c r="AC311" i="5"/>
  <c r="AC315" i="5"/>
  <c r="AC314" i="5"/>
  <c r="AC319" i="5"/>
  <c r="AC318" i="5"/>
  <c r="AD315" i="5"/>
  <c r="AC310" i="5"/>
  <c r="AD307" i="5"/>
  <c r="AD312" i="5"/>
  <c r="AD317" i="5"/>
  <c r="AD309" i="5"/>
  <c r="AD320" i="5"/>
  <c r="AD319" i="5"/>
  <c r="AB300" i="5"/>
  <c r="AB301" i="5"/>
  <c r="AB302" i="5"/>
  <c r="AB303" i="5"/>
  <c r="AB304" i="5"/>
  <c r="AB305" i="5"/>
  <c r="AC305" i="5"/>
  <c r="AB306" i="5"/>
  <c r="O300" i="5"/>
  <c r="P300" i="5"/>
  <c r="Q300" i="5"/>
  <c r="R300" i="5"/>
  <c r="S300" i="5"/>
  <c r="T300" i="5"/>
  <c r="U300" i="5"/>
  <c r="V300" i="5"/>
  <c r="W300" i="5"/>
  <c r="X300" i="5"/>
  <c r="O301" i="5"/>
  <c r="P301" i="5"/>
  <c r="Q301" i="5"/>
  <c r="R301" i="5"/>
  <c r="S301" i="5"/>
  <c r="T301" i="5"/>
  <c r="U301" i="5"/>
  <c r="AC301" i="5" s="1"/>
  <c r="V301" i="5"/>
  <c r="W301" i="5"/>
  <c r="X301" i="5"/>
  <c r="O302" i="5"/>
  <c r="P302" i="5"/>
  <c r="Q302" i="5"/>
  <c r="R302" i="5"/>
  <c r="S302" i="5"/>
  <c r="T302" i="5"/>
  <c r="U302" i="5"/>
  <c r="V302" i="5"/>
  <c r="W302" i="5"/>
  <c r="X302" i="5"/>
  <c r="O303" i="5"/>
  <c r="P303" i="5"/>
  <c r="Q303" i="5"/>
  <c r="R303" i="5"/>
  <c r="S303" i="5"/>
  <c r="T303" i="5"/>
  <c r="U303" i="5"/>
  <c r="AD303" i="5" s="1"/>
  <c r="V303" i="5"/>
  <c r="W303" i="5"/>
  <c r="X303" i="5"/>
  <c r="O304" i="5"/>
  <c r="P304" i="5"/>
  <c r="Q304" i="5"/>
  <c r="R304" i="5"/>
  <c r="S304" i="5"/>
  <c r="T304" i="5"/>
  <c r="U304" i="5"/>
  <c r="V304" i="5"/>
  <c r="W304" i="5"/>
  <c r="X304" i="5"/>
  <c r="O305" i="5"/>
  <c r="P305" i="5"/>
  <c r="Q305" i="5"/>
  <c r="R305" i="5"/>
  <c r="S305" i="5"/>
  <c r="T305" i="5"/>
  <c r="U305" i="5"/>
  <c r="AD305" i="5" s="1"/>
  <c r="V305" i="5"/>
  <c r="W305" i="5"/>
  <c r="X305" i="5"/>
  <c r="O306" i="5"/>
  <c r="P306" i="5"/>
  <c r="Q306" i="5"/>
  <c r="R306" i="5"/>
  <c r="S306" i="5"/>
  <c r="T306" i="5"/>
  <c r="U306" i="5"/>
  <c r="V306" i="5"/>
  <c r="AC306" i="5" s="1"/>
  <c r="W306" i="5"/>
  <c r="X306" i="5"/>
  <c r="O300" i="3"/>
  <c r="P300" i="3"/>
  <c r="Q300" i="3"/>
  <c r="R300" i="3"/>
  <c r="S300" i="3"/>
  <c r="T300" i="3"/>
  <c r="U300" i="3"/>
  <c r="V300" i="3"/>
  <c r="W300" i="3"/>
  <c r="X300" i="3"/>
  <c r="O301" i="3"/>
  <c r="P301" i="3"/>
  <c r="Q301" i="3"/>
  <c r="R301" i="3"/>
  <c r="S301" i="3"/>
  <c r="T301" i="3"/>
  <c r="U301" i="3"/>
  <c r="V301" i="3"/>
  <c r="W301" i="3"/>
  <c r="X301" i="3"/>
  <c r="O302" i="3"/>
  <c r="P302" i="3"/>
  <c r="Q302" i="3"/>
  <c r="R302" i="3"/>
  <c r="S302" i="3"/>
  <c r="T302" i="3"/>
  <c r="U302" i="3"/>
  <c r="V302" i="3"/>
  <c r="W302" i="3"/>
  <c r="X302" i="3"/>
  <c r="O303" i="3"/>
  <c r="P303" i="3"/>
  <c r="Q303" i="3"/>
  <c r="R303" i="3"/>
  <c r="S303" i="3"/>
  <c r="T303" i="3"/>
  <c r="U303" i="3"/>
  <c r="V303" i="3"/>
  <c r="W303" i="3"/>
  <c r="X303" i="3"/>
  <c r="O304" i="3"/>
  <c r="P304" i="3"/>
  <c r="Q304" i="3"/>
  <c r="R304" i="3"/>
  <c r="S304" i="3"/>
  <c r="T304" i="3"/>
  <c r="U304" i="3"/>
  <c r="V304" i="3"/>
  <c r="W304" i="3"/>
  <c r="X304" i="3"/>
  <c r="O305" i="3"/>
  <c r="P305" i="3"/>
  <c r="Q305" i="3"/>
  <c r="R305" i="3"/>
  <c r="S305" i="3"/>
  <c r="T305" i="3"/>
  <c r="U305" i="3"/>
  <c r="V305" i="3"/>
  <c r="W305" i="3"/>
  <c r="X305" i="3"/>
  <c r="O306" i="3"/>
  <c r="P306" i="3"/>
  <c r="Q306" i="3"/>
  <c r="R306" i="3"/>
  <c r="S306" i="3"/>
  <c r="T306" i="3"/>
  <c r="U306" i="3"/>
  <c r="V306" i="3"/>
  <c r="W306" i="3"/>
  <c r="X306" i="3"/>
  <c r="AA316" i="3"/>
  <c r="AA315" i="3"/>
  <c r="AA314" i="3"/>
  <c r="AA313" i="3"/>
  <c r="AA312" i="3"/>
  <c r="AA311" i="3"/>
  <c r="AA310" i="3"/>
  <c r="AA309" i="3"/>
  <c r="AA308" i="3"/>
  <c r="AA307" i="3"/>
  <c r="AD301" i="5" l="1"/>
  <c r="AC304" i="5"/>
  <c r="AD300" i="5"/>
  <c r="AC303" i="5"/>
  <c r="AD306" i="5"/>
  <c r="AC302" i="5"/>
  <c r="AC300" i="5"/>
  <c r="AD302" i="5"/>
  <c r="AD304" i="5"/>
  <c r="AA306" i="3"/>
  <c r="AA305" i="3"/>
  <c r="AA304" i="3"/>
  <c r="AA303" i="3"/>
  <c r="AA302" i="3"/>
  <c r="AA301" i="3"/>
  <c r="AA300" i="3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O281" i="5"/>
  <c r="P281" i="5"/>
  <c r="Q281" i="5"/>
  <c r="R281" i="5"/>
  <c r="S281" i="5"/>
  <c r="T281" i="5"/>
  <c r="U281" i="5"/>
  <c r="V281" i="5"/>
  <c r="W281" i="5"/>
  <c r="X281" i="5"/>
  <c r="O282" i="5"/>
  <c r="P282" i="5"/>
  <c r="Q282" i="5"/>
  <c r="R282" i="5"/>
  <c r="S282" i="5"/>
  <c r="T282" i="5"/>
  <c r="U282" i="5"/>
  <c r="AC282" i="5" s="1"/>
  <c r="V282" i="5"/>
  <c r="W282" i="5"/>
  <c r="X282" i="5"/>
  <c r="O283" i="5"/>
  <c r="P283" i="5"/>
  <c r="Q283" i="5"/>
  <c r="R283" i="5"/>
  <c r="S283" i="5"/>
  <c r="T283" i="5"/>
  <c r="U283" i="5"/>
  <c r="AC283" i="5" s="1"/>
  <c r="V283" i="5"/>
  <c r="W283" i="5"/>
  <c r="X283" i="5"/>
  <c r="O284" i="5"/>
  <c r="P284" i="5"/>
  <c r="Q284" i="5"/>
  <c r="R284" i="5"/>
  <c r="S284" i="5"/>
  <c r="T284" i="5"/>
  <c r="U284" i="5"/>
  <c r="AC284" i="5" s="1"/>
  <c r="V284" i="5"/>
  <c r="W284" i="5"/>
  <c r="AD284" i="5" s="1"/>
  <c r="X284" i="5"/>
  <c r="O285" i="5"/>
  <c r="P285" i="5"/>
  <c r="Q285" i="5"/>
  <c r="R285" i="5"/>
  <c r="S285" i="5"/>
  <c r="T285" i="5"/>
  <c r="U285" i="5"/>
  <c r="AC285" i="5" s="1"/>
  <c r="V285" i="5"/>
  <c r="W285" i="5"/>
  <c r="X285" i="5"/>
  <c r="O286" i="5"/>
  <c r="P286" i="5"/>
  <c r="Q286" i="5"/>
  <c r="R286" i="5"/>
  <c r="S286" i="5"/>
  <c r="T286" i="5"/>
  <c r="U286" i="5"/>
  <c r="AC286" i="5" s="1"/>
  <c r="V286" i="5"/>
  <c r="W286" i="5"/>
  <c r="X286" i="5"/>
  <c r="O287" i="5"/>
  <c r="P287" i="5"/>
  <c r="Q287" i="5"/>
  <c r="R287" i="5"/>
  <c r="S287" i="5"/>
  <c r="T287" i="5"/>
  <c r="U287" i="5"/>
  <c r="AC287" i="5" s="1"/>
  <c r="V287" i="5"/>
  <c r="W287" i="5"/>
  <c r="X287" i="5"/>
  <c r="O288" i="5"/>
  <c r="P288" i="5"/>
  <c r="Q288" i="5"/>
  <c r="R288" i="5"/>
  <c r="S288" i="5"/>
  <c r="T288" i="5"/>
  <c r="U288" i="5"/>
  <c r="AC288" i="5" s="1"/>
  <c r="V288" i="5"/>
  <c r="W288" i="5"/>
  <c r="AD288" i="5" s="1"/>
  <c r="X288" i="5"/>
  <c r="O289" i="5"/>
  <c r="P289" i="5"/>
  <c r="Q289" i="5"/>
  <c r="R289" i="5"/>
  <c r="S289" i="5"/>
  <c r="T289" i="5"/>
  <c r="U289" i="5"/>
  <c r="AC289" i="5" s="1"/>
  <c r="V289" i="5"/>
  <c r="W289" i="5"/>
  <c r="X289" i="5"/>
  <c r="O290" i="5"/>
  <c r="P290" i="5"/>
  <c r="Q290" i="5"/>
  <c r="R290" i="5"/>
  <c r="S290" i="5"/>
  <c r="T290" i="5"/>
  <c r="U290" i="5"/>
  <c r="AC290" i="5" s="1"/>
  <c r="V290" i="5"/>
  <c r="W290" i="5"/>
  <c r="X290" i="5"/>
  <c r="O291" i="5"/>
  <c r="P291" i="5"/>
  <c r="Q291" i="5"/>
  <c r="R291" i="5"/>
  <c r="S291" i="5"/>
  <c r="T291" i="5"/>
  <c r="U291" i="5"/>
  <c r="AC291" i="5" s="1"/>
  <c r="V291" i="5"/>
  <c r="W291" i="5"/>
  <c r="X291" i="5"/>
  <c r="O292" i="5"/>
  <c r="P292" i="5"/>
  <c r="Q292" i="5"/>
  <c r="R292" i="5"/>
  <c r="S292" i="5"/>
  <c r="T292" i="5"/>
  <c r="U292" i="5"/>
  <c r="AC292" i="5" s="1"/>
  <c r="V292" i="5"/>
  <c r="W292" i="5"/>
  <c r="AD292" i="5" s="1"/>
  <c r="X292" i="5"/>
  <c r="O293" i="5"/>
  <c r="P293" i="5"/>
  <c r="Q293" i="5"/>
  <c r="R293" i="5"/>
  <c r="S293" i="5"/>
  <c r="T293" i="5"/>
  <c r="U293" i="5"/>
  <c r="AC293" i="5" s="1"/>
  <c r="V293" i="5"/>
  <c r="W293" i="5"/>
  <c r="X293" i="5"/>
  <c r="O294" i="5"/>
  <c r="P294" i="5"/>
  <c r="Q294" i="5"/>
  <c r="R294" i="5"/>
  <c r="S294" i="5"/>
  <c r="T294" i="5"/>
  <c r="U294" i="5"/>
  <c r="AC294" i="5" s="1"/>
  <c r="V294" i="5"/>
  <c r="W294" i="5"/>
  <c r="X294" i="5"/>
  <c r="O295" i="5"/>
  <c r="P295" i="5"/>
  <c r="Q295" i="5"/>
  <c r="R295" i="5"/>
  <c r="S295" i="5"/>
  <c r="T295" i="5"/>
  <c r="U295" i="5"/>
  <c r="AC295" i="5" s="1"/>
  <c r="V295" i="5"/>
  <c r="W295" i="5"/>
  <c r="X295" i="5"/>
  <c r="O296" i="5"/>
  <c r="P296" i="5"/>
  <c r="Q296" i="5"/>
  <c r="R296" i="5"/>
  <c r="S296" i="5"/>
  <c r="T296" i="5"/>
  <c r="U296" i="5"/>
  <c r="AC296" i="5" s="1"/>
  <c r="V296" i="5"/>
  <c r="W296" i="5"/>
  <c r="X296" i="5"/>
  <c r="O297" i="5"/>
  <c r="P297" i="5"/>
  <c r="Q297" i="5"/>
  <c r="R297" i="5"/>
  <c r="S297" i="5"/>
  <c r="T297" i="5"/>
  <c r="U297" i="5"/>
  <c r="AC297" i="5" s="1"/>
  <c r="V297" i="5"/>
  <c r="W297" i="5"/>
  <c r="X297" i="5"/>
  <c r="O298" i="5"/>
  <c r="P298" i="5"/>
  <c r="Q298" i="5"/>
  <c r="R298" i="5"/>
  <c r="S298" i="5"/>
  <c r="T298" i="5"/>
  <c r="U298" i="5"/>
  <c r="AC298" i="5" s="1"/>
  <c r="V298" i="5"/>
  <c r="W298" i="5"/>
  <c r="X298" i="5"/>
  <c r="O299" i="5"/>
  <c r="P299" i="5"/>
  <c r="Q299" i="5"/>
  <c r="R299" i="5"/>
  <c r="S299" i="5"/>
  <c r="T299" i="5"/>
  <c r="U299" i="5"/>
  <c r="AC299" i="5" s="1"/>
  <c r="V299" i="5"/>
  <c r="W299" i="5"/>
  <c r="X299" i="5"/>
  <c r="O281" i="3"/>
  <c r="P281" i="3"/>
  <c r="Q281" i="3"/>
  <c r="R281" i="3"/>
  <c r="S281" i="3"/>
  <c r="T281" i="3"/>
  <c r="U281" i="3"/>
  <c r="V281" i="3"/>
  <c r="W281" i="3"/>
  <c r="X281" i="3"/>
  <c r="O282" i="3"/>
  <c r="P282" i="3"/>
  <c r="Q282" i="3"/>
  <c r="R282" i="3"/>
  <c r="S282" i="3"/>
  <c r="T282" i="3"/>
  <c r="U282" i="3"/>
  <c r="V282" i="3"/>
  <c r="W282" i="3"/>
  <c r="X282" i="3"/>
  <c r="O283" i="3"/>
  <c r="P283" i="3"/>
  <c r="Q283" i="3"/>
  <c r="R283" i="3"/>
  <c r="S283" i="3"/>
  <c r="T283" i="3"/>
  <c r="U283" i="3"/>
  <c r="V283" i="3"/>
  <c r="W283" i="3"/>
  <c r="X283" i="3"/>
  <c r="O284" i="3"/>
  <c r="P284" i="3"/>
  <c r="Q284" i="3"/>
  <c r="R284" i="3"/>
  <c r="S284" i="3"/>
  <c r="T284" i="3"/>
  <c r="U284" i="3"/>
  <c r="V284" i="3"/>
  <c r="W284" i="3"/>
  <c r="X284" i="3"/>
  <c r="O285" i="3"/>
  <c r="P285" i="3"/>
  <c r="Q285" i="3"/>
  <c r="R285" i="3"/>
  <c r="S285" i="3"/>
  <c r="T285" i="3"/>
  <c r="U285" i="3"/>
  <c r="V285" i="3"/>
  <c r="W285" i="3"/>
  <c r="X285" i="3"/>
  <c r="O286" i="3"/>
  <c r="P286" i="3"/>
  <c r="Q286" i="3"/>
  <c r="R286" i="3"/>
  <c r="S286" i="3"/>
  <c r="T286" i="3"/>
  <c r="U286" i="3"/>
  <c r="V286" i="3"/>
  <c r="W286" i="3"/>
  <c r="X286" i="3"/>
  <c r="O287" i="3"/>
  <c r="P287" i="3"/>
  <c r="Q287" i="3"/>
  <c r="R287" i="3"/>
  <c r="S287" i="3"/>
  <c r="T287" i="3"/>
  <c r="U287" i="3"/>
  <c r="V287" i="3"/>
  <c r="W287" i="3"/>
  <c r="X287" i="3"/>
  <c r="O288" i="3"/>
  <c r="P288" i="3"/>
  <c r="Q288" i="3"/>
  <c r="R288" i="3"/>
  <c r="S288" i="3"/>
  <c r="T288" i="3"/>
  <c r="U288" i="3"/>
  <c r="V288" i="3"/>
  <c r="W288" i="3"/>
  <c r="X288" i="3"/>
  <c r="O289" i="3"/>
  <c r="P289" i="3"/>
  <c r="Q289" i="3"/>
  <c r="R289" i="3"/>
  <c r="S289" i="3"/>
  <c r="T289" i="3"/>
  <c r="U289" i="3"/>
  <c r="V289" i="3"/>
  <c r="W289" i="3"/>
  <c r="X289" i="3"/>
  <c r="O290" i="3"/>
  <c r="P290" i="3"/>
  <c r="Q290" i="3"/>
  <c r="R290" i="3"/>
  <c r="S290" i="3"/>
  <c r="T290" i="3"/>
  <c r="U290" i="3"/>
  <c r="V290" i="3"/>
  <c r="W290" i="3"/>
  <c r="X290" i="3"/>
  <c r="O291" i="3"/>
  <c r="P291" i="3"/>
  <c r="Q291" i="3"/>
  <c r="R291" i="3"/>
  <c r="S291" i="3"/>
  <c r="T291" i="3"/>
  <c r="U291" i="3"/>
  <c r="V291" i="3"/>
  <c r="W291" i="3"/>
  <c r="X291" i="3"/>
  <c r="O292" i="3"/>
  <c r="P292" i="3"/>
  <c r="Q292" i="3"/>
  <c r="R292" i="3"/>
  <c r="S292" i="3"/>
  <c r="T292" i="3"/>
  <c r="U292" i="3"/>
  <c r="V292" i="3"/>
  <c r="W292" i="3"/>
  <c r="X292" i="3"/>
  <c r="O293" i="3"/>
  <c r="P293" i="3"/>
  <c r="Q293" i="3"/>
  <c r="R293" i="3"/>
  <c r="S293" i="3"/>
  <c r="T293" i="3"/>
  <c r="U293" i="3"/>
  <c r="V293" i="3"/>
  <c r="W293" i="3"/>
  <c r="X293" i="3"/>
  <c r="O294" i="3"/>
  <c r="P294" i="3"/>
  <c r="Q294" i="3"/>
  <c r="R294" i="3"/>
  <c r="S294" i="3"/>
  <c r="T294" i="3"/>
  <c r="U294" i="3"/>
  <c r="V294" i="3"/>
  <c r="W294" i="3"/>
  <c r="X294" i="3"/>
  <c r="O295" i="3"/>
  <c r="P295" i="3"/>
  <c r="Q295" i="3"/>
  <c r="R295" i="3"/>
  <c r="S295" i="3"/>
  <c r="T295" i="3"/>
  <c r="U295" i="3"/>
  <c r="V295" i="3"/>
  <c r="W295" i="3"/>
  <c r="X295" i="3"/>
  <c r="O296" i="3"/>
  <c r="P296" i="3"/>
  <c r="Q296" i="3"/>
  <c r="R296" i="3"/>
  <c r="S296" i="3"/>
  <c r="T296" i="3"/>
  <c r="U296" i="3"/>
  <c r="V296" i="3"/>
  <c r="W296" i="3"/>
  <c r="X296" i="3"/>
  <c r="O297" i="3"/>
  <c r="P297" i="3"/>
  <c r="Q297" i="3"/>
  <c r="R297" i="3"/>
  <c r="S297" i="3"/>
  <c r="T297" i="3"/>
  <c r="U297" i="3"/>
  <c r="V297" i="3"/>
  <c r="W297" i="3"/>
  <c r="X297" i="3"/>
  <c r="O298" i="3"/>
  <c r="P298" i="3"/>
  <c r="Q298" i="3"/>
  <c r="R298" i="3"/>
  <c r="S298" i="3"/>
  <c r="T298" i="3"/>
  <c r="U298" i="3"/>
  <c r="V298" i="3"/>
  <c r="W298" i="3"/>
  <c r="X298" i="3"/>
  <c r="O299" i="3"/>
  <c r="P299" i="3"/>
  <c r="Q299" i="3"/>
  <c r="R299" i="3"/>
  <c r="S299" i="3"/>
  <c r="T299" i="3"/>
  <c r="U299" i="3"/>
  <c r="V299" i="3"/>
  <c r="W299" i="3"/>
  <c r="X299" i="3"/>
  <c r="O280" i="3"/>
  <c r="P280" i="3"/>
  <c r="Q280" i="3"/>
  <c r="R280" i="3"/>
  <c r="S280" i="3"/>
  <c r="T280" i="3"/>
  <c r="U280" i="3"/>
  <c r="V280" i="3"/>
  <c r="W280" i="3"/>
  <c r="AA299" i="3"/>
  <c r="AA298" i="3"/>
  <c r="AA297" i="3"/>
  <c r="AA296" i="3"/>
  <c r="AA295" i="3"/>
  <c r="AA294" i="3"/>
  <c r="AA293" i="3"/>
  <c r="AA292" i="3"/>
  <c r="AA291" i="3"/>
  <c r="AA290" i="3"/>
  <c r="AA289" i="3"/>
  <c r="AA288" i="3"/>
  <c r="AA287" i="3"/>
  <c r="AA286" i="3"/>
  <c r="AA285" i="3"/>
  <c r="AD297" i="5" l="1"/>
  <c r="AD289" i="5"/>
  <c r="AD294" i="5"/>
  <c r="AD286" i="5"/>
  <c r="AD299" i="5"/>
  <c r="AD291" i="5"/>
  <c r="AD283" i="5"/>
  <c r="AD296" i="5"/>
  <c r="AD293" i="5"/>
  <c r="AD285" i="5"/>
  <c r="AD298" i="5"/>
  <c r="AD290" i="5"/>
  <c r="AD282" i="5"/>
  <c r="AD295" i="5"/>
  <c r="AD287" i="5"/>
  <c r="AB281" i="5"/>
  <c r="AC281" i="5"/>
  <c r="AD281" i="5"/>
  <c r="O254" i="5"/>
  <c r="P254" i="5"/>
  <c r="Q254" i="5"/>
  <c r="R254" i="5"/>
  <c r="S254" i="5"/>
  <c r="T254" i="5"/>
  <c r="U254" i="5"/>
  <c r="V254" i="5"/>
  <c r="W254" i="5"/>
  <c r="X254" i="5"/>
  <c r="AB254" i="5"/>
  <c r="O255" i="5"/>
  <c r="P255" i="5"/>
  <c r="Q255" i="5"/>
  <c r="R255" i="5"/>
  <c r="S255" i="5"/>
  <c r="T255" i="5"/>
  <c r="U255" i="5"/>
  <c r="V255" i="5"/>
  <c r="W255" i="5"/>
  <c r="X255" i="5"/>
  <c r="AB255" i="5"/>
  <c r="O256" i="5"/>
  <c r="P256" i="5"/>
  <c r="Q256" i="5"/>
  <c r="R256" i="5"/>
  <c r="S256" i="5"/>
  <c r="T256" i="5"/>
  <c r="U256" i="5"/>
  <c r="V256" i="5"/>
  <c r="W256" i="5"/>
  <c r="X256" i="5"/>
  <c r="AB256" i="5"/>
  <c r="O257" i="5"/>
  <c r="P257" i="5"/>
  <c r="Q257" i="5"/>
  <c r="R257" i="5"/>
  <c r="S257" i="5"/>
  <c r="T257" i="5"/>
  <c r="U257" i="5"/>
  <c r="V257" i="5"/>
  <c r="W257" i="5"/>
  <c r="X257" i="5"/>
  <c r="AB257" i="5"/>
  <c r="O258" i="5"/>
  <c r="P258" i="5"/>
  <c r="Q258" i="5"/>
  <c r="R258" i="5"/>
  <c r="S258" i="5"/>
  <c r="T258" i="5"/>
  <c r="U258" i="5"/>
  <c r="V258" i="5"/>
  <c r="W258" i="5"/>
  <c r="X258" i="5"/>
  <c r="AB258" i="5"/>
  <c r="O259" i="5"/>
  <c r="P259" i="5"/>
  <c r="Q259" i="5"/>
  <c r="R259" i="5"/>
  <c r="S259" i="5"/>
  <c r="T259" i="5"/>
  <c r="U259" i="5"/>
  <c r="V259" i="5"/>
  <c r="W259" i="5"/>
  <c r="X259" i="5"/>
  <c r="AB259" i="5"/>
  <c r="O260" i="5"/>
  <c r="P260" i="5"/>
  <c r="Q260" i="5"/>
  <c r="R260" i="5"/>
  <c r="S260" i="5"/>
  <c r="T260" i="5"/>
  <c r="U260" i="5"/>
  <c r="V260" i="5"/>
  <c r="W260" i="5"/>
  <c r="X260" i="5"/>
  <c r="AB260" i="5"/>
  <c r="O261" i="5"/>
  <c r="P261" i="5"/>
  <c r="Q261" i="5"/>
  <c r="R261" i="5"/>
  <c r="S261" i="5"/>
  <c r="T261" i="5"/>
  <c r="U261" i="5"/>
  <c r="V261" i="5"/>
  <c r="W261" i="5"/>
  <c r="X261" i="5"/>
  <c r="AB261" i="5"/>
  <c r="O262" i="5"/>
  <c r="P262" i="5"/>
  <c r="Q262" i="5"/>
  <c r="R262" i="5"/>
  <c r="S262" i="5"/>
  <c r="T262" i="5"/>
  <c r="U262" i="5"/>
  <c r="V262" i="5"/>
  <c r="W262" i="5"/>
  <c r="X262" i="5"/>
  <c r="AB262" i="5"/>
  <c r="O263" i="5"/>
  <c r="P263" i="5"/>
  <c r="Q263" i="5"/>
  <c r="R263" i="5"/>
  <c r="S263" i="5"/>
  <c r="T263" i="5"/>
  <c r="U263" i="5"/>
  <c r="V263" i="5"/>
  <c r="W263" i="5"/>
  <c r="X263" i="5"/>
  <c r="AB263" i="5"/>
  <c r="O264" i="5"/>
  <c r="P264" i="5"/>
  <c r="Q264" i="5"/>
  <c r="R264" i="5"/>
  <c r="S264" i="5"/>
  <c r="T264" i="5"/>
  <c r="U264" i="5"/>
  <c r="V264" i="5"/>
  <c r="W264" i="5"/>
  <c r="X264" i="5"/>
  <c r="AB264" i="5"/>
  <c r="O265" i="5"/>
  <c r="P265" i="5"/>
  <c r="Q265" i="5"/>
  <c r="R265" i="5"/>
  <c r="S265" i="5"/>
  <c r="T265" i="5"/>
  <c r="U265" i="5"/>
  <c r="AD265" i="5" s="1"/>
  <c r="V265" i="5"/>
  <c r="W265" i="5"/>
  <c r="X265" i="5"/>
  <c r="AB265" i="5"/>
  <c r="O266" i="5"/>
  <c r="P266" i="5"/>
  <c r="Q266" i="5"/>
  <c r="R266" i="5"/>
  <c r="S266" i="5"/>
  <c r="T266" i="5"/>
  <c r="U266" i="5"/>
  <c r="V266" i="5"/>
  <c r="W266" i="5"/>
  <c r="X266" i="5"/>
  <c r="AB266" i="5"/>
  <c r="O267" i="5"/>
  <c r="P267" i="5"/>
  <c r="Q267" i="5"/>
  <c r="R267" i="5"/>
  <c r="S267" i="5"/>
  <c r="T267" i="5"/>
  <c r="U267" i="5"/>
  <c r="V267" i="5"/>
  <c r="W267" i="5"/>
  <c r="X267" i="5"/>
  <c r="AB267" i="5"/>
  <c r="O268" i="5"/>
  <c r="P268" i="5"/>
  <c r="Q268" i="5"/>
  <c r="R268" i="5"/>
  <c r="S268" i="5"/>
  <c r="T268" i="5"/>
  <c r="U268" i="5"/>
  <c r="V268" i="5"/>
  <c r="W268" i="5"/>
  <c r="X268" i="5"/>
  <c r="AB268" i="5"/>
  <c r="O269" i="5"/>
  <c r="P269" i="5"/>
  <c r="Q269" i="5"/>
  <c r="R269" i="5"/>
  <c r="S269" i="5"/>
  <c r="T269" i="5"/>
  <c r="U269" i="5"/>
  <c r="V269" i="5"/>
  <c r="W269" i="5"/>
  <c r="X269" i="5"/>
  <c r="AB269" i="5"/>
  <c r="O270" i="5"/>
  <c r="P270" i="5"/>
  <c r="Q270" i="5"/>
  <c r="R270" i="5"/>
  <c r="S270" i="5"/>
  <c r="T270" i="5"/>
  <c r="U270" i="5"/>
  <c r="V270" i="5"/>
  <c r="W270" i="5"/>
  <c r="X270" i="5"/>
  <c r="AB270" i="5"/>
  <c r="O271" i="5"/>
  <c r="P271" i="5"/>
  <c r="Q271" i="5"/>
  <c r="R271" i="5"/>
  <c r="S271" i="5"/>
  <c r="T271" i="5"/>
  <c r="U271" i="5"/>
  <c r="V271" i="5"/>
  <c r="W271" i="5"/>
  <c r="X271" i="5"/>
  <c r="AB271" i="5"/>
  <c r="O272" i="5"/>
  <c r="P272" i="5"/>
  <c r="Q272" i="5"/>
  <c r="R272" i="5"/>
  <c r="S272" i="5"/>
  <c r="T272" i="5"/>
  <c r="U272" i="5"/>
  <c r="V272" i="5"/>
  <c r="W272" i="5"/>
  <c r="X272" i="5"/>
  <c r="AB272" i="5"/>
  <c r="O273" i="5"/>
  <c r="P273" i="5"/>
  <c r="Q273" i="5"/>
  <c r="R273" i="5"/>
  <c r="S273" i="5"/>
  <c r="T273" i="5"/>
  <c r="U273" i="5"/>
  <c r="V273" i="5"/>
  <c r="W273" i="5"/>
  <c r="X273" i="5"/>
  <c r="AB273" i="5"/>
  <c r="O274" i="5"/>
  <c r="P274" i="5"/>
  <c r="Q274" i="5"/>
  <c r="R274" i="5"/>
  <c r="S274" i="5"/>
  <c r="T274" i="5"/>
  <c r="U274" i="5"/>
  <c r="V274" i="5"/>
  <c r="W274" i="5"/>
  <c r="X274" i="5"/>
  <c r="AB274" i="5"/>
  <c r="O275" i="5"/>
  <c r="P275" i="5"/>
  <c r="Q275" i="5"/>
  <c r="R275" i="5"/>
  <c r="S275" i="5"/>
  <c r="T275" i="5"/>
  <c r="U275" i="5"/>
  <c r="V275" i="5"/>
  <c r="W275" i="5"/>
  <c r="X275" i="5"/>
  <c r="AB275" i="5"/>
  <c r="O276" i="5"/>
  <c r="P276" i="5"/>
  <c r="Q276" i="5"/>
  <c r="R276" i="5"/>
  <c r="S276" i="5"/>
  <c r="T276" i="5"/>
  <c r="U276" i="5"/>
  <c r="V276" i="5"/>
  <c r="W276" i="5"/>
  <c r="X276" i="5"/>
  <c r="AB276" i="5"/>
  <c r="O277" i="5"/>
  <c r="P277" i="5"/>
  <c r="Q277" i="5"/>
  <c r="R277" i="5"/>
  <c r="S277" i="5"/>
  <c r="T277" i="5"/>
  <c r="U277" i="5"/>
  <c r="V277" i="5"/>
  <c r="W277" i="5"/>
  <c r="X277" i="5"/>
  <c r="AB277" i="5"/>
  <c r="O278" i="5"/>
  <c r="P278" i="5"/>
  <c r="Q278" i="5"/>
  <c r="R278" i="5"/>
  <c r="S278" i="5"/>
  <c r="T278" i="5"/>
  <c r="U278" i="5"/>
  <c r="V278" i="5"/>
  <c r="W278" i="5"/>
  <c r="X278" i="5"/>
  <c r="AB278" i="5"/>
  <c r="O279" i="5"/>
  <c r="P279" i="5"/>
  <c r="Q279" i="5"/>
  <c r="R279" i="5"/>
  <c r="S279" i="5"/>
  <c r="T279" i="5"/>
  <c r="U279" i="5"/>
  <c r="V279" i="5"/>
  <c r="W279" i="5"/>
  <c r="X279" i="5"/>
  <c r="AB279" i="5"/>
  <c r="O280" i="5"/>
  <c r="P280" i="5"/>
  <c r="Q280" i="5"/>
  <c r="R280" i="5"/>
  <c r="S280" i="5"/>
  <c r="T280" i="5"/>
  <c r="U280" i="5"/>
  <c r="V280" i="5"/>
  <c r="W280" i="5"/>
  <c r="X280" i="5"/>
  <c r="AB280" i="5"/>
  <c r="O254" i="3"/>
  <c r="P254" i="3"/>
  <c r="Q254" i="3"/>
  <c r="R254" i="3"/>
  <c r="S254" i="3"/>
  <c r="T254" i="3"/>
  <c r="U254" i="3"/>
  <c r="V254" i="3"/>
  <c r="W254" i="3"/>
  <c r="X254" i="3"/>
  <c r="O255" i="3"/>
  <c r="P255" i="3"/>
  <c r="Q255" i="3"/>
  <c r="R255" i="3"/>
  <c r="S255" i="3"/>
  <c r="T255" i="3"/>
  <c r="U255" i="3"/>
  <c r="V255" i="3"/>
  <c r="W255" i="3"/>
  <c r="X255" i="3"/>
  <c r="O256" i="3"/>
  <c r="P256" i="3"/>
  <c r="Q256" i="3"/>
  <c r="R256" i="3"/>
  <c r="S256" i="3"/>
  <c r="T256" i="3"/>
  <c r="U256" i="3"/>
  <c r="V256" i="3"/>
  <c r="W256" i="3"/>
  <c r="X256" i="3"/>
  <c r="O257" i="3"/>
  <c r="P257" i="3"/>
  <c r="Q257" i="3"/>
  <c r="R257" i="3"/>
  <c r="S257" i="3"/>
  <c r="T257" i="3"/>
  <c r="U257" i="3"/>
  <c r="V257" i="3"/>
  <c r="W257" i="3"/>
  <c r="X257" i="3"/>
  <c r="O258" i="3"/>
  <c r="P258" i="3"/>
  <c r="Q258" i="3"/>
  <c r="R258" i="3"/>
  <c r="S258" i="3"/>
  <c r="T258" i="3"/>
  <c r="U258" i="3"/>
  <c r="V258" i="3"/>
  <c r="W258" i="3"/>
  <c r="X258" i="3"/>
  <c r="O259" i="3"/>
  <c r="P259" i="3"/>
  <c r="Q259" i="3"/>
  <c r="R259" i="3"/>
  <c r="S259" i="3"/>
  <c r="T259" i="3"/>
  <c r="U259" i="3"/>
  <c r="V259" i="3"/>
  <c r="W259" i="3"/>
  <c r="X259" i="3"/>
  <c r="O260" i="3"/>
  <c r="P260" i="3"/>
  <c r="Q260" i="3"/>
  <c r="R260" i="3"/>
  <c r="S260" i="3"/>
  <c r="T260" i="3"/>
  <c r="U260" i="3"/>
  <c r="V260" i="3"/>
  <c r="W260" i="3"/>
  <c r="X260" i="3"/>
  <c r="O261" i="3"/>
  <c r="P261" i="3"/>
  <c r="Q261" i="3"/>
  <c r="R261" i="3"/>
  <c r="S261" i="3"/>
  <c r="T261" i="3"/>
  <c r="U261" i="3"/>
  <c r="V261" i="3"/>
  <c r="W261" i="3"/>
  <c r="X261" i="3"/>
  <c r="O262" i="3"/>
  <c r="P262" i="3"/>
  <c r="Q262" i="3"/>
  <c r="R262" i="3"/>
  <c r="S262" i="3"/>
  <c r="T262" i="3"/>
  <c r="U262" i="3"/>
  <c r="V262" i="3"/>
  <c r="W262" i="3"/>
  <c r="X262" i="3"/>
  <c r="O263" i="3"/>
  <c r="P263" i="3"/>
  <c r="Q263" i="3"/>
  <c r="R263" i="3"/>
  <c r="S263" i="3"/>
  <c r="T263" i="3"/>
  <c r="U263" i="3"/>
  <c r="V263" i="3"/>
  <c r="W263" i="3"/>
  <c r="X263" i="3"/>
  <c r="O264" i="3"/>
  <c r="P264" i="3"/>
  <c r="Q264" i="3"/>
  <c r="R264" i="3"/>
  <c r="S264" i="3"/>
  <c r="T264" i="3"/>
  <c r="U264" i="3"/>
  <c r="V264" i="3"/>
  <c r="W264" i="3"/>
  <c r="X264" i="3"/>
  <c r="O265" i="3"/>
  <c r="P265" i="3"/>
  <c r="Q265" i="3"/>
  <c r="R265" i="3"/>
  <c r="S265" i="3"/>
  <c r="T265" i="3"/>
  <c r="U265" i="3"/>
  <c r="V265" i="3"/>
  <c r="W265" i="3"/>
  <c r="X265" i="3"/>
  <c r="O266" i="3"/>
  <c r="P266" i="3"/>
  <c r="Q266" i="3"/>
  <c r="R266" i="3"/>
  <c r="S266" i="3"/>
  <c r="T266" i="3"/>
  <c r="U266" i="3"/>
  <c r="V266" i="3"/>
  <c r="W266" i="3"/>
  <c r="X266" i="3"/>
  <c r="O267" i="3"/>
  <c r="P267" i="3"/>
  <c r="Q267" i="3"/>
  <c r="R267" i="3"/>
  <c r="S267" i="3"/>
  <c r="T267" i="3"/>
  <c r="U267" i="3"/>
  <c r="V267" i="3"/>
  <c r="W267" i="3"/>
  <c r="X267" i="3"/>
  <c r="O268" i="3"/>
  <c r="P268" i="3"/>
  <c r="Q268" i="3"/>
  <c r="R268" i="3"/>
  <c r="S268" i="3"/>
  <c r="T268" i="3"/>
  <c r="U268" i="3"/>
  <c r="V268" i="3"/>
  <c r="W268" i="3"/>
  <c r="X268" i="3"/>
  <c r="O269" i="3"/>
  <c r="P269" i="3"/>
  <c r="Q269" i="3"/>
  <c r="R269" i="3"/>
  <c r="S269" i="3"/>
  <c r="T269" i="3"/>
  <c r="U269" i="3"/>
  <c r="V269" i="3"/>
  <c r="W269" i="3"/>
  <c r="X269" i="3"/>
  <c r="O270" i="3"/>
  <c r="P270" i="3"/>
  <c r="Q270" i="3"/>
  <c r="R270" i="3"/>
  <c r="S270" i="3"/>
  <c r="T270" i="3"/>
  <c r="U270" i="3"/>
  <c r="V270" i="3"/>
  <c r="W270" i="3"/>
  <c r="X270" i="3"/>
  <c r="O271" i="3"/>
  <c r="P271" i="3"/>
  <c r="Q271" i="3"/>
  <c r="R271" i="3"/>
  <c r="S271" i="3"/>
  <c r="T271" i="3"/>
  <c r="U271" i="3"/>
  <c r="V271" i="3"/>
  <c r="W271" i="3"/>
  <c r="X271" i="3"/>
  <c r="O272" i="3"/>
  <c r="P272" i="3"/>
  <c r="Q272" i="3"/>
  <c r="R272" i="3"/>
  <c r="S272" i="3"/>
  <c r="T272" i="3"/>
  <c r="U272" i="3"/>
  <c r="V272" i="3"/>
  <c r="W272" i="3"/>
  <c r="X272" i="3"/>
  <c r="O273" i="3"/>
  <c r="P273" i="3"/>
  <c r="Q273" i="3"/>
  <c r="R273" i="3"/>
  <c r="S273" i="3"/>
  <c r="T273" i="3"/>
  <c r="U273" i="3"/>
  <c r="V273" i="3"/>
  <c r="W273" i="3"/>
  <c r="X273" i="3"/>
  <c r="O274" i="3"/>
  <c r="P274" i="3"/>
  <c r="Q274" i="3"/>
  <c r="R274" i="3"/>
  <c r="S274" i="3"/>
  <c r="T274" i="3"/>
  <c r="U274" i="3"/>
  <c r="V274" i="3"/>
  <c r="W274" i="3"/>
  <c r="X274" i="3"/>
  <c r="O275" i="3"/>
  <c r="P275" i="3"/>
  <c r="Q275" i="3"/>
  <c r="R275" i="3"/>
  <c r="S275" i="3"/>
  <c r="T275" i="3"/>
  <c r="U275" i="3"/>
  <c r="V275" i="3"/>
  <c r="W275" i="3"/>
  <c r="X275" i="3"/>
  <c r="O276" i="3"/>
  <c r="P276" i="3"/>
  <c r="Q276" i="3"/>
  <c r="R276" i="3"/>
  <c r="S276" i="3"/>
  <c r="T276" i="3"/>
  <c r="U276" i="3"/>
  <c r="V276" i="3"/>
  <c r="W276" i="3"/>
  <c r="X276" i="3"/>
  <c r="O277" i="3"/>
  <c r="P277" i="3"/>
  <c r="Q277" i="3"/>
  <c r="R277" i="3"/>
  <c r="S277" i="3"/>
  <c r="T277" i="3"/>
  <c r="U277" i="3"/>
  <c r="V277" i="3"/>
  <c r="W277" i="3"/>
  <c r="X277" i="3"/>
  <c r="O278" i="3"/>
  <c r="P278" i="3"/>
  <c r="Q278" i="3"/>
  <c r="R278" i="3"/>
  <c r="S278" i="3"/>
  <c r="T278" i="3"/>
  <c r="U278" i="3"/>
  <c r="V278" i="3"/>
  <c r="W278" i="3"/>
  <c r="X278" i="3"/>
  <c r="O279" i="3"/>
  <c r="P279" i="3"/>
  <c r="Q279" i="3"/>
  <c r="R279" i="3"/>
  <c r="S279" i="3"/>
  <c r="T279" i="3"/>
  <c r="U279" i="3"/>
  <c r="V279" i="3"/>
  <c r="W279" i="3"/>
  <c r="X279" i="3"/>
  <c r="X280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C266" i="5" l="1"/>
  <c r="AC262" i="5"/>
  <c r="AC254" i="5"/>
  <c r="AD266" i="5"/>
  <c r="AC264" i="5"/>
  <c r="AC258" i="5"/>
  <c r="AC280" i="5"/>
  <c r="AC278" i="5"/>
  <c r="AC274" i="5"/>
  <c r="AD256" i="5"/>
  <c r="AD273" i="5"/>
  <c r="AD257" i="5"/>
  <c r="AD261" i="5"/>
  <c r="AC270" i="5"/>
  <c r="AC255" i="5"/>
  <c r="AD254" i="5"/>
  <c r="AD274" i="5"/>
  <c r="AC272" i="5"/>
  <c r="AD258" i="5"/>
  <c r="AC277" i="5"/>
  <c r="AC269" i="5"/>
  <c r="AC261" i="5"/>
  <c r="AC256" i="5"/>
  <c r="AD277" i="5"/>
  <c r="AC276" i="5"/>
  <c r="AD270" i="5"/>
  <c r="AD269" i="5"/>
  <c r="AC268" i="5"/>
  <c r="AD262" i="5"/>
  <c r="AC260" i="5"/>
  <c r="AC275" i="5"/>
  <c r="AC267" i="5"/>
  <c r="AC259" i="5"/>
  <c r="AD278" i="5"/>
  <c r="AC279" i="5"/>
  <c r="AC273" i="5"/>
  <c r="AC271" i="5"/>
  <c r="AC265" i="5"/>
  <c r="AC263" i="5"/>
  <c r="AC257" i="5"/>
  <c r="AD280" i="5"/>
  <c r="AD276" i="5"/>
  <c r="AD272" i="5"/>
  <c r="AD268" i="5"/>
  <c r="AD264" i="5"/>
  <c r="AD260" i="5"/>
  <c r="AD279" i="5"/>
  <c r="AD275" i="5"/>
  <c r="AD271" i="5"/>
  <c r="AD267" i="5"/>
  <c r="AD263" i="5"/>
  <c r="AD259" i="5"/>
  <c r="AD255" i="5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O214" i="3"/>
  <c r="P214" i="3"/>
  <c r="Q214" i="3"/>
  <c r="R214" i="3"/>
  <c r="S214" i="3"/>
  <c r="T214" i="3"/>
  <c r="U214" i="3"/>
  <c r="V214" i="3"/>
  <c r="W214" i="3"/>
  <c r="X214" i="3"/>
  <c r="O215" i="3"/>
  <c r="P215" i="3"/>
  <c r="Q215" i="3"/>
  <c r="R215" i="3"/>
  <c r="S215" i="3"/>
  <c r="T215" i="3"/>
  <c r="U215" i="3"/>
  <c r="V215" i="3"/>
  <c r="W215" i="3"/>
  <c r="X215" i="3"/>
  <c r="O216" i="3"/>
  <c r="P216" i="3"/>
  <c r="Q216" i="3"/>
  <c r="R216" i="3"/>
  <c r="S216" i="3"/>
  <c r="T216" i="3"/>
  <c r="U216" i="3"/>
  <c r="V216" i="3"/>
  <c r="W216" i="3"/>
  <c r="X216" i="3"/>
  <c r="O217" i="3"/>
  <c r="P217" i="3"/>
  <c r="Q217" i="3"/>
  <c r="R217" i="3"/>
  <c r="S217" i="3"/>
  <c r="T217" i="3"/>
  <c r="U217" i="3"/>
  <c r="V217" i="3"/>
  <c r="W217" i="3"/>
  <c r="X217" i="3"/>
  <c r="O218" i="3"/>
  <c r="P218" i="3"/>
  <c r="Q218" i="3"/>
  <c r="R218" i="3"/>
  <c r="S218" i="3"/>
  <c r="T218" i="3"/>
  <c r="U218" i="3"/>
  <c r="V218" i="3"/>
  <c r="W218" i="3"/>
  <c r="X218" i="3"/>
  <c r="O219" i="3"/>
  <c r="P219" i="3"/>
  <c r="Q219" i="3"/>
  <c r="R219" i="3"/>
  <c r="S219" i="3"/>
  <c r="T219" i="3"/>
  <c r="U219" i="3"/>
  <c r="V219" i="3"/>
  <c r="W219" i="3"/>
  <c r="X219" i="3"/>
  <c r="O220" i="3"/>
  <c r="P220" i="3"/>
  <c r="Q220" i="3"/>
  <c r="R220" i="3"/>
  <c r="S220" i="3"/>
  <c r="T220" i="3"/>
  <c r="U220" i="3"/>
  <c r="V220" i="3"/>
  <c r="W220" i="3"/>
  <c r="X220" i="3"/>
  <c r="O221" i="3"/>
  <c r="P221" i="3"/>
  <c r="Q221" i="3"/>
  <c r="R221" i="3"/>
  <c r="S221" i="3"/>
  <c r="T221" i="3"/>
  <c r="U221" i="3"/>
  <c r="V221" i="3"/>
  <c r="W221" i="3"/>
  <c r="X221" i="3"/>
  <c r="O222" i="3"/>
  <c r="P222" i="3"/>
  <c r="Q222" i="3"/>
  <c r="R222" i="3"/>
  <c r="S222" i="3"/>
  <c r="T222" i="3"/>
  <c r="U222" i="3"/>
  <c r="V222" i="3"/>
  <c r="W222" i="3"/>
  <c r="X222" i="3"/>
  <c r="O223" i="3"/>
  <c r="P223" i="3"/>
  <c r="Q223" i="3"/>
  <c r="R223" i="3"/>
  <c r="S223" i="3"/>
  <c r="T223" i="3"/>
  <c r="U223" i="3"/>
  <c r="V223" i="3"/>
  <c r="W223" i="3"/>
  <c r="X223" i="3"/>
  <c r="O224" i="3"/>
  <c r="P224" i="3"/>
  <c r="Q224" i="3"/>
  <c r="R224" i="3"/>
  <c r="S224" i="3"/>
  <c r="T224" i="3"/>
  <c r="U224" i="3"/>
  <c r="V224" i="3"/>
  <c r="W224" i="3"/>
  <c r="X224" i="3"/>
  <c r="O225" i="3"/>
  <c r="P225" i="3"/>
  <c r="Q225" i="3"/>
  <c r="R225" i="3"/>
  <c r="S225" i="3"/>
  <c r="T225" i="3"/>
  <c r="U225" i="3"/>
  <c r="V225" i="3"/>
  <c r="W225" i="3"/>
  <c r="X225" i="3"/>
  <c r="O226" i="3"/>
  <c r="P226" i="3"/>
  <c r="Q226" i="3"/>
  <c r="R226" i="3"/>
  <c r="S226" i="3"/>
  <c r="T226" i="3"/>
  <c r="U226" i="3"/>
  <c r="V226" i="3"/>
  <c r="W226" i="3"/>
  <c r="X226" i="3"/>
  <c r="O227" i="3"/>
  <c r="P227" i="3"/>
  <c r="Q227" i="3"/>
  <c r="R227" i="3"/>
  <c r="S227" i="3"/>
  <c r="T227" i="3"/>
  <c r="U227" i="3"/>
  <c r="V227" i="3"/>
  <c r="W227" i="3"/>
  <c r="X227" i="3"/>
  <c r="O228" i="3"/>
  <c r="P228" i="3"/>
  <c r="Q228" i="3"/>
  <c r="R228" i="3"/>
  <c r="S228" i="3"/>
  <c r="T228" i="3"/>
  <c r="U228" i="3"/>
  <c r="V228" i="3"/>
  <c r="W228" i="3"/>
  <c r="X228" i="3"/>
  <c r="O229" i="3"/>
  <c r="P229" i="3"/>
  <c r="Q229" i="3"/>
  <c r="R229" i="3"/>
  <c r="S229" i="3"/>
  <c r="T229" i="3"/>
  <c r="U229" i="3"/>
  <c r="V229" i="3"/>
  <c r="W229" i="3"/>
  <c r="X229" i="3"/>
  <c r="O230" i="3"/>
  <c r="P230" i="3"/>
  <c r="Q230" i="3"/>
  <c r="R230" i="3"/>
  <c r="S230" i="3"/>
  <c r="T230" i="3"/>
  <c r="U230" i="3"/>
  <c r="V230" i="3"/>
  <c r="W230" i="3"/>
  <c r="X230" i="3"/>
  <c r="O231" i="3"/>
  <c r="P231" i="3"/>
  <c r="Q231" i="3"/>
  <c r="R231" i="3"/>
  <c r="S231" i="3"/>
  <c r="T231" i="3"/>
  <c r="U231" i="3"/>
  <c r="V231" i="3"/>
  <c r="W231" i="3"/>
  <c r="X231" i="3"/>
  <c r="O232" i="3"/>
  <c r="P232" i="3"/>
  <c r="Q232" i="3"/>
  <c r="R232" i="3"/>
  <c r="S232" i="3"/>
  <c r="T232" i="3"/>
  <c r="U232" i="3"/>
  <c r="V232" i="3"/>
  <c r="W232" i="3"/>
  <c r="X232" i="3"/>
  <c r="O233" i="3"/>
  <c r="P233" i="3"/>
  <c r="Q233" i="3"/>
  <c r="R233" i="3"/>
  <c r="S233" i="3"/>
  <c r="T233" i="3"/>
  <c r="U233" i="3"/>
  <c r="V233" i="3"/>
  <c r="W233" i="3"/>
  <c r="X233" i="3"/>
  <c r="O234" i="3"/>
  <c r="P234" i="3"/>
  <c r="Q234" i="3"/>
  <c r="R234" i="3"/>
  <c r="S234" i="3"/>
  <c r="T234" i="3"/>
  <c r="U234" i="3"/>
  <c r="V234" i="3"/>
  <c r="W234" i="3"/>
  <c r="X234" i="3"/>
  <c r="O235" i="3"/>
  <c r="P235" i="3"/>
  <c r="Q235" i="3"/>
  <c r="R235" i="3"/>
  <c r="S235" i="3"/>
  <c r="T235" i="3"/>
  <c r="U235" i="3"/>
  <c r="V235" i="3"/>
  <c r="W235" i="3"/>
  <c r="X235" i="3"/>
  <c r="O236" i="3"/>
  <c r="P236" i="3"/>
  <c r="Q236" i="3"/>
  <c r="R236" i="3"/>
  <c r="S236" i="3"/>
  <c r="T236" i="3"/>
  <c r="U236" i="3"/>
  <c r="V236" i="3"/>
  <c r="W236" i="3"/>
  <c r="X236" i="3"/>
  <c r="O237" i="3"/>
  <c r="P237" i="3"/>
  <c r="Q237" i="3"/>
  <c r="R237" i="3"/>
  <c r="S237" i="3"/>
  <c r="T237" i="3"/>
  <c r="U237" i="3"/>
  <c r="V237" i="3"/>
  <c r="W237" i="3"/>
  <c r="X237" i="3"/>
  <c r="O238" i="3"/>
  <c r="P238" i="3"/>
  <c r="Q238" i="3"/>
  <c r="R238" i="3"/>
  <c r="S238" i="3"/>
  <c r="T238" i="3"/>
  <c r="U238" i="3"/>
  <c r="V238" i="3"/>
  <c r="W238" i="3"/>
  <c r="X238" i="3"/>
  <c r="O239" i="3"/>
  <c r="P239" i="3"/>
  <c r="Q239" i="3"/>
  <c r="R239" i="3"/>
  <c r="S239" i="3"/>
  <c r="T239" i="3"/>
  <c r="U239" i="3"/>
  <c r="V239" i="3"/>
  <c r="W239" i="3"/>
  <c r="X239" i="3"/>
  <c r="O240" i="3"/>
  <c r="P240" i="3"/>
  <c r="Q240" i="3"/>
  <c r="R240" i="3"/>
  <c r="S240" i="3"/>
  <c r="T240" i="3"/>
  <c r="U240" i="3"/>
  <c r="V240" i="3"/>
  <c r="W240" i="3"/>
  <c r="X240" i="3"/>
  <c r="O241" i="3"/>
  <c r="P241" i="3"/>
  <c r="Q241" i="3"/>
  <c r="R241" i="3"/>
  <c r="S241" i="3"/>
  <c r="T241" i="3"/>
  <c r="U241" i="3"/>
  <c r="V241" i="3"/>
  <c r="W241" i="3"/>
  <c r="X241" i="3"/>
  <c r="O242" i="3"/>
  <c r="P242" i="3"/>
  <c r="Q242" i="3"/>
  <c r="R242" i="3"/>
  <c r="S242" i="3"/>
  <c r="T242" i="3"/>
  <c r="U242" i="3"/>
  <c r="V242" i="3"/>
  <c r="W242" i="3"/>
  <c r="X242" i="3"/>
  <c r="O243" i="3"/>
  <c r="P243" i="3"/>
  <c r="Q243" i="3"/>
  <c r="R243" i="3"/>
  <c r="S243" i="3"/>
  <c r="T243" i="3"/>
  <c r="U243" i="3"/>
  <c r="V243" i="3"/>
  <c r="W243" i="3"/>
  <c r="X243" i="3"/>
  <c r="O244" i="3"/>
  <c r="P244" i="3"/>
  <c r="Q244" i="3"/>
  <c r="R244" i="3"/>
  <c r="S244" i="3"/>
  <c r="T244" i="3"/>
  <c r="U244" i="3"/>
  <c r="V244" i="3"/>
  <c r="W244" i="3"/>
  <c r="X244" i="3"/>
  <c r="O245" i="3"/>
  <c r="P245" i="3"/>
  <c r="Q245" i="3"/>
  <c r="R245" i="3"/>
  <c r="S245" i="3"/>
  <c r="T245" i="3"/>
  <c r="U245" i="3"/>
  <c r="V245" i="3"/>
  <c r="W245" i="3"/>
  <c r="X245" i="3"/>
  <c r="O246" i="3"/>
  <c r="P246" i="3"/>
  <c r="Q246" i="3"/>
  <c r="R246" i="3"/>
  <c r="S246" i="3"/>
  <c r="T246" i="3"/>
  <c r="U246" i="3"/>
  <c r="V246" i="3"/>
  <c r="W246" i="3"/>
  <c r="X246" i="3"/>
  <c r="O247" i="3"/>
  <c r="P247" i="3"/>
  <c r="Q247" i="3"/>
  <c r="R247" i="3"/>
  <c r="S247" i="3"/>
  <c r="T247" i="3"/>
  <c r="U247" i="3"/>
  <c r="V247" i="3"/>
  <c r="W247" i="3"/>
  <c r="X247" i="3"/>
  <c r="O248" i="3"/>
  <c r="P248" i="3"/>
  <c r="Q248" i="3"/>
  <c r="R248" i="3"/>
  <c r="S248" i="3"/>
  <c r="T248" i="3"/>
  <c r="U248" i="3"/>
  <c r="V248" i="3"/>
  <c r="W248" i="3"/>
  <c r="X248" i="3"/>
  <c r="O249" i="3"/>
  <c r="P249" i="3"/>
  <c r="Q249" i="3"/>
  <c r="R249" i="3"/>
  <c r="S249" i="3"/>
  <c r="T249" i="3"/>
  <c r="U249" i="3"/>
  <c r="V249" i="3"/>
  <c r="W249" i="3"/>
  <c r="X249" i="3"/>
  <c r="O250" i="3"/>
  <c r="P250" i="3"/>
  <c r="Q250" i="3"/>
  <c r="R250" i="3"/>
  <c r="S250" i="3"/>
  <c r="T250" i="3"/>
  <c r="U250" i="3"/>
  <c r="V250" i="3"/>
  <c r="W250" i="3"/>
  <c r="X250" i="3"/>
  <c r="O251" i="3"/>
  <c r="P251" i="3"/>
  <c r="Q251" i="3"/>
  <c r="R251" i="3"/>
  <c r="S251" i="3"/>
  <c r="T251" i="3"/>
  <c r="U251" i="3"/>
  <c r="V251" i="3"/>
  <c r="W251" i="3"/>
  <c r="X251" i="3"/>
  <c r="O252" i="3"/>
  <c r="P252" i="3"/>
  <c r="Q252" i="3"/>
  <c r="R252" i="3"/>
  <c r="S252" i="3"/>
  <c r="T252" i="3"/>
  <c r="U252" i="3"/>
  <c r="V252" i="3"/>
  <c r="W252" i="3"/>
  <c r="X252" i="3"/>
  <c r="O253" i="3"/>
  <c r="P253" i="3"/>
  <c r="Q253" i="3"/>
  <c r="R253" i="3"/>
  <c r="S253" i="3"/>
  <c r="T253" i="3"/>
  <c r="U253" i="3"/>
  <c r="V253" i="3"/>
  <c r="W253" i="3"/>
  <c r="X253" i="3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O253" i="5"/>
  <c r="P253" i="5"/>
  <c r="Q253" i="5"/>
  <c r="R253" i="5"/>
  <c r="S253" i="5"/>
  <c r="T253" i="5"/>
  <c r="U253" i="5"/>
  <c r="V253" i="5"/>
  <c r="W253" i="5"/>
  <c r="X253" i="5"/>
  <c r="O214" i="5"/>
  <c r="P214" i="5"/>
  <c r="Q214" i="5"/>
  <c r="R214" i="5"/>
  <c r="S214" i="5"/>
  <c r="T214" i="5"/>
  <c r="U214" i="5"/>
  <c r="V214" i="5"/>
  <c r="W214" i="5"/>
  <c r="X214" i="5"/>
  <c r="O215" i="5"/>
  <c r="P215" i="5"/>
  <c r="Q215" i="5"/>
  <c r="R215" i="5"/>
  <c r="S215" i="5"/>
  <c r="T215" i="5"/>
  <c r="U215" i="5"/>
  <c r="V215" i="5"/>
  <c r="W215" i="5"/>
  <c r="X215" i="5"/>
  <c r="O216" i="5"/>
  <c r="P216" i="5"/>
  <c r="Q216" i="5"/>
  <c r="R216" i="5"/>
  <c r="S216" i="5"/>
  <c r="T216" i="5"/>
  <c r="U216" i="5"/>
  <c r="V216" i="5"/>
  <c r="W216" i="5"/>
  <c r="X216" i="5"/>
  <c r="O217" i="5"/>
  <c r="P217" i="5"/>
  <c r="Q217" i="5"/>
  <c r="R217" i="5"/>
  <c r="S217" i="5"/>
  <c r="T217" i="5"/>
  <c r="U217" i="5"/>
  <c r="V217" i="5"/>
  <c r="W217" i="5"/>
  <c r="X217" i="5"/>
  <c r="AC217" i="5" s="1"/>
  <c r="O218" i="5"/>
  <c r="P218" i="5"/>
  <c r="Q218" i="5"/>
  <c r="R218" i="5"/>
  <c r="S218" i="5"/>
  <c r="T218" i="5"/>
  <c r="U218" i="5"/>
  <c r="V218" i="5"/>
  <c r="W218" i="5"/>
  <c r="X218" i="5"/>
  <c r="O219" i="5"/>
  <c r="P219" i="5"/>
  <c r="Q219" i="5"/>
  <c r="R219" i="5"/>
  <c r="S219" i="5"/>
  <c r="T219" i="5"/>
  <c r="U219" i="5"/>
  <c r="V219" i="5"/>
  <c r="W219" i="5"/>
  <c r="X219" i="5"/>
  <c r="O220" i="5"/>
  <c r="P220" i="5"/>
  <c r="Q220" i="5"/>
  <c r="R220" i="5"/>
  <c r="S220" i="5"/>
  <c r="T220" i="5"/>
  <c r="U220" i="5"/>
  <c r="AC220" i="5" s="1"/>
  <c r="V220" i="5"/>
  <c r="W220" i="5"/>
  <c r="X220" i="5"/>
  <c r="O221" i="5"/>
  <c r="P221" i="5"/>
  <c r="Q221" i="5"/>
  <c r="R221" i="5"/>
  <c r="S221" i="5"/>
  <c r="T221" i="5"/>
  <c r="U221" i="5"/>
  <c r="V221" i="5"/>
  <c r="W221" i="5"/>
  <c r="X221" i="5"/>
  <c r="O222" i="5"/>
  <c r="P222" i="5"/>
  <c r="Q222" i="5"/>
  <c r="R222" i="5"/>
  <c r="S222" i="5"/>
  <c r="T222" i="5"/>
  <c r="U222" i="5"/>
  <c r="V222" i="5"/>
  <c r="W222" i="5"/>
  <c r="X222" i="5"/>
  <c r="O223" i="5"/>
  <c r="P223" i="5"/>
  <c r="Q223" i="5"/>
  <c r="R223" i="5"/>
  <c r="S223" i="5"/>
  <c r="T223" i="5"/>
  <c r="U223" i="5"/>
  <c r="V223" i="5"/>
  <c r="W223" i="5"/>
  <c r="X223" i="5"/>
  <c r="O224" i="5"/>
  <c r="P224" i="5"/>
  <c r="Q224" i="5"/>
  <c r="R224" i="5"/>
  <c r="S224" i="5"/>
  <c r="T224" i="5"/>
  <c r="U224" i="5"/>
  <c r="V224" i="5"/>
  <c r="W224" i="5"/>
  <c r="X224" i="5"/>
  <c r="O225" i="5"/>
  <c r="P225" i="5"/>
  <c r="Q225" i="5"/>
  <c r="R225" i="5"/>
  <c r="S225" i="5"/>
  <c r="T225" i="5"/>
  <c r="U225" i="5"/>
  <c r="V225" i="5"/>
  <c r="W225" i="5"/>
  <c r="X225" i="5"/>
  <c r="O226" i="5"/>
  <c r="P226" i="5"/>
  <c r="Q226" i="5"/>
  <c r="R226" i="5"/>
  <c r="S226" i="5"/>
  <c r="T226" i="5"/>
  <c r="U226" i="5"/>
  <c r="V226" i="5"/>
  <c r="W226" i="5"/>
  <c r="X226" i="5"/>
  <c r="O227" i="5"/>
  <c r="P227" i="5"/>
  <c r="Q227" i="5"/>
  <c r="R227" i="5"/>
  <c r="S227" i="5"/>
  <c r="T227" i="5"/>
  <c r="U227" i="5"/>
  <c r="V227" i="5"/>
  <c r="W227" i="5"/>
  <c r="X227" i="5"/>
  <c r="O228" i="5"/>
  <c r="P228" i="5"/>
  <c r="Q228" i="5"/>
  <c r="R228" i="5"/>
  <c r="S228" i="5"/>
  <c r="T228" i="5"/>
  <c r="U228" i="5"/>
  <c r="AC228" i="5" s="1"/>
  <c r="V228" i="5"/>
  <c r="W228" i="5"/>
  <c r="X228" i="5"/>
  <c r="O229" i="5"/>
  <c r="P229" i="5"/>
  <c r="Q229" i="5"/>
  <c r="R229" i="5"/>
  <c r="S229" i="5"/>
  <c r="T229" i="5"/>
  <c r="U229" i="5"/>
  <c r="V229" i="5"/>
  <c r="W229" i="5"/>
  <c r="X229" i="5"/>
  <c r="O230" i="5"/>
  <c r="P230" i="5"/>
  <c r="Q230" i="5"/>
  <c r="R230" i="5"/>
  <c r="S230" i="5"/>
  <c r="T230" i="5"/>
  <c r="U230" i="5"/>
  <c r="V230" i="5"/>
  <c r="W230" i="5"/>
  <c r="X230" i="5"/>
  <c r="O231" i="5"/>
  <c r="P231" i="5"/>
  <c r="Q231" i="5"/>
  <c r="R231" i="5"/>
  <c r="S231" i="5"/>
  <c r="T231" i="5"/>
  <c r="U231" i="5"/>
  <c r="V231" i="5"/>
  <c r="W231" i="5"/>
  <c r="X231" i="5"/>
  <c r="O232" i="5"/>
  <c r="P232" i="5"/>
  <c r="Q232" i="5"/>
  <c r="R232" i="5"/>
  <c r="S232" i="5"/>
  <c r="T232" i="5"/>
  <c r="U232" i="5"/>
  <c r="AC232" i="5" s="1"/>
  <c r="V232" i="5"/>
  <c r="W232" i="5"/>
  <c r="X232" i="5"/>
  <c r="O233" i="5"/>
  <c r="P233" i="5"/>
  <c r="Q233" i="5"/>
  <c r="R233" i="5"/>
  <c r="S233" i="5"/>
  <c r="T233" i="5"/>
  <c r="U233" i="5"/>
  <c r="V233" i="5"/>
  <c r="W233" i="5"/>
  <c r="X233" i="5"/>
  <c r="O234" i="5"/>
  <c r="P234" i="5"/>
  <c r="Q234" i="5"/>
  <c r="R234" i="5"/>
  <c r="S234" i="5"/>
  <c r="T234" i="5"/>
  <c r="U234" i="5"/>
  <c r="V234" i="5"/>
  <c r="W234" i="5"/>
  <c r="X234" i="5"/>
  <c r="O235" i="5"/>
  <c r="P235" i="5"/>
  <c r="Q235" i="5"/>
  <c r="R235" i="5"/>
  <c r="S235" i="5"/>
  <c r="T235" i="5"/>
  <c r="U235" i="5"/>
  <c r="V235" i="5"/>
  <c r="W235" i="5"/>
  <c r="X235" i="5"/>
  <c r="O236" i="5"/>
  <c r="P236" i="5"/>
  <c r="Q236" i="5"/>
  <c r="R236" i="5"/>
  <c r="S236" i="5"/>
  <c r="T236" i="5"/>
  <c r="U236" i="5"/>
  <c r="V236" i="5"/>
  <c r="W236" i="5"/>
  <c r="X236" i="5"/>
  <c r="O237" i="5"/>
  <c r="P237" i="5"/>
  <c r="Q237" i="5"/>
  <c r="R237" i="5"/>
  <c r="S237" i="5"/>
  <c r="T237" i="5"/>
  <c r="U237" i="5"/>
  <c r="V237" i="5"/>
  <c r="W237" i="5"/>
  <c r="X237" i="5"/>
  <c r="O238" i="5"/>
  <c r="P238" i="5"/>
  <c r="Q238" i="5"/>
  <c r="R238" i="5"/>
  <c r="S238" i="5"/>
  <c r="T238" i="5"/>
  <c r="U238" i="5"/>
  <c r="V238" i="5"/>
  <c r="W238" i="5"/>
  <c r="X238" i="5"/>
  <c r="O239" i="5"/>
  <c r="P239" i="5"/>
  <c r="Q239" i="5"/>
  <c r="R239" i="5"/>
  <c r="S239" i="5"/>
  <c r="T239" i="5"/>
  <c r="U239" i="5"/>
  <c r="V239" i="5"/>
  <c r="W239" i="5"/>
  <c r="X239" i="5"/>
  <c r="O240" i="5"/>
  <c r="P240" i="5"/>
  <c r="Q240" i="5"/>
  <c r="R240" i="5"/>
  <c r="S240" i="5"/>
  <c r="T240" i="5"/>
  <c r="U240" i="5"/>
  <c r="AC240" i="5" s="1"/>
  <c r="V240" i="5"/>
  <c r="W240" i="5"/>
  <c r="X240" i="5"/>
  <c r="O241" i="5"/>
  <c r="P241" i="5"/>
  <c r="Q241" i="5"/>
  <c r="R241" i="5"/>
  <c r="S241" i="5"/>
  <c r="T241" i="5"/>
  <c r="U241" i="5"/>
  <c r="V241" i="5"/>
  <c r="W241" i="5"/>
  <c r="X241" i="5"/>
  <c r="O242" i="5"/>
  <c r="P242" i="5"/>
  <c r="Q242" i="5"/>
  <c r="R242" i="5"/>
  <c r="S242" i="5"/>
  <c r="T242" i="5"/>
  <c r="U242" i="5"/>
  <c r="V242" i="5"/>
  <c r="W242" i="5"/>
  <c r="AC242" i="5" s="1"/>
  <c r="X242" i="5"/>
  <c r="O243" i="5"/>
  <c r="P243" i="5"/>
  <c r="Q243" i="5"/>
  <c r="R243" i="5"/>
  <c r="S243" i="5"/>
  <c r="T243" i="5"/>
  <c r="U243" i="5"/>
  <c r="V243" i="5"/>
  <c r="W243" i="5"/>
  <c r="X243" i="5"/>
  <c r="O244" i="5"/>
  <c r="P244" i="5"/>
  <c r="Q244" i="5"/>
  <c r="R244" i="5"/>
  <c r="S244" i="5"/>
  <c r="T244" i="5"/>
  <c r="U244" i="5"/>
  <c r="V244" i="5"/>
  <c r="W244" i="5"/>
  <c r="X244" i="5"/>
  <c r="O245" i="5"/>
  <c r="P245" i="5"/>
  <c r="Q245" i="5"/>
  <c r="R245" i="5"/>
  <c r="S245" i="5"/>
  <c r="T245" i="5"/>
  <c r="U245" i="5"/>
  <c r="V245" i="5"/>
  <c r="W245" i="5"/>
  <c r="X245" i="5"/>
  <c r="O246" i="5"/>
  <c r="P246" i="5"/>
  <c r="Q246" i="5"/>
  <c r="R246" i="5"/>
  <c r="S246" i="5"/>
  <c r="T246" i="5"/>
  <c r="U246" i="5"/>
  <c r="V246" i="5"/>
  <c r="W246" i="5"/>
  <c r="X246" i="5"/>
  <c r="O247" i="5"/>
  <c r="P247" i="5"/>
  <c r="Q247" i="5"/>
  <c r="R247" i="5"/>
  <c r="S247" i="5"/>
  <c r="T247" i="5"/>
  <c r="U247" i="5"/>
  <c r="V247" i="5"/>
  <c r="W247" i="5"/>
  <c r="X247" i="5"/>
  <c r="O248" i="5"/>
  <c r="P248" i="5"/>
  <c r="Q248" i="5"/>
  <c r="R248" i="5"/>
  <c r="S248" i="5"/>
  <c r="T248" i="5"/>
  <c r="U248" i="5"/>
  <c r="AC248" i="5" s="1"/>
  <c r="V248" i="5"/>
  <c r="W248" i="5"/>
  <c r="X248" i="5"/>
  <c r="O249" i="5"/>
  <c r="P249" i="5"/>
  <c r="Q249" i="5"/>
  <c r="R249" i="5"/>
  <c r="S249" i="5"/>
  <c r="T249" i="5"/>
  <c r="U249" i="5"/>
  <c r="V249" i="5"/>
  <c r="W249" i="5"/>
  <c r="X249" i="5"/>
  <c r="O250" i="5"/>
  <c r="P250" i="5"/>
  <c r="Q250" i="5"/>
  <c r="R250" i="5"/>
  <c r="S250" i="5"/>
  <c r="T250" i="5"/>
  <c r="U250" i="5"/>
  <c r="AC250" i="5" s="1"/>
  <c r="V250" i="5"/>
  <c r="W250" i="5"/>
  <c r="X250" i="5"/>
  <c r="O251" i="5"/>
  <c r="P251" i="5"/>
  <c r="Q251" i="5"/>
  <c r="R251" i="5"/>
  <c r="S251" i="5"/>
  <c r="T251" i="5"/>
  <c r="U251" i="5"/>
  <c r="V251" i="5"/>
  <c r="W251" i="5"/>
  <c r="X251" i="5"/>
  <c r="O252" i="5"/>
  <c r="P252" i="5"/>
  <c r="Q252" i="5"/>
  <c r="R252" i="5"/>
  <c r="S252" i="5"/>
  <c r="T252" i="5"/>
  <c r="U252" i="5"/>
  <c r="AC252" i="5" s="1"/>
  <c r="V252" i="5"/>
  <c r="W252" i="5"/>
  <c r="X252" i="5"/>
  <c r="AD227" i="5" l="1"/>
  <c r="AC243" i="5"/>
  <c r="AD231" i="5"/>
  <c r="AC223" i="5"/>
  <c r="AC219" i="5"/>
  <c r="AC215" i="5"/>
  <c r="AD230" i="5"/>
  <c r="AD251" i="5"/>
  <c r="AC238" i="5"/>
  <c r="AD234" i="5"/>
  <c r="AC230" i="5"/>
  <c r="AC226" i="5"/>
  <c r="AC222" i="5"/>
  <c r="AC247" i="5"/>
  <c r="AC246" i="5"/>
  <c r="AD239" i="5"/>
  <c r="AC249" i="5"/>
  <c r="AC241" i="5"/>
  <c r="AC237" i="5"/>
  <c r="AC233" i="5"/>
  <c r="AC229" i="5"/>
  <c r="AC225" i="5"/>
  <c r="AD221" i="5"/>
  <c r="AD235" i="5"/>
  <c r="AD214" i="5"/>
  <c r="AC251" i="5"/>
  <c r="AD241" i="5"/>
  <c r="AD238" i="5"/>
  <c r="AC231" i="5"/>
  <c r="AC221" i="5"/>
  <c r="AD246" i="5"/>
  <c r="AD223" i="5"/>
  <c r="AC245" i="5"/>
  <c r="AC218" i="5"/>
  <c r="AD226" i="5"/>
  <c r="AD220" i="5"/>
  <c r="AD250" i="5"/>
  <c r="AD240" i="5"/>
  <c r="AD237" i="5"/>
  <c r="AD215" i="5"/>
  <c r="AC244" i="5"/>
  <c r="AC236" i="5"/>
  <c r="AD233" i="5"/>
  <c r="AC216" i="5"/>
  <c r="AD252" i="5"/>
  <c r="AD232" i="5"/>
  <c r="AD229" i="5"/>
  <c r="AD222" i="5"/>
  <c r="AC239" i="5"/>
  <c r="AD225" i="5"/>
  <c r="AD219" i="5"/>
  <c r="AC224" i="5"/>
  <c r="AD247" i="5"/>
  <c r="AC234" i="5"/>
  <c r="AD228" i="5"/>
  <c r="AC253" i="5"/>
  <c r="AD253" i="5"/>
  <c r="AD248" i="5"/>
  <c r="AD249" i="5"/>
  <c r="AD244" i="5"/>
  <c r="AD245" i="5"/>
  <c r="AD242" i="5"/>
  <c r="AD243" i="5"/>
  <c r="AD236" i="5"/>
  <c r="AC235" i="5"/>
  <c r="AC227" i="5"/>
  <c r="AD224" i="5"/>
  <c r="AD218" i="5"/>
  <c r="AD216" i="5"/>
  <c r="AD217" i="5"/>
  <c r="AC214" i="5"/>
  <c r="AA214" i="3"/>
  <c r="O203" i="3"/>
  <c r="P203" i="3"/>
  <c r="Q203" i="3"/>
  <c r="R203" i="3"/>
  <c r="S203" i="3"/>
  <c r="T203" i="3"/>
  <c r="U203" i="3"/>
  <c r="V203" i="3"/>
  <c r="W203" i="3"/>
  <c r="X203" i="3"/>
  <c r="O204" i="3"/>
  <c r="P204" i="3"/>
  <c r="Q204" i="3"/>
  <c r="R204" i="3"/>
  <c r="S204" i="3"/>
  <c r="T204" i="3"/>
  <c r="U204" i="3"/>
  <c r="V204" i="3"/>
  <c r="W204" i="3"/>
  <c r="X204" i="3"/>
  <c r="O205" i="3"/>
  <c r="P205" i="3"/>
  <c r="Q205" i="3"/>
  <c r="R205" i="3"/>
  <c r="S205" i="3"/>
  <c r="T205" i="3"/>
  <c r="U205" i="3"/>
  <c r="V205" i="3"/>
  <c r="W205" i="3"/>
  <c r="X205" i="3"/>
  <c r="O206" i="3"/>
  <c r="P206" i="3"/>
  <c r="Q206" i="3"/>
  <c r="R206" i="3"/>
  <c r="S206" i="3"/>
  <c r="T206" i="3"/>
  <c r="U206" i="3"/>
  <c r="V206" i="3"/>
  <c r="W206" i="3"/>
  <c r="X206" i="3"/>
  <c r="O207" i="3"/>
  <c r="P207" i="3"/>
  <c r="Q207" i="3"/>
  <c r="R207" i="3"/>
  <c r="S207" i="3"/>
  <c r="T207" i="3"/>
  <c r="U207" i="3"/>
  <c r="V207" i="3"/>
  <c r="W207" i="3"/>
  <c r="X207" i="3"/>
  <c r="O208" i="3"/>
  <c r="P208" i="3"/>
  <c r="Q208" i="3"/>
  <c r="R208" i="3"/>
  <c r="S208" i="3"/>
  <c r="T208" i="3"/>
  <c r="U208" i="3"/>
  <c r="V208" i="3"/>
  <c r="W208" i="3"/>
  <c r="X208" i="3"/>
  <c r="O209" i="3"/>
  <c r="P209" i="3"/>
  <c r="Q209" i="3"/>
  <c r="R209" i="3"/>
  <c r="S209" i="3"/>
  <c r="T209" i="3"/>
  <c r="U209" i="3"/>
  <c r="V209" i="3"/>
  <c r="W209" i="3"/>
  <c r="X209" i="3"/>
  <c r="O210" i="3"/>
  <c r="P210" i="3"/>
  <c r="Q210" i="3"/>
  <c r="R210" i="3"/>
  <c r="S210" i="3"/>
  <c r="T210" i="3"/>
  <c r="U210" i="3"/>
  <c r="V210" i="3"/>
  <c r="W210" i="3"/>
  <c r="X210" i="3"/>
  <c r="O211" i="3"/>
  <c r="P211" i="3"/>
  <c r="Q211" i="3"/>
  <c r="R211" i="3"/>
  <c r="S211" i="3"/>
  <c r="T211" i="3"/>
  <c r="U211" i="3"/>
  <c r="V211" i="3"/>
  <c r="W211" i="3"/>
  <c r="X211" i="3"/>
  <c r="O212" i="3"/>
  <c r="P212" i="3"/>
  <c r="Q212" i="3"/>
  <c r="R212" i="3"/>
  <c r="S212" i="3"/>
  <c r="T212" i="3"/>
  <c r="U212" i="3"/>
  <c r="V212" i="3"/>
  <c r="W212" i="3"/>
  <c r="X212" i="3"/>
  <c r="O213" i="3"/>
  <c r="P213" i="3"/>
  <c r="Q213" i="3"/>
  <c r="R213" i="3"/>
  <c r="S213" i="3"/>
  <c r="T213" i="3"/>
  <c r="U213" i="3"/>
  <c r="V213" i="3"/>
  <c r="W213" i="3"/>
  <c r="X213" i="3"/>
  <c r="O203" i="5"/>
  <c r="P203" i="5"/>
  <c r="Q203" i="5"/>
  <c r="R203" i="5"/>
  <c r="S203" i="5"/>
  <c r="T203" i="5"/>
  <c r="U203" i="5"/>
  <c r="V203" i="5"/>
  <c r="W203" i="5"/>
  <c r="X203" i="5"/>
  <c r="O204" i="5"/>
  <c r="P204" i="5"/>
  <c r="Q204" i="5"/>
  <c r="R204" i="5"/>
  <c r="S204" i="5"/>
  <c r="T204" i="5"/>
  <c r="U204" i="5"/>
  <c r="V204" i="5"/>
  <c r="W204" i="5"/>
  <c r="X204" i="5"/>
  <c r="O205" i="5"/>
  <c r="P205" i="5"/>
  <c r="Q205" i="5"/>
  <c r="R205" i="5"/>
  <c r="S205" i="5"/>
  <c r="T205" i="5"/>
  <c r="U205" i="5"/>
  <c r="V205" i="5"/>
  <c r="W205" i="5"/>
  <c r="X205" i="5"/>
  <c r="O206" i="5"/>
  <c r="P206" i="5"/>
  <c r="Q206" i="5"/>
  <c r="R206" i="5"/>
  <c r="S206" i="5"/>
  <c r="T206" i="5"/>
  <c r="U206" i="5"/>
  <c r="V206" i="5"/>
  <c r="W206" i="5"/>
  <c r="X206" i="5"/>
  <c r="O207" i="5"/>
  <c r="P207" i="5"/>
  <c r="Q207" i="5"/>
  <c r="R207" i="5"/>
  <c r="S207" i="5"/>
  <c r="T207" i="5"/>
  <c r="U207" i="5"/>
  <c r="V207" i="5"/>
  <c r="W207" i="5"/>
  <c r="X207" i="5"/>
  <c r="O208" i="5"/>
  <c r="P208" i="5"/>
  <c r="Q208" i="5"/>
  <c r="R208" i="5"/>
  <c r="S208" i="5"/>
  <c r="T208" i="5"/>
  <c r="U208" i="5"/>
  <c r="V208" i="5"/>
  <c r="W208" i="5"/>
  <c r="X208" i="5"/>
  <c r="O209" i="5"/>
  <c r="P209" i="5"/>
  <c r="Q209" i="5"/>
  <c r="R209" i="5"/>
  <c r="S209" i="5"/>
  <c r="T209" i="5"/>
  <c r="U209" i="5"/>
  <c r="V209" i="5"/>
  <c r="W209" i="5"/>
  <c r="X209" i="5"/>
  <c r="O210" i="5"/>
  <c r="P210" i="5"/>
  <c r="Q210" i="5"/>
  <c r="R210" i="5"/>
  <c r="S210" i="5"/>
  <c r="T210" i="5"/>
  <c r="U210" i="5"/>
  <c r="V210" i="5"/>
  <c r="W210" i="5"/>
  <c r="X210" i="5"/>
  <c r="O211" i="5"/>
  <c r="P211" i="5"/>
  <c r="Q211" i="5"/>
  <c r="R211" i="5"/>
  <c r="S211" i="5"/>
  <c r="T211" i="5"/>
  <c r="U211" i="5"/>
  <c r="V211" i="5"/>
  <c r="W211" i="5"/>
  <c r="X211" i="5"/>
  <c r="O212" i="5"/>
  <c r="P212" i="5"/>
  <c r="Q212" i="5"/>
  <c r="R212" i="5"/>
  <c r="S212" i="5"/>
  <c r="T212" i="5"/>
  <c r="U212" i="5"/>
  <c r="V212" i="5"/>
  <c r="W212" i="5"/>
  <c r="X212" i="5"/>
  <c r="O213" i="5"/>
  <c r="P213" i="5"/>
  <c r="Q213" i="5"/>
  <c r="R213" i="5"/>
  <c r="S213" i="5"/>
  <c r="T213" i="5"/>
  <c r="U213" i="5"/>
  <c r="V213" i="5"/>
  <c r="W213" i="5"/>
  <c r="X213" i="5"/>
  <c r="AC208" i="5" l="1"/>
  <c r="AC212" i="5"/>
  <c r="AC206" i="5"/>
  <c r="AC211" i="5"/>
  <c r="AC207" i="5"/>
  <c r="AC203" i="5"/>
  <c r="AD213" i="5"/>
  <c r="AD210" i="5"/>
  <c r="AD206" i="5"/>
  <c r="AC213" i="5"/>
  <c r="AC209" i="5"/>
  <c r="AC205" i="5"/>
  <c r="AC204" i="5"/>
  <c r="AC210" i="5"/>
  <c r="AD209" i="5"/>
  <c r="AD205" i="5"/>
  <c r="AD212" i="5"/>
  <c r="AD208" i="5"/>
  <c r="AD204" i="5"/>
  <c r="AD211" i="5"/>
  <c r="AD207" i="5"/>
  <c r="AD203" i="5"/>
  <c r="AB203" i="5" l="1"/>
  <c r="AB204" i="5"/>
  <c r="AB205" i="5"/>
  <c r="AB206" i="5"/>
  <c r="AB207" i="5"/>
  <c r="AB208" i="5"/>
  <c r="AB209" i="5"/>
  <c r="AB210" i="5"/>
  <c r="AB211" i="5"/>
  <c r="AB212" i="5"/>
  <c r="AB213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O176" i="5"/>
  <c r="P176" i="5"/>
  <c r="Q176" i="5"/>
  <c r="R176" i="5"/>
  <c r="S176" i="5"/>
  <c r="T176" i="5"/>
  <c r="U176" i="5"/>
  <c r="V176" i="5"/>
  <c r="W176" i="5"/>
  <c r="X176" i="5"/>
  <c r="O177" i="5"/>
  <c r="P177" i="5"/>
  <c r="Q177" i="5"/>
  <c r="R177" i="5"/>
  <c r="S177" i="5"/>
  <c r="T177" i="5"/>
  <c r="U177" i="5"/>
  <c r="V177" i="5"/>
  <c r="W177" i="5"/>
  <c r="X177" i="5"/>
  <c r="O178" i="5"/>
  <c r="P178" i="5"/>
  <c r="Q178" i="5"/>
  <c r="R178" i="5"/>
  <c r="S178" i="5"/>
  <c r="T178" i="5"/>
  <c r="U178" i="5"/>
  <c r="V178" i="5"/>
  <c r="W178" i="5"/>
  <c r="X178" i="5"/>
  <c r="O179" i="5"/>
  <c r="P179" i="5"/>
  <c r="Q179" i="5"/>
  <c r="R179" i="5"/>
  <c r="S179" i="5"/>
  <c r="T179" i="5"/>
  <c r="U179" i="5"/>
  <c r="V179" i="5"/>
  <c r="W179" i="5"/>
  <c r="X179" i="5"/>
  <c r="O180" i="5"/>
  <c r="P180" i="5"/>
  <c r="Q180" i="5"/>
  <c r="R180" i="5"/>
  <c r="S180" i="5"/>
  <c r="T180" i="5"/>
  <c r="U180" i="5"/>
  <c r="V180" i="5"/>
  <c r="W180" i="5"/>
  <c r="X180" i="5"/>
  <c r="O181" i="5"/>
  <c r="P181" i="5"/>
  <c r="Q181" i="5"/>
  <c r="R181" i="5"/>
  <c r="S181" i="5"/>
  <c r="T181" i="5"/>
  <c r="U181" i="5"/>
  <c r="V181" i="5"/>
  <c r="W181" i="5"/>
  <c r="X181" i="5"/>
  <c r="O182" i="5"/>
  <c r="P182" i="5"/>
  <c r="Q182" i="5"/>
  <c r="R182" i="5"/>
  <c r="S182" i="5"/>
  <c r="T182" i="5"/>
  <c r="U182" i="5"/>
  <c r="V182" i="5"/>
  <c r="AD182" i="5" s="1"/>
  <c r="W182" i="5"/>
  <c r="X182" i="5"/>
  <c r="O183" i="5"/>
  <c r="P183" i="5"/>
  <c r="Q183" i="5"/>
  <c r="R183" i="5"/>
  <c r="S183" i="5"/>
  <c r="T183" i="5"/>
  <c r="U183" i="5"/>
  <c r="V183" i="5"/>
  <c r="W183" i="5"/>
  <c r="X183" i="5"/>
  <c r="O184" i="5"/>
  <c r="P184" i="5"/>
  <c r="Q184" i="5"/>
  <c r="R184" i="5"/>
  <c r="S184" i="5"/>
  <c r="T184" i="5"/>
  <c r="U184" i="5"/>
  <c r="V184" i="5"/>
  <c r="W184" i="5"/>
  <c r="X184" i="5"/>
  <c r="O185" i="5"/>
  <c r="P185" i="5"/>
  <c r="Q185" i="5"/>
  <c r="R185" i="5"/>
  <c r="S185" i="5"/>
  <c r="T185" i="5"/>
  <c r="U185" i="5"/>
  <c r="V185" i="5"/>
  <c r="W185" i="5"/>
  <c r="X185" i="5"/>
  <c r="O186" i="5"/>
  <c r="P186" i="5"/>
  <c r="Q186" i="5"/>
  <c r="R186" i="5"/>
  <c r="S186" i="5"/>
  <c r="T186" i="5"/>
  <c r="U186" i="5"/>
  <c r="V186" i="5"/>
  <c r="AD186" i="5" s="1"/>
  <c r="W186" i="5"/>
  <c r="X186" i="5"/>
  <c r="O187" i="5"/>
  <c r="P187" i="5"/>
  <c r="Q187" i="5"/>
  <c r="R187" i="5"/>
  <c r="S187" i="5"/>
  <c r="T187" i="5"/>
  <c r="U187" i="5"/>
  <c r="V187" i="5"/>
  <c r="W187" i="5"/>
  <c r="X187" i="5"/>
  <c r="O188" i="5"/>
  <c r="P188" i="5"/>
  <c r="Q188" i="5"/>
  <c r="R188" i="5"/>
  <c r="S188" i="5"/>
  <c r="T188" i="5"/>
  <c r="U188" i="5"/>
  <c r="V188" i="5"/>
  <c r="W188" i="5"/>
  <c r="X188" i="5"/>
  <c r="O189" i="5"/>
  <c r="P189" i="5"/>
  <c r="Q189" i="5"/>
  <c r="R189" i="5"/>
  <c r="S189" i="5"/>
  <c r="T189" i="5"/>
  <c r="U189" i="5"/>
  <c r="V189" i="5"/>
  <c r="W189" i="5"/>
  <c r="X189" i="5"/>
  <c r="O190" i="5"/>
  <c r="P190" i="5"/>
  <c r="Q190" i="5"/>
  <c r="R190" i="5"/>
  <c r="S190" i="5"/>
  <c r="T190" i="5"/>
  <c r="U190" i="5"/>
  <c r="V190" i="5"/>
  <c r="AD190" i="5" s="1"/>
  <c r="W190" i="5"/>
  <c r="X190" i="5"/>
  <c r="O191" i="5"/>
  <c r="P191" i="5"/>
  <c r="Q191" i="5"/>
  <c r="R191" i="5"/>
  <c r="S191" i="5"/>
  <c r="T191" i="5"/>
  <c r="U191" i="5"/>
  <c r="V191" i="5"/>
  <c r="W191" i="5"/>
  <c r="X191" i="5"/>
  <c r="O192" i="5"/>
  <c r="P192" i="5"/>
  <c r="Q192" i="5"/>
  <c r="R192" i="5"/>
  <c r="S192" i="5"/>
  <c r="T192" i="5"/>
  <c r="U192" i="5"/>
  <c r="V192" i="5"/>
  <c r="W192" i="5"/>
  <c r="X192" i="5"/>
  <c r="O193" i="5"/>
  <c r="P193" i="5"/>
  <c r="Q193" i="5"/>
  <c r="R193" i="5"/>
  <c r="S193" i="5"/>
  <c r="T193" i="5"/>
  <c r="U193" i="5"/>
  <c r="V193" i="5"/>
  <c r="W193" i="5"/>
  <c r="X193" i="5"/>
  <c r="O194" i="5"/>
  <c r="P194" i="5"/>
  <c r="Q194" i="5"/>
  <c r="R194" i="5"/>
  <c r="S194" i="5"/>
  <c r="T194" i="5"/>
  <c r="U194" i="5"/>
  <c r="V194" i="5"/>
  <c r="AD194" i="5" s="1"/>
  <c r="W194" i="5"/>
  <c r="X194" i="5"/>
  <c r="O195" i="5"/>
  <c r="P195" i="5"/>
  <c r="Q195" i="5"/>
  <c r="R195" i="5"/>
  <c r="S195" i="5"/>
  <c r="T195" i="5"/>
  <c r="U195" i="5"/>
  <c r="V195" i="5"/>
  <c r="W195" i="5"/>
  <c r="X195" i="5"/>
  <c r="O196" i="5"/>
  <c r="P196" i="5"/>
  <c r="Q196" i="5"/>
  <c r="R196" i="5"/>
  <c r="S196" i="5"/>
  <c r="T196" i="5"/>
  <c r="U196" i="5"/>
  <c r="V196" i="5"/>
  <c r="W196" i="5"/>
  <c r="X196" i="5"/>
  <c r="O197" i="5"/>
  <c r="P197" i="5"/>
  <c r="Q197" i="5"/>
  <c r="R197" i="5"/>
  <c r="S197" i="5"/>
  <c r="T197" i="5"/>
  <c r="U197" i="5"/>
  <c r="V197" i="5"/>
  <c r="W197" i="5"/>
  <c r="X197" i="5"/>
  <c r="O198" i="5"/>
  <c r="P198" i="5"/>
  <c r="Q198" i="5"/>
  <c r="R198" i="5"/>
  <c r="S198" i="5"/>
  <c r="T198" i="5"/>
  <c r="U198" i="5"/>
  <c r="V198" i="5"/>
  <c r="AD198" i="5" s="1"/>
  <c r="W198" i="5"/>
  <c r="X198" i="5"/>
  <c r="O199" i="5"/>
  <c r="P199" i="5"/>
  <c r="Q199" i="5"/>
  <c r="R199" i="5"/>
  <c r="S199" i="5"/>
  <c r="T199" i="5"/>
  <c r="U199" i="5"/>
  <c r="V199" i="5"/>
  <c r="W199" i="5"/>
  <c r="X199" i="5"/>
  <c r="O200" i="5"/>
  <c r="P200" i="5"/>
  <c r="Q200" i="5"/>
  <c r="R200" i="5"/>
  <c r="S200" i="5"/>
  <c r="T200" i="5"/>
  <c r="U200" i="5"/>
  <c r="V200" i="5"/>
  <c r="W200" i="5"/>
  <c r="X200" i="5"/>
  <c r="O201" i="5"/>
  <c r="P201" i="5"/>
  <c r="Q201" i="5"/>
  <c r="R201" i="5"/>
  <c r="S201" i="5"/>
  <c r="T201" i="5"/>
  <c r="U201" i="5"/>
  <c r="V201" i="5"/>
  <c r="W201" i="5"/>
  <c r="X201" i="5"/>
  <c r="O202" i="5"/>
  <c r="P202" i="5"/>
  <c r="Q202" i="5"/>
  <c r="R202" i="5"/>
  <c r="S202" i="5"/>
  <c r="T202" i="5"/>
  <c r="U202" i="5"/>
  <c r="V202" i="5"/>
  <c r="W202" i="5"/>
  <c r="X202" i="5"/>
  <c r="AA203" i="3"/>
  <c r="AA204" i="3"/>
  <c r="AA205" i="3"/>
  <c r="AA206" i="3"/>
  <c r="AA207" i="3"/>
  <c r="AA208" i="3"/>
  <c r="AA209" i="3"/>
  <c r="AA210" i="3"/>
  <c r="AA211" i="3"/>
  <c r="AA212" i="3"/>
  <c r="AA213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O176" i="3"/>
  <c r="P176" i="3"/>
  <c r="Q176" i="3"/>
  <c r="R176" i="3"/>
  <c r="S176" i="3"/>
  <c r="T176" i="3"/>
  <c r="U176" i="3"/>
  <c r="V176" i="3"/>
  <c r="W176" i="3"/>
  <c r="O177" i="3"/>
  <c r="P177" i="3"/>
  <c r="Q177" i="3"/>
  <c r="R177" i="3"/>
  <c r="S177" i="3"/>
  <c r="T177" i="3"/>
  <c r="U177" i="3"/>
  <c r="V177" i="3"/>
  <c r="W177" i="3"/>
  <c r="O178" i="3"/>
  <c r="P178" i="3"/>
  <c r="Q178" i="3"/>
  <c r="R178" i="3"/>
  <c r="S178" i="3"/>
  <c r="T178" i="3"/>
  <c r="U178" i="3"/>
  <c r="V178" i="3"/>
  <c r="W178" i="3"/>
  <c r="O179" i="3"/>
  <c r="P179" i="3"/>
  <c r="Q179" i="3"/>
  <c r="R179" i="3"/>
  <c r="S179" i="3"/>
  <c r="T179" i="3"/>
  <c r="U179" i="3"/>
  <c r="V179" i="3"/>
  <c r="W179" i="3"/>
  <c r="O180" i="3"/>
  <c r="P180" i="3"/>
  <c r="Q180" i="3"/>
  <c r="R180" i="3"/>
  <c r="S180" i="3"/>
  <c r="T180" i="3"/>
  <c r="U180" i="3"/>
  <c r="V180" i="3"/>
  <c r="W180" i="3"/>
  <c r="O181" i="3"/>
  <c r="P181" i="3"/>
  <c r="Q181" i="3"/>
  <c r="R181" i="3"/>
  <c r="S181" i="3"/>
  <c r="T181" i="3"/>
  <c r="U181" i="3"/>
  <c r="V181" i="3"/>
  <c r="W181" i="3"/>
  <c r="O182" i="3"/>
  <c r="P182" i="3"/>
  <c r="Q182" i="3"/>
  <c r="R182" i="3"/>
  <c r="S182" i="3"/>
  <c r="T182" i="3"/>
  <c r="U182" i="3"/>
  <c r="V182" i="3"/>
  <c r="W182" i="3"/>
  <c r="O183" i="3"/>
  <c r="P183" i="3"/>
  <c r="Q183" i="3"/>
  <c r="R183" i="3"/>
  <c r="S183" i="3"/>
  <c r="T183" i="3"/>
  <c r="U183" i="3"/>
  <c r="V183" i="3"/>
  <c r="W183" i="3"/>
  <c r="O184" i="3"/>
  <c r="P184" i="3"/>
  <c r="Q184" i="3"/>
  <c r="R184" i="3"/>
  <c r="S184" i="3"/>
  <c r="T184" i="3"/>
  <c r="U184" i="3"/>
  <c r="V184" i="3"/>
  <c r="W184" i="3"/>
  <c r="O185" i="3"/>
  <c r="P185" i="3"/>
  <c r="Q185" i="3"/>
  <c r="R185" i="3"/>
  <c r="S185" i="3"/>
  <c r="T185" i="3"/>
  <c r="U185" i="3"/>
  <c r="V185" i="3"/>
  <c r="W185" i="3"/>
  <c r="O186" i="3"/>
  <c r="P186" i="3"/>
  <c r="Q186" i="3"/>
  <c r="R186" i="3"/>
  <c r="S186" i="3"/>
  <c r="T186" i="3"/>
  <c r="U186" i="3"/>
  <c r="V186" i="3"/>
  <c r="W186" i="3"/>
  <c r="O187" i="3"/>
  <c r="P187" i="3"/>
  <c r="Q187" i="3"/>
  <c r="R187" i="3"/>
  <c r="S187" i="3"/>
  <c r="T187" i="3"/>
  <c r="U187" i="3"/>
  <c r="V187" i="3"/>
  <c r="W187" i="3"/>
  <c r="O188" i="3"/>
  <c r="P188" i="3"/>
  <c r="Q188" i="3"/>
  <c r="R188" i="3"/>
  <c r="S188" i="3"/>
  <c r="T188" i="3"/>
  <c r="U188" i="3"/>
  <c r="V188" i="3"/>
  <c r="W188" i="3"/>
  <c r="O189" i="3"/>
  <c r="P189" i="3"/>
  <c r="Q189" i="3"/>
  <c r="R189" i="3"/>
  <c r="S189" i="3"/>
  <c r="T189" i="3"/>
  <c r="U189" i="3"/>
  <c r="V189" i="3"/>
  <c r="W189" i="3"/>
  <c r="O190" i="3"/>
  <c r="P190" i="3"/>
  <c r="Q190" i="3"/>
  <c r="R190" i="3"/>
  <c r="S190" i="3"/>
  <c r="T190" i="3"/>
  <c r="U190" i="3"/>
  <c r="V190" i="3"/>
  <c r="W190" i="3"/>
  <c r="O191" i="3"/>
  <c r="P191" i="3"/>
  <c r="Q191" i="3"/>
  <c r="R191" i="3"/>
  <c r="S191" i="3"/>
  <c r="T191" i="3"/>
  <c r="U191" i="3"/>
  <c r="V191" i="3"/>
  <c r="W191" i="3"/>
  <c r="O192" i="3"/>
  <c r="P192" i="3"/>
  <c r="Q192" i="3"/>
  <c r="R192" i="3"/>
  <c r="S192" i="3"/>
  <c r="T192" i="3"/>
  <c r="U192" i="3"/>
  <c r="V192" i="3"/>
  <c r="W192" i="3"/>
  <c r="O193" i="3"/>
  <c r="P193" i="3"/>
  <c r="Q193" i="3"/>
  <c r="R193" i="3"/>
  <c r="S193" i="3"/>
  <c r="T193" i="3"/>
  <c r="U193" i="3"/>
  <c r="V193" i="3"/>
  <c r="W193" i="3"/>
  <c r="O194" i="3"/>
  <c r="P194" i="3"/>
  <c r="Q194" i="3"/>
  <c r="R194" i="3"/>
  <c r="S194" i="3"/>
  <c r="T194" i="3"/>
  <c r="U194" i="3"/>
  <c r="V194" i="3"/>
  <c r="W194" i="3"/>
  <c r="O195" i="3"/>
  <c r="P195" i="3"/>
  <c r="Q195" i="3"/>
  <c r="R195" i="3"/>
  <c r="S195" i="3"/>
  <c r="T195" i="3"/>
  <c r="U195" i="3"/>
  <c r="V195" i="3"/>
  <c r="W195" i="3"/>
  <c r="O196" i="3"/>
  <c r="P196" i="3"/>
  <c r="Q196" i="3"/>
  <c r="R196" i="3"/>
  <c r="S196" i="3"/>
  <c r="T196" i="3"/>
  <c r="U196" i="3"/>
  <c r="V196" i="3"/>
  <c r="W196" i="3"/>
  <c r="O197" i="3"/>
  <c r="P197" i="3"/>
  <c r="Q197" i="3"/>
  <c r="R197" i="3"/>
  <c r="S197" i="3"/>
  <c r="T197" i="3"/>
  <c r="U197" i="3"/>
  <c r="V197" i="3"/>
  <c r="W197" i="3"/>
  <c r="O198" i="3"/>
  <c r="P198" i="3"/>
  <c r="Q198" i="3"/>
  <c r="R198" i="3"/>
  <c r="S198" i="3"/>
  <c r="T198" i="3"/>
  <c r="U198" i="3"/>
  <c r="V198" i="3"/>
  <c r="W198" i="3"/>
  <c r="O199" i="3"/>
  <c r="P199" i="3"/>
  <c r="Q199" i="3"/>
  <c r="R199" i="3"/>
  <c r="S199" i="3"/>
  <c r="T199" i="3"/>
  <c r="U199" i="3"/>
  <c r="V199" i="3"/>
  <c r="W199" i="3"/>
  <c r="O200" i="3"/>
  <c r="P200" i="3"/>
  <c r="Q200" i="3"/>
  <c r="R200" i="3"/>
  <c r="S200" i="3"/>
  <c r="T200" i="3"/>
  <c r="U200" i="3"/>
  <c r="V200" i="3"/>
  <c r="W200" i="3"/>
  <c r="O201" i="3"/>
  <c r="P201" i="3"/>
  <c r="Q201" i="3"/>
  <c r="R201" i="3"/>
  <c r="S201" i="3"/>
  <c r="T201" i="3"/>
  <c r="U201" i="3"/>
  <c r="V201" i="3"/>
  <c r="W201" i="3"/>
  <c r="O202" i="3"/>
  <c r="P202" i="3"/>
  <c r="Q202" i="3"/>
  <c r="R202" i="3"/>
  <c r="S202" i="3"/>
  <c r="T202" i="3"/>
  <c r="U202" i="3"/>
  <c r="V202" i="3"/>
  <c r="W202" i="3"/>
  <c r="AD201" i="5" l="1"/>
  <c r="AD185" i="5"/>
  <c r="AD181" i="5"/>
  <c r="AD177" i="5"/>
  <c r="AC197" i="5"/>
  <c r="AC193" i="5"/>
  <c r="AC189" i="5"/>
  <c r="AC201" i="5"/>
  <c r="AD197" i="5"/>
  <c r="AD193" i="5"/>
  <c r="AD189" i="5"/>
  <c r="AD202" i="5"/>
  <c r="AC202" i="5"/>
  <c r="AC194" i="5"/>
  <c r="AC186" i="5"/>
  <c r="AC178" i="5"/>
  <c r="AC196" i="5"/>
  <c r="AC188" i="5"/>
  <c r="AC180" i="5"/>
  <c r="AC192" i="5"/>
  <c r="AC184" i="5"/>
  <c r="AC176" i="5"/>
  <c r="AC200" i="5"/>
  <c r="AC199" i="5"/>
  <c r="AC195" i="5"/>
  <c r="AC191" i="5"/>
  <c r="AC187" i="5"/>
  <c r="AC183" i="5"/>
  <c r="AC179" i="5"/>
  <c r="AC181" i="5"/>
  <c r="AC177" i="5"/>
  <c r="AC185" i="5"/>
  <c r="AC198" i="5"/>
  <c r="AC190" i="5"/>
  <c r="AC182" i="5"/>
  <c r="AD195" i="5"/>
  <c r="AD187" i="5"/>
  <c r="AD179" i="5"/>
  <c r="AD200" i="5"/>
  <c r="AD192" i="5"/>
  <c r="AD184" i="5"/>
  <c r="AD176" i="5"/>
  <c r="AD178" i="5"/>
  <c r="AD199" i="5"/>
  <c r="AD191" i="5"/>
  <c r="AD183" i="5"/>
  <c r="AD196" i="5"/>
  <c r="AD188" i="5"/>
  <c r="AD180" i="5"/>
  <c r="AA168" i="3"/>
  <c r="AA169" i="3"/>
  <c r="AA170" i="3"/>
  <c r="AA171" i="3"/>
  <c r="AA172" i="3"/>
  <c r="AA173" i="3"/>
  <c r="AA174" i="3"/>
  <c r="AA175" i="3"/>
  <c r="O168" i="3"/>
  <c r="P168" i="3"/>
  <c r="Q168" i="3"/>
  <c r="R168" i="3"/>
  <c r="S168" i="3"/>
  <c r="T168" i="3"/>
  <c r="U168" i="3"/>
  <c r="V168" i="3"/>
  <c r="W168" i="3"/>
  <c r="X168" i="3"/>
  <c r="O169" i="3"/>
  <c r="P169" i="3"/>
  <c r="Q169" i="3"/>
  <c r="R169" i="3"/>
  <c r="S169" i="3"/>
  <c r="T169" i="3"/>
  <c r="U169" i="3"/>
  <c r="V169" i="3"/>
  <c r="W169" i="3"/>
  <c r="X169" i="3"/>
  <c r="O170" i="3"/>
  <c r="P170" i="3"/>
  <c r="Q170" i="3"/>
  <c r="R170" i="3"/>
  <c r="S170" i="3"/>
  <c r="T170" i="3"/>
  <c r="U170" i="3"/>
  <c r="V170" i="3"/>
  <c r="W170" i="3"/>
  <c r="X170" i="3"/>
  <c r="O171" i="3"/>
  <c r="P171" i="3"/>
  <c r="Q171" i="3"/>
  <c r="R171" i="3"/>
  <c r="S171" i="3"/>
  <c r="T171" i="3"/>
  <c r="U171" i="3"/>
  <c r="V171" i="3"/>
  <c r="W171" i="3"/>
  <c r="X171" i="3"/>
  <c r="O172" i="3"/>
  <c r="P172" i="3"/>
  <c r="Q172" i="3"/>
  <c r="R172" i="3"/>
  <c r="S172" i="3"/>
  <c r="T172" i="3"/>
  <c r="U172" i="3"/>
  <c r="V172" i="3"/>
  <c r="W172" i="3"/>
  <c r="X172" i="3"/>
  <c r="O173" i="3"/>
  <c r="P173" i="3"/>
  <c r="Q173" i="3"/>
  <c r="R173" i="3"/>
  <c r="S173" i="3"/>
  <c r="T173" i="3"/>
  <c r="U173" i="3"/>
  <c r="V173" i="3"/>
  <c r="W173" i="3"/>
  <c r="X173" i="3"/>
  <c r="O174" i="3"/>
  <c r="P174" i="3"/>
  <c r="Q174" i="3"/>
  <c r="R174" i="3"/>
  <c r="S174" i="3"/>
  <c r="T174" i="3"/>
  <c r="U174" i="3"/>
  <c r="V174" i="3"/>
  <c r="W174" i="3"/>
  <c r="X174" i="3"/>
  <c r="O175" i="3"/>
  <c r="P175" i="3"/>
  <c r="Q175" i="3"/>
  <c r="R175" i="3"/>
  <c r="S175" i="3"/>
  <c r="T175" i="3"/>
  <c r="U175" i="3"/>
  <c r="V175" i="3"/>
  <c r="W175" i="3"/>
  <c r="X175" i="3"/>
  <c r="O162" i="5"/>
  <c r="P162" i="5"/>
  <c r="Q162" i="5"/>
  <c r="R162" i="5"/>
  <c r="S162" i="5"/>
  <c r="T162" i="5"/>
  <c r="U162" i="5"/>
  <c r="V162" i="5"/>
  <c r="W162" i="5"/>
  <c r="X162" i="5"/>
  <c r="AB162" i="5"/>
  <c r="O163" i="5"/>
  <c r="P163" i="5"/>
  <c r="Q163" i="5"/>
  <c r="R163" i="5"/>
  <c r="S163" i="5"/>
  <c r="T163" i="5"/>
  <c r="U163" i="5"/>
  <c r="V163" i="5"/>
  <c r="W163" i="5"/>
  <c r="X163" i="5"/>
  <c r="AB163" i="5"/>
  <c r="O164" i="5"/>
  <c r="P164" i="5"/>
  <c r="Q164" i="5"/>
  <c r="R164" i="5"/>
  <c r="S164" i="5"/>
  <c r="T164" i="5"/>
  <c r="U164" i="5"/>
  <c r="V164" i="5"/>
  <c r="W164" i="5"/>
  <c r="X164" i="5"/>
  <c r="AB164" i="5"/>
  <c r="O165" i="5"/>
  <c r="P165" i="5"/>
  <c r="Q165" i="5"/>
  <c r="R165" i="5"/>
  <c r="S165" i="5"/>
  <c r="T165" i="5"/>
  <c r="U165" i="5"/>
  <c r="V165" i="5"/>
  <c r="W165" i="5"/>
  <c r="X165" i="5"/>
  <c r="AB165" i="5"/>
  <c r="O166" i="5"/>
  <c r="P166" i="5"/>
  <c r="Q166" i="5"/>
  <c r="R166" i="5"/>
  <c r="S166" i="5"/>
  <c r="T166" i="5"/>
  <c r="U166" i="5"/>
  <c r="V166" i="5"/>
  <c r="W166" i="5"/>
  <c r="X166" i="5"/>
  <c r="AB166" i="5"/>
  <c r="O167" i="5"/>
  <c r="P167" i="5"/>
  <c r="Q167" i="5"/>
  <c r="R167" i="5"/>
  <c r="S167" i="5"/>
  <c r="T167" i="5"/>
  <c r="U167" i="5"/>
  <c r="V167" i="5"/>
  <c r="W167" i="5"/>
  <c r="X167" i="5"/>
  <c r="AB167" i="5"/>
  <c r="O168" i="5"/>
  <c r="P168" i="5"/>
  <c r="Q168" i="5"/>
  <c r="R168" i="5"/>
  <c r="S168" i="5"/>
  <c r="T168" i="5"/>
  <c r="U168" i="5"/>
  <c r="V168" i="5"/>
  <c r="W168" i="5"/>
  <c r="X168" i="5"/>
  <c r="AB168" i="5"/>
  <c r="O169" i="5"/>
  <c r="P169" i="5"/>
  <c r="Q169" i="5"/>
  <c r="R169" i="5"/>
  <c r="S169" i="5"/>
  <c r="T169" i="5"/>
  <c r="U169" i="5"/>
  <c r="V169" i="5"/>
  <c r="W169" i="5"/>
  <c r="X169" i="5"/>
  <c r="AB169" i="5"/>
  <c r="O170" i="5"/>
  <c r="P170" i="5"/>
  <c r="Q170" i="5"/>
  <c r="R170" i="5"/>
  <c r="S170" i="5"/>
  <c r="T170" i="5"/>
  <c r="U170" i="5"/>
  <c r="V170" i="5"/>
  <c r="W170" i="5"/>
  <c r="X170" i="5"/>
  <c r="AB170" i="5"/>
  <c r="O171" i="5"/>
  <c r="P171" i="5"/>
  <c r="Q171" i="5"/>
  <c r="R171" i="5"/>
  <c r="S171" i="5"/>
  <c r="T171" i="5"/>
  <c r="U171" i="5"/>
  <c r="V171" i="5"/>
  <c r="W171" i="5"/>
  <c r="X171" i="5"/>
  <c r="AB171" i="5"/>
  <c r="O172" i="5"/>
  <c r="P172" i="5"/>
  <c r="Q172" i="5"/>
  <c r="R172" i="5"/>
  <c r="S172" i="5"/>
  <c r="T172" i="5"/>
  <c r="U172" i="5"/>
  <c r="V172" i="5"/>
  <c r="W172" i="5"/>
  <c r="X172" i="5"/>
  <c r="AB172" i="5"/>
  <c r="O173" i="5"/>
  <c r="P173" i="5"/>
  <c r="Q173" i="5"/>
  <c r="R173" i="5"/>
  <c r="S173" i="5"/>
  <c r="T173" i="5"/>
  <c r="U173" i="5"/>
  <c r="V173" i="5"/>
  <c r="W173" i="5"/>
  <c r="X173" i="5"/>
  <c r="AB173" i="5"/>
  <c r="O174" i="5"/>
  <c r="P174" i="5"/>
  <c r="Q174" i="5"/>
  <c r="R174" i="5"/>
  <c r="S174" i="5"/>
  <c r="T174" i="5"/>
  <c r="U174" i="5"/>
  <c r="V174" i="5"/>
  <c r="W174" i="5"/>
  <c r="X174" i="5"/>
  <c r="AB174" i="5"/>
  <c r="O175" i="5"/>
  <c r="P175" i="5"/>
  <c r="Q175" i="5"/>
  <c r="R175" i="5"/>
  <c r="S175" i="5"/>
  <c r="T175" i="5"/>
  <c r="U175" i="5"/>
  <c r="V175" i="5"/>
  <c r="W175" i="5"/>
  <c r="X175" i="5"/>
  <c r="AB175" i="5"/>
  <c r="AD162" i="5" l="1"/>
  <c r="AD173" i="5"/>
  <c r="AC175" i="5"/>
  <c r="AC174" i="5"/>
  <c r="AD164" i="5"/>
  <c r="AD165" i="5"/>
  <c r="AC172" i="5"/>
  <c r="AC166" i="5"/>
  <c r="AC162" i="5"/>
  <c r="AD169" i="5"/>
  <c r="AC170" i="5"/>
  <c r="AC163" i="5"/>
  <c r="AD174" i="5"/>
  <c r="AD172" i="5"/>
  <c r="AC169" i="5"/>
  <c r="AC167" i="5"/>
  <c r="AD166" i="5"/>
  <c r="AC164" i="5"/>
  <c r="AC168" i="5"/>
  <c r="AC173" i="5"/>
  <c r="AC171" i="5"/>
  <c r="AD170" i="5"/>
  <c r="AD168" i="5"/>
  <c r="AC165" i="5"/>
  <c r="AD175" i="5"/>
  <c r="AD171" i="5"/>
  <c r="AD167" i="5"/>
  <c r="AD163" i="5"/>
  <c r="O147" i="3"/>
  <c r="P147" i="3"/>
  <c r="Q147" i="3"/>
  <c r="R147" i="3"/>
  <c r="S147" i="3"/>
  <c r="T147" i="3"/>
  <c r="U147" i="3"/>
  <c r="V147" i="3"/>
  <c r="W147" i="3"/>
  <c r="X147" i="3"/>
  <c r="AA147" i="3"/>
  <c r="O148" i="3"/>
  <c r="P148" i="3"/>
  <c r="Q148" i="3"/>
  <c r="R148" i="3"/>
  <c r="S148" i="3"/>
  <c r="T148" i="3"/>
  <c r="U148" i="3"/>
  <c r="V148" i="3"/>
  <c r="W148" i="3"/>
  <c r="X148" i="3"/>
  <c r="AA148" i="3"/>
  <c r="O149" i="3"/>
  <c r="P149" i="3"/>
  <c r="Q149" i="3"/>
  <c r="R149" i="3"/>
  <c r="S149" i="3"/>
  <c r="T149" i="3"/>
  <c r="U149" i="3"/>
  <c r="V149" i="3"/>
  <c r="W149" i="3"/>
  <c r="X149" i="3"/>
  <c r="AA149" i="3"/>
  <c r="O150" i="3"/>
  <c r="P150" i="3"/>
  <c r="Q150" i="3"/>
  <c r="R150" i="3"/>
  <c r="S150" i="3"/>
  <c r="T150" i="3"/>
  <c r="U150" i="3"/>
  <c r="V150" i="3"/>
  <c r="W150" i="3"/>
  <c r="X150" i="3"/>
  <c r="AA150" i="3"/>
  <c r="O151" i="3"/>
  <c r="P151" i="3"/>
  <c r="Q151" i="3"/>
  <c r="R151" i="3"/>
  <c r="S151" i="3"/>
  <c r="T151" i="3"/>
  <c r="U151" i="3"/>
  <c r="V151" i="3"/>
  <c r="W151" i="3"/>
  <c r="X151" i="3"/>
  <c r="AA151" i="3"/>
  <c r="O152" i="3"/>
  <c r="P152" i="3"/>
  <c r="Q152" i="3"/>
  <c r="R152" i="3"/>
  <c r="S152" i="3"/>
  <c r="T152" i="3"/>
  <c r="U152" i="3"/>
  <c r="V152" i="3"/>
  <c r="W152" i="3"/>
  <c r="X152" i="3"/>
  <c r="AA152" i="3"/>
  <c r="O153" i="3"/>
  <c r="P153" i="3"/>
  <c r="Q153" i="3"/>
  <c r="R153" i="3"/>
  <c r="S153" i="3"/>
  <c r="T153" i="3"/>
  <c r="U153" i="3"/>
  <c r="V153" i="3"/>
  <c r="W153" i="3"/>
  <c r="X153" i="3"/>
  <c r="AA153" i="3"/>
  <c r="O154" i="3"/>
  <c r="P154" i="3"/>
  <c r="Q154" i="3"/>
  <c r="R154" i="3"/>
  <c r="S154" i="3"/>
  <c r="T154" i="3"/>
  <c r="U154" i="3"/>
  <c r="V154" i="3"/>
  <c r="W154" i="3"/>
  <c r="X154" i="3"/>
  <c r="AA154" i="3"/>
  <c r="O155" i="3"/>
  <c r="P155" i="3"/>
  <c r="Q155" i="3"/>
  <c r="R155" i="3"/>
  <c r="S155" i="3"/>
  <c r="T155" i="3"/>
  <c r="U155" i="3"/>
  <c r="V155" i="3"/>
  <c r="W155" i="3"/>
  <c r="X155" i="3"/>
  <c r="AA155" i="3"/>
  <c r="O156" i="3"/>
  <c r="P156" i="3"/>
  <c r="Q156" i="3"/>
  <c r="R156" i="3"/>
  <c r="S156" i="3"/>
  <c r="T156" i="3"/>
  <c r="U156" i="3"/>
  <c r="V156" i="3"/>
  <c r="W156" i="3"/>
  <c r="X156" i="3"/>
  <c r="AA156" i="3"/>
  <c r="O157" i="3"/>
  <c r="P157" i="3"/>
  <c r="Q157" i="3"/>
  <c r="R157" i="3"/>
  <c r="S157" i="3"/>
  <c r="T157" i="3"/>
  <c r="U157" i="3"/>
  <c r="V157" i="3"/>
  <c r="W157" i="3"/>
  <c r="X157" i="3"/>
  <c r="AA157" i="3"/>
  <c r="O158" i="3"/>
  <c r="P158" i="3"/>
  <c r="Q158" i="3"/>
  <c r="R158" i="3"/>
  <c r="S158" i="3"/>
  <c r="T158" i="3"/>
  <c r="U158" i="3"/>
  <c r="V158" i="3"/>
  <c r="W158" i="3"/>
  <c r="X158" i="3"/>
  <c r="AA158" i="3"/>
  <c r="O159" i="3"/>
  <c r="P159" i="3"/>
  <c r="Q159" i="3"/>
  <c r="R159" i="3"/>
  <c r="S159" i="3"/>
  <c r="T159" i="3"/>
  <c r="U159" i="3"/>
  <c r="V159" i="3"/>
  <c r="W159" i="3"/>
  <c r="X159" i="3"/>
  <c r="AA159" i="3"/>
  <c r="O160" i="3"/>
  <c r="P160" i="3"/>
  <c r="Q160" i="3"/>
  <c r="R160" i="3"/>
  <c r="S160" i="3"/>
  <c r="T160" i="3"/>
  <c r="U160" i="3"/>
  <c r="V160" i="3"/>
  <c r="W160" i="3"/>
  <c r="X160" i="3"/>
  <c r="AA160" i="3"/>
  <c r="O161" i="3"/>
  <c r="P161" i="3"/>
  <c r="Q161" i="3"/>
  <c r="R161" i="3"/>
  <c r="S161" i="3"/>
  <c r="T161" i="3"/>
  <c r="U161" i="3"/>
  <c r="V161" i="3"/>
  <c r="W161" i="3"/>
  <c r="X161" i="3"/>
  <c r="AA161" i="3"/>
  <c r="O162" i="3"/>
  <c r="P162" i="3"/>
  <c r="Q162" i="3"/>
  <c r="R162" i="3"/>
  <c r="S162" i="3"/>
  <c r="T162" i="3"/>
  <c r="U162" i="3"/>
  <c r="V162" i="3"/>
  <c r="W162" i="3"/>
  <c r="X162" i="3"/>
  <c r="AA162" i="3"/>
  <c r="O163" i="3"/>
  <c r="P163" i="3"/>
  <c r="Q163" i="3"/>
  <c r="R163" i="3"/>
  <c r="S163" i="3"/>
  <c r="T163" i="3"/>
  <c r="U163" i="3"/>
  <c r="V163" i="3"/>
  <c r="W163" i="3"/>
  <c r="X163" i="3"/>
  <c r="AA163" i="3"/>
  <c r="O164" i="3"/>
  <c r="P164" i="3"/>
  <c r="Q164" i="3"/>
  <c r="R164" i="3"/>
  <c r="S164" i="3"/>
  <c r="T164" i="3"/>
  <c r="U164" i="3"/>
  <c r="V164" i="3"/>
  <c r="W164" i="3"/>
  <c r="X164" i="3"/>
  <c r="AA164" i="3"/>
  <c r="O165" i="3"/>
  <c r="P165" i="3"/>
  <c r="Q165" i="3"/>
  <c r="R165" i="3"/>
  <c r="S165" i="3"/>
  <c r="T165" i="3"/>
  <c r="U165" i="3"/>
  <c r="V165" i="3"/>
  <c r="W165" i="3"/>
  <c r="X165" i="3"/>
  <c r="AA165" i="3"/>
  <c r="O166" i="3"/>
  <c r="P166" i="3"/>
  <c r="Q166" i="3"/>
  <c r="R166" i="3"/>
  <c r="S166" i="3"/>
  <c r="T166" i="3"/>
  <c r="U166" i="3"/>
  <c r="V166" i="3"/>
  <c r="W166" i="3"/>
  <c r="X166" i="3"/>
  <c r="AA166" i="3"/>
  <c r="O167" i="3"/>
  <c r="P167" i="3"/>
  <c r="Q167" i="3"/>
  <c r="R167" i="3"/>
  <c r="S167" i="3"/>
  <c r="T167" i="3"/>
  <c r="U167" i="3"/>
  <c r="V167" i="3"/>
  <c r="W167" i="3"/>
  <c r="X167" i="3"/>
  <c r="AA167" i="3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X161" i="5"/>
  <c r="W161" i="5"/>
  <c r="V161" i="5"/>
  <c r="U161" i="5"/>
  <c r="T161" i="5"/>
  <c r="S161" i="5"/>
  <c r="R161" i="5"/>
  <c r="Q161" i="5"/>
  <c r="P161" i="5"/>
  <c r="O161" i="5"/>
  <c r="X160" i="5"/>
  <c r="W160" i="5"/>
  <c r="V160" i="5"/>
  <c r="U160" i="5"/>
  <c r="T160" i="5"/>
  <c r="S160" i="5"/>
  <c r="R160" i="5"/>
  <c r="Q160" i="5"/>
  <c r="P160" i="5"/>
  <c r="O160" i="5"/>
  <c r="X159" i="5"/>
  <c r="W159" i="5"/>
  <c r="AD159" i="5" s="1"/>
  <c r="V159" i="5"/>
  <c r="U159" i="5"/>
  <c r="T159" i="5"/>
  <c r="S159" i="5"/>
  <c r="R159" i="5"/>
  <c r="Q159" i="5"/>
  <c r="P159" i="5"/>
  <c r="O159" i="5"/>
  <c r="X158" i="5"/>
  <c r="W158" i="5"/>
  <c r="V158" i="5"/>
  <c r="U158" i="5"/>
  <c r="T158" i="5"/>
  <c r="S158" i="5"/>
  <c r="R158" i="5"/>
  <c r="Q158" i="5"/>
  <c r="P158" i="5"/>
  <c r="O158" i="5"/>
  <c r="X157" i="5"/>
  <c r="W157" i="5"/>
  <c r="V157" i="5"/>
  <c r="U157" i="5"/>
  <c r="T157" i="5"/>
  <c r="S157" i="5"/>
  <c r="R157" i="5"/>
  <c r="Q157" i="5"/>
  <c r="P157" i="5"/>
  <c r="O157" i="5"/>
  <c r="X156" i="5"/>
  <c r="W156" i="5"/>
  <c r="V156" i="5"/>
  <c r="U156" i="5"/>
  <c r="T156" i="5"/>
  <c r="S156" i="5"/>
  <c r="R156" i="5"/>
  <c r="Q156" i="5"/>
  <c r="P156" i="5"/>
  <c r="O156" i="5"/>
  <c r="X155" i="5"/>
  <c r="W155" i="5"/>
  <c r="V155" i="5"/>
  <c r="U155" i="5"/>
  <c r="T155" i="5"/>
  <c r="S155" i="5"/>
  <c r="R155" i="5"/>
  <c r="Q155" i="5"/>
  <c r="P155" i="5"/>
  <c r="O155" i="5"/>
  <c r="X154" i="5"/>
  <c r="W154" i="5"/>
  <c r="V154" i="5"/>
  <c r="U154" i="5"/>
  <c r="T154" i="5"/>
  <c r="S154" i="5"/>
  <c r="R154" i="5"/>
  <c r="Q154" i="5"/>
  <c r="P154" i="5"/>
  <c r="O154" i="5"/>
  <c r="X153" i="5"/>
  <c r="W153" i="5"/>
  <c r="V153" i="5"/>
  <c r="U153" i="5"/>
  <c r="T153" i="5"/>
  <c r="S153" i="5"/>
  <c r="R153" i="5"/>
  <c r="Q153" i="5"/>
  <c r="P153" i="5"/>
  <c r="O153" i="5"/>
  <c r="X152" i="5"/>
  <c r="W152" i="5"/>
  <c r="V152" i="5"/>
  <c r="U152" i="5"/>
  <c r="T152" i="5"/>
  <c r="S152" i="5"/>
  <c r="R152" i="5"/>
  <c r="Q152" i="5"/>
  <c r="P152" i="5"/>
  <c r="O152" i="5"/>
  <c r="X151" i="5"/>
  <c r="W151" i="5"/>
  <c r="AD151" i="5" s="1"/>
  <c r="V151" i="5"/>
  <c r="U151" i="5"/>
  <c r="T151" i="5"/>
  <c r="S151" i="5"/>
  <c r="R151" i="5"/>
  <c r="Q151" i="5"/>
  <c r="P151" i="5"/>
  <c r="O151" i="5"/>
  <c r="X150" i="5"/>
  <c r="W150" i="5"/>
  <c r="V150" i="5"/>
  <c r="U150" i="5"/>
  <c r="T150" i="5"/>
  <c r="S150" i="5"/>
  <c r="R150" i="5"/>
  <c r="Q150" i="5"/>
  <c r="P150" i="5"/>
  <c r="O150" i="5"/>
  <c r="X149" i="5"/>
  <c r="W149" i="5"/>
  <c r="V149" i="5"/>
  <c r="U149" i="5"/>
  <c r="T149" i="5"/>
  <c r="S149" i="5"/>
  <c r="R149" i="5"/>
  <c r="Q149" i="5"/>
  <c r="P149" i="5"/>
  <c r="O149" i="5"/>
  <c r="X148" i="5"/>
  <c r="W148" i="5"/>
  <c r="V148" i="5"/>
  <c r="U148" i="5"/>
  <c r="AD148" i="5" s="1"/>
  <c r="T148" i="5"/>
  <c r="S148" i="5"/>
  <c r="R148" i="5"/>
  <c r="Q148" i="5"/>
  <c r="P148" i="5"/>
  <c r="O148" i="5"/>
  <c r="X147" i="5"/>
  <c r="W147" i="5"/>
  <c r="V147" i="5"/>
  <c r="U147" i="5"/>
  <c r="T147" i="5"/>
  <c r="S147" i="5"/>
  <c r="R147" i="5"/>
  <c r="Q147" i="5"/>
  <c r="P147" i="5"/>
  <c r="O147" i="5"/>
  <c r="AD149" i="5" l="1"/>
  <c r="AC154" i="5"/>
  <c r="AD156" i="5"/>
  <c r="AD152" i="5"/>
  <c r="AC160" i="5"/>
  <c r="AC151" i="5"/>
  <c r="AC147" i="5"/>
  <c r="AC155" i="5"/>
  <c r="AC159" i="5"/>
  <c r="AD160" i="5"/>
  <c r="AC153" i="5"/>
  <c r="AC157" i="5"/>
  <c r="AC152" i="5"/>
  <c r="AC149" i="5"/>
  <c r="AD157" i="5"/>
  <c r="AC150" i="5"/>
  <c r="AD154" i="5"/>
  <c r="AC158" i="5"/>
  <c r="AD153" i="5"/>
  <c r="AD158" i="5"/>
  <c r="AD150" i="5"/>
  <c r="AC148" i="5"/>
  <c r="AD155" i="5"/>
  <c r="AD147" i="5"/>
  <c r="AC156" i="5"/>
  <c r="AD161" i="5"/>
  <c r="AC161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O117" i="3"/>
  <c r="P117" i="3"/>
  <c r="Q117" i="3"/>
  <c r="R117" i="3"/>
  <c r="S117" i="3"/>
  <c r="T117" i="3"/>
  <c r="U117" i="3"/>
  <c r="V117" i="3"/>
  <c r="W117" i="3"/>
  <c r="X117" i="3"/>
  <c r="O118" i="3"/>
  <c r="P118" i="3"/>
  <c r="Q118" i="3"/>
  <c r="R118" i="3"/>
  <c r="S118" i="3"/>
  <c r="T118" i="3"/>
  <c r="U118" i="3"/>
  <c r="V118" i="3"/>
  <c r="W118" i="3"/>
  <c r="X118" i="3"/>
  <c r="O119" i="3"/>
  <c r="P119" i="3"/>
  <c r="Q119" i="3"/>
  <c r="R119" i="3"/>
  <c r="S119" i="3"/>
  <c r="T119" i="3"/>
  <c r="U119" i="3"/>
  <c r="V119" i="3"/>
  <c r="W119" i="3"/>
  <c r="X119" i="3"/>
  <c r="O120" i="3"/>
  <c r="P120" i="3"/>
  <c r="Q120" i="3"/>
  <c r="R120" i="3"/>
  <c r="S120" i="3"/>
  <c r="T120" i="3"/>
  <c r="U120" i="3"/>
  <c r="V120" i="3"/>
  <c r="W120" i="3"/>
  <c r="X120" i="3"/>
  <c r="O121" i="3"/>
  <c r="P121" i="3"/>
  <c r="Q121" i="3"/>
  <c r="R121" i="3"/>
  <c r="S121" i="3"/>
  <c r="T121" i="3"/>
  <c r="U121" i="3"/>
  <c r="V121" i="3"/>
  <c r="W121" i="3"/>
  <c r="X121" i="3"/>
  <c r="O122" i="3"/>
  <c r="P122" i="3"/>
  <c r="Q122" i="3"/>
  <c r="R122" i="3"/>
  <c r="S122" i="3"/>
  <c r="T122" i="3"/>
  <c r="U122" i="3"/>
  <c r="V122" i="3"/>
  <c r="W122" i="3"/>
  <c r="X122" i="3"/>
  <c r="O123" i="3"/>
  <c r="P123" i="3"/>
  <c r="Q123" i="3"/>
  <c r="R123" i="3"/>
  <c r="S123" i="3"/>
  <c r="T123" i="3"/>
  <c r="U123" i="3"/>
  <c r="V123" i="3"/>
  <c r="W123" i="3"/>
  <c r="X123" i="3"/>
  <c r="O124" i="3"/>
  <c r="P124" i="3"/>
  <c r="Q124" i="3"/>
  <c r="R124" i="3"/>
  <c r="S124" i="3"/>
  <c r="T124" i="3"/>
  <c r="U124" i="3"/>
  <c r="V124" i="3"/>
  <c r="W124" i="3"/>
  <c r="X124" i="3"/>
  <c r="O125" i="3"/>
  <c r="P125" i="3"/>
  <c r="Q125" i="3"/>
  <c r="R125" i="3"/>
  <c r="S125" i="3"/>
  <c r="T125" i="3"/>
  <c r="U125" i="3"/>
  <c r="V125" i="3"/>
  <c r="W125" i="3"/>
  <c r="X125" i="3"/>
  <c r="O126" i="3"/>
  <c r="P126" i="3"/>
  <c r="Q126" i="3"/>
  <c r="R126" i="3"/>
  <c r="S126" i="3"/>
  <c r="T126" i="3"/>
  <c r="U126" i="3"/>
  <c r="V126" i="3"/>
  <c r="W126" i="3"/>
  <c r="X126" i="3"/>
  <c r="O127" i="3"/>
  <c r="P127" i="3"/>
  <c r="Q127" i="3"/>
  <c r="R127" i="3"/>
  <c r="S127" i="3"/>
  <c r="T127" i="3"/>
  <c r="U127" i="3"/>
  <c r="V127" i="3"/>
  <c r="W127" i="3"/>
  <c r="X127" i="3"/>
  <c r="O128" i="3"/>
  <c r="P128" i="3"/>
  <c r="Q128" i="3"/>
  <c r="R128" i="3"/>
  <c r="S128" i="3"/>
  <c r="T128" i="3"/>
  <c r="U128" i="3"/>
  <c r="V128" i="3"/>
  <c r="W128" i="3"/>
  <c r="X128" i="3"/>
  <c r="O129" i="3"/>
  <c r="P129" i="3"/>
  <c r="Q129" i="3"/>
  <c r="R129" i="3"/>
  <c r="S129" i="3"/>
  <c r="T129" i="3"/>
  <c r="U129" i="3"/>
  <c r="V129" i="3"/>
  <c r="W129" i="3"/>
  <c r="X129" i="3"/>
  <c r="O130" i="3"/>
  <c r="P130" i="3"/>
  <c r="Q130" i="3"/>
  <c r="R130" i="3"/>
  <c r="S130" i="3"/>
  <c r="T130" i="3"/>
  <c r="U130" i="3"/>
  <c r="V130" i="3"/>
  <c r="W130" i="3"/>
  <c r="X130" i="3"/>
  <c r="O131" i="3"/>
  <c r="P131" i="3"/>
  <c r="Q131" i="3"/>
  <c r="R131" i="3"/>
  <c r="S131" i="3"/>
  <c r="T131" i="3"/>
  <c r="U131" i="3"/>
  <c r="V131" i="3"/>
  <c r="W131" i="3"/>
  <c r="X131" i="3"/>
  <c r="O132" i="3"/>
  <c r="P132" i="3"/>
  <c r="Q132" i="3"/>
  <c r="R132" i="3"/>
  <c r="S132" i="3"/>
  <c r="T132" i="3"/>
  <c r="U132" i="3"/>
  <c r="V132" i="3"/>
  <c r="W132" i="3"/>
  <c r="X132" i="3"/>
  <c r="O133" i="3"/>
  <c r="P133" i="3"/>
  <c r="Q133" i="3"/>
  <c r="R133" i="3"/>
  <c r="S133" i="3"/>
  <c r="T133" i="3"/>
  <c r="U133" i="3"/>
  <c r="V133" i="3"/>
  <c r="W133" i="3"/>
  <c r="X133" i="3"/>
  <c r="O134" i="3"/>
  <c r="P134" i="3"/>
  <c r="Q134" i="3"/>
  <c r="R134" i="3"/>
  <c r="S134" i="3"/>
  <c r="T134" i="3"/>
  <c r="U134" i="3"/>
  <c r="V134" i="3"/>
  <c r="W134" i="3"/>
  <c r="X134" i="3"/>
  <c r="O135" i="3"/>
  <c r="P135" i="3"/>
  <c r="Q135" i="3"/>
  <c r="R135" i="3"/>
  <c r="S135" i="3"/>
  <c r="T135" i="3"/>
  <c r="U135" i="3"/>
  <c r="V135" i="3"/>
  <c r="W135" i="3"/>
  <c r="X135" i="3"/>
  <c r="O136" i="3"/>
  <c r="P136" i="3"/>
  <c r="Q136" i="3"/>
  <c r="R136" i="3"/>
  <c r="S136" i="3"/>
  <c r="T136" i="3"/>
  <c r="U136" i="3"/>
  <c r="V136" i="3"/>
  <c r="W136" i="3"/>
  <c r="X136" i="3"/>
  <c r="O137" i="3"/>
  <c r="P137" i="3"/>
  <c r="Q137" i="3"/>
  <c r="R137" i="3"/>
  <c r="S137" i="3"/>
  <c r="T137" i="3"/>
  <c r="U137" i="3"/>
  <c r="V137" i="3"/>
  <c r="W137" i="3"/>
  <c r="X137" i="3"/>
  <c r="O138" i="3"/>
  <c r="P138" i="3"/>
  <c r="Q138" i="3"/>
  <c r="R138" i="3"/>
  <c r="S138" i="3"/>
  <c r="T138" i="3"/>
  <c r="U138" i="3"/>
  <c r="V138" i="3"/>
  <c r="W138" i="3"/>
  <c r="X138" i="3"/>
  <c r="O139" i="3"/>
  <c r="P139" i="3"/>
  <c r="Q139" i="3"/>
  <c r="R139" i="3"/>
  <c r="S139" i="3"/>
  <c r="T139" i="3"/>
  <c r="U139" i="3"/>
  <c r="V139" i="3"/>
  <c r="W139" i="3"/>
  <c r="X139" i="3"/>
  <c r="O140" i="3"/>
  <c r="P140" i="3"/>
  <c r="Q140" i="3"/>
  <c r="R140" i="3"/>
  <c r="S140" i="3"/>
  <c r="T140" i="3"/>
  <c r="U140" i="3"/>
  <c r="V140" i="3"/>
  <c r="W140" i="3"/>
  <c r="X140" i="3"/>
  <c r="O141" i="3"/>
  <c r="P141" i="3"/>
  <c r="Q141" i="3"/>
  <c r="R141" i="3"/>
  <c r="S141" i="3"/>
  <c r="T141" i="3"/>
  <c r="U141" i="3"/>
  <c r="V141" i="3"/>
  <c r="W141" i="3"/>
  <c r="X141" i="3"/>
  <c r="O142" i="3"/>
  <c r="P142" i="3"/>
  <c r="Q142" i="3"/>
  <c r="R142" i="3"/>
  <c r="S142" i="3"/>
  <c r="T142" i="3"/>
  <c r="U142" i="3"/>
  <c r="V142" i="3"/>
  <c r="W142" i="3"/>
  <c r="X142" i="3"/>
  <c r="O143" i="3"/>
  <c r="P143" i="3"/>
  <c r="Q143" i="3"/>
  <c r="R143" i="3"/>
  <c r="S143" i="3"/>
  <c r="T143" i="3"/>
  <c r="U143" i="3"/>
  <c r="V143" i="3"/>
  <c r="W143" i="3"/>
  <c r="X143" i="3"/>
  <c r="O144" i="3"/>
  <c r="P144" i="3"/>
  <c r="Q144" i="3"/>
  <c r="R144" i="3"/>
  <c r="S144" i="3"/>
  <c r="T144" i="3"/>
  <c r="U144" i="3"/>
  <c r="V144" i="3"/>
  <c r="W144" i="3"/>
  <c r="X144" i="3"/>
  <c r="O145" i="3"/>
  <c r="P145" i="3"/>
  <c r="Q145" i="3"/>
  <c r="R145" i="3"/>
  <c r="S145" i="3"/>
  <c r="T145" i="3"/>
  <c r="U145" i="3"/>
  <c r="V145" i="3"/>
  <c r="W145" i="3"/>
  <c r="X145" i="3"/>
  <c r="O146" i="3"/>
  <c r="P146" i="3"/>
  <c r="Q146" i="3"/>
  <c r="R146" i="3"/>
  <c r="S146" i="3"/>
  <c r="T146" i="3"/>
  <c r="U146" i="3"/>
  <c r="V146" i="3"/>
  <c r="W146" i="3"/>
  <c r="X146" i="3"/>
  <c r="O117" i="5"/>
  <c r="P117" i="5"/>
  <c r="Q117" i="5"/>
  <c r="R117" i="5"/>
  <c r="S117" i="5"/>
  <c r="T117" i="5"/>
  <c r="U117" i="5"/>
  <c r="V117" i="5"/>
  <c r="W117" i="5"/>
  <c r="X117" i="5"/>
  <c r="O118" i="5"/>
  <c r="P118" i="5"/>
  <c r="Q118" i="5"/>
  <c r="R118" i="5"/>
  <c r="S118" i="5"/>
  <c r="T118" i="5"/>
  <c r="U118" i="5"/>
  <c r="V118" i="5"/>
  <c r="W118" i="5"/>
  <c r="X118" i="5"/>
  <c r="O119" i="5"/>
  <c r="P119" i="5"/>
  <c r="Q119" i="5"/>
  <c r="R119" i="5"/>
  <c r="S119" i="5"/>
  <c r="T119" i="5"/>
  <c r="U119" i="5"/>
  <c r="V119" i="5"/>
  <c r="W119" i="5"/>
  <c r="X119" i="5"/>
  <c r="O120" i="5"/>
  <c r="P120" i="5"/>
  <c r="Q120" i="5"/>
  <c r="R120" i="5"/>
  <c r="S120" i="5"/>
  <c r="T120" i="5"/>
  <c r="U120" i="5"/>
  <c r="V120" i="5"/>
  <c r="W120" i="5"/>
  <c r="X120" i="5"/>
  <c r="O121" i="5"/>
  <c r="P121" i="5"/>
  <c r="Q121" i="5"/>
  <c r="R121" i="5"/>
  <c r="S121" i="5"/>
  <c r="T121" i="5"/>
  <c r="U121" i="5"/>
  <c r="V121" i="5"/>
  <c r="W121" i="5"/>
  <c r="X121" i="5"/>
  <c r="O122" i="5"/>
  <c r="P122" i="5"/>
  <c r="Q122" i="5"/>
  <c r="R122" i="5"/>
  <c r="S122" i="5"/>
  <c r="T122" i="5"/>
  <c r="U122" i="5"/>
  <c r="V122" i="5"/>
  <c r="W122" i="5"/>
  <c r="X122" i="5"/>
  <c r="O123" i="5"/>
  <c r="P123" i="5"/>
  <c r="Q123" i="5"/>
  <c r="R123" i="5"/>
  <c r="S123" i="5"/>
  <c r="T123" i="5"/>
  <c r="U123" i="5"/>
  <c r="V123" i="5"/>
  <c r="W123" i="5"/>
  <c r="X123" i="5"/>
  <c r="O124" i="5"/>
  <c r="P124" i="5"/>
  <c r="Q124" i="5"/>
  <c r="R124" i="5"/>
  <c r="S124" i="5"/>
  <c r="T124" i="5"/>
  <c r="U124" i="5"/>
  <c r="V124" i="5"/>
  <c r="W124" i="5"/>
  <c r="X124" i="5"/>
  <c r="O125" i="5"/>
  <c r="P125" i="5"/>
  <c r="Q125" i="5"/>
  <c r="R125" i="5"/>
  <c r="S125" i="5"/>
  <c r="T125" i="5"/>
  <c r="U125" i="5"/>
  <c r="V125" i="5"/>
  <c r="W125" i="5"/>
  <c r="X125" i="5"/>
  <c r="O126" i="5"/>
  <c r="P126" i="5"/>
  <c r="Q126" i="5"/>
  <c r="R126" i="5"/>
  <c r="S126" i="5"/>
  <c r="T126" i="5"/>
  <c r="U126" i="5"/>
  <c r="V126" i="5"/>
  <c r="W126" i="5"/>
  <c r="X126" i="5"/>
  <c r="O127" i="5"/>
  <c r="P127" i="5"/>
  <c r="Q127" i="5"/>
  <c r="R127" i="5"/>
  <c r="S127" i="5"/>
  <c r="T127" i="5"/>
  <c r="U127" i="5"/>
  <c r="V127" i="5"/>
  <c r="W127" i="5"/>
  <c r="X127" i="5"/>
  <c r="O128" i="5"/>
  <c r="P128" i="5"/>
  <c r="Q128" i="5"/>
  <c r="R128" i="5"/>
  <c r="S128" i="5"/>
  <c r="T128" i="5"/>
  <c r="U128" i="5"/>
  <c r="V128" i="5"/>
  <c r="W128" i="5"/>
  <c r="X128" i="5"/>
  <c r="O129" i="5"/>
  <c r="P129" i="5"/>
  <c r="Q129" i="5"/>
  <c r="R129" i="5"/>
  <c r="S129" i="5"/>
  <c r="T129" i="5"/>
  <c r="U129" i="5"/>
  <c r="V129" i="5"/>
  <c r="W129" i="5"/>
  <c r="X129" i="5"/>
  <c r="O130" i="5"/>
  <c r="P130" i="5"/>
  <c r="Q130" i="5"/>
  <c r="R130" i="5"/>
  <c r="S130" i="5"/>
  <c r="T130" i="5"/>
  <c r="U130" i="5"/>
  <c r="V130" i="5"/>
  <c r="W130" i="5"/>
  <c r="X130" i="5"/>
  <c r="O131" i="5"/>
  <c r="P131" i="5"/>
  <c r="Q131" i="5"/>
  <c r="R131" i="5"/>
  <c r="S131" i="5"/>
  <c r="T131" i="5"/>
  <c r="U131" i="5"/>
  <c r="V131" i="5"/>
  <c r="W131" i="5"/>
  <c r="X131" i="5"/>
  <c r="O132" i="5"/>
  <c r="P132" i="5"/>
  <c r="Q132" i="5"/>
  <c r="R132" i="5"/>
  <c r="S132" i="5"/>
  <c r="T132" i="5"/>
  <c r="U132" i="5"/>
  <c r="V132" i="5"/>
  <c r="W132" i="5"/>
  <c r="X132" i="5"/>
  <c r="O133" i="5"/>
  <c r="P133" i="5"/>
  <c r="Q133" i="5"/>
  <c r="R133" i="5"/>
  <c r="S133" i="5"/>
  <c r="T133" i="5"/>
  <c r="U133" i="5"/>
  <c r="V133" i="5"/>
  <c r="W133" i="5"/>
  <c r="X133" i="5"/>
  <c r="O134" i="5"/>
  <c r="P134" i="5"/>
  <c r="Q134" i="5"/>
  <c r="R134" i="5"/>
  <c r="S134" i="5"/>
  <c r="T134" i="5"/>
  <c r="U134" i="5"/>
  <c r="V134" i="5"/>
  <c r="W134" i="5"/>
  <c r="X134" i="5"/>
  <c r="O135" i="5"/>
  <c r="P135" i="5"/>
  <c r="Q135" i="5"/>
  <c r="R135" i="5"/>
  <c r="S135" i="5"/>
  <c r="T135" i="5"/>
  <c r="U135" i="5"/>
  <c r="V135" i="5"/>
  <c r="W135" i="5"/>
  <c r="X135" i="5"/>
  <c r="O136" i="5"/>
  <c r="P136" i="5"/>
  <c r="Q136" i="5"/>
  <c r="R136" i="5"/>
  <c r="S136" i="5"/>
  <c r="T136" i="5"/>
  <c r="U136" i="5"/>
  <c r="V136" i="5"/>
  <c r="W136" i="5"/>
  <c r="X136" i="5"/>
  <c r="O137" i="5"/>
  <c r="P137" i="5"/>
  <c r="Q137" i="5"/>
  <c r="R137" i="5"/>
  <c r="S137" i="5"/>
  <c r="T137" i="5"/>
  <c r="U137" i="5"/>
  <c r="V137" i="5"/>
  <c r="W137" i="5"/>
  <c r="X137" i="5"/>
  <c r="O138" i="5"/>
  <c r="P138" i="5"/>
  <c r="Q138" i="5"/>
  <c r="R138" i="5"/>
  <c r="S138" i="5"/>
  <c r="T138" i="5"/>
  <c r="U138" i="5"/>
  <c r="V138" i="5"/>
  <c r="W138" i="5"/>
  <c r="X138" i="5"/>
  <c r="O139" i="5"/>
  <c r="P139" i="5"/>
  <c r="Q139" i="5"/>
  <c r="R139" i="5"/>
  <c r="S139" i="5"/>
  <c r="T139" i="5"/>
  <c r="U139" i="5"/>
  <c r="V139" i="5"/>
  <c r="W139" i="5"/>
  <c r="X139" i="5"/>
  <c r="O140" i="5"/>
  <c r="P140" i="5"/>
  <c r="Q140" i="5"/>
  <c r="R140" i="5"/>
  <c r="S140" i="5"/>
  <c r="T140" i="5"/>
  <c r="U140" i="5"/>
  <c r="V140" i="5"/>
  <c r="W140" i="5"/>
  <c r="X140" i="5"/>
  <c r="O141" i="5"/>
  <c r="P141" i="5"/>
  <c r="Q141" i="5"/>
  <c r="R141" i="5"/>
  <c r="S141" i="5"/>
  <c r="T141" i="5"/>
  <c r="U141" i="5"/>
  <c r="V141" i="5"/>
  <c r="W141" i="5"/>
  <c r="X141" i="5"/>
  <c r="O142" i="5"/>
  <c r="P142" i="5"/>
  <c r="Q142" i="5"/>
  <c r="R142" i="5"/>
  <c r="S142" i="5"/>
  <c r="T142" i="5"/>
  <c r="U142" i="5"/>
  <c r="V142" i="5"/>
  <c r="W142" i="5"/>
  <c r="X142" i="5"/>
  <c r="O143" i="5"/>
  <c r="P143" i="5"/>
  <c r="Q143" i="5"/>
  <c r="R143" i="5"/>
  <c r="S143" i="5"/>
  <c r="T143" i="5"/>
  <c r="U143" i="5"/>
  <c r="V143" i="5"/>
  <c r="W143" i="5"/>
  <c r="X143" i="5"/>
  <c r="O144" i="5"/>
  <c r="P144" i="5"/>
  <c r="Q144" i="5"/>
  <c r="R144" i="5"/>
  <c r="S144" i="5"/>
  <c r="T144" i="5"/>
  <c r="U144" i="5"/>
  <c r="V144" i="5"/>
  <c r="W144" i="5"/>
  <c r="X144" i="5"/>
  <c r="O145" i="5"/>
  <c r="P145" i="5"/>
  <c r="Q145" i="5"/>
  <c r="R145" i="5"/>
  <c r="S145" i="5"/>
  <c r="T145" i="5"/>
  <c r="U145" i="5"/>
  <c r="V145" i="5"/>
  <c r="W145" i="5"/>
  <c r="X145" i="5"/>
  <c r="O146" i="5"/>
  <c r="P146" i="5"/>
  <c r="Q146" i="5"/>
  <c r="R146" i="5"/>
  <c r="S146" i="5"/>
  <c r="T146" i="5"/>
  <c r="U146" i="5"/>
  <c r="V146" i="5"/>
  <c r="W146" i="5"/>
  <c r="X146" i="5"/>
  <c r="AD144" i="5" l="1"/>
  <c r="AD136" i="5"/>
  <c r="AC145" i="5"/>
  <c r="AC141" i="5"/>
  <c r="AC133" i="5"/>
  <c r="AC125" i="5"/>
  <c r="AC117" i="5"/>
  <c r="AC137" i="5"/>
  <c r="AC129" i="5"/>
  <c r="AC121" i="5"/>
  <c r="AC144" i="5"/>
  <c r="AC140" i="5"/>
  <c r="AC136" i="5"/>
  <c r="AC132" i="5"/>
  <c r="AC128" i="5"/>
  <c r="AC124" i="5"/>
  <c r="AC120" i="5"/>
  <c r="AD128" i="5"/>
  <c r="AC139" i="5"/>
  <c r="AD131" i="5"/>
  <c r="AD123" i="5"/>
  <c r="AD143" i="5"/>
  <c r="AD135" i="5"/>
  <c r="AD127" i="5"/>
  <c r="AD119" i="5"/>
  <c r="AC146" i="5"/>
  <c r="AC142" i="5"/>
  <c r="AC138" i="5"/>
  <c r="AC134" i="5"/>
  <c r="AC130" i="5"/>
  <c r="AC126" i="5"/>
  <c r="AC122" i="5"/>
  <c r="AC118" i="5"/>
  <c r="AC143" i="5"/>
  <c r="AD140" i="5"/>
  <c r="AC135" i="5"/>
  <c r="AD132" i="5"/>
  <c r="AC127" i="5"/>
  <c r="AD124" i="5"/>
  <c r="AC119" i="5"/>
  <c r="AC131" i="5"/>
  <c r="AD145" i="5"/>
  <c r="AD137" i="5"/>
  <c r="AD129" i="5"/>
  <c r="AD121" i="5"/>
  <c r="AC123" i="5"/>
  <c r="AD142" i="5"/>
  <c r="AD134" i="5"/>
  <c r="AD126" i="5"/>
  <c r="AD118" i="5"/>
  <c r="AD139" i="5"/>
  <c r="AD120" i="5"/>
  <c r="AD141" i="5"/>
  <c r="AD133" i="5"/>
  <c r="AD125" i="5"/>
  <c r="AD117" i="5"/>
  <c r="AD146" i="5"/>
  <c r="AD138" i="5"/>
  <c r="AD130" i="5"/>
  <c r="AD12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O53" i="5"/>
  <c r="P53" i="5"/>
  <c r="Q53" i="5"/>
  <c r="R53" i="5"/>
  <c r="S53" i="5"/>
  <c r="T53" i="5"/>
  <c r="U53" i="5"/>
  <c r="V53" i="5"/>
  <c r="W53" i="5"/>
  <c r="X53" i="5"/>
  <c r="O54" i="5"/>
  <c r="P54" i="5"/>
  <c r="Q54" i="5"/>
  <c r="R54" i="5"/>
  <c r="S54" i="5"/>
  <c r="T54" i="5"/>
  <c r="U54" i="5"/>
  <c r="V54" i="5"/>
  <c r="W54" i="5"/>
  <c r="X54" i="5"/>
  <c r="O55" i="5"/>
  <c r="P55" i="5"/>
  <c r="Q55" i="5"/>
  <c r="R55" i="5"/>
  <c r="S55" i="5"/>
  <c r="T55" i="5"/>
  <c r="U55" i="5"/>
  <c r="V55" i="5"/>
  <c r="W55" i="5"/>
  <c r="X55" i="5"/>
  <c r="O56" i="5"/>
  <c r="P56" i="5"/>
  <c r="Q56" i="5"/>
  <c r="R56" i="5"/>
  <c r="S56" i="5"/>
  <c r="T56" i="5"/>
  <c r="U56" i="5"/>
  <c r="V56" i="5"/>
  <c r="W56" i="5"/>
  <c r="X56" i="5"/>
  <c r="O57" i="5"/>
  <c r="P57" i="5"/>
  <c r="Q57" i="5"/>
  <c r="R57" i="5"/>
  <c r="S57" i="5"/>
  <c r="T57" i="5"/>
  <c r="U57" i="5"/>
  <c r="V57" i="5"/>
  <c r="W57" i="5"/>
  <c r="X57" i="5"/>
  <c r="O58" i="5"/>
  <c r="P58" i="5"/>
  <c r="Q58" i="5"/>
  <c r="R58" i="5"/>
  <c r="S58" i="5"/>
  <c r="T58" i="5"/>
  <c r="U58" i="5"/>
  <c r="V58" i="5"/>
  <c r="W58" i="5"/>
  <c r="X58" i="5"/>
  <c r="O59" i="5"/>
  <c r="P59" i="5"/>
  <c r="Q59" i="5"/>
  <c r="R59" i="5"/>
  <c r="S59" i="5"/>
  <c r="T59" i="5"/>
  <c r="U59" i="5"/>
  <c r="V59" i="5"/>
  <c r="W59" i="5"/>
  <c r="X59" i="5"/>
  <c r="O60" i="5"/>
  <c r="P60" i="5"/>
  <c r="Q60" i="5"/>
  <c r="R60" i="5"/>
  <c r="S60" i="5"/>
  <c r="T60" i="5"/>
  <c r="U60" i="5"/>
  <c r="V60" i="5"/>
  <c r="W60" i="5"/>
  <c r="X60" i="5"/>
  <c r="O61" i="5"/>
  <c r="P61" i="5"/>
  <c r="Q61" i="5"/>
  <c r="R61" i="5"/>
  <c r="S61" i="5"/>
  <c r="T61" i="5"/>
  <c r="U61" i="5"/>
  <c r="V61" i="5"/>
  <c r="W61" i="5"/>
  <c r="X61" i="5"/>
  <c r="O62" i="5"/>
  <c r="P62" i="5"/>
  <c r="Q62" i="5"/>
  <c r="R62" i="5"/>
  <c r="S62" i="5"/>
  <c r="T62" i="5"/>
  <c r="U62" i="5"/>
  <c r="V62" i="5"/>
  <c r="W62" i="5"/>
  <c r="X62" i="5"/>
  <c r="O63" i="5"/>
  <c r="P63" i="5"/>
  <c r="Q63" i="5"/>
  <c r="R63" i="5"/>
  <c r="S63" i="5"/>
  <c r="T63" i="5"/>
  <c r="U63" i="5"/>
  <c r="V63" i="5"/>
  <c r="W63" i="5"/>
  <c r="X63" i="5"/>
  <c r="O64" i="5"/>
  <c r="P64" i="5"/>
  <c r="Q64" i="5"/>
  <c r="R64" i="5"/>
  <c r="S64" i="5"/>
  <c r="T64" i="5"/>
  <c r="U64" i="5"/>
  <c r="V64" i="5"/>
  <c r="W64" i="5"/>
  <c r="X64" i="5"/>
  <c r="O65" i="5"/>
  <c r="P65" i="5"/>
  <c r="Q65" i="5"/>
  <c r="R65" i="5"/>
  <c r="S65" i="5"/>
  <c r="T65" i="5"/>
  <c r="U65" i="5"/>
  <c r="V65" i="5"/>
  <c r="W65" i="5"/>
  <c r="X65" i="5"/>
  <c r="O66" i="5"/>
  <c r="P66" i="5"/>
  <c r="Q66" i="5"/>
  <c r="R66" i="5"/>
  <c r="S66" i="5"/>
  <c r="T66" i="5"/>
  <c r="U66" i="5"/>
  <c r="V66" i="5"/>
  <c r="W66" i="5"/>
  <c r="X66" i="5"/>
  <c r="O67" i="5"/>
  <c r="P67" i="5"/>
  <c r="Q67" i="5"/>
  <c r="R67" i="5"/>
  <c r="S67" i="5"/>
  <c r="T67" i="5"/>
  <c r="U67" i="5"/>
  <c r="V67" i="5"/>
  <c r="W67" i="5"/>
  <c r="X67" i="5"/>
  <c r="O68" i="5"/>
  <c r="P68" i="5"/>
  <c r="Q68" i="5"/>
  <c r="R68" i="5"/>
  <c r="S68" i="5"/>
  <c r="T68" i="5"/>
  <c r="U68" i="5"/>
  <c r="V68" i="5"/>
  <c r="W68" i="5"/>
  <c r="X68" i="5"/>
  <c r="O69" i="5"/>
  <c r="P69" i="5"/>
  <c r="Q69" i="5"/>
  <c r="R69" i="5"/>
  <c r="S69" i="5"/>
  <c r="T69" i="5"/>
  <c r="U69" i="5"/>
  <c r="V69" i="5"/>
  <c r="W69" i="5"/>
  <c r="X69" i="5"/>
  <c r="O70" i="5"/>
  <c r="P70" i="5"/>
  <c r="Q70" i="5"/>
  <c r="R70" i="5"/>
  <c r="S70" i="5"/>
  <c r="T70" i="5"/>
  <c r="U70" i="5"/>
  <c r="V70" i="5"/>
  <c r="W70" i="5"/>
  <c r="X70" i="5"/>
  <c r="O71" i="5"/>
  <c r="P71" i="5"/>
  <c r="Q71" i="5"/>
  <c r="R71" i="5"/>
  <c r="S71" i="5"/>
  <c r="T71" i="5"/>
  <c r="U71" i="5"/>
  <c r="V71" i="5"/>
  <c r="W71" i="5"/>
  <c r="X71" i="5"/>
  <c r="O72" i="5"/>
  <c r="P72" i="5"/>
  <c r="Q72" i="5"/>
  <c r="R72" i="5"/>
  <c r="S72" i="5"/>
  <c r="T72" i="5"/>
  <c r="U72" i="5"/>
  <c r="V72" i="5"/>
  <c r="W72" i="5"/>
  <c r="X72" i="5"/>
  <c r="O73" i="5"/>
  <c r="P73" i="5"/>
  <c r="Q73" i="5"/>
  <c r="R73" i="5"/>
  <c r="S73" i="5"/>
  <c r="T73" i="5"/>
  <c r="U73" i="5"/>
  <c r="V73" i="5"/>
  <c r="W73" i="5"/>
  <c r="X73" i="5"/>
  <c r="O74" i="5"/>
  <c r="P74" i="5"/>
  <c r="Q74" i="5"/>
  <c r="R74" i="5"/>
  <c r="S74" i="5"/>
  <c r="T74" i="5"/>
  <c r="U74" i="5"/>
  <c r="V74" i="5"/>
  <c r="W74" i="5"/>
  <c r="X74" i="5"/>
  <c r="O75" i="5"/>
  <c r="P75" i="5"/>
  <c r="Q75" i="5"/>
  <c r="R75" i="5"/>
  <c r="S75" i="5"/>
  <c r="T75" i="5"/>
  <c r="U75" i="5"/>
  <c r="V75" i="5"/>
  <c r="W75" i="5"/>
  <c r="X75" i="5"/>
  <c r="O76" i="5"/>
  <c r="P76" i="5"/>
  <c r="Q76" i="5"/>
  <c r="R76" i="5"/>
  <c r="S76" i="5"/>
  <c r="T76" i="5"/>
  <c r="U76" i="5"/>
  <c r="V76" i="5"/>
  <c r="W76" i="5"/>
  <c r="X76" i="5"/>
  <c r="O77" i="5"/>
  <c r="P77" i="5"/>
  <c r="Q77" i="5"/>
  <c r="R77" i="5"/>
  <c r="S77" i="5"/>
  <c r="T77" i="5"/>
  <c r="U77" i="5"/>
  <c r="V77" i="5"/>
  <c r="W77" i="5"/>
  <c r="X77" i="5"/>
  <c r="O78" i="5"/>
  <c r="P78" i="5"/>
  <c r="Q78" i="5"/>
  <c r="R78" i="5"/>
  <c r="S78" i="5"/>
  <c r="T78" i="5"/>
  <c r="U78" i="5"/>
  <c r="V78" i="5"/>
  <c r="W78" i="5"/>
  <c r="X78" i="5"/>
  <c r="O79" i="5"/>
  <c r="P79" i="5"/>
  <c r="Q79" i="5"/>
  <c r="R79" i="5"/>
  <c r="S79" i="5"/>
  <c r="T79" i="5"/>
  <c r="U79" i="5"/>
  <c r="V79" i="5"/>
  <c r="W79" i="5"/>
  <c r="X79" i="5"/>
  <c r="O80" i="5"/>
  <c r="P80" i="5"/>
  <c r="Q80" i="5"/>
  <c r="R80" i="5"/>
  <c r="S80" i="5"/>
  <c r="T80" i="5"/>
  <c r="U80" i="5"/>
  <c r="V80" i="5"/>
  <c r="W80" i="5"/>
  <c r="X80" i="5"/>
  <c r="O81" i="5"/>
  <c r="P81" i="5"/>
  <c r="Q81" i="5"/>
  <c r="R81" i="5"/>
  <c r="S81" i="5"/>
  <c r="T81" i="5"/>
  <c r="U81" i="5"/>
  <c r="V81" i="5"/>
  <c r="W81" i="5"/>
  <c r="X81" i="5"/>
  <c r="O82" i="5"/>
  <c r="P82" i="5"/>
  <c r="Q82" i="5"/>
  <c r="R82" i="5"/>
  <c r="S82" i="5"/>
  <c r="T82" i="5"/>
  <c r="U82" i="5"/>
  <c r="V82" i="5"/>
  <c r="W82" i="5"/>
  <c r="X82" i="5"/>
  <c r="O83" i="5"/>
  <c r="P83" i="5"/>
  <c r="Q83" i="5"/>
  <c r="R83" i="5"/>
  <c r="S83" i="5"/>
  <c r="T83" i="5"/>
  <c r="U83" i="5"/>
  <c r="V83" i="5"/>
  <c r="W83" i="5"/>
  <c r="X83" i="5"/>
  <c r="O84" i="5"/>
  <c r="P84" i="5"/>
  <c r="Q84" i="5"/>
  <c r="R84" i="5"/>
  <c r="S84" i="5"/>
  <c r="T84" i="5"/>
  <c r="U84" i="5"/>
  <c r="V84" i="5"/>
  <c r="W84" i="5"/>
  <c r="X84" i="5"/>
  <c r="O85" i="5"/>
  <c r="P85" i="5"/>
  <c r="Q85" i="5"/>
  <c r="R85" i="5"/>
  <c r="S85" i="5"/>
  <c r="T85" i="5"/>
  <c r="U85" i="5"/>
  <c r="V85" i="5"/>
  <c r="W85" i="5"/>
  <c r="X85" i="5"/>
  <c r="O86" i="5"/>
  <c r="P86" i="5"/>
  <c r="Q86" i="5"/>
  <c r="R86" i="5"/>
  <c r="S86" i="5"/>
  <c r="T86" i="5"/>
  <c r="U86" i="5"/>
  <c r="V86" i="5"/>
  <c r="W86" i="5"/>
  <c r="X86" i="5"/>
  <c r="O87" i="5"/>
  <c r="P87" i="5"/>
  <c r="Q87" i="5"/>
  <c r="R87" i="5"/>
  <c r="S87" i="5"/>
  <c r="T87" i="5"/>
  <c r="U87" i="5"/>
  <c r="V87" i="5"/>
  <c r="W87" i="5"/>
  <c r="X87" i="5"/>
  <c r="O88" i="5"/>
  <c r="P88" i="5"/>
  <c r="Q88" i="5"/>
  <c r="R88" i="5"/>
  <c r="S88" i="5"/>
  <c r="T88" i="5"/>
  <c r="U88" i="5"/>
  <c r="V88" i="5"/>
  <c r="W88" i="5"/>
  <c r="X88" i="5"/>
  <c r="O89" i="5"/>
  <c r="P89" i="5"/>
  <c r="Q89" i="5"/>
  <c r="R89" i="5"/>
  <c r="S89" i="5"/>
  <c r="T89" i="5"/>
  <c r="U89" i="5"/>
  <c r="V89" i="5"/>
  <c r="W89" i="5"/>
  <c r="X89" i="5"/>
  <c r="O90" i="5"/>
  <c r="P90" i="5"/>
  <c r="Q90" i="5"/>
  <c r="R90" i="5"/>
  <c r="S90" i="5"/>
  <c r="T90" i="5"/>
  <c r="U90" i="5"/>
  <c r="V90" i="5"/>
  <c r="W90" i="5"/>
  <c r="X90" i="5"/>
  <c r="O91" i="5"/>
  <c r="P91" i="5"/>
  <c r="Q91" i="5"/>
  <c r="R91" i="5"/>
  <c r="S91" i="5"/>
  <c r="T91" i="5"/>
  <c r="U91" i="5"/>
  <c r="V91" i="5"/>
  <c r="W91" i="5"/>
  <c r="X91" i="5"/>
  <c r="O92" i="5"/>
  <c r="P92" i="5"/>
  <c r="Q92" i="5"/>
  <c r="R92" i="5"/>
  <c r="S92" i="5"/>
  <c r="T92" i="5"/>
  <c r="U92" i="5"/>
  <c r="V92" i="5"/>
  <c r="W92" i="5"/>
  <c r="X92" i="5"/>
  <c r="O93" i="5"/>
  <c r="P93" i="5"/>
  <c r="Q93" i="5"/>
  <c r="R93" i="5"/>
  <c r="S93" i="5"/>
  <c r="T93" i="5"/>
  <c r="U93" i="5"/>
  <c r="V93" i="5"/>
  <c r="W93" i="5"/>
  <c r="X93" i="5"/>
  <c r="O94" i="5"/>
  <c r="P94" i="5"/>
  <c r="Q94" i="5"/>
  <c r="R94" i="5"/>
  <c r="S94" i="5"/>
  <c r="T94" i="5"/>
  <c r="U94" i="5"/>
  <c r="V94" i="5"/>
  <c r="W94" i="5"/>
  <c r="X94" i="5"/>
  <c r="O95" i="5"/>
  <c r="P95" i="5"/>
  <c r="Q95" i="5"/>
  <c r="R95" i="5"/>
  <c r="S95" i="5"/>
  <c r="T95" i="5"/>
  <c r="U95" i="5"/>
  <c r="V95" i="5"/>
  <c r="W95" i="5"/>
  <c r="X95" i="5"/>
  <c r="O96" i="5"/>
  <c r="P96" i="5"/>
  <c r="Q96" i="5"/>
  <c r="R96" i="5"/>
  <c r="S96" i="5"/>
  <c r="T96" i="5"/>
  <c r="U96" i="5"/>
  <c r="V96" i="5"/>
  <c r="W96" i="5"/>
  <c r="X96" i="5"/>
  <c r="O97" i="5"/>
  <c r="P97" i="5"/>
  <c r="Q97" i="5"/>
  <c r="R97" i="5"/>
  <c r="S97" i="5"/>
  <c r="T97" i="5"/>
  <c r="U97" i="5"/>
  <c r="V97" i="5"/>
  <c r="W97" i="5"/>
  <c r="X97" i="5"/>
  <c r="O98" i="5"/>
  <c r="P98" i="5"/>
  <c r="Q98" i="5"/>
  <c r="R98" i="5"/>
  <c r="S98" i="5"/>
  <c r="T98" i="5"/>
  <c r="U98" i="5"/>
  <c r="V98" i="5"/>
  <c r="W98" i="5"/>
  <c r="X98" i="5"/>
  <c r="O99" i="5"/>
  <c r="P99" i="5"/>
  <c r="Q99" i="5"/>
  <c r="R99" i="5"/>
  <c r="S99" i="5"/>
  <c r="T99" i="5"/>
  <c r="U99" i="5"/>
  <c r="V99" i="5"/>
  <c r="W99" i="5"/>
  <c r="X99" i="5"/>
  <c r="O100" i="5"/>
  <c r="P100" i="5"/>
  <c r="Q100" i="5"/>
  <c r="R100" i="5"/>
  <c r="S100" i="5"/>
  <c r="T100" i="5"/>
  <c r="U100" i="5"/>
  <c r="V100" i="5"/>
  <c r="W100" i="5"/>
  <c r="X100" i="5"/>
  <c r="O101" i="5"/>
  <c r="P101" i="5"/>
  <c r="Q101" i="5"/>
  <c r="R101" i="5"/>
  <c r="S101" i="5"/>
  <c r="T101" i="5"/>
  <c r="U101" i="5"/>
  <c r="V101" i="5"/>
  <c r="W101" i="5"/>
  <c r="X101" i="5"/>
  <c r="O102" i="5"/>
  <c r="P102" i="5"/>
  <c r="Q102" i="5"/>
  <c r="R102" i="5"/>
  <c r="S102" i="5"/>
  <c r="T102" i="5"/>
  <c r="U102" i="5"/>
  <c r="V102" i="5"/>
  <c r="W102" i="5"/>
  <c r="X102" i="5"/>
  <c r="O103" i="5"/>
  <c r="P103" i="5"/>
  <c r="Q103" i="5"/>
  <c r="R103" i="5"/>
  <c r="S103" i="5"/>
  <c r="T103" i="5"/>
  <c r="U103" i="5"/>
  <c r="V103" i="5"/>
  <c r="W103" i="5"/>
  <c r="X103" i="5"/>
  <c r="O104" i="5"/>
  <c r="P104" i="5"/>
  <c r="Q104" i="5"/>
  <c r="R104" i="5"/>
  <c r="S104" i="5"/>
  <c r="T104" i="5"/>
  <c r="U104" i="5"/>
  <c r="V104" i="5"/>
  <c r="W104" i="5"/>
  <c r="X104" i="5"/>
  <c r="O105" i="5"/>
  <c r="P105" i="5"/>
  <c r="Q105" i="5"/>
  <c r="R105" i="5"/>
  <c r="S105" i="5"/>
  <c r="T105" i="5"/>
  <c r="U105" i="5"/>
  <c r="V105" i="5"/>
  <c r="W105" i="5"/>
  <c r="X105" i="5"/>
  <c r="O106" i="5"/>
  <c r="P106" i="5"/>
  <c r="Q106" i="5"/>
  <c r="R106" i="5"/>
  <c r="S106" i="5"/>
  <c r="T106" i="5"/>
  <c r="U106" i="5"/>
  <c r="V106" i="5"/>
  <c r="W106" i="5"/>
  <c r="X106" i="5"/>
  <c r="O107" i="5"/>
  <c r="P107" i="5"/>
  <c r="Q107" i="5"/>
  <c r="R107" i="5"/>
  <c r="S107" i="5"/>
  <c r="T107" i="5"/>
  <c r="U107" i="5"/>
  <c r="V107" i="5"/>
  <c r="W107" i="5"/>
  <c r="X107" i="5"/>
  <c r="O108" i="5"/>
  <c r="P108" i="5"/>
  <c r="Q108" i="5"/>
  <c r="R108" i="5"/>
  <c r="S108" i="5"/>
  <c r="T108" i="5"/>
  <c r="U108" i="5"/>
  <c r="V108" i="5"/>
  <c r="W108" i="5"/>
  <c r="X108" i="5"/>
  <c r="O109" i="5"/>
  <c r="P109" i="5"/>
  <c r="Q109" i="5"/>
  <c r="R109" i="5"/>
  <c r="S109" i="5"/>
  <c r="T109" i="5"/>
  <c r="U109" i="5"/>
  <c r="V109" i="5"/>
  <c r="W109" i="5"/>
  <c r="X109" i="5"/>
  <c r="O110" i="5"/>
  <c r="P110" i="5"/>
  <c r="Q110" i="5"/>
  <c r="R110" i="5"/>
  <c r="S110" i="5"/>
  <c r="T110" i="5"/>
  <c r="U110" i="5"/>
  <c r="V110" i="5"/>
  <c r="W110" i="5"/>
  <c r="X110" i="5"/>
  <c r="O111" i="5"/>
  <c r="P111" i="5"/>
  <c r="Q111" i="5"/>
  <c r="R111" i="5"/>
  <c r="S111" i="5"/>
  <c r="T111" i="5"/>
  <c r="U111" i="5"/>
  <c r="V111" i="5"/>
  <c r="W111" i="5"/>
  <c r="X111" i="5"/>
  <c r="O112" i="5"/>
  <c r="P112" i="5"/>
  <c r="Q112" i="5"/>
  <c r="R112" i="5"/>
  <c r="S112" i="5"/>
  <c r="T112" i="5"/>
  <c r="U112" i="5"/>
  <c r="V112" i="5"/>
  <c r="W112" i="5"/>
  <c r="X112" i="5"/>
  <c r="O113" i="5"/>
  <c r="P113" i="5"/>
  <c r="Q113" i="5"/>
  <c r="R113" i="5"/>
  <c r="S113" i="5"/>
  <c r="T113" i="5"/>
  <c r="U113" i="5"/>
  <c r="V113" i="5"/>
  <c r="W113" i="5"/>
  <c r="X113" i="5"/>
  <c r="O114" i="5"/>
  <c r="P114" i="5"/>
  <c r="Q114" i="5"/>
  <c r="R114" i="5"/>
  <c r="S114" i="5"/>
  <c r="T114" i="5"/>
  <c r="U114" i="5"/>
  <c r="V114" i="5"/>
  <c r="W114" i="5"/>
  <c r="X114" i="5"/>
  <c r="O115" i="5"/>
  <c r="P115" i="5"/>
  <c r="Q115" i="5"/>
  <c r="R115" i="5"/>
  <c r="S115" i="5"/>
  <c r="T115" i="5"/>
  <c r="U115" i="5"/>
  <c r="V115" i="5"/>
  <c r="W115" i="5"/>
  <c r="X115" i="5"/>
  <c r="O116" i="5"/>
  <c r="P116" i="5"/>
  <c r="Q116" i="5"/>
  <c r="R116" i="5"/>
  <c r="S116" i="5"/>
  <c r="T116" i="5"/>
  <c r="U116" i="5"/>
  <c r="V116" i="5"/>
  <c r="W116" i="5"/>
  <c r="X116" i="5"/>
  <c r="AA127" i="3"/>
  <c r="AA126" i="3"/>
  <c r="AA125" i="3"/>
  <c r="AA124" i="3"/>
  <c r="AA123" i="3"/>
  <c r="AA122" i="3"/>
  <c r="AA121" i="3"/>
  <c r="AA120" i="3"/>
  <c r="AA119" i="3"/>
  <c r="AA118" i="3"/>
  <c r="AA117" i="3"/>
  <c r="O98" i="3"/>
  <c r="P98" i="3"/>
  <c r="Q98" i="3"/>
  <c r="R98" i="3"/>
  <c r="S98" i="3"/>
  <c r="T98" i="3"/>
  <c r="U98" i="3"/>
  <c r="V98" i="3"/>
  <c r="W98" i="3"/>
  <c r="X98" i="3"/>
  <c r="O99" i="3"/>
  <c r="P99" i="3"/>
  <c r="Q99" i="3"/>
  <c r="R99" i="3"/>
  <c r="S99" i="3"/>
  <c r="T99" i="3"/>
  <c r="U99" i="3"/>
  <c r="V99" i="3"/>
  <c r="W99" i="3"/>
  <c r="X99" i="3"/>
  <c r="O100" i="3"/>
  <c r="P100" i="3"/>
  <c r="Q100" i="3"/>
  <c r="R100" i="3"/>
  <c r="S100" i="3"/>
  <c r="T100" i="3"/>
  <c r="U100" i="3"/>
  <c r="V100" i="3"/>
  <c r="W100" i="3"/>
  <c r="X100" i="3"/>
  <c r="O101" i="3"/>
  <c r="P101" i="3"/>
  <c r="Q101" i="3"/>
  <c r="R101" i="3"/>
  <c r="S101" i="3"/>
  <c r="T101" i="3"/>
  <c r="U101" i="3"/>
  <c r="V101" i="3"/>
  <c r="W101" i="3"/>
  <c r="X101" i="3"/>
  <c r="O102" i="3"/>
  <c r="P102" i="3"/>
  <c r="Q102" i="3"/>
  <c r="R102" i="3"/>
  <c r="S102" i="3"/>
  <c r="T102" i="3"/>
  <c r="U102" i="3"/>
  <c r="V102" i="3"/>
  <c r="W102" i="3"/>
  <c r="X102" i="3"/>
  <c r="O103" i="3"/>
  <c r="P103" i="3"/>
  <c r="Q103" i="3"/>
  <c r="R103" i="3"/>
  <c r="S103" i="3"/>
  <c r="T103" i="3"/>
  <c r="U103" i="3"/>
  <c r="V103" i="3"/>
  <c r="W103" i="3"/>
  <c r="X103" i="3"/>
  <c r="O104" i="3"/>
  <c r="P104" i="3"/>
  <c r="Q104" i="3"/>
  <c r="R104" i="3"/>
  <c r="S104" i="3"/>
  <c r="T104" i="3"/>
  <c r="U104" i="3"/>
  <c r="V104" i="3"/>
  <c r="W104" i="3"/>
  <c r="X104" i="3"/>
  <c r="O105" i="3"/>
  <c r="P105" i="3"/>
  <c r="Q105" i="3"/>
  <c r="R105" i="3"/>
  <c r="S105" i="3"/>
  <c r="T105" i="3"/>
  <c r="U105" i="3"/>
  <c r="V105" i="3"/>
  <c r="W105" i="3"/>
  <c r="X105" i="3"/>
  <c r="O106" i="3"/>
  <c r="P106" i="3"/>
  <c r="Q106" i="3"/>
  <c r="R106" i="3"/>
  <c r="S106" i="3"/>
  <c r="T106" i="3"/>
  <c r="U106" i="3"/>
  <c r="V106" i="3"/>
  <c r="W106" i="3"/>
  <c r="X106" i="3"/>
  <c r="O107" i="3"/>
  <c r="P107" i="3"/>
  <c r="Q107" i="3"/>
  <c r="R107" i="3"/>
  <c r="S107" i="3"/>
  <c r="T107" i="3"/>
  <c r="U107" i="3"/>
  <c r="V107" i="3"/>
  <c r="W107" i="3"/>
  <c r="X107" i="3"/>
  <c r="O108" i="3"/>
  <c r="P108" i="3"/>
  <c r="Q108" i="3"/>
  <c r="R108" i="3"/>
  <c r="S108" i="3"/>
  <c r="T108" i="3"/>
  <c r="U108" i="3"/>
  <c r="V108" i="3"/>
  <c r="W108" i="3"/>
  <c r="X108" i="3"/>
  <c r="O109" i="3"/>
  <c r="P109" i="3"/>
  <c r="Q109" i="3"/>
  <c r="R109" i="3"/>
  <c r="S109" i="3"/>
  <c r="T109" i="3"/>
  <c r="U109" i="3"/>
  <c r="V109" i="3"/>
  <c r="W109" i="3"/>
  <c r="X109" i="3"/>
  <c r="O110" i="3"/>
  <c r="P110" i="3"/>
  <c r="Q110" i="3"/>
  <c r="R110" i="3"/>
  <c r="S110" i="3"/>
  <c r="T110" i="3"/>
  <c r="U110" i="3"/>
  <c r="V110" i="3"/>
  <c r="W110" i="3"/>
  <c r="X110" i="3"/>
  <c r="O111" i="3"/>
  <c r="P111" i="3"/>
  <c r="Q111" i="3"/>
  <c r="R111" i="3"/>
  <c r="S111" i="3"/>
  <c r="T111" i="3"/>
  <c r="U111" i="3"/>
  <c r="V111" i="3"/>
  <c r="W111" i="3"/>
  <c r="X111" i="3"/>
  <c r="O112" i="3"/>
  <c r="P112" i="3"/>
  <c r="Q112" i="3"/>
  <c r="R112" i="3"/>
  <c r="S112" i="3"/>
  <c r="T112" i="3"/>
  <c r="U112" i="3"/>
  <c r="V112" i="3"/>
  <c r="W112" i="3"/>
  <c r="X112" i="3"/>
  <c r="O113" i="3"/>
  <c r="P113" i="3"/>
  <c r="Q113" i="3"/>
  <c r="R113" i="3"/>
  <c r="S113" i="3"/>
  <c r="T113" i="3"/>
  <c r="U113" i="3"/>
  <c r="V113" i="3"/>
  <c r="W113" i="3"/>
  <c r="X113" i="3"/>
  <c r="O114" i="3"/>
  <c r="P114" i="3"/>
  <c r="Q114" i="3"/>
  <c r="R114" i="3"/>
  <c r="S114" i="3"/>
  <c r="T114" i="3"/>
  <c r="U114" i="3"/>
  <c r="V114" i="3"/>
  <c r="W114" i="3"/>
  <c r="X114" i="3"/>
  <c r="O115" i="3"/>
  <c r="P115" i="3"/>
  <c r="Q115" i="3"/>
  <c r="R115" i="3"/>
  <c r="S115" i="3"/>
  <c r="T115" i="3"/>
  <c r="U115" i="3"/>
  <c r="V115" i="3"/>
  <c r="W115" i="3"/>
  <c r="X115" i="3"/>
  <c r="O116" i="3"/>
  <c r="P116" i="3"/>
  <c r="Q116" i="3"/>
  <c r="R116" i="3"/>
  <c r="S116" i="3"/>
  <c r="T116" i="3"/>
  <c r="U116" i="3"/>
  <c r="V116" i="3"/>
  <c r="W116" i="3"/>
  <c r="X116" i="3"/>
  <c r="O56" i="3"/>
  <c r="P56" i="3"/>
  <c r="Q56" i="3"/>
  <c r="R56" i="3"/>
  <c r="S56" i="3"/>
  <c r="T56" i="3"/>
  <c r="U56" i="3"/>
  <c r="V56" i="3"/>
  <c r="W56" i="3"/>
  <c r="X56" i="3"/>
  <c r="O57" i="3"/>
  <c r="P57" i="3"/>
  <c r="Q57" i="3"/>
  <c r="R57" i="3"/>
  <c r="S57" i="3"/>
  <c r="T57" i="3"/>
  <c r="U57" i="3"/>
  <c r="V57" i="3"/>
  <c r="W57" i="3"/>
  <c r="X57" i="3"/>
  <c r="O58" i="3"/>
  <c r="P58" i="3"/>
  <c r="Q58" i="3"/>
  <c r="R58" i="3"/>
  <c r="S58" i="3"/>
  <c r="T58" i="3"/>
  <c r="U58" i="3"/>
  <c r="V58" i="3"/>
  <c r="W58" i="3"/>
  <c r="X58" i="3"/>
  <c r="O59" i="3"/>
  <c r="P59" i="3"/>
  <c r="Q59" i="3"/>
  <c r="R59" i="3"/>
  <c r="S59" i="3"/>
  <c r="T59" i="3"/>
  <c r="U59" i="3"/>
  <c r="V59" i="3"/>
  <c r="W59" i="3"/>
  <c r="X59" i="3"/>
  <c r="O60" i="3"/>
  <c r="P60" i="3"/>
  <c r="Q60" i="3"/>
  <c r="R60" i="3"/>
  <c r="S60" i="3"/>
  <c r="T60" i="3"/>
  <c r="U60" i="3"/>
  <c r="V60" i="3"/>
  <c r="W60" i="3"/>
  <c r="X60" i="3"/>
  <c r="O61" i="3"/>
  <c r="P61" i="3"/>
  <c r="Q61" i="3"/>
  <c r="R61" i="3"/>
  <c r="S61" i="3"/>
  <c r="T61" i="3"/>
  <c r="U61" i="3"/>
  <c r="V61" i="3"/>
  <c r="W61" i="3"/>
  <c r="X61" i="3"/>
  <c r="O62" i="3"/>
  <c r="P62" i="3"/>
  <c r="Q62" i="3"/>
  <c r="R62" i="3"/>
  <c r="S62" i="3"/>
  <c r="T62" i="3"/>
  <c r="U62" i="3"/>
  <c r="V62" i="3"/>
  <c r="W62" i="3"/>
  <c r="X62" i="3"/>
  <c r="O63" i="3"/>
  <c r="P63" i="3"/>
  <c r="Q63" i="3"/>
  <c r="R63" i="3"/>
  <c r="S63" i="3"/>
  <c r="T63" i="3"/>
  <c r="U63" i="3"/>
  <c r="V63" i="3"/>
  <c r="W63" i="3"/>
  <c r="X63" i="3"/>
  <c r="O64" i="3"/>
  <c r="P64" i="3"/>
  <c r="Q64" i="3"/>
  <c r="R64" i="3"/>
  <c r="S64" i="3"/>
  <c r="T64" i="3"/>
  <c r="U64" i="3"/>
  <c r="V64" i="3"/>
  <c r="W64" i="3"/>
  <c r="X64" i="3"/>
  <c r="O65" i="3"/>
  <c r="P65" i="3"/>
  <c r="Q65" i="3"/>
  <c r="R65" i="3"/>
  <c r="S65" i="3"/>
  <c r="T65" i="3"/>
  <c r="U65" i="3"/>
  <c r="V65" i="3"/>
  <c r="W65" i="3"/>
  <c r="X65" i="3"/>
  <c r="O66" i="3"/>
  <c r="P66" i="3"/>
  <c r="Q66" i="3"/>
  <c r="R66" i="3"/>
  <c r="S66" i="3"/>
  <c r="T66" i="3"/>
  <c r="U66" i="3"/>
  <c r="V66" i="3"/>
  <c r="W66" i="3"/>
  <c r="X66" i="3"/>
  <c r="O67" i="3"/>
  <c r="P67" i="3"/>
  <c r="Q67" i="3"/>
  <c r="R67" i="3"/>
  <c r="S67" i="3"/>
  <c r="T67" i="3"/>
  <c r="U67" i="3"/>
  <c r="V67" i="3"/>
  <c r="W67" i="3"/>
  <c r="X67" i="3"/>
  <c r="O68" i="3"/>
  <c r="P68" i="3"/>
  <c r="Q68" i="3"/>
  <c r="R68" i="3"/>
  <c r="S68" i="3"/>
  <c r="T68" i="3"/>
  <c r="U68" i="3"/>
  <c r="V68" i="3"/>
  <c r="W68" i="3"/>
  <c r="X68" i="3"/>
  <c r="O69" i="3"/>
  <c r="P69" i="3"/>
  <c r="Q69" i="3"/>
  <c r="R69" i="3"/>
  <c r="S69" i="3"/>
  <c r="T69" i="3"/>
  <c r="U69" i="3"/>
  <c r="V69" i="3"/>
  <c r="W69" i="3"/>
  <c r="X69" i="3"/>
  <c r="O70" i="3"/>
  <c r="P70" i="3"/>
  <c r="Q70" i="3"/>
  <c r="R70" i="3"/>
  <c r="S70" i="3"/>
  <c r="T70" i="3"/>
  <c r="U70" i="3"/>
  <c r="V70" i="3"/>
  <c r="W70" i="3"/>
  <c r="X70" i="3"/>
  <c r="O71" i="3"/>
  <c r="P71" i="3"/>
  <c r="Q71" i="3"/>
  <c r="R71" i="3"/>
  <c r="S71" i="3"/>
  <c r="T71" i="3"/>
  <c r="U71" i="3"/>
  <c r="V71" i="3"/>
  <c r="W71" i="3"/>
  <c r="X71" i="3"/>
  <c r="O72" i="3"/>
  <c r="P72" i="3"/>
  <c r="Q72" i="3"/>
  <c r="R72" i="3"/>
  <c r="S72" i="3"/>
  <c r="T72" i="3"/>
  <c r="U72" i="3"/>
  <c r="V72" i="3"/>
  <c r="W72" i="3"/>
  <c r="X72" i="3"/>
  <c r="O73" i="3"/>
  <c r="P73" i="3"/>
  <c r="Q73" i="3"/>
  <c r="R73" i="3"/>
  <c r="S73" i="3"/>
  <c r="T73" i="3"/>
  <c r="U73" i="3"/>
  <c r="V73" i="3"/>
  <c r="W73" i="3"/>
  <c r="X73" i="3"/>
  <c r="O74" i="3"/>
  <c r="P74" i="3"/>
  <c r="Q74" i="3"/>
  <c r="R74" i="3"/>
  <c r="S74" i="3"/>
  <c r="T74" i="3"/>
  <c r="U74" i="3"/>
  <c r="V74" i="3"/>
  <c r="W74" i="3"/>
  <c r="X74" i="3"/>
  <c r="O75" i="3"/>
  <c r="P75" i="3"/>
  <c r="Q75" i="3"/>
  <c r="R75" i="3"/>
  <c r="S75" i="3"/>
  <c r="T75" i="3"/>
  <c r="U75" i="3"/>
  <c r="V75" i="3"/>
  <c r="W75" i="3"/>
  <c r="X75" i="3"/>
  <c r="O76" i="3"/>
  <c r="P76" i="3"/>
  <c r="Q76" i="3"/>
  <c r="R76" i="3"/>
  <c r="S76" i="3"/>
  <c r="T76" i="3"/>
  <c r="U76" i="3"/>
  <c r="V76" i="3"/>
  <c r="W76" i="3"/>
  <c r="X76" i="3"/>
  <c r="O77" i="3"/>
  <c r="P77" i="3"/>
  <c r="Q77" i="3"/>
  <c r="R77" i="3"/>
  <c r="S77" i="3"/>
  <c r="T77" i="3"/>
  <c r="U77" i="3"/>
  <c r="V77" i="3"/>
  <c r="W77" i="3"/>
  <c r="X77" i="3"/>
  <c r="O78" i="3"/>
  <c r="P78" i="3"/>
  <c r="Q78" i="3"/>
  <c r="R78" i="3"/>
  <c r="S78" i="3"/>
  <c r="T78" i="3"/>
  <c r="U78" i="3"/>
  <c r="V78" i="3"/>
  <c r="W78" i="3"/>
  <c r="X78" i="3"/>
  <c r="O79" i="3"/>
  <c r="P79" i="3"/>
  <c r="Q79" i="3"/>
  <c r="R79" i="3"/>
  <c r="S79" i="3"/>
  <c r="T79" i="3"/>
  <c r="U79" i="3"/>
  <c r="V79" i="3"/>
  <c r="W79" i="3"/>
  <c r="X79" i="3"/>
  <c r="O80" i="3"/>
  <c r="P80" i="3"/>
  <c r="Q80" i="3"/>
  <c r="R80" i="3"/>
  <c r="S80" i="3"/>
  <c r="T80" i="3"/>
  <c r="U80" i="3"/>
  <c r="V80" i="3"/>
  <c r="W80" i="3"/>
  <c r="X80" i="3"/>
  <c r="O81" i="3"/>
  <c r="P81" i="3"/>
  <c r="Q81" i="3"/>
  <c r="R81" i="3"/>
  <c r="S81" i="3"/>
  <c r="T81" i="3"/>
  <c r="U81" i="3"/>
  <c r="V81" i="3"/>
  <c r="W81" i="3"/>
  <c r="X81" i="3"/>
  <c r="O82" i="3"/>
  <c r="P82" i="3"/>
  <c r="Q82" i="3"/>
  <c r="R82" i="3"/>
  <c r="S82" i="3"/>
  <c r="T82" i="3"/>
  <c r="U82" i="3"/>
  <c r="V82" i="3"/>
  <c r="W82" i="3"/>
  <c r="X82" i="3"/>
  <c r="O83" i="3"/>
  <c r="P83" i="3"/>
  <c r="Q83" i="3"/>
  <c r="R83" i="3"/>
  <c r="S83" i="3"/>
  <c r="T83" i="3"/>
  <c r="U83" i="3"/>
  <c r="V83" i="3"/>
  <c r="W83" i="3"/>
  <c r="X83" i="3"/>
  <c r="O84" i="3"/>
  <c r="P84" i="3"/>
  <c r="Q84" i="3"/>
  <c r="R84" i="3"/>
  <c r="S84" i="3"/>
  <c r="T84" i="3"/>
  <c r="U84" i="3"/>
  <c r="V84" i="3"/>
  <c r="W84" i="3"/>
  <c r="X84" i="3"/>
  <c r="O85" i="3"/>
  <c r="P85" i="3"/>
  <c r="Q85" i="3"/>
  <c r="R85" i="3"/>
  <c r="S85" i="3"/>
  <c r="T85" i="3"/>
  <c r="U85" i="3"/>
  <c r="V85" i="3"/>
  <c r="W85" i="3"/>
  <c r="X85" i="3"/>
  <c r="O86" i="3"/>
  <c r="P86" i="3"/>
  <c r="Q86" i="3"/>
  <c r="R86" i="3"/>
  <c r="S86" i="3"/>
  <c r="T86" i="3"/>
  <c r="U86" i="3"/>
  <c r="V86" i="3"/>
  <c r="W86" i="3"/>
  <c r="X86" i="3"/>
  <c r="O87" i="3"/>
  <c r="P87" i="3"/>
  <c r="Q87" i="3"/>
  <c r="R87" i="3"/>
  <c r="S87" i="3"/>
  <c r="T87" i="3"/>
  <c r="U87" i="3"/>
  <c r="V87" i="3"/>
  <c r="W87" i="3"/>
  <c r="X87" i="3"/>
  <c r="O88" i="3"/>
  <c r="P88" i="3"/>
  <c r="Q88" i="3"/>
  <c r="R88" i="3"/>
  <c r="S88" i="3"/>
  <c r="T88" i="3"/>
  <c r="U88" i="3"/>
  <c r="V88" i="3"/>
  <c r="W88" i="3"/>
  <c r="X88" i="3"/>
  <c r="O89" i="3"/>
  <c r="P89" i="3"/>
  <c r="Q89" i="3"/>
  <c r="R89" i="3"/>
  <c r="S89" i="3"/>
  <c r="T89" i="3"/>
  <c r="U89" i="3"/>
  <c r="V89" i="3"/>
  <c r="W89" i="3"/>
  <c r="X89" i="3"/>
  <c r="O90" i="3"/>
  <c r="P90" i="3"/>
  <c r="Q90" i="3"/>
  <c r="R90" i="3"/>
  <c r="S90" i="3"/>
  <c r="T90" i="3"/>
  <c r="U90" i="3"/>
  <c r="V90" i="3"/>
  <c r="W90" i="3"/>
  <c r="X90" i="3"/>
  <c r="O91" i="3"/>
  <c r="P91" i="3"/>
  <c r="Q91" i="3"/>
  <c r="R91" i="3"/>
  <c r="S91" i="3"/>
  <c r="T91" i="3"/>
  <c r="U91" i="3"/>
  <c r="V91" i="3"/>
  <c r="W91" i="3"/>
  <c r="X91" i="3"/>
  <c r="O92" i="3"/>
  <c r="P92" i="3"/>
  <c r="Q92" i="3"/>
  <c r="R92" i="3"/>
  <c r="S92" i="3"/>
  <c r="T92" i="3"/>
  <c r="U92" i="3"/>
  <c r="V92" i="3"/>
  <c r="W92" i="3"/>
  <c r="X92" i="3"/>
  <c r="O93" i="3"/>
  <c r="P93" i="3"/>
  <c r="Q93" i="3"/>
  <c r="R93" i="3"/>
  <c r="S93" i="3"/>
  <c r="T93" i="3"/>
  <c r="U93" i="3"/>
  <c r="V93" i="3"/>
  <c r="W93" i="3"/>
  <c r="X93" i="3"/>
  <c r="O94" i="3"/>
  <c r="P94" i="3"/>
  <c r="Q94" i="3"/>
  <c r="R94" i="3"/>
  <c r="S94" i="3"/>
  <c r="T94" i="3"/>
  <c r="U94" i="3"/>
  <c r="V94" i="3"/>
  <c r="W94" i="3"/>
  <c r="X94" i="3"/>
  <c r="O95" i="3"/>
  <c r="P95" i="3"/>
  <c r="Q95" i="3"/>
  <c r="R95" i="3"/>
  <c r="S95" i="3"/>
  <c r="T95" i="3"/>
  <c r="U95" i="3"/>
  <c r="V95" i="3"/>
  <c r="W95" i="3"/>
  <c r="X95" i="3"/>
  <c r="O96" i="3"/>
  <c r="P96" i="3"/>
  <c r="Q96" i="3"/>
  <c r="R96" i="3"/>
  <c r="S96" i="3"/>
  <c r="T96" i="3"/>
  <c r="U96" i="3"/>
  <c r="V96" i="3"/>
  <c r="W96" i="3"/>
  <c r="X96" i="3"/>
  <c r="O97" i="3"/>
  <c r="P97" i="3"/>
  <c r="Q97" i="3"/>
  <c r="R97" i="3"/>
  <c r="S97" i="3"/>
  <c r="T97" i="3"/>
  <c r="U97" i="3"/>
  <c r="V97" i="3"/>
  <c r="W97" i="3"/>
  <c r="X97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97" i="3"/>
  <c r="AA102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D115" i="5" l="1"/>
  <c r="AC110" i="5"/>
  <c r="AD107" i="5"/>
  <c r="AD103" i="5"/>
  <c r="AC98" i="5"/>
  <c r="AC94" i="5"/>
  <c r="AC90" i="5"/>
  <c r="AC86" i="5"/>
  <c r="AC82" i="5"/>
  <c r="AD79" i="5"/>
  <c r="AC78" i="5"/>
  <c r="AD75" i="5"/>
  <c r="AC74" i="5"/>
  <c r="AD71" i="5"/>
  <c r="AC70" i="5"/>
  <c r="AD67" i="5"/>
  <c r="AC66" i="5"/>
  <c r="AD63" i="5"/>
  <c r="AC62" i="5"/>
  <c r="AD59" i="5"/>
  <c r="AC58" i="5"/>
  <c r="AD55" i="5"/>
  <c r="AC54" i="5"/>
  <c r="AC114" i="5"/>
  <c r="AD111" i="5"/>
  <c r="AC106" i="5"/>
  <c r="AC102" i="5"/>
  <c r="AD99" i="5"/>
  <c r="AD95" i="5"/>
  <c r="AD91" i="5"/>
  <c r="AD87" i="5"/>
  <c r="AD83" i="5"/>
  <c r="AD109" i="5"/>
  <c r="AD105" i="5"/>
  <c r="AD97" i="5"/>
  <c r="AD89" i="5"/>
  <c r="AD85" i="5"/>
  <c r="AD81" i="5"/>
  <c r="AD77" i="5"/>
  <c r="AD73" i="5"/>
  <c r="AD69" i="5"/>
  <c r="AD65" i="5"/>
  <c r="AD61" i="5"/>
  <c r="AD57" i="5"/>
  <c r="AD53" i="5"/>
  <c r="AD113" i="5"/>
  <c r="AD101" i="5"/>
  <c r="AD93" i="5"/>
  <c r="AC116" i="5"/>
  <c r="AC112" i="5"/>
  <c r="AD114" i="5"/>
  <c r="AD110" i="5"/>
  <c r="AD106" i="5"/>
  <c r="AD102" i="5"/>
  <c r="AD98" i="5"/>
  <c r="AD94" i="5"/>
  <c r="AD90" i="5"/>
  <c r="AD86" i="5"/>
  <c r="AD82" i="5"/>
  <c r="AD78" i="5"/>
  <c r="AD74" i="5"/>
  <c r="AD70" i="5"/>
  <c r="AD66" i="5"/>
  <c r="AD62" i="5"/>
  <c r="AD58" i="5"/>
  <c r="AD54" i="5"/>
  <c r="AC113" i="5"/>
  <c r="AC109" i="5"/>
  <c r="AC105" i="5"/>
  <c r="AC101" i="5"/>
  <c r="AC97" i="5"/>
  <c r="AC93" i="5"/>
  <c r="AC89" i="5"/>
  <c r="AC85" i="5"/>
  <c r="AC81" i="5"/>
  <c r="AC77" i="5"/>
  <c r="AC73" i="5"/>
  <c r="AC69" i="5"/>
  <c r="AC65" i="5"/>
  <c r="AC61" i="5"/>
  <c r="AC57" i="5"/>
  <c r="AC53" i="5"/>
  <c r="AC115" i="5"/>
  <c r="AC111" i="5"/>
  <c r="AC108" i="5"/>
  <c r="AC107" i="5"/>
  <c r="AC104" i="5"/>
  <c r="AC103" i="5"/>
  <c r="AC100" i="5"/>
  <c r="AC99" i="5"/>
  <c r="AC96" i="5"/>
  <c r="AC95" i="5"/>
  <c r="AC92" i="5"/>
  <c r="AC91" i="5"/>
  <c r="AC88" i="5"/>
  <c r="AC87" i="5"/>
  <c r="AC84" i="5"/>
  <c r="AC83" i="5"/>
  <c r="AC80" i="5"/>
  <c r="AC79" i="5"/>
  <c r="AC76" i="5"/>
  <c r="AC75" i="5"/>
  <c r="AC72" i="5"/>
  <c r="AC71" i="5"/>
  <c r="AC68" i="5"/>
  <c r="AC67" i="5"/>
  <c r="AC64" i="5"/>
  <c r="AC63" i="5"/>
  <c r="AC60" i="5"/>
  <c r="AC59" i="5"/>
  <c r="AC56" i="5"/>
  <c r="AC55" i="5"/>
  <c r="AD116" i="5"/>
  <c r="AD112" i="5"/>
  <c r="AD108" i="5"/>
  <c r="AD104" i="5"/>
  <c r="AD100" i="5"/>
  <c r="AD96" i="5"/>
  <c r="AD92" i="5"/>
  <c r="AD88" i="5"/>
  <c r="AD84" i="5"/>
  <c r="AD80" i="5"/>
  <c r="AD76" i="5"/>
  <c r="AD72" i="5"/>
  <c r="AD68" i="5"/>
  <c r="AD64" i="5"/>
  <c r="AD60" i="5"/>
  <c r="AD56" i="5"/>
  <c r="AA66" i="3"/>
  <c r="AA65" i="3"/>
  <c r="AA64" i="3"/>
  <c r="AA63" i="3"/>
  <c r="AA62" i="3"/>
  <c r="AA61" i="3"/>
  <c r="AA60" i="3"/>
  <c r="AA59" i="3"/>
  <c r="AA58" i="3"/>
  <c r="AA57" i="3"/>
  <c r="AA56" i="3"/>
  <c r="O53" i="3"/>
  <c r="P53" i="3"/>
  <c r="Q53" i="3"/>
  <c r="R53" i="3"/>
  <c r="S53" i="3"/>
  <c r="T53" i="3"/>
  <c r="U53" i="3"/>
  <c r="V53" i="3"/>
  <c r="W53" i="3"/>
  <c r="X53" i="3"/>
  <c r="O54" i="3"/>
  <c r="P54" i="3"/>
  <c r="Q54" i="3"/>
  <c r="R54" i="3"/>
  <c r="S54" i="3"/>
  <c r="T54" i="3"/>
  <c r="U54" i="3"/>
  <c r="V54" i="3"/>
  <c r="W54" i="3"/>
  <c r="X54" i="3"/>
  <c r="O55" i="3"/>
  <c r="P55" i="3"/>
  <c r="Q55" i="3"/>
  <c r="R55" i="3"/>
  <c r="S55" i="3"/>
  <c r="T55" i="3"/>
  <c r="U55" i="3"/>
  <c r="V55" i="3"/>
  <c r="W55" i="3"/>
  <c r="X55" i="3"/>
  <c r="AA53" i="3"/>
  <c r="AA55" i="3"/>
  <c r="AA54" i="3"/>
  <c r="AA52" i="3" l="1"/>
  <c r="X52" i="3"/>
  <c r="W52" i="3"/>
  <c r="V52" i="3"/>
  <c r="U52" i="3"/>
  <c r="T52" i="3"/>
  <c r="S52" i="3"/>
  <c r="R52" i="3"/>
  <c r="Q52" i="3"/>
  <c r="P52" i="3"/>
  <c r="O52" i="3"/>
  <c r="AA51" i="3"/>
  <c r="X51" i="3"/>
  <c r="W51" i="3"/>
  <c r="V51" i="3"/>
  <c r="U51" i="3"/>
  <c r="T51" i="3"/>
  <c r="S51" i="3"/>
  <c r="R51" i="3"/>
  <c r="Q51" i="3"/>
  <c r="P51" i="3"/>
  <c r="O51" i="3"/>
  <c r="AA50" i="3"/>
  <c r="X50" i="3"/>
  <c r="W50" i="3"/>
  <c r="V50" i="3"/>
  <c r="U50" i="3"/>
  <c r="T50" i="3"/>
  <c r="S50" i="3"/>
  <c r="R50" i="3"/>
  <c r="Q50" i="3"/>
  <c r="P50" i="3"/>
  <c r="O50" i="3"/>
  <c r="AA49" i="3"/>
  <c r="X49" i="3"/>
  <c r="W49" i="3"/>
  <c r="V49" i="3"/>
  <c r="U49" i="3"/>
  <c r="T49" i="3"/>
  <c r="S49" i="3"/>
  <c r="R49" i="3"/>
  <c r="Q49" i="3"/>
  <c r="P49" i="3"/>
  <c r="O49" i="3"/>
  <c r="AA48" i="3"/>
  <c r="X48" i="3"/>
  <c r="W48" i="3"/>
  <c r="V48" i="3"/>
  <c r="U48" i="3"/>
  <c r="T48" i="3"/>
  <c r="S48" i="3"/>
  <c r="R48" i="3"/>
  <c r="Q48" i="3"/>
  <c r="P48" i="3"/>
  <c r="O48" i="3"/>
  <c r="AA47" i="3"/>
  <c r="X47" i="3"/>
  <c r="W47" i="3"/>
  <c r="V47" i="3"/>
  <c r="U47" i="3"/>
  <c r="T47" i="3"/>
  <c r="S47" i="3"/>
  <c r="R47" i="3"/>
  <c r="Q47" i="3"/>
  <c r="P47" i="3"/>
  <c r="O47" i="3"/>
  <c r="AA46" i="3"/>
  <c r="X46" i="3"/>
  <c r="W46" i="3"/>
  <c r="V46" i="3"/>
  <c r="U46" i="3"/>
  <c r="T46" i="3"/>
  <c r="S46" i="3"/>
  <c r="R46" i="3"/>
  <c r="Q46" i="3"/>
  <c r="P46" i="3"/>
  <c r="O46" i="3"/>
  <c r="AA45" i="3"/>
  <c r="X45" i="3"/>
  <c r="W45" i="3"/>
  <c r="V45" i="3"/>
  <c r="U45" i="3"/>
  <c r="T45" i="3"/>
  <c r="S45" i="3"/>
  <c r="R45" i="3"/>
  <c r="Q45" i="3"/>
  <c r="P45" i="3"/>
  <c r="O45" i="3"/>
  <c r="AA44" i="3"/>
  <c r="X44" i="3"/>
  <c r="W44" i="3"/>
  <c r="V44" i="3"/>
  <c r="U44" i="3"/>
  <c r="T44" i="3"/>
  <c r="S44" i="3"/>
  <c r="R44" i="3"/>
  <c r="Q44" i="3"/>
  <c r="P44" i="3"/>
  <c r="O44" i="3"/>
  <c r="AA43" i="3"/>
  <c r="X43" i="3"/>
  <c r="W43" i="3"/>
  <c r="V43" i="3"/>
  <c r="U43" i="3"/>
  <c r="T43" i="3"/>
  <c r="S43" i="3"/>
  <c r="R43" i="3"/>
  <c r="Q43" i="3"/>
  <c r="P43" i="3"/>
  <c r="O43" i="3"/>
  <c r="AA42" i="3"/>
  <c r="X42" i="3"/>
  <c r="W42" i="3"/>
  <c r="V42" i="3"/>
  <c r="U42" i="3"/>
  <c r="T42" i="3"/>
  <c r="S42" i="3"/>
  <c r="R42" i="3"/>
  <c r="Q42" i="3"/>
  <c r="P42" i="3"/>
  <c r="O42" i="3"/>
  <c r="O42" i="5"/>
  <c r="P42" i="5"/>
  <c r="Q42" i="5"/>
  <c r="R42" i="5"/>
  <c r="S42" i="5"/>
  <c r="T42" i="5"/>
  <c r="U42" i="5"/>
  <c r="V42" i="5"/>
  <c r="W42" i="5"/>
  <c r="X42" i="5"/>
  <c r="O43" i="5"/>
  <c r="P43" i="5"/>
  <c r="Q43" i="5"/>
  <c r="R43" i="5"/>
  <c r="S43" i="5"/>
  <c r="T43" i="5"/>
  <c r="U43" i="5"/>
  <c r="V43" i="5"/>
  <c r="W43" i="5"/>
  <c r="X43" i="5"/>
  <c r="O44" i="5"/>
  <c r="P44" i="5"/>
  <c r="Q44" i="5"/>
  <c r="R44" i="5"/>
  <c r="S44" i="5"/>
  <c r="T44" i="5"/>
  <c r="U44" i="5"/>
  <c r="V44" i="5"/>
  <c r="W44" i="5"/>
  <c r="X44" i="5"/>
  <c r="O45" i="5"/>
  <c r="P45" i="5"/>
  <c r="Q45" i="5"/>
  <c r="R45" i="5"/>
  <c r="S45" i="5"/>
  <c r="T45" i="5"/>
  <c r="U45" i="5"/>
  <c r="V45" i="5"/>
  <c r="W45" i="5"/>
  <c r="X45" i="5"/>
  <c r="O46" i="5"/>
  <c r="P46" i="5"/>
  <c r="Q46" i="5"/>
  <c r="R46" i="5"/>
  <c r="S46" i="5"/>
  <c r="T46" i="5"/>
  <c r="U46" i="5"/>
  <c r="V46" i="5"/>
  <c r="W46" i="5"/>
  <c r="X46" i="5"/>
  <c r="O47" i="5"/>
  <c r="P47" i="5"/>
  <c r="Q47" i="5"/>
  <c r="R47" i="5"/>
  <c r="S47" i="5"/>
  <c r="T47" i="5"/>
  <c r="U47" i="5"/>
  <c r="V47" i="5"/>
  <c r="W47" i="5"/>
  <c r="X47" i="5"/>
  <c r="O48" i="5"/>
  <c r="P48" i="5"/>
  <c r="Q48" i="5"/>
  <c r="R48" i="5"/>
  <c r="S48" i="5"/>
  <c r="T48" i="5"/>
  <c r="U48" i="5"/>
  <c r="V48" i="5"/>
  <c r="W48" i="5"/>
  <c r="X48" i="5"/>
  <c r="O49" i="5"/>
  <c r="P49" i="5"/>
  <c r="Q49" i="5"/>
  <c r="R49" i="5"/>
  <c r="S49" i="5"/>
  <c r="T49" i="5"/>
  <c r="U49" i="5"/>
  <c r="V49" i="5"/>
  <c r="W49" i="5"/>
  <c r="X49" i="5"/>
  <c r="O50" i="5"/>
  <c r="P50" i="5"/>
  <c r="Q50" i="5"/>
  <c r="R50" i="5"/>
  <c r="S50" i="5"/>
  <c r="T50" i="5"/>
  <c r="U50" i="5"/>
  <c r="V50" i="5"/>
  <c r="W50" i="5"/>
  <c r="X50" i="5"/>
  <c r="O51" i="5"/>
  <c r="P51" i="5"/>
  <c r="Q51" i="5"/>
  <c r="R51" i="5"/>
  <c r="S51" i="5"/>
  <c r="T51" i="5"/>
  <c r="U51" i="5"/>
  <c r="V51" i="5"/>
  <c r="W51" i="5"/>
  <c r="X51" i="5"/>
  <c r="O52" i="5"/>
  <c r="P52" i="5"/>
  <c r="Q52" i="5"/>
  <c r="R52" i="5"/>
  <c r="S52" i="5"/>
  <c r="T52" i="5"/>
  <c r="U52" i="5"/>
  <c r="V52" i="5"/>
  <c r="W52" i="5"/>
  <c r="X52" i="5"/>
  <c r="AD46" i="5" l="1"/>
  <c r="AC46" i="5"/>
  <c r="AC45" i="5"/>
  <c r="AD45" i="5"/>
  <c r="AD50" i="5"/>
  <c r="AC50" i="5"/>
  <c r="AD42" i="5"/>
  <c r="AC42" i="5"/>
  <c r="AC48" i="5"/>
  <c r="AD48" i="5"/>
  <c r="AC44" i="5"/>
  <c r="AD44" i="5"/>
  <c r="AC52" i="5"/>
  <c r="AD52" i="5"/>
  <c r="AC49" i="5"/>
  <c r="AD49" i="5"/>
  <c r="AD51" i="5"/>
  <c r="AC51" i="5"/>
  <c r="AD47" i="5"/>
  <c r="AC47" i="5"/>
  <c r="AD43" i="5"/>
  <c r="AC43" i="5"/>
  <c r="X41" i="3"/>
  <c r="W41" i="3"/>
  <c r="V41" i="3"/>
  <c r="U41" i="3"/>
  <c r="T41" i="3"/>
  <c r="S41" i="3"/>
  <c r="R41" i="3"/>
  <c r="Q41" i="3"/>
  <c r="P41" i="3"/>
  <c r="O41" i="3"/>
  <c r="X40" i="3"/>
  <c r="W40" i="3"/>
  <c r="V40" i="3"/>
  <c r="U40" i="3"/>
  <c r="T40" i="3"/>
  <c r="S40" i="3"/>
  <c r="R40" i="3"/>
  <c r="Q40" i="3"/>
  <c r="P40" i="3"/>
  <c r="O40" i="3"/>
  <c r="X39" i="3"/>
  <c r="W39" i="3"/>
  <c r="V39" i="3"/>
  <c r="U39" i="3"/>
  <c r="T39" i="3"/>
  <c r="S39" i="3"/>
  <c r="R39" i="3"/>
  <c r="Q39" i="3"/>
  <c r="P39" i="3"/>
  <c r="O39" i="3"/>
  <c r="X38" i="3"/>
  <c r="W38" i="3"/>
  <c r="V38" i="3"/>
  <c r="U38" i="3"/>
  <c r="T38" i="3"/>
  <c r="S38" i="3"/>
  <c r="R38" i="3"/>
  <c r="Q38" i="3"/>
  <c r="P38" i="3"/>
  <c r="O38" i="3"/>
  <c r="X37" i="3"/>
  <c r="W37" i="3"/>
  <c r="V37" i="3"/>
  <c r="U37" i="3"/>
  <c r="T37" i="3"/>
  <c r="S37" i="3"/>
  <c r="R37" i="3"/>
  <c r="Q37" i="3"/>
  <c r="P37" i="3"/>
  <c r="O37" i="3"/>
  <c r="AB52" i="5"/>
  <c r="AB51" i="5"/>
  <c r="AB50" i="5"/>
  <c r="AB49" i="5"/>
  <c r="AB48" i="5"/>
  <c r="AB47" i="5"/>
  <c r="AB46" i="5"/>
  <c r="AB45" i="5"/>
  <c r="AB44" i="5"/>
  <c r="AB43" i="5"/>
  <c r="AB42" i="5"/>
  <c r="O37" i="5"/>
  <c r="P37" i="5"/>
  <c r="Q37" i="5"/>
  <c r="R37" i="5"/>
  <c r="S37" i="5"/>
  <c r="T37" i="5"/>
  <c r="U37" i="5"/>
  <c r="V37" i="5"/>
  <c r="W37" i="5"/>
  <c r="X37" i="5"/>
  <c r="O38" i="5"/>
  <c r="P38" i="5"/>
  <c r="Q38" i="5"/>
  <c r="R38" i="5"/>
  <c r="S38" i="5"/>
  <c r="T38" i="5"/>
  <c r="U38" i="5"/>
  <c r="V38" i="5"/>
  <c r="W38" i="5"/>
  <c r="X38" i="5"/>
  <c r="O39" i="5"/>
  <c r="P39" i="5"/>
  <c r="Q39" i="5"/>
  <c r="R39" i="5"/>
  <c r="S39" i="5"/>
  <c r="T39" i="5"/>
  <c r="U39" i="5"/>
  <c r="V39" i="5"/>
  <c r="W39" i="5"/>
  <c r="X39" i="5"/>
  <c r="O40" i="5"/>
  <c r="P40" i="5"/>
  <c r="Q40" i="5"/>
  <c r="R40" i="5"/>
  <c r="S40" i="5"/>
  <c r="T40" i="5"/>
  <c r="U40" i="5"/>
  <c r="V40" i="5"/>
  <c r="W40" i="5"/>
  <c r="X40" i="5"/>
  <c r="O41" i="5"/>
  <c r="P41" i="5"/>
  <c r="Q41" i="5"/>
  <c r="R41" i="5"/>
  <c r="S41" i="5"/>
  <c r="T41" i="5"/>
  <c r="U41" i="5"/>
  <c r="V41" i="5"/>
  <c r="W41" i="5"/>
  <c r="X41" i="5"/>
  <c r="AC37" i="5" l="1"/>
  <c r="AD37" i="5"/>
  <c r="AC38" i="5"/>
  <c r="AD38" i="5"/>
  <c r="AC39" i="5"/>
  <c r="AD39" i="5"/>
  <c r="AC40" i="5"/>
  <c r="AD40" i="5"/>
  <c r="AC41" i="5"/>
  <c r="AD41" i="5"/>
  <c r="AB41" i="5" l="1"/>
  <c r="AB40" i="5"/>
  <c r="AB39" i="5"/>
  <c r="AB38" i="5"/>
  <c r="AB37" i="5"/>
  <c r="AB36" i="5"/>
  <c r="X36" i="5"/>
  <c r="W36" i="5"/>
  <c r="V36" i="5"/>
  <c r="U36" i="5"/>
  <c r="T36" i="5"/>
  <c r="S36" i="5"/>
  <c r="R36" i="5"/>
  <c r="Q36" i="5"/>
  <c r="P36" i="5"/>
  <c r="O36" i="5"/>
  <c r="AB35" i="5"/>
  <c r="X35" i="5"/>
  <c r="W35" i="5"/>
  <c r="V35" i="5"/>
  <c r="U35" i="5"/>
  <c r="T35" i="5"/>
  <c r="S35" i="5"/>
  <c r="R35" i="5"/>
  <c r="Q35" i="5"/>
  <c r="P35" i="5"/>
  <c r="O35" i="5"/>
  <c r="AB34" i="5"/>
  <c r="X34" i="5"/>
  <c r="W34" i="5"/>
  <c r="V34" i="5"/>
  <c r="U34" i="5"/>
  <c r="T34" i="5"/>
  <c r="S34" i="5"/>
  <c r="R34" i="5"/>
  <c r="Q34" i="5"/>
  <c r="P34" i="5"/>
  <c r="O34" i="5"/>
  <c r="AB33" i="5"/>
  <c r="X33" i="5"/>
  <c r="W33" i="5"/>
  <c r="V33" i="5"/>
  <c r="U33" i="5"/>
  <c r="T33" i="5"/>
  <c r="S33" i="5"/>
  <c r="R33" i="5"/>
  <c r="Q33" i="5"/>
  <c r="P33" i="5"/>
  <c r="O33" i="5"/>
  <c r="AB32" i="5"/>
  <c r="X32" i="5"/>
  <c r="W32" i="5"/>
  <c r="V32" i="5"/>
  <c r="U32" i="5"/>
  <c r="T32" i="5"/>
  <c r="S32" i="5"/>
  <c r="R32" i="5"/>
  <c r="Q32" i="5"/>
  <c r="P32" i="5"/>
  <c r="O32" i="5"/>
  <c r="AB31" i="5"/>
  <c r="X31" i="5"/>
  <c r="W31" i="5"/>
  <c r="V31" i="5"/>
  <c r="U31" i="5"/>
  <c r="T31" i="5"/>
  <c r="S31" i="5"/>
  <c r="R31" i="5"/>
  <c r="Q31" i="5"/>
  <c r="P31" i="5"/>
  <c r="O31" i="5"/>
  <c r="AB30" i="5"/>
  <c r="X30" i="5"/>
  <c r="W30" i="5"/>
  <c r="V30" i="5"/>
  <c r="U30" i="5"/>
  <c r="T30" i="5"/>
  <c r="S30" i="5"/>
  <c r="R30" i="5"/>
  <c r="Q30" i="5"/>
  <c r="P30" i="5"/>
  <c r="O30" i="5"/>
  <c r="AB29" i="5"/>
  <c r="X29" i="5"/>
  <c r="W29" i="5"/>
  <c r="V29" i="5"/>
  <c r="U29" i="5"/>
  <c r="T29" i="5"/>
  <c r="S29" i="5"/>
  <c r="R29" i="5"/>
  <c r="Q29" i="5"/>
  <c r="P29" i="5"/>
  <c r="O29" i="5"/>
  <c r="AB28" i="5"/>
  <c r="X28" i="5"/>
  <c r="W28" i="5"/>
  <c r="V28" i="5"/>
  <c r="U28" i="5"/>
  <c r="T28" i="5"/>
  <c r="S28" i="5"/>
  <c r="R28" i="5"/>
  <c r="Q28" i="5"/>
  <c r="P28" i="5"/>
  <c r="O28" i="5"/>
  <c r="AB27" i="5"/>
  <c r="X27" i="5"/>
  <c r="W27" i="5"/>
  <c r="V27" i="5"/>
  <c r="U27" i="5"/>
  <c r="T27" i="5"/>
  <c r="S27" i="5"/>
  <c r="R27" i="5"/>
  <c r="Q27" i="5"/>
  <c r="P27" i="5"/>
  <c r="O27" i="5"/>
  <c r="AB26" i="5"/>
  <c r="X26" i="5"/>
  <c r="W26" i="5"/>
  <c r="V26" i="5"/>
  <c r="U26" i="5"/>
  <c r="T26" i="5"/>
  <c r="S26" i="5"/>
  <c r="R26" i="5"/>
  <c r="Q26" i="5"/>
  <c r="P26" i="5"/>
  <c r="O26" i="5"/>
  <c r="AB25" i="5"/>
  <c r="X25" i="5"/>
  <c r="W25" i="5"/>
  <c r="V25" i="5"/>
  <c r="U25" i="5"/>
  <c r="T25" i="5"/>
  <c r="S25" i="5"/>
  <c r="R25" i="5"/>
  <c r="Q25" i="5"/>
  <c r="P25" i="5"/>
  <c r="O25" i="5"/>
  <c r="AB24" i="5"/>
  <c r="X24" i="5"/>
  <c r="W24" i="5"/>
  <c r="V24" i="5"/>
  <c r="U24" i="5"/>
  <c r="T24" i="5"/>
  <c r="S24" i="5"/>
  <c r="R24" i="5"/>
  <c r="Q24" i="5"/>
  <c r="P24" i="5"/>
  <c r="O24" i="5"/>
  <c r="AB23" i="5"/>
  <c r="X23" i="5"/>
  <c r="W23" i="5"/>
  <c r="V23" i="5"/>
  <c r="U23" i="5"/>
  <c r="T23" i="5"/>
  <c r="S23" i="5"/>
  <c r="R23" i="5"/>
  <c r="Q23" i="5"/>
  <c r="P23" i="5"/>
  <c r="O23" i="5"/>
  <c r="AB22" i="5"/>
  <c r="X22" i="5"/>
  <c r="W22" i="5"/>
  <c r="V22" i="5"/>
  <c r="U22" i="5"/>
  <c r="T22" i="5"/>
  <c r="S22" i="5"/>
  <c r="R22" i="5"/>
  <c r="Q22" i="5"/>
  <c r="P22" i="5"/>
  <c r="O22" i="5"/>
  <c r="AB21" i="5"/>
  <c r="X21" i="5"/>
  <c r="W21" i="5"/>
  <c r="V21" i="5"/>
  <c r="U21" i="5"/>
  <c r="T21" i="5"/>
  <c r="S21" i="5"/>
  <c r="R21" i="5"/>
  <c r="Q21" i="5"/>
  <c r="P21" i="5"/>
  <c r="O21" i="5"/>
  <c r="AB20" i="5"/>
  <c r="X20" i="5"/>
  <c r="W20" i="5"/>
  <c r="V20" i="5"/>
  <c r="U20" i="5"/>
  <c r="T20" i="5"/>
  <c r="S20" i="5"/>
  <c r="R20" i="5"/>
  <c r="Q20" i="5"/>
  <c r="P20" i="5"/>
  <c r="O20" i="5"/>
  <c r="AB19" i="5"/>
  <c r="X19" i="5"/>
  <c r="W19" i="5"/>
  <c r="V19" i="5"/>
  <c r="U19" i="5"/>
  <c r="T19" i="5"/>
  <c r="S19" i="5"/>
  <c r="R19" i="5"/>
  <c r="Q19" i="5"/>
  <c r="P19" i="5"/>
  <c r="O19" i="5"/>
  <c r="AB18" i="5"/>
  <c r="X18" i="5"/>
  <c r="W18" i="5"/>
  <c r="V18" i="5"/>
  <c r="U18" i="5"/>
  <c r="T18" i="5"/>
  <c r="S18" i="5"/>
  <c r="R18" i="5"/>
  <c r="Q18" i="5"/>
  <c r="P18" i="5"/>
  <c r="O18" i="5"/>
  <c r="AB17" i="5"/>
  <c r="X17" i="5"/>
  <c r="W17" i="5"/>
  <c r="V17" i="5"/>
  <c r="U17" i="5"/>
  <c r="T17" i="5"/>
  <c r="S17" i="5"/>
  <c r="R17" i="5"/>
  <c r="Q17" i="5"/>
  <c r="P17" i="5"/>
  <c r="O17" i="5"/>
  <c r="AB16" i="5"/>
  <c r="X16" i="5"/>
  <c r="W16" i="5"/>
  <c r="V16" i="5"/>
  <c r="U16" i="5"/>
  <c r="T16" i="5"/>
  <c r="S16" i="5"/>
  <c r="R16" i="5"/>
  <c r="Q16" i="5"/>
  <c r="P16" i="5"/>
  <c r="O16" i="5"/>
  <c r="AB15" i="5"/>
  <c r="X15" i="5"/>
  <c r="W15" i="5"/>
  <c r="V15" i="5"/>
  <c r="U15" i="5"/>
  <c r="T15" i="5"/>
  <c r="S15" i="5"/>
  <c r="R15" i="5"/>
  <c r="Q15" i="5"/>
  <c r="P15" i="5"/>
  <c r="O15" i="5"/>
  <c r="AB14" i="5"/>
  <c r="X14" i="5"/>
  <c r="W14" i="5"/>
  <c r="V14" i="5"/>
  <c r="U14" i="5"/>
  <c r="T14" i="5"/>
  <c r="S14" i="5"/>
  <c r="R14" i="5"/>
  <c r="Q14" i="5"/>
  <c r="P14" i="5"/>
  <c r="O14" i="5"/>
  <c r="AB13" i="5"/>
  <c r="X13" i="5"/>
  <c r="W13" i="5"/>
  <c r="V13" i="5"/>
  <c r="U13" i="5"/>
  <c r="T13" i="5"/>
  <c r="S13" i="5"/>
  <c r="R13" i="5"/>
  <c r="Q13" i="5"/>
  <c r="P13" i="5"/>
  <c r="O13" i="5"/>
  <c r="AB12" i="5"/>
  <c r="X12" i="5"/>
  <c r="W12" i="5"/>
  <c r="V12" i="5"/>
  <c r="U12" i="5"/>
  <c r="T12" i="5"/>
  <c r="S12" i="5"/>
  <c r="R12" i="5"/>
  <c r="Q12" i="5"/>
  <c r="P12" i="5"/>
  <c r="O12" i="5"/>
  <c r="AB11" i="5"/>
  <c r="X11" i="5"/>
  <c r="W11" i="5"/>
  <c r="V11" i="5"/>
  <c r="U11" i="5"/>
  <c r="T11" i="5"/>
  <c r="S11" i="5"/>
  <c r="R11" i="5"/>
  <c r="Q11" i="5"/>
  <c r="P11" i="5"/>
  <c r="O11" i="5"/>
  <c r="AB10" i="5"/>
  <c r="X10" i="5"/>
  <c r="W10" i="5"/>
  <c r="V10" i="5"/>
  <c r="U10" i="5"/>
  <c r="T10" i="5"/>
  <c r="S10" i="5"/>
  <c r="R10" i="5"/>
  <c r="Q10" i="5"/>
  <c r="P10" i="5"/>
  <c r="O10" i="5"/>
  <c r="AB9" i="5"/>
  <c r="X9" i="5"/>
  <c r="W9" i="5"/>
  <c r="V9" i="5"/>
  <c r="U9" i="5"/>
  <c r="T9" i="5"/>
  <c r="S9" i="5"/>
  <c r="R9" i="5"/>
  <c r="Q9" i="5"/>
  <c r="P9" i="5"/>
  <c r="O9" i="5"/>
  <c r="AB8" i="5"/>
  <c r="X8" i="5"/>
  <c r="W8" i="5"/>
  <c r="V8" i="5"/>
  <c r="U8" i="5"/>
  <c r="T8" i="5"/>
  <c r="S8" i="5"/>
  <c r="R8" i="5"/>
  <c r="Q8" i="5"/>
  <c r="P8" i="5"/>
  <c r="O8" i="5"/>
  <c r="AB7" i="5"/>
  <c r="X7" i="5"/>
  <c r="W7" i="5"/>
  <c r="V7" i="5"/>
  <c r="U7" i="5"/>
  <c r="T7" i="5"/>
  <c r="S7" i="5"/>
  <c r="R7" i="5"/>
  <c r="Q7" i="5"/>
  <c r="P7" i="5"/>
  <c r="O7" i="5"/>
  <c r="AB6" i="5"/>
  <c r="X6" i="5"/>
  <c r="W6" i="5"/>
  <c r="V6" i="5"/>
  <c r="U6" i="5"/>
  <c r="T6" i="5"/>
  <c r="S6" i="5"/>
  <c r="R6" i="5"/>
  <c r="Q6" i="5"/>
  <c r="P6" i="5"/>
  <c r="O6" i="5"/>
  <c r="AB5" i="5"/>
  <c r="X5" i="5"/>
  <c r="W5" i="5"/>
  <c r="V5" i="5"/>
  <c r="U5" i="5"/>
  <c r="T5" i="5"/>
  <c r="S5" i="5"/>
  <c r="R5" i="5"/>
  <c r="Q5" i="5"/>
  <c r="P5" i="5"/>
  <c r="O5" i="5"/>
  <c r="AB4" i="5"/>
  <c r="X4" i="5"/>
  <c r="W4" i="5"/>
  <c r="V4" i="5"/>
  <c r="U4" i="5"/>
  <c r="T4" i="5"/>
  <c r="S4" i="5"/>
  <c r="R4" i="5"/>
  <c r="Q4" i="5"/>
  <c r="P4" i="5"/>
  <c r="O4" i="5"/>
  <c r="AB3" i="5"/>
  <c r="X3" i="5"/>
  <c r="W3" i="5"/>
  <c r="V3" i="5"/>
  <c r="U3" i="5"/>
  <c r="T3" i="5"/>
  <c r="S3" i="5"/>
  <c r="R3" i="5"/>
  <c r="Q3" i="5"/>
  <c r="P3" i="5"/>
  <c r="O3" i="5"/>
  <c r="AB2" i="5"/>
  <c r="X2" i="5"/>
  <c r="W2" i="5"/>
  <c r="V2" i="5"/>
  <c r="U2" i="5"/>
  <c r="T2" i="5"/>
  <c r="S2" i="5"/>
  <c r="R2" i="5"/>
  <c r="Q2" i="5"/>
  <c r="P2" i="5"/>
  <c r="O2" i="5"/>
  <c r="AC4" i="5" l="1"/>
  <c r="AD4" i="5"/>
  <c r="AD2" i="5"/>
  <c r="AC2" i="5"/>
  <c r="AC6" i="5"/>
  <c r="AD6" i="5"/>
  <c r="AC14" i="5"/>
  <c r="AD14" i="5"/>
  <c r="AC18" i="5"/>
  <c r="AD18" i="5"/>
  <c r="AC22" i="5"/>
  <c r="AD22" i="5"/>
  <c r="AC26" i="5"/>
  <c r="AD26" i="5"/>
  <c r="AC30" i="5"/>
  <c r="AD30" i="5"/>
  <c r="AC34" i="5"/>
  <c r="AD34" i="5"/>
  <c r="AC8" i="5"/>
  <c r="AD8" i="5"/>
  <c r="AC10" i="5"/>
  <c r="AD10" i="5"/>
  <c r="AC5" i="5"/>
  <c r="AD5" i="5"/>
  <c r="AC9" i="5"/>
  <c r="AD9" i="5"/>
  <c r="AC13" i="5"/>
  <c r="AD13" i="5"/>
  <c r="AC17" i="5"/>
  <c r="AD17" i="5"/>
  <c r="AC21" i="5"/>
  <c r="AD21" i="5"/>
  <c r="AC25" i="5"/>
  <c r="AD25" i="5"/>
  <c r="AC29" i="5"/>
  <c r="AD29" i="5"/>
  <c r="AC33" i="5"/>
  <c r="AD33" i="5"/>
  <c r="AC20" i="5"/>
  <c r="AD20" i="5"/>
  <c r="AC24" i="5"/>
  <c r="AD24" i="5"/>
  <c r="AC28" i="5"/>
  <c r="AD28" i="5"/>
  <c r="AC32" i="5"/>
  <c r="AD32" i="5"/>
  <c r="AC36" i="5"/>
  <c r="AD36" i="5"/>
  <c r="AC12" i="5"/>
  <c r="AD12" i="5"/>
  <c r="AC16" i="5"/>
  <c r="AD16" i="5"/>
  <c r="AC3" i="5"/>
  <c r="AD3" i="5"/>
  <c r="AC7" i="5"/>
  <c r="AD7" i="5"/>
  <c r="AC11" i="5"/>
  <c r="AD11" i="5"/>
  <c r="AC15" i="5"/>
  <c r="AD15" i="5"/>
  <c r="AC19" i="5"/>
  <c r="AD19" i="5"/>
  <c r="AC23" i="5"/>
  <c r="AD23" i="5"/>
  <c r="AC27" i="5"/>
  <c r="AD27" i="5"/>
  <c r="AC31" i="5"/>
  <c r="AD31" i="5"/>
  <c r="AC35" i="5"/>
  <c r="AD35" i="5"/>
  <c r="O27" i="3"/>
  <c r="P27" i="3"/>
  <c r="Q27" i="3"/>
  <c r="R27" i="3"/>
  <c r="S27" i="3"/>
  <c r="T27" i="3"/>
  <c r="U27" i="3"/>
  <c r="V27" i="3"/>
  <c r="W27" i="3"/>
  <c r="X27" i="3"/>
  <c r="O28" i="3"/>
  <c r="P28" i="3"/>
  <c r="Q28" i="3"/>
  <c r="R28" i="3"/>
  <c r="S28" i="3"/>
  <c r="T28" i="3"/>
  <c r="U28" i="3"/>
  <c r="V28" i="3"/>
  <c r="W28" i="3"/>
  <c r="X28" i="3"/>
  <c r="O29" i="3"/>
  <c r="P29" i="3"/>
  <c r="Q29" i="3"/>
  <c r="R29" i="3"/>
  <c r="S29" i="3"/>
  <c r="T29" i="3"/>
  <c r="U29" i="3"/>
  <c r="V29" i="3"/>
  <c r="W29" i="3"/>
  <c r="X29" i="3"/>
  <c r="O30" i="3"/>
  <c r="P30" i="3"/>
  <c r="Q30" i="3"/>
  <c r="R30" i="3"/>
  <c r="S30" i="3"/>
  <c r="T30" i="3"/>
  <c r="U30" i="3"/>
  <c r="V30" i="3"/>
  <c r="W30" i="3"/>
  <c r="X30" i="3"/>
  <c r="O31" i="3"/>
  <c r="P31" i="3"/>
  <c r="Q31" i="3"/>
  <c r="R31" i="3"/>
  <c r="S31" i="3"/>
  <c r="T31" i="3"/>
  <c r="U31" i="3"/>
  <c r="V31" i="3"/>
  <c r="W31" i="3"/>
  <c r="X31" i="3"/>
  <c r="O32" i="3"/>
  <c r="P32" i="3"/>
  <c r="Q32" i="3"/>
  <c r="R32" i="3"/>
  <c r="S32" i="3"/>
  <c r="T32" i="3"/>
  <c r="U32" i="3"/>
  <c r="V32" i="3"/>
  <c r="W32" i="3"/>
  <c r="X32" i="3"/>
  <c r="O33" i="3"/>
  <c r="P33" i="3"/>
  <c r="Q33" i="3"/>
  <c r="R33" i="3"/>
  <c r="S33" i="3"/>
  <c r="T33" i="3"/>
  <c r="U33" i="3"/>
  <c r="V33" i="3"/>
  <c r="W33" i="3"/>
  <c r="X33" i="3"/>
  <c r="O34" i="3"/>
  <c r="P34" i="3"/>
  <c r="Q34" i="3"/>
  <c r="R34" i="3"/>
  <c r="S34" i="3"/>
  <c r="T34" i="3"/>
  <c r="U34" i="3"/>
  <c r="V34" i="3"/>
  <c r="W34" i="3"/>
  <c r="X34" i="3"/>
  <c r="O35" i="3"/>
  <c r="P35" i="3"/>
  <c r="Q35" i="3"/>
  <c r="R35" i="3"/>
  <c r="S35" i="3"/>
  <c r="T35" i="3"/>
  <c r="U35" i="3"/>
  <c r="V35" i="3"/>
  <c r="W35" i="3"/>
  <c r="X35" i="3"/>
  <c r="O36" i="3"/>
  <c r="P36" i="3"/>
  <c r="Q36" i="3"/>
  <c r="R36" i="3"/>
  <c r="S36" i="3"/>
  <c r="T36" i="3"/>
  <c r="U36" i="3"/>
  <c r="V36" i="3"/>
  <c r="W36" i="3"/>
  <c r="X36" i="3"/>
  <c r="AA36" i="3" l="1"/>
  <c r="AA35" i="3"/>
  <c r="AA34" i="3"/>
  <c r="AA33" i="3"/>
  <c r="AA32" i="3"/>
  <c r="AA31" i="3"/>
  <c r="AA30" i="3"/>
  <c r="AA29" i="3"/>
  <c r="AA28" i="3"/>
  <c r="AA27" i="3"/>
  <c r="O18" i="3"/>
  <c r="P18" i="3"/>
  <c r="Q18" i="3"/>
  <c r="R18" i="3"/>
  <c r="S18" i="3"/>
  <c r="T18" i="3"/>
  <c r="U18" i="3"/>
  <c r="V18" i="3"/>
  <c r="W18" i="3"/>
  <c r="X18" i="3"/>
  <c r="O19" i="3"/>
  <c r="P19" i="3"/>
  <c r="Q19" i="3"/>
  <c r="R19" i="3"/>
  <c r="S19" i="3"/>
  <c r="T19" i="3"/>
  <c r="U19" i="3"/>
  <c r="V19" i="3"/>
  <c r="W19" i="3"/>
  <c r="X19" i="3"/>
  <c r="O20" i="3"/>
  <c r="P20" i="3"/>
  <c r="Q20" i="3"/>
  <c r="R20" i="3"/>
  <c r="S20" i="3"/>
  <c r="T20" i="3"/>
  <c r="U20" i="3"/>
  <c r="V20" i="3"/>
  <c r="W20" i="3"/>
  <c r="X20" i="3"/>
  <c r="O21" i="3"/>
  <c r="P21" i="3"/>
  <c r="Q21" i="3"/>
  <c r="R21" i="3"/>
  <c r="S21" i="3"/>
  <c r="T21" i="3"/>
  <c r="U21" i="3"/>
  <c r="V21" i="3"/>
  <c r="W21" i="3"/>
  <c r="X21" i="3"/>
  <c r="O22" i="3"/>
  <c r="P22" i="3"/>
  <c r="Q22" i="3"/>
  <c r="R22" i="3"/>
  <c r="S22" i="3"/>
  <c r="T22" i="3"/>
  <c r="U22" i="3"/>
  <c r="V22" i="3"/>
  <c r="W22" i="3"/>
  <c r="X22" i="3"/>
  <c r="O23" i="3"/>
  <c r="P23" i="3"/>
  <c r="Q23" i="3"/>
  <c r="R23" i="3"/>
  <c r="S23" i="3"/>
  <c r="T23" i="3"/>
  <c r="U23" i="3"/>
  <c r="V23" i="3"/>
  <c r="W23" i="3"/>
  <c r="X23" i="3"/>
  <c r="O24" i="3"/>
  <c r="P24" i="3"/>
  <c r="Q24" i="3"/>
  <c r="R24" i="3"/>
  <c r="S24" i="3"/>
  <c r="T24" i="3"/>
  <c r="U24" i="3"/>
  <c r="V24" i="3"/>
  <c r="W24" i="3"/>
  <c r="X24" i="3"/>
  <c r="O25" i="3"/>
  <c r="P25" i="3"/>
  <c r="Q25" i="3"/>
  <c r="R25" i="3"/>
  <c r="S25" i="3"/>
  <c r="T25" i="3"/>
  <c r="U25" i="3"/>
  <c r="V25" i="3"/>
  <c r="W25" i="3"/>
  <c r="X25" i="3"/>
  <c r="O26" i="3"/>
  <c r="P26" i="3"/>
  <c r="Q26" i="3"/>
  <c r="R26" i="3"/>
  <c r="S26" i="3"/>
  <c r="T26" i="3"/>
  <c r="U26" i="3"/>
  <c r="V26" i="3"/>
  <c r="W26" i="3"/>
  <c r="X26" i="3"/>
  <c r="AA26" i="3"/>
  <c r="O15" i="3"/>
  <c r="P15" i="3"/>
  <c r="Q15" i="3"/>
  <c r="R15" i="3"/>
  <c r="S15" i="3"/>
  <c r="T15" i="3"/>
  <c r="U15" i="3"/>
  <c r="V15" i="3"/>
  <c r="W15" i="3"/>
  <c r="X15" i="3"/>
  <c r="O16" i="3"/>
  <c r="P16" i="3"/>
  <c r="Q16" i="3"/>
  <c r="R16" i="3"/>
  <c r="S16" i="3"/>
  <c r="T16" i="3"/>
  <c r="U16" i="3"/>
  <c r="V16" i="3"/>
  <c r="W16" i="3"/>
  <c r="X16" i="3"/>
  <c r="O17" i="3"/>
  <c r="P17" i="3"/>
  <c r="Q17" i="3"/>
  <c r="R17" i="3"/>
  <c r="S17" i="3"/>
  <c r="T17" i="3"/>
  <c r="U17" i="3"/>
  <c r="V17" i="3"/>
  <c r="W17" i="3"/>
  <c r="X17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X14" i="3"/>
  <c r="W14" i="3"/>
  <c r="V14" i="3"/>
  <c r="U14" i="3"/>
  <c r="T14" i="3"/>
  <c r="S14" i="3"/>
  <c r="R14" i="3"/>
  <c r="Q14" i="3"/>
  <c r="Q4" i="3"/>
  <c r="R4" i="3"/>
  <c r="S4" i="3"/>
  <c r="T4" i="3"/>
  <c r="U4" i="3"/>
  <c r="V4" i="3"/>
  <c r="W4" i="3"/>
  <c r="X4" i="3"/>
  <c r="Q5" i="3"/>
  <c r="R5" i="3"/>
  <c r="S5" i="3"/>
  <c r="T5" i="3"/>
  <c r="U5" i="3"/>
  <c r="V5" i="3"/>
  <c r="W5" i="3"/>
  <c r="X5" i="3"/>
  <c r="Q6" i="3"/>
  <c r="R6" i="3"/>
  <c r="S6" i="3"/>
  <c r="T6" i="3"/>
  <c r="U6" i="3"/>
  <c r="V6" i="3"/>
  <c r="W6" i="3"/>
  <c r="X6" i="3"/>
  <c r="Q7" i="3"/>
  <c r="R7" i="3"/>
  <c r="S7" i="3"/>
  <c r="T7" i="3"/>
  <c r="U7" i="3"/>
  <c r="V7" i="3"/>
  <c r="W7" i="3"/>
  <c r="X7" i="3"/>
  <c r="Q8" i="3"/>
  <c r="R8" i="3"/>
  <c r="S8" i="3"/>
  <c r="T8" i="3"/>
  <c r="U8" i="3"/>
  <c r="V8" i="3"/>
  <c r="W8" i="3"/>
  <c r="X8" i="3"/>
  <c r="Q9" i="3"/>
  <c r="R9" i="3"/>
  <c r="S9" i="3"/>
  <c r="T9" i="3"/>
  <c r="U9" i="3"/>
  <c r="V9" i="3"/>
  <c r="W9" i="3"/>
  <c r="X9" i="3"/>
  <c r="Q10" i="3"/>
  <c r="R10" i="3"/>
  <c r="S10" i="3"/>
  <c r="T10" i="3"/>
  <c r="U10" i="3"/>
  <c r="V10" i="3"/>
  <c r="W10" i="3"/>
  <c r="X10" i="3"/>
  <c r="Q11" i="3"/>
  <c r="R11" i="3"/>
  <c r="S11" i="3"/>
  <c r="T11" i="3"/>
  <c r="U11" i="3"/>
  <c r="V11" i="3"/>
  <c r="W11" i="3"/>
  <c r="X11" i="3"/>
  <c r="Q12" i="3"/>
  <c r="R12" i="3"/>
  <c r="S12" i="3"/>
  <c r="T12" i="3"/>
  <c r="U12" i="3"/>
  <c r="V12" i="3"/>
  <c r="W12" i="3"/>
  <c r="X12" i="3"/>
  <c r="Q13" i="3"/>
  <c r="R13" i="3"/>
  <c r="S13" i="3"/>
  <c r="T13" i="3"/>
  <c r="U13" i="3"/>
  <c r="V13" i="3"/>
  <c r="W13" i="3"/>
  <c r="X13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AA3" i="3"/>
  <c r="U3" i="3"/>
  <c r="V3" i="3"/>
  <c r="W3" i="3"/>
  <c r="X3" i="3"/>
  <c r="V2" i="3"/>
  <c r="W2" i="3"/>
  <c r="X2" i="3"/>
  <c r="U2" i="3"/>
  <c r="Q3" i="3"/>
  <c r="R3" i="3"/>
  <c r="S3" i="3"/>
  <c r="T3" i="3"/>
  <c r="AA2" i="3"/>
  <c r="R2" i="3"/>
  <c r="S2" i="3"/>
  <c r="T2" i="3"/>
  <c r="Q2" i="3"/>
  <c r="O3" i="3"/>
  <c r="P3" i="3"/>
  <c r="O4" i="3"/>
  <c r="P4" i="3"/>
  <c r="O5" i="3"/>
  <c r="P5" i="3"/>
  <c r="O6" i="3"/>
  <c r="P6" i="3"/>
  <c r="P2" i="3"/>
  <c r="O2" i="3"/>
  <c r="AF1" i="5" l="1"/>
  <c r="AG1" i="5"/>
</calcChain>
</file>

<file path=xl/sharedStrings.xml><?xml version="1.0" encoding="utf-8"?>
<sst xmlns="http://schemas.openxmlformats.org/spreadsheetml/2006/main" count="3793" uniqueCount="439">
  <si>
    <t>date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</si>
  <si>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</si>
  <si>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</si>
  <si>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</si>
  <si>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</si>
  <si>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</si>
  <si>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</si>
  <si>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</si>
  <si>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</si>
  <si>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</si>
  <si>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</si>
  <si>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</si>
  <si>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</si>
  <si>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</si>
  <si>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</si>
  <si>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</si>
  <si>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</si>
  <si>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</si>
  <si>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</si>
  <si>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</si>
  <si>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</si>
  <si>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</si>
  <si>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</si>
  <si>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</si>
  <si>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aot</t>
    <phoneticPr fontId="1" type="noConversion"/>
  </si>
  <si>
    <t>LAC</t>
    <phoneticPr fontId="1" type="noConversion"/>
  </si>
  <si>
    <t>LAL</t>
    <phoneticPr fontId="1" type="noConversion"/>
  </si>
  <si>
    <t>NO</t>
    <phoneticPr fontId="1" type="noConversion"/>
  </si>
  <si>
    <t>TOR</t>
    <phoneticPr fontId="1" type="noConversion"/>
  </si>
  <si>
    <t>MIN</t>
    <phoneticPr fontId="1" type="noConversion"/>
  </si>
  <si>
    <t>BKN</t>
    <phoneticPr fontId="1" type="noConversion"/>
  </si>
  <si>
    <t>CHA</t>
    <phoneticPr fontId="1" type="noConversion"/>
  </si>
  <si>
    <t>CHI</t>
    <phoneticPr fontId="1" type="noConversion"/>
  </si>
  <si>
    <t>DAL</t>
    <phoneticPr fontId="1" type="noConversion"/>
  </si>
  <si>
    <t>WAS</t>
    <phoneticPr fontId="1" type="noConversion"/>
  </si>
  <si>
    <t>IND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</si>
  <si>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</si>
  <si>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</si>
  <si>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</si>
  <si>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ORL</t>
    <phoneticPr fontId="1" type="noConversion"/>
  </si>
  <si>
    <t>CLE</t>
    <phoneticPr fontId="1" type="noConversion"/>
  </si>
  <si>
    <t>PHI</t>
    <phoneticPr fontId="1" type="noConversion"/>
  </si>
  <si>
    <t>BOS</t>
    <phoneticPr fontId="1" type="noConversion"/>
  </si>
  <si>
    <t>PHO</t>
    <phoneticPr fontId="1" type="noConversion"/>
  </si>
  <si>
    <t>SAC</t>
    <phoneticPr fontId="1" type="noConversion"/>
  </si>
  <si>
    <t>POR</t>
    <phoneticPr fontId="1" type="noConversion"/>
  </si>
  <si>
    <t>DEN</t>
    <phoneticPr fontId="1" type="noConversion"/>
  </si>
  <si>
    <t>NYK</t>
    <phoneticPr fontId="1" type="noConversion"/>
  </si>
  <si>
    <t>UTA</t>
    <phoneticPr fontId="1" type="noConversion"/>
  </si>
  <si>
    <t>OKC</t>
    <phoneticPr fontId="1" type="noConversion"/>
  </si>
  <si>
    <t>ATL</t>
    <phoneticPr fontId="1" type="noConversion"/>
  </si>
  <si>
    <t>GS</t>
    <phoneticPr fontId="1" type="noConversion"/>
  </si>
  <si>
    <t>HOU</t>
    <phoneticPr fontId="1" type="noConversion"/>
  </si>
  <si>
    <t>MIL</t>
    <phoneticPr fontId="1" type="noConversion"/>
  </si>
  <si>
    <t>NY</t>
    <phoneticPr fontId="1" type="noConversion"/>
  </si>
  <si>
    <t>gametime</t>
    <phoneticPr fontId="1" type="noConversion"/>
  </si>
  <si>
    <t>SAS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</si>
  <si>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</si>
  <si>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</si>
  <si>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</si>
  <si>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BKN</t>
    <phoneticPr fontId="1" type="noConversion"/>
  </si>
  <si>
    <t>DAL</t>
    <phoneticPr fontId="1" type="noConversion"/>
  </si>
  <si>
    <t>POR</t>
    <phoneticPr fontId="1" type="noConversion"/>
  </si>
  <si>
    <t>MIN</t>
    <phoneticPr fontId="1" type="noConversion"/>
  </si>
  <si>
    <t>MIA</t>
    <phoneticPr fontId="1" type="noConversion"/>
  </si>
  <si>
    <t>LAL</t>
    <phoneticPr fontId="1" type="noConversion"/>
  </si>
  <si>
    <t>CHA</t>
    <phoneticPr fontId="1" type="noConversion"/>
  </si>
  <si>
    <t>home/away</t>
    <phoneticPr fontId="1" type="noConversion"/>
  </si>
  <si>
    <t>DET</t>
    <phoneticPr fontId="1" type="noConversion"/>
  </si>
  <si>
    <t>IND</t>
    <phoneticPr fontId="1" type="noConversion"/>
  </si>
  <si>
    <t>NY</t>
    <phoneticPr fontId="1" type="noConversion"/>
  </si>
  <si>
    <t>CHI</t>
    <phoneticPr fontId="1" type="noConversion"/>
  </si>
  <si>
    <t>PHI</t>
    <phoneticPr fontId="1" type="noConversion"/>
  </si>
  <si>
    <t>ATL</t>
    <phoneticPr fontId="1" type="noConversion"/>
  </si>
  <si>
    <t>TOR</t>
    <phoneticPr fontId="1" type="noConversion"/>
  </si>
  <si>
    <t>ORL</t>
    <phoneticPr fontId="1" type="noConversion"/>
  </si>
  <si>
    <t>NO</t>
    <phoneticPr fontId="1" type="noConversion"/>
  </si>
  <si>
    <t>GS</t>
    <phoneticPr fontId="1" type="noConversion"/>
  </si>
  <si>
    <t>HOU</t>
    <phoneticPr fontId="1" type="noConversion"/>
  </si>
  <si>
    <t>OKC</t>
    <phoneticPr fontId="1" type="noConversion"/>
  </si>
  <si>
    <t>MIL</t>
    <phoneticPr fontId="1" type="noConversion"/>
  </si>
  <si>
    <t>CLE</t>
    <phoneticPr fontId="1" type="noConversion"/>
  </si>
  <si>
    <t>SAS</t>
    <phoneticPr fontId="1" type="noConversion"/>
  </si>
  <si>
    <t>POR</t>
    <phoneticPr fontId="1" type="noConversion"/>
  </si>
  <si>
    <t>PHO</t>
    <phoneticPr fontId="1" type="noConversion"/>
  </si>
  <si>
    <t>UTA</t>
    <phoneticPr fontId="1" type="noConversion"/>
  </si>
  <si>
    <t>SAC</t>
    <phoneticPr fontId="1" type="noConversion"/>
  </si>
  <si>
    <t>DEN</t>
    <phoneticPr fontId="1" type="noConversion"/>
  </si>
  <si>
    <t>LAC</t>
    <phoneticPr fontId="1" type="noConversion"/>
  </si>
  <si>
    <t>CHA</t>
    <phoneticPr fontId="1" type="noConversion"/>
  </si>
  <si>
    <t>OKC/GS</t>
  </si>
  <si>
    <t>MEM/BKN</t>
  </si>
  <si>
    <t>DAL/POR</t>
  </si>
  <si>
    <t>MIN/MIA</t>
  </si>
  <si>
    <t>LAL/CHA</t>
  </si>
  <si>
    <t>MIA</t>
    <phoneticPr fontId="1" type="noConversion"/>
  </si>
  <si>
    <t>ATL</t>
    <phoneticPr fontId="1" type="noConversion"/>
  </si>
  <si>
    <t>DEN</t>
    <phoneticPr fontId="1" type="noConversion"/>
  </si>
  <si>
    <t>DAL</t>
    <phoneticPr fontId="1" type="noConversion"/>
  </si>
  <si>
    <t>LAL</t>
    <phoneticPr fontId="1" type="noConversion"/>
  </si>
  <si>
    <t>MEM</t>
    <phoneticPr fontId="1" type="noConversion"/>
  </si>
  <si>
    <t>CHI</t>
    <phoneticPr fontId="1" type="noConversion"/>
  </si>
  <si>
    <t>ORL</t>
    <phoneticPr fontId="1" type="noConversion"/>
  </si>
  <si>
    <t>NYK</t>
    <phoneticPr fontId="1" type="noConversion"/>
  </si>
  <si>
    <t>PHI</t>
    <phoneticPr fontId="1" type="noConversion"/>
  </si>
  <si>
    <t>MIN</t>
    <phoneticPr fontId="1" type="noConversion"/>
  </si>
  <si>
    <t>BOS</t>
    <phoneticPr fontId="1" type="noConversion"/>
  </si>
  <si>
    <t>MIL</t>
    <phoneticPr fontId="1" type="noConversion"/>
  </si>
  <si>
    <t>BKN</t>
    <phoneticPr fontId="1" type="noConversion"/>
  </si>
  <si>
    <t>IND</t>
    <phoneticPr fontId="1" type="noConversion"/>
  </si>
  <si>
    <t>TOR</t>
    <phoneticPr fontId="1" type="noConversion"/>
  </si>
  <si>
    <t>DET</t>
    <phoneticPr fontId="1" type="noConversion"/>
  </si>
  <si>
    <t>OKC</t>
    <phoneticPr fontId="1" type="noConversion"/>
  </si>
  <si>
    <t>POR</t>
    <phoneticPr fontId="1" type="noConversion"/>
  </si>
  <si>
    <t>WAS</t>
    <phoneticPr fontId="1" type="noConversion"/>
  </si>
  <si>
    <t>HOU</t>
    <phoneticPr fontId="1" type="noConversion"/>
  </si>
  <si>
    <t>SAC</t>
    <phoneticPr fontId="1" type="noConversion"/>
  </si>
  <si>
    <t>CHA</t>
    <phoneticPr fontId="1" type="noConversion"/>
  </si>
  <si>
    <t>UTA</t>
    <phoneticPr fontId="1" type="noConversion"/>
  </si>
  <si>
    <t>LAC</t>
    <phoneticPr fontId="1" type="noConversion"/>
  </si>
  <si>
    <t>GS</t>
    <phoneticPr fontId="1" type="noConversion"/>
  </si>
  <si>
    <t>PHO</t>
    <phoneticPr fontId="1" type="noConversion"/>
  </si>
  <si>
    <t>ATL</t>
    <phoneticPr fontId="1" type="noConversion"/>
  </si>
  <si>
    <t>MIA</t>
    <phoneticPr fontId="1" type="noConversion"/>
  </si>
  <si>
    <t>NO</t>
    <phoneticPr fontId="1" type="noConversion"/>
  </si>
  <si>
    <t>DEN</t>
    <phoneticPr fontId="1" type="noConversion"/>
  </si>
  <si>
    <t>LAC</t>
    <phoneticPr fontId="1" type="noConversion"/>
  </si>
  <si>
    <t>SAS</t>
    <phoneticPr fontId="1" type="noConversion"/>
  </si>
  <si>
    <t>IND</t>
    <phoneticPr fontId="1" type="noConversion"/>
  </si>
  <si>
    <t>CLE</t>
    <phoneticPr fontId="1" type="noConversion"/>
  </si>
  <si>
    <t>ORL</t>
    <phoneticPr fontId="1" type="noConversion"/>
  </si>
  <si>
    <t>MIL</t>
    <phoneticPr fontId="1" type="noConversion"/>
  </si>
  <si>
    <t>BOS</t>
    <phoneticPr fontId="1" type="noConversion"/>
  </si>
  <si>
    <t>NYK</t>
    <phoneticPr fontId="1" type="noConversion"/>
  </si>
  <si>
    <t>CHI</t>
    <phoneticPr fontId="1" type="noConversion"/>
  </si>
  <si>
    <t>DET</t>
    <phoneticPr fontId="1" type="noConversion"/>
  </si>
  <si>
    <t>DAL</t>
    <phoneticPr fontId="1" type="noConversion"/>
  </si>
  <si>
    <t>LAL</t>
    <phoneticPr fontId="1" type="noConversion"/>
  </si>
  <si>
    <t>SAC</t>
    <phoneticPr fontId="1" type="noConversion"/>
  </si>
  <si>
    <t>UTA</t>
    <phoneticPr fontId="1" type="noConversion"/>
  </si>
  <si>
    <t>GS</t>
    <phoneticPr fontId="1" type="noConversion"/>
  </si>
  <si>
    <t>OKC</t>
    <phoneticPr fontId="1" type="noConversion"/>
  </si>
  <si>
    <t>BKN</t>
    <phoneticPr fontId="1" type="noConversion"/>
  </si>
  <si>
    <t>TOR</t>
    <phoneticPr fontId="1" type="noConversion"/>
  </si>
  <si>
    <t>WAS</t>
    <phoneticPr fontId="1" type="noConversion"/>
  </si>
  <si>
    <t>MIN</t>
    <phoneticPr fontId="1" type="noConversion"/>
  </si>
  <si>
    <t>MEM</t>
    <phoneticPr fontId="1" type="noConversion"/>
  </si>
  <si>
    <t>PHO</t>
    <phoneticPr fontId="1" type="noConversion"/>
  </si>
  <si>
    <t>CHA</t>
    <phoneticPr fontId="1" type="noConversion"/>
  </si>
  <si>
    <t>POR</t>
    <phoneticPr fontId="1" type="noConversion"/>
  </si>
  <si>
    <t>PHI</t>
    <phoneticPr fontId="1" type="noConversion"/>
  </si>
  <si>
    <t>HOU</t>
    <phoneticPr fontId="1" type="noConversion"/>
  </si>
  <si>
    <t>home/away</t>
    <phoneticPr fontId="1" type="noConversion"/>
  </si>
  <si>
    <t>SAS</t>
    <phoneticPr fontId="1" type="noConversion"/>
  </si>
  <si>
    <t>BOS</t>
    <phoneticPr fontId="1" type="noConversion"/>
  </si>
  <si>
    <t>CHA</t>
    <phoneticPr fontId="1" type="noConversion"/>
  </si>
  <si>
    <t>NO</t>
    <phoneticPr fontId="1" type="noConversion"/>
  </si>
  <si>
    <t>CHI</t>
    <phoneticPr fontId="1" type="noConversion"/>
  </si>
  <si>
    <t>HOU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</si>
  <si>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</si>
  <si>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</si>
  <si>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</si>
  <si>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DAL</t>
    <phoneticPr fontId="1" type="noConversion"/>
  </si>
  <si>
    <t>MIN</t>
    <phoneticPr fontId="1" type="noConversion"/>
  </si>
  <si>
    <t>DEN</t>
    <phoneticPr fontId="1" type="noConversion"/>
  </si>
  <si>
    <t>ORL</t>
    <phoneticPr fontId="1" type="noConversion"/>
  </si>
  <si>
    <t>IND</t>
    <phoneticPr fontId="1" type="noConversion"/>
  </si>
  <si>
    <t>PHI</t>
    <phoneticPr fontId="1" type="noConversion"/>
  </si>
  <si>
    <t>MIL</t>
    <phoneticPr fontId="1" type="noConversion"/>
  </si>
  <si>
    <t>CLE</t>
    <phoneticPr fontId="1" type="noConversion"/>
  </si>
  <si>
    <t>PHO</t>
    <phoneticPr fontId="1" type="noConversion"/>
  </si>
  <si>
    <t>BKN</t>
    <phoneticPr fontId="1" type="noConversion"/>
  </si>
  <si>
    <t>POR</t>
    <phoneticPr fontId="1" type="noConversion"/>
  </si>
  <si>
    <t>ATL</t>
    <phoneticPr fontId="1" type="noConversion"/>
  </si>
  <si>
    <t>LAL</t>
    <phoneticPr fontId="1" type="noConversion"/>
  </si>
  <si>
    <t>TOR</t>
    <phoneticPr fontId="1" type="noConversion"/>
  </si>
  <si>
    <t>DET</t>
    <phoneticPr fontId="1" type="noConversion"/>
  </si>
  <si>
    <t>UTA</t>
    <phoneticPr fontId="1" type="noConversion"/>
  </si>
  <si>
    <t>LAC</t>
    <phoneticPr fontId="1" type="noConversion"/>
  </si>
  <si>
    <t>ORL</t>
    <phoneticPr fontId="1" type="noConversion"/>
  </si>
  <si>
    <t>PHI</t>
    <phoneticPr fontId="1" type="noConversion"/>
  </si>
  <si>
    <t>CHA</t>
    <phoneticPr fontId="1" type="noConversion"/>
  </si>
  <si>
    <t>MEM</t>
    <phoneticPr fontId="1" type="noConversion"/>
  </si>
  <si>
    <t>BOS</t>
    <phoneticPr fontId="1" type="noConversion"/>
  </si>
  <si>
    <t>WAS</t>
    <phoneticPr fontId="1" type="noConversion"/>
  </si>
  <si>
    <t>HOU</t>
    <phoneticPr fontId="1" type="noConversion"/>
  </si>
  <si>
    <t>LAC</t>
    <phoneticPr fontId="1" type="noConversion"/>
  </si>
  <si>
    <t>MIN</t>
    <phoneticPr fontId="1" type="noConversion"/>
  </si>
  <si>
    <t>SAS</t>
    <phoneticPr fontId="1" type="noConversion"/>
  </si>
  <si>
    <t>LAL</t>
    <phoneticPr fontId="1" type="noConversion"/>
  </si>
  <si>
    <t>GS</t>
    <phoneticPr fontId="1" type="noConversion"/>
  </si>
  <si>
    <t>POR</t>
    <phoneticPr fontId="1" type="noConversion"/>
  </si>
  <si>
    <t>TOR</t>
    <phoneticPr fontId="1" type="noConversion"/>
  </si>
  <si>
    <t>CLE</t>
    <phoneticPr fontId="1" type="noConversion"/>
  </si>
  <si>
    <t>MIA</t>
    <phoneticPr fontId="1" type="noConversion"/>
  </si>
  <si>
    <t>CHI</t>
    <phoneticPr fontId="1" type="noConversion"/>
  </si>
  <si>
    <t>PHO</t>
    <phoneticPr fontId="1" type="noConversion"/>
  </si>
  <si>
    <t>ORL</t>
    <phoneticPr fontId="1" type="noConversion"/>
  </si>
  <si>
    <t>SAS</t>
    <phoneticPr fontId="1" type="noConversion"/>
  </si>
  <si>
    <t>CHA</t>
    <phoneticPr fontId="1" type="noConversion"/>
  </si>
  <si>
    <t>DET</t>
    <phoneticPr fontId="1" type="noConversion"/>
  </si>
  <si>
    <t>HOU</t>
    <phoneticPr fontId="1" type="noConversion"/>
  </si>
  <si>
    <t>IND</t>
    <phoneticPr fontId="1" type="noConversion"/>
  </si>
  <si>
    <t>MIN</t>
    <phoneticPr fontId="1" type="noConversion"/>
  </si>
  <si>
    <t>WAS</t>
    <phoneticPr fontId="1" type="noConversion"/>
  </si>
  <si>
    <t>OKC</t>
    <phoneticPr fontId="1" type="noConversion"/>
  </si>
  <si>
    <t>PHI</t>
    <phoneticPr fontId="1" type="noConversion"/>
  </si>
  <si>
    <t>MEM</t>
    <phoneticPr fontId="1" type="noConversion"/>
  </si>
  <si>
    <t>UTA</t>
    <phoneticPr fontId="1" type="noConversion"/>
  </si>
  <si>
    <t>GS</t>
    <phoneticPr fontId="1" type="noConversion"/>
  </si>
  <si>
    <t>BOS</t>
    <phoneticPr fontId="1" type="noConversion"/>
  </si>
  <si>
    <t>LAL</t>
    <phoneticPr fontId="1" type="noConversion"/>
  </si>
  <si>
    <t>SAC</t>
    <phoneticPr fontId="1" type="noConversion"/>
  </si>
  <si>
    <t>CHI</t>
    <phoneticPr fontId="1" type="noConversion"/>
  </si>
  <si>
    <t>BKN</t>
    <phoneticPr fontId="1" type="noConversion"/>
  </si>
  <si>
    <t>MIL</t>
    <phoneticPr fontId="1" type="noConversion"/>
  </si>
  <si>
    <t>NYK</t>
    <phoneticPr fontId="1" type="noConversion"/>
  </si>
  <si>
    <t>MIA</t>
    <phoneticPr fontId="1" type="noConversion"/>
  </si>
  <si>
    <t>NO</t>
    <phoneticPr fontId="1" type="noConversion"/>
  </si>
  <si>
    <t>DAL</t>
    <phoneticPr fontId="1" type="noConversion"/>
  </si>
  <si>
    <t>TOR</t>
    <phoneticPr fontId="1" type="noConversion"/>
  </si>
  <si>
    <t>POR</t>
    <phoneticPr fontId="1" type="noConversion"/>
  </si>
  <si>
    <t>LAC</t>
    <phoneticPr fontId="1" type="noConversion"/>
  </si>
  <si>
    <t>ATL</t>
    <phoneticPr fontId="1" type="noConversion"/>
  </si>
  <si>
    <t>CLE</t>
    <phoneticPr fontId="1" type="noConversion"/>
  </si>
  <si>
    <t>PHI</t>
    <phoneticPr fontId="1" type="noConversion"/>
  </si>
  <si>
    <t>SAC</t>
    <phoneticPr fontId="1" type="noConversion"/>
  </si>
  <si>
    <t>BOS</t>
    <phoneticPr fontId="1" type="noConversion"/>
  </si>
  <si>
    <t>ORL</t>
    <phoneticPr fontId="1" type="noConversion"/>
  </si>
  <si>
    <t>MEM</t>
    <phoneticPr fontId="1" type="noConversion"/>
  </si>
  <si>
    <t>DEN</t>
    <phoneticPr fontId="1" type="noConversion"/>
  </si>
  <si>
    <t>NO</t>
    <phoneticPr fontId="1" type="noConversion"/>
  </si>
  <si>
    <t>GS</t>
    <phoneticPr fontId="1" type="noConversion"/>
  </si>
  <si>
    <t>LAL</t>
    <phoneticPr fontId="1" type="noConversion"/>
  </si>
  <si>
    <t>ATL</t>
    <phoneticPr fontId="1" type="noConversion"/>
  </si>
  <si>
    <t>BKN</t>
    <phoneticPr fontId="1" type="noConversion"/>
  </si>
  <si>
    <t>TOR</t>
    <phoneticPr fontId="1" type="noConversion"/>
  </si>
  <si>
    <t>CHA</t>
    <phoneticPr fontId="1" type="noConversion"/>
  </si>
  <si>
    <t>CHI</t>
    <phoneticPr fontId="1" type="noConversion"/>
  </si>
  <si>
    <t>MIL</t>
    <phoneticPr fontId="1" type="noConversion"/>
  </si>
  <si>
    <t>HOU</t>
    <phoneticPr fontId="1" type="noConversion"/>
  </si>
  <si>
    <t>POR</t>
    <phoneticPr fontId="1" type="noConversion"/>
  </si>
  <si>
    <t>SAS</t>
    <phoneticPr fontId="1" type="noConversion"/>
  </si>
  <si>
    <t>PHO</t>
    <phoneticPr fontId="1" type="noConversion"/>
  </si>
  <si>
    <t>UTA</t>
    <phoneticPr fontId="1" type="noConversion"/>
  </si>
  <si>
    <t>MIN</t>
    <phoneticPr fontId="1" type="noConversion"/>
  </si>
  <si>
    <t>LAC</t>
    <phoneticPr fontId="1" type="noConversion"/>
  </si>
  <si>
    <t>OKC</t>
    <phoneticPr fontId="1" type="noConversion"/>
  </si>
  <si>
    <t>NYK</t>
    <phoneticPr fontId="1" type="noConversion"/>
  </si>
  <si>
    <t>WAS</t>
    <phoneticPr fontId="1" type="noConversion"/>
  </si>
  <si>
    <t>DAL</t>
    <phoneticPr fontId="1" type="noConversion"/>
  </si>
  <si>
    <t>MIA</t>
    <phoneticPr fontId="1" type="noConversion"/>
  </si>
  <si>
    <t>DET</t>
    <phoneticPr fontId="1" type="noConversion"/>
  </si>
  <si>
    <t>MIL</t>
    <phoneticPr fontId="1" type="noConversion"/>
  </si>
  <si>
    <t>POR</t>
    <phoneticPr fontId="1" type="noConversion"/>
  </si>
  <si>
    <t>PHO</t>
    <phoneticPr fontId="1" type="noConversion"/>
  </si>
  <si>
    <t>NO</t>
    <phoneticPr fontId="1" type="noConversion"/>
  </si>
  <si>
    <t>DET</t>
    <phoneticPr fontId="1" type="noConversion"/>
  </si>
  <si>
    <t>ATL</t>
    <phoneticPr fontId="1" type="noConversion"/>
  </si>
  <si>
    <t>WAS</t>
    <phoneticPr fontId="1" type="noConversion"/>
  </si>
  <si>
    <t>CHA</t>
    <phoneticPr fontId="1" type="noConversion"/>
  </si>
  <si>
    <t>BKN</t>
    <phoneticPr fontId="1" type="noConversion"/>
  </si>
  <si>
    <t>SAC</t>
    <phoneticPr fontId="1" type="noConversion"/>
  </si>
  <si>
    <t>CHI</t>
    <phoneticPr fontId="1" type="noConversion"/>
  </si>
  <si>
    <t>MIA</t>
    <phoneticPr fontId="1" type="noConversion"/>
  </si>
  <si>
    <t>PHI</t>
    <phoneticPr fontId="1" type="noConversion"/>
  </si>
  <si>
    <t>SAS</t>
    <phoneticPr fontId="1" type="noConversion"/>
  </si>
  <si>
    <t>OKC</t>
    <phoneticPr fontId="1" type="noConversion"/>
  </si>
  <si>
    <t>LAL</t>
    <phoneticPr fontId="1" type="noConversion"/>
  </si>
  <si>
    <t>DAL</t>
    <phoneticPr fontId="1" type="noConversion"/>
  </si>
  <si>
    <t>CLE</t>
    <phoneticPr fontId="1" type="noConversion"/>
  </si>
  <si>
    <t>DEN</t>
    <phoneticPr fontId="1" type="noConversion"/>
  </si>
  <si>
    <t>BOS</t>
    <phoneticPr fontId="1" type="noConversion"/>
  </si>
  <si>
    <t>UTA</t>
    <phoneticPr fontId="1" type="noConversion"/>
  </si>
  <si>
    <t>GS</t>
    <phoneticPr fontId="1" type="noConversion"/>
  </si>
  <si>
    <t>LAC</t>
    <phoneticPr fontId="1" type="noConversion"/>
  </si>
  <si>
    <t>HOU</t>
    <phoneticPr fontId="1" type="noConversion"/>
  </si>
  <si>
    <t>MIN</t>
    <phoneticPr fontId="1" type="noConversion"/>
  </si>
  <si>
    <t>PHO</t>
    <phoneticPr fontId="1" type="noConversion"/>
  </si>
  <si>
    <t>IND</t>
    <phoneticPr fontId="1" type="noConversion"/>
  </si>
  <si>
    <t>ORL</t>
    <phoneticPr fontId="1" type="noConversion"/>
  </si>
  <si>
    <t>TOR</t>
    <phoneticPr fontId="1" type="noConversion"/>
  </si>
  <si>
    <t>NYK</t>
    <phoneticPr fontId="1" type="noConversion"/>
  </si>
  <si>
    <t>POR</t>
    <phoneticPr fontId="1" type="noConversion"/>
  </si>
  <si>
    <t>MEM</t>
    <phoneticPr fontId="1" type="noConversion"/>
  </si>
  <si>
    <t>MIL</t>
    <phoneticPr fontId="1" type="noConversion"/>
  </si>
  <si>
    <t>NO</t>
    <phoneticPr fontId="1" type="noConversion"/>
  </si>
  <si>
    <t>BKN</t>
    <phoneticPr fontId="1" type="noConversion"/>
  </si>
  <si>
    <t>BOS</t>
    <phoneticPr fontId="1" type="noConversion"/>
  </si>
  <si>
    <t>DET</t>
    <phoneticPr fontId="1" type="noConversion"/>
  </si>
  <si>
    <t>CHA</t>
    <phoneticPr fontId="1" type="noConversion"/>
  </si>
  <si>
    <t>ORL</t>
    <phoneticPr fontId="1" type="noConversion"/>
  </si>
  <si>
    <t>TOR</t>
    <phoneticPr fontId="1" type="noConversion"/>
  </si>
  <si>
    <t>CLE</t>
    <phoneticPr fontId="1" type="noConversion"/>
  </si>
  <si>
    <t>MIL</t>
    <phoneticPr fontId="1" type="noConversion"/>
  </si>
  <si>
    <t>NYK</t>
    <phoneticPr fontId="1" type="noConversion"/>
  </si>
  <si>
    <t>PHI</t>
    <phoneticPr fontId="1" type="noConversion"/>
  </si>
  <si>
    <t>IND</t>
    <phoneticPr fontId="1" type="noConversion"/>
  </si>
  <si>
    <t>ATL</t>
    <phoneticPr fontId="1" type="noConversion"/>
  </si>
  <si>
    <t>MIA</t>
    <phoneticPr fontId="1" type="noConversion"/>
  </si>
  <si>
    <t>GS</t>
    <phoneticPr fontId="1" type="noConversion"/>
  </si>
  <si>
    <t>OKC</t>
    <phoneticPr fontId="1" type="noConversion"/>
  </si>
  <si>
    <t>NO</t>
    <phoneticPr fontId="1" type="noConversion"/>
  </si>
  <si>
    <t>MEM</t>
    <phoneticPr fontId="1" type="noConversion"/>
  </si>
  <si>
    <t>UTA</t>
    <phoneticPr fontId="1" type="noConversion"/>
  </si>
  <si>
    <t>SAS</t>
    <phoneticPr fontId="1" type="noConversion"/>
  </si>
  <si>
    <t>LAC</t>
    <phoneticPr fontId="1" type="noConversion"/>
  </si>
  <si>
    <t>PHO</t>
    <phoneticPr fontId="1" type="noConversion"/>
  </si>
  <si>
    <t>DAL</t>
    <phoneticPr fontId="1" type="noConversion"/>
  </si>
  <si>
    <t>POR</t>
    <phoneticPr fontId="1" type="noConversion"/>
  </si>
  <si>
    <t>CHI</t>
    <phoneticPr fontId="1" type="noConversion"/>
  </si>
  <si>
    <t>LAL</t>
    <phoneticPr fontId="1" type="noConversion"/>
  </si>
  <si>
    <t>WAS</t>
    <phoneticPr fontId="1" type="noConversion"/>
  </si>
  <si>
    <t>SAC</t>
    <phoneticPr fontId="1" type="noConversion"/>
  </si>
  <si>
    <t>DEN</t>
    <phoneticPr fontId="1" type="noConversion"/>
  </si>
  <si>
    <t>PHI</t>
    <phoneticPr fontId="1" type="noConversion"/>
  </si>
  <si>
    <t>IND</t>
    <phoneticPr fontId="1" type="noConversion"/>
  </si>
  <si>
    <t>HOU</t>
    <phoneticPr fontId="1" type="noConversion"/>
  </si>
  <si>
    <t>ATL</t>
    <phoneticPr fontId="1" type="noConversion"/>
  </si>
  <si>
    <t>MIL</t>
    <phoneticPr fontId="1" type="noConversion"/>
  </si>
  <si>
    <t>CHA</t>
    <phoneticPr fontId="1" type="noConversion"/>
  </si>
  <si>
    <t>BKN</t>
    <phoneticPr fontId="1" type="noConversion"/>
  </si>
  <si>
    <t>MIA</t>
    <phoneticPr fontId="1" type="noConversion"/>
  </si>
  <si>
    <t>MIN</t>
    <phoneticPr fontId="1" type="noConversion"/>
  </si>
  <si>
    <t>MEM</t>
    <phoneticPr fontId="1" type="noConversion"/>
  </si>
  <si>
    <t>NYK</t>
    <phoneticPr fontId="1" type="noConversion"/>
  </si>
  <si>
    <t>BOS</t>
    <phoneticPr fontId="1" type="noConversion"/>
  </si>
  <si>
    <t>LAL</t>
    <phoneticPr fontId="1" type="noConversion"/>
  </si>
  <si>
    <t>DAL</t>
    <phoneticPr fontId="1" type="noConversion"/>
  </si>
  <si>
    <t>NO</t>
    <phoneticPr fontId="1" type="noConversion"/>
  </si>
  <si>
    <t>OKC</t>
    <phoneticPr fontId="1" type="noConversion"/>
  </si>
  <si>
    <t>DET</t>
    <phoneticPr fontId="1" type="noConversion"/>
  </si>
  <si>
    <t>SAS</t>
    <phoneticPr fontId="1" type="noConversion"/>
  </si>
  <si>
    <t>ORL</t>
    <phoneticPr fontId="1" type="noConversion"/>
  </si>
  <si>
    <t>GS</t>
    <phoneticPr fontId="1" type="noConversion"/>
  </si>
  <si>
    <t>TOR</t>
    <phoneticPr fontId="1" type="noConversion"/>
  </si>
  <si>
    <t>UTA</t>
    <phoneticPr fontId="1" type="noConversion"/>
  </si>
  <si>
    <t>LAC</t>
    <phoneticPr fontId="1" type="noConversion"/>
  </si>
  <si>
    <t>WAS</t>
    <phoneticPr fontId="1" type="noConversion"/>
  </si>
  <si>
    <t>PHI</t>
    <phoneticPr fontId="1" type="noConversion"/>
  </si>
  <si>
    <t>CHA</t>
    <phoneticPr fontId="1" type="noConversion"/>
  </si>
  <si>
    <t>PHO</t>
    <phoneticPr fontId="1" type="noConversion"/>
  </si>
  <si>
    <t>ATL</t>
    <phoneticPr fontId="1" type="noConversion"/>
  </si>
  <si>
    <t>MIL</t>
    <phoneticPr fontId="1" type="noConversion"/>
  </si>
  <si>
    <t>IND</t>
    <phoneticPr fontId="1" type="noConversion"/>
  </si>
  <si>
    <t>SAC</t>
    <phoneticPr fontId="1" type="noConversion"/>
  </si>
  <si>
    <t>CHI</t>
    <phoneticPr fontId="1" type="noConversion"/>
  </si>
  <si>
    <t>CLE</t>
    <phoneticPr fontId="1" type="noConversion"/>
  </si>
  <si>
    <t>HOU</t>
    <phoneticPr fontId="1" type="noConversion"/>
  </si>
  <si>
    <t>DEN</t>
    <phoneticPr fontId="1" type="noConversion"/>
  </si>
  <si>
    <t>POR</t>
    <phoneticPr fontId="1" type="noConversion"/>
  </si>
  <si>
    <t>DET</t>
    <phoneticPr fontId="1" type="noConversion"/>
  </si>
  <si>
    <t>MIL</t>
    <phoneticPr fontId="1" type="noConversion"/>
  </si>
  <si>
    <t>ORL</t>
    <phoneticPr fontId="1" type="noConversion"/>
  </si>
  <si>
    <t>PHO</t>
    <phoneticPr fontId="1" type="noConversion"/>
  </si>
  <si>
    <t>CHA</t>
    <phoneticPr fontId="1" type="noConversion"/>
  </si>
  <si>
    <t>GS</t>
    <phoneticPr fontId="1" type="noConversion"/>
  </si>
  <si>
    <t>ATL</t>
    <phoneticPr fontId="1" type="noConversion"/>
  </si>
  <si>
    <t>BKN</t>
    <phoneticPr fontId="1" type="noConversion"/>
  </si>
  <si>
    <t>BOS</t>
    <phoneticPr fontId="1" type="noConversion"/>
  </si>
  <si>
    <t>MIA</t>
    <phoneticPr fontId="1" type="noConversion"/>
  </si>
  <si>
    <t>CHI</t>
    <phoneticPr fontId="1" type="noConversion"/>
  </si>
  <si>
    <t>MEM</t>
    <phoneticPr fontId="1" type="noConversion"/>
  </si>
  <si>
    <t>OKC</t>
    <phoneticPr fontId="1" type="noConversion"/>
  </si>
  <si>
    <t>IND</t>
    <phoneticPr fontId="1" type="noConversion"/>
  </si>
  <si>
    <t>DAL</t>
    <phoneticPr fontId="1" type="noConversion"/>
  </si>
  <si>
    <t>MIN</t>
    <phoneticPr fontId="1" type="noConversion"/>
  </si>
  <si>
    <t>UTA</t>
    <phoneticPr fontId="1" type="noConversion"/>
  </si>
  <si>
    <t>LAL</t>
    <phoneticPr fontId="1" type="noConversion"/>
  </si>
  <si>
    <t>POR</t>
    <phoneticPr fontId="1" type="noConversion"/>
  </si>
  <si>
    <t>SAC</t>
    <phoneticPr fontId="1" type="noConversion"/>
  </si>
  <si>
    <t>PHI</t>
    <phoneticPr fontId="1" type="noConversion"/>
  </si>
  <si>
    <t>NYK</t>
    <phoneticPr fontId="1" type="noConversion"/>
  </si>
  <si>
    <t>DEN</t>
    <phoneticPr fontId="1" type="noConversion"/>
  </si>
  <si>
    <t>TOR</t>
    <phoneticPr fontId="1" type="noConversion"/>
  </si>
  <si>
    <t>HOU</t>
    <phoneticPr fontId="1" type="noConversion"/>
  </si>
  <si>
    <t>NO</t>
    <phoneticPr fontId="1" type="noConversion"/>
  </si>
  <si>
    <t>PHO</t>
    <phoneticPr fontId="1" type="noConversion"/>
  </si>
  <si>
    <t>CLE</t>
    <phoneticPr fontId="1" type="noConversion"/>
  </si>
  <si>
    <t>ORL</t>
    <phoneticPr fontId="1" type="noConversion"/>
  </si>
  <si>
    <t>DET</t>
    <phoneticPr fontId="1" type="noConversion"/>
  </si>
  <si>
    <t>IND</t>
    <phoneticPr fontId="1" type="noConversion"/>
  </si>
  <si>
    <t>CHA</t>
    <phoneticPr fontId="1" type="noConversion"/>
  </si>
  <si>
    <t>BKN</t>
    <phoneticPr fontId="1" type="noConversion"/>
  </si>
  <si>
    <t>BOS</t>
    <phoneticPr fontId="1" type="noConversion"/>
  </si>
  <si>
    <t>CHI</t>
    <phoneticPr fontId="1" type="noConversion"/>
  </si>
  <si>
    <t>GS</t>
    <phoneticPr fontId="1" type="noConversion"/>
  </si>
  <si>
    <t>MIA</t>
    <phoneticPr fontId="1" type="noConversion"/>
  </si>
  <si>
    <t>WAS</t>
    <phoneticPr fontId="1" type="noConversion"/>
  </si>
  <si>
    <t>OKC</t>
    <phoneticPr fontId="1" type="noConversion"/>
  </si>
  <si>
    <t>MIN</t>
    <phoneticPr fontId="1" type="noConversion"/>
  </si>
  <si>
    <t>MIL</t>
    <phoneticPr fontId="1" type="noConversion"/>
  </si>
  <si>
    <t>LAC</t>
    <phoneticPr fontId="1" type="noConversion"/>
  </si>
  <si>
    <t>SAS</t>
    <phoneticPr fontId="1" type="noConversion"/>
  </si>
  <si>
    <t>SAC</t>
    <phoneticPr fontId="1" type="noConversion"/>
  </si>
  <si>
    <t>POR</t>
    <phoneticPr fontId="1" type="noConversion"/>
  </si>
  <si>
    <t>LAL</t>
    <phoneticPr fontId="1" type="noConversion"/>
  </si>
  <si>
    <t>DAL</t>
  </si>
  <si>
    <t>NO</t>
  </si>
  <si>
    <t>NYK</t>
  </si>
  <si>
    <t>IND</t>
  </si>
  <si>
    <t>PHI</t>
  </si>
  <si>
    <t>CLE</t>
  </si>
  <si>
    <t>HOU</t>
  </si>
  <si>
    <t>PHO</t>
  </si>
  <si>
    <t>UTA</t>
  </si>
  <si>
    <t>MEM</t>
  </si>
  <si>
    <t>BKN</t>
  </si>
  <si>
    <t>DEN</t>
  </si>
  <si>
    <t>CHA</t>
  </si>
  <si>
    <t>ATL</t>
  </si>
  <si>
    <t>MIA</t>
  </si>
  <si>
    <t>CHI</t>
  </si>
  <si>
    <t>TOR</t>
  </si>
  <si>
    <t>WAS</t>
  </si>
  <si>
    <t>LAC</t>
  </si>
  <si>
    <t>SAC</t>
  </si>
  <si>
    <t>POR</t>
  </si>
  <si>
    <t>OKC</t>
  </si>
  <si>
    <t>LAL</t>
  </si>
  <si>
    <t>MIN</t>
  </si>
  <si>
    <t>BOS</t>
  </si>
  <si>
    <t>DET</t>
  </si>
  <si>
    <t>MIL</t>
  </si>
  <si>
    <t>ORL</t>
  </si>
  <si>
    <t>GS</t>
  </si>
  <si>
    <t>SAS</t>
  </si>
  <si>
    <t/>
  </si>
  <si>
    <t>CHA</t>
    <phoneticPr fontId="1" type="noConversion"/>
  </si>
  <si>
    <t>NYK</t>
    <phoneticPr fontId="1" type="noConversion"/>
  </si>
  <si>
    <t>PHO</t>
    <phoneticPr fontId="1" type="noConversion"/>
  </si>
  <si>
    <t>ORL</t>
    <phoneticPr fontId="1" type="noConversion"/>
  </si>
  <si>
    <t>CHI</t>
    <phoneticPr fontId="1" type="noConversion"/>
  </si>
  <si>
    <t>WAS</t>
    <phoneticPr fontId="1" type="noConversion"/>
  </si>
  <si>
    <t>DAL</t>
    <phoneticPr fontId="1" type="noConversion"/>
  </si>
  <si>
    <t>PHO</t>
    <phoneticPr fontId="1" type="noConversion"/>
  </si>
  <si>
    <t>CHI</t>
    <phoneticPr fontId="1" type="noConversion"/>
  </si>
  <si>
    <t>DEN</t>
    <phoneticPr fontId="1" type="noConversion"/>
  </si>
  <si>
    <t>CHA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</si>
</sst>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81" formatCode="0.0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20" fontId="0" fillId="4" borderId="0" xfId="0" applyNumberFormat="1" applyFill="1">
      <alignment vertical="center"/>
    </xf>
    <xf numFmtId="9" fontId="0" fillId="5" borderId="0" xfId="1" applyFont="1" applyFill="1">
      <alignment vertical="center"/>
    </xf>
    <xf numFmtId="9" fontId="0" fillId="2" borderId="0" xfId="1" applyFont="1" applyFill="1">
      <alignment vertical="center"/>
    </xf>
    <xf numFmtId="20" fontId="0" fillId="6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9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6" borderId="0" xfId="0" applyNumberFormat="1" applyFill="1">
      <alignment vertical="center"/>
    </xf>
    <xf numFmtId="0" fontId="0" fillId="10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727"/>
  <sheetViews>
    <sheetView zoomScale="85" zoomScaleNormal="85" workbookViewId="0">
      <pane xSplit="1" ySplit="1" topLeftCell="B705" activePane="bottomRight" state="frozen"/>
      <selection pane="topRight" activeCell="B1" sqref="B1"/>
      <selection pane="bottomLeft" activeCell="A2" sqref="A2"/>
      <selection pane="bottomRight" activeCell="Y604" sqref="Y604"/>
    </sheetView>
  </sheetViews>
  <sheetFormatPr defaultRowHeight="16.5" x14ac:dyDescent="0.3"/>
  <cols>
    <col min="1" max="1" width="9" bestFit="1" customWidth="1"/>
    <col min="2" max="2" width="10" style="3" bestFit="1" customWidth="1"/>
    <col min="3" max="3" width="6.375" bestFit="1" customWidth="1"/>
    <col min="4" max="4" width="5.75" bestFit="1" customWidth="1"/>
    <col min="5" max="8" width="4.75" bestFit="1" customWidth="1"/>
    <col min="9" max="9" width="4.375" bestFit="1" customWidth="1"/>
    <col min="10" max="13" width="4.625" bestFit="1" customWidth="1"/>
    <col min="14" max="14" width="4.625" style="2" customWidth="1"/>
    <col min="15" max="15" width="5" bestFit="1" customWidth="1"/>
    <col min="16" max="16" width="4.875" bestFit="1" customWidth="1"/>
    <col min="17" max="20" width="5.5" bestFit="1" customWidth="1"/>
    <col min="21" max="24" width="5.875" bestFit="1" customWidth="1"/>
    <col min="25" max="25" width="6.75" customWidth="1"/>
    <col min="26" max="26" width="16.375" customWidth="1"/>
    <col min="27" max="27" width="13.5" bestFit="1" customWidth="1"/>
  </cols>
  <sheetData>
    <row r="1" spans="1:30" ht="17.100000000000001" x14ac:dyDescent="0.45">
      <c r="A1" s="2" t="s">
        <v>0</v>
      </c>
      <c r="B1" s="3" t="s">
        <v>55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24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t="s">
        <v>67</v>
      </c>
    </row>
    <row r="2" spans="1:30" ht="17.100000000000001" x14ac:dyDescent="0.45">
      <c r="A2">
        <v>191023</v>
      </c>
      <c r="B2" s="1">
        <v>0.375</v>
      </c>
      <c r="C2" t="s">
        <v>28</v>
      </c>
      <c r="D2" t="s">
        <v>27</v>
      </c>
      <c r="E2">
        <v>27</v>
      </c>
      <c r="F2">
        <v>29</v>
      </c>
      <c r="G2">
        <v>32</v>
      </c>
      <c r="H2">
        <v>29</v>
      </c>
      <c r="I2">
        <v>13</v>
      </c>
      <c r="J2">
        <v>30</v>
      </c>
      <c r="K2">
        <v>31</v>
      </c>
      <c r="L2">
        <v>25</v>
      </c>
      <c r="M2">
        <v>31</v>
      </c>
      <c r="N2" s="2">
        <v>5</v>
      </c>
      <c r="O2">
        <f>SUM(E2:I2)</f>
        <v>130</v>
      </c>
      <c r="P2">
        <f>SUM(J2:N2)</f>
        <v>122</v>
      </c>
      <c r="Q2" s="3" t="str">
        <f>IF(E2=J2,"TT",IF(E2&gt;J2,"HW","HL"))</f>
        <v>HL</v>
      </c>
      <c r="R2" s="3" t="str">
        <f t="shared" ref="R2:T2" si="0">IF(F2=K2,"TT",IF(F2&gt;K2,"HW","HL"))</f>
        <v>HL</v>
      </c>
      <c r="S2" s="3" t="str">
        <f t="shared" si="0"/>
        <v>HW</v>
      </c>
      <c r="T2" s="3" t="str">
        <f t="shared" si="0"/>
        <v>HL</v>
      </c>
      <c r="U2" t="str">
        <f>IF(SUM(E2,J2)=$Z2,"T",IF(SUM(E2,J2)&gt;$Z2,"O","U"))</f>
        <v>U</v>
      </c>
      <c r="V2" s="3" t="str">
        <f t="shared" ref="V2:X2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>
        <v>59</v>
      </c>
      <c r="AA2" t="str">
        <f t="shared" ref="AA2:AA36" si="2">C2&amp;"/"&amp;D2</f>
        <v>TOR/NO</v>
      </c>
      <c r="AD2" s="3"/>
    </row>
    <row r="3" spans="1:30" ht="17.100000000000001" x14ac:dyDescent="0.45">
      <c r="A3" s="2">
        <v>191023</v>
      </c>
      <c r="B3" s="1">
        <v>0.47916666666666669</v>
      </c>
      <c r="C3" t="s">
        <v>25</v>
      </c>
      <c r="D3" t="s">
        <v>26</v>
      </c>
      <c r="E3">
        <v>22</v>
      </c>
      <c r="F3">
        <v>40</v>
      </c>
      <c r="G3">
        <v>23</v>
      </c>
      <c r="H3">
        <v>27</v>
      </c>
      <c r="J3">
        <v>25</v>
      </c>
      <c r="K3">
        <v>29</v>
      </c>
      <c r="L3">
        <v>31</v>
      </c>
      <c r="M3">
        <v>17</v>
      </c>
      <c r="O3" s="2">
        <f t="shared" ref="O3:O6" si="3">SUM(E3:I3)</f>
        <v>112</v>
      </c>
      <c r="P3" s="2">
        <f t="shared" ref="P3:P6" si="4">SUM(J3:N3)</f>
        <v>102</v>
      </c>
      <c r="Q3" s="3" t="str">
        <f>IF(E3=J3,"TT",IF(E3&gt;J3,"HW","HL"))</f>
        <v>HL</v>
      </c>
      <c r="R3" s="3" t="str">
        <f t="shared" ref="R3" si="5">IF(F3=K3,"TT",IF(F3&gt;K3,"HW","HL"))</f>
        <v>HW</v>
      </c>
      <c r="S3" s="3" t="str">
        <f t="shared" ref="S3" si="6">IF(G3=L3,"TT",IF(G3&gt;L3,"HW","HL"))</f>
        <v>HL</v>
      </c>
      <c r="T3" s="3" t="str">
        <f t="shared" ref="T3" si="7">IF(H3=M3,"TT",IF(H3&gt;M3,"HW","HL"))</f>
        <v>HW</v>
      </c>
      <c r="U3" s="3" t="str">
        <f>IF(SUM(E3,J3)=$Z3,"T",IF(SUM(E3,J3)&gt;$Z3,"O","U"))</f>
        <v>U</v>
      </c>
      <c r="V3" s="3" t="str">
        <f t="shared" ref="V3" si="8">IF(SUM(F3,K3)=$Z3,"T",IF(SUM(F3,K3)&gt;$Z3,"O","U"))</f>
        <v>O</v>
      </c>
      <c r="W3" s="3" t="str">
        <f t="shared" ref="W3" si="9">IF(SUM(G3,L3)=$Z3,"T",IF(SUM(G3,L3)&gt;$Z3,"O","U"))</f>
        <v>U</v>
      </c>
      <c r="X3" s="3" t="str">
        <f t="shared" ref="X3" si="10">IF(SUM(H3,M3)=$Z3,"T",IF(SUM(H3,M3)&gt;$Z3,"O","U"))</f>
        <v>U</v>
      </c>
      <c r="Z3">
        <v>57.5</v>
      </c>
      <c r="AA3" s="3" t="str">
        <f t="shared" si="2"/>
        <v>LAC/LAL</v>
      </c>
    </row>
    <row r="4" spans="1:30" ht="17.100000000000001" x14ac:dyDescent="0.45">
      <c r="A4">
        <v>191024</v>
      </c>
      <c r="B4" s="1">
        <v>0.33333333333333331</v>
      </c>
      <c r="C4" t="s">
        <v>30</v>
      </c>
      <c r="D4" t="s">
        <v>29</v>
      </c>
      <c r="E4">
        <v>22</v>
      </c>
      <c r="F4">
        <v>34</v>
      </c>
      <c r="G4">
        <v>37</v>
      </c>
      <c r="H4">
        <v>22</v>
      </c>
      <c r="I4">
        <v>11</v>
      </c>
      <c r="J4">
        <v>33</v>
      </c>
      <c r="K4">
        <v>35</v>
      </c>
      <c r="L4">
        <v>20</v>
      </c>
      <c r="M4">
        <v>27</v>
      </c>
      <c r="N4" s="2">
        <v>12</v>
      </c>
      <c r="O4" s="2">
        <f t="shared" si="3"/>
        <v>126</v>
      </c>
      <c r="P4" s="2">
        <f t="shared" si="4"/>
        <v>127</v>
      </c>
      <c r="Q4" s="3" t="str">
        <f t="shared" ref="Q4:Q13" si="11">IF(E4=J4,"TT",IF(E4&gt;J4,"HW","HL"))</f>
        <v>HL</v>
      </c>
      <c r="R4" s="3" t="str">
        <f t="shared" ref="R4:R13" si="12">IF(F4=K4,"TT",IF(F4&gt;K4,"HW","HL"))</f>
        <v>HL</v>
      </c>
      <c r="S4" s="3" t="str">
        <f t="shared" ref="S4:S13" si="13">IF(G4=L4,"TT",IF(G4&gt;L4,"HW","HL"))</f>
        <v>HW</v>
      </c>
      <c r="T4" s="3" t="str">
        <f t="shared" ref="T4:T13" si="14">IF(H4=M4,"TT",IF(H4&gt;M4,"HW","HL"))</f>
        <v>HL</v>
      </c>
      <c r="U4" s="3" t="str">
        <f t="shared" ref="U4:U13" si="15">IF(SUM(E4,J4)=$Z4,"T",IF(SUM(E4,J4)&gt;$Z4,"O","U"))</f>
        <v>U</v>
      </c>
      <c r="V4" s="3" t="str">
        <f t="shared" ref="V4:V13" si="16">IF(SUM(F4,K4)=$Z4,"T",IF(SUM(F4,K4)&gt;$Z4,"O","U"))</f>
        <v>O</v>
      </c>
      <c r="W4" s="3" t="str">
        <f t="shared" ref="W4:W13" si="17">IF(SUM(G4,L4)=$Z4,"T",IF(SUM(G4,L4)&gt;$Z4,"O","U"))</f>
        <v>U</v>
      </c>
      <c r="X4" s="3" t="str">
        <f t="shared" ref="X4:X13" si="18">IF(SUM(H4,M4)=$Z4,"T",IF(SUM(H4,M4)&gt;$Z4,"O","U"))</f>
        <v>U</v>
      </c>
      <c r="Z4">
        <v>58.5</v>
      </c>
      <c r="AA4" s="3" t="str">
        <f t="shared" si="2"/>
        <v>BKN/MIN</v>
      </c>
    </row>
    <row r="5" spans="1:30" ht="17.100000000000001" x14ac:dyDescent="0.45">
      <c r="A5" s="3">
        <v>191024</v>
      </c>
      <c r="C5" t="s">
        <v>31</v>
      </c>
      <c r="D5" t="s">
        <v>32</v>
      </c>
      <c r="E5">
        <v>37</v>
      </c>
      <c r="F5">
        <v>26</v>
      </c>
      <c r="G5">
        <v>33</v>
      </c>
      <c r="H5">
        <v>30</v>
      </c>
      <c r="J5">
        <v>28</v>
      </c>
      <c r="K5">
        <v>27</v>
      </c>
      <c r="L5">
        <v>40</v>
      </c>
      <c r="M5">
        <v>30</v>
      </c>
      <c r="O5" s="2">
        <f t="shared" si="3"/>
        <v>126</v>
      </c>
      <c r="P5" s="2">
        <f t="shared" si="4"/>
        <v>125</v>
      </c>
      <c r="Q5" s="3" t="str">
        <f t="shared" si="11"/>
        <v>HW</v>
      </c>
      <c r="R5" s="3" t="str">
        <f t="shared" si="12"/>
        <v>HL</v>
      </c>
      <c r="S5" s="3" t="str">
        <f t="shared" si="13"/>
        <v>HL</v>
      </c>
      <c r="T5" s="3" t="str">
        <f t="shared" si="14"/>
        <v>TT</v>
      </c>
      <c r="U5" s="3" t="str">
        <f t="shared" si="15"/>
        <v>O</v>
      </c>
      <c r="V5" s="3" t="str">
        <f t="shared" si="16"/>
        <v>T</v>
      </c>
      <c r="W5" s="3" t="str">
        <f t="shared" si="17"/>
        <v>O</v>
      </c>
      <c r="X5" s="3" t="str">
        <f t="shared" si="18"/>
        <v>O</v>
      </c>
      <c r="Z5">
        <v>53</v>
      </c>
      <c r="AA5" s="3" t="str">
        <f t="shared" si="2"/>
        <v>CHA/CHI</v>
      </c>
    </row>
    <row r="6" spans="1:30" ht="17.100000000000001" x14ac:dyDescent="0.45">
      <c r="A6" s="3">
        <v>191024</v>
      </c>
      <c r="C6" t="s">
        <v>33</v>
      </c>
      <c r="D6" t="s">
        <v>34</v>
      </c>
      <c r="E6">
        <v>24</v>
      </c>
      <c r="F6">
        <v>38</v>
      </c>
      <c r="G6">
        <v>29</v>
      </c>
      <c r="H6">
        <v>17</v>
      </c>
      <c r="J6">
        <v>25</v>
      </c>
      <c r="K6">
        <v>23</v>
      </c>
      <c r="L6">
        <v>20</v>
      </c>
      <c r="M6">
        <v>32</v>
      </c>
      <c r="O6" s="2">
        <f t="shared" si="3"/>
        <v>108</v>
      </c>
      <c r="P6" s="2">
        <f t="shared" si="4"/>
        <v>100</v>
      </c>
      <c r="Q6" s="3" t="str">
        <f t="shared" si="11"/>
        <v>HL</v>
      </c>
      <c r="R6" s="3" t="str">
        <f t="shared" si="12"/>
        <v>HW</v>
      </c>
      <c r="S6" s="3" t="str">
        <f t="shared" si="13"/>
        <v>HW</v>
      </c>
      <c r="T6" s="3" t="str">
        <f t="shared" si="14"/>
        <v>HL</v>
      </c>
      <c r="U6" s="3" t="str">
        <f t="shared" si="15"/>
        <v>U</v>
      </c>
      <c r="V6" s="3" t="str">
        <f t="shared" si="16"/>
        <v>O</v>
      </c>
      <c r="W6" s="3" t="str">
        <f t="shared" si="17"/>
        <v>U</v>
      </c>
      <c r="X6" s="3" t="str">
        <f t="shared" si="18"/>
        <v>U</v>
      </c>
      <c r="Z6">
        <v>57.5</v>
      </c>
      <c r="AA6" s="3" t="str">
        <f t="shared" si="2"/>
        <v>DAL/WAS</v>
      </c>
    </row>
    <row r="7" spans="1:30" ht="17.100000000000001" x14ac:dyDescent="0.45">
      <c r="A7" s="3">
        <v>191024</v>
      </c>
      <c r="B7" s="1">
        <v>0.33333333333333331</v>
      </c>
      <c r="C7" t="s">
        <v>35</v>
      </c>
      <c r="D7" t="s">
        <v>36</v>
      </c>
      <c r="E7">
        <v>24</v>
      </c>
      <c r="F7">
        <v>31</v>
      </c>
      <c r="G7">
        <v>31</v>
      </c>
      <c r="H7">
        <v>24</v>
      </c>
      <c r="J7">
        <v>27</v>
      </c>
      <c r="K7">
        <v>27</v>
      </c>
      <c r="L7">
        <v>29</v>
      </c>
      <c r="M7">
        <v>36</v>
      </c>
      <c r="O7" s="3">
        <f t="shared" ref="O7:O14" si="19">SUM(E7:I7)</f>
        <v>110</v>
      </c>
      <c r="P7" s="3">
        <f t="shared" ref="P7:P14" si="20">SUM(J7:N7)</f>
        <v>119</v>
      </c>
      <c r="Q7" s="3" t="str">
        <f t="shared" si="11"/>
        <v>HL</v>
      </c>
      <c r="R7" s="3" t="str">
        <f t="shared" si="12"/>
        <v>HW</v>
      </c>
      <c r="S7" s="3" t="str">
        <f t="shared" si="13"/>
        <v>HW</v>
      </c>
      <c r="T7" s="3" t="str">
        <f t="shared" si="14"/>
        <v>HL</v>
      </c>
      <c r="U7" s="3" t="str">
        <f t="shared" si="15"/>
        <v>U</v>
      </c>
      <c r="V7" s="3" t="str">
        <f t="shared" si="16"/>
        <v>O</v>
      </c>
      <c r="W7" s="3" t="str">
        <f t="shared" si="17"/>
        <v>O</v>
      </c>
      <c r="X7" s="3" t="str">
        <f t="shared" si="18"/>
        <v>O</v>
      </c>
      <c r="Z7">
        <v>54</v>
      </c>
      <c r="AA7" s="3" t="str">
        <f t="shared" si="2"/>
        <v>IND/DET</v>
      </c>
    </row>
    <row r="8" spans="1:30" ht="17.100000000000001" x14ac:dyDescent="0.45">
      <c r="A8" s="3">
        <v>191024</v>
      </c>
      <c r="B8" s="1"/>
      <c r="C8" t="s">
        <v>37</v>
      </c>
      <c r="D8" t="s">
        <v>38</v>
      </c>
      <c r="E8">
        <v>24</v>
      </c>
      <c r="F8">
        <v>30</v>
      </c>
      <c r="G8">
        <v>29</v>
      </c>
      <c r="H8">
        <v>37</v>
      </c>
      <c r="J8">
        <v>32</v>
      </c>
      <c r="K8">
        <v>28</v>
      </c>
      <c r="L8">
        <v>24</v>
      </c>
      <c r="M8">
        <v>17</v>
      </c>
      <c r="O8" s="3">
        <f t="shared" si="19"/>
        <v>120</v>
      </c>
      <c r="P8" s="3">
        <f t="shared" si="20"/>
        <v>101</v>
      </c>
      <c r="Q8" s="3" t="str">
        <f t="shared" si="11"/>
        <v>HL</v>
      </c>
      <c r="R8" s="3" t="str">
        <f t="shared" si="12"/>
        <v>HW</v>
      </c>
      <c r="S8" s="3" t="str">
        <f t="shared" si="13"/>
        <v>HW</v>
      </c>
      <c r="T8" s="3" t="str">
        <f t="shared" si="14"/>
        <v>HW</v>
      </c>
      <c r="U8" s="3" t="str">
        <f t="shared" si="15"/>
        <v>O</v>
      </c>
      <c r="V8" s="3" t="str">
        <f t="shared" si="16"/>
        <v>O</v>
      </c>
      <c r="W8" s="3" t="str">
        <f t="shared" si="17"/>
        <v>U</v>
      </c>
      <c r="X8" s="3" t="str">
        <f t="shared" si="18"/>
        <v>U</v>
      </c>
      <c r="Z8">
        <v>54.5</v>
      </c>
      <c r="AA8" s="3" t="str">
        <f t="shared" si="2"/>
        <v>MIA/MEM</v>
      </c>
    </row>
    <row r="9" spans="1:30" ht="17.100000000000001" x14ac:dyDescent="0.45">
      <c r="A9" s="3">
        <v>191024</v>
      </c>
      <c r="B9" s="1"/>
      <c r="C9" t="s">
        <v>39</v>
      </c>
      <c r="D9" t="s">
        <v>40</v>
      </c>
      <c r="E9">
        <v>28</v>
      </c>
      <c r="F9">
        <v>27</v>
      </c>
      <c r="G9">
        <v>16</v>
      </c>
      <c r="H9">
        <v>23</v>
      </c>
      <c r="J9">
        <v>24</v>
      </c>
      <c r="K9">
        <v>17</v>
      </c>
      <c r="L9">
        <v>24</v>
      </c>
      <c r="M9">
        <v>20</v>
      </c>
      <c r="O9" s="3">
        <f t="shared" si="19"/>
        <v>94</v>
      </c>
      <c r="P9" s="3">
        <f t="shared" si="20"/>
        <v>85</v>
      </c>
      <c r="Q9" s="3" t="str">
        <f t="shared" si="11"/>
        <v>HW</v>
      </c>
      <c r="R9" s="3" t="str">
        <f t="shared" si="12"/>
        <v>HW</v>
      </c>
      <c r="S9" s="3" t="str">
        <f t="shared" si="13"/>
        <v>HL</v>
      </c>
      <c r="T9" s="3" t="str">
        <f t="shared" si="14"/>
        <v>HW</v>
      </c>
      <c r="U9" s="3" t="str">
        <f t="shared" si="15"/>
        <v>U</v>
      </c>
      <c r="V9" s="3" t="str">
        <f t="shared" si="16"/>
        <v>U</v>
      </c>
      <c r="W9" s="3" t="str">
        <f t="shared" si="17"/>
        <v>U</v>
      </c>
      <c r="X9" s="3" t="str">
        <f t="shared" si="18"/>
        <v>U</v>
      </c>
      <c r="Z9">
        <v>53</v>
      </c>
      <c r="AA9" s="3" t="str">
        <f t="shared" si="2"/>
        <v>ORL/CLE</v>
      </c>
    </row>
    <row r="10" spans="1:30" ht="17.100000000000001" x14ac:dyDescent="0.45">
      <c r="A10" s="3">
        <v>191024</v>
      </c>
      <c r="B10" s="1"/>
      <c r="C10" t="s">
        <v>41</v>
      </c>
      <c r="D10" t="s">
        <v>42</v>
      </c>
      <c r="E10">
        <v>20</v>
      </c>
      <c r="F10">
        <v>29</v>
      </c>
      <c r="G10">
        <v>28</v>
      </c>
      <c r="H10">
        <v>30</v>
      </c>
      <c r="J10">
        <v>25</v>
      </c>
      <c r="K10">
        <v>23</v>
      </c>
      <c r="L10">
        <v>20</v>
      </c>
      <c r="M10">
        <v>25</v>
      </c>
      <c r="O10" s="3">
        <f t="shared" si="19"/>
        <v>107</v>
      </c>
      <c r="P10" s="3">
        <f t="shared" si="20"/>
        <v>93</v>
      </c>
      <c r="Q10" s="3" t="str">
        <f t="shared" si="11"/>
        <v>HL</v>
      </c>
      <c r="R10" s="3" t="str">
        <f t="shared" si="12"/>
        <v>HW</v>
      </c>
      <c r="S10" s="3" t="str">
        <f t="shared" si="13"/>
        <v>HW</v>
      </c>
      <c r="T10" s="3" t="str">
        <f t="shared" si="14"/>
        <v>HW</v>
      </c>
      <c r="U10" s="3" t="str">
        <f t="shared" si="15"/>
        <v>U</v>
      </c>
      <c r="V10" s="3" t="str">
        <f t="shared" si="16"/>
        <v>T</v>
      </c>
      <c r="W10" s="3" t="str">
        <f t="shared" si="17"/>
        <v>U</v>
      </c>
      <c r="X10" s="3" t="str">
        <f t="shared" si="18"/>
        <v>O</v>
      </c>
      <c r="Z10">
        <v>52</v>
      </c>
      <c r="AA10" s="3" t="str">
        <f t="shared" si="2"/>
        <v>PHI/BOS</v>
      </c>
    </row>
    <row r="11" spans="1:30" ht="17.100000000000001" x14ac:dyDescent="0.45">
      <c r="A11" s="3">
        <v>191024</v>
      </c>
      <c r="C11" t="s">
        <v>43</v>
      </c>
      <c r="D11" t="s">
        <v>44</v>
      </c>
      <c r="E11">
        <v>25</v>
      </c>
      <c r="F11">
        <v>29</v>
      </c>
      <c r="G11">
        <v>32</v>
      </c>
      <c r="H11">
        <v>38</v>
      </c>
      <c r="J11">
        <v>29</v>
      </c>
      <c r="K11">
        <v>30</v>
      </c>
      <c r="L11">
        <v>17</v>
      </c>
      <c r="M11">
        <v>19</v>
      </c>
      <c r="O11" s="3">
        <f t="shared" si="19"/>
        <v>124</v>
      </c>
      <c r="P11" s="3">
        <f t="shared" si="20"/>
        <v>95</v>
      </c>
      <c r="Q11" s="3" t="str">
        <f t="shared" si="11"/>
        <v>HL</v>
      </c>
      <c r="R11" s="3" t="str">
        <f t="shared" si="12"/>
        <v>HL</v>
      </c>
      <c r="S11" s="3" t="str">
        <f t="shared" si="13"/>
        <v>HW</v>
      </c>
      <c r="T11" s="3" t="str">
        <f t="shared" si="14"/>
        <v>HW</v>
      </c>
      <c r="U11" s="3" t="str">
        <f t="shared" si="15"/>
        <v>U</v>
      </c>
      <c r="V11" s="3" t="str">
        <f t="shared" si="16"/>
        <v>U</v>
      </c>
      <c r="W11" s="3" t="str">
        <f t="shared" si="17"/>
        <v>U</v>
      </c>
      <c r="X11" s="3" t="str">
        <f t="shared" si="18"/>
        <v>U</v>
      </c>
      <c r="Z11">
        <v>59.5</v>
      </c>
      <c r="AA11" s="3" t="str">
        <f t="shared" si="2"/>
        <v>PHO/SAC</v>
      </c>
    </row>
    <row r="12" spans="1:30" ht="17.100000000000001" x14ac:dyDescent="0.45">
      <c r="A12" s="3">
        <v>191024</v>
      </c>
      <c r="C12" t="s">
        <v>45</v>
      </c>
      <c r="D12" t="s">
        <v>46</v>
      </c>
      <c r="E12">
        <v>27</v>
      </c>
      <c r="F12">
        <v>23</v>
      </c>
      <c r="G12">
        <v>24</v>
      </c>
      <c r="H12">
        <v>26</v>
      </c>
      <c r="J12">
        <v>24</v>
      </c>
      <c r="K12">
        <v>30</v>
      </c>
      <c r="L12">
        <v>19</v>
      </c>
      <c r="M12">
        <v>35</v>
      </c>
      <c r="O12" s="3">
        <f t="shared" si="19"/>
        <v>100</v>
      </c>
      <c r="P12" s="3">
        <f t="shared" si="20"/>
        <v>108</v>
      </c>
      <c r="Q12" s="3" t="str">
        <f t="shared" si="11"/>
        <v>HW</v>
      </c>
      <c r="R12" s="3" t="str">
        <f t="shared" si="12"/>
        <v>HL</v>
      </c>
      <c r="S12" s="3" t="str">
        <f t="shared" si="13"/>
        <v>HW</v>
      </c>
      <c r="T12" s="3" t="str">
        <f t="shared" si="14"/>
        <v>HL</v>
      </c>
      <c r="U12" s="3" t="str">
        <f t="shared" si="15"/>
        <v>U</v>
      </c>
      <c r="V12" s="3" t="str">
        <f t="shared" si="16"/>
        <v>U</v>
      </c>
      <c r="W12" s="3" t="str">
        <f t="shared" si="17"/>
        <v>U</v>
      </c>
      <c r="X12" s="3" t="str">
        <f t="shared" si="18"/>
        <v>O</v>
      </c>
      <c r="Z12">
        <v>56.5</v>
      </c>
      <c r="AA12" s="3" t="str">
        <f t="shared" si="2"/>
        <v>POR/DEN</v>
      </c>
    </row>
    <row r="13" spans="1:30" ht="17.100000000000001" x14ac:dyDescent="0.45">
      <c r="A13" s="3">
        <v>191024</v>
      </c>
      <c r="C13" t="s">
        <v>56</v>
      </c>
      <c r="D13" t="s">
        <v>47</v>
      </c>
      <c r="E13">
        <v>22</v>
      </c>
      <c r="F13">
        <v>37</v>
      </c>
      <c r="G13">
        <v>24</v>
      </c>
      <c r="H13">
        <v>37</v>
      </c>
      <c r="J13">
        <v>15</v>
      </c>
      <c r="K13">
        <v>36</v>
      </c>
      <c r="L13">
        <v>33</v>
      </c>
      <c r="M13">
        <v>27</v>
      </c>
      <c r="O13" s="3">
        <f t="shared" si="19"/>
        <v>120</v>
      </c>
      <c r="P13" s="3">
        <f t="shared" si="20"/>
        <v>111</v>
      </c>
      <c r="Q13" s="3" t="str">
        <f t="shared" si="11"/>
        <v>HW</v>
      </c>
      <c r="R13" s="3" t="str">
        <f t="shared" si="12"/>
        <v>HW</v>
      </c>
      <c r="S13" s="3" t="str">
        <f t="shared" si="13"/>
        <v>HL</v>
      </c>
      <c r="T13" s="3" t="str">
        <f t="shared" si="14"/>
        <v>HW</v>
      </c>
      <c r="U13" s="3" t="str">
        <f t="shared" si="15"/>
        <v>U</v>
      </c>
      <c r="V13" s="3" t="str">
        <f t="shared" si="16"/>
        <v>O</v>
      </c>
      <c r="W13" s="3" t="str">
        <f t="shared" si="17"/>
        <v>O</v>
      </c>
      <c r="X13" s="3" t="str">
        <f t="shared" si="18"/>
        <v>O</v>
      </c>
      <c r="Z13">
        <v>55.5</v>
      </c>
      <c r="AA13" s="3" t="str">
        <f t="shared" si="2"/>
        <v>SAS/NYK</v>
      </c>
    </row>
    <row r="14" spans="1:30" ht="17.100000000000001" x14ac:dyDescent="0.45">
      <c r="A14" s="3">
        <v>191024</v>
      </c>
      <c r="C14" t="s">
        <v>48</v>
      </c>
      <c r="D14" t="s">
        <v>49</v>
      </c>
      <c r="E14">
        <v>23</v>
      </c>
      <c r="F14">
        <v>26</v>
      </c>
      <c r="G14">
        <v>19</v>
      </c>
      <c r="H14">
        <v>32</v>
      </c>
      <c r="J14">
        <v>12</v>
      </c>
      <c r="K14">
        <v>34</v>
      </c>
      <c r="L14">
        <v>28</v>
      </c>
      <c r="M14">
        <v>21</v>
      </c>
      <c r="O14" s="3">
        <f t="shared" si="19"/>
        <v>100</v>
      </c>
      <c r="P14" s="3">
        <f t="shared" si="20"/>
        <v>95</v>
      </c>
      <c r="Q14" s="3" t="str">
        <f t="shared" ref="Q14" si="21">IF(E14=J14,"TT",IF(E14&gt;J14,"HW","HL"))</f>
        <v>HW</v>
      </c>
      <c r="R14" s="3" t="str">
        <f t="shared" ref="R14" si="22">IF(F14=K14,"TT",IF(F14&gt;K14,"HW","HL"))</f>
        <v>HL</v>
      </c>
      <c r="S14" s="3" t="str">
        <f t="shared" ref="S14" si="23">IF(G14=L14,"TT",IF(G14&gt;L14,"HW","HL"))</f>
        <v>HL</v>
      </c>
      <c r="T14" s="3" t="str">
        <f t="shared" ref="T14" si="24">IF(H14=M14,"TT",IF(H14&gt;M14,"HW","HL"))</f>
        <v>HW</v>
      </c>
      <c r="U14" s="3" t="str">
        <f t="shared" ref="U14" si="25">IF(SUM(E14,J14)=$Z14,"T",IF(SUM(E14,J14)&gt;$Z14,"O","U"))</f>
        <v>U</v>
      </c>
      <c r="V14" s="3" t="str">
        <f t="shared" ref="V14" si="26">IF(SUM(F14,K14)=$Z14,"T",IF(SUM(F14,K14)&gt;$Z14,"O","U"))</f>
        <v>O</v>
      </c>
      <c r="W14" s="3" t="str">
        <f t="shared" ref="W14" si="27">IF(SUM(G14,L14)=$Z14,"T",IF(SUM(G14,L14)&gt;$Z14,"O","U"))</f>
        <v>U</v>
      </c>
      <c r="X14" s="3" t="str">
        <f t="shared" ref="X14" si="28">IF(SUM(H14,M14)=$Z14,"T",IF(SUM(H14,M14)&gt;$Z14,"O","U"))</f>
        <v>U</v>
      </c>
      <c r="Z14">
        <v>57.5</v>
      </c>
      <c r="AA14" s="3" t="str">
        <f t="shared" si="2"/>
        <v>UTA/OKC</v>
      </c>
    </row>
    <row r="15" spans="1:30" ht="17.100000000000001" x14ac:dyDescent="0.45">
      <c r="A15" s="3">
        <v>191025</v>
      </c>
      <c r="B15" s="1">
        <v>0.33333333333333331</v>
      </c>
      <c r="C15" t="s">
        <v>36</v>
      </c>
      <c r="D15" t="s">
        <v>50</v>
      </c>
      <c r="E15">
        <v>32</v>
      </c>
      <c r="F15">
        <v>31</v>
      </c>
      <c r="G15">
        <v>18</v>
      </c>
      <c r="H15">
        <v>19</v>
      </c>
      <c r="J15">
        <v>38</v>
      </c>
      <c r="K15">
        <v>22</v>
      </c>
      <c r="L15">
        <v>31</v>
      </c>
      <c r="M15">
        <v>26</v>
      </c>
      <c r="O15" s="3">
        <f t="shared" ref="O15:O17" si="29">SUM(E15:I15)</f>
        <v>100</v>
      </c>
      <c r="P15" s="3">
        <f t="shared" ref="P15:P17" si="30">SUM(J15:N15)</f>
        <v>117</v>
      </c>
      <c r="Q15" s="3" t="str">
        <f t="shared" ref="Q15:Q17" si="31">IF(E15=J15,"TT",IF(E15&gt;J15,"HW","HL"))</f>
        <v>HL</v>
      </c>
      <c r="R15" s="3" t="str">
        <f t="shared" ref="R15:R17" si="32">IF(F15=K15,"TT",IF(F15&gt;K15,"HW","HL"))</f>
        <v>HW</v>
      </c>
      <c r="S15" s="3" t="str">
        <f t="shared" ref="S15:S17" si="33">IF(G15=L15,"TT",IF(G15&gt;L15,"HW","HL"))</f>
        <v>HL</v>
      </c>
      <c r="T15" s="3" t="str">
        <f t="shared" ref="T15:T17" si="34">IF(H15=M15,"TT",IF(H15&gt;M15,"HW","HL"))</f>
        <v>HL</v>
      </c>
      <c r="U15" s="3" t="str">
        <f t="shared" ref="U15:U17" si="35">IF(SUM(E15,J15)=$Z15,"T",IF(SUM(E15,J15)&gt;$Z15,"O","U"))</f>
        <v>O</v>
      </c>
      <c r="V15" s="3" t="str">
        <f t="shared" ref="V15:V17" si="36">IF(SUM(F15,K15)=$Z15,"T",IF(SUM(F15,K15)&gt;$Z15,"O","U"))</f>
        <v>U</v>
      </c>
      <c r="W15" s="3" t="str">
        <f t="shared" ref="W15:W17" si="37">IF(SUM(G15,L15)=$Z15,"T",IF(SUM(G15,L15)&gt;$Z15,"O","U"))</f>
        <v>U</v>
      </c>
      <c r="X15" s="3" t="str">
        <f t="shared" ref="X15:X17" si="38">IF(SUM(H15,M15)=$Z15,"T",IF(SUM(H15,M15)&gt;$Z15,"O","U"))</f>
        <v>U</v>
      </c>
      <c r="Z15">
        <v>57</v>
      </c>
      <c r="AA15" s="3" t="str">
        <f t="shared" si="2"/>
        <v>DET/ATL</v>
      </c>
    </row>
    <row r="16" spans="1:30" ht="17.100000000000001" x14ac:dyDescent="0.45">
      <c r="A16" s="3">
        <v>191025</v>
      </c>
      <c r="B16" s="1">
        <v>0.47916666666666669</v>
      </c>
      <c r="C16" t="s">
        <v>51</v>
      </c>
      <c r="D16" t="s">
        <v>25</v>
      </c>
      <c r="E16">
        <v>29</v>
      </c>
      <c r="F16">
        <v>25</v>
      </c>
      <c r="G16">
        <v>33</v>
      </c>
      <c r="H16">
        <v>35</v>
      </c>
      <c r="J16">
        <v>35</v>
      </c>
      <c r="K16">
        <v>30</v>
      </c>
      <c r="L16">
        <v>46</v>
      </c>
      <c r="M16">
        <v>30</v>
      </c>
      <c r="O16" s="3">
        <f t="shared" si="29"/>
        <v>122</v>
      </c>
      <c r="P16" s="3">
        <f t="shared" si="30"/>
        <v>141</v>
      </c>
      <c r="Q16" s="3" t="str">
        <f t="shared" si="31"/>
        <v>HL</v>
      </c>
      <c r="R16" s="3" t="str">
        <f t="shared" si="32"/>
        <v>HL</v>
      </c>
      <c r="S16" s="3" t="str">
        <f t="shared" si="33"/>
        <v>HL</v>
      </c>
      <c r="T16" s="3" t="str">
        <f t="shared" si="34"/>
        <v>HW</v>
      </c>
      <c r="U16" s="3" t="str">
        <f t="shared" si="35"/>
        <v>O</v>
      </c>
      <c r="V16" s="3" t="str">
        <f t="shared" si="36"/>
        <v>U</v>
      </c>
      <c r="W16" s="3" t="str">
        <f t="shared" si="37"/>
        <v>O</v>
      </c>
      <c r="X16" s="3" t="str">
        <f t="shared" si="38"/>
        <v>O</v>
      </c>
      <c r="Z16">
        <v>59.5</v>
      </c>
      <c r="AA16" s="3" t="str">
        <f t="shared" si="2"/>
        <v>GS/LAC</v>
      </c>
    </row>
    <row r="17" spans="1:27" ht="17.100000000000001" x14ac:dyDescent="0.45">
      <c r="A17" s="3">
        <v>191025</v>
      </c>
      <c r="B17" s="1">
        <v>0.375</v>
      </c>
      <c r="C17" t="s">
        <v>52</v>
      </c>
      <c r="D17" t="s">
        <v>53</v>
      </c>
      <c r="E17">
        <v>30</v>
      </c>
      <c r="F17">
        <v>36</v>
      </c>
      <c r="G17">
        <v>21</v>
      </c>
      <c r="H17">
        <v>24</v>
      </c>
      <c r="J17">
        <v>23</v>
      </c>
      <c r="K17">
        <v>27</v>
      </c>
      <c r="L17">
        <v>28</v>
      </c>
      <c r="M17">
        <v>39</v>
      </c>
      <c r="O17" s="3">
        <f t="shared" si="29"/>
        <v>111</v>
      </c>
      <c r="P17" s="3">
        <f t="shared" si="30"/>
        <v>117</v>
      </c>
      <c r="Q17" s="3" t="str">
        <f t="shared" si="31"/>
        <v>HW</v>
      </c>
      <c r="R17" s="3" t="str">
        <f t="shared" si="32"/>
        <v>HW</v>
      </c>
      <c r="S17" s="3" t="str">
        <f t="shared" si="33"/>
        <v>HL</v>
      </c>
      <c r="T17" s="3" t="str">
        <f t="shared" si="34"/>
        <v>HL</v>
      </c>
      <c r="U17" s="3" t="str">
        <f t="shared" si="35"/>
        <v>U</v>
      </c>
      <c r="V17" s="3" t="str">
        <f t="shared" si="36"/>
        <v>O</v>
      </c>
      <c r="W17" s="3" t="str">
        <f t="shared" si="37"/>
        <v>U</v>
      </c>
      <c r="X17" s="3" t="str">
        <f t="shared" si="38"/>
        <v>O</v>
      </c>
      <c r="Z17">
        <v>57</v>
      </c>
      <c r="AA17" s="3" t="str">
        <f t="shared" si="2"/>
        <v>HOU/MIL</v>
      </c>
    </row>
    <row r="18" spans="1:27" ht="17.100000000000001" x14ac:dyDescent="0.45">
      <c r="A18" s="3">
        <v>191026</v>
      </c>
      <c r="B18" s="1">
        <v>0.33333333333333331</v>
      </c>
      <c r="C18" t="s">
        <v>42</v>
      </c>
      <c r="D18" t="s">
        <v>28</v>
      </c>
      <c r="E18">
        <v>22</v>
      </c>
      <c r="F18">
        <v>28</v>
      </c>
      <c r="G18">
        <v>26</v>
      </c>
      <c r="H18">
        <v>36</v>
      </c>
      <c r="J18">
        <v>21</v>
      </c>
      <c r="K18">
        <v>28</v>
      </c>
      <c r="L18">
        <v>33</v>
      </c>
      <c r="M18">
        <v>24</v>
      </c>
      <c r="O18" s="3">
        <f t="shared" ref="O18:O26" si="39">SUM(E18:I18)</f>
        <v>112</v>
      </c>
      <c r="P18" s="3">
        <f t="shared" ref="P18:P26" si="40">SUM(J18:N18)</f>
        <v>106</v>
      </c>
      <c r="Q18" s="3" t="str">
        <f t="shared" ref="Q18:Q26" si="41">IF(E18=J18,"TT",IF(E18&gt;J18,"HW","HL"))</f>
        <v>HW</v>
      </c>
      <c r="R18" s="3" t="str">
        <f t="shared" ref="R18:R26" si="42">IF(F18=K18,"TT",IF(F18&gt;K18,"HW","HL"))</f>
        <v>TT</v>
      </c>
      <c r="S18" s="3" t="str">
        <f t="shared" ref="S18:S26" si="43">IF(G18=L18,"TT",IF(G18&gt;L18,"HW","HL"))</f>
        <v>HL</v>
      </c>
      <c r="T18" s="3" t="str">
        <f t="shared" ref="T18:T26" si="44">IF(H18=M18,"TT",IF(H18&gt;M18,"HW","HL"))</f>
        <v>HW</v>
      </c>
      <c r="U18" s="3" t="str">
        <f t="shared" ref="U18:U26" si="45">IF(SUM(E18,J18)=$Z18,"T",IF(SUM(E18,J18)&gt;$Z18,"O","U"))</f>
        <v>U</v>
      </c>
      <c r="V18" s="3" t="str">
        <f t="shared" ref="V18:V26" si="46">IF(SUM(F18,K18)=$Z18,"T",IF(SUM(F18,K18)&gt;$Z18,"O","U"))</f>
        <v>O</v>
      </c>
      <c r="W18" s="3" t="str">
        <f t="shared" ref="W18:W26" si="47">IF(SUM(G18,L18)=$Z18,"T",IF(SUM(G18,L18)&gt;$Z18,"O","U"))</f>
        <v>O</v>
      </c>
      <c r="X18" s="3" t="str">
        <f t="shared" ref="X18:X26" si="48">IF(SUM(H18,M18)=$Z18,"T",IF(SUM(H18,M18)&gt;$Z18,"O","U"))</f>
        <v>O</v>
      </c>
      <c r="Z18">
        <v>55.5</v>
      </c>
      <c r="AA18" s="3" t="str">
        <f t="shared" si="2"/>
        <v>BOS/TOR</v>
      </c>
    </row>
    <row r="19" spans="1:27" ht="17.100000000000001" x14ac:dyDescent="0.45">
      <c r="A19" s="3">
        <v>191026</v>
      </c>
      <c r="B19" s="1">
        <v>0.35416666666666669</v>
      </c>
      <c r="C19" t="s">
        <v>54</v>
      </c>
      <c r="D19" t="s">
        <v>30</v>
      </c>
      <c r="E19">
        <v>32</v>
      </c>
      <c r="F19">
        <v>32</v>
      </c>
      <c r="G19">
        <v>30</v>
      </c>
      <c r="H19">
        <v>19</v>
      </c>
      <c r="J19">
        <v>23</v>
      </c>
      <c r="K19">
        <v>28</v>
      </c>
      <c r="L19">
        <v>32</v>
      </c>
      <c r="M19">
        <v>26</v>
      </c>
      <c r="O19" s="3">
        <f t="shared" si="39"/>
        <v>113</v>
      </c>
      <c r="P19" s="3">
        <f t="shared" si="40"/>
        <v>109</v>
      </c>
      <c r="Q19" s="3" t="str">
        <f t="shared" si="41"/>
        <v>HW</v>
      </c>
      <c r="R19" s="3" t="str">
        <f t="shared" si="42"/>
        <v>HW</v>
      </c>
      <c r="S19" s="3" t="str">
        <f t="shared" si="43"/>
        <v>HL</v>
      </c>
      <c r="T19" s="3" t="str">
        <f t="shared" si="44"/>
        <v>HL</v>
      </c>
      <c r="U19" s="3" t="str">
        <f t="shared" si="45"/>
        <v>U</v>
      </c>
      <c r="V19" s="3" t="str">
        <f t="shared" si="46"/>
        <v>O</v>
      </c>
      <c r="W19" s="3" t="str">
        <f t="shared" si="47"/>
        <v>O</v>
      </c>
      <c r="X19" s="3" t="str">
        <f t="shared" si="48"/>
        <v>U</v>
      </c>
      <c r="Z19">
        <v>58.5</v>
      </c>
      <c r="AA19" s="3" t="str">
        <f t="shared" si="2"/>
        <v>NY/BKN</v>
      </c>
    </row>
    <row r="20" spans="1:27" ht="17.100000000000001" x14ac:dyDescent="0.45">
      <c r="A20" s="3">
        <v>191026</v>
      </c>
      <c r="B20" s="1">
        <v>0.33333333333333331</v>
      </c>
      <c r="C20" t="s">
        <v>31</v>
      </c>
      <c r="D20" t="s">
        <v>29</v>
      </c>
      <c r="E20">
        <v>32</v>
      </c>
      <c r="F20">
        <v>24</v>
      </c>
      <c r="G20">
        <v>25</v>
      </c>
      <c r="H20">
        <v>18</v>
      </c>
      <c r="J20">
        <v>30</v>
      </c>
      <c r="K20">
        <v>28</v>
      </c>
      <c r="L20">
        <v>45</v>
      </c>
      <c r="M20">
        <v>18</v>
      </c>
      <c r="O20" s="3">
        <f t="shared" si="39"/>
        <v>99</v>
      </c>
      <c r="P20" s="3">
        <f t="shared" si="40"/>
        <v>121</v>
      </c>
      <c r="Q20" s="3" t="str">
        <f t="shared" si="41"/>
        <v>HW</v>
      </c>
      <c r="R20" s="3" t="str">
        <f t="shared" si="42"/>
        <v>HL</v>
      </c>
      <c r="S20" s="3" t="str">
        <f t="shared" si="43"/>
        <v>HL</v>
      </c>
      <c r="T20" s="3" t="str">
        <f t="shared" si="44"/>
        <v>TT</v>
      </c>
      <c r="U20" s="3" t="str">
        <f t="shared" si="45"/>
        <v>O</v>
      </c>
      <c r="V20" s="3" t="str">
        <f t="shared" si="46"/>
        <v>U</v>
      </c>
      <c r="W20" s="3" t="str">
        <f t="shared" si="47"/>
        <v>O</v>
      </c>
      <c r="X20" s="3" t="str">
        <f t="shared" si="48"/>
        <v>U</v>
      </c>
      <c r="Z20">
        <v>58.5</v>
      </c>
      <c r="AA20" s="3" t="str">
        <f t="shared" si="2"/>
        <v>CHA/MIN</v>
      </c>
    </row>
    <row r="21" spans="1:27" ht="17.100000000000001" x14ac:dyDescent="0.45">
      <c r="A21" s="3">
        <v>191026</v>
      </c>
      <c r="B21" s="1">
        <v>0.41666666666666669</v>
      </c>
      <c r="C21" t="s">
        <v>46</v>
      </c>
      <c r="D21" t="s">
        <v>43</v>
      </c>
      <c r="E21">
        <v>15</v>
      </c>
      <c r="F21">
        <v>24</v>
      </c>
      <c r="G21">
        <v>25</v>
      </c>
      <c r="H21">
        <v>31</v>
      </c>
      <c r="I21">
        <v>13</v>
      </c>
      <c r="J21">
        <v>21</v>
      </c>
      <c r="K21">
        <v>24</v>
      </c>
      <c r="L21">
        <v>17</v>
      </c>
      <c r="M21">
        <v>33</v>
      </c>
      <c r="N21" s="2">
        <v>12</v>
      </c>
      <c r="O21" s="3">
        <f t="shared" si="39"/>
        <v>108</v>
      </c>
      <c r="P21" s="3">
        <f t="shared" si="40"/>
        <v>107</v>
      </c>
      <c r="Q21" s="3" t="str">
        <f t="shared" si="41"/>
        <v>HL</v>
      </c>
      <c r="R21" s="3" t="str">
        <f t="shared" si="42"/>
        <v>TT</v>
      </c>
      <c r="S21" s="3" t="str">
        <f t="shared" si="43"/>
        <v>HW</v>
      </c>
      <c r="T21" s="3" t="str">
        <f t="shared" si="44"/>
        <v>HL</v>
      </c>
      <c r="U21" s="3" t="str">
        <f t="shared" si="45"/>
        <v>U</v>
      </c>
      <c r="V21" s="3" t="str">
        <f t="shared" si="46"/>
        <v>U</v>
      </c>
      <c r="W21" s="3" t="str">
        <f t="shared" si="47"/>
        <v>U</v>
      </c>
      <c r="X21" s="3" t="str">
        <f t="shared" si="48"/>
        <v>O</v>
      </c>
      <c r="Z21">
        <v>55</v>
      </c>
      <c r="AA21" s="3" t="str">
        <f t="shared" si="2"/>
        <v>DEN/PHO</v>
      </c>
    </row>
    <row r="22" spans="1:27" ht="17.100000000000001" x14ac:dyDescent="0.45">
      <c r="A22" s="3">
        <v>191026</v>
      </c>
      <c r="B22" s="1">
        <v>0.47916666666666669</v>
      </c>
      <c r="C22" t="s">
        <v>26</v>
      </c>
      <c r="D22" t="s">
        <v>48</v>
      </c>
      <c r="E22">
        <v>24</v>
      </c>
      <c r="F22">
        <v>19</v>
      </c>
      <c r="G22">
        <v>31</v>
      </c>
      <c r="H22">
        <v>21</v>
      </c>
      <c r="J22">
        <v>17</v>
      </c>
      <c r="K22">
        <v>20</v>
      </c>
      <c r="L22">
        <v>18</v>
      </c>
      <c r="M22">
        <v>31</v>
      </c>
      <c r="O22" s="3">
        <f t="shared" si="39"/>
        <v>95</v>
      </c>
      <c r="P22" s="3">
        <f t="shared" si="40"/>
        <v>86</v>
      </c>
      <c r="Q22" s="3" t="str">
        <f t="shared" si="41"/>
        <v>HW</v>
      </c>
      <c r="R22" s="3" t="str">
        <f t="shared" si="42"/>
        <v>HL</v>
      </c>
      <c r="S22" s="3" t="str">
        <f t="shared" si="43"/>
        <v>HW</v>
      </c>
      <c r="T22" s="3" t="str">
        <f t="shared" si="44"/>
        <v>HL</v>
      </c>
      <c r="U22" s="3" t="str">
        <f t="shared" si="45"/>
        <v>U</v>
      </c>
      <c r="V22" s="3" t="str">
        <f t="shared" si="46"/>
        <v>U</v>
      </c>
      <c r="W22" s="3" t="str">
        <f t="shared" si="47"/>
        <v>U</v>
      </c>
      <c r="X22" s="3" t="str">
        <f t="shared" si="48"/>
        <v>U</v>
      </c>
      <c r="Z22">
        <v>53.5</v>
      </c>
      <c r="AA22" s="3" t="str">
        <f t="shared" si="2"/>
        <v>LAL/UTA</v>
      </c>
    </row>
    <row r="23" spans="1:27" ht="17.100000000000001" x14ac:dyDescent="0.45">
      <c r="A23" s="3">
        <v>191026</v>
      </c>
      <c r="B23" s="1">
        <v>0.375</v>
      </c>
      <c r="C23" t="s">
        <v>38</v>
      </c>
      <c r="D23" t="s">
        <v>32</v>
      </c>
      <c r="E23">
        <v>29</v>
      </c>
      <c r="F23">
        <v>31</v>
      </c>
      <c r="G23">
        <v>21</v>
      </c>
      <c r="H23">
        <v>21</v>
      </c>
      <c r="J23">
        <v>25</v>
      </c>
      <c r="K23">
        <v>22</v>
      </c>
      <c r="L23">
        <v>32</v>
      </c>
      <c r="M23">
        <v>31</v>
      </c>
      <c r="O23" s="3">
        <f t="shared" si="39"/>
        <v>102</v>
      </c>
      <c r="P23" s="3">
        <f t="shared" si="40"/>
        <v>110</v>
      </c>
      <c r="Q23" s="3" t="str">
        <f t="shared" si="41"/>
        <v>HW</v>
      </c>
      <c r="R23" s="3" t="str">
        <f t="shared" si="42"/>
        <v>HW</v>
      </c>
      <c r="S23" s="3" t="str">
        <f t="shared" si="43"/>
        <v>HL</v>
      </c>
      <c r="T23" s="3" t="str">
        <f t="shared" si="44"/>
        <v>HL</v>
      </c>
      <c r="U23" s="3" t="str">
        <f t="shared" si="45"/>
        <v>U</v>
      </c>
      <c r="V23" s="3" t="str">
        <f t="shared" si="46"/>
        <v>U</v>
      </c>
      <c r="W23" s="3" t="str">
        <f t="shared" si="47"/>
        <v>U</v>
      </c>
      <c r="X23" s="3" t="str">
        <f t="shared" si="48"/>
        <v>U</v>
      </c>
      <c r="Z23">
        <v>55.5</v>
      </c>
      <c r="AA23" s="3" t="str">
        <f t="shared" si="2"/>
        <v>MEM/CHI</v>
      </c>
    </row>
    <row r="24" spans="1:27" ht="17.100000000000001" x14ac:dyDescent="0.45">
      <c r="A24" s="3">
        <v>191026</v>
      </c>
      <c r="B24" s="1">
        <v>0.41666666666666669</v>
      </c>
      <c r="C24" t="s">
        <v>27</v>
      </c>
      <c r="D24" t="s">
        <v>33</v>
      </c>
      <c r="E24">
        <v>41</v>
      </c>
      <c r="F24">
        <v>23</v>
      </c>
      <c r="G24">
        <v>29</v>
      </c>
      <c r="H24">
        <v>23</v>
      </c>
      <c r="J24">
        <v>27</v>
      </c>
      <c r="K24">
        <v>45</v>
      </c>
      <c r="L24">
        <v>23</v>
      </c>
      <c r="M24">
        <v>28</v>
      </c>
      <c r="O24" s="3">
        <f t="shared" si="39"/>
        <v>116</v>
      </c>
      <c r="P24" s="3">
        <f t="shared" si="40"/>
        <v>123</v>
      </c>
      <c r="Q24" s="3" t="str">
        <f t="shared" si="41"/>
        <v>HW</v>
      </c>
      <c r="R24" s="3" t="str">
        <f t="shared" si="42"/>
        <v>HL</v>
      </c>
      <c r="S24" s="3" t="str">
        <f t="shared" si="43"/>
        <v>HW</v>
      </c>
      <c r="T24" s="3" t="str">
        <f t="shared" si="44"/>
        <v>HL</v>
      </c>
      <c r="U24" s="3" t="str">
        <f t="shared" si="45"/>
        <v>O</v>
      </c>
      <c r="V24" s="3" t="str">
        <f t="shared" si="46"/>
        <v>O</v>
      </c>
      <c r="W24" s="3" t="str">
        <f t="shared" si="47"/>
        <v>U</v>
      </c>
      <c r="X24" s="3" t="str">
        <f t="shared" si="48"/>
        <v>U</v>
      </c>
      <c r="Z24">
        <v>58.5</v>
      </c>
      <c r="AA24" s="3" t="str">
        <f t="shared" si="2"/>
        <v>NO/DAL</v>
      </c>
    </row>
    <row r="25" spans="1:27" ht="17.100000000000001" x14ac:dyDescent="0.45">
      <c r="A25" s="3">
        <v>191026</v>
      </c>
      <c r="B25" s="1">
        <v>0.45833333333333331</v>
      </c>
      <c r="C25" t="s">
        <v>49</v>
      </c>
      <c r="D25" t="s">
        <v>34</v>
      </c>
      <c r="E25">
        <v>24</v>
      </c>
      <c r="F25">
        <v>22</v>
      </c>
      <c r="G25">
        <v>24</v>
      </c>
      <c r="H25">
        <v>15</v>
      </c>
      <c r="J25">
        <v>28</v>
      </c>
      <c r="K25">
        <v>24</v>
      </c>
      <c r="L25">
        <v>26</v>
      </c>
      <c r="M25">
        <v>19</v>
      </c>
      <c r="O25" s="3">
        <f t="shared" si="39"/>
        <v>85</v>
      </c>
      <c r="P25" s="3">
        <f t="shared" si="40"/>
        <v>97</v>
      </c>
      <c r="Q25" s="3" t="str">
        <f t="shared" si="41"/>
        <v>HL</v>
      </c>
      <c r="R25" s="3" t="str">
        <f t="shared" si="42"/>
        <v>HL</v>
      </c>
      <c r="S25" s="3" t="str">
        <f t="shared" si="43"/>
        <v>HL</v>
      </c>
      <c r="T25" s="3" t="str">
        <f t="shared" si="44"/>
        <v>HL</v>
      </c>
      <c r="U25" s="3" t="str">
        <f t="shared" si="45"/>
        <v>U</v>
      </c>
      <c r="V25" s="3" t="str">
        <f t="shared" si="46"/>
        <v>U</v>
      </c>
      <c r="W25" s="3" t="str">
        <f t="shared" si="47"/>
        <v>U</v>
      </c>
      <c r="X25" s="3" t="str">
        <f t="shared" si="48"/>
        <v>U</v>
      </c>
      <c r="Z25">
        <v>56.5</v>
      </c>
      <c r="AA25" s="3" t="str">
        <f t="shared" si="2"/>
        <v>OKC/WAS</v>
      </c>
    </row>
    <row r="26" spans="1:27" ht="17.100000000000001" x14ac:dyDescent="0.45">
      <c r="A26" s="3">
        <v>191026</v>
      </c>
      <c r="B26" s="1">
        <v>0.47916666666666669</v>
      </c>
      <c r="C26" t="s">
        <v>44</v>
      </c>
      <c r="D26" t="s">
        <v>45</v>
      </c>
      <c r="E26">
        <v>27</v>
      </c>
      <c r="F26">
        <v>30</v>
      </c>
      <c r="G26">
        <v>27</v>
      </c>
      <c r="H26">
        <v>28</v>
      </c>
      <c r="J26">
        <v>25</v>
      </c>
      <c r="K26">
        <v>32</v>
      </c>
      <c r="L26">
        <v>37</v>
      </c>
      <c r="M26">
        <v>28</v>
      </c>
      <c r="O26" s="3">
        <f t="shared" si="39"/>
        <v>112</v>
      </c>
      <c r="P26" s="3">
        <f t="shared" si="40"/>
        <v>122</v>
      </c>
      <c r="Q26" s="3" t="str">
        <f t="shared" si="41"/>
        <v>HW</v>
      </c>
      <c r="R26" s="3" t="str">
        <f t="shared" si="42"/>
        <v>HL</v>
      </c>
      <c r="S26" s="3" t="str">
        <f t="shared" si="43"/>
        <v>HL</v>
      </c>
      <c r="T26" s="3" t="str">
        <f t="shared" si="44"/>
        <v>TT</v>
      </c>
      <c r="U26" s="3" t="str">
        <f t="shared" si="45"/>
        <v>U</v>
      </c>
      <c r="V26" s="3" t="str">
        <f t="shared" si="46"/>
        <v>O</v>
      </c>
      <c r="W26" s="3" t="str">
        <f t="shared" si="47"/>
        <v>O</v>
      </c>
      <c r="X26" s="3" t="str">
        <f t="shared" si="48"/>
        <v>O</v>
      </c>
      <c r="Z26">
        <v>55.5</v>
      </c>
      <c r="AA26" t="str">
        <f t="shared" si="2"/>
        <v>SAC/POR</v>
      </c>
    </row>
    <row r="27" spans="1:27" ht="17.100000000000001" x14ac:dyDescent="0.45">
      <c r="A27" s="3">
        <v>191027</v>
      </c>
      <c r="B27" s="1">
        <v>0.25</v>
      </c>
      <c r="C27" t="s">
        <v>53</v>
      </c>
      <c r="D27" t="s">
        <v>37</v>
      </c>
      <c r="E27">
        <v>33</v>
      </c>
      <c r="F27">
        <v>37</v>
      </c>
      <c r="G27">
        <v>23</v>
      </c>
      <c r="H27">
        <v>28</v>
      </c>
      <c r="I27">
        <v>5</v>
      </c>
      <c r="J27">
        <v>29</v>
      </c>
      <c r="K27">
        <v>24</v>
      </c>
      <c r="L27">
        <v>29</v>
      </c>
      <c r="M27">
        <v>39</v>
      </c>
      <c r="N27" s="2">
        <v>10</v>
      </c>
      <c r="O27" s="3">
        <f t="shared" ref="O27:O36" si="49">SUM(E27:I27)</f>
        <v>126</v>
      </c>
      <c r="P27" s="3">
        <f t="shared" ref="P27:P52" si="50">SUM(J27:N27)</f>
        <v>131</v>
      </c>
      <c r="Q27" s="3" t="str">
        <f t="shared" ref="Q27:Q52" si="51">IF(E27=J27,"TT",IF(E27&gt;J27,"HW","HL"))</f>
        <v>HW</v>
      </c>
      <c r="R27" s="3" t="str">
        <f t="shared" ref="R27:R52" si="52">IF(F27=K27,"TT",IF(F27&gt;K27,"HW","HL"))</f>
        <v>HW</v>
      </c>
      <c r="S27" s="3" t="str">
        <f t="shared" ref="S27:S52" si="53">IF(G27=L27,"TT",IF(G27&gt;L27,"HW","HL"))</f>
        <v>HL</v>
      </c>
      <c r="T27" s="3" t="str">
        <f t="shared" ref="T27:T52" si="54">IF(H27=M27,"TT",IF(H27&gt;M27,"HW","HL"))</f>
        <v>HL</v>
      </c>
      <c r="U27" s="3" t="str">
        <f t="shared" ref="U27:U52" si="55">IF(SUM(E27,J27)=$Z27,"T",IF(SUM(E27,J27)&gt;$Z27,"O","U"))</f>
        <v>O</v>
      </c>
      <c r="V27" s="3" t="str">
        <f t="shared" ref="V27:V52" si="56">IF(SUM(F27,K27)=$Z27,"T",IF(SUM(F27,K27)&gt;$Z27,"O","U"))</f>
        <v>O</v>
      </c>
      <c r="W27" s="3" t="str">
        <f t="shared" ref="W27:W52" si="57">IF(SUM(G27,L27)=$Z27,"T",IF(SUM(G27,L27)&gt;$Z27,"O","U"))</f>
        <v>U</v>
      </c>
      <c r="X27" s="3" t="str">
        <f t="shared" ref="X27:X52" si="58">IF(SUM(H27,M27)=$Z27,"T",IF(SUM(H27,M27)&gt;$Z27,"O","U"))</f>
        <v>O</v>
      </c>
      <c r="Z27">
        <v>57.5</v>
      </c>
      <c r="AA27" t="str">
        <f t="shared" si="2"/>
        <v>MIL/MIA</v>
      </c>
    </row>
    <row r="28" spans="1:27" ht="17.100000000000001" x14ac:dyDescent="0.45">
      <c r="A28" s="3">
        <v>191027</v>
      </c>
      <c r="B28" s="1">
        <v>0.33333333333333331</v>
      </c>
      <c r="C28" t="s">
        <v>36</v>
      </c>
      <c r="D28" t="s">
        <v>41</v>
      </c>
      <c r="E28">
        <v>29</v>
      </c>
      <c r="F28">
        <v>28</v>
      </c>
      <c r="G28">
        <v>26</v>
      </c>
      <c r="H28">
        <v>28</v>
      </c>
      <c r="J28">
        <v>28</v>
      </c>
      <c r="K28">
        <v>26</v>
      </c>
      <c r="L28">
        <v>29</v>
      </c>
      <c r="M28">
        <v>34</v>
      </c>
      <c r="O28" s="3">
        <f t="shared" si="49"/>
        <v>111</v>
      </c>
      <c r="P28" s="3">
        <f t="shared" si="50"/>
        <v>117</v>
      </c>
      <c r="Q28" s="3" t="str">
        <f t="shared" si="51"/>
        <v>HW</v>
      </c>
      <c r="R28" s="3" t="str">
        <f t="shared" si="52"/>
        <v>HW</v>
      </c>
      <c r="S28" s="3" t="str">
        <f t="shared" si="53"/>
        <v>HL</v>
      </c>
      <c r="T28" s="3" t="str">
        <f t="shared" si="54"/>
        <v>HL</v>
      </c>
      <c r="U28" s="3" t="str">
        <f t="shared" si="55"/>
        <v>O</v>
      </c>
      <c r="V28" s="3" t="str">
        <f t="shared" si="56"/>
        <v>U</v>
      </c>
      <c r="W28" s="3" t="str">
        <f t="shared" si="57"/>
        <v>T</v>
      </c>
      <c r="X28" s="3" t="str">
        <f t="shared" si="58"/>
        <v>O</v>
      </c>
      <c r="Z28">
        <v>55</v>
      </c>
      <c r="AA28" t="str">
        <f t="shared" si="2"/>
        <v>DET/PHI</v>
      </c>
    </row>
    <row r="29" spans="1:27" ht="17.100000000000001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>
        <v>23</v>
      </c>
      <c r="F29">
        <v>29</v>
      </c>
      <c r="G29">
        <v>25</v>
      </c>
      <c r="H29">
        <v>26</v>
      </c>
      <c r="J29">
        <v>26</v>
      </c>
      <c r="K29">
        <v>24</v>
      </c>
      <c r="L29">
        <v>25</v>
      </c>
      <c r="M29">
        <v>24</v>
      </c>
      <c r="O29" s="3">
        <f t="shared" si="49"/>
        <v>103</v>
      </c>
      <c r="P29" s="3">
        <f t="shared" si="50"/>
        <v>99</v>
      </c>
      <c r="Q29" s="3" t="str">
        <f t="shared" si="51"/>
        <v>HL</v>
      </c>
      <c r="R29" s="3" t="str">
        <f t="shared" si="52"/>
        <v>HW</v>
      </c>
      <c r="S29" s="3" t="str">
        <f t="shared" si="53"/>
        <v>TT</v>
      </c>
      <c r="T29" s="3" t="str">
        <f t="shared" si="54"/>
        <v>HW</v>
      </c>
      <c r="U29" s="3" t="str">
        <f t="shared" si="55"/>
        <v>U</v>
      </c>
      <c r="V29" s="3" t="str">
        <f t="shared" si="56"/>
        <v>U</v>
      </c>
      <c r="W29" s="3" t="str">
        <f t="shared" si="57"/>
        <v>U</v>
      </c>
      <c r="X29" s="3" t="str">
        <f t="shared" si="58"/>
        <v>U</v>
      </c>
      <c r="Z29">
        <v>56</v>
      </c>
      <c r="AA29" t="str">
        <f t="shared" si="2"/>
        <v>ATL/ORL</v>
      </c>
    </row>
    <row r="30" spans="1:27" ht="17.100000000000001" x14ac:dyDescent="0.45">
      <c r="A30" s="3">
        <v>191027</v>
      </c>
      <c r="B30" s="1">
        <v>0.375</v>
      </c>
      <c r="C30" t="s">
        <v>54</v>
      </c>
      <c r="D30" t="s">
        <v>42</v>
      </c>
      <c r="E30">
        <v>24</v>
      </c>
      <c r="F30">
        <v>27</v>
      </c>
      <c r="G30">
        <v>25</v>
      </c>
      <c r="H30">
        <v>19</v>
      </c>
      <c r="J30">
        <v>22</v>
      </c>
      <c r="K30">
        <v>24</v>
      </c>
      <c r="L30">
        <v>36</v>
      </c>
      <c r="M30">
        <v>36</v>
      </c>
      <c r="O30" s="3">
        <f t="shared" si="49"/>
        <v>95</v>
      </c>
      <c r="P30" s="3">
        <f t="shared" si="50"/>
        <v>118</v>
      </c>
      <c r="Q30" s="3" t="str">
        <f t="shared" si="51"/>
        <v>HW</v>
      </c>
      <c r="R30" s="3" t="str">
        <f t="shared" si="52"/>
        <v>HW</v>
      </c>
      <c r="S30" s="3" t="str">
        <f t="shared" si="53"/>
        <v>HL</v>
      </c>
      <c r="T30" s="3" t="str">
        <f t="shared" si="54"/>
        <v>HL</v>
      </c>
      <c r="U30" s="3" t="str">
        <f t="shared" si="55"/>
        <v>U</v>
      </c>
      <c r="V30" s="3" t="str">
        <f t="shared" si="56"/>
        <v>U</v>
      </c>
      <c r="W30" s="3" t="str">
        <f t="shared" si="57"/>
        <v>O</v>
      </c>
      <c r="X30" s="3" t="str">
        <f t="shared" si="58"/>
        <v>O</v>
      </c>
      <c r="Z30">
        <v>53.5</v>
      </c>
      <c r="AA30" t="str">
        <f t="shared" si="2"/>
        <v>NY/BOS</v>
      </c>
    </row>
    <row r="31" spans="1:27" ht="17.100000000000001" x14ac:dyDescent="0.45">
      <c r="A31" s="3">
        <v>191027</v>
      </c>
      <c r="B31" s="1">
        <v>0.375</v>
      </c>
      <c r="C31" t="s">
        <v>32</v>
      </c>
      <c r="D31" t="s">
        <v>28</v>
      </c>
      <c r="E31">
        <v>23</v>
      </c>
      <c r="F31">
        <v>17</v>
      </c>
      <c r="G31">
        <v>22</v>
      </c>
      <c r="H31">
        <v>22</v>
      </c>
      <c r="J31">
        <v>24</v>
      </c>
      <c r="K31">
        <v>24</v>
      </c>
      <c r="L31">
        <v>36</v>
      </c>
      <c r="M31">
        <v>24</v>
      </c>
      <c r="O31" s="3">
        <f t="shared" si="49"/>
        <v>84</v>
      </c>
      <c r="P31" s="3">
        <f t="shared" si="50"/>
        <v>108</v>
      </c>
      <c r="Q31" s="3" t="str">
        <f t="shared" si="51"/>
        <v>HL</v>
      </c>
      <c r="R31" s="3" t="str">
        <f t="shared" si="52"/>
        <v>HL</v>
      </c>
      <c r="S31" s="3" t="str">
        <f t="shared" si="53"/>
        <v>HL</v>
      </c>
      <c r="T31" s="3" t="str">
        <f t="shared" si="54"/>
        <v>HL</v>
      </c>
      <c r="U31" s="3" t="str">
        <f t="shared" si="55"/>
        <v>U</v>
      </c>
      <c r="V31" s="3" t="str">
        <f t="shared" si="56"/>
        <v>U</v>
      </c>
      <c r="W31" s="3" t="str">
        <f t="shared" si="57"/>
        <v>O</v>
      </c>
      <c r="X31" s="3" t="str">
        <f t="shared" si="58"/>
        <v>U</v>
      </c>
      <c r="Z31">
        <v>57</v>
      </c>
      <c r="AA31" t="str">
        <f t="shared" si="2"/>
        <v>CHI/TOR</v>
      </c>
    </row>
    <row r="32" spans="1:27" ht="17.100000000000001" x14ac:dyDescent="0.45">
      <c r="A32" s="3">
        <v>191027</v>
      </c>
      <c r="B32" s="1">
        <v>0.375</v>
      </c>
      <c r="C32" t="s">
        <v>40</v>
      </c>
      <c r="D32" t="s">
        <v>35</v>
      </c>
      <c r="E32">
        <v>26</v>
      </c>
      <c r="F32">
        <v>39</v>
      </c>
      <c r="G32">
        <v>25</v>
      </c>
      <c r="H32">
        <v>20</v>
      </c>
      <c r="J32">
        <v>28</v>
      </c>
      <c r="K32">
        <v>20</v>
      </c>
      <c r="L32">
        <v>26</v>
      </c>
      <c r="M32">
        <v>25</v>
      </c>
      <c r="O32" s="3">
        <f t="shared" si="49"/>
        <v>110</v>
      </c>
      <c r="P32" s="3">
        <f t="shared" si="50"/>
        <v>99</v>
      </c>
      <c r="Q32" s="3" t="str">
        <f t="shared" si="51"/>
        <v>HL</v>
      </c>
      <c r="R32" s="3" t="str">
        <f t="shared" si="52"/>
        <v>HW</v>
      </c>
      <c r="S32" s="3" t="str">
        <f t="shared" si="53"/>
        <v>HL</v>
      </c>
      <c r="T32" s="3" t="str">
        <f t="shared" si="54"/>
        <v>HL</v>
      </c>
      <c r="U32" s="3" t="str">
        <f t="shared" si="55"/>
        <v>U</v>
      </c>
      <c r="V32" s="3" t="str">
        <f t="shared" si="56"/>
        <v>O</v>
      </c>
      <c r="W32" s="3" t="str">
        <f t="shared" si="57"/>
        <v>U</v>
      </c>
      <c r="X32" s="3" t="str">
        <f t="shared" si="58"/>
        <v>U</v>
      </c>
      <c r="Z32">
        <v>55</v>
      </c>
      <c r="AA32" t="str">
        <f t="shared" si="2"/>
        <v>CLE/IND</v>
      </c>
    </row>
    <row r="33" spans="1:27" ht="17.100000000000001" x14ac:dyDescent="0.45">
      <c r="A33" s="3">
        <v>191027</v>
      </c>
      <c r="B33" s="1">
        <v>0.375</v>
      </c>
      <c r="C33" t="s">
        <v>52</v>
      </c>
      <c r="D33" t="s">
        <v>27</v>
      </c>
      <c r="E33">
        <v>29</v>
      </c>
      <c r="F33">
        <v>32</v>
      </c>
      <c r="G33">
        <v>36</v>
      </c>
      <c r="H33">
        <v>29</v>
      </c>
      <c r="J33">
        <v>24</v>
      </c>
      <c r="K33">
        <v>37</v>
      </c>
      <c r="L33">
        <v>39</v>
      </c>
      <c r="M33">
        <v>23</v>
      </c>
      <c r="O33" s="3">
        <f t="shared" si="49"/>
        <v>126</v>
      </c>
      <c r="P33" s="3">
        <f t="shared" si="50"/>
        <v>123</v>
      </c>
      <c r="Q33" s="3" t="str">
        <f t="shared" si="51"/>
        <v>HW</v>
      </c>
      <c r="R33" s="3" t="str">
        <f t="shared" si="52"/>
        <v>HL</v>
      </c>
      <c r="S33" s="3" t="str">
        <f t="shared" si="53"/>
        <v>HL</v>
      </c>
      <c r="T33" s="3" t="str">
        <f t="shared" si="54"/>
        <v>HW</v>
      </c>
      <c r="U33" s="3" t="str">
        <f t="shared" si="55"/>
        <v>U</v>
      </c>
      <c r="V33" s="3" t="str">
        <f t="shared" si="56"/>
        <v>O</v>
      </c>
      <c r="W33" s="3" t="str">
        <f t="shared" si="57"/>
        <v>O</v>
      </c>
      <c r="X33" s="3" t="str">
        <f t="shared" si="58"/>
        <v>U</v>
      </c>
      <c r="Z33">
        <v>61</v>
      </c>
      <c r="AA33" t="str">
        <f t="shared" si="2"/>
        <v>HOU/NO</v>
      </c>
    </row>
    <row r="34" spans="1:27" ht="17.100000000000001" x14ac:dyDescent="0.45">
      <c r="A34" s="3">
        <v>191027</v>
      </c>
      <c r="B34" s="1">
        <v>0.39583333333333331</v>
      </c>
      <c r="C34" t="s">
        <v>56</v>
      </c>
      <c r="D34" t="s">
        <v>34</v>
      </c>
      <c r="E34">
        <v>30</v>
      </c>
      <c r="F34">
        <v>30</v>
      </c>
      <c r="G34">
        <v>32</v>
      </c>
      <c r="H34">
        <v>32</v>
      </c>
      <c r="J34">
        <v>26</v>
      </c>
      <c r="K34">
        <v>34</v>
      </c>
      <c r="L34">
        <v>30</v>
      </c>
      <c r="M34">
        <v>32</v>
      </c>
      <c r="O34" s="3">
        <f t="shared" si="49"/>
        <v>124</v>
      </c>
      <c r="P34" s="3">
        <f t="shared" si="50"/>
        <v>122</v>
      </c>
      <c r="Q34" s="3" t="str">
        <f t="shared" si="51"/>
        <v>HW</v>
      </c>
      <c r="R34" s="3" t="str">
        <f t="shared" si="52"/>
        <v>HL</v>
      </c>
      <c r="S34" s="3" t="str">
        <f t="shared" si="53"/>
        <v>HW</v>
      </c>
      <c r="T34" s="3" t="str">
        <f t="shared" si="54"/>
        <v>TT</v>
      </c>
      <c r="U34" s="3" t="str">
        <f t="shared" si="55"/>
        <v>U</v>
      </c>
      <c r="V34" s="3" t="str">
        <f t="shared" si="56"/>
        <v>O</v>
      </c>
      <c r="W34" s="3" t="str">
        <f t="shared" si="57"/>
        <v>O</v>
      </c>
      <c r="X34" s="3" t="str">
        <f t="shared" si="58"/>
        <v>O</v>
      </c>
      <c r="Z34">
        <v>56.5</v>
      </c>
      <c r="AA34" t="str">
        <f t="shared" si="2"/>
        <v>SAS/WAS</v>
      </c>
    </row>
    <row r="35" spans="1:27" ht="17.100000000000001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>
        <v>35</v>
      </c>
      <c r="F35">
        <v>31</v>
      </c>
      <c r="G35">
        <v>27</v>
      </c>
      <c r="H35">
        <v>20</v>
      </c>
      <c r="J35">
        <v>25</v>
      </c>
      <c r="K35">
        <v>16</v>
      </c>
      <c r="L35">
        <v>17</v>
      </c>
      <c r="M35">
        <v>23</v>
      </c>
      <c r="O35" s="3">
        <f t="shared" si="49"/>
        <v>113</v>
      </c>
      <c r="P35" s="3">
        <f t="shared" si="50"/>
        <v>81</v>
      </c>
      <c r="Q35" s="3" t="str">
        <f t="shared" si="51"/>
        <v>HW</v>
      </c>
      <c r="R35" s="3" t="str">
        <f t="shared" si="52"/>
        <v>HW</v>
      </c>
      <c r="S35" s="3" t="str">
        <f t="shared" si="53"/>
        <v>HW</v>
      </c>
      <c r="T35" s="3" t="str">
        <f t="shared" si="54"/>
        <v>HL</v>
      </c>
      <c r="U35" s="3" t="str">
        <f t="shared" si="55"/>
        <v>O</v>
      </c>
      <c r="V35" s="3" t="str">
        <f t="shared" si="56"/>
        <v>U</v>
      </c>
      <c r="W35" s="3" t="str">
        <f t="shared" si="57"/>
        <v>U</v>
      </c>
      <c r="X35" s="3" t="str">
        <f t="shared" si="58"/>
        <v>U</v>
      </c>
      <c r="Z35">
        <v>57</v>
      </c>
      <c r="AA35" t="str">
        <f t="shared" si="2"/>
        <v>UTA/SAC</v>
      </c>
    </row>
    <row r="36" spans="1:27" ht="17.100000000000001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>
        <v>26</v>
      </c>
      <c r="F36">
        <v>29</v>
      </c>
      <c r="G36">
        <v>36</v>
      </c>
      <c r="H36">
        <v>39</v>
      </c>
      <c r="J36">
        <v>22</v>
      </c>
      <c r="K36">
        <v>33</v>
      </c>
      <c r="L36">
        <v>30</v>
      </c>
      <c r="M36">
        <v>37</v>
      </c>
      <c r="O36" s="3">
        <f t="shared" si="49"/>
        <v>130</v>
      </c>
      <c r="P36" s="3">
        <f t="shared" si="50"/>
        <v>122</v>
      </c>
      <c r="Q36" s="3" t="str">
        <f t="shared" si="51"/>
        <v>HW</v>
      </c>
      <c r="R36" s="3" t="str">
        <f t="shared" si="52"/>
        <v>HL</v>
      </c>
      <c r="S36" s="3" t="str">
        <f t="shared" si="53"/>
        <v>HW</v>
      </c>
      <c r="T36" s="3" t="str">
        <f t="shared" si="54"/>
        <v>HW</v>
      </c>
      <c r="U36" s="3" t="str">
        <f t="shared" si="55"/>
        <v>U</v>
      </c>
      <c r="V36" s="3" t="str">
        <f t="shared" si="56"/>
        <v>O</v>
      </c>
      <c r="W36" s="3" t="str">
        <f t="shared" si="57"/>
        <v>O</v>
      </c>
      <c r="X36" s="3" t="str">
        <f t="shared" si="58"/>
        <v>O</v>
      </c>
      <c r="Z36">
        <v>58.5</v>
      </c>
      <c r="AA36" t="str">
        <f t="shared" si="2"/>
        <v>PHO/LAC</v>
      </c>
    </row>
    <row r="37" spans="1:27" ht="17.100000000000001" x14ac:dyDescent="0.45">
      <c r="A37" s="3">
        <v>191028</v>
      </c>
      <c r="B37" s="7">
        <v>0.1875</v>
      </c>
      <c r="C37" s="3" t="s">
        <v>49</v>
      </c>
      <c r="D37" s="3" t="s">
        <v>51</v>
      </c>
      <c r="E37" s="3">
        <v>35</v>
      </c>
      <c r="F37" s="3">
        <v>35</v>
      </c>
      <c r="G37" s="3">
        <v>35</v>
      </c>
      <c r="H37" s="3">
        <v>15</v>
      </c>
      <c r="I37" s="3"/>
      <c r="J37" s="3">
        <v>20</v>
      </c>
      <c r="K37" s="3">
        <v>17</v>
      </c>
      <c r="L37" s="3">
        <v>31</v>
      </c>
      <c r="M37" s="3">
        <v>24</v>
      </c>
      <c r="N37" s="3"/>
      <c r="O37" s="3">
        <f t="shared" ref="O37:O52" si="59">SUM(E37:I37)</f>
        <v>120</v>
      </c>
      <c r="P37" s="3">
        <f t="shared" si="50"/>
        <v>92</v>
      </c>
      <c r="Q37" s="3" t="str">
        <f t="shared" si="51"/>
        <v>HW</v>
      </c>
      <c r="R37" s="3" t="str">
        <f t="shared" si="52"/>
        <v>HW</v>
      </c>
      <c r="S37" s="3" t="str">
        <f t="shared" si="53"/>
        <v>HW</v>
      </c>
      <c r="T37" s="3" t="str">
        <f t="shared" si="54"/>
        <v>HL</v>
      </c>
      <c r="U37" s="3" t="str">
        <f t="shared" si="55"/>
        <v>U</v>
      </c>
      <c r="V37" s="3" t="str">
        <f t="shared" si="56"/>
        <v>U</v>
      </c>
      <c r="W37" s="3" t="str">
        <f t="shared" si="57"/>
        <v>O</v>
      </c>
      <c r="X37" s="3" t="str">
        <f t="shared" si="58"/>
        <v>U</v>
      </c>
      <c r="Y37" s="3"/>
      <c r="Z37" s="3">
        <v>57.5</v>
      </c>
      <c r="AA37" t="s">
        <v>90</v>
      </c>
    </row>
    <row r="38" spans="1:27" ht="17.100000000000001" x14ac:dyDescent="0.45">
      <c r="A38" s="3">
        <v>191028</v>
      </c>
      <c r="B38" s="4">
        <v>0.29166666666666669</v>
      </c>
      <c r="C38" s="3" t="s">
        <v>38</v>
      </c>
      <c r="D38" s="3" t="s">
        <v>30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59"/>
        <v>134</v>
      </c>
      <c r="P38" s="3">
        <f t="shared" si="50"/>
        <v>133</v>
      </c>
      <c r="Q38" s="3" t="str">
        <f t="shared" si="51"/>
        <v>HW</v>
      </c>
      <c r="R38" s="3" t="str">
        <f t="shared" si="52"/>
        <v>HL</v>
      </c>
      <c r="S38" s="3" t="str">
        <f t="shared" si="53"/>
        <v>HL</v>
      </c>
      <c r="T38" s="3" t="str">
        <f t="shared" si="54"/>
        <v>HW</v>
      </c>
      <c r="U38" s="3" t="str">
        <f t="shared" si="55"/>
        <v>O</v>
      </c>
      <c r="V38" s="3" t="str">
        <f t="shared" si="56"/>
        <v>U</v>
      </c>
      <c r="W38" s="3" t="str">
        <f t="shared" si="57"/>
        <v>O</v>
      </c>
      <c r="X38" s="3" t="str">
        <f t="shared" si="58"/>
        <v>U</v>
      </c>
      <c r="Y38" s="3"/>
      <c r="Z38" s="3">
        <v>54.5</v>
      </c>
      <c r="AA38" t="s">
        <v>91</v>
      </c>
    </row>
    <row r="39" spans="1:27" ht="17.100000000000001" x14ac:dyDescent="0.45">
      <c r="A39" s="3">
        <v>191028</v>
      </c>
      <c r="B39" s="1">
        <v>0.33333333333333331</v>
      </c>
      <c r="C39" s="3" t="s">
        <v>33</v>
      </c>
      <c r="D39" s="3" t="s">
        <v>45</v>
      </c>
      <c r="E39" s="3">
        <v>40</v>
      </c>
      <c r="F39" s="3">
        <v>31</v>
      </c>
      <c r="G39" s="3">
        <v>24</v>
      </c>
      <c r="H39" s="3">
        <v>24</v>
      </c>
      <c r="I39" s="3"/>
      <c r="J39" s="3">
        <v>25</v>
      </c>
      <c r="K39" s="3">
        <v>34</v>
      </c>
      <c r="L39" s="3">
        <v>36</v>
      </c>
      <c r="M39" s="3">
        <v>26</v>
      </c>
      <c r="N39" s="3"/>
      <c r="O39" s="3">
        <f t="shared" si="59"/>
        <v>119</v>
      </c>
      <c r="P39" s="3">
        <f t="shared" si="50"/>
        <v>121</v>
      </c>
      <c r="Q39" s="3" t="str">
        <f t="shared" si="51"/>
        <v>HW</v>
      </c>
      <c r="R39" s="3" t="str">
        <f t="shared" si="52"/>
        <v>HL</v>
      </c>
      <c r="S39" s="3" t="str">
        <f t="shared" si="53"/>
        <v>HL</v>
      </c>
      <c r="T39" s="3" t="str">
        <f t="shared" si="54"/>
        <v>HL</v>
      </c>
      <c r="U39" s="3" t="str">
        <f t="shared" si="55"/>
        <v>O</v>
      </c>
      <c r="V39" s="3" t="str">
        <f t="shared" si="56"/>
        <v>O</v>
      </c>
      <c r="W39" s="3" t="str">
        <f t="shared" si="57"/>
        <v>O</v>
      </c>
      <c r="X39" s="3" t="str">
        <f t="shared" si="58"/>
        <v>U</v>
      </c>
      <c r="Y39" s="3"/>
      <c r="Z39" s="3">
        <v>54</v>
      </c>
      <c r="AA39" t="s">
        <v>92</v>
      </c>
    </row>
    <row r="40" spans="1:27" ht="17.100000000000001" x14ac:dyDescent="0.45">
      <c r="A40" s="3">
        <v>191028</v>
      </c>
      <c r="B40" s="1">
        <v>0.33333333333333331</v>
      </c>
      <c r="C40" s="3" t="s">
        <v>29</v>
      </c>
      <c r="D40" s="6" t="s">
        <v>37</v>
      </c>
      <c r="E40" s="3">
        <v>36</v>
      </c>
      <c r="F40" s="3">
        <v>19</v>
      </c>
      <c r="G40" s="3">
        <v>22</v>
      </c>
      <c r="H40" s="3">
        <v>39</v>
      </c>
      <c r="I40" s="3"/>
      <c r="J40" s="3">
        <v>23</v>
      </c>
      <c r="K40" s="3">
        <v>34</v>
      </c>
      <c r="L40" s="3">
        <v>27</v>
      </c>
      <c r="M40" s="3">
        <v>25</v>
      </c>
      <c r="N40" s="3"/>
      <c r="O40" s="3">
        <f t="shared" si="59"/>
        <v>116</v>
      </c>
      <c r="P40" s="3">
        <f t="shared" si="50"/>
        <v>109</v>
      </c>
      <c r="Q40" s="3" t="str">
        <f t="shared" si="51"/>
        <v>HW</v>
      </c>
      <c r="R40" s="3" t="str">
        <f t="shared" si="52"/>
        <v>HL</v>
      </c>
      <c r="S40" s="3" t="str">
        <f t="shared" si="53"/>
        <v>HL</v>
      </c>
      <c r="T40" s="3" t="str">
        <f t="shared" si="54"/>
        <v>HW</v>
      </c>
      <c r="U40" s="3" t="str">
        <f t="shared" si="55"/>
        <v>O</v>
      </c>
      <c r="V40" s="3" t="str">
        <f t="shared" si="56"/>
        <v>U</v>
      </c>
      <c r="W40" s="3" t="str">
        <f t="shared" si="57"/>
        <v>U</v>
      </c>
      <c r="X40" s="3" t="str">
        <f t="shared" si="58"/>
        <v>O</v>
      </c>
      <c r="Y40" s="3"/>
      <c r="Z40" s="3">
        <v>54</v>
      </c>
      <c r="AA40" t="s">
        <v>93</v>
      </c>
    </row>
    <row r="41" spans="1:27" ht="17.100000000000001" x14ac:dyDescent="0.45">
      <c r="A41" s="3">
        <v>191028</v>
      </c>
      <c r="B41" s="4">
        <v>0.4375</v>
      </c>
      <c r="C41" s="3" t="s">
        <v>26</v>
      </c>
      <c r="D41" s="3" t="s">
        <v>31</v>
      </c>
      <c r="E41" s="3">
        <v>30</v>
      </c>
      <c r="F41" s="3">
        <v>33</v>
      </c>
      <c r="G41" s="3">
        <v>24</v>
      </c>
      <c r="H41" s="3">
        <v>33</v>
      </c>
      <c r="I41" s="3"/>
      <c r="J41" s="3">
        <v>28</v>
      </c>
      <c r="K41" s="3">
        <v>34</v>
      </c>
      <c r="L41" s="3">
        <v>18</v>
      </c>
      <c r="M41" s="3">
        <v>21</v>
      </c>
      <c r="N41" s="3"/>
      <c r="O41" s="3">
        <f t="shared" si="59"/>
        <v>120</v>
      </c>
      <c r="P41" s="3">
        <f t="shared" si="50"/>
        <v>101</v>
      </c>
      <c r="Q41" s="3" t="str">
        <f t="shared" si="51"/>
        <v>HW</v>
      </c>
      <c r="R41" s="3" t="str">
        <f t="shared" si="52"/>
        <v>HL</v>
      </c>
      <c r="S41" s="3" t="str">
        <f t="shared" si="53"/>
        <v>HW</v>
      </c>
      <c r="T41" s="3" t="str">
        <f t="shared" si="54"/>
        <v>HW</v>
      </c>
      <c r="U41" s="3" t="str">
        <f t="shared" si="55"/>
        <v>O</v>
      </c>
      <c r="V41" s="3" t="str">
        <f t="shared" si="56"/>
        <v>O</v>
      </c>
      <c r="W41" s="3" t="str">
        <f t="shared" si="57"/>
        <v>U</v>
      </c>
      <c r="X41" s="3" t="str">
        <f t="shared" si="58"/>
        <v>U</v>
      </c>
      <c r="Y41" s="3"/>
      <c r="Z41" s="3">
        <v>56</v>
      </c>
      <c r="AA41" t="s">
        <v>94</v>
      </c>
    </row>
    <row r="42" spans="1:27" ht="17.100000000000001" x14ac:dyDescent="0.45">
      <c r="A42" s="3">
        <v>191029</v>
      </c>
      <c r="B42" s="1">
        <v>0.33333333333333331</v>
      </c>
      <c r="C42" s="3" t="s">
        <v>36</v>
      </c>
      <c r="D42" s="3" t="s">
        <v>35</v>
      </c>
      <c r="E42" s="3">
        <v>33</v>
      </c>
      <c r="F42" s="3">
        <v>26</v>
      </c>
      <c r="G42" s="3">
        <v>19</v>
      </c>
      <c r="H42" s="3">
        <v>18</v>
      </c>
      <c r="I42" s="3"/>
      <c r="J42" s="3">
        <v>25</v>
      </c>
      <c r="K42" s="3">
        <v>28</v>
      </c>
      <c r="L42" s="3">
        <v>18</v>
      </c>
      <c r="M42" s="3">
        <v>23</v>
      </c>
      <c r="N42" s="3"/>
      <c r="O42" s="3">
        <f t="shared" si="59"/>
        <v>96</v>
      </c>
      <c r="P42" s="3">
        <f t="shared" si="50"/>
        <v>94</v>
      </c>
      <c r="Q42" s="3" t="str">
        <f t="shared" si="51"/>
        <v>HW</v>
      </c>
      <c r="R42" s="3" t="str">
        <f t="shared" si="52"/>
        <v>HL</v>
      </c>
      <c r="S42" s="3" t="str">
        <f t="shared" si="53"/>
        <v>HW</v>
      </c>
      <c r="T42" s="3" t="str">
        <f t="shared" si="54"/>
        <v>HL</v>
      </c>
      <c r="U42" s="3" t="str">
        <f t="shared" si="55"/>
        <v>O</v>
      </c>
      <c r="V42" s="3" t="str">
        <f t="shared" si="56"/>
        <v>U</v>
      </c>
      <c r="W42" s="3" t="str">
        <f t="shared" si="57"/>
        <v>U</v>
      </c>
      <c r="X42" s="3" t="str">
        <f t="shared" si="58"/>
        <v>U</v>
      </c>
      <c r="Y42" s="3"/>
      <c r="Z42" s="3">
        <v>54.5</v>
      </c>
      <c r="AA42" s="3" t="str">
        <f t="shared" ref="AA42:AA105" si="60">C42&amp;"/"&amp;D42</f>
        <v>DET/IND</v>
      </c>
    </row>
    <row r="43" spans="1:27" ht="17.100000000000001" x14ac:dyDescent="0.45">
      <c r="A43" s="3">
        <v>191029</v>
      </c>
      <c r="B43" s="1">
        <v>0.33333333333333331</v>
      </c>
      <c r="C43" s="3" t="s">
        <v>54</v>
      </c>
      <c r="D43" s="3" t="s">
        <v>32</v>
      </c>
      <c r="E43" s="3">
        <v>15</v>
      </c>
      <c r="F43" s="3">
        <v>27</v>
      </c>
      <c r="G43" s="3">
        <v>30</v>
      </c>
      <c r="H43" s="3">
        <v>33</v>
      </c>
      <c r="I43" s="3"/>
      <c r="J43" s="3">
        <v>33</v>
      </c>
      <c r="K43" s="3">
        <v>19</v>
      </c>
      <c r="L43" s="3">
        <v>28</v>
      </c>
      <c r="M43" s="3">
        <v>18</v>
      </c>
      <c r="N43" s="3"/>
      <c r="O43" s="3">
        <f t="shared" si="59"/>
        <v>105</v>
      </c>
      <c r="P43" s="3">
        <f t="shared" si="50"/>
        <v>98</v>
      </c>
      <c r="Q43" s="3" t="str">
        <f t="shared" si="51"/>
        <v>HL</v>
      </c>
      <c r="R43" s="3" t="str">
        <f t="shared" si="52"/>
        <v>HW</v>
      </c>
      <c r="S43" s="3" t="str">
        <f t="shared" si="53"/>
        <v>HW</v>
      </c>
      <c r="T43" s="3" t="str">
        <f t="shared" si="54"/>
        <v>HW</v>
      </c>
      <c r="U43" s="3" t="str">
        <f t="shared" si="55"/>
        <v>U</v>
      </c>
      <c r="V43" s="3" t="str">
        <f t="shared" si="56"/>
        <v>U</v>
      </c>
      <c r="W43" s="3" t="str">
        <f t="shared" si="57"/>
        <v>O</v>
      </c>
      <c r="X43" s="3" t="str">
        <f t="shared" si="58"/>
        <v>U</v>
      </c>
      <c r="Y43" s="3"/>
      <c r="Z43" s="3">
        <v>54.5</v>
      </c>
      <c r="AA43" s="3" t="str">
        <f t="shared" si="60"/>
        <v>NY/CHI</v>
      </c>
    </row>
    <row r="44" spans="1:27" ht="17.100000000000001" x14ac:dyDescent="0.45">
      <c r="A44" s="3">
        <v>191029</v>
      </c>
      <c r="B44" s="1">
        <v>0.35416666666666669</v>
      </c>
      <c r="C44" s="3" t="s">
        <v>50</v>
      </c>
      <c r="D44" s="3" t="s">
        <v>41</v>
      </c>
      <c r="E44" s="3">
        <v>40</v>
      </c>
      <c r="F44" s="3">
        <v>25</v>
      </c>
      <c r="G44" s="3">
        <v>18</v>
      </c>
      <c r="H44" s="3">
        <v>20</v>
      </c>
      <c r="I44" s="3"/>
      <c r="J44" s="3">
        <v>31</v>
      </c>
      <c r="K44" s="3">
        <v>32</v>
      </c>
      <c r="L44" s="3">
        <v>19</v>
      </c>
      <c r="M44" s="3">
        <v>23</v>
      </c>
      <c r="N44" s="3"/>
      <c r="O44" s="3">
        <f t="shared" si="59"/>
        <v>103</v>
      </c>
      <c r="P44" s="3">
        <f t="shared" si="50"/>
        <v>105</v>
      </c>
      <c r="Q44" s="3" t="str">
        <f t="shared" si="51"/>
        <v>HW</v>
      </c>
      <c r="R44" s="3" t="str">
        <f t="shared" si="52"/>
        <v>HL</v>
      </c>
      <c r="S44" s="3" t="str">
        <f t="shared" si="53"/>
        <v>HL</v>
      </c>
      <c r="T44" s="3" t="str">
        <f t="shared" si="54"/>
        <v>HL</v>
      </c>
      <c r="U44" s="3" t="str">
        <f t="shared" si="55"/>
        <v>O</v>
      </c>
      <c r="V44" s="3" t="str">
        <f t="shared" si="56"/>
        <v>U</v>
      </c>
      <c r="W44" s="3" t="str">
        <f t="shared" si="57"/>
        <v>U</v>
      </c>
      <c r="X44" s="3" t="str">
        <f t="shared" si="58"/>
        <v>U</v>
      </c>
      <c r="Y44" s="3"/>
      <c r="Z44" s="3">
        <v>57.5</v>
      </c>
      <c r="AA44" s="3" t="str">
        <f t="shared" si="60"/>
        <v>ATL/PHI</v>
      </c>
    </row>
    <row r="45" spans="1:27" ht="17.100000000000001" x14ac:dyDescent="0.45">
      <c r="A45" s="3">
        <v>191029</v>
      </c>
      <c r="B45" s="1">
        <v>0.35416666666666669</v>
      </c>
      <c r="C45" s="3" t="s">
        <v>28</v>
      </c>
      <c r="D45" s="3" t="s">
        <v>39</v>
      </c>
      <c r="E45" s="3">
        <v>31</v>
      </c>
      <c r="F45" s="3">
        <v>20</v>
      </c>
      <c r="G45" s="3">
        <v>27</v>
      </c>
      <c r="H45" s="3">
        <v>26</v>
      </c>
      <c r="I45" s="3"/>
      <c r="J45" s="3">
        <v>22</v>
      </c>
      <c r="K45" s="3">
        <v>24</v>
      </c>
      <c r="L45" s="3">
        <v>21</v>
      </c>
      <c r="M45" s="3">
        <v>28</v>
      </c>
      <c r="N45" s="3"/>
      <c r="O45" s="3">
        <f t="shared" si="59"/>
        <v>104</v>
      </c>
      <c r="P45" s="3">
        <f t="shared" si="50"/>
        <v>95</v>
      </c>
      <c r="Q45" s="3" t="str">
        <f t="shared" si="51"/>
        <v>HW</v>
      </c>
      <c r="R45" s="3" t="str">
        <f t="shared" si="52"/>
        <v>HL</v>
      </c>
      <c r="S45" s="3" t="str">
        <f t="shared" si="53"/>
        <v>HW</v>
      </c>
      <c r="T45" s="3" t="str">
        <f t="shared" si="54"/>
        <v>HL</v>
      </c>
      <c r="U45" s="3" t="str">
        <f t="shared" si="55"/>
        <v>U</v>
      </c>
      <c r="V45" s="3" t="str">
        <f t="shared" si="56"/>
        <v>U</v>
      </c>
      <c r="W45" s="3" t="str">
        <f t="shared" si="57"/>
        <v>U</v>
      </c>
      <c r="X45" s="3" t="str">
        <f t="shared" si="58"/>
        <v>T</v>
      </c>
      <c r="Y45" s="3"/>
      <c r="Z45" s="3">
        <v>54</v>
      </c>
      <c r="AA45" s="3" t="str">
        <f t="shared" si="60"/>
        <v>TOR/ORL</v>
      </c>
    </row>
    <row r="46" spans="1:27" ht="17.100000000000001" x14ac:dyDescent="0.45">
      <c r="A46" s="3">
        <v>191029</v>
      </c>
      <c r="B46" s="1">
        <v>0.375</v>
      </c>
      <c r="C46" s="3" t="s">
        <v>27</v>
      </c>
      <c r="D46" s="6" t="s">
        <v>51</v>
      </c>
      <c r="E46" s="3">
        <v>23</v>
      </c>
      <c r="F46" s="3">
        <v>32</v>
      </c>
      <c r="G46" s="3">
        <v>24</v>
      </c>
      <c r="H46" s="3">
        <v>44</v>
      </c>
      <c r="I46" s="3"/>
      <c r="J46" s="3">
        <v>27</v>
      </c>
      <c r="K46" s="3">
        <v>45</v>
      </c>
      <c r="L46" s="3">
        <v>31</v>
      </c>
      <c r="M46" s="3">
        <v>31</v>
      </c>
      <c r="N46" s="3"/>
      <c r="O46" s="3">
        <f t="shared" si="59"/>
        <v>123</v>
      </c>
      <c r="P46" s="3">
        <f t="shared" si="50"/>
        <v>134</v>
      </c>
      <c r="Q46" s="3" t="str">
        <f t="shared" si="51"/>
        <v>HL</v>
      </c>
      <c r="R46" s="3" t="str">
        <f t="shared" si="52"/>
        <v>HL</v>
      </c>
      <c r="S46" s="3" t="str">
        <f t="shared" si="53"/>
        <v>HL</v>
      </c>
      <c r="T46" s="3" t="str">
        <f t="shared" si="54"/>
        <v>HW</v>
      </c>
      <c r="U46" s="3" t="str">
        <f t="shared" si="55"/>
        <v>U</v>
      </c>
      <c r="V46" s="3" t="str">
        <f t="shared" si="56"/>
        <v>O</v>
      </c>
      <c r="W46" s="3" t="str">
        <f t="shared" si="57"/>
        <v>U</v>
      </c>
      <c r="X46" s="3" t="str">
        <f t="shared" si="58"/>
        <v>O</v>
      </c>
      <c r="Y46" s="3"/>
      <c r="Z46" s="3">
        <v>61</v>
      </c>
      <c r="AA46" s="3" t="str">
        <f t="shared" si="60"/>
        <v>NO/GS</v>
      </c>
    </row>
    <row r="47" spans="1:27" ht="17.100000000000001" x14ac:dyDescent="0.45">
      <c r="A47" s="3">
        <v>191029</v>
      </c>
      <c r="B47" s="1">
        <v>0.375</v>
      </c>
      <c r="C47" s="3" t="s">
        <v>52</v>
      </c>
      <c r="D47" s="6" t="s">
        <v>49</v>
      </c>
      <c r="E47" s="3">
        <v>22</v>
      </c>
      <c r="F47" s="3">
        <v>30</v>
      </c>
      <c r="G47" s="3">
        <v>39</v>
      </c>
      <c r="H47" s="3">
        <v>25</v>
      </c>
      <c r="I47" s="3"/>
      <c r="J47" s="3">
        <v>35</v>
      </c>
      <c r="K47" s="3">
        <v>27</v>
      </c>
      <c r="L47" s="3">
        <v>18</v>
      </c>
      <c r="M47" s="3">
        <v>32</v>
      </c>
      <c r="N47" s="3"/>
      <c r="O47" s="3">
        <f t="shared" si="59"/>
        <v>116</v>
      </c>
      <c r="P47" s="3">
        <f t="shared" si="50"/>
        <v>112</v>
      </c>
      <c r="Q47" s="3" t="str">
        <f t="shared" si="51"/>
        <v>HL</v>
      </c>
      <c r="R47" s="3" t="str">
        <f t="shared" si="52"/>
        <v>HW</v>
      </c>
      <c r="S47" s="3" t="str">
        <f t="shared" si="53"/>
        <v>HW</v>
      </c>
      <c r="T47" s="3" t="str">
        <f t="shared" si="54"/>
        <v>HL</v>
      </c>
      <c r="U47" s="3" t="str">
        <f t="shared" si="55"/>
        <v>U</v>
      </c>
      <c r="V47" s="3" t="str">
        <f t="shared" si="56"/>
        <v>U</v>
      </c>
      <c r="W47" s="3" t="str">
        <f t="shared" si="57"/>
        <v>U</v>
      </c>
      <c r="X47" s="3" t="str">
        <f t="shared" si="58"/>
        <v>U</v>
      </c>
      <c r="Y47" s="3"/>
      <c r="Z47" s="3">
        <v>58.5</v>
      </c>
      <c r="AA47" s="3" t="str">
        <f t="shared" si="60"/>
        <v>HOU/OKC</v>
      </c>
    </row>
    <row r="48" spans="1:27" ht="17.100000000000001" x14ac:dyDescent="0.45">
      <c r="A48" s="3">
        <v>191029</v>
      </c>
      <c r="B48" s="1">
        <v>0.375</v>
      </c>
      <c r="C48" s="3" t="s">
        <v>53</v>
      </c>
      <c r="D48" s="3" t="s">
        <v>40</v>
      </c>
      <c r="E48" s="3">
        <v>30</v>
      </c>
      <c r="F48" s="3">
        <v>29</v>
      </c>
      <c r="G48" s="3">
        <v>32</v>
      </c>
      <c r="H48" s="3">
        <v>38</v>
      </c>
      <c r="I48" s="3"/>
      <c r="J48" s="3">
        <v>31</v>
      </c>
      <c r="K48" s="3">
        <v>21</v>
      </c>
      <c r="L48" s="3">
        <v>28</v>
      </c>
      <c r="M48" s="3">
        <v>32</v>
      </c>
      <c r="N48" s="3"/>
      <c r="O48" s="3">
        <f t="shared" si="59"/>
        <v>129</v>
      </c>
      <c r="P48" s="3">
        <f t="shared" si="50"/>
        <v>112</v>
      </c>
      <c r="Q48" s="3" t="str">
        <f t="shared" si="51"/>
        <v>HL</v>
      </c>
      <c r="R48" s="3" t="str">
        <f t="shared" si="52"/>
        <v>HW</v>
      </c>
      <c r="S48" s="3" t="str">
        <f t="shared" si="53"/>
        <v>HW</v>
      </c>
      <c r="T48" s="3" t="str">
        <f t="shared" si="54"/>
        <v>HW</v>
      </c>
      <c r="U48" s="3" t="str">
        <f t="shared" si="55"/>
        <v>O</v>
      </c>
      <c r="V48" s="3" t="str">
        <f t="shared" si="56"/>
        <v>U</v>
      </c>
      <c r="W48" s="3" t="str">
        <f t="shared" si="57"/>
        <v>O</v>
      </c>
      <c r="X48" s="3" t="str">
        <f t="shared" si="58"/>
        <v>O</v>
      </c>
      <c r="Y48" s="3"/>
      <c r="Z48" s="3">
        <v>55</v>
      </c>
      <c r="AA48" s="3" t="str">
        <f t="shared" si="60"/>
        <v>MIL/CLE</v>
      </c>
    </row>
    <row r="49" spans="1:27" ht="17.100000000000001" x14ac:dyDescent="0.45">
      <c r="A49" s="3">
        <v>191029</v>
      </c>
      <c r="B49" s="1">
        <v>0.39583333333333331</v>
      </c>
      <c r="C49" s="3" t="s">
        <v>56</v>
      </c>
      <c r="D49" s="6" t="s">
        <v>45</v>
      </c>
      <c r="E49" s="3">
        <v>19</v>
      </c>
      <c r="F49" s="3">
        <v>26</v>
      </c>
      <c r="G49" s="3">
        <v>37</v>
      </c>
      <c r="H49" s="3">
        <v>31</v>
      </c>
      <c r="I49" s="3"/>
      <c r="J49" s="3">
        <v>33</v>
      </c>
      <c r="K49" s="3">
        <v>18</v>
      </c>
      <c r="L49" s="3">
        <v>20</v>
      </c>
      <c r="M49" s="3">
        <v>39</v>
      </c>
      <c r="N49" s="3"/>
      <c r="O49" s="3">
        <f t="shared" si="59"/>
        <v>113</v>
      </c>
      <c r="P49" s="3">
        <f t="shared" si="50"/>
        <v>110</v>
      </c>
      <c r="Q49" s="3" t="str">
        <f t="shared" si="51"/>
        <v>HL</v>
      </c>
      <c r="R49" s="3" t="str">
        <f t="shared" si="52"/>
        <v>HW</v>
      </c>
      <c r="S49" s="3" t="str">
        <f t="shared" si="53"/>
        <v>HW</v>
      </c>
      <c r="T49" s="3" t="str">
        <f t="shared" si="54"/>
        <v>HL</v>
      </c>
      <c r="U49" s="3" t="str">
        <f t="shared" si="55"/>
        <v>U</v>
      </c>
      <c r="V49" s="3" t="str">
        <f t="shared" si="56"/>
        <v>U</v>
      </c>
      <c r="W49" s="3" t="str">
        <f t="shared" si="57"/>
        <v>O</v>
      </c>
      <c r="X49" s="3" t="str">
        <f t="shared" si="58"/>
        <v>O</v>
      </c>
      <c r="Y49" s="3"/>
      <c r="Z49" s="3">
        <v>54</v>
      </c>
      <c r="AA49" s="3" t="str">
        <f t="shared" si="60"/>
        <v>SAS/POR</v>
      </c>
    </row>
    <row r="50" spans="1:27" ht="17.100000000000001" x14ac:dyDescent="0.45">
      <c r="A50" s="3">
        <v>191029</v>
      </c>
      <c r="B50" s="10">
        <v>0.45833333333333331</v>
      </c>
      <c r="C50" s="3" t="s">
        <v>43</v>
      </c>
      <c r="D50" s="3" t="s">
        <v>48</v>
      </c>
      <c r="E50" s="3">
        <v>21</v>
      </c>
      <c r="F50" s="3">
        <v>18</v>
      </c>
      <c r="G50" s="3">
        <v>31</v>
      </c>
      <c r="H50" s="3">
        <v>25</v>
      </c>
      <c r="I50" s="3"/>
      <c r="J50" s="3">
        <v>28</v>
      </c>
      <c r="K50" s="3">
        <v>18</v>
      </c>
      <c r="L50" s="3">
        <v>24</v>
      </c>
      <c r="M50" s="3">
        <v>26</v>
      </c>
      <c r="N50" s="3"/>
      <c r="O50" s="3">
        <f t="shared" si="59"/>
        <v>95</v>
      </c>
      <c r="P50" s="3">
        <f t="shared" si="50"/>
        <v>96</v>
      </c>
      <c r="Q50" s="3" t="str">
        <f t="shared" si="51"/>
        <v>HL</v>
      </c>
      <c r="R50" s="3" t="str">
        <f t="shared" si="52"/>
        <v>TT</v>
      </c>
      <c r="S50" s="3" t="str">
        <f t="shared" si="53"/>
        <v>HW</v>
      </c>
      <c r="T50" s="3" t="str">
        <f t="shared" si="54"/>
        <v>HL</v>
      </c>
      <c r="U50" s="3" t="str">
        <f t="shared" si="55"/>
        <v>U</v>
      </c>
      <c r="V50" s="3" t="str">
        <f t="shared" si="56"/>
        <v>U</v>
      </c>
      <c r="W50" s="3" t="str">
        <f t="shared" si="57"/>
        <v>O</v>
      </c>
      <c r="X50" s="3" t="str">
        <f t="shared" si="58"/>
        <v>U</v>
      </c>
      <c r="Y50" s="3"/>
      <c r="Z50" s="3">
        <v>52</v>
      </c>
      <c r="AA50" s="3" t="str">
        <f t="shared" si="60"/>
        <v>PHO/UTA</v>
      </c>
    </row>
    <row r="51" spans="1:27" ht="17.100000000000001" x14ac:dyDescent="0.45">
      <c r="A51" s="3">
        <v>191029</v>
      </c>
      <c r="B51" s="4">
        <v>0.45833333333333331</v>
      </c>
      <c r="C51" s="3" t="s">
        <v>44</v>
      </c>
      <c r="D51" s="3" t="s">
        <v>46</v>
      </c>
      <c r="E51" s="3">
        <v>28</v>
      </c>
      <c r="F51" s="3">
        <v>25</v>
      </c>
      <c r="G51" s="3">
        <v>17</v>
      </c>
      <c r="H51" s="3">
        <v>24</v>
      </c>
      <c r="I51" s="3"/>
      <c r="J51" s="3">
        <v>21</v>
      </c>
      <c r="K51" s="3">
        <v>26</v>
      </c>
      <c r="L51" s="3">
        <v>30</v>
      </c>
      <c r="M51" s="3">
        <v>24</v>
      </c>
      <c r="N51" s="3"/>
      <c r="O51" s="3">
        <f t="shared" si="59"/>
        <v>94</v>
      </c>
      <c r="P51" s="3">
        <f t="shared" si="50"/>
        <v>101</v>
      </c>
      <c r="Q51" s="3" t="str">
        <f t="shared" si="51"/>
        <v>HW</v>
      </c>
      <c r="R51" s="3" t="str">
        <f t="shared" si="52"/>
        <v>HL</v>
      </c>
      <c r="S51" s="3" t="str">
        <f t="shared" si="53"/>
        <v>HL</v>
      </c>
      <c r="T51" s="3" t="str">
        <f t="shared" si="54"/>
        <v>TT</v>
      </c>
      <c r="U51" s="3" t="str">
        <f t="shared" si="55"/>
        <v>U</v>
      </c>
      <c r="V51" s="3" t="str">
        <f t="shared" si="56"/>
        <v>U</v>
      </c>
      <c r="W51" s="3" t="str">
        <f t="shared" si="57"/>
        <v>U</v>
      </c>
      <c r="X51" s="3" t="str">
        <f t="shared" si="58"/>
        <v>U</v>
      </c>
      <c r="Y51" s="3"/>
      <c r="Z51" s="3">
        <v>56</v>
      </c>
      <c r="AA51" s="3" t="str">
        <f t="shared" si="60"/>
        <v>SAC/DEN</v>
      </c>
    </row>
    <row r="52" spans="1:27" ht="17.100000000000001" x14ac:dyDescent="0.45">
      <c r="A52" s="3">
        <v>191029</v>
      </c>
      <c r="B52" s="1">
        <v>0.47916666666666669</v>
      </c>
      <c r="C52" s="3" t="s">
        <v>25</v>
      </c>
      <c r="D52" s="6" t="s">
        <v>31</v>
      </c>
      <c r="E52" s="3">
        <v>29</v>
      </c>
      <c r="F52" s="3">
        <v>28</v>
      </c>
      <c r="G52" s="3">
        <v>29</v>
      </c>
      <c r="H52" s="3">
        <v>25</v>
      </c>
      <c r="I52" s="3"/>
      <c r="J52" s="3">
        <v>28</v>
      </c>
      <c r="K52" s="3">
        <v>26</v>
      </c>
      <c r="L52" s="3">
        <v>20</v>
      </c>
      <c r="M52" s="3">
        <v>22</v>
      </c>
      <c r="N52" s="3"/>
      <c r="O52" s="3">
        <f t="shared" si="59"/>
        <v>111</v>
      </c>
      <c r="P52" s="3">
        <f t="shared" si="50"/>
        <v>96</v>
      </c>
      <c r="Q52" s="3" t="str">
        <f t="shared" si="51"/>
        <v>HW</v>
      </c>
      <c r="R52" s="3" t="str">
        <f t="shared" si="52"/>
        <v>HW</v>
      </c>
      <c r="S52" s="3" t="str">
        <f t="shared" si="53"/>
        <v>HW</v>
      </c>
      <c r="T52" s="3" t="str">
        <f t="shared" si="54"/>
        <v>HW</v>
      </c>
      <c r="U52" s="3" t="str">
        <f t="shared" si="55"/>
        <v>U</v>
      </c>
      <c r="V52" s="3" t="str">
        <f t="shared" si="56"/>
        <v>U</v>
      </c>
      <c r="W52" s="3" t="str">
        <f t="shared" si="57"/>
        <v>U</v>
      </c>
      <c r="X52" s="3" t="str">
        <f t="shared" si="58"/>
        <v>U</v>
      </c>
      <c r="Y52" s="3"/>
      <c r="Z52" s="3">
        <v>58.5</v>
      </c>
      <c r="AA52" s="3" t="str">
        <f t="shared" si="60"/>
        <v>LAC/CHA</v>
      </c>
    </row>
    <row r="53" spans="1:27" ht="17.100000000000001" x14ac:dyDescent="0.45">
      <c r="A53" s="3">
        <v>191030</v>
      </c>
      <c r="B53" s="1">
        <v>0.35416666666666669</v>
      </c>
      <c r="C53" t="s">
        <v>95</v>
      </c>
      <c r="D53" t="s">
        <v>96</v>
      </c>
      <c r="E53" s="3">
        <v>29</v>
      </c>
      <c r="F53" s="3">
        <v>30</v>
      </c>
      <c r="G53" s="3">
        <v>29</v>
      </c>
      <c r="H53" s="3">
        <v>24</v>
      </c>
      <c r="I53" s="3"/>
      <c r="J53" s="3">
        <v>26</v>
      </c>
      <c r="K53" s="3">
        <v>23</v>
      </c>
      <c r="L53" s="3">
        <v>21</v>
      </c>
      <c r="M53" s="3">
        <v>27</v>
      </c>
      <c r="O53" s="3">
        <f t="shared" ref="O53:O55" si="61">SUM(E53:I53)</f>
        <v>112</v>
      </c>
      <c r="P53" s="3">
        <f t="shared" ref="P53:P55" si="62">SUM(J53:N53)</f>
        <v>97</v>
      </c>
      <c r="Q53" s="3" t="str">
        <f t="shared" ref="Q53:Q55" si="63">IF(E53=J53,"TT",IF(E53&gt;J53,"HW","HL"))</f>
        <v>HW</v>
      </c>
      <c r="R53" s="3" t="str">
        <f t="shared" ref="R53:R55" si="64">IF(F53=K53,"TT",IF(F53&gt;K53,"HW","HL"))</f>
        <v>HW</v>
      </c>
      <c r="S53" s="3" t="str">
        <f t="shared" ref="S53:S55" si="65">IF(G53=L53,"TT",IF(G53&gt;L53,"HW","HL"))</f>
        <v>HW</v>
      </c>
      <c r="T53" s="3" t="str">
        <f t="shared" ref="T53:T55" si="66">IF(H53=M53,"TT",IF(H53&gt;M53,"HW","HL"))</f>
        <v>HL</v>
      </c>
      <c r="U53" s="3" t="str">
        <f t="shared" ref="U53:U55" si="67">IF(SUM(E53,J53)=$Z53,"T",IF(SUM(E53,J53)&gt;$Z53,"O","U"))</f>
        <v>U</v>
      </c>
      <c r="V53" s="3" t="str">
        <f t="shared" ref="V53:V55" si="68">IF(SUM(F53,K53)=$Z53,"T",IF(SUM(F53,K53)&gt;$Z53,"O","U"))</f>
        <v>U</v>
      </c>
      <c r="W53" s="3" t="str">
        <f t="shared" ref="W53:W55" si="69">IF(SUM(G53,L53)=$Z53,"T",IF(SUM(G53,L53)&gt;$Z53,"O","U"))</f>
        <v>U</v>
      </c>
      <c r="X53" s="3" t="str">
        <f t="shared" ref="X53:X55" si="70">IF(SUM(H53,M53)=$Z53,"T",IF(SUM(H53,M53)&gt;$Z53,"O","U"))</f>
        <v>U</v>
      </c>
      <c r="Z53">
        <v>57.5</v>
      </c>
      <c r="AA53" t="str">
        <f t="shared" si="60"/>
        <v>MIA/ATL</v>
      </c>
    </row>
    <row r="54" spans="1:27" ht="17.100000000000001" x14ac:dyDescent="0.45">
      <c r="A54" s="3">
        <v>191030</v>
      </c>
      <c r="B54" s="1">
        <v>0.41666666666666669</v>
      </c>
      <c r="C54" t="s">
        <v>97</v>
      </c>
      <c r="D54" t="s">
        <v>98</v>
      </c>
      <c r="E54" s="3">
        <v>31</v>
      </c>
      <c r="F54" s="3">
        <v>30</v>
      </c>
      <c r="G54" s="3">
        <v>27</v>
      </c>
      <c r="H54" s="3">
        <v>18</v>
      </c>
      <c r="I54" s="3"/>
      <c r="J54" s="3">
        <v>27</v>
      </c>
      <c r="K54" s="3">
        <v>33</v>
      </c>
      <c r="L54" s="3">
        <v>23</v>
      </c>
      <c r="M54" s="3">
        <v>26</v>
      </c>
      <c r="O54" s="3">
        <f t="shared" si="61"/>
        <v>106</v>
      </c>
      <c r="P54" s="3">
        <f t="shared" si="62"/>
        <v>109</v>
      </c>
      <c r="Q54" s="3" t="str">
        <f t="shared" si="63"/>
        <v>HW</v>
      </c>
      <c r="R54" s="3" t="str">
        <f t="shared" si="64"/>
        <v>HL</v>
      </c>
      <c r="S54" s="3" t="str">
        <f t="shared" si="65"/>
        <v>HW</v>
      </c>
      <c r="T54" s="3" t="str">
        <f t="shared" si="66"/>
        <v>HL</v>
      </c>
      <c r="U54" s="3" t="str">
        <f t="shared" si="67"/>
        <v>O</v>
      </c>
      <c r="V54" s="3" t="str">
        <f t="shared" si="68"/>
        <v>O</v>
      </c>
      <c r="W54" s="3" t="str">
        <f t="shared" si="69"/>
        <v>U</v>
      </c>
      <c r="X54" s="3" t="str">
        <f t="shared" si="70"/>
        <v>U</v>
      </c>
      <c r="Z54">
        <v>55</v>
      </c>
      <c r="AA54" t="str">
        <f t="shared" si="60"/>
        <v>DEN/DAL</v>
      </c>
    </row>
    <row r="55" spans="1:27" ht="17.100000000000001" x14ac:dyDescent="0.45">
      <c r="A55" s="3">
        <v>191030</v>
      </c>
      <c r="B55" s="10">
        <v>0.47916666666666669</v>
      </c>
      <c r="C55" t="s">
        <v>99</v>
      </c>
      <c r="D55" t="s">
        <v>100</v>
      </c>
      <c r="E55" s="3">
        <v>27</v>
      </c>
      <c r="F55" s="3">
        <v>22</v>
      </c>
      <c r="G55" s="3">
        <v>39</v>
      </c>
      <c r="H55" s="3">
        <v>32</v>
      </c>
      <c r="I55" s="3"/>
      <c r="J55" s="3">
        <v>32</v>
      </c>
      <c r="K55" s="3">
        <v>15</v>
      </c>
      <c r="L55" s="3">
        <v>20</v>
      </c>
      <c r="M55" s="3">
        <v>24</v>
      </c>
      <c r="O55" s="3">
        <f t="shared" si="61"/>
        <v>120</v>
      </c>
      <c r="P55" s="3">
        <f t="shared" si="62"/>
        <v>91</v>
      </c>
      <c r="Q55" s="3" t="str">
        <f t="shared" si="63"/>
        <v>HL</v>
      </c>
      <c r="R55" s="3" t="str">
        <f t="shared" si="64"/>
        <v>HW</v>
      </c>
      <c r="S55" s="3" t="str">
        <f t="shared" si="65"/>
        <v>HW</v>
      </c>
      <c r="T55" s="3" t="str">
        <f t="shared" si="66"/>
        <v>HW</v>
      </c>
      <c r="U55" s="3" t="str">
        <f t="shared" si="67"/>
        <v>O</v>
      </c>
      <c r="V55" s="3" t="str">
        <f t="shared" si="68"/>
        <v>U</v>
      </c>
      <c r="W55" s="3" t="str">
        <f t="shared" si="69"/>
        <v>O</v>
      </c>
      <c r="X55" s="3" t="str">
        <f t="shared" si="70"/>
        <v>O</v>
      </c>
      <c r="Z55">
        <v>55</v>
      </c>
      <c r="AA55" t="str">
        <f t="shared" si="60"/>
        <v>LAL/MEM</v>
      </c>
    </row>
    <row r="56" spans="1:27" ht="17.100000000000001" x14ac:dyDescent="0.45">
      <c r="A56">
        <v>191031</v>
      </c>
      <c r="B56" s="1">
        <v>0.33333333333333331</v>
      </c>
      <c r="C56" t="s">
        <v>40</v>
      </c>
      <c r="D56" t="s">
        <v>101</v>
      </c>
      <c r="E56">
        <v>25</v>
      </c>
      <c r="F56">
        <v>25</v>
      </c>
      <c r="G56">
        <v>30</v>
      </c>
      <c r="H56">
        <v>37</v>
      </c>
      <c r="J56">
        <v>26</v>
      </c>
      <c r="K56">
        <v>27</v>
      </c>
      <c r="L56">
        <v>29</v>
      </c>
      <c r="M56">
        <v>29</v>
      </c>
      <c r="O56" s="3">
        <f t="shared" ref="O56:O97" si="71">SUM(E56:I56)</f>
        <v>117</v>
      </c>
      <c r="P56" s="3">
        <f t="shared" ref="P56:P97" si="72">SUM(J56:N56)</f>
        <v>111</v>
      </c>
      <c r="Q56" s="3" t="str">
        <f t="shared" ref="Q56:Q97" si="73">IF(E56=J56,"TT",IF(E56&gt;J56,"HW","HL"))</f>
        <v>HL</v>
      </c>
      <c r="R56" s="3" t="str">
        <f t="shared" ref="R56:R97" si="74">IF(F56=K56,"TT",IF(F56&gt;K56,"HW","HL"))</f>
        <v>HL</v>
      </c>
      <c r="S56" s="3" t="str">
        <f t="shared" ref="S56:S97" si="75">IF(G56=L56,"TT",IF(G56&gt;L56,"HW","HL"))</f>
        <v>HW</v>
      </c>
      <c r="T56" s="3" t="str">
        <f t="shared" ref="T56:T97" si="76">IF(H56=M56,"TT",IF(H56&gt;M56,"HW","HL"))</f>
        <v>HW</v>
      </c>
      <c r="U56" s="3" t="str">
        <f t="shared" ref="U56:U97" si="77">IF(SUM(E56,J56)=$Z56,"T",IF(SUM(E56,J56)&gt;$Z56,"O","U"))</f>
        <v>U</v>
      </c>
      <c r="V56" s="3" t="str">
        <f t="shared" ref="V56:V97" si="78">IF(SUM(F56,K56)=$Z56,"T",IF(SUM(F56,K56)&gt;$Z56,"O","U"))</f>
        <v>U</v>
      </c>
      <c r="W56" s="3" t="str">
        <f t="shared" ref="W56:W97" si="79">IF(SUM(G56,L56)=$Z56,"T",IF(SUM(G56,L56)&gt;$Z56,"O","U"))</f>
        <v>O</v>
      </c>
      <c r="X56" s="3" t="str">
        <f t="shared" ref="X56:X97" si="80">IF(SUM(H56,M56)=$Z56,"T",IF(SUM(H56,M56)&gt;$Z56,"O","U"))</f>
        <v>O</v>
      </c>
      <c r="Z56">
        <v>53.5</v>
      </c>
      <c r="AA56" t="str">
        <f t="shared" si="60"/>
        <v>CLE/CHI</v>
      </c>
    </row>
    <row r="57" spans="1:27" ht="17.100000000000001" x14ac:dyDescent="0.45">
      <c r="A57" s="3">
        <v>191031</v>
      </c>
      <c r="B57" s="1">
        <v>0.33333333333333331</v>
      </c>
      <c r="C57" t="s">
        <v>102</v>
      </c>
      <c r="D57" t="s">
        <v>103</v>
      </c>
      <c r="E57">
        <v>22</v>
      </c>
      <c r="F57">
        <v>20</v>
      </c>
      <c r="G57">
        <v>30</v>
      </c>
      <c r="H57">
        <v>23</v>
      </c>
      <c r="J57">
        <v>25</v>
      </c>
      <c r="K57">
        <v>19</v>
      </c>
      <c r="L57">
        <v>23</v>
      </c>
      <c r="M57">
        <v>16</v>
      </c>
      <c r="O57" s="3">
        <f t="shared" si="71"/>
        <v>95</v>
      </c>
      <c r="P57" s="3">
        <f t="shared" si="72"/>
        <v>83</v>
      </c>
      <c r="Q57" s="3" t="str">
        <f t="shared" si="73"/>
        <v>HL</v>
      </c>
      <c r="R57" s="3" t="str">
        <f t="shared" si="74"/>
        <v>HW</v>
      </c>
      <c r="S57" s="3" t="str">
        <f t="shared" si="75"/>
        <v>HW</v>
      </c>
      <c r="T57" s="3" t="str">
        <f t="shared" si="76"/>
        <v>HW</v>
      </c>
      <c r="U57" s="3" t="str">
        <f t="shared" si="77"/>
        <v>U</v>
      </c>
      <c r="V57" s="3" t="str">
        <f t="shared" si="78"/>
        <v>U</v>
      </c>
      <c r="W57" s="3" t="str">
        <f t="shared" si="79"/>
        <v>U</v>
      </c>
      <c r="X57" s="3" t="str">
        <f t="shared" si="80"/>
        <v>U</v>
      </c>
      <c r="Z57">
        <v>54.5</v>
      </c>
      <c r="AA57" t="str">
        <f t="shared" si="60"/>
        <v>ORL/NYK</v>
      </c>
    </row>
    <row r="58" spans="1:27" ht="17.100000000000001" x14ac:dyDescent="0.45">
      <c r="A58" s="3">
        <v>191031</v>
      </c>
      <c r="B58" s="1">
        <v>0.33333333333333331</v>
      </c>
      <c r="C58" t="s">
        <v>104</v>
      </c>
      <c r="D58" t="s">
        <v>105</v>
      </c>
      <c r="E58">
        <v>32</v>
      </c>
      <c r="F58">
        <v>30</v>
      </c>
      <c r="G58">
        <v>30</v>
      </c>
      <c r="H58">
        <v>25</v>
      </c>
      <c r="J58">
        <v>24</v>
      </c>
      <c r="K58">
        <v>19</v>
      </c>
      <c r="L58">
        <v>35</v>
      </c>
      <c r="M58">
        <v>17</v>
      </c>
      <c r="O58" s="3">
        <f t="shared" si="71"/>
        <v>117</v>
      </c>
      <c r="P58" s="3">
        <f t="shared" si="72"/>
        <v>95</v>
      </c>
      <c r="Q58" s="3" t="str">
        <f t="shared" si="73"/>
        <v>HW</v>
      </c>
      <c r="R58" s="3" t="str">
        <f t="shared" si="74"/>
        <v>HW</v>
      </c>
      <c r="S58" s="3" t="str">
        <f t="shared" si="75"/>
        <v>HL</v>
      </c>
      <c r="T58" s="3" t="str">
        <f t="shared" si="76"/>
        <v>HW</v>
      </c>
      <c r="U58" s="3" t="str">
        <f t="shared" si="77"/>
        <v>U</v>
      </c>
      <c r="V58" s="3" t="str">
        <f t="shared" si="78"/>
        <v>U</v>
      </c>
      <c r="W58" s="3" t="str">
        <f t="shared" si="79"/>
        <v>O</v>
      </c>
      <c r="X58" s="3" t="str">
        <f t="shared" si="80"/>
        <v>U</v>
      </c>
      <c r="Z58">
        <v>57</v>
      </c>
      <c r="AA58" t="str">
        <f t="shared" si="60"/>
        <v>PHI/MIN</v>
      </c>
    </row>
    <row r="59" spans="1:27" ht="17.100000000000001" x14ac:dyDescent="0.45">
      <c r="A59" s="3">
        <v>191031</v>
      </c>
      <c r="B59" s="1">
        <v>0.35416666666666669</v>
      </c>
      <c r="C59" t="s">
        <v>106</v>
      </c>
      <c r="D59" t="s">
        <v>107</v>
      </c>
      <c r="E59">
        <v>19</v>
      </c>
      <c r="F59">
        <v>23</v>
      </c>
      <c r="G59">
        <v>38</v>
      </c>
      <c r="H59">
        <v>36</v>
      </c>
      <c r="J59">
        <v>34</v>
      </c>
      <c r="K59">
        <v>24</v>
      </c>
      <c r="L59">
        <v>18</v>
      </c>
      <c r="M59">
        <v>29</v>
      </c>
      <c r="O59" s="3">
        <f t="shared" si="71"/>
        <v>116</v>
      </c>
      <c r="P59" s="3">
        <f t="shared" si="72"/>
        <v>105</v>
      </c>
      <c r="Q59" s="3" t="str">
        <f t="shared" si="73"/>
        <v>HL</v>
      </c>
      <c r="R59" s="3" t="str">
        <f t="shared" si="74"/>
        <v>HL</v>
      </c>
      <c r="S59" s="3" t="str">
        <f t="shared" si="75"/>
        <v>HW</v>
      </c>
      <c r="T59" s="3" t="str">
        <f t="shared" si="76"/>
        <v>HW</v>
      </c>
      <c r="U59" s="3" t="str">
        <f t="shared" si="77"/>
        <v>U</v>
      </c>
      <c r="V59" s="3" t="str">
        <f t="shared" si="78"/>
        <v>U</v>
      </c>
      <c r="W59" s="3" t="str">
        <f t="shared" si="79"/>
        <v>O</v>
      </c>
      <c r="X59" s="3" t="str">
        <f t="shared" si="80"/>
        <v>O</v>
      </c>
      <c r="Z59">
        <v>55</v>
      </c>
      <c r="AA59" t="str">
        <f t="shared" si="60"/>
        <v>BOS/MIL</v>
      </c>
    </row>
    <row r="60" spans="1:27" ht="17.100000000000001" x14ac:dyDescent="0.45">
      <c r="A60" s="3">
        <v>191031</v>
      </c>
      <c r="B60" s="1">
        <v>0.35416666666666669</v>
      </c>
      <c r="C60" t="s">
        <v>108</v>
      </c>
      <c r="D60" t="s">
        <v>109</v>
      </c>
      <c r="E60">
        <v>31</v>
      </c>
      <c r="F60">
        <v>32</v>
      </c>
      <c r="G60">
        <v>20</v>
      </c>
      <c r="H60">
        <v>25</v>
      </c>
      <c r="J60">
        <v>31</v>
      </c>
      <c r="K60">
        <v>29</v>
      </c>
      <c r="L60">
        <v>30</v>
      </c>
      <c r="M60">
        <v>28</v>
      </c>
      <c r="O60" s="3">
        <f t="shared" si="71"/>
        <v>108</v>
      </c>
      <c r="P60" s="3">
        <f t="shared" si="72"/>
        <v>118</v>
      </c>
      <c r="Q60" s="3" t="str">
        <f t="shared" si="73"/>
        <v>TT</v>
      </c>
      <c r="R60" s="3" t="str">
        <f t="shared" si="74"/>
        <v>HW</v>
      </c>
      <c r="S60" s="3" t="str">
        <f t="shared" si="75"/>
        <v>HL</v>
      </c>
      <c r="T60" s="3" t="str">
        <f t="shared" si="76"/>
        <v>HL</v>
      </c>
      <c r="U60" s="3" t="str">
        <f t="shared" si="77"/>
        <v>O</v>
      </c>
      <c r="V60" s="3" t="str">
        <f t="shared" si="78"/>
        <v>O</v>
      </c>
      <c r="W60" s="3" t="str">
        <f t="shared" si="79"/>
        <v>U</v>
      </c>
      <c r="X60" s="3" t="str">
        <f t="shared" si="80"/>
        <v>U</v>
      </c>
      <c r="Z60">
        <v>57</v>
      </c>
      <c r="AA60" t="str">
        <f t="shared" si="60"/>
        <v>BKN/IND</v>
      </c>
    </row>
    <row r="61" spans="1:27" ht="17.100000000000001" x14ac:dyDescent="0.45">
      <c r="A61" s="3">
        <v>191031</v>
      </c>
      <c r="B61" s="1">
        <v>0.35416666666666669</v>
      </c>
      <c r="C61" t="s">
        <v>110</v>
      </c>
      <c r="D61" t="s">
        <v>111</v>
      </c>
      <c r="E61">
        <v>37</v>
      </c>
      <c r="F61">
        <v>27</v>
      </c>
      <c r="G61">
        <v>37</v>
      </c>
      <c r="H61">
        <v>24</v>
      </c>
      <c r="J61">
        <v>28</v>
      </c>
      <c r="K61">
        <v>30</v>
      </c>
      <c r="L61">
        <v>27</v>
      </c>
      <c r="M61">
        <v>28</v>
      </c>
      <c r="O61" s="3">
        <f t="shared" si="71"/>
        <v>125</v>
      </c>
      <c r="P61" s="3">
        <f t="shared" si="72"/>
        <v>113</v>
      </c>
      <c r="Q61" s="3" t="str">
        <f t="shared" si="73"/>
        <v>HW</v>
      </c>
      <c r="R61" s="3" t="str">
        <f t="shared" si="74"/>
        <v>HL</v>
      </c>
      <c r="S61" s="3" t="str">
        <f t="shared" si="75"/>
        <v>HW</v>
      </c>
      <c r="T61" s="3" t="str">
        <f t="shared" si="76"/>
        <v>HL</v>
      </c>
      <c r="U61" s="3" t="str">
        <f t="shared" si="77"/>
        <v>O</v>
      </c>
      <c r="V61" s="3" t="str">
        <f t="shared" si="78"/>
        <v>O</v>
      </c>
      <c r="W61" s="3" t="str">
        <f t="shared" si="79"/>
        <v>O</v>
      </c>
      <c r="X61" s="3" t="str">
        <f t="shared" si="80"/>
        <v>U</v>
      </c>
      <c r="Z61">
        <v>55</v>
      </c>
      <c r="AA61" t="str">
        <f t="shared" si="60"/>
        <v>TOR/DET</v>
      </c>
    </row>
    <row r="62" spans="1:27" ht="17.100000000000001" x14ac:dyDescent="0.45">
      <c r="A62" s="3">
        <v>191031</v>
      </c>
      <c r="B62" s="1">
        <v>0.375</v>
      </c>
      <c r="C62" t="s">
        <v>112</v>
      </c>
      <c r="D62" t="s">
        <v>113</v>
      </c>
      <c r="E62">
        <v>17</v>
      </c>
      <c r="F62">
        <v>27</v>
      </c>
      <c r="G62">
        <v>25</v>
      </c>
      <c r="H62">
        <v>30</v>
      </c>
      <c r="J62">
        <v>24</v>
      </c>
      <c r="K62">
        <v>25</v>
      </c>
      <c r="L62">
        <v>19</v>
      </c>
      <c r="M62">
        <v>34</v>
      </c>
      <c r="O62" s="3">
        <f t="shared" si="71"/>
        <v>99</v>
      </c>
      <c r="P62" s="3">
        <f t="shared" si="72"/>
        <v>102</v>
      </c>
      <c r="Q62" s="3" t="str">
        <f t="shared" si="73"/>
        <v>HL</v>
      </c>
      <c r="R62" s="3" t="str">
        <f t="shared" si="74"/>
        <v>HW</v>
      </c>
      <c r="S62" s="3" t="str">
        <f t="shared" si="75"/>
        <v>HW</v>
      </c>
      <c r="T62" s="3" t="str">
        <f t="shared" si="76"/>
        <v>HL</v>
      </c>
      <c r="U62" s="3" t="str">
        <f t="shared" si="77"/>
        <v>U</v>
      </c>
      <c r="V62" s="3" t="str">
        <f t="shared" si="78"/>
        <v>U</v>
      </c>
      <c r="W62" s="3" t="str">
        <f t="shared" si="79"/>
        <v>U</v>
      </c>
      <c r="X62" s="3" t="str">
        <f t="shared" si="80"/>
        <v>O</v>
      </c>
      <c r="Z62">
        <v>54</v>
      </c>
      <c r="AA62" t="str">
        <f t="shared" si="60"/>
        <v>OKC/POR</v>
      </c>
    </row>
    <row r="63" spans="1:27" ht="17.100000000000001" x14ac:dyDescent="0.45">
      <c r="A63" s="3">
        <v>191031</v>
      </c>
      <c r="B63" s="1">
        <v>0.375</v>
      </c>
      <c r="C63" t="s">
        <v>114</v>
      </c>
      <c r="D63" t="s">
        <v>115</v>
      </c>
      <c r="E63">
        <v>34</v>
      </c>
      <c r="F63">
        <v>43</v>
      </c>
      <c r="G63">
        <v>40</v>
      </c>
      <c r="H63">
        <v>41</v>
      </c>
      <c r="J63">
        <v>35</v>
      </c>
      <c r="K63">
        <v>41</v>
      </c>
      <c r="L63">
        <v>35</v>
      </c>
      <c r="M63">
        <v>48</v>
      </c>
      <c r="O63" s="3">
        <f t="shared" si="71"/>
        <v>158</v>
      </c>
      <c r="P63" s="3">
        <f t="shared" si="72"/>
        <v>159</v>
      </c>
      <c r="Q63" s="3" t="str">
        <f t="shared" si="73"/>
        <v>HL</v>
      </c>
      <c r="R63" s="3" t="str">
        <f t="shared" si="74"/>
        <v>HW</v>
      </c>
      <c r="S63" s="3" t="str">
        <f t="shared" si="75"/>
        <v>HW</v>
      </c>
      <c r="T63" s="3" t="str">
        <f t="shared" si="76"/>
        <v>HL</v>
      </c>
      <c r="U63" s="3" t="str">
        <f t="shared" si="77"/>
        <v>O</v>
      </c>
      <c r="V63" s="3" t="str">
        <f t="shared" si="78"/>
        <v>O</v>
      </c>
      <c r="W63" s="3" t="str">
        <f t="shared" si="79"/>
        <v>O</v>
      </c>
      <c r="X63" s="3" t="str">
        <f t="shared" si="80"/>
        <v>O</v>
      </c>
      <c r="Z63">
        <v>60.5</v>
      </c>
      <c r="AA63" t="str">
        <f t="shared" si="60"/>
        <v>WAS/HOU</v>
      </c>
    </row>
    <row r="64" spans="1:27" ht="17.100000000000001" x14ac:dyDescent="0.45">
      <c r="A64" s="3">
        <v>191031</v>
      </c>
      <c r="B64" s="1">
        <v>0.45833333333333331</v>
      </c>
      <c r="C64" s="11" t="s">
        <v>116</v>
      </c>
      <c r="D64" s="11" t="s">
        <v>117</v>
      </c>
      <c r="E64">
        <v>33</v>
      </c>
      <c r="F64">
        <v>33</v>
      </c>
      <c r="G64">
        <v>18</v>
      </c>
      <c r="H64">
        <v>27</v>
      </c>
      <c r="J64">
        <v>30</v>
      </c>
      <c r="K64">
        <v>31</v>
      </c>
      <c r="L64">
        <v>32</v>
      </c>
      <c r="M64">
        <v>25</v>
      </c>
      <c r="O64" s="3">
        <f t="shared" si="71"/>
        <v>111</v>
      </c>
      <c r="P64" s="3">
        <f t="shared" si="72"/>
        <v>118</v>
      </c>
      <c r="Q64" s="3" t="str">
        <f t="shared" si="73"/>
        <v>HW</v>
      </c>
      <c r="R64" s="3" t="str">
        <f t="shared" si="74"/>
        <v>HW</v>
      </c>
      <c r="S64" s="3" t="str">
        <f t="shared" si="75"/>
        <v>HL</v>
      </c>
      <c r="T64" s="3" t="str">
        <f t="shared" si="76"/>
        <v>HW</v>
      </c>
      <c r="U64" s="3" t="str">
        <f t="shared" si="77"/>
        <v>O</v>
      </c>
      <c r="V64" s="3" t="str">
        <f t="shared" si="78"/>
        <v>O</v>
      </c>
      <c r="W64" s="3" t="str">
        <f t="shared" si="79"/>
        <v>U</v>
      </c>
      <c r="X64" s="3" t="str">
        <f t="shared" si="80"/>
        <v>U</v>
      </c>
      <c r="Z64">
        <v>57.5</v>
      </c>
      <c r="AA64" t="str">
        <f t="shared" si="60"/>
        <v>SAC/CHA</v>
      </c>
    </row>
    <row r="65" spans="1:27" ht="17.100000000000001" x14ac:dyDescent="0.45">
      <c r="A65" s="3">
        <v>191031</v>
      </c>
      <c r="B65" s="1">
        <v>0.45833333333333331</v>
      </c>
      <c r="C65" t="s">
        <v>118</v>
      </c>
      <c r="D65" t="s">
        <v>119</v>
      </c>
      <c r="E65">
        <v>33</v>
      </c>
      <c r="F65">
        <v>19</v>
      </c>
      <c r="G65">
        <v>38</v>
      </c>
      <c r="H65">
        <v>20</v>
      </c>
      <c r="J65">
        <v>23</v>
      </c>
      <c r="K65">
        <v>28</v>
      </c>
      <c r="L65">
        <v>20</v>
      </c>
      <c r="M65">
        <v>25</v>
      </c>
      <c r="O65" s="3">
        <f t="shared" si="71"/>
        <v>110</v>
      </c>
      <c r="P65" s="3">
        <f t="shared" si="72"/>
        <v>96</v>
      </c>
      <c r="Q65" s="3" t="str">
        <f t="shared" si="73"/>
        <v>HW</v>
      </c>
      <c r="R65" s="3" t="str">
        <f t="shared" si="74"/>
        <v>HL</v>
      </c>
      <c r="S65" s="3" t="str">
        <f t="shared" si="75"/>
        <v>HW</v>
      </c>
      <c r="T65" s="3" t="str">
        <f t="shared" si="76"/>
        <v>HL</v>
      </c>
      <c r="U65" s="3" t="str">
        <f t="shared" si="77"/>
        <v>O</v>
      </c>
      <c r="V65" s="3" t="str">
        <f t="shared" si="78"/>
        <v>U</v>
      </c>
      <c r="W65" s="3" t="str">
        <f t="shared" si="79"/>
        <v>O</v>
      </c>
      <c r="X65" s="3" t="str">
        <f t="shared" si="80"/>
        <v>U</v>
      </c>
      <c r="Z65">
        <v>54.5</v>
      </c>
      <c r="AA65" t="str">
        <f t="shared" si="60"/>
        <v>UTA/LAC</v>
      </c>
    </row>
    <row r="66" spans="1:27" ht="17.100000000000001" x14ac:dyDescent="0.45">
      <c r="A66" s="3">
        <v>191031</v>
      </c>
      <c r="B66" s="1">
        <v>0.47916666666666669</v>
      </c>
      <c r="C66" t="s">
        <v>120</v>
      </c>
      <c r="D66" t="s">
        <v>121</v>
      </c>
      <c r="E66">
        <v>14</v>
      </c>
      <c r="F66">
        <v>32</v>
      </c>
      <c r="G66">
        <v>21</v>
      </c>
      <c r="H66">
        <v>43</v>
      </c>
      <c r="J66">
        <v>43</v>
      </c>
      <c r="K66">
        <v>29</v>
      </c>
      <c r="L66">
        <v>23</v>
      </c>
      <c r="M66">
        <v>26</v>
      </c>
      <c r="O66" s="3">
        <f t="shared" si="71"/>
        <v>110</v>
      </c>
      <c r="P66" s="3">
        <f t="shared" si="72"/>
        <v>121</v>
      </c>
      <c r="Q66" s="3" t="str">
        <f t="shared" si="73"/>
        <v>HL</v>
      </c>
      <c r="R66" s="3" t="str">
        <f t="shared" si="74"/>
        <v>HW</v>
      </c>
      <c r="S66" s="3" t="str">
        <f t="shared" si="75"/>
        <v>HL</v>
      </c>
      <c r="T66" s="3" t="str">
        <f t="shared" si="76"/>
        <v>HW</v>
      </c>
      <c r="U66" s="3" t="str">
        <f t="shared" si="77"/>
        <v>T</v>
      </c>
      <c r="V66" s="3" t="str">
        <f t="shared" si="78"/>
        <v>O</v>
      </c>
      <c r="W66" s="3" t="str">
        <f t="shared" si="79"/>
        <v>U</v>
      </c>
      <c r="X66" s="3" t="str">
        <f t="shared" si="80"/>
        <v>O</v>
      </c>
      <c r="Z66">
        <v>57</v>
      </c>
      <c r="AA66" t="str">
        <f t="shared" si="60"/>
        <v>GS/PHO</v>
      </c>
    </row>
    <row r="67" spans="1:27" ht="17.100000000000001" x14ac:dyDescent="0.45">
      <c r="A67" s="3">
        <v>191101</v>
      </c>
      <c r="B67" s="1">
        <v>0.33333333333333331</v>
      </c>
      <c r="C67" t="s">
        <v>122</v>
      </c>
      <c r="D67" t="s">
        <v>123</v>
      </c>
      <c r="E67">
        <v>26</v>
      </c>
      <c r="F67">
        <v>20</v>
      </c>
      <c r="G67">
        <v>29</v>
      </c>
      <c r="H67">
        <v>22</v>
      </c>
      <c r="J67">
        <v>30</v>
      </c>
      <c r="K67">
        <v>22</v>
      </c>
      <c r="L67">
        <v>33</v>
      </c>
      <c r="M67">
        <v>21</v>
      </c>
      <c r="O67" s="3">
        <f t="shared" si="71"/>
        <v>97</v>
      </c>
      <c r="P67" s="3">
        <f t="shared" si="72"/>
        <v>106</v>
      </c>
      <c r="Q67" s="3" t="str">
        <f t="shared" si="73"/>
        <v>HL</v>
      </c>
      <c r="R67" s="3" t="str">
        <f t="shared" si="74"/>
        <v>HL</v>
      </c>
      <c r="S67" s="3" t="str">
        <f t="shared" si="75"/>
        <v>HL</v>
      </c>
      <c r="T67" s="3" t="str">
        <f t="shared" si="76"/>
        <v>HW</v>
      </c>
      <c r="U67" s="3" t="str">
        <f t="shared" si="77"/>
        <v>O</v>
      </c>
      <c r="V67" s="3" t="str">
        <f t="shared" si="78"/>
        <v>U</v>
      </c>
      <c r="W67" s="3" t="str">
        <f t="shared" si="79"/>
        <v>O</v>
      </c>
      <c r="X67" s="3" t="str">
        <f t="shared" si="80"/>
        <v>U</v>
      </c>
      <c r="Z67">
        <v>55.5</v>
      </c>
      <c r="AA67" t="str">
        <f t="shared" si="60"/>
        <v>ATL/MIA</v>
      </c>
    </row>
    <row r="68" spans="1:27" ht="17.100000000000001" x14ac:dyDescent="0.45">
      <c r="A68" s="3">
        <v>191101</v>
      </c>
      <c r="B68" s="1">
        <v>0.4375</v>
      </c>
      <c r="C68" t="s">
        <v>124</v>
      </c>
      <c r="D68" t="s">
        <v>125</v>
      </c>
      <c r="E68">
        <v>32</v>
      </c>
      <c r="F68">
        <v>24</v>
      </c>
      <c r="G68">
        <v>30</v>
      </c>
      <c r="H68">
        <v>36</v>
      </c>
      <c r="J68">
        <v>30</v>
      </c>
      <c r="K68">
        <v>22</v>
      </c>
      <c r="L68">
        <v>23</v>
      </c>
      <c r="M68">
        <v>32</v>
      </c>
      <c r="O68" s="3">
        <f t="shared" si="71"/>
        <v>122</v>
      </c>
      <c r="P68" s="3">
        <f t="shared" si="72"/>
        <v>107</v>
      </c>
      <c r="Q68" s="3" t="str">
        <f t="shared" si="73"/>
        <v>HW</v>
      </c>
      <c r="R68" s="3" t="str">
        <f t="shared" si="74"/>
        <v>HW</v>
      </c>
      <c r="S68" s="3" t="str">
        <f t="shared" si="75"/>
        <v>HW</v>
      </c>
      <c r="T68" s="3" t="str">
        <f t="shared" si="76"/>
        <v>HW</v>
      </c>
      <c r="U68" s="3" t="str">
        <f t="shared" si="77"/>
        <v>O</v>
      </c>
      <c r="V68" s="3" t="str">
        <f t="shared" si="78"/>
        <v>U</v>
      </c>
      <c r="W68" s="3" t="str">
        <f t="shared" si="79"/>
        <v>U</v>
      </c>
      <c r="X68" s="3" t="str">
        <f t="shared" si="80"/>
        <v>O</v>
      </c>
      <c r="Z68">
        <v>57.5</v>
      </c>
      <c r="AA68" t="str">
        <f t="shared" si="60"/>
        <v>NO/DEN</v>
      </c>
    </row>
    <row r="69" spans="1:27" ht="17.100000000000001" x14ac:dyDescent="0.45">
      <c r="A69" s="3">
        <v>191101</v>
      </c>
      <c r="B69" s="1">
        <v>0.47916666666666669</v>
      </c>
      <c r="C69" t="s">
        <v>126</v>
      </c>
      <c r="D69" t="s">
        <v>127</v>
      </c>
      <c r="E69">
        <v>23</v>
      </c>
      <c r="F69">
        <v>27</v>
      </c>
      <c r="G69">
        <v>30</v>
      </c>
      <c r="H69">
        <v>23</v>
      </c>
      <c r="J69">
        <v>24</v>
      </c>
      <c r="K69">
        <v>24</v>
      </c>
      <c r="L69">
        <v>27</v>
      </c>
      <c r="M69">
        <v>22</v>
      </c>
      <c r="O69" s="3">
        <f t="shared" si="71"/>
        <v>103</v>
      </c>
      <c r="P69" s="3">
        <f t="shared" si="72"/>
        <v>97</v>
      </c>
      <c r="Q69" s="3" t="str">
        <f t="shared" si="73"/>
        <v>HL</v>
      </c>
      <c r="R69" s="3" t="str">
        <f t="shared" si="74"/>
        <v>HW</v>
      </c>
      <c r="S69" s="3" t="str">
        <f t="shared" si="75"/>
        <v>HW</v>
      </c>
      <c r="T69" s="3" t="str">
        <f t="shared" si="76"/>
        <v>HW</v>
      </c>
      <c r="U69" s="3" t="str">
        <f t="shared" si="77"/>
        <v>U</v>
      </c>
      <c r="V69" s="3" t="str">
        <f t="shared" si="78"/>
        <v>U</v>
      </c>
      <c r="W69" s="3" t="str">
        <f t="shared" si="79"/>
        <v>O</v>
      </c>
      <c r="X69" s="3" t="str">
        <f t="shared" si="80"/>
        <v>U</v>
      </c>
      <c r="Z69">
        <v>56.5</v>
      </c>
      <c r="AA69" t="str">
        <f t="shared" si="60"/>
        <v>LAC/SAS</v>
      </c>
    </row>
    <row r="70" spans="1:27" ht="17.100000000000001" x14ac:dyDescent="0.45">
      <c r="A70" s="3">
        <v>191102</v>
      </c>
      <c r="B70" s="1">
        <v>0.33333333333333331</v>
      </c>
      <c r="C70" t="s">
        <v>128</v>
      </c>
      <c r="D70" t="s">
        <v>129</v>
      </c>
      <c r="E70">
        <v>19</v>
      </c>
      <c r="F70">
        <v>23</v>
      </c>
      <c r="G70">
        <v>26</v>
      </c>
      <c r="H70">
        <v>34</v>
      </c>
      <c r="J70">
        <v>26</v>
      </c>
      <c r="K70">
        <v>11</v>
      </c>
      <c r="L70">
        <v>24</v>
      </c>
      <c r="M70">
        <v>34</v>
      </c>
      <c r="O70" s="3">
        <f t="shared" si="71"/>
        <v>102</v>
      </c>
      <c r="P70" s="3">
        <f t="shared" si="72"/>
        <v>95</v>
      </c>
      <c r="Q70" s="3" t="str">
        <f t="shared" si="73"/>
        <v>HL</v>
      </c>
      <c r="R70" s="3" t="str">
        <f t="shared" si="74"/>
        <v>HW</v>
      </c>
      <c r="S70" s="3" t="str">
        <f t="shared" si="75"/>
        <v>HW</v>
      </c>
      <c r="T70" s="3" t="str">
        <f t="shared" si="76"/>
        <v>TT</v>
      </c>
      <c r="U70" s="3" t="str">
        <f t="shared" si="77"/>
        <v>U</v>
      </c>
      <c r="V70" s="3" t="str">
        <f t="shared" si="78"/>
        <v>U</v>
      </c>
      <c r="W70" s="3" t="str">
        <f t="shared" si="79"/>
        <v>U</v>
      </c>
      <c r="X70" s="3" t="str">
        <f t="shared" si="80"/>
        <v>O</v>
      </c>
      <c r="Z70">
        <v>52</v>
      </c>
      <c r="AA70" t="str">
        <f t="shared" si="60"/>
        <v>IND/CLE</v>
      </c>
    </row>
    <row r="71" spans="1:27" ht="17.100000000000001" x14ac:dyDescent="0.45">
      <c r="A71" s="3">
        <v>191102</v>
      </c>
      <c r="B71" s="1">
        <v>0.33333333333333331</v>
      </c>
      <c r="C71" t="s">
        <v>30</v>
      </c>
      <c r="D71" t="s">
        <v>52</v>
      </c>
      <c r="E71">
        <v>24</v>
      </c>
      <c r="F71">
        <v>37</v>
      </c>
      <c r="G71">
        <v>34</v>
      </c>
      <c r="H71">
        <v>28</v>
      </c>
      <c r="J71">
        <v>33</v>
      </c>
      <c r="K71">
        <v>26</v>
      </c>
      <c r="L71">
        <v>24</v>
      </c>
      <c r="M71">
        <v>33</v>
      </c>
      <c r="O71" s="3">
        <f t="shared" si="71"/>
        <v>123</v>
      </c>
      <c r="P71" s="3">
        <f t="shared" si="72"/>
        <v>116</v>
      </c>
      <c r="Q71" s="3" t="str">
        <f t="shared" si="73"/>
        <v>HL</v>
      </c>
      <c r="R71" s="3" t="str">
        <f t="shared" si="74"/>
        <v>HW</v>
      </c>
      <c r="S71" s="3" t="str">
        <f t="shared" si="75"/>
        <v>HW</v>
      </c>
      <c r="T71" s="3" t="str">
        <f t="shared" si="76"/>
        <v>HL</v>
      </c>
      <c r="U71" s="3" t="str">
        <f t="shared" si="77"/>
        <v>U</v>
      </c>
      <c r="V71" s="3" t="str">
        <f t="shared" si="78"/>
        <v>O</v>
      </c>
      <c r="W71" s="3" t="str">
        <f t="shared" si="79"/>
        <v>U</v>
      </c>
      <c r="X71" s="3" t="str">
        <f t="shared" si="80"/>
        <v>U</v>
      </c>
      <c r="Z71">
        <v>62.5</v>
      </c>
      <c r="AA71" t="str">
        <f t="shared" si="60"/>
        <v>BKN/HOU</v>
      </c>
    </row>
    <row r="72" spans="1:27" ht="17.100000000000001" x14ac:dyDescent="0.45">
      <c r="A72" s="3">
        <v>191102</v>
      </c>
      <c r="B72" s="1">
        <v>0.33333333333333331</v>
      </c>
      <c r="C72" t="s">
        <v>130</v>
      </c>
      <c r="D72" t="s">
        <v>131</v>
      </c>
      <c r="E72">
        <v>27</v>
      </c>
      <c r="F72">
        <v>14</v>
      </c>
      <c r="G72">
        <v>30</v>
      </c>
      <c r="H72">
        <v>20</v>
      </c>
      <c r="J72">
        <v>31</v>
      </c>
      <c r="K72">
        <v>31</v>
      </c>
      <c r="L72">
        <v>26</v>
      </c>
      <c r="M72">
        <v>35</v>
      </c>
      <c r="O72" s="3">
        <f t="shared" si="71"/>
        <v>91</v>
      </c>
      <c r="P72" s="3">
        <f t="shared" si="72"/>
        <v>123</v>
      </c>
      <c r="Q72" s="3" t="str">
        <f t="shared" si="73"/>
        <v>HL</v>
      </c>
      <c r="R72" s="3" t="str">
        <f t="shared" si="74"/>
        <v>HL</v>
      </c>
      <c r="S72" s="3" t="str">
        <f t="shared" si="75"/>
        <v>HW</v>
      </c>
      <c r="T72" s="3" t="str">
        <f t="shared" si="76"/>
        <v>HL</v>
      </c>
      <c r="U72" s="3" t="str">
        <f t="shared" si="77"/>
        <v>O</v>
      </c>
      <c r="V72" s="3" t="str">
        <f t="shared" si="78"/>
        <v>U</v>
      </c>
      <c r="W72" s="3" t="str">
        <f t="shared" si="79"/>
        <v>O</v>
      </c>
      <c r="X72" s="3" t="str">
        <f t="shared" si="80"/>
        <v>O</v>
      </c>
      <c r="Z72">
        <v>52</v>
      </c>
      <c r="AA72" t="str">
        <f t="shared" si="60"/>
        <v>ORL/MIL</v>
      </c>
    </row>
    <row r="73" spans="1:27" ht="17.100000000000001" x14ac:dyDescent="0.45">
      <c r="A73" s="3">
        <v>191102</v>
      </c>
      <c r="B73" s="1">
        <v>0.35416666666666669</v>
      </c>
      <c r="C73" t="s">
        <v>132</v>
      </c>
      <c r="D73" t="s">
        <v>133</v>
      </c>
      <c r="E73">
        <v>22</v>
      </c>
      <c r="F73">
        <v>27</v>
      </c>
      <c r="G73">
        <v>26</v>
      </c>
      <c r="H73">
        <v>29</v>
      </c>
      <c r="J73">
        <v>23</v>
      </c>
      <c r="K73">
        <v>27</v>
      </c>
      <c r="L73">
        <v>24</v>
      </c>
      <c r="M73">
        <v>28</v>
      </c>
      <c r="O73" s="3">
        <f t="shared" si="71"/>
        <v>104</v>
      </c>
      <c r="P73" s="3">
        <f t="shared" si="72"/>
        <v>102</v>
      </c>
      <c r="Q73" s="3" t="str">
        <f t="shared" si="73"/>
        <v>HL</v>
      </c>
      <c r="R73" s="3" t="str">
        <f t="shared" si="74"/>
        <v>TT</v>
      </c>
      <c r="S73" s="3" t="str">
        <f t="shared" si="75"/>
        <v>HW</v>
      </c>
      <c r="T73" s="3" t="str">
        <f t="shared" si="76"/>
        <v>HW</v>
      </c>
      <c r="U73" s="3" t="str">
        <f t="shared" si="77"/>
        <v>U</v>
      </c>
      <c r="V73" s="3" t="str">
        <f t="shared" si="78"/>
        <v>T</v>
      </c>
      <c r="W73" s="3" t="str">
        <f t="shared" si="79"/>
        <v>U</v>
      </c>
      <c r="X73" s="3" t="str">
        <f t="shared" si="80"/>
        <v>O</v>
      </c>
      <c r="Z73">
        <v>54</v>
      </c>
      <c r="AA73" t="str">
        <f t="shared" si="60"/>
        <v>BOS/NYK</v>
      </c>
    </row>
    <row r="74" spans="1:27" ht="17.100000000000001" x14ac:dyDescent="0.45">
      <c r="A74" s="3">
        <v>191102</v>
      </c>
      <c r="B74" s="1">
        <v>0.375</v>
      </c>
      <c r="C74" t="s">
        <v>134</v>
      </c>
      <c r="D74" t="s">
        <v>135</v>
      </c>
      <c r="E74">
        <v>30</v>
      </c>
      <c r="F74">
        <v>27</v>
      </c>
      <c r="G74">
        <v>29</v>
      </c>
      <c r="H74">
        <v>26</v>
      </c>
      <c r="J74">
        <v>23</v>
      </c>
      <c r="K74">
        <v>29</v>
      </c>
      <c r="L74">
        <v>28</v>
      </c>
      <c r="M74">
        <v>26</v>
      </c>
      <c r="O74" s="3">
        <f t="shared" si="71"/>
        <v>112</v>
      </c>
      <c r="P74" s="3">
        <f t="shared" si="72"/>
        <v>106</v>
      </c>
      <c r="Q74" s="3" t="str">
        <f t="shared" si="73"/>
        <v>HW</v>
      </c>
      <c r="R74" s="3" t="str">
        <f t="shared" si="74"/>
        <v>HL</v>
      </c>
      <c r="S74" s="3" t="str">
        <f t="shared" si="75"/>
        <v>HW</v>
      </c>
      <c r="T74" s="3" t="str">
        <f t="shared" si="76"/>
        <v>TT</v>
      </c>
      <c r="U74" s="3" t="str">
        <f t="shared" si="77"/>
        <v>U</v>
      </c>
      <c r="V74" s="3" t="str">
        <f t="shared" si="78"/>
        <v>O</v>
      </c>
      <c r="W74" s="3" t="str">
        <f t="shared" si="79"/>
        <v>O</v>
      </c>
      <c r="X74" s="3" t="str">
        <f t="shared" si="80"/>
        <v>U</v>
      </c>
      <c r="Z74">
        <v>55.5</v>
      </c>
      <c r="AA74" t="str">
        <f t="shared" si="60"/>
        <v>CHI/DET</v>
      </c>
    </row>
    <row r="75" spans="1:27" ht="17.100000000000001" x14ac:dyDescent="0.45">
      <c r="A75" s="3">
        <v>191102</v>
      </c>
      <c r="B75" s="1">
        <v>0.4375</v>
      </c>
      <c r="C75" t="s">
        <v>136</v>
      </c>
      <c r="D75" t="s">
        <v>137</v>
      </c>
      <c r="E75">
        <v>25</v>
      </c>
      <c r="F75">
        <v>33</v>
      </c>
      <c r="G75">
        <v>27</v>
      </c>
      <c r="H75">
        <v>18</v>
      </c>
      <c r="I75">
        <v>7</v>
      </c>
      <c r="J75">
        <v>20</v>
      </c>
      <c r="K75">
        <v>28</v>
      </c>
      <c r="L75">
        <v>28</v>
      </c>
      <c r="M75">
        <v>27</v>
      </c>
      <c r="N75" s="2">
        <v>16</v>
      </c>
      <c r="O75" s="3">
        <f t="shared" si="71"/>
        <v>110</v>
      </c>
      <c r="P75" s="3">
        <f t="shared" si="72"/>
        <v>119</v>
      </c>
      <c r="Q75" s="3" t="str">
        <f t="shared" si="73"/>
        <v>HW</v>
      </c>
      <c r="R75" s="3" t="str">
        <f t="shared" si="74"/>
        <v>HW</v>
      </c>
      <c r="S75" s="3" t="str">
        <f t="shared" si="75"/>
        <v>HL</v>
      </c>
      <c r="T75" s="3" t="str">
        <f t="shared" si="76"/>
        <v>HL</v>
      </c>
      <c r="U75" s="3" t="str">
        <f t="shared" si="77"/>
        <v>U</v>
      </c>
      <c r="V75" s="3" t="str">
        <f t="shared" si="78"/>
        <v>O</v>
      </c>
      <c r="W75" s="3" t="str">
        <f t="shared" si="79"/>
        <v>U</v>
      </c>
      <c r="X75" s="3" t="str">
        <f t="shared" si="80"/>
        <v>U</v>
      </c>
      <c r="Z75">
        <v>56</v>
      </c>
      <c r="AA75" t="str">
        <f t="shared" si="60"/>
        <v>DAL/LAL</v>
      </c>
    </row>
    <row r="76" spans="1:27" ht="17.100000000000001" x14ac:dyDescent="0.45">
      <c r="A76" s="3">
        <v>191102</v>
      </c>
      <c r="B76" s="1">
        <v>0.45833333333333331</v>
      </c>
      <c r="C76" t="s">
        <v>138</v>
      </c>
      <c r="D76" t="s">
        <v>139</v>
      </c>
      <c r="E76">
        <v>28</v>
      </c>
      <c r="F76">
        <v>23</v>
      </c>
      <c r="G76">
        <v>30</v>
      </c>
      <c r="H76">
        <v>21</v>
      </c>
      <c r="J76">
        <v>18</v>
      </c>
      <c r="K76">
        <v>30</v>
      </c>
      <c r="L76">
        <v>32</v>
      </c>
      <c r="M76">
        <v>21</v>
      </c>
      <c r="O76" s="3">
        <f t="shared" si="71"/>
        <v>102</v>
      </c>
      <c r="P76" s="3">
        <f t="shared" si="72"/>
        <v>101</v>
      </c>
      <c r="Q76" s="3" t="str">
        <f t="shared" si="73"/>
        <v>HW</v>
      </c>
      <c r="R76" s="3" t="str">
        <f t="shared" si="74"/>
        <v>HL</v>
      </c>
      <c r="S76" s="3" t="str">
        <f t="shared" si="75"/>
        <v>HL</v>
      </c>
      <c r="T76" s="3" t="str">
        <f t="shared" si="76"/>
        <v>TT</v>
      </c>
      <c r="U76" s="3" t="str">
        <f t="shared" si="77"/>
        <v>U</v>
      </c>
      <c r="V76" s="3" t="str">
        <f t="shared" si="78"/>
        <v>O</v>
      </c>
      <c r="W76" s="3" t="str">
        <f t="shared" si="79"/>
        <v>O</v>
      </c>
      <c r="X76" s="3" t="str">
        <f t="shared" si="80"/>
        <v>U</v>
      </c>
      <c r="Z76">
        <v>52</v>
      </c>
      <c r="AA76" t="str">
        <f t="shared" si="60"/>
        <v>SAC/UTA</v>
      </c>
    </row>
    <row r="77" spans="1:27" ht="17.100000000000001" x14ac:dyDescent="0.45">
      <c r="A77" s="3">
        <v>191102</v>
      </c>
      <c r="B77" s="1">
        <v>0.47916666666666669</v>
      </c>
      <c r="C77" t="s">
        <v>140</v>
      </c>
      <c r="D77" t="s">
        <v>127</v>
      </c>
      <c r="E77">
        <v>28</v>
      </c>
      <c r="F77">
        <v>27</v>
      </c>
      <c r="G77">
        <v>31</v>
      </c>
      <c r="H77">
        <v>24</v>
      </c>
      <c r="J77">
        <v>29</v>
      </c>
      <c r="K77">
        <v>28</v>
      </c>
      <c r="L77">
        <v>40</v>
      </c>
      <c r="M77">
        <v>30</v>
      </c>
      <c r="O77" s="3">
        <f t="shared" si="71"/>
        <v>110</v>
      </c>
      <c r="P77" s="3">
        <f t="shared" si="72"/>
        <v>127</v>
      </c>
      <c r="Q77" s="3" t="str">
        <f t="shared" si="73"/>
        <v>HL</v>
      </c>
      <c r="R77" s="3" t="str">
        <f t="shared" si="74"/>
        <v>HL</v>
      </c>
      <c r="S77" s="3" t="str">
        <f t="shared" si="75"/>
        <v>HL</v>
      </c>
      <c r="T77" s="3" t="str">
        <f t="shared" si="76"/>
        <v>HL</v>
      </c>
      <c r="U77" s="3" t="str">
        <f t="shared" si="77"/>
        <v>O</v>
      </c>
      <c r="V77" s="3" t="str">
        <f t="shared" si="78"/>
        <v>O</v>
      </c>
      <c r="W77" s="3" t="str">
        <f t="shared" si="79"/>
        <v>O</v>
      </c>
      <c r="X77" s="3" t="str">
        <f t="shared" si="80"/>
        <v>U</v>
      </c>
      <c r="Z77">
        <v>54.5</v>
      </c>
      <c r="AA77" t="str">
        <f t="shared" si="60"/>
        <v>GS/SAS</v>
      </c>
    </row>
    <row r="78" spans="1:27" ht="17.100000000000001" x14ac:dyDescent="0.45">
      <c r="A78" s="3">
        <v>191103</v>
      </c>
      <c r="B78" s="1">
        <v>0.25</v>
      </c>
      <c r="C78" t="s">
        <v>141</v>
      </c>
      <c r="D78" t="s">
        <v>124</v>
      </c>
      <c r="E78">
        <v>33</v>
      </c>
      <c r="F78">
        <v>32</v>
      </c>
      <c r="G78">
        <v>29</v>
      </c>
      <c r="H78">
        <v>21</v>
      </c>
      <c r="J78">
        <v>26</v>
      </c>
      <c r="K78">
        <v>34</v>
      </c>
      <c r="L78">
        <v>26</v>
      </c>
      <c r="M78">
        <v>18</v>
      </c>
      <c r="O78" s="3">
        <f t="shared" si="71"/>
        <v>115</v>
      </c>
      <c r="P78" s="3">
        <f t="shared" si="72"/>
        <v>104</v>
      </c>
      <c r="Q78" s="3" t="str">
        <f t="shared" si="73"/>
        <v>HW</v>
      </c>
      <c r="R78" s="3" t="str">
        <f t="shared" si="74"/>
        <v>HL</v>
      </c>
      <c r="S78" s="3" t="str">
        <f t="shared" si="75"/>
        <v>HW</v>
      </c>
      <c r="T78" s="3" t="str">
        <f t="shared" si="76"/>
        <v>HW</v>
      </c>
      <c r="U78" s="3" t="str">
        <f t="shared" si="77"/>
        <v>O</v>
      </c>
      <c r="V78" s="3" t="str">
        <f t="shared" si="78"/>
        <v>O</v>
      </c>
      <c r="W78" s="3" t="str">
        <f t="shared" si="79"/>
        <v>U</v>
      </c>
      <c r="X78" s="3" t="str">
        <f t="shared" si="80"/>
        <v>U</v>
      </c>
      <c r="Z78">
        <v>57.5</v>
      </c>
      <c r="AA78" t="str">
        <f t="shared" si="60"/>
        <v>OKC/NO</v>
      </c>
    </row>
    <row r="79" spans="1:27" ht="17.100000000000001" x14ac:dyDescent="0.45">
      <c r="A79" s="3">
        <v>191103</v>
      </c>
      <c r="B79" s="1">
        <v>0.33333333333333331</v>
      </c>
      <c r="C79" t="s">
        <v>135</v>
      </c>
      <c r="D79" t="s">
        <v>142</v>
      </c>
      <c r="E79">
        <v>33</v>
      </c>
      <c r="F79">
        <v>13</v>
      </c>
      <c r="G79">
        <v>32</v>
      </c>
      <c r="H79">
        <v>35</v>
      </c>
      <c r="J79">
        <v>26</v>
      </c>
      <c r="K79">
        <v>28</v>
      </c>
      <c r="L79">
        <v>18</v>
      </c>
      <c r="M79">
        <v>37</v>
      </c>
      <c r="O79" s="3">
        <f t="shared" si="71"/>
        <v>113</v>
      </c>
      <c r="P79" s="3">
        <f t="shared" si="72"/>
        <v>109</v>
      </c>
      <c r="Q79" s="3" t="str">
        <f t="shared" si="73"/>
        <v>HW</v>
      </c>
      <c r="R79" s="3" t="str">
        <f t="shared" si="74"/>
        <v>HL</v>
      </c>
      <c r="S79" s="3" t="str">
        <f t="shared" si="75"/>
        <v>HW</v>
      </c>
      <c r="T79" s="3" t="str">
        <f t="shared" si="76"/>
        <v>HL</v>
      </c>
      <c r="U79" s="3" t="str">
        <f t="shared" si="77"/>
        <v>O</v>
      </c>
      <c r="V79" s="3" t="str">
        <f t="shared" si="78"/>
        <v>U</v>
      </c>
      <c r="W79" s="3" t="str">
        <f t="shared" si="79"/>
        <v>U</v>
      </c>
      <c r="X79" s="3" t="str">
        <f t="shared" si="80"/>
        <v>O</v>
      </c>
      <c r="Z79">
        <v>54.5</v>
      </c>
      <c r="AA79" t="str">
        <f t="shared" si="60"/>
        <v>DET/BKN</v>
      </c>
    </row>
    <row r="80" spans="1:27" ht="17.100000000000001" x14ac:dyDescent="0.45">
      <c r="A80" s="3">
        <v>191103</v>
      </c>
      <c r="B80" s="1">
        <v>0.33333333333333331</v>
      </c>
      <c r="C80" t="s">
        <v>130</v>
      </c>
      <c r="D80" t="s">
        <v>125</v>
      </c>
      <c r="E80">
        <v>26</v>
      </c>
      <c r="F80">
        <v>19</v>
      </c>
      <c r="G80">
        <v>18</v>
      </c>
      <c r="H80">
        <v>24</v>
      </c>
      <c r="J80">
        <v>17</v>
      </c>
      <c r="K80">
        <v>23</v>
      </c>
      <c r="L80">
        <v>29</v>
      </c>
      <c r="M80">
        <v>22</v>
      </c>
      <c r="O80" s="3">
        <f t="shared" si="71"/>
        <v>87</v>
      </c>
      <c r="P80" s="3">
        <f t="shared" si="72"/>
        <v>91</v>
      </c>
      <c r="Q80" s="3" t="str">
        <f t="shared" si="73"/>
        <v>HW</v>
      </c>
      <c r="R80" s="3" t="str">
        <f t="shared" si="74"/>
        <v>HL</v>
      </c>
      <c r="S80" s="3" t="str">
        <f t="shared" si="75"/>
        <v>HL</v>
      </c>
      <c r="T80" s="3" t="str">
        <f t="shared" si="76"/>
        <v>HW</v>
      </c>
      <c r="U80" s="3" t="str">
        <f t="shared" si="77"/>
        <v>U</v>
      </c>
      <c r="V80" s="3" t="str">
        <f t="shared" si="78"/>
        <v>U</v>
      </c>
      <c r="W80" s="3" t="str">
        <f t="shared" si="79"/>
        <v>U</v>
      </c>
      <c r="X80" s="3" t="str">
        <f t="shared" si="80"/>
        <v>U</v>
      </c>
      <c r="Z80">
        <v>52.5</v>
      </c>
      <c r="AA80" t="str">
        <f t="shared" si="60"/>
        <v>ORL/DEN</v>
      </c>
    </row>
    <row r="81" spans="1:27" ht="17.100000000000001" x14ac:dyDescent="0.45">
      <c r="A81" s="3">
        <v>191103</v>
      </c>
      <c r="B81" s="1">
        <v>0.375</v>
      </c>
      <c r="C81" t="s">
        <v>131</v>
      </c>
      <c r="D81" t="s">
        <v>143</v>
      </c>
      <c r="E81">
        <v>36</v>
      </c>
      <c r="F81">
        <v>30</v>
      </c>
      <c r="G81">
        <v>29</v>
      </c>
      <c r="H81">
        <v>20</v>
      </c>
      <c r="J81">
        <v>17</v>
      </c>
      <c r="K81">
        <v>33</v>
      </c>
      <c r="L81">
        <v>40</v>
      </c>
      <c r="M81">
        <v>15</v>
      </c>
      <c r="O81" s="3">
        <f t="shared" si="71"/>
        <v>115</v>
      </c>
      <c r="P81" s="3">
        <f t="shared" si="72"/>
        <v>105</v>
      </c>
      <c r="Q81" s="3" t="str">
        <f t="shared" si="73"/>
        <v>HW</v>
      </c>
      <c r="R81" s="3" t="str">
        <f t="shared" si="74"/>
        <v>HL</v>
      </c>
      <c r="S81" s="3" t="str">
        <f t="shared" si="75"/>
        <v>HL</v>
      </c>
      <c r="T81" s="3" t="str">
        <f t="shared" si="76"/>
        <v>HW</v>
      </c>
      <c r="U81" s="3" t="str">
        <f t="shared" si="77"/>
        <v>U</v>
      </c>
      <c r="V81" s="3" t="str">
        <f t="shared" si="78"/>
        <v>O</v>
      </c>
      <c r="W81" s="3" t="str">
        <f t="shared" si="79"/>
        <v>O</v>
      </c>
      <c r="X81" s="3" t="str">
        <f t="shared" si="80"/>
        <v>U</v>
      </c>
      <c r="Z81">
        <v>58</v>
      </c>
      <c r="AA81" t="str">
        <f t="shared" si="60"/>
        <v>MIL/TOR</v>
      </c>
    </row>
    <row r="82" spans="1:27" ht="17.100000000000001" x14ac:dyDescent="0.45">
      <c r="A82" s="3">
        <v>191103</v>
      </c>
      <c r="B82" s="1">
        <v>0.375</v>
      </c>
      <c r="C82" t="s">
        <v>144</v>
      </c>
      <c r="D82" t="s">
        <v>145</v>
      </c>
      <c r="E82">
        <v>34</v>
      </c>
      <c r="F82">
        <v>22</v>
      </c>
      <c r="G82">
        <v>16</v>
      </c>
      <c r="H82">
        <v>37</v>
      </c>
      <c r="J82">
        <v>42</v>
      </c>
      <c r="K82">
        <v>28</v>
      </c>
      <c r="L82">
        <v>36</v>
      </c>
      <c r="M82">
        <v>25</v>
      </c>
      <c r="O82" s="3">
        <f t="shared" si="71"/>
        <v>109</v>
      </c>
      <c r="P82" s="3">
        <f t="shared" si="72"/>
        <v>131</v>
      </c>
      <c r="Q82" s="3" t="str">
        <f t="shared" si="73"/>
        <v>HL</v>
      </c>
      <c r="R82" s="3" t="str">
        <f t="shared" si="74"/>
        <v>HL</v>
      </c>
      <c r="S82" s="3" t="str">
        <f t="shared" si="75"/>
        <v>HL</v>
      </c>
      <c r="T82" s="3" t="str">
        <f t="shared" si="76"/>
        <v>HW</v>
      </c>
      <c r="U82" s="3" t="str">
        <f t="shared" si="77"/>
        <v>O</v>
      </c>
      <c r="V82" s="3" t="str">
        <f t="shared" si="78"/>
        <v>U</v>
      </c>
      <c r="W82" s="3" t="str">
        <f t="shared" si="79"/>
        <v>U</v>
      </c>
      <c r="X82" s="3" t="str">
        <f t="shared" si="80"/>
        <v>O</v>
      </c>
      <c r="Z82">
        <v>58.5</v>
      </c>
      <c r="AA82" t="str">
        <f t="shared" si="60"/>
        <v>WAS/MIN</v>
      </c>
    </row>
    <row r="83" spans="1:27" ht="17.100000000000001" x14ac:dyDescent="0.45">
      <c r="A83" s="3">
        <v>191103</v>
      </c>
      <c r="B83" s="1">
        <v>0.375</v>
      </c>
      <c r="C83" t="s">
        <v>146</v>
      </c>
      <c r="D83" t="s">
        <v>147</v>
      </c>
      <c r="E83">
        <v>24</v>
      </c>
      <c r="F83">
        <v>23</v>
      </c>
      <c r="G83">
        <v>22</v>
      </c>
      <c r="H83">
        <v>36</v>
      </c>
      <c r="J83">
        <v>31</v>
      </c>
      <c r="K83">
        <v>14</v>
      </c>
      <c r="L83">
        <v>37</v>
      </c>
      <c r="M83">
        <v>32</v>
      </c>
      <c r="O83" s="3">
        <f t="shared" si="71"/>
        <v>105</v>
      </c>
      <c r="P83" s="3">
        <f t="shared" si="72"/>
        <v>114</v>
      </c>
      <c r="Q83" s="3" t="str">
        <f t="shared" si="73"/>
        <v>HL</v>
      </c>
      <c r="R83" s="3" t="str">
        <f t="shared" si="74"/>
        <v>HW</v>
      </c>
      <c r="S83" s="3" t="str">
        <f t="shared" si="75"/>
        <v>HL</v>
      </c>
      <c r="T83" s="3" t="str">
        <f t="shared" si="76"/>
        <v>HW</v>
      </c>
      <c r="U83" s="3" t="str">
        <f t="shared" si="77"/>
        <v>O</v>
      </c>
      <c r="V83" s="3" t="str">
        <f t="shared" si="78"/>
        <v>U</v>
      </c>
      <c r="W83" s="3" t="str">
        <f t="shared" si="79"/>
        <v>O</v>
      </c>
      <c r="X83" s="3" t="str">
        <f t="shared" si="80"/>
        <v>O</v>
      </c>
      <c r="Z83">
        <v>54</v>
      </c>
      <c r="AA83" t="str">
        <f t="shared" si="60"/>
        <v>MEM/PHO</v>
      </c>
    </row>
    <row r="84" spans="1:27" ht="17.100000000000001" x14ac:dyDescent="0.45">
      <c r="A84" s="3">
        <v>191103</v>
      </c>
      <c r="B84" s="1">
        <v>0.39583333333333331</v>
      </c>
      <c r="C84" t="s">
        <v>140</v>
      </c>
      <c r="D84" t="s">
        <v>148</v>
      </c>
      <c r="E84">
        <v>30</v>
      </c>
      <c r="F84">
        <v>25</v>
      </c>
      <c r="G84">
        <v>16</v>
      </c>
      <c r="H84">
        <v>16</v>
      </c>
      <c r="J84">
        <v>25</v>
      </c>
      <c r="K84">
        <v>25</v>
      </c>
      <c r="L84">
        <v>18</v>
      </c>
      <c r="M84">
        <v>25</v>
      </c>
      <c r="O84" s="3">
        <f t="shared" si="71"/>
        <v>87</v>
      </c>
      <c r="P84" s="3">
        <f t="shared" si="72"/>
        <v>93</v>
      </c>
      <c r="Q84" s="3" t="str">
        <f t="shared" si="73"/>
        <v>HW</v>
      </c>
      <c r="R84" s="3" t="str">
        <f t="shared" si="74"/>
        <v>TT</v>
      </c>
      <c r="S84" s="3" t="str">
        <f t="shared" si="75"/>
        <v>HL</v>
      </c>
      <c r="T84" s="3" t="str">
        <f t="shared" si="76"/>
        <v>HL</v>
      </c>
      <c r="U84" s="3" t="str">
        <f t="shared" si="77"/>
        <v>U</v>
      </c>
      <c r="V84" s="3" t="str">
        <f t="shared" si="78"/>
        <v>U</v>
      </c>
      <c r="W84" s="3" t="str">
        <f t="shared" si="79"/>
        <v>U</v>
      </c>
      <c r="X84" s="3" t="str">
        <f t="shared" si="80"/>
        <v>U</v>
      </c>
      <c r="Z84">
        <v>56.5</v>
      </c>
      <c r="AA84" t="str">
        <f t="shared" si="60"/>
        <v>GS/CHA</v>
      </c>
    </row>
    <row r="85" spans="1:27" ht="17.100000000000001" x14ac:dyDescent="0.45">
      <c r="A85" s="3">
        <v>191103</v>
      </c>
      <c r="B85" s="1">
        <v>0.45833333333333331</v>
      </c>
      <c r="C85" t="s">
        <v>149</v>
      </c>
      <c r="D85" t="s">
        <v>150</v>
      </c>
      <c r="E85">
        <v>32</v>
      </c>
      <c r="F85">
        <v>36</v>
      </c>
      <c r="G85">
        <v>34</v>
      </c>
      <c r="H85">
        <v>26</v>
      </c>
      <c r="J85">
        <v>27</v>
      </c>
      <c r="K85">
        <v>30</v>
      </c>
      <c r="L85">
        <v>35</v>
      </c>
      <c r="M85">
        <v>37</v>
      </c>
      <c r="O85" s="3">
        <f t="shared" si="71"/>
        <v>128</v>
      </c>
      <c r="P85" s="3">
        <f t="shared" si="72"/>
        <v>129</v>
      </c>
      <c r="Q85" s="3" t="str">
        <f t="shared" si="73"/>
        <v>HW</v>
      </c>
      <c r="R85" s="3" t="str">
        <f t="shared" si="74"/>
        <v>HW</v>
      </c>
      <c r="S85" s="3" t="str">
        <f t="shared" si="75"/>
        <v>HL</v>
      </c>
      <c r="T85" s="3" t="str">
        <f t="shared" si="76"/>
        <v>HL</v>
      </c>
      <c r="U85" s="3" t="str">
        <f t="shared" si="77"/>
        <v>O</v>
      </c>
      <c r="V85" s="3" t="str">
        <f t="shared" si="78"/>
        <v>O</v>
      </c>
      <c r="W85" s="3" t="str">
        <f t="shared" si="79"/>
        <v>O</v>
      </c>
      <c r="X85" s="3" t="str">
        <f t="shared" si="80"/>
        <v>O</v>
      </c>
      <c r="Z85">
        <v>57.5</v>
      </c>
      <c r="AA85" t="str">
        <f t="shared" si="60"/>
        <v>POR/PHI</v>
      </c>
    </row>
    <row r="86" spans="1:27" ht="17.100000000000001" x14ac:dyDescent="0.45">
      <c r="A86" s="3">
        <v>191104</v>
      </c>
      <c r="B86" s="1">
        <v>0.29166666666666669</v>
      </c>
      <c r="C86" t="s">
        <v>128</v>
      </c>
      <c r="D86" t="s">
        <v>134</v>
      </c>
      <c r="E86">
        <v>24</v>
      </c>
      <c r="F86">
        <v>31</v>
      </c>
      <c r="G86">
        <v>31</v>
      </c>
      <c r="H86">
        <v>22</v>
      </c>
      <c r="J86">
        <v>18</v>
      </c>
      <c r="K86">
        <v>24</v>
      </c>
      <c r="L86">
        <v>32</v>
      </c>
      <c r="M86">
        <v>21</v>
      </c>
      <c r="O86" s="3">
        <f t="shared" si="71"/>
        <v>108</v>
      </c>
      <c r="P86" s="3">
        <f t="shared" si="72"/>
        <v>95</v>
      </c>
      <c r="Q86" s="3" t="str">
        <f t="shared" si="73"/>
        <v>HW</v>
      </c>
      <c r="R86" s="3" t="str">
        <f t="shared" si="74"/>
        <v>HW</v>
      </c>
      <c r="S86" s="3" t="str">
        <f t="shared" si="75"/>
        <v>HL</v>
      </c>
      <c r="T86" s="3" t="str">
        <f t="shared" si="76"/>
        <v>HW</v>
      </c>
      <c r="U86" s="3" t="str">
        <f t="shared" si="77"/>
        <v>U</v>
      </c>
      <c r="V86" s="3" t="str">
        <f t="shared" si="78"/>
        <v>O</v>
      </c>
      <c r="W86" s="3" t="str">
        <f t="shared" si="79"/>
        <v>O</v>
      </c>
      <c r="X86" s="3" t="str">
        <f t="shared" si="80"/>
        <v>U</v>
      </c>
      <c r="Z86">
        <v>52.5</v>
      </c>
      <c r="AA86" t="str">
        <f t="shared" si="60"/>
        <v>IND/CHI</v>
      </c>
    </row>
    <row r="87" spans="1:27" ht="17.100000000000001" x14ac:dyDescent="0.45">
      <c r="A87" s="3">
        <v>191104</v>
      </c>
      <c r="B87" s="1">
        <v>0.33333333333333331</v>
      </c>
      <c r="C87" t="s">
        <v>123</v>
      </c>
      <c r="D87" t="s">
        <v>151</v>
      </c>
      <c r="E87">
        <v>46</v>
      </c>
      <c r="F87">
        <v>25</v>
      </c>
      <c r="G87">
        <v>28</v>
      </c>
      <c r="H87">
        <v>30</v>
      </c>
      <c r="J87">
        <v>14</v>
      </c>
      <c r="K87">
        <v>32</v>
      </c>
      <c r="L87">
        <v>25</v>
      </c>
      <c r="M87">
        <v>29</v>
      </c>
      <c r="O87" s="3">
        <f t="shared" si="71"/>
        <v>129</v>
      </c>
      <c r="P87" s="3">
        <f t="shared" si="72"/>
        <v>100</v>
      </c>
      <c r="Q87" s="3" t="str">
        <f t="shared" si="73"/>
        <v>HW</v>
      </c>
      <c r="R87" s="3" t="str">
        <f t="shared" si="74"/>
        <v>HL</v>
      </c>
      <c r="S87" s="3" t="str">
        <f t="shared" si="75"/>
        <v>HW</v>
      </c>
      <c r="T87" s="3" t="str">
        <f t="shared" si="76"/>
        <v>HW</v>
      </c>
      <c r="U87" s="3" t="str">
        <f t="shared" si="77"/>
        <v>O</v>
      </c>
      <c r="V87" s="3" t="str">
        <f t="shared" si="78"/>
        <v>U</v>
      </c>
      <c r="W87" s="3" t="str">
        <f t="shared" si="79"/>
        <v>U</v>
      </c>
      <c r="X87" s="3" t="str">
        <f t="shared" si="80"/>
        <v>U</v>
      </c>
      <c r="Z87">
        <v>59.5</v>
      </c>
      <c r="AA87" t="str">
        <f t="shared" si="60"/>
        <v>MIA/HOU</v>
      </c>
    </row>
    <row r="88" spans="1:27" ht="17.100000000000001" x14ac:dyDescent="0.45">
      <c r="A88" s="3">
        <v>191104</v>
      </c>
      <c r="B88" s="1">
        <v>0.33333333333333331</v>
      </c>
      <c r="C88" t="s">
        <v>133</v>
      </c>
      <c r="D88" t="s">
        <v>138</v>
      </c>
      <c r="E88">
        <v>23</v>
      </c>
      <c r="F88">
        <v>18</v>
      </c>
      <c r="G88">
        <v>23</v>
      </c>
      <c r="H88">
        <v>28</v>
      </c>
      <c r="J88">
        <v>32</v>
      </c>
      <c r="K88">
        <v>29</v>
      </c>
      <c r="L88">
        <v>29</v>
      </c>
      <c r="M88">
        <v>23</v>
      </c>
      <c r="O88" s="3">
        <f t="shared" si="71"/>
        <v>92</v>
      </c>
      <c r="P88" s="3">
        <f t="shared" si="72"/>
        <v>113</v>
      </c>
      <c r="Q88" s="3" t="str">
        <f t="shared" si="73"/>
        <v>HL</v>
      </c>
      <c r="R88" s="3" t="str">
        <f t="shared" si="74"/>
        <v>HL</v>
      </c>
      <c r="S88" s="3" t="str">
        <f t="shared" si="75"/>
        <v>HL</v>
      </c>
      <c r="T88" s="3" t="str">
        <f t="shared" si="76"/>
        <v>HW</v>
      </c>
      <c r="U88" s="3" t="str">
        <f t="shared" si="77"/>
        <v>O</v>
      </c>
      <c r="V88" s="3" t="str">
        <f t="shared" si="78"/>
        <v>U</v>
      </c>
      <c r="W88" s="3" t="str">
        <f t="shared" si="79"/>
        <v>U</v>
      </c>
      <c r="X88" s="3" t="str">
        <f t="shared" si="80"/>
        <v>U</v>
      </c>
      <c r="Z88">
        <v>54</v>
      </c>
      <c r="AA88" t="str">
        <f t="shared" si="60"/>
        <v>NYK/SAC</v>
      </c>
    </row>
    <row r="89" spans="1:27" ht="17.100000000000001" x14ac:dyDescent="0.45">
      <c r="A89" s="3">
        <v>191104</v>
      </c>
      <c r="B89" s="1">
        <v>0.375</v>
      </c>
      <c r="C89" t="s">
        <v>127</v>
      </c>
      <c r="D89" t="s">
        <v>137</v>
      </c>
      <c r="E89">
        <v>25</v>
      </c>
      <c r="F89">
        <v>18</v>
      </c>
      <c r="G89">
        <v>29</v>
      </c>
      <c r="H89">
        <v>24</v>
      </c>
      <c r="J89">
        <v>26</v>
      </c>
      <c r="K89">
        <v>30</v>
      </c>
      <c r="L89">
        <v>21</v>
      </c>
      <c r="M89">
        <v>26</v>
      </c>
      <c r="O89" s="3">
        <f t="shared" si="71"/>
        <v>96</v>
      </c>
      <c r="P89" s="3">
        <f t="shared" si="72"/>
        <v>103</v>
      </c>
      <c r="Q89" s="3" t="str">
        <f t="shared" si="73"/>
        <v>HL</v>
      </c>
      <c r="R89" s="3" t="str">
        <f t="shared" si="74"/>
        <v>HL</v>
      </c>
      <c r="S89" s="3" t="str">
        <f t="shared" si="75"/>
        <v>HW</v>
      </c>
      <c r="T89" s="3" t="str">
        <f t="shared" si="76"/>
        <v>HL</v>
      </c>
      <c r="U89" s="3" t="str">
        <f t="shared" si="77"/>
        <v>U</v>
      </c>
      <c r="V89" s="3" t="str">
        <f t="shared" si="78"/>
        <v>U</v>
      </c>
      <c r="W89" s="3" t="str">
        <f t="shared" si="79"/>
        <v>U</v>
      </c>
      <c r="X89" s="3" t="str">
        <f t="shared" si="80"/>
        <v>U</v>
      </c>
      <c r="Z89">
        <v>55.5</v>
      </c>
      <c r="AA89" t="str">
        <f t="shared" si="60"/>
        <v>SAS/LAL</v>
      </c>
    </row>
    <row r="90" spans="1:27" ht="17.100000000000001" x14ac:dyDescent="0.45">
      <c r="A90" s="3">
        <v>191104</v>
      </c>
      <c r="B90" s="1">
        <v>0.39583333333333331</v>
      </c>
      <c r="C90" t="s">
        <v>129</v>
      </c>
      <c r="D90" t="s">
        <v>136</v>
      </c>
      <c r="E90">
        <v>28</v>
      </c>
      <c r="F90">
        <v>25</v>
      </c>
      <c r="G90">
        <v>33</v>
      </c>
      <c r="H90">
        <v>25</v>
      </c>
      <c r="J90">
        <v>31</v>
      </c>
      <c r="K90">
        <v>27</v>
      </c>
      <c r="L90">
        <v>32</v>
      </c>
      <c r="M90">
        <v>41</v>
      </c>
      <c r="O90" s="3">
        <f t="shared" si="71"/>
        <v>111</v>
      </c>
      <c r="P90" s="3">
        <f t="shared" si="72"/>
        <v>131</v>
      </c>
      <c r="Q90" s="3" t="str">
        <f t="shared" si="73"/>
        <v>HL</v>
      </c>
      <c r="R90" s="3" t="str">
        <f t="shared" si="74"/>
        <v>HL</v>
      </c>
      <c r="S90" s="3" t="str">
        <f t="shared" si="75"/>
        <v>HW</v>
      </c>
      <c r="T90" s="3" t="str">
        <f t="shared" si="76"/>
        <v>HL</v>
      </c>
      <c r="U90" s="3" t="str">
        <f t="shared" si="77"/>
        <v>O</v>
      </c>
      <c r="V90" s="3" t="str">
        <f t="shared" si="78"/>
        <v>U</v>
      </c>
      <c r="W90" s="3" t="str">
        <f t="shared" si="79"/>
        <v>O</v>
      </c>
      <c r="X90" s="3" t="str">
        <f t="shared" si="80"/>
        <v>O</v>
      </c>
      <c r="Z90">
        <v>55.5</v>
      </c>
      <c r="AA90" t="str">
        <f t="shared" si="60"/>
        <v>CLE/DAL</v>
      </c>
    </row>
    <row r="91" spans="1:27" ht="17.100000000000001" x14ac:dyDescent="0.45">
      <c r="A91" s="3">
        <v>191104</v>
      </c>
      <c r="B91" s="1">
        <v>0.45833333333333331</v>
      </c>
      <c r="C91" t="s">
        <v>126</v>
      </c>
      <c r="D91" t="s">
        <v>139</v>
      </c>
      <c r="E91">
        <v>16</v>
      </c>
      <c r="F91">
        <v>23</v>
      </c>
      <c r="G91">
        <v>26</v>
      </c>
      <c r="H91">
        <v>40</v>
      </c>
      <c r="J91">
        <v>20</v>
      </c>
      <c r="K91">
        <v>21</v>
      </c>
      <c r="L91">
        <v>28</v>
      </c>
      <c r="M91">
        <v>25</v>
      </c>
      <c r="O91" s="3">
        <f t="shared" si="71"/>
        <v>105</v>
      </c>
      <c r="P91" s="3">
        <f t="shared" si="72"/>
        <v>94</v>
      </c>
      <c r="Q91" s="3" t="str">
        <f t="shared" si="73"/>
        <v>HL</v>
      </c>
      <c r="R91" s="3" t="str">
        <f t="shared" si="74"/>
        <v>HW</v>
      </c>
      <c r="S91" s="3" t="str">
        <f t="shared" si="75"/>
        <v>HL</v>
      </c>
      <c r="T91" s="3" t="str">
        <f t="shared" si="76"/>
        <v>HW</v>
      </c>
      <c r="U91" s="3" t="str">
        <f t="shared" si="77"/>
        <v>U</v>
      </c>
      <c r="V91" s="3" t="str">
        <f t="shared" si="78"/>
        <v>U</v>
      </c>
      <c r="W91" s="3" t="str">
        <f t="shared" si="79"/>
        <v>O</v>
      </c>
      <c r="X91" s="3" t="str">
        <f t="shared" si="80"/>
        <v>O</v>
      </c>
      <c r="Z91">
        <v>51.5</v>
      </c>
      <c r="AA91" t="str">
        <f t="shared" si="60"/>
        <v>LAC/UTA</v>
      </c>
    </row>
    <row r="92" spans="1:27" ht="17.100000000000001" x14ac:dyDescent="0.45">
      <c r="A92" s="3">
        <v>191105</v>
      </c>
      <c r="B92" s="1">
        <v>0.375</v>
      </c>
      <c r="C92" t="s">
        <v>144</v>
      </c>
      <c r="D92" t="s">
        <v>135</v>
      </c>
      <c r="E92">
        <v>31</v>
      </c>
      <c r="F92">
        <v>32</v>
      </c>
      <c r="G92">
        <v>30</v>
      </c>
      <c r="H92">
        <v>22</v>
      </c>
      <c r="J92">
        <v>30</v>
      </c>
      <c r="K92">
        <v>31</v>
      </c>
      <c r="L92">
        <v>17</v>
      </c>
      <c r="M92">
        <v>21</v>
      </c>
      <c r="O92" s="3">
        <f t="shared" si="71"/>
        <v>115</v>
      </c>
      <c r="P92" s="3">
        <f t="shared" si="72"/>
        <v>99</v>
      </c>
      <c r="Q92" s="3" t="str">
        <f t="shared" si="73"/>
        <v>HW</v>
      </c>
      <c r="R92" s="3" t="str">
        <f t="shared" si="74"/>
        <v>HW</v>
      </c>
      <c r="S92" s="3" t="str">
        <f t="shared" si="75"/>
        <v>HW</v>
      </c>
      <c r="T92" s="3" t="str">
        <f t="shared" si="76"/>
        <v>HW</v>
      </c>
      <c r="U92" s="3" t="str">
        <f t="shared" si="77"/>
        <v>O</v>
      </c>
      <c r="V92" s="3" t="str">
        <f t="shared" si="78"/>
        <v>O</v>
      </c>
      <c r="W92" s="3" t="str">
        <f t="shared" si="79"/>
        <v>U</v>
      </c>
      <c r="X92" s="3" t="str">
        <f t="shared" si="80"/>
        <v>U</v>
      </c>
      <c r="Z92">
        <v>58</v>
      </c>
      <c r="AA92" t="str">
        <f t="shared" si="60"/>
        <v>WAS/DET</v>
      </c>
    </row>
    <row r="93" spans="1:27" ht="17.100000000000001" x14ac:dyDescent="0.45">
      <c r="A93" s="3">
        <v>191105</v>
      </c>
      <c r="B93" s="1">
        <v>0.39583333333333331</v>
      </c>
      <c r="C93" t="s">
        <v>142</v>
      </c>
      <c r="D93" t="s">
        <v>124</v>
      </c>
      <c r="E93">
        <v>33</v>
      </c>
      <c r="F93">
        <v>34</v>
      </c>
      <c r="G93">
        <v>37</v>
      </c>
      <c r="H93">
        <v>31</v>
      </c>
      <c r="J93">
        <v>27</v>
      </c>
      <c r="K93">
        <v>23</v>
      </c>
      <c r="L93">
        <v>48</v>
      </c>
      <c r="M93">
        <v>27</v>
      </c>
      <c r="O93" s="3">
        <f t="shared" si="71"/>
        <v>135</v>
      </c>
      <c r="P93" s="3">
        <f t="shared" si="72"/>
        <v>125</v>
      </c>
      <c r="Q93" s="3" t="str">
        <f t="shared" si="73"/>
        <v>HW</v>
      </c>
      <c r="R93" s="3" t="str">
        <f t="shared" si="74"/>
        <v>HW</v>
      </c>
      <c r="S93" s="3" t="str">
        <f t="shared" si="75"/>
        <v>HL</v>
      </c>
      <c r="T93" s="3" t="str">
        <f t="shared" si="76"/>
        <v>HW</v>
      </c>
      <c r="U93" s="3" t="str">
        <f t="shared" si="77"/>
        <v>U</v>
      </c>
      <c r="V93" s="3" t="str">
        <f t="shared" si="78"/>
        <v>U</v>
      </c>
      <c r="W93" s="3" t="str">
        <f t="shared" si="79"/>
        <v>O</v>
      </c>
      <c r="X93" s="3" t="str">
        <f t="shared" si="80"/>
        <v>U</v>
      </c>
      <c r="Z93">
        <v>61.5</v>
      </c>
      <c r="AA93" t="str">
        <f t="shared" si="60"/>
        <v>BKN/NO</v>
      </c>
    </row>
    <row r="94" spans="1:27" ht="17.100000000000001" x14ac:dyDescent="0.45">
      <c r="A94" s="3">
        <v>191105</v>
      </c>
      <c r="B94" s="1">
        <v>0.41666666666666669</v>
      </c>
      <c r="C94" t="s">
        <v>145</v>
      </c>
      <c r="D94" t="s">
        <v>131</v>
      </c>
      <c r="E94">
        <v>27</v>
      </c>
      <c r="F94">
        <v>30</v>
      </c>
      <c r="G94">
        <v>25</v>
      </c>
      <c r="H94">
        <v>24</v>
      </c>
      <c r="J94">
        <v>31</v>
      </c>
      <c r="K94">
        <v>33</v>
      </c>
      <c r="L94">
        <v>38</v>
      </c>
      <c r="M94">
        <v>32</v>
      </c>
      <c r="O94" s="3">
        <f t="shared" si="71"/>
        <v>106</v>
      </c>
      <c r="P94" s="3">
        <f t="shared" si="72"/>
        <v>134</v>
      </c>
      <c r="Q94" s="3" t="str">
        <f t="shared" si="73"/>
        <v>HL</v>
      </c>
      <c r="R94" s="3" t="str">
        <f t="shared" si="74"/>
        <v>HL</v>
      </c>
      <c r="S94" s="3" t="str">
        <f t="shared" si="75"/>
        <v>HL</v>
      </c>
      <c r="T94" s="3" t="str">
        <f t="shared" si="76"/>
        <v>HL</v>
      </c>
      <c r="U94" s="3" t="str">
        <f t="shared" si="77"/>
        <v>O</v>
      </c>
      <c r="V94" s="3" t="str">
        <f t="shared" si="78"/>
        <v>O</v>
      </c>
      <c r="W94" s="3" t="str">
        <f t="shared" si="79"/>
        <v>O</v>
      </c>
      <c r="X94" s="3" t="str">
        <f t="shared" si="80"/>
        <v>O</v>
      </c>
      <c r="Z94">
        <v>55.5</v>
      </c>
      <c r="AA94" t="str">
        <f t="shared" si="60"/>
        <v>MIN/MIL</v>
      </c>
    </row>
    <row r="95" spans="1:27" ht="17.100000000000001" x14ac:dyDescent="0.45">
      <c r="A95" s="3">
        <v>191105</v>
      </c>
      <c r="B95" s="1">
        <v>0.41666666666666669</v>
      </c>
      <c r="C95" t="s">
        <v>146</v>
      </c>
      <c r="D95" t="s">
        <v>151</v>
      </c>
      <c r="E95">
        <v>28</v>
      </c>
      <c r="F95">
        <v>32</v>
      </c>
      <c r="G95">
        <v>16</v>
      </c>
      <c r="H95">
        <v>24</v>
      </c>
      <c r="J95">
        <v>33</v>
      </c>
      <c r="K95">
        <v>29</v>
      </c>
      <c r="L95">
        <v>22</v>
      </c>
      <c r="M95">
        <v>23</v>
      </c>
      <c r="O95" s="3">
        <f t="shared" si="71"/>
        <v>100</v>
      </c>
      <c r="P95" s="3">
        <f t="shared" si="72"/>
        <v>107</v>
      </c>
      <c r="Q95" s="3" t="str">
        <f t="shared" si="73"/>
        <v>HL</v>
      </c>
      <c r="R95" s="3" t="str">
        <f t="shared" si="74"/>
        <v>HW</v>
      </c>
      <c r="S95" s="3" t="str">
        <f t="shared" si="75"/>
        <v>HL</v>
      </c>
      <c r="T95" s="3" t="str">
        <f t="shared" si="76"/>
        <v>HW</v>
      </c>
      <c r="U95" s="3" t="str">
        <f t="shared" si="77"/>
        <v>O</v>
      </c>
      <c r="V95" s="3" t="str">
        <f t="shared" si="78"/>
        <v>O</v>
      </c>
      <c r="W95" s="3" t="str">
        <f t="shared" si="79"/>
        <v>U</v>
      </c>
      <c r="X95" s="3" t="str">
        <f t="shared" si="80"/>
        <v>U</v>
      </c>
      <c r="Z95">
        <v>59</v>
      </c>
      <c r="AA95" t="str">
        <f t="shared" si="60"/>
        <v>MEM/HOU</v>
      </c>
    </row>
    <row r="96" spans="1:27" ht="17.100000000000001" x14ac:dyDescent="0.45">
      <c r="A96" s="3">
        <v>191105</v>
      </c>
      <c r="B96" s="1">
        <v>0.45833333333333331</v>
      </c>
      <c r="C96" t="s">
        <v>147</v>
      </c>
      <c r="D96" t="s">
        <v>150</v>
      </c>
      <c r="E96">
        <v>29</v>
      </c>
      <c r="F96">
        <v>26</v>
      </c>
      <c r="G96">
        <v>26</v>
      </c>
      <c r="H96">
        <v>33</v>
      </c>
      <c r="J96">
        <v>31</v>
      </c>
      <c r="K96">
        <v>30</v>
      </c>
      <c r="L96">
        <v>21</v>
      </c>
      <c r="M96">
        <v>27</v>
      </c>
      <c r="O96" s="3">
        <f t="shared" si="71"/>
        <v>114</v>
      </c>
      <c r="P96" s="3">
        <f t="shared" si="72"/>
        <v>109</v>
      </c>
      <c r="Q96" s="3" t="str">
        <f t="shared" si="73"/>
        <v>HL</v>
      </c>
      <c r="R96" s="3" t="str">
        <f t="shared" si="74"/>
        <v>HL</v>
      </c>
      <c r="S96" s="3" t="str">
        <f t="shared" si="75"/>
        <v>HW</v>
      </c>
      <c r="T96" s="3" t="str">
        <f t="shared" si="76"/>
        <v>HW</v>
      </c>
      <c r="U96" s="3" t="str">
        <f t="shared" si="77"/>
        <v>O</v>
      </c>
      <c r="V96" s="3" t="str">
        <f t="shared" si="78"/>
        <v>U</v>
      </c>
      <c r="W96" s="3" t="str">
        <f t="shared" si="79"/>
        <v>U</v>
      </c>
      <c r="X96" s="3" t="str">
        <f t="shared" si="80"/>
        <v>O</v>
      </c>
      <c r="Z96">
        <v>57.5</v>
      </c>
      <c r="AA96" t="str">
        <f t="shared" si="60"/>
        <v>PHO/PHI</v>
      </c>
    </row>
    <row r="97" spans="1:27" s="3" customFormat="1" ht="17.100000000000001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71"/>
        <v>127</v>
      </c>
      <c r="P97" s="3">
        <f t="shared" si="72"/>
        <v>118</v>
      </c>
      <c r="Q97" s="3" t="str">
        <f t="shared" si="73"/>
        <v>HW</v>
      </c>
      <c r="R97" s="3" t="str">
        <f t="shared" si="74"/>
        <v>HL</v>
      </c>
      <c r="S97" s="3" t="str">
        <f t="shared" si="75"/>
        <v>HW</v>
      </c>
      <c r="T97" s="3" t="str">
        <f t="shared" si="76"/>
        <v>HW</v>
      </c>
      <c r="U97" s="3" t="str">
        <f t="shared" si="77"/>
        <v>O</v>
      </c>
      <c r="V97" s="3" t="str">
        <f t="shared" si="78"/>
        <v>O</v>
      </c>
      <c r="W97" s="3" t="str">
        <f t="shared" si="79"/>
        <v>U</v>
      </c>
      <c r="X97" s="3" t="str">
        <f t="shared" si="80"/>
        <v>O</v>
      </c>
      <c r="Z97" s="3">
        <v>53.5</v>
      </c>
      <c r="AA97" s="3" t="str">
        <f t="shared" si="60"/>
        <v>GS/POR</v>
      </c>
    </row>
    <row r="98" spans="1:27" ht="17.100000000000001" x14ac:dyDescent="0.45">
      <c r="A98" s="3">
        <v>191106</v>
      </c>
      <c r="B98" s="1">
        <v>0.375</v>
      </c>
      <c r="C98" t="s">
        <v>129</v>
      </c>
      <c r="D98" t="s">
        <v>132</v>
      </c>
      <c r="E98">
        <v>24</v>
      </c>
      <c r="F98">
        <v>28</v>
      </c>
      <c r="G98">
        <v>31</v>
      </c>
      <c r="H98">
        <v>30</v>
      </c>
      <c r="J98">
        <v>32</v>
      </c>
      <c r="K98">
        <v>29</v>
      </c>
      <c r="L98">
        <v>28</v>
      </c>
      <c r="M98">
        <v>30</v>
      </c>
      <c r="O98" s="3">
        <f t="shared" ref="O98:O116" si="81">SUM(E98:I98)</f>
        <v>113</v>
      </c>
      <c r="P98" s="3">
        <f t="shared" ref="P98:P116" si="82">SUM(J98:N98)</f>
        <v>119</v>
      </c>
      <c r="Q98" s="3" t="str">
        <f t="shared" ref="Q98:Q116" si="83">IF(E98=J98,"TT",IF(E98&gt;J98,"HW","HL"))</f>
        <v>HL</v>
      </c>
      <c r="R98" s="3" t="str">
        <f t="shared" ref="R98:R116" si="84">IF(F98=K98,"TT",IF(F98&gt;K98,"HW","HL"))</f>
        <v>HL</v>
      </c>
      <c r="S98" s="3" t="str">
        <f t="shared" ref="S98:S116" si="85">IF(G98=L98,"TT",IF(G98&gt;L98,"HW","HL"))</f>
        <v>HW</v>
      </c>
      <c r="T98" s="3" t="str">
        <f t="shared" ref="T98:T116" si="86">IF(H98=M98,"TT",IF(H98&gt;M98,"HW","HL"))</f>
        <v>TT</v>
      </c>
      <c r="U98" s="3" t="str">
        <f t="shared" ref="U98:U116" si="87">IF(SUM(E98,J98)=$Z98,"T",IF(SUM(E98,J98)&gt;$Z98,"O","U"))</f>
        <v>O</v>
      </c>
      <c r="V98" s="3" t="str">
        <f t="shared" ref="V98:V116" si="88">IF(SUM(F98,K98)=$Z98,"T",IF(SUM(F98,K98)&gt;$Z98,"O","U"))</f>
        <v>O</v>
      </c>
      <c r="W98" s="3" t="str">
        <f t="shared" ref="W98:W116" si="89">IF(SUM(G98,L98)=$Z98,"T",IF(SUM(G98,L98)&gt;$Z98,"O","U"))</f>
        <v>O</v>
      </c>
      <c r="X98" s="3" t="str">
        <f t="shared" ref="X98:X116" si="90">IF(SUM(H98,M98)=$Z98,"T",IF(SUM(H98,M98)&gt;$Z98,"O","U"))</f>
        <v>O</v>
      </c>
      <c r="Z98">
        <v>52</v>
      </c>
      <c r="AA98" t="str">
        <f t="shared" si="60"/>
        <v>CLE/BOS</v>
      </c>
    </row>
    <row r="99" spans="1:27" ht="17.100000000000001" x14ac:dyDescent="0.45">
      <c r="A99" s="3">
        <v>191106</v>
      </c>
      <c r="B99" s="1">
        <v>0.375</v>
      </c>
      <c r="C99" t="s">
        <v>148</v>
      </c>
      <c r="D99" t="s">
        <v>128</v>
      </c>
      <c r="E99">
        <v>20</v>
      </c>
      <c r="F99">
        <v>37</v>
      </c>
      <c r="G99">
        <v>21</v>
      </c>
      <c r="H99">
        <v>35</v>
      </c>
      <c r="I99">
        <v>9</v>
      </c>
      <c r="J99">
        <v>35</v>
      </c>
      <c r="K99">
        <v>29</v>
      </c>
      <c r="L99">
        <v>28</v>
      </c>
      <c r="M99">
        <v>21</v>
      </c>
      <c r="N99" s="2">
        <v>7</v>
      </c>
      <c r="O99" s="3">
        <f t="shared" si="81"/>
        <v>122</v>
      </c>
      <c r="P99" s="3">
        <f t="shared" si="82"/>
        <v>120</v>
      </c>
      <c r="Q99" s="3" t="str">
        <f t="shared" si="83"/>
        <v>HL</v>
      </c>
      <c r="R99" s="3" t="str">
        <f t="shared" si="84"/>
        <v>HW</v>
      </c>
      <c r="S99" s="3" t="str">
        <f t="shared" si="85"/>
        <v>HL</v>
      </c>
      <c r="T99" s="3" t="str">
        <f t="shared" si="86"/>
        <v>HW</v>
      </c>
      <c r="U99" s="3" t="str">
        <f t="shared" si="87"/>
        <v>O</v>
      </c>
      <c r="V99" s="3" t="str">
        <f t="shared" si="88"/>
        <v>O</v>
      </c>
      <c r="W99" s="3" t="str">
        <f t="shared" si="89"/>
        <v>U</v>
      </c>
      <c r="X99" s="3" t="str">
        <f t="shared" si="90"/>
        <v>O</v>
      </c>
      <c r="Z99">
        <v>54.5</v>
      </c>
      <c r="AA99" t="str">
        <f t="shared" si="60"/>
        <v>CHA/IND</v>
      </c>
    </row>
    <row r="100" spans="1:27" ht="17.100000000000001" x14ac:dyDescent="0.45">
      <c r="A100" s="3">
        <v>191106</v>
      </c>
      <c r="B100" s="1">
        <v>0.39583333333333331</v>
      </c>
      <c r="C100" t="s">
        <v>122</v>
      </c>
      <c r="D100" t="s">
        <v>127</v>
      </c>
      <c r="E100">
        <v>22</v>
      </c>
      <c r="F100">
        <v>22</v>
      </c>
      <c r="G100">
        <v>26</v>
      </c>
      <c r="H100">
        <v>38</v>
      </c>
      <c r="J100">
        <v>21</v>
      </c>
      <c r="K100">
        <v>24</v>
      </c>
      <c r="L100">
        <v>33</v>
      </c>
      <c r="M100">
        <v>22</v>
      </c>
      <c r="O100" s="3">
        <f t="shared" si="81"/>
        <v>108</v>
      </c>
      <c r="P100" s="3">
        <f t="shared" si="82"/>
        <v>100</v>
      </c>
      <c r="Q100" s="3" t="str">
        <f t="shared" si="83"/>
        <v>HW</v>
      </c>
      <c r="R100" s="3" t="str">
        <f t="shared" si="84"/>
        <v>HL</v>
      </c>
      <c r="S100" s="3" t="str">
        <f t="shared" si="85"/>
        <v>HL</v>
      </c>
      <c r="T100" s="3" t="str">
        <f t="shared" si="86"/>
        <v>HW</v>
      </c>
      <c r="U100" s="3" t="str">
        <f t="shared" si="87"/>
        <v>U</v>
      </c>
      <c r="V100" s="3" t="str">
        <f t="shared" si="88"/>
        <v>U</v>
      </c>
      <c r="W100" s="3" t="str">
        <f t="shared" si="89"/>
        <v>O</v>
      </c>
      <c r="X100" s="3" t="str">
        <f t="shared" si="90"/>
        <v>O</v>
      </c>
      <c r="Z100">
        <v>53.5</v>
      </c>
      <c r="AA100" t="str">
        <f t="shared" si="60"/>
        <v>ATL/SAS</v>
      </c>
    </row>
    <row r="101" spans="1:27" ht="17.100000000000001" x14ac:dyDescent="0.45">
      <c r="A101" s="3">
        <v>191106</v>
      </c>
      <c r="B101" s="1">
        <v>0.41666666666666669</v>
      </c>
      <c r="C101" t="s">
        <v>134</v>
      </c>
      <c r="D101" t="s">
        <v>137</v>
      </c>
      <c r="E101">
        <v>29</v>
      </c>
      <c r="F101">
        <v>36</v>
      </c>
      <c r="G101">
        <v>28</v>
      </c>
      <c r="H101">
        <v>19</v>
      </c>
      <c r="J101">
        <v>24</v>
      </c>
      <c r="K101">
        <v>24</v>
      </c>
      <c r="L101">
        <v>32</v>
      </c>
      <c r="M101">
        <v>38</v>
      </c>
      <c r="O101" s="3">
        <f t="shared" si="81"/>
        <v>112</v>
      </c>
      <c r="P101" s="3">
        <f t="shared" si="82"/>
        <v>118</v>
      </c>
      <c r="Q101" s="3" t="str">
        <f t="shared" si="83"/>
        <v>HW</v>
      </c>
      <c r="R101" s="3" t="str">
        <f t="shared" si="84"/>
        <v>HW</v>
      </c>
      <c r="S101" s="3" t="str">
        <f t="shared" si="85"/>
        <v>HL</v>
      </c>
      <c r="T101" s="3" t="str">
        <f t="shared" si="86"/>
        <v>HL</v>
      </c>
      <c r="U101" s="3" t="str">
        <f t="shared" si="87"/>
        <v>U</v>
      </c>
      <c r="V101" s="3" t="str">
        <f t="shared" si="88"/>
        <v>O</v>
      </c>
      <c r="W101" s="3" t="str">
        <f t="shared" si="89"/>
        <v>O</v>
      </c>
      <c r="X101" s="3" t="str">
        <f t="shared" si="90"/>
        <v>O</v>
      </c>
      <c r="Z101">
        <v>55.5</v>
      </c>
      <c r="AA101" t="str">
        <f t="shared" si="60"/>
        <v>CHI/LAL</v>
      </c>
    </row>
    <row r="102" spans="1:27" ht="17.100000000000001" x14ac:dyDescent="0.45">
      <c r="A102" s="3">
        <v>191106</v>
      </c>
      <c r="B102" s="1">
        <v>0.41666666666666669</v>
      </c>
      <c r="C102" t="s">
        <v>49</v>
      </c>
      <c r="D102" t="s">
        <v>130</v>
      </c>
      <c r="E102">
        <v>31</v>
      </c>
      <c r="F102">
        <v>27</v>
      </c>
      <c r="G102">
        <v>23</v>
      </c>
      <c r="H102">
        <v>21</v>
      </c>
      <c r="J102">
        <v>26</v>
      </c>
      <c r="K102">
        <v>27</v>
      </c>
      <c r="L102">
        <v>26</v>
      </c>
      <c r="M102">
        <v>15</v>
      </c>
      <c r="O102" s="3">
        <f t="shared" si="81"/>
        <v>102</v>
      </c>
      <c r="P102" s="3">
        <f t="shared" si="82"/>
        <v>94</v>
      </c>
      <c r="Q102" s="3" t="str">
        <f t="shared" si="83"/>
        <v>HW</v>
      </c>
      <c r="R102" s="3" t="str">
        <f t="shared" si="84"/>
        <v>TT</v>
      </c>
      <c r="S102" s="3" t="str">
        <f t="shared" si="85"/>
        <v>HL</v>
      </c>
      <c r="T102" s="3" t="str">
        <f t="shared" si="86"/>
        <v>HW</v>
      </c>
      <c r="U102" s="3" t="str">
        <f t="shared" si="87"/>
        <v>O</v>
      </c>
      <c r="V102" s="3" t="str">
        <f t="shared" si="88"/>
        <v>O</v>
      </c>
      <c r="W102" s="3" t="str">
        <f t="shared" si="89"/>
        <v>U</v>
      </c>
      <c r="X102" s="3" t="str">
        <f t="shared" si="90"/>
        <v>U</v>
      </c>
      <c r="Z102">
        <v>52</v>
      </c>
      <c r="AA102" t="str">
        <f t="shared" si="60"/>
        <v>OKC/ORL</v>
      </c>
    </row>
    <row r="103" spans="1:27" ht="17.100000000000001" x14ac:dyDescent="0.45">
      <c r="A103" s="3">
        <v>191106</v>
      </c>
      <c r="B103" s="1">
        <v>0.45833333333333331</v>
      </c>
      <c r="C103" t="s">
        <v>125</v>
      </c>
      <c r="D103" t="s">
        <v>123</v>
      </c>
      <c r="E103">
        <v>29</v>
      </c>
      <c r="F103">
        <v>29</v>
      </c>
      <c r="G103">
        <v>31</v>
      </c>
      <c r="H103">
        <v>20</v>
      </c>
      <c r="J103">
        <v>28</v>
      </c>
      <c r="K103">
        <v>20</v>
      </c>
      <c r="L103">
        <v>21</v>
      </c>
      <c r="M103">
        <v>20</v>
      </c>
      <c r="O103" s="3">
        <f t="shared" si="81"/>
        <v>109</v>
      </c>
      <c r="P103" s="3">
        <f t="shared" si="82"/>
        <v>89</v>
      </c>
      <c r="Q103" s="3" t="str">
        <f t="shared" si="83"/>
        <v>HW</v>
      </c>
      <c r="R103" s="3" t="str">
        <f t="shared" si="84"/>
        <v>HW</v>
      </c>
      <c r="S103" s="3" t="str">
        <f t="shared" si="85"/>
        <v>HW</v>
      </c>
      <c r="T103" s="3" t="str">
        <f t="shared" si="86"/>
        <v>TT</v>
      </c>
      <c r="U103" s="3" t="str">
        <f t="shared" si="87"/>
        <v>O</v>
      </c>
      <c r="V103" s="3" t="str">
        <f t="shared" si="88"/>
        <v>U</v>
      </c>
      <c r="W103" s="3" t="str">
        <f t="shared" si="89"/>
        <v>U</v>
      </c>
      <c r="X103" s="3" t="str">
        <f t="shared" si="90"/>
        <v>U</v>
      </c>
      <c r="Z103">
        <v>54</v>
      </c>
      <c r="AA103" s="3" t="str">
        <f t="shared" si="60"/>
        <v>DEN/MIA</v>
      </c>
    </row>
    <row r="104" spans="1:27" ht="17.100000000000001" x14ac:dyDescent="0.45">
      <c r="A104" s="3">
        <v>191107</v>
      </c>
      <c r="B104" s="1">
        <v>0.375</v>
      </c>
      <c r="C104" t="s">
        <v>135</v>
      </c>
      <c r="D104" t="s">
        <v>133</v>
      </c>
      <c r="E104">
        <v>33</v>
      </c>
      <c r="F104">
        <v>31</v>
      </c>
      <c r="G104">
        <v>32</v>
      </c>
      <c r="H104">
        <v>26</v>
      </c>
      <c r="J104">
        <v>25</v>
      </c>
      <c r="K104">
        <v>34</v>
      </c>
      <c r="L104">
        <v>26</v>
      </c>
      <c r="M104">
        <v>17</v>
      </c>
      <c r="O104" s="3">
        <f t="shared" si="81"/>
        <v>122</v>
      </c>
      <c r="P104" s="3">
        <f t="shared" si="82"/>
        <v>102</v>
      </c>
      <c r="Q104" s="3" t="str">
        <f t="shared" si="83"/>
        <v>HW</v>
      </c>
      <c r="R104" s="3" t="str">
        <f t="shared" si="84"/>
        <v>HL</v>
      </c>
      <c r="S104" s="3" t="str">
        <f t="shared" si="85"/>
        <v>HW</v>
      </c>
      <c r="T104" s="3" t="str">
        <f t="shared" si="86"/>
        <v>HW</v>
      </c>
      <c r="U104" s="3" t="str">
        <f t="shared" si="87"/>
        <v>O</v>
      </c>
      <c r="V104" s="3" t="str">
        <f t="shared" si="88"/>
        <v>O</v>
      </c>
      <c r="W104" s="3" t="str">
        <f t="shared" si="89"/>
        <v>O</v>
      </c>
      <c r="X104" s="3" t="str">
        <f t="shared" si="90"/>
        <v>U</v>
      </c>
      <c r="Z104">
        <v>53</v>
      </c>
      <c r="AA104" s="3" t="str">
        <f t="shared" si="60"/>
        <v>DET/NYK</v>
      </c>
    </row>
    <row r="105" spans="1:27" ht="17.100000000000001" x14ac:dyDescent="0.45">
      <c r="A105" s="3">
        <v>191107</v>
      </c>
      <c r="B105" s="1">
        <v>0.375</v>
      </c>
      <c r="C105" t="s">
        <v>128</v>
      </c>
      <c r="D105" t="s">
        <v>34</v>
      </c>
      <c r="E105">
        <v>26</v>
      </c>
      <c r="F105">
        <v>44</v>
      </c>
      <c r="G105">
        <v>24</v>
      </c>
      <c r="H105">
        <v>27</v>
      </c>
      <c r="J105">
        <v>26</v>
      </c>
      <c r="K105">
        <v>36</v>
      </c>
      <c r="L105">
        <v>18</v>
      </c>
      <c r="M105">
        <v>26</v>
      </c>
      <c r="O105" s="3">
        <f t="shared" si="81"/>
        <v>121</v>
      </c>
      <c r="P105" s="3">
        <f t="shared" si="82"/>
        <v>106</v>
      </c>
      <c r="Q105" s="3" t="str">
        <f t="shared" si="83"/>
        <v>TT</v>
      </c>
      <c r="R105" s="3" t="str">
        <f t="shared" si="84"/>
        <v>HW</v>
      </c>
      <c r="S105" s="3" t="str">
        <f t="shared" si="85"/>
        <v>HW</v>
      </c>
      <c r="T105" s="3" t="str">
        <f t="shared" si="86"/>
        <v>HW</v>
      </c>
      <c r="U105" s="3" t="str">
        <f t="shared" si="87"/>
        <v>U</v>
      </c>
      <c r="V105" s="3" t="str">
        <f t="shared" si="88"/>
        <v>O</v>
      </c>
      <c r="W105" s="3" t="str">
        <f t="shared" si="89"/>
        <v>U</v>
      </c>
      <c r="X105" s="3" t="str">
        <f t="shared" si="90"/>
        <v>U</v>
      </c>
      <c r="Z105">
        <v>58</v>
      </c>
      <c r="AA105" s="3" t="str">
        <f t="shared" si="60"/>
        <v>IND/WAS</v>
      </c>
    </row>
    <row r="106" spans="1:27" ht="17.100000000000001" x14ac:dyDescent="0.45">
      <c r="A106" s="3">
        <v>191107</v>
      </c>
      <c r="B106" s="1">
        <v>0.39583333333333331</v>
      </c>
      <c r="C106" t="s">
        <v>122</v>
      </c>
      <c r="D106" t="s">
        <v>134</v>
      </c>
      <c r="E106">
        <v>19</v>
      </c>
      <c r="F106">
        <v>22</v>
      </c>
      <c r="G106">
        <v>24</v>
      </c>
      <c r="H106">
        <v>28</v>
      </c>
      <c r="J106">
        <v>33</v>
      </c>
      <c r="K106">
        <v>23</v>
      </c>
      <c r="L106">
        <v>35</v>
      </c>
      <c r="M106">
        <v>22</v>
      </c>
      <c r="O106" s="3">
        <f t="shared" si="81"/>
        <v>93</v>
      </c>
      <c r="P106" s="3">
        <f t="shared" si="82"/>
        <v>113</v>
      </c>
      <c r="Q106" s="3" t="str">
        <f t="shared" si="83"/>
        <v>HL</v>
      </c>
      <c r="R106" s="3" t="str">
        <f t="shared" si="84"/>
        <v>HL</v>
      </c>
      <c r="S106" s="3" t="str">
        <f t="shared" si="85"/>
        <v>HL</v>
      </c>
      <c r="T106" s="3" t="str">
        <f t="shared" si="86"/>
        <v>HW</v>
      </c>
      <c r="U106" s="3" t="str">
        <f t="shared" si="87"/>
        <v>U</v>
      </c>
      <c r="V106" s="3" t="str">
        <f t="shared" si="88"/>
        <v>U</v>
      </c>
      <c r="W106" s="3" t="str">
        <f t="shared" si="89"/>
        <v>O</v>
      </c>
      <c r="X106" s="3" t="str">
        <f t="shared" si="90"/>
        <v>U</v>
      </c>
      <c r="Z106">
        <v>53.5</v>
      </c>
      <c r="AA106" s="3" t="str">
        <f t="shared" ref="AA106:AA146" si="91">C106&amp;"/"&amp;D106</f>
        <v>ATL/CHI</v>
      </c>
    </row>
    <row r="107" spans="1:27" ht="17.100000000000001" x14ac:dyDescent="0.45">
      <c r="A107" s="3">
        <v>191107</v>
      </c>
      <c r="B107" s="1">
        <v>0.39583333333333331</v>
      </c>
      <c r="C107" t="s">
        <v>151</v>
      </c>
      <c r="D107" t="s">
        <v>140</v>
      </c>
      <c r="E107">
        <v>30</v>
      </c>
      <c r="F107">
        <v>33</v>
      </c>
      <c r="G107">
        <v>35</v>
      </c>
      <c r="H107">
        <v>31</v>
      </c>
      <c r="J107">
        <v>29</v>
      </c>
      <c r="K107">
        <v>23</v>
      </c>
      <c r="L107">
        <v>31</v>
      </c>
      <c r="M107">
        <v>29</v>
      </c>
      <c r="O107" s="3">
        <f t="shared" si="81"/>
        <v>129</v>
      </c>
      <c r="P107" s="3">
        <f t="shared" si="82"/>
        <v>112</v>
      </c>
      <c r="Q107" s="3" t="str">
        <f t="shared" si="83"/>
        <v>HW</v>
      </c>
      <c r="R107" s="3" t="str">
        <f t="shared" si="84"/>
        <v>HW</v>
      </c>
      <c r="S107" s="3" t="str">
        <f t="shared" si="85"/>
        <v>HW</v>
      </c>
      <c r="T107" s="3" t="str">
        <f t="shared" si="86"/>
        <v>HW</v>
      </c>
      <c r="U107" s="3" t="str">
        <f t="shared" si="87"/>
        <v>U</v>
      </c>
      <c r="V107" s="3" t="str">
        <f t="shared" si="88"/>
        <v>U</v>
      </c>
      <c r="W107" s="3" t="str">
        <f t="shared" si="89"/>
        <v>O</v>
      </c>
      <c r="X107" s="3" t="str">
        <f t="shared" si="90"/>
        <v>O</v>
      </c>
      <c r="Z107">
        <v>59.5</v>
      </c>
      <c r="AA107" s="3" t="str">
        <f t="shared" si="91"/>
        <v>HOU/GS</v>
      </c>
    </row>
    <row r="108" spans="1:27" ht="17.100000000000001" x14ac:dyDescent="0.45">
      <c r="A108" s="3">
        <v>191107</v>
      </c>
      <c r="B108" s="1">
        <v>0.39583333333333331</v>
      </c>
      <c r="C108" t="s">
        <v>143</v>
      </c>
      <c r="D108" t="s">
        <v>138</v>
      </c>
      <c r="E108">
        <v>36</v>
      </c>
      <c r="F108">
        <v>30</v>
      </c>
      <c r="G108">
        <v>29</v>
      </c>
      <c r="H108">
        <v>29</v>
      </c>
      <c r="J108">
        <v>23</v>
      </c>
      <c r="K108">
        <v>35</v>
      </c>
      <c r="L108">
        <v>30</v>
      </c>
      <c r="M108">
        <v>32</v>
      </c>
      <c r="O108" s="3">
        <f t="shared" si="81"/>
        <v>124</v>
      </c>
      <c r="P108" s="3">
        <f t="shared" si="82"/>
        <v>120</v>
      </c>
      <c r="Q108" s="3" t="str">
        <f t="shared" si="83"/>
        <v>HW</v>
      </c>
      <c r="R108" s="3" t="str">
        <f t="shared" si="84"/>
        <v>HL</v>
      </c>
      <c r="S108" s="3" t="str">
        <f t="shared" si="85"/>
        <v>HL</v>
      </c>
      <c r="T108" s="3" t="str">
        <f t="shared" si="86"/>
        <v>HL</v>
      </c>
      <c r="U108" s="3" t="str">
        <f t="shared" si="87"/>
        <v>O</v>
      </c>
      <c r="V108" s="3" t="str">
        <f t="shared" si="88"/>
        <v>O</v>
      </c>
      <c r="W108" s="3" t="str">
        <f t="shared" si="89"/>
        <v>O</v>
      </c>
      <c r="X108" s="3" t="str">
        <f t="shared" si="90"/>
        <v>O</v>
      </c>
      <c r="Z108">
        <v>56</v>
      </c>
      <c r="AA108" s="3" t="str">
        <f t="shared" si="91"/>
        <v>TOR/SAC</v>
      </c>
    </row>
    <row r="109" spans="1:27" ht="17.100000000000001" x14ac:dyDescent="0.45">
      <c r="A109" s="3">
        <v>191107</v>
      </c>
      <c r="B109" s="1">
        <v>0.41666666666666669</v>
      </c>
      <c r="C109" t="s">
        <v>146</v>
      </c>
      <c r="D109" t="s">
        <v>145</v>
      </c>
      <c r="E109">
        <v>37</v>
      </c>
      <c r="F109">
        <v>35</v>
      </c>
      <c r="G109">
        <v>29</v>
      </c>
      <c r="H109">
        <v>36</v>
      </c>
      <c r="J109">
        <v>26</v>
      </c>
      <c r="K109">
        <v>38</v>
      </c>
      <c r="L109">
        <v>32</v>
      </c>
      <c r="M109">
        <v>25</v>
      </c>
      <c r="O109" s="3">
        <f t="shared" si="81"/>
        <v>137</v>
      </c>
      <c r="P109" s="3">
        <f t="shared" si="82"/>
        <v>121</v>
      </c>
      <c r="Q109" s="3" t="str">
        <f t="shared" si="83"/>
        <v>HW</v>
      </c>
      <c r="R109" s="3" t="str">
        <f t="shared" si="84"/>
        <v>HL</v>
      </c>
      <c r="S109" s="3" t="str">
        <f t="shared" si="85"/>
        <v>HL</v>
      </c>
      <c r="T109" s="3" t="str">
        <f t="shared" si="86"/>
        <v>HW</v>
      </c>
      <c r="U109" s="3" t="str">
        <f t="shared" si="87"/>
        <v>O</v>
      </c>
      <c r="V109" s="3" t="str">
        <f t="shared" si="88"/>
        <v>O</v>
      </c>
      <c r="W109" s="3" t="str">
        <f t="shared" si="89"/>
        <v>O</v>
      </c>
      <c r="X109" s="3" t="str">
        <f t="shared" si="90"/>
        <v>O</v>
      </c>
      <c r="Z109">
        <v>58</v>
      </c>
      <c r="AA109" s="3" t="str">
        <f t="shared" si="91"/>
        <v>MEM/MIN</v>
      </c>
    </row>
    <row r="110" spans="1:27" ht="17.100000000000001" x14ac:dyDescent="0.45">
      <c r="A110" s="3">
        <v>191107</v>
      </c>
      <c r="B110" s="1">
        <v>0.4375</v>
      </c>
      <c r="C110" t="s">
        <v>136</v>
      </c>
      <c r="D110" t="s">
        <v>130</v>
      </c>
      <c r="E110">
        <v>25</v>
      </c>
      <c r="F110">
        <v>29</v>
      </c>
      <c r="G110">
        <v>32</v>
      </c>
      <c r="H110">
        <v>21</v>
      </c>
      <c r="J110">
        <v>28</v>
      </c>
      <c r="K110">
        <v>28</v>
      </c>
      <c r="L110">
        <v>23</v>
      </c>
      <c r="M110">
        <v>27</v>
      </c>
      <c r="O110" s="3">
        <f t="shared" si="81"/>
        <v>107</v>
      </c>
      <c r="P110" s="3">
        <f t="shared" si="82"/>
        <v>106</v>
      </c>
      <c r="Q110" s="3" t="str">
        <f t="shared" si="83"/>
        <v>HL</v>
      </c>
      <c r="R110" s="3" t="str">
        <f t="shared" si="84"/>
        <v>HW</v>
      </c>
      <c r="S110" s="3" t="str">
        <f t="shared" si="85"/>
        <v>HW</v>
      </c>
      <c r="T110" s="3" t="str">
        <f t="shared" si="86"/>
        <v>HL</v>
      </c>
      <c r="U110" s="3" t="str">
        <f t="shared" si="87"/>
        <v>U</v>
      </c>
      <c r="V110" s="3" t="str">
        <f t="shared" si="88"/>
        <v>O</v>
      </c>
      <c r="W110" s="3" t="str">
        <f t="shared" si="89"/>
        <v>O</v>
      </c>
      <c r="X110" s="3" t="str">
        <f t="shared" si="90"/>
        <v>U</v>
      </c>
      <c r="Z110">
        <v>53.5</v>
      </c>
      <c r="AA110" s="3" t="str">
        <f t="shared" si="91"/>
        <v>DAL/ORL</v>
      </c>
    </row>
    <row r="111" spans="1:27" ht="17.100000000000001" x14ac:dyDescent="0.45">
      <c r="A111" s="3">
        <v>191107</v>
      </c>
      <c r="B111" s="1">
        <v>0.45833333333333331</v>
      </c>
      <c r="C111" t="s">
        <v>139</v>
      </c>
      <c r="D111" t="s">
        <v>150</v>
      </c>
      <c r="E111">
        <v>26</v>
      </c>
      <c r="F111">
        <v>32</v>
      </c>
      <c r="G111">
        <v>26</v>
      </c>
      <c r="H111">
        <v>22</v>
      </c>
      <c r="J111">
        <v>29</v>
      </c>
      <c r="K111">
        <v>27</v>
      </c>
      <c r="L111">
        <v>17</v>
      </c>
      <c r="M111">
        <v>31</v>
      </c>
      <c r="O111" s="3">
        <f t="shared" si="81"/>
        <v>106</v>
      </c>
      <c r="P111" s="3">
        <f t="shared" si="82"/>
        <v>104</v>
      </c>
      <c r="Q111" s="3" t="str">
        <f t="shared" si="83"/>
        <v>HL</v>
      </c>
      <c r="R111" s="3" t="str">
        <f t="shared" si="84"/>
        <v>HW</v>
      </c>
      <c r="S111" s="3" t="str">
        <f t="shared" si="85"/>
        <v>HW</v>
      </c>
      <c r="T111" s="3" t="str">
        <f t="shared" si="86"/>
        <v>HL</v>
      </c>
      <c r="U111" s="3" t="str">
        <f t="shared" si="87"/>
        <v>O</v>
      </c>
      <c r="V111" s="3" t="str">
        <f t="shared" si="88"/>
        <v>O</v>
      </c>
      <c r="W111" s="3" t="str">
        <f t="shared" si="89"/>
        <v>U</v>
      </c>
      <c r="X111" s="3" t="str">
        <f t="shared" si="90"/>
        <v>U</v>
      </c>
      <c r="Z111">
        <v>54</v>
      </c>
      <c r="AA111" s="3" t="str">
        <f t="shared" si="91"/>
        <v>UTA/PHI</v>
      </c>
    </row>
    <row r="112" spans="1:27" ht="17.100000000000001" x14ac:dyDescent="0.45">
      <c r="A112" s="3">
        <v>191107</v>
      </c>
      <c r="B112" s="1">
        <v>0.5</v>
      </c>
      <c r="C112" t="s">
        <v>126</v>
      </c>
      <c r="D112" t="s">
        <v>131</v>
      </c>
      <c r="E112">
        <v>30</v>
      </c>
      <c r="F112">
        <v>29</v>
      </c>
      <c r="G112">
        <v>30</v>
      </c>
      <c r="H112">
        <v>35</v>
      </c>
      <c r="J112">
        <v>28</v>
      </c>
      <c r="K112">
        <v>42</v>
      </c>
      <c r="L112">
        <v>28</v>
      </c>
      <c r="M112">
        <v>31</v>
      </c>
      <c r="O112" s="3">
        <f t="shared" si="81"/>
        <v>124</v>
      </c>
      <c r="P112" s="3">
        <f t="shared" si="82"/>
        <v>129</v>
      </c>
      <c r="Q112" s="3" t="str">
        <f t="shared" si="83"/>
        <v>HW</v>
      </c>
      <c r="R112" s="3" t="str">
        <f t="shared" si="84"/>
        <v>HL</v>
      </c>
      <c r="S112" s="3" t="str">
        <f t="shared" si="85"/>
        <v>HW</v>
      </c>
      <c r="T112" s="3" t="str">
        <f t="shared" si="86"/>
        <v>HW</v>
      </c>
      <c r="U112" s="3" t="str">
        <f t="shared" si="87"/>
        <v>O</v>
      </c>
      <c r="V112" s="3" t="str">
        <f t="shared" si="88"/>
        <v>O</v>
      </c>
      <c r="W112" s="3" t="str">
        <f t="shared" si="89"/>
        <v>O</v>
      </c>
      <c r="X112" s="3" t="str">
        <f t="shared" si="90"/>
        <v>O</v>
      </c>
      <c r="Z112">
        <v>55.5</v>
      </c>
      <c r="AA112" s="3" t="str">
        <f t="shared" si="91"/>
        <v>LAC/MIL</v>
      </c>
    </row>
    <row r="113" spans="1:27" ht="17.100000000000001" x14ac:dyDescent="0.45">
      <c r="A113" s="3">
        <v>191108</v>
      </c>
      <c r="B113" s="1">
        <v>0.41666666666666669</v>
      </c>
      <c r="C113" t="s">
        <v>148</v>
      </c>
      <c r="D113" t="s">
        <v>132</v>
      </c>
      <c r="E113">
        <v>20</v>
      </c>
      <c r="F113">
        <v>23</v>
      </c>
      <c r="G113">
        <v>24</v>
      </c>
      <c r="H113">
        <v>20</v>
      </c>
      <c r="J113">
        <v>30</v>
      </c>
      <c r="K113">
        <v>22</v>
      </c>
      <c r="L113">
        <v>33</v>
      </c>
      <c r="M113">
        <v>23</v>
      </c>
      <c r="O113" s="3">
        <f t="shared" si="81"/>
        <v>87</v>
      </c>
      <c r="P113" s="3">
        <f t="shared" si="82"/>
        <v>108</v>
      </c>
      <c r="Q113" s="3" t="str">
        <f t="shared" si="83"/>
        <v>HL</v>
      </c>
      <c r="R113" s="3" t="str">
        <f t="shared" si="84"/>
        <v>HW</v>
      </c>
      <c r="S113" s="3" t="str">
        <f t="shared" si="85"/>
        <v>HL</v>
      </c>
      <c r="T113" s="3" t="str">
        <f t="shared" si="86"/>
        <v>HL</v>
      </c>
      <c r="U113" s="3" t="str">
        <f t="shared" si="87"/>
        <v>U</v>
      </c>
      <c r="V113" s="3" t="str">
        <f t="shared" si="88"/>
        <v>U</v>
      </c>
      <c r="W113" s="3" t="str">
        <f t="shared" si="89"/>
        <v>O</v>
      </c>
      <c r="X113" s="3" t="str">
        <f t="shared" si="90"/>
        <v>U</v>
      </c>
      <c r="Z113">
        <v>53.5</v>
      </c>
      <c r="AA113" s="3" t="str">
        <f t="shared" si="91"/>
        <v>CHA/BOS</v>
      </c>
    </row>
    <row r="114" spans="1:27" ht="17.100000000000001" x14ac:dyDescent="0.45">
      <c r="A114" s="3">
        <v>191108</v>
      </c>
      <c r="B114" s="1">
        <v>0.4375</v>
      </c>
      <c r="C114" t="s">
        <v>127</v>
      </c>
      <c r="D114" t="s">
        <v>141</v>
      </c>
      <c r="E114">
        <v>33</v>
      </c>
      <c r="F114">
        <v>23</v>
      </c>
      <c r="G114">
        <v>36</v>
      </c>
      <c r="H114">
        <v>29</v>
      </c>
      <c r="J114">
        <v>30</v>
      </c>
      <c r="K114">
        <v>27</v>
      </c>
      <c r="L114">
        <v>27</v>
      </c>
      <c r="M114">
        <v>28</v>
      </c>
      <c r="O114" s="3">
        <f t="shared" si="81"/>
        <v>121</v>
      </c>
      <c r="P114" s="3">
        <f t="shared" si="82"/>
        <v>112</v>
      </c>
      <c r="Q114" s="3" t="str">
        <f t="shared" si="83"/>
        <v>HW</v>
      </c>
      <c r="R114" s="3" t="str">
        <f t="shared" si="84"/>
        <v>HL</v>
      </c>
      <c r="S114" s="3" t="str">
        <f t="shared" si="85"/>
        <v>HW</v>
      </c>
      <c r="T114" s="3" t="str">
        <f t="shared" si="86"/>
        <v>HW</v>
      </c>
      <c r="U114" s="3" t="str">
        <f t="shared" si="87"/>
        <v>O</v>
      </c>
      <c r="V114" s="3" t="str">
        <f t="shared" si="88"/>
        <v>U</v>
      </c>
      <c r="W114" s="3" t="str">
        <f t="shared" si="89"/>
        <v>O</v>
      </c>
      <c r="X114" s="3" t="str">
        <f t="shared" si="90"/>
        <v>O</v>
      </c>
      <c r="Z114">
        <v>55</v>
      </c>
      <c r="AA114" s="3" t="str">
        <f t="shared" si="91"/>
        <v>SAS/OKC</v>
      </c>
    </row>
    <row r="115" spans="1:27" ht="17.100000000000001" x14ac:dyDescent="0.45">
      <c r="A115" s="3">
        <v>191108</v>
      </c>
      <c r="B115" s="1">
        <v>0.45833333333333331</v>
      </c>
      <c r="C115" t="s">
        <v>147</v>
      </c>
      <c r="D115" t="s">
        <v>123</v>
      </c>
      <c r="E115">
        <v>30</v>
      </c>
      <c r="F115">
        <v>27</v>
      </c>
      <c r="G115">
        <v>29</v>
      </c>
      <c r="H115">
        <v>22</v>
      </c>
      <c r="J115">
        <v>31</v>
      </c>
      <c r="K115">
        <v>33</v>
      </c>
      <c r="L115">
        <v>29</v>
      </c>
      <c r="M115">
        <v>31</v>
      </c>
      <c r="O115" s="3">
        <f t="shared" si="81"/>
        <v>108</v>
      </c>
      <c r="P115" s="3">
        <f t="shared" si="82"/>
        <v>124</v>
      </c>
      <c r="Q115" s="3" t="str">
        <f t="shared" si="83"/>
        <v>HL</v>
      </c>
      <c r="R115" s="3" t="str">
        <f t="shared" si="84"/>
        <v>HL</v>
      </c>
      <c r="S115" s="3" t="str">
        <f t="shared" si="85"/>
        <v>TT</v>
      </c>
      <c r="T115" s="3" t="str">
        <f t="shared" si="86"/>
        <v>HL</v>
      </c>
      <c r="U115" s="3" t="str">
        <f t="shared" si="87"/>
        <v>O</v>
      </c>
      <c r="V115" s="3" t="str">
        <f t="shared" si="88"/>
        <v>O</v>
      </c>
      <c r="W115" s="3" t="str">
        <f t="shared" si="89"/>
        <v>O</v>
      </c>
      <c r="X115" s="3" t="str">
        <f t="shared" si="90"/>
        <v>U</v>
      </c>
      <c r="Z115">
        <v>56</v>
      </c>
      <c r="AA115" s="3" t="str">
        <f t="shared" si="91"/>
        <v>PHO/MIA</v>
      </c>
    </row>
    <row r="116" spans="1:27" ht="17.100000000000001" x14ac:dyDescent="0.45">
      <c r="A116" s="3">
        <v>191108</v>
      </c>
      <c r="B116" s="1">
        <v>0.52083333333333337</v>
      </c>
      <c r="C116" t="s">
        <v>126</v>
      </c>
      <c r="D116" t="s">
        <v>149</v>
      </c>
      <c r="E116">
        <v>26</v>
      </c>
      <c r="F116">
        <v>21</v>
      </c>
      <c r="G116">
        <v>23</v>
      </c>
      <c r="H116">
        <v>37</v>
      </c>
      <c r="J116">
        <v>22</v>
      </c>
      <c r="K116">
        <v>18</v>
      </c>
      <c r="L116">
        <v>36</v>
      </c>
      <c r="M116">
        <v>25</v>
      </c>
      <c r="O116" s="3">
        <f t="shared" si="81"/>
        <v>107</v>
      </c>
      <c r="P116" s="3">
        <f t="shared" si="82"/>
        <v>101</v>
      </c>
      <c r="Q116" s="3" t="str">
        <f t="shared" si="83"/>
        <v>HW</v>
      </c>
      <c r="R116" s="3" t="str">
        <f t="shared" si="84"/>
        <v>HW</v>
      </c>
      <c r="S116" s="3" t="str">
        <f t="shared" si="85"/>
        <v>HL</v>
      </c>
      <c r="T116" s="3" t="str">
        <f t="shared" si="86"/>
        <v>HW</v>
      </c>
      <c r="U116" s="3" t="str">
        <f t="shared" si="87"/>
        <v>U</v>
      </c>
      <c r="V116" s="3" t="str">
        <f t="shared" si="88"/>
        <v>U</v>
      </c>
      <c r="W116" s="3" t="str">
        <f t="shared" si="89"/>
        <v>O</v>
      </c>
      <c r="X116" s="3" t="str">
        <f t="shared" si="90"/>
        <v>O</v>
      </c>
      <c r="Z116">
        <v>56.5</v>
      </c>
      <c r="AA116" s="3" t="str">
        <f t="shared" si="91"/>
        <v>LAC/POR</v>
      </c>
    </row>
    <row r="117" spans="1:27" ht="17.100000000000001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I117" s="3"/>
      <c r="J117" s="3">
        <v>35</v>
      </c>
      <c r="K117" s="3">
        <v>18</v>
      </c>
      <c r="L117" s="3">
        <v>19</v>
      </c>
      <c r="M117" s="3">
        <v>34</v>
      </c>
      <c r="N117" s="3"/>
      <c r="O117" s="3">
        <f t="shared" ref="O117:O146" si="92">SUM(E117:I117)</f>
        <v>112</v>
      </c>
      <c r="P117" s="3">
        <f t="shared" ref="P117:P146" si="93">SUM(J117:N117)</f>
        <v>106</v>
      </c>
      <c r="Q117" s="3" t="str">
        <f t="shared" ref="Q117:Q146" si="94">IF(E117=J117,"TT",IF(E117&gt;J117,"HW","HL"))</f>
        <v>HL</v>
      </c>
      <c r="R117" s="3" t="str">
        <f t="shared" ref="R117:R146" si="95">IF(F117=K117,"TT",IF(F117&gt;K117,"HW","HL"))</f>
        <v>HW</v>
      </c>
      <c r="S117" s="3" t="str">
        <f t="shared" ref="S117:S146" si="96">IF(G117=L117,"TT",IF(G117&gt;L117,"HW","HL"))</f>
        <v>HW</v>
      </c>
      <c r="T117" s="3" t="str">
        <f t="shared" ref="T117:T146" si="97">IF(H117=M117,"TT",IF(H117&gt;M117,"HW","HL"))</f>
        <v>HL</v>
      </c>
      <c r="U117" s="3" t="str">
        <f t="shared" ref="U117:U146" si="98">IF(SUM(E117,J117)=$Z117,"T",IF(SUM(E117,J117)&gt;$Z117,"O","U"))</f>
        <v>O</v>
      </c>
      <c r="V117" s="3" t="str">
        <f t="shared" ref="V117:V146" si="99">IF(SUM(F117,K117)=$Z117,"T",IF(SUM(F117,K117)&gt;$Z117,"O","U"))</f>
        <v>U</v>
      </c>
      <c r="W117" s="3" t="str">
        <f t="shared" ref="W117:W146" si="100">IF(SUM(G117,L117)=$Z117,"T",IF(SUM(G117,L117)&gt;$Z117,"O","U"))</f>
        <v>U</v>
      </c>
      <c r="X117" s="3" t="str">
        <f t="shared" ref="X117:X146" si="101">IF(SUM(H117,M117)=$Z117,"T",IF(SUM(H117,M117)&gt;$Z117,"O","U"))</f>
        <v>O</v>
      </c>
      <c r="Z117" s="3">
        <v>54.5</v>
      </c>
      <c r="AA117" t="str">
        <f t="shared" si="91"/>
        <v>IND/DET</v>
      </c>
    </row>
    <row r="118" spans="1:27" ht="17.100000000000001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I118" s="3"/>
      <c r="J118" s="3">
        <v>15</v>
      </c>
      <c r="K118" s="3">
        <v>33</v>
      </c>
      <c r="L118" s="3">
        <v>30</v>
      </c>
      <c r="M118" s="3">
        <v>8</v>
      </c>
      <c r="N118" s="3"/>
      <c r="O118" s="3">
        <f t="shared" si="92"/>
        <v>118</v>
      </c>
      <c r="P118" s="3">
        <f t="shared" si="93"/>
        <v>86</v>
      </c>
      <c r="Q118" s="3" t="str">
        <f t="shared" si="94"/>
        <v>HW</v>
      </c>
      <c r="R118" s="3" t="str">
        <f t="shared" si="95"/>
        <v>HL</v>
      </c>
      <c r="S118" s="3" t="str">
        <f t="shared" si="96"/>
        <v>HW</v>
      </c>
      <c r="T118" s="3" t="str">
        <f t="shared" si="97"/>
        <v>HW</v>
      </c>
      <c r="U118" s="3" t="str">
        <f t="shared" si="98"/>
        <v>U</v>
      </c>
      <c r="V118" s="3" t="str">
        <f t="shared" si="99"/>
        <v>O</v>
      </c>
      <c r="W118" s="3" t="str">
        <f t="shared" si="100"/>
        <v>O</v>
      </c>
      <c r="X118" s="3" t="str">
        <f t="shared" si="101"/>
        <v>U</v>
      </c>
      <c r="Z118" s="3">
        <v>52</v>
      </c>
      <c r="AA118" t="str">
        <f t="shared" si="91"/>
        <v>ORL/MEM</v>
      </c>
    </row>
    <row r="119" spans="1:27" ht="17.100000000000001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I119" s="3"/>
      <c r="J119" s="3">
        <v>30</v>
      </c>
      <c r="K119" s="3">
        <v>37</v>
      </c>
      <c r="L119" s="3">
        <v>21</v>
      </c>
      <c r="M119" s="3">
        <v>25</v>
      </c>
      <c r="N119" s="3"/>
      <c r="O119" s="3">
        <f t="shared" si="92"/>
        <v>100</v>
      </c>
      <c r="P119" s="3">
        <f t="shared" si="93"/>
        <v>113</v>
      </c>
      <c r="Q119" s="3" t="str">
        <f t="shared" si="94"/>
        <v>HL</v>
      </c>
      <c r="R119" s="3" t="str">
        <f t="shared" si="95"/>
        <v>HL</v>
      </c>
      <c r="S119" s="3" t="str">
        <f t="shared" si="96"/>
        <v>HW</v>
      </c>
      <c r="T119" s="3" t="str">
        <f t="shared" si="97"/>
        <v>HL</v>
      </c>
      <c r="U119" s="3" t="str">
        <f t="shared" si="98"/>
        <v>U</v>
      </c>
      <c r="V119" s="3" t="str">
        <f t="shared" si="99"/>
        <v>O</v>
      </c>
      <c r="W119" s="3" t="str">
        <f t="shared" si="100"/>
        <v>U</v>
      </c>
      <c r="X119" s="3" t="str">
        <f t="shared" si="101"/>
        <v>U</v>
      </c>
      <c r="Z119" s="3">
        <v>57</v>
      </c>
      <c r="AA119" t="str">
        <f t="shared" si="91"/>
        <v>WAS/CLE</v>
      </c>
    </row>
    <row r="120" spans="1:27" ht="17.100000000000001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I120" s="3"/>
      <c r="J120" s="3">
        <v>31</v>
      </c>
      <c r="K120" s="3">
        <v>32</v>
      </c>
      <c r="L120" s="3">
        <v>28</v>
      </c>
      <c r="M120" s="3">
        <v>30</v>
      </c>
      <c r="N120" s="3"/>
      <c r="O120" s="3">
        <f t="shared" si="92"/>
        <v>109</v>
      </c>
      <c r="P120" s="3">
        <f t="shared" si="93"/>
        <v>121</v>
      </c>
      <c r="Q120" s="3" t="str">
        <f t="shared" si="94"/>
        <v>HL</v>
      </c>
      <c r="R120" s="3" t="str">
        <f t="shared" si="95"/>
        <v>HL</v>
      </c>
      <c r="S120" s="3" t="str">
        <f t="shared" si="96"/>
        <v>HW</v>
      </c>
      <c r="T120" s="3" t="str">
        <f t="shared" si="97"/>
        <v>HL</v>
      </c>
      <c r="U120" s="3" t="str">
        <f t="shared" si="98"/>
        <v>U</v>
      </c>
      <c r="V120" s="3" t="str">
        <f t="shared" si="99"/>
        <v>U</v>
      </c>
      <c r="W120" s="3" t="str">
        <f t="shared" si="100"/>
        <v>O</v>
      </c>
      <c r="X120" s="3" t="str">
        <f t="shared" si="101"/>
        <v>U</v>
      </c>
      <c r="Z120" s="3">
        <v>58</v>
      </c>
      <c r="AA120" t="str">
        <f t="shared" si="91"/>
        <v>ATL/SAC</v>
      </c>
    </row>
    <row r="121" spans="1:27" ht="17.100000000000001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I121" s="3"/>
      <c r="J121" s="3">
        <v>30</v>
      </c>
      <c r="K121" s="3">
        <v>45</v>
      </c>
      <c r="L121" s="3">
        <v>22</v>
      </c>
      <c r="M121" s="3">
        <v>25</v>
      </c>
      <c r="N121" s="3"/>
      <c r="O121" s="3">
        <f t="shared" si="92"/>
        <v>104</v>
      </c>
      <c r="P121" s="3">
        <f t="shared" si="93"/>
        <v>122</v>
      </c>
      <c r="Q121" s="3" t="str">
        <f t="shared" si="94"/>
        <v>TT</v>
      </c>
      <c r="R121" s="3" t="str">
        <f t="shared" si="95"/>
        <v>HL</v>
      </c>
      <c r="S121" s="3" t="str">
        <f t="shared" si="96"/>
        <v>TT</v>
      </c>
      <c r="T121" s="3" t="str">
        <f t="shared" si="97"/>
        <v>HW</v>
      </c>
      <c r="U121" s="3" t="str">
        <f t="shared" si="98"/>
        <v>T</v>
      </c>
      <c r="V121" s="3" t="str">
        <f t="shared" si="99"/>
        <v>O</v>
      </c>
      <c r="W121" s="3" t="str">
        <f t="shared" si="100"/>
        <v>U</v>
      </c>
      <c r="X121" s="3" t="str">
        <f t="shared" si="101"/>
        <v>U</v>
      </c>
      <c r="Z121" s="3">
        <v>60</v>
      </c>
      <c r="AA121" t="str">
        <f t="shared" si="91"/>
        <v>NO/TOR</v>
      </c>
    </row>
    <row r="122" spans="1:27" ht="17.100000000000001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92"/>
        <v>125</v>
      </c>
      <c r="P122" s="3">
        <f t="shared" si="93"/>
        <v>119</v>
      </c>
      <c r="Q122" s="3" t="str">
        <f t="shared" si="94"/>
        <v>HL</v>
      </c>
      <c r="R122" s="3" t="str">
        <f t="shared" si="95"/>
        <v>HW</v>
      </c>
      <c r="S122" s="3" t="str">
        <f t="shared" si="96"/>
        <v>HL</v>
      </c>
      <c r="T122" s="3" t="str">
        <f t="shared" si="97"/>
        <v>HW</v>
      </c>
      <c r="U122" s="3" t="str">
        <f t="shared" si="98"/>
        <v>O</v>
      </c>
      <c r="V122" s="3" t="str">
        <f t="shared" si="99"/>
        <v>O</v>
      </c>
      <c r="W122" s="3" t="str">
        <f t="shared" si="100"/>
        <v>U</v>
      </c>
      <c r="X122" s="3" t="str">
        <f t="shared" si="101"/>
        <v>U</v>
      </c>
      <c r="Z122" s="3">
        <v>59.5</v>
      </c>
      <c r="AA122" t="str">
        <f t="shared" si="91"/>
        <v>MIN/GS</v>
      </c>
    </row>
    <row r="123" spans="1:27" ht="17.100000000000001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I123" s="3"/>
      <c r="J123" s="3">
        <v>36</v>
      </c>
      <c r="K123" s="3">
        <v>25</v>
      </c>
      <c r="L123" s="3">
        <v>23</v>
      </c>
      <c r="M123" s="3">
        <v>22</v>
      </c>
      <c r="N123" s="3"/>
      <c r="O123" s="3">
        <f t="shared" si="92"/>
        <v>102</v>
      </c>
      <c r="P123" s="3">
        <f t="shared" si="93"/>
        <v>106</v>
      </c>
      <c r="Q123" s="3" t="str">
        <f t="shared" si="94"/>
        <v>HL</v>
      </c>
      <c r="R123" s="3" t="str">
        <f t="shared" si="95"/>
        <v>HW</v>
      </c>
      <c r="S123" s="3" t="str">
        <f t="shared" si="96"/>
        <v>TT</v>
      </c>
      <c r="T123" s="3" t="str">
        <f t="shared" si="97"/>
        <v>TT</v>
      </c>
      <c r="U123" s="3" t="str">
        <f t="shared" si="98"/>
        <v>O</v>
      </c>
      <c r="V123" s="3" t="str">
        <f t="shared" si="99"/>
        <v>U</v>
      </c>
      <c r="W123" s="3" t="str">
        <f t="shared" si="100"/>
        <v>U</v>
      </c>
      <c r="X123" s="3" t="str">
        <f t="shared" si="101"/>
        <v>U</v>
      </c>
      <c r="Z123" s="3">
        <v>55</v>
      </c>
      <c r="AA123" t="str">
        <f t="shared" si="91"/>
        <v>DAL/NYK</v>
      </c>
    </row>
    <row r="124" spans="1:27" ht="17.100000000000001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I124" s="3"/>
      <c r="J124" s="3">
        <v>24</v>
      </c>
      <c r="K124" s="3">
        <v>33</v>
      </c>
      <c r="L124" s="3">
        <v>27</v>
      </c>
      <c r="M124" s="3">
        <v>13</v>
      </c>
      <c r="N124" s="3"/>
      <c r="O124" s="3">
        <f t="shared" si="92"/>
        <v>100</v>
      </c>
      <c r="P124" s="3">
        <f t="shared" si="93"/>
        <v>97</v>
      </c>
      <c r="Q124" s="3" t="str">
        <f t="shared" si="94"/>
        <v>HL</v>
      </c>
      <c r="R124" s="3" t="str">
        <f t="shared" si="95"/>
        <v>HL</v>
      </c>
      <c r="S124" s="3" t="str">
        <f t="shared" si="96"/>
        <v>HL</v>
      </c>
      <c r="T124" s="3" t="str">
        <f t="shared" si="97"/>
        <v>HW</v>
      </c>
      <c r="U124" s="3" t="str">
        <f t="shared" si="98"/>
        <v>U</v>
      </c>
      <c r="V124" s="3" t="str">
        <f t="shared" si="99"/>
        <v>O</v>
      </c>
      <c r="W124" s="3" t="str">
        <f t="shared" si="100"/>
        <v>U</v>
      </c>
      <c r="X124" s="3" t="str">
        <f t="shared" si="101"/>
        <v>U</v>
      </c>
      <c r="Z124" s="3">
        <v>52.5</v>
      </c>
      <c r="AA124" t="str">
        <f t="shared" si="91"/>
        <v>DEN/PHI</v>
      </c>
    </row>
    <row r="125" spans="1:27" ht="17.100000000000001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I125" s="3"/>
      <c r="J125" s="3">
        <v>16</v>
      </c>
      <c r="K125" s="3">
        <v>19</v>
      </c>
      <c r="L125" s="3">
        <v>39</v>
      </c>
      <c r="M125" s="3">
        <v>26</v>
      </c>
      <c r="N125" s="3"/>
      <c r="O125" s="3">
        <f t="shared" si="92"/>
        <v>103</v>
      </c>
      <c r="P125" s="3">
        <f t="shared" si="93"/>
        <v>100</v>
      </c>
      <c r="Q125" s="3" t="str">
        <f t="shared" si="94"/>
        <v>HW</v>
      </c>
      <c r="R125" s="3" t="str">
        <f t="shared" si="95"/>
        <v>HW</v>
      </c>
      <c r="S125" s="3" t="str">
        <f t="shared" si="96"/>
        <v>HL</v>
      </c>
      <c r="T125" s="3" t="str">
        <f t="shared" si="97"/>
        <v>HL</v>
      </c>
      <c r="U125" s="3" t="str">
        <f t="shared" si="98"/>
        <v>U</v>
      </c>
      <c r="V125" s="3" t="str">
        <f t="shared" si="99"/>
        <v>U</v>
      </c>
      <c r="W125" s="3" t="str">
        <f t="shared" si="100"/>
        <v>O</v>
      </c>
      <c r="X125" s="3" t="str">
        <f t="shared" si="101"/>
        <v>U</v>
      </c>
      <c r="Z125" s="3">
        <v>52.5</v>
      </c>
      <c r="AA125" t="str">
        <f t="shared" si="91"/>
        <v>UTA/MIL</v>
      </c>
    </row>
    <row r="126" spans="1:27" ht="17.100000000000001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I126" s="3"/>
      <c r="J126" s="3">
        <v>26</v>
      </c>
      <c r="K126" s="3">
        <v>28</v>
      </c>
      <c r="L126" s="3">
        <v>35</v>
      </c>
      <c r="M126" s="3">
        <v>30</v>
      </c>
      <c r="N126" s="3"/>
      <c r="O126" s="3">
        <f t="shared" si="92"/>
        <v>115</v>
      </c>
      <c r="P126" s="3">
        <f t="shared" si="93"/>
        <v>119</v>
      </c>
      <c r="Q126" s="3" t="str">
        <f t="shared" si="94"/>
        <v>HL</v>
      </c>
      <c r="R126" s="3" t="str">
        <f t="shared" si="95"/>
        <v>HW</v>
      </c>
      <c r="S126" s="3" t="str">
        <f t="shared" si="96"/>
        <v>HW</v>
      </c>
      <c r="T126" s="3" t="str">
        <f t="shared" si="97"/>
        <v>HL</v>
      </c>
      <c r="U126" s="3" t="str">
        <f t="shared" si="98"/>
        <v>U</v>
      </c>
      <c r="V126" s="3" t="str">
        <f t="shared" si="99"/>
        <v>U</v>
      </c>
      <c r="W126" s="3" t="str">
        <f t="shared" si="100"/>
        <v>O</v>
      </c>
      <c r="X126" s="3" t="str">
        <f t="shared" si="101"/>
        <v>O</v>
      </c>
      <c r="Z126" s="3">
        <v>57.5</v>
      </c>
      <c r="AA126" t="str">
        <f t="shared" si="91"/>
        <v>POR/BKN</v>
      </c>
    </row>
    <row r="127" spans="1:27" ht="17.100000000000001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I127" s="3"/>
      <c r="J127" s="3">
        <v>21</v>
      </c>
      <c r="K127" s="3">
        <v>25</v>
      </c>
      <c r="L127" s="3">
        <v>20</v>
      </c>
      <c r="M127" s="3">
        <v>14</v>
      </c>
      <c r="N127" s="3"/>
      <c r="O127" s="3">
        <f t="shared" si="92"/>
        <v>95</v>
      </c>
      <c r="P127" s="3">
        <f t="shared" si="93"/>
        <v>80</v>
      </c>
      <c r="Q127" s="3" t="str">
        <f t="shared" si="94"/>
        <v>HW</v>
      </c>
      <c r="R127" s="3" t="str">
        <f t="shared" si="95"/>
        <v>HL</v>
      </c>
      <c r="S127" s="3" t="str">
        <f t="shared" si="96"/>
        <v>HW</v>
      </c>
      <c r="T127" s="3" t="str">
        <f t="shared" si="97"/>
        <v>HW</v>
      </c>
      <c r="U127" s="3" t="str">
        <f t="shared" si="98"/>
        <v>U</v>
      </c>
      <c r="V127" s="3" t="str">
        <f t="shared" si="99"/>
        <v>U</v>
      </c>
      <c r="W127" s="3" t="str">
        <f t="shared" si="100"/>
        <v>U</v>
      </c>
      <c r="X127" s="3" t="str">
        <f t="shared" si="101"/>
        <v>U</v>
      </c>
      <c r="Z127" s="3">
        <v>56</v>
      </c>
      <c r="AA127" t="str">
        <f t="shared" si="91"/>
        <v>LAL/MIA</v>
      </c>
    </row>
    <row r="128" spans="1:27" ht="17.100000000000001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I128" s="3"/>
      <c r="J128" s="3">
        <v>39</v>
      </c>
      <c r="K128" s="3">
        <v>33</v>
      </c>
      <c r="L128" s="3">
        <v>32</v>
      </c>
      <c r="M128" s="3">
        <v>31</v>
      </c>
      <c r="N128" s="3"/>
      <c r="O128" s="3">
        <f t="shared" si="92"/>
        <v>115</v>
      </c>
      <c r="P128" s="3">
        <f t="shared" si="93"/>
        <v>135</v>
      </c>
      <c r="Q128" s="3" t="str">
        <f t="shared" si="94"/>
        <v>HL</v>
      </c>
      <c r="R128" s="3" t="str">
        <f t="shared" si="95"/>
        <v>HL</v>
      </c>
      <c r="S128" s="3" t="str">
        <f t="shared" si="96"/>
        <v>HW</v>
      </c>
      <c r="T128" s="3" t="str">
        <f t="shared" si="97"/>
        <v>HL</v>
      </c>
      <c r="U128" s="3" t="str">
        <f t="shared" si="98"/>
        <v>O</v>
      </c>
      <c r="V128" s="3" t="str">
        <f t="shared" si="99"/>
        <v>O</v>
      </c>
      <c r="W128" s="3" t="str">
        <f t="shared" si="100"/>
        <v>O</v>
      </c>
      <c r="X128" s="3" t="str">
        <f t="shared" si="101"/>
        <v>O</v>
      </c>
      <c r="Z128" s="3">
        <v>52.5</v>
      </c>
      <c r="AA128" s="3" t="str">
        <f t="shared" si="91"/>
        <v>SAS/BOS</v>
      </c>
    </row>
    <row r="129" spans="1:27" ht="17.100000000000001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I129" s="3"/>
      <c r="J129" s="3">
        <v>33</v>
      </c>
      <c r="K129" s="3">
        <v>22</v>
      </c>
      <c r="L129" s="3">
        <v>26</v>
      </c>
      <c r="M129" s="3">
        <v>34</v>
      </c>
      <c r="N129" s="3"/>
      <c r="O129" s="3">
        <f t="shared" si="92"/>
        <v>110</v>
      </c>
      <c r="P129" s="3">
        <f t="shared" si="93"/>
        <v>115</v>
      </c>
      <c r="Q129" s="3" t="str">
        <f t="shared" si="94"/>
        <v>HL</v>
      </c>
      <c r="R129" s="3" t="str">
        <f t="shared" si="95"/>
        <v>HW</v>
      </c>
      <c r="S129" s="3" t="str">
        <f t="shared" si="96"/>
        <v>HL</v>
      </c>
      <c r="T129" s="3" t="str">
        <f t="shared" si="97"/>
        <v>HL</v>
      </c>
      <c r="U129" s="3" t="str">
        <f t="shared" si="98"/>
        <v>O</v>
      </c>
      <c r="V129" s="3" t="str">
        <f t="shared" si="99"/>
        <v>U</v>
      </c>
      <c r="W129" s="3" t="str">
        <f t="shared" si="100"/>
        <v>U</v>
      </c>
      <c r="X129" s="3" t="str">
        <f t="shared" si="101"/>
        <v>U</v>
      </c>
      <c r="Z129" s="3">
        <v>59.5</v>
      </c>
      <c r="AA129" s="3" t="str">
        <f t="shared" si="91"/>
        <v>CHA/NO</v>
      </c>
    </row>
    <row r="130" spans="1:27" ht="17.100000000000001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I130" s="3"/>
      <c r="J130" s="3">
        <v>20</v>
      </c>
      <c r="K130" s="3">
        <v>30</v>
      </c>
      <c r="L130" s="3">
        <v>36</v>
      </c>
      <c r="M130" s="3">
        <v>31</v>
      </c>
      <c r="N130" s="3"/>
      <c r="O130" s="3">
        <f t="shared" si="92"/>
        <v>94</v>
      </c>
      <c r="P130" s="3">
        <f t="shared" si="93"/>
        <v>117</v>
      </c>
      <c r="Q130" s="3" t="str">
        <f t="shared" si="94"/>
        <v>HW</v>
      </c>
      <c r="R130" s="3" t="str">
        <f t="shared" si="95"/>
        <v>HL</v>
      </c>
      <c r="S130" s="3" t="str">
        <f t="shared" si="96"/>
        <v>HL</v>
      </c>
      <c r="T130" s="3" t="str">
        <f t="shared" si="97"/>
        <v>HL</v>
      </c>
      <c r="U130" s="3" t="str">
        <f t="shared" si="98"/>
        <v>U</v>
      </c>
      <c r="V130" s="3" t="str">
        <f t="shared" si="99"/>
        <v>U</v>
      </c>
      <c r="W130" s="3" t="str">
        <f t="shared" si="100"/>
        <v>U</v>
      </c>
      <c r="X130" s="3" t="str">
        <f t="shared" si="101"/>
        <v>U</v>
      </c>
      <c r="Z130" s="3">
        <v>60.5</v>
      </c>
      <c r="AA130" s="3" t="str">
        <f t="shared" si="91"/>
        <v>CHI/HOU</v>
      </c>
    </row>
    <row r="131" spans="1:27" ht="17.100000000000001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I131" s="3"/>
      <c r="J131" s="3">
        <v>27</v>
      </c>
      <c r="K131" s="3">
        <v>16</v>
      </c>
      <c r="L131" s="3">
        <v>41</v>
      </c>
      <c r="M131" s="3">
        <v>24</v>
      </c>
      <c r="N131" s="3"/>
      <c r="O131" s="3">
        <f t="shared" si="92"/>
        <v>114</v>
      </c>
      <c r="P131" s="3">
        <f t="shared" si="93"/>
        <v>108</v>
      </c>
      <c r="Q131" s="3" t="str">
        <f t="shared" si="94"/>
        <v>HW</v>
      </c>
      <c r="R131" s="3" t="str">
        <f t="shared" si="95"/>
        <v>HW</v>
      </c>
      <c r="S131" s="3" t="str">
        <f t="shared" si="96"/>
        <v>HL</v>
      </c>
      <c r="T131" s="3" t="str">
        <f t="shared" si="97"/>
        <v>HW</v>
      </c>
      <c r="U131" s="3" t="str">
        <f t="shared" si="98"/>
        <v>O</v>
      </c>
      <c r="V131" s="3" t="str">
        <f t="shared" si="99"/>
        <v>U</v>
      </c>
      <c r="W131" s="3" t="str">
        <f t="shared" si="100"/>
        <v>O</v>
      </c>
      <c r="X131" s="3" t="str">
        <f t="shared" si="101"/>
        <v>U</v>
      </c>
      <c r="Z131" s="3">
        <v>56.5</v>
      </c>
      <c r="AA131" s="3" t="str">
        <f t="shared" si="91"/>
        <v>OKC/GS</v>
      </c>
    </row>
    <row r="132" spans="1:27" ht="17.100000000000001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I132" s="3"/>
      <c r="J132" s="3">
        <v>31</v>
      </c>
      <c r="K132" s="3">
        <v>37</v>
      </c>
      <c r="L132" s="3">
        <v>36</v>
      </c>
      <c r="M132" s="3">
        <v>34</v>
      </c>
      <c r="N132" s="3"/>
      <c r="O132" s="3">
        <f t="shared" si="92"/>
        <v>122</v>
      </c>
      <c r="P132" s="3">
        <f t="shared" si="93"/>
        <v>138</v>
      </c>
      <c r="Q132" s="3" t="str">
        <f t="shared" si="94"/>
        <v>HW</v>
      </c>
      <c r="R132" s="3" t="str">
        <f t="shared" si="95"/>
        <v>HL</v>
      </c>
      <c r="S132" s="3" t="str">
        <f t="shared" si="96"/>
        <v>HL</v>
      </c>
      <c r="T132" s="3" t="str">
        <f t="shared" si="97"/>
        <v>HL</v>
      </c>
      <c r="U132" s="3" t="str">
        <f t="shared" si="98"/>
        <v>O</v>
      </c>
      <c r="V132" s="3" t="str">
        <f t="shared" si="99"/>
        <v>O</v>
      </c>
      <c r="W132" s="3" t="str">
        <f t="shared" si="100"/>
        <v>O</v>
      </c>
      <c r="X132" s="3" t="str">
        <f t="shared" si="101"/>
        <v>O</v>
      </c>
      <c r="Z132" s="3">
        <v>56.5</v>
      </c>
      <c r="AA132" s="3" t="str">
        <f t="shared" si="91"/>
        <v>MEM/DAL</v>
      </c>
    </row>
    <row r="133" spans="1:27" ht="17.100000000000001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92"/>
        <v>98</v>
      </c>
      <c r="P133" s="3">
        <f t="shared" si="93"/>
        <v>100</v>
      </c>
      <c r="Q133" s="3" t="str">
        <f t="shared" si="94"/>
        <v>TT</v>
      </c>
      <c r="R133" s="3" t="str">
        <f t="shared" si="95"/>
        <v>HW</v>
      </c>
      <c r="S133" s="3" t="str">
        <f t="shared" si="96"/>
        <v>HL</v>
      </c>
      <c r="T133" s="3" t="str">
        <f t="shared" si="97"/>
        <v>HW</v>
      </c>
      <c r="U133" s="3" t="str">
        <f t="shared" si="98"/>
        <v>U</v>
      </c>
      <c r="V133" s="3" t="str">
        <f t="shared" si="99"/>
        <v>U</v>
      </c>
      <c r="W133" s="3" t="str">
        <f t="shared" si="100"/>
        <v>U</v>
      </c>
      <c r="X133" s="3" t="str">
        <f t="shared" si="101"/>
        <v>U</v>
      </c>
      <c r="Z133" s="3">
        <v>56</v>
      </c>
      <c r="AA133" s="3" t="str">
        <f t="shared" si="91"/>
        <v>MIN/DEN</v>
      </c>
    </row>
    <row r="134" spans="1:27" ht="17.100000000000001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I134" s="3"/>
      <c r="J134" s="3">
        <v>29</v>
      </c>
      <c r="K134" s="3">
        <v>22</v>
      </c>
      <c r="L134" s="3">
        <v>30</v>
      </c>
      <c r="M134" s="3">
        <v>28</v>
      </c>
      <c r="N134" s="3"/>
      <c r="O134" s="3">
        <f t="shared" si="92"/>
        <v>102</v>
      </c>
      <c r="P134" s="3">
        <f t="shared" si="93"/>
        <v>109</v>
      </c>
      <c r="Q134" s="3" t="str">
        <f t="shared" si="94"/>
        <v>HW</v>
      </c>
      <c r="R134" s="3" t="str">
        <f t="shared" si="95"/>
        <v>HW</v>
      </c>
      <c r="S134" s="3" t="str">
        <f t="shared" si="96"/>
        <v>HL</v>
      </c>
      <c r="T134" s="3" t="str">
        <f t="shared" si="97"/>
        <v>HL</v>
      </c>
      <c r="U134" s="3" t="str">
        <f t="shared" si="98"/>
        <v>O</v>
      </c>
      <c r="V134" s="3" t="str">
        <f t="shared" si="99"/>
        <v>U</v>
      </c>
      <c r="W134" s="3" t="str">
        <f t="shared" si="100"/>
        <v>U</v>
      </c>
      <c r="X134" s="3" t="str">
        <f t="shared" si="101"/>
        <v>O</v>
      </c>
      <c r="Z134" s="3">
        <v>52</v>
      </c>
      <c r="AA134" s="3" t="str">
        <f t="shared" si="91"/>
        <v>ORL/IND</v>
      </c>
    </row>
    <row r="135" spans="1:27" ht="17.100000000000001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I135" s="3"/>
      <c r="J135" s="3">
        <v>24</v>
      </c>
      <c r="K135" s="3">
        <v>34</v>
      </c>
      <c r="L135" s="3">
        <v>23</v>
      </c>
      <c r="M135" s="3">
        <v>25</v>
      </c>
      <c r="N135" s="3"/>
      <c r="O135" s="3">
        <f t="shared" si="92"/>
        <v>114</v>
      </c>
      <c r="P135" s="3">
        <f t="shared" si="93"/>
        <v>106</v>
      </c>
      <c r="Q135" s="3" t="str">
        <f t="shared" si="94"/>
        <v>HW</v>
      </c>
      <c r="R135" s="3" t="str">
        <f t="shared" si="95"/>
        <v>HL</v>
      </c>
      <c r="S135" s="3" t="str">
        <f t="shared" si="96"/>
        <v>HW</v>
      </c>
      <c r="T135" s="3" t="str">
        <f t="shared" si="97"/>
        <v>HW</v>
      </c>
      <c r="U135" s="3" t="str">
        <f t="shared" si="98"/>
        <v>O</v>
      </c>
      <c r="V135" s="3" t="str">
        <f t="shared" si="99"/>
        <v>U</v>
      </c>
      <c r="W135" s="3" t="str">
        <f t="shared" si="100"/>
        <v>O</v>
      </c>
      <c r="X135" s="3" t="str">
        <f t="shared" si="101"/>
        <v>U</v>
      </c>
      <c r="Z135" s="3">
        <v>55.5</v>
      </c>
      <c r="AA135" s="3" t="str">
        <f t="shared" si="91"/>
        <v>PHI/CHA</v>
      </c>
    </row>
    <row r="136" spans="1:27" ht="17.100000000000001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I136" s="3"/>
      <c r="J136" s="3">
        <v>21</v>
      </c>
      <c r="K136" s="3">
        <v>29</v>
      </c>
      <c r="L136" s="3">
        <v>37</v>
      </c>
      <c r="M136" s="3">
        <v>34</v>
      </c>
      <c r="N136" s="3"/>
      <c r="O136" s="3">
        <f t="shared" si="92"/>
        <v>119</v>
      </c>
      <c r="P136" s="3">
        <f t="shared" si="93"/>
        <v>121</v>
      </c>
      <c r="Q136" s="3" t="str">
        <f t="shared" si="94"/>
        <v>HW</v>
      </c>
      <c r="R136" s="3" t="str">
        <f t="shared" si="95"/>
        <v>HW</v>
      </c>
      <c r="S136" s="3" t="str">
        <f t="shared" si="96"/>
        <v>HL</v>
      </c>
      <c r="T136" s="3" t="str">
        <f t="shared" si="97"/>
        <v>HW</v>
      </c>
      <c r="U136" s="3" t="str">
        <f t="shared" si="98"/>
        <v>U</v>
      </c>
      <c r="V136" s="3" t="str">
        <f t="shared" si="99"/>
        <v>O</v>
      </c>
      <c r="W136" s="3" t="str">
        <f t="shared" si="100"/>
        <v>O</v>
      </c>
      <c r="X136" s="3" t="str">
        <f t="shared" si="101"/>
        <v>O</v>
      </c>
      <c r="Z136" s="3">
        <v>53.5</v>
      </c>
      <c r="AA136" s="3" t="str">
        <f t="shared" si="91"/>
        <v>OKC/MIL</v>
      </c>
    </row>
    <row r="137" spans="1:27" ht="17.100000000000001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I137" s="3"/>
      <c r="J137" s="3">
        <v>31</v>
      </c>
      <c r="K137" s="3">
        <v>23</v>
      </c>
      <c r="L137" s="3">
        <v>24</v>
      </c>
      <c r="M137" s="3">
        <v>30</v>
      </c>
      <c r="N137" s="3"/>
      <c r="O137" s="3">
        <f t="shared" si="92"/>
        <v>87</v>
      </c>
      <c r="P137" s="3">
        <f t="shared" si="93"/>
        <v>108</v>
      </c>
      <c r="Q137" s="3" t="str">
        <f t="shared" si="94"/>
        <v>HL</v>
      </c>
      <c r="R137" s="3" t="str">
        <f t="shared" si="95"/>
        <v>HL</v>
      </c>
      <c r="S137" s="3" t="str">
        <f t="shared" si="96"/>
        <v>HW</v>
      </c>
      <c r="T137" s="3" t="str">
        <f t="shared" si="97"/>
        <v>HL</v>
      </c>
      <c r="U137" s="3" t="str">
        <f t="shared" si="98"/>
        <v>U</v>
      </c>
      <c r="V137" s="3" t="str">
        <f t="shared" si="99"/>
        <v>U</v>
      </c>
      <c r="W137" s="3" t="str">
        <f t="shared" si="100"/>
        <v>U</v>
      </c>
      <c r="X137" s="3" t="str">
        <f t="shared" si="101"/>
        <v>O</v>
      </c>
      <c r="Z137" s="3">
        <v>52</v>
      </c>
      <c r="AA137" s="3" t="str">
        <f t="shared" si="91"/>
        <v>NYK/CLE</v>
      </c>
    </row>
    <row r="138" spans="1:27" ht="17.100000000000001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I138" s="3"/>
      <c r="J138" s="3">
        <v>30</v>
      </c>
      <c r="K138" s="3">
        <v>20</v>
      </c>
      <c r="L138" s="3">
        <v>30</v>
      </c>
      <c r="M138" s="3">
        <v>32</v>
      </c>
      <c r="N138" s="3"/>
      <c r="O138" s="3">
        <f t="shared" si="92"/>
        <v>138</v>
      </c>
      <c r="P138" s="3">
        <f t="shared" si="93"/>
        <v>112</v>
      </c>
      <c r="Q138" s="3" t="str">
        <f t="shared" si="94"/>
        <v>HW</v>
      </c>
      <c r="R138" s="3" t="str">
        <f t="shared" si="95"/>
        <v>HW</v>
      </c>
      <c r="S138" s="3" t="str">
        <f t="shared" si="96"/>
        <v>HW</v>
      </c>
      <c r="T138" s="3" t="str">
        <f t="shared" si="97"/>
        <v>TT</v>
      </c>
      <c r="U138" s="3" t="str">
        <f t="shared" si="98"/>
        <v>O</v>
      </c>
      <c r="V138" s="3" t="str">
        <f t="shared" si="99"/>
        <v>U</v>
      </c>
      <c r="W138" s="3" t="str">
        <f t="shared" si="100"/>
        <v>O</v>
      </c>
      <c r="X138" s="3" t="str">
        <f t="shared" si="101"/>
        <v>O</v>
      </c>
      <c r="Z138" s="3">
        <v>56.5</v>
      </c>
      <c r="AA138" s="3" t="str">
        <f t="shared" si="91"/>
        <v>PHO/BKN</v>
      </c>
    </row>
    <row r="139" spans="1:27" ht="17.100000000000001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92"/>
        <v>124</v>
      </c>
      <c r="P139" s="3">
        <f t="shared" si="93"/>
        <v>113</v>
      </c>
      <c r="Q139" s="3" t="str">
        <f t="shared" si="94"/>
        <v>HL</v>
      </c>
      <c r="R139" s="3" t="str">
        <f t="shared" si="95"/>
        <v>HW</v>
      </c>
      <c r="S139" s="3" t="str">
        <f t="shared" si="96"/>
        <v>HL</v>
      </c>
      <c r="T139" s="3" t="str">
        <f t="shared" si="97"/>
        <v>TT</v>
      </c>
      <c r="U139" s="3" t="str">
        <f t="shared" si="98"/>
        <v>U</v>
      </c>
      <c r="V139" s="3" t="str">
        <f t="shared" si="99"/>
        <v>U</v>
      </c>
      <c r="W139" s="3" t="str">
        <f t="shared" si="100"/>
        <v>O</v>
      </c>
      <c r="X139" s="3" t="str">
        <f t="shared" si="101"/>
        <v>O</v>
      </c>
      <c r="Z139" s="3">
        <v>58</v>
      </c>
      <c r="AA139" s="3" t="str">
        <f t="shared" si="91"/>
        <v>POR/ATL</v>
      </c>
    </row>
    <row r="140" spans="1:27" ht="17.100000000000001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I140" s="3"/>
      <c r="J140" s="3">
        <v>29</v>
      </c>
      <c r="K140" s="3">
        <v>23</v>
      </c>
      <c r="L140" s="3">
        <v>26</v>
      </c>
      <c r="M140" s="3">
        <v>35</v>
      </c>
      <c r="N140" s="3"/>
      <c r="O140" s="3">
        <f t="shared" si="92"/>
        <v>104</v>
      </c>
      <c r="P140" s="3">
        <f t="shared" si="93"/>
        <v>113</v>
      </c>
      <c r="Q140" s="3" t="str">
        <f t="shared" si="94"/>
        <v>HW</v>
      </c>
      <c r="R140" s="3" t="str">
        <f t="shared" si="95"/>
        <v>HW</v>
      </c>
      <c r="S140" s="3" t="str">
        <f t="shared" si="96"/>
        <v>HL</v>
      </c>
      <c r="T140" s="3" t="str">
        <f t="shared" si="97"/>
        <v>HL</v>
      </c>
      <c r="U140" s="3" t="str">
        <f t="shared" si="98"/>
        <v>O</v>
      </c>
      <c r="V140" s="3" t="str">
        <f t="shared" si="99"/>
        <v>U</v>
      </c>
      <c r="W140" s="3" t="str">
        <f t="shared" si="100"/>
        <v>U</v>
      </c>
      <c r="X140" s="3" t="str">
        <f t="shared" si="101"/>
        <v>O</v>
      </c>
      <c r="Z140" s="3">
        <v>54.5</v>
      </c>
      <c r="AA140" s="3" t="str">
        <f t="shared" si="91"/>
        <v>LAL/TOR</v>
      </c>
    </row>
    <row r="141" spans="1:27" ht="17.100000000000001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I141" s="3"/>
      <c r="J141" s="3">
        <v>41</v>
      </c>
      <c r="K141" s="3">
        <v>25</v>
      </c>
      <c r="L141" s="3">
        <v>26</v>
      </c>
      <c r="M141" s="3">
        <v>28</v>
      </c>
      <c r="N141" s="3"/>
      <c r="O141" s="3">
        <f t="shared" si="92"/>
        <v>114</v>
      </c>
      <c r="P141" s="3">
        <f t="shared" si="93"/>
        <v>120</v>
      </c>
      <c r="Q141" s="3" t="str">
        <f t="shared" si="94"/>
        <v>HL</v>
      </c>
      <c r="R141" s="3" t="str">
        <f t="shared" si="95"/>
        <v>TT</v>
      </c>
      <c r="S141" s="3" t="str">
        <f t="shared" si="96"/>
        <v>HW</v>
      </c>
      <c r="T141" s="3" t="str">
        <f t="shared" si="97"/>
        <v>HW</v>
      </c>
      <c r="U141" s="3" t="str">
        <f t="shared" si="98"/>
        <v>O</v>
      </c>
      <c r="V141" s="3" t="str">
        <f t="shared" si="99"/>
        <v>U</v>
      </c>
      <c r="W141" s="3" t="str">
        <f t="shared" si="100"/>
        <v>U</v>
      </c>
      <c r="X141" s="3" t="str">
        <f t="shared" si="101"/>
        <v>O</v>
      </c>
      <c r="Z141" s="3">
        <v>58</v>
      </c>
      <c r="AA141" s="3" t="str">
        <f t="shared" si="91"/>
        <v>DET/MIN</v>
      </c>
    </row>
    <row r="142" spans="1:27" ht="17.100000000000001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I142" s="3"/>
      <c r="J142" s="3">
        <v>21</v>
      </c>
      <c r="K142" s="3">
        <v>33</v>
      </c>
      <c r="L142" s="3">
        <v>25</v>
      </c>
      <c r="M142" s="3">
        <v>27</v>
      </c>
      <c r="N142" s="3"/>
      <c r="O142" s="3">
        <f t="shared" si="92"/>
        <v>116</v>
      </c>
      <c r="P142" s="3">
        <f t="shared" si="93"/>
        <v>106</v>
      </c>
      <c r="Q142" s="3" t="str">
        <f t="shared" si="94"/>
        <v>HW</v>
      </c>
      <c r="R142" s="3" t="str">
        <f t="shared" si="95"/>
        <v>HL</v>
      </c>
      <c r="S142" s="3" t="str">
        <f t="shared" si="96"/>
        <v>HW</v>
      </c>
      <c r="T142" s="3" t="str">
        <f t="shared" si="97"/>
        <v>HW</v>
      </c>
      <c r="U142" s="3" t="str">
        <f t="shared" si="98"/>
        <v>U</v>
      </c>
      <c r="V142" s="3" t="str">
        <f t="shared" si="99"/>
        <v>O</v>
      </c>
      <c r="W142" s="3" t="str">
        <f t="shared" si="100"/>
        <v>U</v>
      </c>
      <c r="X142" s="3" t="str">
        <f t="shared" si="101"/>
        <v>O</v>
      </c>
      <c r="Z142" s="3">
        <v>56</v>
      </c>
      <c r="AA142" s="3" t="str">
        <f t="shared" si="91"/>
        <v>BOS/DAL</v>
      </c>
    </row>
    <row r="143" spans="1:27" ht="17.100000000000001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I143" s="3"/>
      <c r="J143" s="3">
        <v>35</v>
      </c>
      <c r="K143" s="3">
        <v>22</v>
      </c>
      <c r="L143" s="3">
        <v>34</v>
      </c>
      <c r="M143" s="3">
        <v>22</v>
      </c>
      <c r="N143" s="3"/>
      <c r="O143" s="3">
        <f t="shared" si="92"/>
        <v>109</v>
      </c>
      <c r="P143" s="3">
        <f t="shared" si="93"/>
        <v>113</v>
      </c>
      <c r="Q143" s="3" t="str">
        <f t="shared" si="94"/>
        <v>HL</v>
      </c>
      <c r="R143" s="3" t="str">
        <f t="shared" si="95"/>
        <v>HW</v>
      </c>
      <c r="S143" s="3" t="str">
        <f t="shared" si="96"/>
        <v>HL</v>
      </c>
      <c r="T143" s="3" t="str">
        <f t="shared" si="97"/>
        <v>HW</v>
      </c>
      <c r="U143" s="3" t="str">
        <f t="shared" si="98"/>
        <v>O</v>
      </c>
      <c r="V143" s="3" t="str">
        <f t="shared" si="99"/>
        <v>U</v>
      </c>
      <c r="W143" s="3" t="str">
        <f t="shared" si="100"/>
        <v>O</v>
      </c>
      <c r="X143" s="3" t="str">
        <f t="shared" si="101"/>
        <v>U</v>
      </c>
      <c r="Z143" s="3">
        <v>55</v>
      </c>
      <c r="AA143" s="3" t="str">
        <f t="shared" si="91"/>
        <v>SAS/MEM</v>
      </c>
    </row>
    <row r="144" spans="1:27" ht="17.100000000000001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I144" s="3"/>
      <c r="J144" s="3">
        <v>30</v>
      </c>
      <c r="K144" s="3">
        <v>28</v>
      </c>
      <c r="L144" s="3">
        <v>32</v>
      </c>
      <c r="M144" s="3">
        <v>32</v>
      </c>
      <c r="N144" s="3"/>
      <c r="O144" s="3">
        <f t="shared" si="92"/>
        <v>116</v>
      </c>
      <c r="P144" s="3">
        <f t="shared" si="93"/>
        <v>122</v>
      </c>
      <c r="Q144" s="3" t="str">
        <f t="shared" si="94"/>
        <v>HL</v>
      </c>
      <c r="R144" s="3" t="str">
        <f t="shared" si="95"/>
        <v>HW</v>
      </c>
      <c r="S144" s="3" t="str">
        <f t="shared" si="96"/>
        <v>HL</v>
      </c>
      <c r="T144" s="3" t="str">
        <f t="shared" si="97"/>
        <v>HW</v>
      </c>
      <c r="U144" s="3" t="str">
        <f t="shared" si="98"/>
        <v>U</v>
      </c>
      <c r="V144" s="3" t="str">
        <f t="shared" si="99"/>
        <v>U</v>
      </c>
      <c r="W144" s="3" t="str">
        <f t="shared" si="100"/>
        <v>U</v>
      </c>
      <c r="X144" s="3" t="str">
        <f t="shared" si="101"/>
        <v>O</v>
      </c>
      <c r="Z144" s="3">
        <v>62.5</v>
      </c>
      <c r="AA144" s="3" t="str">
        <f t="shared" si="91"/>
        <v>NO/HOU</v>
      </c>
    </row>
    <row r="145" spans="1:27" ht="17.100000000000001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I145" s="3"/>
      <c r="J145" s="3">
        <v>34</v>
      </c>
      <c r="K145" s="3">
        <v>35</v>
      </c>
      <c r="L145" s="3">
        <v>28</v>
      </c>
      <c r="M145" s="3">
        <v>25</v>
      </c>
      <c r="N145" s="3"/>
      <c r="O145" s="3">
        <f t="shared" si="92"/>
        <v>108</v>
      </c>
      <c r="P145" s="3">
        <f t="shared" si="93"/>
        <v>122</v>
      </c>
      <c r="Q145" s="3" t="str">
        <f t="shared" si="94"/>
        <v>HL</v>
      </c>
      <c r="R145" s="3" t="str">
        <f t="shared" si="95"/>
        <v>HL</v>
      </c>
      <c r="S145" s="3" t="str">
        <f t="shared" si="96"/>
        <v>HW</v>
      </c>
      <c r="T145" s="3" t="str">
        <f t="shared" si="97"/>
        <v>HL</v>
      </c>
      <c r="U145" s="3" t="str">
        <f t="shared" si="98"/>
        <v>O</v>
      </c>
      <c r="V145" s="3" t="str">
        <f t="shared" si="99"/>
        <v>O</v>
      </c>
      <c r="W145" s="3" t="str">
        <f t="shared" si="100"/>
        <v>O</v>
      </c>
      <c r="X145" s="3" t="str">
        <f t="shared" si="101"/>
        <v>U</v>
      </c>
      <c r="Z145" s="3">
        <v>51.5</v>
      </c>
      <c r="AA145" s="3" t="str">
        <f t="shared" si="91"/>
        <v>GS/UTA</v>
      </c>
    </row>
    <row r="146" spans="1:27" ht="17.100000000000001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I146" s="3"/>
      <c r="J146" s="3">
        <v>23</v>
      </c>
      <c r="K146" s="3">
        <v>23</v>
      </c>
      <c r="L146" s="3">
        <v>32</v>
      </c>
      <c r="M146" s="3">
        <v>10</v>
      </c>
      <c r="N146" s="3"/>
      <c r="O146" s="3">
        <f t="shared" si="92"/>
        <v>98</v>
      </c>
      <c r="P146" s="3">
        <f t="shared" si="93"/>
        <v>88</v>
      </c>
      <c r="Q146" s="3" t="str">
        <f t="shared" si="94"/>
        <v>HL</v>
      </c>
      <c r="R146" s="3" t="str">
        <f t="shared" si="95"/>
        <v>HW</v>
      </c>
      <c r="S146" s="3" t="str">
        <f t="shared" si="96"/>
        <v>HL</v>
      </c>
      <c r="T146" s="3" t="str">
        <f t="shared" si="97"/>
        <v>HW</v>
      </c>
      <c r="U146" s="3" t="str">
        <f t="shared" si="98"/>
        <v>U</v>
      </c>
      <c r="V146" s="3" t="str">
        <f t="shared" si="99"/>
        <v>O</v>
      </c>
      <c r="W146" s="3" t="str">
        <f t="shared" si="100"/>
        <v>U</v>
      </c>
      <c r="X146" s="3" t="str">
        <f t="shared" si="101"/>
        <v>U</v>
      </c>
      <c r="Z146" s="3">
        <v>57</v>
      </c>
      <c r="AA146" s="3" t="str">
        <f t="shared" si="91"/>
        <v>LAC/TOR</v>
      </c>
    </row>
    <row r="147" spans="1:27" ht="17.100000000000001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I147" s="3"/>
      <c r="J147" s="3">
        <v>25</v>
      </c>
      <c r="K147" s="3">
        <v>17</v>
      </c>
      <c r="L147" s="3">
        <v>20</v>
      </c>
      <c r="M147" s="3">
        <v>23</v>
      </c>
      <c r="N147" s="3"/>
      <c r="O147" s="3">
        <f t="shared" ref="O147:O167" si="102">SUM(E147:I147)</f>
        <v>111</v>
      </c>
      <c r="P147" s="3">
        <f t="shared" ref="P147:P167" si="103">SUM(J147:N147)</f>
        <v>85</v>
      </c>
      <c r="Q147" s="3" t="str">
        <f t="shared" ref="Q147:Q167" si="104">IF(E147=J147,"TT",IF(E147&gt;J147,"HW","HL"))</f>
        <v>HW</v>
      </c>
      <c r="R147" s="3" t="str">
        <f t="shared" ref="R147:R167" si="105">IF(F147=K147,"TT",IF(F147&gt;K147,"HW","HL"))</f>
        <v>HW</v>
      </c>
      <c r="S147" s="3" t="str">
        <f t="shared" ref="S147:S167" si="106">IF(G147=L147,"TT",IF(G147&gt;L147,"HW","HL"))</f>
        <v>HW</v>
      </c>
      <c r="T147" s="3" t="str">
        <f t="shared" ref="T147:T167" si="107">IF(H147=M147,"TT",IF(H147&gt;M147,"HW","HL"))</f>
        <v>HW</v>
      </c>
      <c r="U147" s="3" t="str">
        <f t="shared" ref="U147:U167" si="108">IF(SUM(E147,J147)=$Z147,"T",IF(SUM(E147,J147)&gt;$Z147,"O","U"))</f>
        <v>O</v>
      </c>
      <c r="V147" s="3" t="str">
        <f t="shared" ref="V147:V167" si="109">IF(SUM(F147,K147)=$Z147,"T",IF(SUM(F147,K147)&gt;$Z147,"O","U"))</f>
        <v>U</v>
      </c>
      <c r="W147" s="3" t="str">
        <f t="shared" ref="W147:W167" si="110">IF(SUM(G147,L147)=$Z147,"T",IF(SUM(G147,L147)&gt;$Z147,"O","U"))</f>
        <v>U</v>
      </c>
      <c r="X147" s="3" t="str">
        <f t="shared" ref="X147:X167" si="111">IF(SUM(H147,M147)=$Z147,"T",IF(SUM(H147,M147)&gt;$Z147,"O","U"))</f>
        <v>U</v>
      </c>
      <c r="Y147" s="3"/>
      <c r="Z147" s="3">
        <v>54.5</v>
      </c>
      <c r="AA147" s="3" t="str">
        <f t="shared" ref="AA147:AA175" si="112">C147&amp;"/"&amp;D147</f>
        <v>IND/OKC</v>
      </c>
    </row>
    <row r="148" spans="1:27" ht="17.100000000000001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I148" s="3"/>
      <c r="J148" s="3">
        <v>21</v>
      </c>
      <c r="K148" s="3">
        <v>27</v>
      </c>
      <c r="L148" s="3">
        <v>30</v>
      </c>
      <c r="M148" s="3">
        <v>19</v>
      </c>
      <c r="N148" s="3"/>
      <c r="O148" s="3">
        <f t="shared" si="102"/>
        <v>98</v>
      </c>
      <c r="P148" s="3">
        <f t="shared" si="103"/>
        <v>97</v>
      </c>
      <c r="Q148" s="3" t="str">
        <f t="shared" si="104"/>
        <v>HW</v>
      </c>
      <c r="R148" s="3" t="str">
        <f t="shared" si="105"/>
        <v>HW</v>
      </c>
      <c r="S148" s="3" t="str">
        <f t="shared" si="106"/>
        <v>HL</v>
      </c>
      <c r="T148" s="3" t="str">
        <f t="shared" si="107"/>
        <v>HL</v>
      </c>
      <c r="U148" s="3" t="str">
        <f t="shared" si="108"/>
        <v>U</v>
      </c>
      <c r="V148" s="3" t="str">
        <f t="shared" si="109"/>
        <v>O</v>
      </c>
      <c r="W148" s="3" t="str">
        <f t="shared" si="110"/>
        <v>O</v>
      </c>
      <c r="X148" s="3" t="str">
        <f t="shared" si="111"/>
        <v>U</v>
      </c>
      <c r="Y148" s="3"/>
      <c r="Z148" s="3">
        <v>53.5</v>
      </c>
      <c r="AA148" s="3" t="str">
        <f t="shared" si="112"/>
        <v>PHI/CLE</v>
      </c>
    </row>
    <row r="149" spans="1:27" ht="17.100000000000001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I149" s="3"/>
      <c r="J149" s="3">
        <v>17</v>
      </c>
      <c r="K149" s="3">
        <v>20</v>
      </c>
      <c r="L149" s="3">
        <v>35</v>
      </c>
      <c r="M149" s="3">
        <v>36</v>
      </c>
      <c r="N149" s="3"/>
      <c r="O149" s="3">
        <f t="shared" si="102"/>
        <v>117</v>
      </c>
      <c r="P149" s="3">
        <f t="shared" si="103"/>
        <v>108</v>
      </c>
      <c r="Q149" s="3" t="str">
        <f t="shared" si="104"/>
        <v>HW</v>
      </c>
      <c r="R149" s="3" t="str">
        <f t="shared" si="105"/>
        <v>HW</v>
      </c>
      <c r="S149" s="3" t="str">
        <f t="shared" si="106"/>
        <v>HL</v>
      </c>
      <c r="T149" s="3" t="str">
        <f t="shared" si="107"/>
        <v>HL</v>
      </c>
      <c r="U149" s="3" t="str">
        <f t="shared" si="108"/>
        <v>U</v>
      </c>
      <c r="V149" s="3" t="str">
        <f t="shared" si="109"/>
        <v>U</v>
      </c>
      <c r="W149" s="3" t="str">
        <f t="shared" si="110"/>
        <v>O</v>
      </c>
      <c r="X149" s="3" t="str">
        <f t="shared" si="111"/>
        <v>O</v>
      </c>
      <c r="Y149" s="3"/>
      <c r="Z149" s="3">
        <v>55</v>
      </c>
      <c r="AA149" s="3" t="str">
        <f t="shared" si="112"/>
        <v>MIA/DET</v>
      </c>
    </row>
    <row r="150" spans="1:27" ht="17.100000000000001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I150" s="3"/>
      <c r="J150" s="3">
        <v>22</v>
      </c>
      <c r="K150" s="3">
        <v>32</v>
      </c>
      <c r="L150" s="3">
        <v>31</v>
      </c>
      <c r="M150" s="3">
        <v>17</v>
      </c>
      <c r="N150" s="3"/>
      <c r="O150" s="3">
        <f t="shared" si="102"/>
        <v>120</v>
      </c>
      <c r="P150" s="3">
        <f t="shared" si="103"/>
        <v>102</v>
      </c>
      <c r="Q150" s="3" t="str">
        <f t="shared" si="104"/>
        <v>HW</v>
      </c>
      <c r="R150" s="3" t="str">
        <f t="shared" si="105"/>
        <v>HL</v>
      </c>
      <c r="S150" s="3" t="str">
        <f t="shared" si="106"/>
        <v>HL</v>
      </c>
      <c r="T150" s="3" t="str">
        <f t="shared" si="107"/>
        <v>HW</v>
      </c>
      <c r="U150" s="3" t="str">
        <f t="shared" si="108"/>
        <v>U</v>
      </c>
      <c r="V150" s="3" t="str">
        <f t="shared" si="109"/>
        <v>O</v>
      </c>
      <c r="W150" s="3" t="str">
        <f t="shared" si="110"/>
        <v>O</v>
      </c>
      <c r="X150" s="3" t="str">
        <f t="shared" si="111"/>
        <v>U</v>
      </c>
      <c r="Y150" s="3"/>
      <c r="Z150" s="3">
        <v>54.5</v>
      </c>
      <c r="AA150" s="3" t="str">
        <f t="shared" si="112"/>
        <v>CHI/NYK</v>
      </c>
    </row>
    <row r="151" spans="1:27" ht="17.100000000000001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I151" s="3"/>
      <c r="J151" s="3">
        <v>25</v>
      </c>
      <c r="K151" s="3">
        <v>38</v>
      </c>
      <c r="L151" s="3">
        <v>35</v>
      </c>
      <c r="M151" s="3">
        <v>27</v>
      </c>
      <c r="N151" s="3"/>
      <c r="O151" s="3">
        <f t="shared" si="102"/>
        <v>121</v>
      </c>
      <c r="P151" s="3">
        <f t="shared" si="103"/>
        <v>125</v>
      </c>
      <c r="Q151" s="3" t="str">
        <f t="shared" si="104"/>
        <v>HW</v>
      </c>
      <c r="R151" s="3" t="str">
        <f t="shared" si="105"/>
        <v>HL</v>
      </c>
      <c r="S151" s="3" t="str">
        <f t="shared" si="106"/>
        <v>TT</v>
      </c>
      <c r="T151" s="3" t="str">
        <f t="shared" si="107"/>
        <v>HW</v>
      </c>
      <c r="U151" s="3" t="str">
        <f t="shared" si="108"/>
        <v>O</v>
      </c>
      <c r="V151" s="3" t="str">
        <f t="shared" si="109"/>
        <v>O</v>
      </c>
      <c r="W151" s="3" t="str">
        <f t="shared" si="110"/>
        <v>O</v>
      </c>
      <c r="X151" s="3" t="str">
        <f t="shared" si="111"/>
        <v>O</v>
      </c>
      <c r="Y151" s="3"/>
      <c r="Z151" s="3">
        <v>53.5</v>
      </c>
      <c r="AA151" s="3" t="str">
        <f t="shared" si="112"/>
        <v>DEN/ATL</v>
      </c>
    </row>
    <row r="152" spans="1:27" ht="17.100000000000001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I152" s="3"/>
      <c r="J152" s="3">
        <v>26</v>
      </c>
      <c r="K152" s="3">
        <v>34</v>
      </c>
      <c r="L152" s="3">
        <v>35</v>
      </c>
      <c r="M152" s="3">
        <v>28</v>
      </c>
      <c r="N152" s="3"/>
      <c r="O152" s="3">
        <f t="shared" si="102"/>
        <v>115</v>
      </c>
      <c r="P152" s="3">
        <f t="shared" si="103"/>
        <v>123</v>
      </c>
      <c r="Q152" s="3" t="str">
        <f t="shared" si="104"/>
        <v>HW</v>
      </c>
      <c r="R152" s="3" t="str">
        <f t="shared" si="105"/>
        <v>HL</v>
      </c>
      <c r="S152" s="3" t="str">
        <f t="shared" si="106"/>
        <v>HL</v>
      </c>
      <c r="T152" s="3" t="str">
        <f t="shared" si="107"/>
        <v>HL</v>
      </c>
      <c r="U152" s="3" t="str">
        <f t="shared" si="108"/>
        <v>U</v>
      </c>
      <c r="V152" s="3" t="str">
        <f t="shared" si="109"/>
        <v>O</v>
      </c>
      <c r="W152" s="3" t="str">
        <f t="shared" si="110"/>
        <v>O</v>
      </c>
      <c r="X152" s="3" t="str">
        <f t="shared" si="111"/>
        <v>U</v>
      </c>
      <c r="Y152" s="3"/>
      <c r="Z152" s="3">
        <v>56.5</v>
      </c>
      <c r="AA152" s="3" t="str">
        <f t="shared" si="112"/>
        <v>PHO/LAL</v>
      </c>
    </row>
    <row r="153" spans="1:27" ht="17.100000000000001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I153" s="3"/>
      <c r="J153" s="3">
        <v>35</v>
      </c>
      <c r="K153" s="3">
        <v>33</v>
      </c>
      <c r="L153" s="3">
        <v>24</v>
      </c>
      <c r="M153" s="3">
        <v>22</v>
      </c>
      <c r="N153" s="3"/>
      <c r="O153" s="3">
        <f t="shared" si="102"/>
        <v>119</v>
      </c>
      <c r="P153" s="3">
        <f t="shared" si="103"/>
        <v>114</v>
      </c>
      <c r="Q153" s="3" t="str">
        <f t="shared" si="104"/>
        <v>HL</v>
      </c>
      <c r="R153" s="3" t="str">
        <f t="shared" si="105"/>
        <v>HL</v>
      </c>
      <c r="S153" s="3" t="str">
        <f t="shared" si="106"/>
        <v>HW</v>
      </c>
      <c r="T153" s="3" t="str">
        <f t="shared" si="107"/>
        <v>HW</v>
      </c>
      <c r="U153" s="3" t="str">
        <f t="shared" si="108"/>
        <v>O</v>
      </c>
      <c r="V153" s="3" t="str">
        <f t="shared" si="109"/>
        <v>O</v>
      </c>
      <c r="W153" s="3" t="str">
        <f t="shared" si="110"/>
        <v>O</v>
      </c>
      <c r="X153" s="3" t="str">
        <f t="shared" si="111"/>
        <v>O</v>
      </c>
      <c r="Y153" s="3"/>
      <c r="Z153" s="3">
        <v>53</v>
      </c>
      <c r="AA153" s="3" t="str">
        <f t="shared" si="112"/>
        <v>UTA/BKN</v>
      </c>
    </row>
    <row r="154" spans="1:27" ht="17.100000000000001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I154" s="3"/>
      <c r="J154" s="3">
        <v>24</v>
      </c>
      <c r="K154" s="3">
        <v>25</v>
      </c>
      <c r="L154" s="3">
        <v>21</v>
      </c>
      <c r="M154" s="3">
        <v>29</v>
      </c>
      <c r="N154" s="3"/>
      <c r="O154" s="3">
        <f t="shared" si="102"/>
        <v>107</v>
      </c>
      <c r="P154" s="3">
        <f t="shared" si="103"/>
        <v>99</v>
      </c>
      <c r="Q154" s="3" t="str">
        <f t="shared" si="104"/>
        <v>HL</v>
      </c>
      <c r="R154" s="3" t="str">
        <f t="shared" si="105"/>
        <v>TT</v>
      </c>
      <c r="S154" s="3" t="str">
        <f t="shared" si="106"/>
        <v>HW</v>
      </c>
      <c r="T154" s="3" t="str">
        <f t="shared" si="107"/>
        <v>HL</v>
      </c>
      <c r="U154" s="3" t="str">
        <f t="shared" si="108"/>
        <v>U</v>
      </c>
      <c r="V154" s="3" t="str">
        <f t="shared" si="109"/>
        <v>U</v>
      </c>
      <c r="W154" s="3" t="str">
        <f t="shared" si="110"/>
        <v>O</v>
      </c>
      <c r="X154" s="3" t="str">
        <f t="shared" si="111"/>
        <v>O</v>
      </c>
      <c r="Y154" s="3"/>
      <c r="Z154" s="3">
        <v>54.5</v>
      </c>
      <c r="AA154" s="3" t="str">
        <f t="shared" si="112"/>
        <v>SAC/POR</v>
      </c>
    </row>
    <row r="155" spans="1:27" ht="17.100000000000001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I155" s="3"/>
      <c r="J155" s="3">
        <v>30</v>
      </c>
      <c r="K155" s="3">
        <v>23</v>
      </c>
      <c r="L155" s="3">
        <v>29</v>
      </c>
      <c r="M155" s="3">
        <v>15</v>
      </c>
      <c r="O155" s="3">
        <f t="shared" si="102"/>
        <v>112</v>
      </c>
      <c r="P155" s="3">
        <f t="shared" si="103"/>
        <v>97</v>
      </c>
      <c r="Q155" s="3" t="str">
        <f t="shared" si="104"/>
        <v>HW</v>
      </c>
      <c r="R155" s="3" t="str">
        <f t="shared" si="105"/>
        <v>HL</v>
      </c>
      <c r="S155" s="3" t="str">
        <f t="shared" si="106"/>
        <v>HL</v>
      </c>
      <c r="T155" s="3" t="str">
        <f t="shared" si="107"/>
        <v>HW</v>
      </c>
      <c r="U155" s="3" t="str">
        <f t="shared" si="108"/>
        <v>O</v>
      </c>
      <c r="V155" s="3" t="str">
        <f t="shared" si="109"/>
        <v>U</v>
      </c>
      <c r="W155" s="3" t="str">
        <f t="shared" si="110"/>
        <v>O</v>
      </c>
      <c r="X155" s="3" t="str">
        <f t="shared" si="111"/>
        <v>U</v>
      </c>
      <c r="Y155" s="3"/>
      <c r="Z155" s="3">
        <v>50.5</v>
      </c>
      <c r="AA155" s="3" t="str">
        <f t="shared" si="112"/>
        <v>ORL/PHI</v>
      </c>
    </row>
    <row r="156" spans="1:27" ht="17.100000000000001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I156" s="3"/>
      <c r="J156" s="3">
        <v>26</v>
      </c>
      <c r="K156" s="3">
        <v>37</v>
      </c>
      <c r="L156" s="3">
        <v>31</v>
      </c>
      <c r="M156" s="3">
        <v>25</v>
      </c>
      <c r="O156" s="3">
        <f t="shared" si="102"/>
        <v>117</v>
      </c>
      <c r="P156" s="3">
        <f t="shared" si="103"/>
        <v>119</v>
      </c>
      <c r="Q156" s="3" t="str">
        <f t="shared" si="104"/>
        <v>HW</v>
      </c>
      <c r="R156" s="3" t="str">
        <f t="shared" si="105"/>
        <v>HL</v>
      </c>
      <c r="S156" s="3" t="str">
        <f t="shared" si="106"/>
        <v>HW</v>
      </c>
      <c r="T156" s="3" t="str">
        <f t="shared" si="107"/>
        <v>HL</v>
      </c>
      <c r="U156" s="3" t="str">
        <f t="shared" si="108"/>
        <v>O</v>
      </c>
      <c r="V156" s="3" t="str">
        <f t="shared" si="109"/>
        <v>O</v>
      </c>
      <c r="W156" s="3" t="str">
        <f t="shared" si="110"/>
        <v>O</v>
      </c>
      <c r="X156" s="3" t="str">
        <f t="shared" si="111"/>
        <v>U</v>
      </c>
      <c r="Y156" s="3"/>
      <c r="Z156" s="3">
        <v>54.5</v>
      </c>
      <c r="AA156" s="3" t="str">
        <f t="shared" si="112"/>
        <v>CHA/MEM</v>
      </c>
    </row>
    <row r="157" spans="1:27" ht="17.100000000000001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I157" s="3"/>
      <c r="J157" s="3">
        <v>34</v>
      </c>
      <c r="K157" s="3">
        <v>32</v>
      </c>
      <c r="L157" s="3">
        <v>30</v>
      </c>
      <c r="M157" s="3">
        <v>37</v>
      </c>
      <c r="O157" s="3">
        <f t="shared" si="102"/>
        <v>140</v>
      </c>
      <c r="P157" s="3">
        <f t="shared" si="103"/>
        <v>133</v>
      </c>
      <c r="Q157" s="3" t="str">
        <f t="shared" si="104"/>
        <v>TT</v>
      </c>
      <c r="R157" s="3" t="str">
        <f t="shared" si="105"/>
        <v>HW</v>
      </c>
      <c r="S157" s="3" t="str">
        <f t="shared" si="106"/>
        <v>HW</v>
      </c>
      <c r="T157" s="3" t="str">
        <f t="shared" si="107"/>
        <v>HW</v>
      </c>
      <c r="U157" s="3" t="str">
        <f t="shared" si="108"/>
        <v>O</v>
      </c>
      <c r="V157" s="3" t="str">
        <f t="shared" si="109"/>
        <v>O</v>
      </c>
      <c r="W157" s="3" t="str">
        <f t="shared" si="110"/>
        <v>O</v>
      </c>
      <c r="X157" s="3" t="str">
        <f t="shared" si="111"/>
        <v>O</v>
      </c>
      <c r="Y157" s="3"/>
      <c r="Z157" s="3">
        <v>58.5</v>
      </c>
      <c r="AA157" s="3" t="str">
        <f t="shared" si="112"/>
        <v>BOS/WAS</v>
      </c>
    </row>
    <row r="158" spans="1:27" ht="17.100000000000001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I158" s="3"/>
      <c r="J158" s="3">
        <v>15</v>
      </c>
      <c r="K158" s="3">
        <v>22</v>
      </c>
      <c r="L158" s="3">
        <v>31</v>
      </c>
      <c r="M158" s="3">
        <v>25</v>
      </c>
      <c r="O158" s="3">
        <f t="shared" si="102"/>
        <v>102</v>
      </c>
      <c r="P158" s="3">
        <f t="shared" si="103"/>
        <v>93</v>
      </c>
      <c r="Q158" s="3" t="str">
        <f t="shared" si="104"/>
        <v>HW</v>
      </c>
      <c r="R158" s="3" t="str">
        <f t="shared" si="105"/>
        <v>HL</v>
      </c>
      <c r="S158" s="3" t="str">
        <f t="shared" si="106"/>
        <v>HL</v>
      </c>
      <c r="T158" s="3" t="str">
        <f t="shared" si="107"/>
        <v>HW</v>
      </c>
      <c r="U158" s="3" t="str">
        <f t="shared" si="108"/>
        <v>U</v>
      </c>
      <c r="V158" s="3" t="str">
        <f t="shared" si="109"/>
        <v>U</v>
      </c>
      <c r="W158" s="3" t="str">
        <f t="shared" si="110"/>
        <v>U</v>
      </c>
      <c r="X158" s="3" t="str">
        <f t="shared" si="111"/>
        <v>U</v>
      </c>
      <c r="Y158" s="3"/>
      <c r="Z158" s="3">
        <v>60</v>
      </c>
      <c r="AA158" s="3" t="str">
        <f t="shared" si="112"/>
        <v>HOU/LAC</v>
      </c>
    </row>
    <row r="159" spans="1:27" ht="17.100000000000001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I159" s="3"/>
      <c r="J159" s="3">
        <v>24</v>
      </c>
      <c r="K159" s="3">
        <v>35</v>
      </c>
      <c r="L159" s="3">
        <v>36</v>
      </c>
      <c r="M159" s="3">
        <v>19</v>
      </c>
      <c r="O159" s="3">
        <f t="shared" si="102"/>
        <v>129</v>
      </c>
      <c r="P159" s="3">
        <f t="shared" si="103"/>
        <v>114</v>
      </c>
      <c r="Q159" s="3" t="str">
        <f t="shared" si="104"/>
        <v>HW</v>
      </c>
      <c r="R159" s="3" t="str">
        <f t="shared" si="105"/>
        <v>HW</v>
      </c>
      <c r="S159" s="3" t="str">
        <f t="shared" si="106"/>
        <v>HW</v>
      </c>
      <c r="T159" s="3" t="str">
        <f t="shared" si="107"/>
        <v>HW</v>
      </c>
      <c r="U159" s="3" t="str">
        <f t="shared" si="108"/>
        <v>U</v>
      </c>
      <c r="V159" s="3" t="str">
        <f t="shared" si="109"/>
        <v>O</v>
      </c>
      <c r="W159" s="3" t="str">
        <f t="shared" si="110"/>
        <v>O</v>
      </c>
      <c r="X159" s="3" t="str">
        <f t="shared" si="111"/>
        <v>U</v>
      </c>
      <c r="Y159" s="3"/>
      <c r="Z159" s="3">
        <v>55.5</v>
      </c>
      <c r="AA159" s="3" t="str">
        <f t="shared" si="112"/>
        <v>MIN/SAS</v>
      </c>
    </row>
    <row r="160" spans="1:27" ht="17.100000000000001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I160" s="3"/>
      <c r="J160" s="3">
        <v>26</v>
      </c>
      <c r="K160" s="3">
        <v>29</v>
      </c>
      <c r="L160" s="3">
        <v>27</v>
      </c>
      <c r="M160" s="3">
        <v>12</v>
      </c>
      <c r="O160" s="3">
        <f t="shared" si="102"/>
        <v>120</v>
      </c>
      <c r="P160" s="3">
        <f t="shared" si="103"/>
        <v>94</v>
      </c>
      <c r="Q160" s="3" t="str">
        <f t="shared" si="104"/>
        <v>HW</v>
      </c>
      <c r="R160" s="3" t="str">
        <f t="shared" si="105"/>
        <v>TT</v>
      </c>
      <c r="S160" s="3" t="str">
        <f t="shared" si="106"/>
        <v>HW</v>
      </c>
      <c r="T160" s="3" t="str">
        <f t="shared" si="107"/>
        <v>HW</v>
      </c>
      <c r="U160" s="3" t="str">
        <f t="shared" si="108"/>
        <v>O</v>
      </c>
      <c r="V160" s="3" t="str">
        <f t="shared" si="109"/>
        <v>O</v>
      </c>
      <c r="W160" s="3" t="str">
        <f t="shared" si="110"/>
        <v>O</v>
      </c>
      <c r="X160" s="3" t="str">
        <f t="shared" si="111"/>
        <v>U</v>
      </c>
      <c r="Y160" s="3"/>
      <c r="Z160" s="3">
        <v>56</v>
      </c>
      <c r="AA160" s="3" t="str">
        <f t="shared" si="112"/>
        <v>LAL/GS</v>
      </c>
    </row>
    <row r="161" spans="1:27" ht="17.100000000000001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I161" s="3"/>
      <c r="J161" s="3">
        <v>23</v>
      </c>
      <c r="K161" s="3">
        <v>31</v>
      </c>
      <c r="L161" s="3">
        <v>33</v>
      </c>
      <c r="M161" s="3">
        <v>27</v>
      </c>
      <c r="O161" s="3">
        <f t="shared" si="102"/>
        <v>106</v>
      </c>
      <c r="P161" s="3">
        <f t="shared" si="103"/>
        <v>114</v>
      </c>
      <c r="Q161" s="3" t="str">
        <f t="shared" si="104"/>
        <v>HW</v>
      </c>
      <c r="R161" s="3" t="str">
        <f t="shared" si="105"/>
        <v>HL</v>
      </c>
      <c r="S161" s="3" t="str">
        <f t="shared" si="106"/>
        <v>HL</v>
      </c>
      <c r="T161" s="3" t="str">
        <f t="shared" si="107"/>
        <v>HW</v>
      </c>
      <c r="U161" s="3" t="str">
        <f t="shared" si="108"/>
        <v>U</v>
      </c>
      <c r="V161" s="3" t="str">
        <f t="shared" si="109"/>
        <v>U</v>
      </c>
      <c r="W161" s="3" t="str">
        <f t="shared" si="110"/>
        <v>O</v>
      </c>
      <c r="X161" s="3" t="str">
        <f t="shared" si="111"/>
        <v>U</v>
      </c>
      <c r="Y161" s="3"/>
      <c r="Z161" s="3">
        <v>56.5</v>
      </c>
      <c r="AA161" s="3" t="str">
        <f t="shared" si="112"/>
        <v>POR/TOR</v>
      </c>
    </row>
    <row r="162" spans="1:27" ht="17.100000000000001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3">
        <f t="shared" si="102"/>
        <v>97</v>
      </c>
      <c r="P162" s="3">
        <f t="shared" si="103"/>
        <v>108</v>
      </c>
      <c r="Q162" s="3" t="str">
        <f t="shared" si="104"/>
        <v>HL</v>
      </c>
      <c r="R162" s="3" t="str">
        <f t="shared" si="105"/>
        <v>HL</v>
      </c>
      <c r="S162" s="3" t="str">
        <f t="shared" si="106"/>
        <v>HW</v>
      </c>
      <c r="T162" s="3" t="str">
        <f t="shared" si="107"/>
        <v>HW</v>
      </c>
      <c r="U162" s="3" t="str">
        <f t="shared" si="108"/>
        <v>O</v>
      </c>
      <c r="V162" s="3" t="str">
        <f t="shared" si="109"/>
        <v>O</v>
      </c>
      <c r="W162" s="3" t="str">
        <f t="shared" si="110"/>
        <v>O</v>
      </c>
      <c r="X162" s="3" t="str">
        <f t="shared" si="111"/>
        <v>U</v>
      </c>
      <c r="Y162" s="3"/>
      <c r="Z162" s="12">
        <v>55.5</v>
      </c>
      <c r="AA162" s="3" t="str">
        <f t="shared" si="112"/>
        <v>CLE/MIA</v>
      </c>
    </row>
    <row r="163" spans="1:27" ht="17.100000000000001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3">
        <f t="shared" si="102"/>
        <v>132</v>
      </c>
      <c r="P163" s="3">
        <f t="shared" si="103"/>
        <v>127</v>
      </c>
      <c r="Q163" s="3" t="str">
        <f t="shared" si="104"/>
        <v>HL</v>
      </c>
      <c r="R163" s="3" t="str">
        <f t="shared" si="105"/>
        <v>HW</v>
      </c>
      <c r="S163" s="3" t="str">
        <f t="shared" si="106"/>
        <v>HL</v>
      </c>
      <c r="T163" s="3" t="str">
        <f t="shared" si="107"/>
        <v>HW</v>
      </c>
      <c r="U163" s="3" t="str">
        <f t="shared" si="108"/>
        <v>O</v>
      </c>
      <c r="V163" s="3" t="str">
        <f t="shared" si="109"/>
        <v>O</v>
      </c>
      <c r="W163" s="3" t="str">
        <f t="shared" si="110"/>
        <v>O</v>
      </c>
      <c r="X163" s="3" t="str">
        <f t="shared" si="111"/>
        <v>O</v>
      </c>
      <c r="Y163" s="3"/>
      <c r="Z163" s="12">
        <v>60</v>
      </c>
      <c r="AA163" s="3" t="str">
        <f t="shared" si="112"/>
        <v>NO/LAC</v>
      </c>
    </row>
    <row r="164" spans="1:27" ht="17.100000000000001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3">
        <f t="shared" si="102"/>
        <v>124</v>
      </c>
      <c r="P164" s="3">
        <f t="shared" si="103"/>
        <v>115</v>
      </c>
      <c r="Q164" s="3" t="str">
        <f t="shared" si="104"/>
        <v>HL</v>
      </c>
      <c r="R164" s="3" t="str">
        <f t="shared" si="105"/>
        <v>HW</v>
      </c>
      <c r="S164" s="3" t="str">
        <f t="shared" si="106"/>
        <v>HW</v>
      </c>
      <c r="T164" s="3" t="str">
        <f t="shared" si="107"/>
        <v>HL</v>
      </c>
      <c r="U164" s="3" t="str">
        <f t="shared" si="108"/>
        <v>O</v>
      </c>
      <c r="V164" s="3" t="str">
        <f t="shared" si="109"/>
        <v>O</v>
      </c>
      <c r="W164" s="3" t="str">
        <f t="shared" si="110"/>
        <v>U</v>
      </c>
      <c r="X164" s="3" t="str">
        <f t="shared" si="111"/>
        <v>T</v>
      </c>
      <c r="Y164" s="3"/>
      <c r="Z164" s="12">
        <v>56</v>
      </c>
      <c r="AA164" s="3" t="str">
        <f t="shared" si="112"/>
        <v>MIL/CHI</v>
      </c>
    </row>
    <row r="165" spans="1:27" ht="17.100000000000001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3">
        <f t="shared" si="102"/>
        <v>106</v>
      </c>
      <c r="P165" s="3">
        <f t="shared" si="103"/>
        <v>103</v>
      </c>
      <c r="Q165" s="3" t="str">
        <f t="shared" si="104"/>
        <v>HW</v>
      </c>
      <c r="R165" s="3" t="str">
        <f t="shared" si="105"/>
        <v>HW</v>
      </c>
      <c r="S165" s="3" t="str">
        <f t="shared" si="106"/>
        <v>HL</v>
      </c>
      <c r="T165" s="3" t="str">
        <f t="shared" si="107"/>
        <v>HW</v>
      </c>
      <c r="U165" s="3" t="str">
        <f t="shared" si="108"/>
        <v>U</v>
      </c>
      <c r="V165" s="3" t="str">
        <f t="shared" si="109"/>
        <v>O</v>
      </c>
      <c r="W165" s="3" t="str">
        <f t="shared" si="110"/>
        <v>O</v>
      </c>
      <c r="X165" s="3" t="str">
        <f t="shared" si="111"/>
        <v>U</v>
      </c>
      <c r="Y165" s="3"/>
      <c r="Z165" s="12">
        <v>55.5</v>
      </c>
      <c r="AA165" s="3" t="str">
        <f t="shared" si="112"/>
        <v>NYK/DAL</v>
      </c>
    </row>
    <row r="166" spans="1:27" ht="17.100000000000001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3">
        <f t="shared" si="102"/>
        <v>128</v>
      </c>
      <c r="P166" s="3">
        <f t="shared" si="103"/>
        <v>112</v>
      </c>
      <c r="Q166" s="3" t="str">
        <f t="shared" si="104"/>
        <v>HL</v>
      </c>
      <c r="R166" s="3" t="str">
        <f t="shared" si="105"/>
        <v>HW</v>
      </c>
      <c r="S166" s="3" t="str">
        <f t="shared" si="106"/>
        <v>HW</v>
      </c>
      <c r="T166" s="3" t="str">
        <f t="shared" si="107"/>
        <v>HW</v>
      </c>
      <c r="U166" s="3" t="str">
        <f t="shared" si="108"/>
        <v>O</v>
      </c>
      <c r="V166" s="3" t="str">
        <f t="shared" si="109"/>
        <v>O</v>
      </c>
      <c r="W166" s="3" t="str">
        <f t="shared" si="110"/>
        <v>O</v>
      </c>
      <c r="X166" s="3" t="str">
        <f t="shared" si="111"/>
        <v>U</v>
      </c>
      <c r="Y166" s="3"/>
      <c r="Z166" s="12">
        <v>59</v>
      </c>
      <c r="AA166" s="3" t="str">
        <f t="shared" si="112"/>
        <v>PHO/ATL</v>
      </c>
    </row>
    <row r="167" spans="1:27" ht="17.100000000000001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3">
        <f t="shared" si="102"/>
        <v>101</v>
      </c>
      <c r="P167" s="3">
        <f t="shared" si="103"/>
        <v>93</v>
      </c>
      <c r="Q167" s="3" t="str">
        <f t="shared" si="104"/>
        <v>HL</v>
      </c>
      <c r="R167" s="3" t="str">
        <f t="shared" si="105"/>
        <v>HL</v>
      </c>
      <c r="S167" s="3" t="str">
        <f t="shared" si="106"/>
        <v>HW</v>
      </c>
      <c r="T167" s="3" t="str">
        <f t="shared" si="107"/>
        <v>HW</v>
      </c>
      <c r="U167" s="3" t="str">
        <f t="shared" si="108"/>
        <v>O</v>
      </c>
      <c r="V167" s="3" t="str">
        <f t="shared" si="109"/>
        <v>U</v>
      </c>
      <c r="W167" s="3" t="str">
        <f t="shared" si="110"/>
        <v>U</v>
      </c>
      <c r="X167" s="3" t="str">
        <f t="shared" si="111"/>
        <v>U</v>
      </c>
      <c r="Y167" s="3"/>
      <c r="Z167" s="12">
        <v>54.5</v>
      </c>
      <c r="AA167" s="3" t="str">
        <f t="shared" si="112"/>
        <v>DEN/BKN</v>
      </c>
    </row>
    <row r="168" spans="1:27" ht="17.100000000000001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ref="O168:O175" si="113">SUM(E168:I168)</f>
        <v>111</v>
      </c>
      <c r="P168" s="12">
        <f t="shared" ref="P168:P175" si="114">SUM(J168:N168)</f>
        <v>109</v>
      </c>
      <c r="Q168" s="12" t="str">
        <f t="shared" ref="Q168:Q175" si="115">IF(E168=J168,"TT",IF(E168&gt;J168,"HW","HL"))</f>
        <v>HL</v>
      </c>
      <c r="R168" s="12" t="str">
        <f t="shared" ref="R168:R175" si="116">IF(F168=K168,"TT",IF(F168&gt;K168,"HW","HL"))</f>
        <v>HL</v>
      </c>
      <c r="S168" s="12" t="str">
        <f t="shared" ref="S168:S175" si="117">IF(G168=L168,"TT",IF(G168&gt;L168,"HW","HL"))</f>
        <v>HW</v>
      </c>
      <c r="T168" s="12" t="str">
        <f t="shared" ref="T168:T175" si="118">IF(H168=M168,"TT",IF(H168&gt;M168,"HW","HL"))</f>
        <v>HW</v>
      </c>
      <c r="U168" s="12" t="str">
        <f t="shared" ref="U168:U175" si="119">IF(SUM(E168,J168)=$Z168,"T",IF(SUM(E168,J168)&gt;$Z168,"O","U"))</f>
        <v>O</v>
      </c>
      <c r="V168" s="12" t="str">
        <f t="shared" ref="V168:V175" si="120">IF(SUM(F168,K168)=$Z168,"T",IF(SUM(F168,K168)&gt;$Z168,"O","U"))</f>
        <v>U</v>
      </c>
      <c r="W168" s="12" t="str">
        <f t="shared" ref="W168:W175" si="121">IF(SUM(G168,L168)=$Z168,"T",IF(SUM(G168,L168)&gt;$Z168,"O","U"))</f>
        <v>O</v>
      </c>
      <c r="X168" s="12" t="str">
        <f t="shared" ref="X168:X202" si="122">IF(SUM(H168,M168)=$Z168,"T",IF(SUM(H168,M168)&gt;$Z168,"O","U"))</f>
        <v>O</v>
      </c>
      <c r="Z168" s="12">
        <v>52</v>
      </c>
      <c r="AA168" s="12" t="str">
        <f t="shared" si="112"/>
        <v>ORL/SAS</v>
      </c>
    </row>
    <row r="169" spans="1:27" ht="17.100000000000001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113"/>
        <v>109</v>
      </c>
      <c r="P169" s="12">
        <f t="shared" si="114"/>
        <v>106</v>
      </c>
      <c r="Q169" s="12" t="str">
        <f t="shared" si="115"/>
        <v>HL</v>
      </c>
      <c r="R169" s="12" t="str">
        <f t="shared" si="116"/>
        <v>HL</v>
      </c>
      <c r="S169" s="12" t="str">
        <f t="shared" si="117"/>
        <v>HW</v>
      </c>
      <c r="T169" s="12" t="str">
        <f t="shared" si="118"/>
        <v>HW</v>
      </c>
      <c r="U169" s="12" t="str">
        <f t="shared" si="119"/>
        <v>O</v>
      </c>
      <c r="V169" s="12" t="str">
        <f t="shared" si="120"/>
        <v>U</v>
      </c>
      <c r="W169" s="12" t="str">
        <f t="shared" si="121"/>
        <v>U</v>
      </c>
      <c r="X169" s="12" t="str">
        <f t="shared" si="122"/>
        <v>U</v>
      </c>
      <c r="Z169" s="12">
        <v>56.5</v>
      </c>
      <c r="AA169" s="12" t="str">
        <f t="shared" si="112"/>
        <v>CHA/DET</v>
      </c>
    </row>
    <row r="170" spans="1:27" ht="17.100000000000001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113"/>
        <v>111</v>
      </c>
      <c r="P170" s="12">
        <f t="shared" si="114"/>
        <v>102</v>
      </c>
      <c r="Q170" s="12" t="str">
        <f t="shared" si="115"/>
        <v>HW</v>
      </c>
      <c r="R170" s="12" t="str">
        <f t="shared" si="116"/>
        <v>HW</v>
      </c>
      <c r="S170" s="12" t="str">
        <f t="shared" si="117"/>
        <v>HL</v>
      </c>
      <c r="T170" s="12" t="str">
        <f t="shared" si="118"/>
        <v>HW</v>
      </c>
      <c r="U170" s="12" t="str">
        <f t="shared" si="119"/>
        <v>U</v>
      </c>
      <c r="V170" s="12" t="str">
        <f t="shared" si="120"/>
        <v>U</v>
      </c>
      <c r="W170" s="12" t="str">
        <f t="shared" si="121"/>
        <v>U</v>
      </c>
      <c r="X170" s="12" t="str">
        <f t="shared" si="122"/>
        <v>U</v>
      </c>
      <c r="Z170" s="12">
        <v>58.5</v>
      </c>
      <c r="AA170" s="12" t="str">
        <f t="shared" si="112"/>
        <v>HOU/IND</v>
      </c>
    </row>
    <row r="171" spans="1:27" ht="17.100000000000001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113"/>
        <v>116</v>
      </c>
      <c r="P171" s="12">
        <f t="shared" si="114"/>
        <v>137</v>
      </c>
      <c r="Q171" s="12" t="str">
        <f t="shared" si="115"/>
        <v>HL</v>
      </c>
      <c r="R171" s="12" t="str">
        <f t="shared" si="116"/>
        <v>HW</v>
      </c>
      <c r="S171" s="12" t="str">
        <f t="shared" si="117"/>
        <v>HL</v>
      </c>
      <c r="T171" s="12" t="str">
        <f t="shared" si="118"/>
        <v>HL</v>
      </c>
      <c r="U171" s="12" t="str">
        <f t="shared" si="119"/>
        <v>O</v>
      </c>
      <c r="V171" s="12" t="str">
        <f t="shared" si="120"/>
        <v>O</v>
      </c>
      <c r="W171" s="12" t="str">
        <f t="shared" si="121"/>
        <v>U</v>
      </c>
      <c r="X171" s="12" t="str">
        <f t="shared" si="122"/>
        <v>U</v>
      </c>
      <c r="Z171" s="12">
        <v>61.5</v>
      </c>
      <c r="AA171" s="12" t="str">
        <f t="shared" si="112"/>
        <v>MIN/WAS</v>
      </c>
    </row>
    <row r="172" spans="1:27" ht="17.100000000000001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113"/>
        <v>127</v>
      </c>
      <c r="P172" s="12">
        <f t="shared" si="114"/>
        <v>119</v>
      </c>
      <c r="Q172" s="12" t="str">
        <f t="shared" si="115"/>
        <v>HL</v>
      </c>
      <c r="R172" s="12" t="str">
        <f t="shared" si="116"/>
        <v>HW</v>
      </c>
      <c r="S172" s="12" t="str">
        <f t="shared" si="117"/>
        <v>HL</v>
      </c>
      <c r="T172" s="12" t="str">
        <f t="shared" si="118"/>
        <v>HW</v>
      </c>
      <c r="U172" s="12" t="str">
        <f t="shared" si="119"/>
        <v>O</v>
      </c>
      <c r="V172" s="12" t="str">
        <f t="shared" si="120"/>
        <v>U</v>
      </c>
      <c r="W172" s="12" t="str">
        <f t="shared" si="121"/>
        <v>O</v>
      </c>
      <c r="X172" s="12" t="str">
        <f t="shared" si="122"/>
        <v>U</v>
      </c>
      <c r="Z172" s="12">
        <v>52.5</v>
      </c>
      <c r="AA172" s="12" t="str">
        <f t="shared" si="112"/>
        <v>OKC/PHI</v>
      </c>
    </row>
    <row r="173" spans="1:27" ht="17.100000000000001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113"/>
        <v>107</v>
      </c>
      <c r="P173" s="12">
        <f t="shared" si="114"/>
        <v>106</v>
      </c>
      <c r="Q173" s="12" t="str">
        <f t="shared" si="115"/>
        <v>HL</v>
      </c>
      <c r="R173" s="12" t="str">
        <f t="shared" si="116"/>
        <v>HW</v>
      </c>
      <c r="S173" s="12" t="str">
        <f t="shared" si="117"/>
        <v>HL</v>
      </c>
      <c r="T173" s="12" t="str">
        <f t="shared" si="118"/>
        <v>HW</v>
      </c>
      <c r="U173" s="12" t="str">
        <f t="shared" si="119"/>
        <v>U</v>
      </c>
      <c r="V173" s="12" t="str">
        <f t="shared" si="120"/>
        <v>U</v>
      </c>
      <c r="W173" s="12" t="str">
        <f t="shared" si="121"/>
        <v>O</v>
      </c>
      <c r="X173" s="12" t="str">
        <f t="shared" si="122"/>
        <v>O</v>
      </c>
      <c r="Z173" s="12">
        <v>53</v>
      </c>
      <c r="AA173" s="12" t="str">
        <f t="shared" si="112"/>
        <v>MEM/UTA</v>
      </c>
    </row>
    <row r="174" spans="1:27" ht="17.100000000000001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113"/>
        <v>100</v>
      </c>
      <c r="P174" s="12">
        <f t="shared" si="114"/>
        <v>105</v>
      </c>
      <c r="Q174" s="12" t="str">
        <f t="shared" si="115"/>
        <v>HW</v>
      </c>
      <c r="R174" s="12" t="str">
        <f t="shared" si="116"/>
        <v>HL</v>
      </c>
      <c r="S174" s="12" t="str">
        <f t="shared" si="117"/>
        <v>HL</v>
      </c>
      <c r="T174" s="12" t="str">
        <f t="shared" si="118"/>
        <v>TT</v>
      </c>
      <c r="U174" s="12" t="str">
        <f t="shared" si="119"/>
        <v>T</v>
      </c>
      <c r="V174" s="12" t="str">
        <f t="shared" si="120"/>
        <v>U</v>
      </c>
      <c r="W174" s="12" t="str">
        <f t="shared" si="121"/>
        <v>U</v>
      </c>
      <c r="X174" s="12" t="str">
        <f t="shared" si="122"/>
        <v>O</v>
      </c>
      <c r="Z174" s="12">
        <v>55</v>
      </c>
      <c r="AA174" s="12" t="str">
        <f t="shared" si="112"/>
        <v>GS/BOS</v>
      </c>
    </row>
    <row r="175" spans="1:27" ht="17.100000000000001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113"/>
        <v>99</v>
      </c>
      <c r="P175" s="12">
        <f t="shared" si="114"/>
        <v>97</v>
      </c>
      <c r="Q175" s="12" t="str">
        <f t="shared" si="115"/>
        <v>HL</v>
      </c>
      <c r="R175" s="12" t="str">
        <f t="shared" si="116"/>
        <v>HW</v>
      </c>
      <c r="S175" s="12" t="str">
        <f t="shared" si="117"/>
        <v>HW</v>
      </c>
      <c r="T175" s="12" t="str">
        <f t="shared" si="118"/>
        <v>HL</v>
      </c>
      <c r="U175" s="12" t="str">
        <f t="shared" si="119"/>
        <v>U</v>
      </c>
      <c r="V175" s="12" t="str">
        <f t="shared" si="120"/>
        <v>U</v>
      </c>
      <c r="W175" s="12" t="str">
        <f t="shared" si="121"/>
        <v>U</v>
      </c>
      <c r="X175" s="12" t="str">
        <f t="shared" si="122"/>
        <v>U</v>
      </c>
      <c r="Z175" s="12">
        <v>55.5</v>
      </c>
      <c r="AA175" s="12" t="str">
        <f t="shared" si="112"/>
        <v>LAL/SAC</v>
      </c>
    </row>
    <row r="176" spans="1:27" ht="17.100000000000001" x14ac:dyDescent="0.45">
      <c r="A176" s="12">
        <v>191117</v>
      </c>
      <c r="B176" s="1">
        <v>0.33333333333333331</v>
      </c>
      <c r="C176" s="12" t="s">
        <v>213</v>
      </c>
      <c r="D176" s="12" t="s">
        <v>214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123">SUM(E176:I176)</f>
        <v>111</v>
      </c>
      <c r="P176" s="12">
        <f t="shared" ref="P176:P202" si="124">SUM(J176:N176)</f>
        <v>117</v>
      </c>
      <c r="Q176" s="12" t="str">
        <f t="shared" ref="Q176:Q202" si="125">IF(E176=J176,"TT",IF(E176&gt;J176,"HW","HL"))</f>
        <v>HL</v>
      </c>
      <c r="R176" s="12" t="str">
        <f t="shared" ref="R176:R202" si="126">IF(F176=K176,"TT",IF(F176&gt;K176,"HW","HL"))</f>
        <v>HW</v>
      </c>
      <c r="S176" s="12" t="str">
        <f t="shared" ref="S176:S202" si="127">IF(G176=L176,"TT",IF(G176&gt;L176,"HW","HL"))</f>
        <v>HL</v>
      </c>
      <c r="T176" s="12" t="str">
        <f t="shared" ref="T176:T202" si="128">IF(H176=M176,"TT",IF(H176&gt;M176,"HW","HL"))</f>
        <v>HL</v>
      </c>
      <c r="U176" s="12" t="str">
        <f t="shared" ref="U176:U202" si="129">IF(SUM(E176,J176)=$Z176,"T",IF(SUM(E176,J176)&gt;$Z176,"O","U"))</f>
        <v>U</v>
      </c>
      <c r="V176" s="12" t="str">
        <f t="shared" ref="V176:V202" si="130">IF(SUM(F176,K176)=$Z176,"T",IF(SUM(F176,K176)&gt;$Z176,"O","U"))</f>
        <v>O</v>
      </c>
      <c r="W176" s="12" t="str">
        <f t="shared" ref="W176:W202" si="131">IF(SUM(G176,L176)=$Z176,"T",IF(SUM(G176,L176)&gt;$Z176,"O","U"))</f>
        <v>U</v>
      </c>
      <c r="X176" s="12" t="str">
        <f t="shared" si="122"/>
        <v>O</v>
      </c>
      <c r="Z176" s="12">
        <v>55</v>
      </c>
      <c r="AA176" s="12" t="str">
        <f t="shared" ref="AA176:AA239" si="132">C176&amp;"/"&amp;D176</f>
        <v>CHI/BKN</v>
      </c>
    </row>
    <row r="177" spans="1:27" ht="17.100000000000001" x14ac:dyDescent="0.45">
      <c r="A177" s="12">
        <v>191117</v>
      </c>
      <c r="B177" s="1">
        <v>0.375</v>
      </c>
      <c r="C177" s="12" t="s">
        <v>202</v>
      </c>
      <c r="D177" s="12" t="s">
        <v>215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123"/>
        <v>83</v>
      </c>
      <c r="P177" s="12">
        <f t="shared" si="124"/>
        <v>102</v>
      </c>
      <c r="Q177" s="12" t="str">
        <f t="shared" si="125"/>
        <v>HL</v>
      </c>
      <c r="R177" s="12" t="str">
        <f t="shared" si="126"/>
        <v>HL</v>
      </c>
      <c r="S177" s="12" t="str">
        <f t="shared" si="127"/>
        <v>HW</v>
      </c>
      <c r="T177" s="12" t="str">
        <f t="shared" si="128"/>
        <v>HL</v>
      </c>
      <c r="U177" s="12" t="str">
        <f t="shared" si="129"/>
        <v>U</v>
      </c>
      <c r="V177" s="12" t="str">
        <f t="shared" si="130"/>
        <v>U</v>
      </c>
      <c r="W177" s="12" t="str">
        <f t="shared" si="131"/>
        <v>U</v>
      </c>
      <c r="X177" s="12" t="str">
        <f t="shared" si="122"/>
        <v>U</v>
      </c>
      <c r="Z177" s="12">
        <v>54</v>
      </c>
      <c r="AA177" s="12" t="str">
        <f t="shared" si="132"/>
        <v>IND/MIL</v>
      </c>
    </row>
    <row r="178" spans="1:27" ht="17.100000000000001" x14ac:dyDescent="0.45">
      <c r="A178" s="12">
        <v>191117</v>
      </c>
      <c r="B178" s="1">
        <v>0.39583333333333331</v>
      </c>
      <c r="C178" s="12" t="s">
        <v>216</v>
      </c>
      <c r="D178" s="12" t="s">
        <v>199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123"/>
        <v>102</v>
      </c>
      <c r="P178" s="12">
        <f t="shared" si="124"/>
        <v>103</v>
      </c>
      <c r="Q178" s="12" t="str">
        <f t="shared" si="125"/>
        <v>HW</v>
      </c>
      <c r="R178" s="12" t="str">
        <f t="shared" si="126"/>
        <v>HW</v>
      </c>
      <c r="S178" s="12" t="str">
        <f t="shared" si="127"/>
        <v>HL</v>
      </c>
      <c r="T178" s="12" t="str">
        <f t="shared" si="128"/>
        <v>HL</v>
      </c>
      <c r="U178" s="12" t="str">
        <f t="shared" si="129"/>
        <v>U</v>
      </c>
      <c r="V178" s="12" t="str">
        <f t="shared" si="130"/>
        <v>O</v>
      </c>
      <c r="W178" s="12" t="str">
        <f t="shared" si="131"/>
        <v>U</v>
      </c>
      <c r="X178" s="12" t="str">
        <f t="shared" si="122"/>
        <v>U</v>
      </c>
      <c r="Z178" s="12">
        <v>54.5</v>
      </c>
      <c r="AA178" s="12" t="str">
        <f t="shared" si="132"/>
        <v>NYK/CHA</v>
      </c>
    </row>
    <row r="179" spans="1:27" ht="17.100000000000001" x14ac:dyDescent="0.45">
      <c r="A179" s="12">
        <v>191117</v>
      </c>
      <c r="B179" s="1">
        <v>0.41666666666666669</v>
      </c>
      <c r="C179" s="11" t="s">
        <v>217</v>
      </c>
      <c r="D179" s="12" t="s">
        <v>218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123"/>
        <v>109</v>
      </c>
      <c r="P179" s="12">
        <f t="shared" si="124"/>
        <v>94</v>
      </c>
      <c r="Q179" s="12" t="str">
        <f t="shared" si="125"/>
        <v>HW</v>
      </c>
      <c r="R179" s="12" t="str">
        <f t="shared" si="126"/>
        <v>HL</v>
      </c>
      <c r="S179" s="12" t="str">
        <f t="shared" si="127"/>
        <v>HW</v>
      </c>
      <c r="T179" s="12" t="str">
        <f t="shared" si="128"/>
        <v>HW</v>
      </c>
      <c r="U179" s="12" t="str">
        <f t="shared" si="129"/>
        <v>U</v>
      </c>
      <c r="V179" s="12" t="str">
        <f t="shared" si="130"/>
        <v>U</v>
      </c>
      <c r="W179" s="12" t="str">
        <f t="shared" si="131"/>
        <v>U</v>
      </c>
      <c r="X179" s="12" t="str">
        <f t="shared" si="122"/>
        <v>O</v>
      </c>
      <c r="Z179" s="12">
        <v>58</v>
      </c>
      <c r="AA179" s="12" t="str">
        <f t="shared" si="132"/>
        <v>MIA/NO</v>
      </c>
    </row>
    <row r="180" spans="1:27" ht="17.100000000000001" x14ac:dyDescent="0.45">
      <c r="A180" s="12">
        <v>191117</v>
      </c>
      <c r="B180" s="1">
        <v>0.41666666666666669</v>
      </c>
      <c r="C180" s="12" t="s">
        <v>203</v>
      </c>
      <c r="D180" s="11" t="s">
        <v>201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123"/>
        <v>105</v>
      </c>
      <c r="P180" s="12">
        <f t="shared" si="124"/>
        <v>125</v>
      </c>
      <c r="Q180" s="12" t="str">
        <f t="shared" si="125"/>
        <v>HL</v>
      </c>
      <c r="R180" s="12" t="str">
        <f t="shared" si="126"/>
        <v>HL</v>
      </c>
      <c r="S180" s="12" t="str">
        <f t="shared" si="127"/>
        <v>HL</v>
      </c>
      <c r="T180" s="12" t="str">
        <f t="shared" si="128"/>
        <v>HL</v>
      </c>
      <c r="U180" s="12" t="str">
        <f t="shared" si="129"/>
        <v>O</v>
      </c>
      <c r="V180" s="12" t="str">
        <f t="shared" si="130"/>
        <v>O</v>
      </c>
      <c r="W180" s="12" t="str">
        <f t="shared" si="131"/>
        <v>U</v>
      </c>
      <c r="X180" s="12" t="str">
        <f t="shared" si="122"/>
        <v>U</v>
      </c>
      <c r="Z180" s="12">
        <v>59</v>
      </c>
      <c r="AA180" s="12" t="str">
        <f t="shared" si="132"/>
        <v>MIN/HOU</v>
      </c>
    </row>
    <row r="181" spans="1:27" ht="17.100000000000001" x14ac:dyDescent="0.45">
      <c r="A181" s="12">
        <v>191117</v>
      </c>
      <c r="B181" s="1">
        <v>0.4375</v>
      </c>
      <c r="C181" s="12" t="s">
        <v>219</v>
      </c>
      <c r="D181" s="12" t="s">
        <v>220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123"/>
        <v>110</v>
      </c>
      <c r="P181" s="12">
        <f t="shared" si="124"/>
        <v>102</v>
      </c>
      <c r="Q181" s="12" t="str">
        <f t="shared" si="125"/>
        <v>HW</v>
      </c>
      <c r="R181" s="12" t="str">
        <f t="shared" si="126"/>
        <v>HL</v>
      </c>
      <c r="S181" s="12" t="str">
        <f t="shared" si="127"/>
        <v>HW</v>
      </c>
      <c r="T181" s="12" t="str">
        <f t="shared" si="128"/>
        <v>HW</v>
      </c>
      <c r="U181" s="12" t="str">
        <f t="shared" si="129"/>
        <v>U</v>
      </c>
      <c r="V181" s="12" t="str">
        <f t="shared" si="130"/>
        <v>O</v>
      </c>
      <c r="W181" s="12" t="str">
        <f t="shared" si="131"/>
        <v>U</v>
      </c>
      <c r="X181" s="12" t="str">
        <f t="shared" si="122"/>
        <v>O</v>
      </c>
      <c r="Z181" s="12">
        <v>56</v>
      </c>
      <c r="AA181" s="12" t="str">
        <f t="shared" si="132"/>
        <v>DAL/TOR</v>
      </c>
    </row>
    <row r="182" spans="1:27" ht="17.100000000000001" x14ac:dyDescent="0.45">
      <c r="A182" s="12">
        <v>191117</v>
      </c>
      <c r="B182" s="1">
        <v>0.4375</v>
      </c>
      <c r="C182" s="12" t="s">
        <v>198</v>
      </c>
      <c r="D182" s="12" t="s">
        <v>221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123"/>
        <v>116</v>
      </c>
      <c r="P182" s="12">
        <f t="shared" si="124"/>
        <v>121</v>
      </c>
      <c r="Q182" s="12" t="str">
        <f t="shared" si="125"/>
        <v>HL</v>
      </c>
      <c r="R182" s="12" t="str">
        <f t="shared" si="126"/>
        <v>HW</v>
      </c>
      <c r="S182" s="12" t="str">
        <f t="shared" si="127"/>
        <v>HW</v>
      </c>
      <c r="T182" s="12" t="str">
        <f t="shared" si="128"/>
        <v>HL</v>
      </c>
      <c r="U182" s="12" t="str">
        <f t="shared" si="129"/>
        <v>O</v>
      </c>
      <c r="V182" s="12" t="str">
        <f t="shared" si="130"/>
        <v>O</v>
      </c>
      <c r="W182" s="12" t="str">
        <f t="shared" si="131"/>
        <v>O</v>
      </c>
      <c r="X182" s="12" t="str">
        <f t="shared" si="122"/>
        <v>U</v>
      </c>
      <c r="Z182" s="12">
        <v>55</v>
      </c>
      <c r="AA182" s="12" t="str">
        <f t="shared" si="132"/>
        <v>SAS/POR</v>
      </c>
    </row>
    <row r="183" spans="1:27" ht="17.100000000000001" x14ac:dyDescent="0.45">
      <c r="A183" s="12">
        <v>191117</v>
      </c>
      <c r="B183" s="1">
        <v>0.52083333333333337</v>
      </c>
      <c r="C183" s="12" t="s">
        <v>222</v>
      </c>
      <c r="D183" s="12" t="s">
        <v>223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123"/>
        <v>150</v>
      </c>
      <c r="P183" s="12">
        <f t="shared" si="124"/>
        <v>101</v>
      </c>
      <c r="Q183" s="12" t="str">
        <f t="shared" si="125"/>
        <v>HW</v>
      </c>
      <c r="R183" s="12" t="str">
        <f t="shared" si="126"/>
        <v>HL</v>
      </c>
      <c r="S183" s="12" t="str">
        <f t="shared" si="127"/>
        <v>HW</v>
      </c>
      <c r="T183" s="12" t="str">
        <f t="shared" si="128"/>
        <v>HW</v>
      </c>
      <c r="U183" s="12" t="str">
        <f t="shared" si="129"/>
        <v>O</v>
      </c>
      <c r="V183" s="12" t="str">
        <f t="shared" si="130"/>
        <v>O</v>
      </c>
      <c r="W183" s="12" t="str">
        <f t="shared" si="131"/>
        <v>O</v>
      </c>
      <c r="X183" s="12" t="str">
        <f t="shared" si="122"/>
        <v>U</v>
      </c>
      <c r="Z183" s="12">
        <v>57.5</v>
      </c>
      <c r="AA183" s="12" t="str">
        <f t="shared" si="132"/>
        <v>LAC/ATL</v>
      </c>
    </row>
    <row r="184" spans="1:27" ht="17.100000000000001" x14ac:dyDescent="0.45">
      <c r="A184" s="12">
        <v>191118</v>
      </c>
      <c r="B184" s="1">
        <v>0.20833333333333334</v>
      </c>
      <c r="C184" t="s">
        <v>224</v>
      </c>
      <c r="D184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123"/>
        <v>95</v>
      </c>
      <c r="P184" s="12">
        <f t="shared" si="124"/>
        <v>114</v>
      </c>
      <c r="Q184" s="12" t="str">
        <f t="shared" si="125"/>
        <v>HL</v>
      </c>
      <c r="R184" s="12" t="str">
        <f t="shared" si="126"/>
        <v>HL</v>
      </c>
      <c r="S184" s="12" t="str">
        <f t="shared" si="127"/>
        <v>HL</v>
      </c>
      <c r="T184" s="12" t="str">
        <f t="shared" si="128"/>
        <v>HW</v>
      </c>
      <c r="U184" s="12" t="str">
        <f t="shared" si="129"/>
        <v>O</v>
      </c>
      <c r="V184" s="12" t="str">
        <f t="shared" si="130"/>
        <v>O</v>
      </c>
      <c r="W184" s="12" t="str">
        <f t="shared" si="131"/>
        <v>U</v>
      </c>
      <c r="X184" s="12" t="str">
        <f t="shared" si="122"/>
        <v>U</v>
      </c>
      <c r="Z184" s="12">
        <v>53</v>
      </c>
      <c r="AA184" s="12" t="str">
        <f t="shared" si="132"/>
        <v>CLE/PHI</v>
      </c>
    </row>
    <row r="185" spans="1:27" ht="17.100000000000001" x14ac:dyDescent="0.45">
      <c r="A185" s="12">
        <v>191118</v>
      </c>
      <c r="B185" s="1">
        <v>0.22916666666666666</v>
      </c>
      <c r="C185" t="s">
        <v>226</v>
      </c>
      <c r="D185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123"/>
        <v>100</v>
      </c>
      <c r="P185" s="12">
        <f t="shared" si="124"/>
        <v>99</v>
      </c>
      <c r="Q185" s="12" t="str">
        <f t="shared" si="125"/>
        <v>HW</v>
      </c>
      <c r="R185" s="12" t="str">
        <f t="shared" si="126"/>
        <v>HL</v>
      </c>
      <c r="S185" s="12" t="str">
        <f t="shared" si="127"/>
        <v>HL</v>
      </c>
      <c r="T185" s="12" t="str">
        <f t="shared" si="128"/>
        <v>HW</v>
      </c>
      <c r="U185" s="12" t="str">
        <f t="shared" si="129"/>
        <v>U</v>
      </c>
      <c r="V185" s="12" t="str">
        <f t="shared" si="130"/>
        <v>U</v>
      </c>
      <c r="W185" s="12" t="str">
        <f t="shared" si="131"/>
        <v>U</v>
      </c>
      <c r="X185" s="12" t="str">
        <f t="shared" si="122"/>
        <v>T</v>
      </c>
      <c r="Z185" s="12">
        <v>53</v>
      </c>
      <c r="AA185" s="12" t="str">
        <f t="shared" si="132"/>
        <v>SAC/BOS</v>
      </c>
    </row>
    <row r="186" spans="1:27" ht="17.100000000000001" x14ac:dyDescent="0.45">
      <c r="A186" s="12">
        <v>191118</v>
      </c>
      <c r="B186" s="1">
        <v>0.33333333333333331</v>
      </c>
      <c r="C186" t="s">
        <v>228</v>
      </c>
      <c r="D186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N186" s="12"/>
      <c r="O186" s="12">
        <f t="shared" si="123"/>
        <v>125</v>
      </c>
      <c r="P186" s="12">
        <f t="shared" si="124"/>
        <v>121</v>
      </c>
      <c r="Q186" s="12" t="str">
        <f t="shared" si="125"/>
        <v>HW</v>
      </c>
      <c r="R186" s="12" t="str">
        <f t="shared" si="126"/>
        <v>HW</v>
      </c>
      <c r="S186" s="12" t="str">
        <f t="shared" si="127"/>
        <v>HW</v>
      </c>
      <c r="T186" s="12" t="str">
        <f t="shared" si="128"/>
        <v>HL</v>
      </c>
      <c r="U186" s="12" t="str">
        <f t="shared" si="129"/>
        <v>U</v>
      </c>
      <c r="V186" s="12" t="str">
        <f t="shared" si="130"/>
        <v>O</v>
      </c>
      <c r="W186" s="12" t="str">
        <f t="shared" si="131"/>
        <v>U</v>
      </c>
      <c r="X186" s="12" t="str">
        <f t="shared" si="122"/>
        <v>O</v>
      </c>
      <c r="Z186" s="12">
        <v>57.5</v>
      </c>
      <c r="AA186" s="12" t="str">
        <f t="shared" si="132"/>
        <v>ORL/WAS</v>
      </c>
    </row>
    <row r="187" spans="1:27" ht="17.100000000000001" x14ac:dyDescent="0.45">
      <c r="A187" s="12">
        <v>191118</v>
      </c>
      <c r="B187" s="1">
        <v>0.33333333333333331</v>
      </c>
      <c r="C187" t="s">
        <v>229</v>
      </c>
      <c r="D187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123"/>
        <v>114</v>
      </c>
      <c r="P187" s="12">
        <f t="shared" si="124"/>
        <v>131</v>
      </c>
      <c r="Q187" s="12" t="str">
        <f t="shared" si="125"/>
        <v>HW</v>
      </c>
      <c r="R187" s="12" t="str">
        <f t="shared" si="126"/>
        <v>HL</v>
      </c>
      <c r="S187" s="12" t="str">
        <f t="shared" si="127"/>
        <v>HL</v>
      </c>
      <c r="T187" s="12" t="str">
        <f t="shared" si="128"/>
        <v>HW</v>
      </c>
      <c r="U187" s="12" t="str">
        <f t="shared" si="129"/>
        <v>O</v>
      </c>
      <c r="V187" s="12" t="str">
        <f t="shared" si="130"/>
        <v>O</v>
      </c>
      <c r="W187" s="12" t="str">
        <f t="shared" si="131"/>
        <v>O</v>
      </c>
      <c r="X187" s="12" t="str">
        <f t="shared" si="122"/>
        <v>O</v>
      </c>
      <c r="Z187" s="12">
        <v>54.5</v>
      </c>
      <c r="AA187" s="12" t="str">
        <f t="shared" si="132"/>
        <v>MEM/DEN</v>
      </c>
    </row>
    <row r="188" spans="1:27" ht="17.100000000000001" x14ac:dyDescent="0.45">
      <c r="A188" s="12">
        <v>191118</v>
      </c>
      <c r="B188" s="1">
        <v>0.375</v>
      </c>
      <c r="C188" t="s">
        <v>231</v>
      </c>
      <c r="D188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123"/>
        <v>108</v>
      </c>
      <c r="P188" s="12">
        <f t="shared" si="124"/>
        <v>100</v>
      </c>
      <c r="Q188" s="12" t="str">
        <f t="shared" si="125"/>
        <v>HW</v>
      </c>
      <c r="R188" s="12" t="str">
        <f t="shared" si="126"/>
        <v>HW</v>
      </c>
      <c r="S188" s="12" t="str">
        <f t="shared" si="127"/>
        <v>HW</v>
      </c>
      <c r="T188" s="12" t="str">
        <f t="shared" si="128"/>
        <v>HW</v>
      </c>
      <c r="U188" s="12" t="str">
        <f t="shared" si="129"/>
        <v>U</v>
      </c>
      <c r="V188" s="12" t="str">
        <f t="shared" si="130"/>
        <v>U</v>
      </c>
      <c r="W188" s="12" t="str">
        <f t="shared" si="131"/>
        <v>U</v>
      </c>
      <c r="X188" s="12" t="str">
        <f t="shared" si="122"/>
        <v>O</v>
      </c>
      <c r="Z188" s="12">
        <v>58.5</v>
      </c>
      <c r="AA188" s="12" t="str">
        <f t="shared" si="132"/>
        <v>NO/GS</v>
      </c>
    </row>
    <row r="189" spans="1:27" ht="17.100000000000001" x14ac:dyDescent="0.45">
      <c r="A189" s="12">
        <v>191118</v>
      </c>
      <c r="B189" s="1">
        <v>0.47916666666666669</v>
      </c>
      <c r="C189" t="s">
        <v>233</v>
      </c>
      <c r="D189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123"/>
        <v>122</v>
      </c>
      <c r="P189" s="12">
        <f t="shared" si="124"/>
        <v>101</v>
      </c>
      <c r="Q189" s="12" t="str">
        <f t="shared" si="125"/>
        <v>HW</v>
      </c>
      <c r="R189" s="12" t="str">
        <f t="shared" si="126"/>
        <v>HW</v>
      </c>
      <c r="S189" s="12" t="str">
        <f t="shared" si="127"/>
        <v>HL</v>
      </c>
      <c r="T189" s="12" t="str">
        <f t="shared" si="128"/>
        <v>HW</v>
      </c>
      <c r="U189" s="12" t="str">
        <f t="shared" si="129"/>
        <v>O</v>
      </c>
      <c r="V189" s="12" t="str">
        <f t="shared" si="130"/>
        <v>U</v>
      </c>
      <c r="W189" s="12" t="str">
        <f t="shared" si="131"/>
        <v>O</v>
      </c>
      <c r="X189" s="12" t="str">
        <f t="shared" si="122"/>
        <v>U</v>
      </c>
      <c r="Z189" s="12">
        <v>56.5</v>
      </c>
      <c r="AA189" s="12" t="str">
        <f t="shared" si="132"/>
        <v>LAL/ATL</v>
      </c>
    </row>
    <row r="190" spans="1:27" ht="17.100000000000001" x14ac:dyDescent="0.45">
      <c r="A190" s="12">
        <v>191119</v>
      </c>
      <c r="B190" s="1">
        <v>0.375</v>
      </c>
      <c r="C190" t="s">
        <v>47</v>
      </c>
      <c r="D190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123"/>
        <v>123</v>
      </c>
      <c r="P190" s="12">
        <f t="shared" si="124"/>
        <v>105</v>
      </c>
      <c r="Q190" s="12" t="str">
        <f t="shared" si="125"/>
        <v>HW</v>
      </c>
      <c r="R190" s="12" t="str">
        <f t="shared" si="126"/>
        <v>HW</v>
      </c>
      <c r="S190" s="12" t="str">
        <f t="shared" si="127"/>
        <v>HW</v>
      </c>
      <c r="T190" s="12" t="str">
        <f t="shared" si="128"/>
        <v>HL</v>
      </c>
      <c r="U190" s="12" t="str">
        <f t="shared" si="129"/>
        <v>T</v>
      </c>
      <c r="V190" s="12" t="str">
        <f t="shared" si="130"/>
        <v>O</v>
      </c>
      <c r="W190" s="12" t="str">
        <f t="shared" si="131"/>
        <v>U</v>
      </c>
      <c r="X190" s="12" t="str">
        <f t="shared" si="122"/>
        <v>O</v>
      </c>
      <c r="Z190" s="12">
        <v>52</v>
      </c>
      <c r="AA190" s="12" t="str">
        <f t="shared" si="132"/>
        <v>NYK/CLE</v>
      </c>
    </row>
    <row r="191" spans="1:27" ht="17.100000000000001" x14ac:dyDescent="0.45">
      <c r="A191" s="12">
        <v>191119</v>
      </c>
      <c r="B191" s="1">
        <v>0.39583333333333331</v>
      </c>
      <c r="C191" t="s">
        <v>235</v>
      </c>
      <c r="D191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123"/>
        <v>86</v>
      </c>
      <c r="P191" s="12">
        <f t="shared" si="124"/>
        <v>115</v>
      </c>
      <c r="Q191" s="12" t="str">
        <f t="shared" si="125"/>
        <v>TT</v>
      </c>
      <c r="R191" s="12" t="str">
        <f t="shared" si="126"/>
        <v>HL</v>
      </c>
      <c r="S191" s="12" t="str">
        <f t="shared" si="127"/>
        <v>HW</v>
      </c>
      <c r="T191" s="12" t="str">
        <f t="shared" si="128"/>
        <v>HL</v>
      </c>
      <c r="U191" s="12" t="str">
        <f t="shared" si="129"/>
        <v>U</v>
      </c>
      <c r="V191" s="12" t="str">
        <f t="shared" si="130"/>
        <v>O</v>
      </c>
      <c r="W191" s="12" t="str">
        <f t="shared" si="131"/>
        <v>O</v>
      </c>
      <c r="X191" s="12" t="str">
        <f t="shared" si="122"/>
        <v>U</v>
      </c>
      <c r="Z191" s="12">
        <v>55</v>
      </c>
      <c r="AA191" s="12" t="str">
        <f t="shared" si="132"/>
        <v>BKN/IND</v>
      </c>
    </row>
    <row r="192" spans="1:27" ht="17.100000000000001" x14ac:dyDescent="0.45">
      <c r="A192" s="12">
        <v>191119</v>
      </c>
      <c r="B192" s="1">
        <v>0.39583333333333331</v>
      </c>
      <c r="C192" t="s">
        <v>236</v>
      </c>
      <c r="D19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123"/>
        <v>132</v>
      </c>
      <c r="P192" s="12">
        <f t="shared" si="124"/>
        <v>96</v>
      </c>
      <c r="Q192" s="12" t="str">
        <f t="shared" si="125"/>
        <v>HW</v>
      </c>
      <c r="R192" s="12" t="str">
        <f t="shared" si="126"/>
        <v>HW</v>
      </c>
      <c r="S192" s="12" t="str">
        <f t="shared" si="127"/>
        <v>HW</v>
      </c>
      <c r="T192" s="12" t="str">
        <f t="shared" si="128"/>
        <v>HW</v>
      </c>
      <c r="U192" s="12" t="str">
        <f t="shared" si="129"/>
        <v>U</v>
      </c>
      <c r="V192" s="12" t="str">
        <f t="shared" si="130"/>
        <v>O</v>
      </c>
      <c r="W192" s="12" t="str">
        <f t="shared" si="131"/>
        <v>U</v>
      </c>
      <c r="X192" s="12" t="str">
        <f t="shared" si="122"/>
        <v>O</v>
      </c>
      <c r="Z192" s="12">
        <v>55.5</v>
      </c>
      <c r="AA192" s="12" t="str">
        <f t="shared" si="132"/>
        <v>TOR/CHA</v>
      </c>
    </row>
    <row r="193" spans="1:27" ht="17.100000000000001" x14ac:dyDescent="0.45">
      <c r="A193" s="12">
        <v>191119</v>
      </c>
      <c r="B193" s="1">
        <v>0.41666666666666669</v>
      </c>
      <c r="C193" t="s">
        <v>238</v>
      </c>
      <c r="D193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123"/>
        <v>101</v>
      </c>
      <c r="P193" s="12">
        <f t="shared" si="124"/>
        <v>115</v>
      </c>
      <c r="Q193" s="12" t="str">
        <f t="shared" si="125"/>
        <v>HL</v>
      </c>
      <c r="R193" s="12" t="str">
        <f t="shared" si="126"/>
        <v>HL</v>
      </c>
      <c r="S193" s="12" t="str">
        <f t="shared" si="127"/>
        <v>HW</v>
      </c>
      <c r="T193" s="12" t="str">
        <f t="shared" si="128"/>
        <v>HL</v>
      </c>
      <c r="U193" s="12" t="str">
        <f t="shared" si="129"/>
        <v>U</v>
      </c>
      <c r="V193" s="12" t="str">
        <f t="shared" si="130"/>
        <v>O</v>
      </c>
      <c r="W193" s="12" t="str">
        <f t="shared" si="131"/>
        <v>U</v>
      </c>
      <c r="X193" s="12" t="str">
        <f t="shared" si="122"/>
        <v>U</v>
      </c>
      <c r="Z193" s="12">
        <v>56</v>
      </c>
      <c r="AA193" s="12" t="str">
        <f t="shared" si="132"/>
        <v>CHI/MIL</v>
      </c>
    </row>
    <row r="194" spans="1:27" ht="17.100000000000001" x14ac:dyDescent="0.45">
      <c r="A194" s="12">
        <v>191119</v>
      </c>
      <c r="B194" s="1">
        <v>0.41666666666666669</v>
      </c>
      <c r="C194" t="s">
        <v>240</v>
      </c>
      <c r="D194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123"/>
        <v>132</v>
      </c>
      <c r="P194" s="12">
        <f t="shared" si="124"/>
        <v>108</v>
      </c>
      <c r="Q194" s="12" t="str">
        <f t="shared" si="125"/>
        <v>HL</v>
      </c>
      <c r="R194" s="12" t="str">
        <f t="shared" si="126"/>
        <v>HW</v>
      </c>
      <c r="S194" s="12" t="str">
        <f t="shared" si="127"/>
        <v>HW</v>
      </c>
      <c r="T194" s="12" t="str">
        <f t="shared" si="128"/>
        <v>HW</v>
      </c>
      <c r="U194" s="12" t="str">
        <f t="shared" si="129"/>
        <v>O</v>
      </c>
      <c r="V194" s="12" t="str">
        <f t="shared" si="130"/>
        <v>U</v>
      </c>
      <c r="W194" s="12" t="str">
        <f t="shared" si="131"/>
        <v>O</v>
      </c>
      <c r="X194" s="12" t="str">
        <f t="shared" si="122"/>
        <v>O</v>
      </c>
      <c r="Z194" s="12">
        <v>56.5</v>
      </c>
      <c r="AA194" s="12" t="str">
        <f t="shared" si="132"/>
        <v>HOU/POR</v>
      </c>
    </row>
    <row r="195" spans="1:27" ht="17.100000000000001" x14ac:dyDescent="0.45">
      <c r="A195" s="12">
        <v>191119</v>
      </c>
      <c r="B195" s="1">
        <v>0.4375</v>
      </c>
      <c r="C195" t="s">
        <v>33</v>
      </c>
      <c r="D195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123"/>
        <v>117</v>
      </c>
      <c r="P195" s="12">
        <f t="shared" si="124"/>
        <v>110</v>
      </c>
      <c r="Q195" s="12" t="str">
        <f t="shared" si="125"/>
        <v>HW</v>
      </c>
      <c r="R195" s="12" t="str">
        <f t="shared" si="126"/>
        <v>HL</v>
      </c>
      <c r="S195" s="12" t="str">
        <f t="shared" si="127"/>
        <v>HW</v>
      </c>
      <c r="T195" s="12" t="str">
        <f t="shared" si="128"/>
        <v>HL</v>
      </c>
      <c r="U195" s="12" t="str">
        <f t="shared" si="129"/>
        <v>O</v>
      </c>
      <c r="V195" s="12" t="str">
        <f t="shared" si="130"/>
        <v>U</v>
      </c>
      <c r="W195" s="12" t="str">
        <f t="shared" si="131"/>
        <v>O</v>
      </c>
      <c r="X195" s="12" t="str">
        <f t="shared" si="122"/>
        <v>U</v>
      </c>
      <c r="Z195" s="12">
        <v>55.5</v>
      </c>
      <c r="AA195" s="12" t="str">
        <f t="shared" si="132"/>
        <v>DAL/SAS</v>
      </c>
    </row>
    <row r="196" spans="1:27" ht="17.100000000000001" x14ac:dyDescent="0.45">
      <c r="A196" s="12">
        <v>191119</v>
      </c>
      <c r="B196" s="1">
        <v>0.45833333333333331</v>
      </c>
      <c r="C196" t="s">
        <v>243</v>
      </c>
      <c r="D196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123"/>
        <v>85</v>
      </c>
      <c r="P196" s="12">
        <f t="shared" si="124"/>
        <v>99</v>
      </c>
      <c r="Q196" s="12" t="str">
        <f t="shared" si="125"/>
        <v>HL</v>
      </c>
      <c r="R196" s="12" t="str">
        <f t="shared" si="126"/>
        <v>HL</v>
      </c>
      <c r="S196" s="12" t="str">
        <f t="shared" si="127"/>
        <v>TT</v>
      </c>
      <c r="T196" s="12" t="str">
        <f t="shared" si="128"/>
        <v>HW</v>
      </c>
      <c r="U196" s="12" t="str">
        <f t="shared" si="129"/>
        <v>U</v>
      </c>
      <c r="V196" s="12" t="str">
        <f t="shared" si="130"/>
        <v>U</v>
      </c>
      <c r="W196" s="12" t="str">
        <f t="shared" si="131"/>
        <v>U</v>
      </c>
      <c r="X196" s="12" t="str">
        <f t="shared" si="122"/>
        <v>U</v>
      </c>
      <c r="Z196" s="12">
        <v>55.5</v>
      </c>
      <c r="AA196" s="12" t="str">
        <f t="shared" si="132"/>
        <v>PHO/BOS</v>
      </c>
    </row>
    <row r="197" spans="1:27" ht="17.100000000000001" x14ac:dyDescent="0.45">
      <c r="A197" s="12">
        <v>191119</v>
      </c>
      <c r="B197" s="1">
        <v>0.45833333333333331</v>
      </c>
      <c r="C197" t="s">
        <v>244</v>
      </c>
      <c r="D197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123"/>
        <v>102</v>
      </c>
      <c r="P197" s="12">
        <f t="shared" si="124"/>
        <v>112</v>
      </c>
      <c r="Q197" s="12" t="str">
        <f t="shared" si="125"/>
        <v>HL</v>
      </c>
      <c r="R197" s="12" t="str">
        <f t="shared" si="126"/>
        <v>HW</v>
      </c>
      <c r="S197" s="12" t="str">
        <f t="shared" si="127"/>
        <v>HW</v>
      </c>
      <c r="T197" s="12" t="str">
        <f t="shared" si="128"/>
        <v>HL</v>
      </c>
      <c r="U197" s="12" t="str">
        <f t="shared" si="129"/>
        <v>O</v>
      </c>
      <c r="V197" s="12" t="str">
        <f t="shared" si="130"/>
        <v>U</v>
      </c>
      <c r="W197" s="12" t="str">
        <f t="shared" si="131"/>
        <v>U</v>
      </c>
      <c r="X197" s="12" t="str">
        <f t="shared" si="122"/>
        <v>O</v>
      </c>
      <c r="Z197" s="12">
        <v>56</v>
      </c>
      <c r="AA197" s="12" t="str">
        <f t="shared" si="132"/>
        <v>UTA/MIN</v>
      </c>
    </row>
    <row r="198" spans="1:27" ht="17.100000000000001" x14ac:dyDescent="0.45">
      <c r="A198" s="12">
        <v>191119</v>
      </c>
      <c r="B198" s="1">
        <v>0.52083333333333337</v>
      </c>
      <c r="C198" t="s">
        <v>246</v>
      </c>
      <c r="D198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123"/>
        <v>90</v>
      </c>
      <c r="P198" s="12">
        <f t="shared" si="124"/>
        <v>88</v>
      </c>
      <c r="Q198" s="12" t="str">
        <f t="shared" si="125"/>
        <v>HW</v>
      </c>
      <c r="R198" s="12" t="str">
        <f t="shared" si="126"/>
        <v>HL</v>
      </c>
      <c r="S198" s="12" t="str">
        <f t="shared" si="127"/>
        <v>HW</v>
      </c>
      <c r="T198" s="12" t="str">
        <f t="shared" si="128"/>
        <v>TT</v>
      </c>
      <c r="U198" s="12" t="str">
        <f t="shared" si="129"/>
        <v>U</v>
      </c>
      <c r="V198" s="12" t="str">
        <f t="shared" si="130"/>
        <v>U</v>
      </c>
      <c r="W198" s="12" t="str">
        <f t="shared" si="131"/>
        <v>U</v>
      </c>
      <c r="X198" s="12" t="str">
        <f t="shared" si="122"/>
        <v>U</v>
      </c>
      <c r="Z198" s="12">
        <v>57</v>
      </c>
      <c r="AA198" s="12" t="str">
        <f t="shared" si="132"/>
        <v>LAC/OKC</v>
      </c>
    </row>
    <row r="199" spans="1:27" ht="17.100000000000001" x14ac:dyDescent="0.45">
      <c r="A199" s="12">
        <v>191120</v>
      </c>
      <c r="B199" s="1">
        <v>0.41666666666666669</v>
      </c>
      <c r="C199" t="s">
        <v>231</v>
      </c>
      <c r="D199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123"/>
        <v>115</v>
      </c>
      <c r="P199" s="12">
        <f t="shared" si="124"/>
        <v>104</v>
      </c>
      <c r="Q199" s="12" t="str">
        <f t="shared" si="125"/>
        <v>HL</v>
      </c>
      <c r="R199" s="12" t="str">
        <f t="shared" si="126"/>
        <v>TT</v>
      </c>
      <c r="S199" s="12" t="str">
        <f t="shared" si="127"/>
        <v>HW</v>
      </c>
      <c r="T199" s="12" t="str">
        <f t="shared" si="128"/>
        <v>HW</v>
      </c>
      <c r="U199" s="12" t="str">
        <f t="shared" si="129"/>
        <v>U</v>
      </c>
      <c r="V199" s="12" t="str">
        <f t="shared" si="130"/>
        <v>U</v>
      </c>
      <c r="W199" s="12" t="str">
        <f t="shared" si="131"/>
        <v>O</v>
      </c>
      <c r="X199" s="12" t="str">
        <f t="shared" si="122"/>
        <v>U</v>
      </c>
      <c r="Z199" s="12">
        <v>56.5</v>
      </c>
      <c r="AA199" s="12" t="str">
        <f t="shared" si="132"/>
        <v>NO/POR</v>
      </c>
    </row>
    <row r="200" spans="1:27" ht="17.100000000000001" x14ac:dyDescent="0.45">
      <c r="A200" s="12">
        <v>191120</v>
      </c>
      <c r="B200" s="1">
        <v>0.41666666666666669</v>
      </c>
      <c r="C200" t="s">
        <v>229</v>
      </c>
      <c r="D200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123"/>
        <v>95</v>
      </c>
      <c r="P200" s="12">
        <f t="shared" si="124"/>
        <v>114</v>
      </c>
      <c r="Q200" s="12" t="str">
        <f t="shared" si="125"/>
        <v>HW</v>
      </c>
      <c r="R200" s="12" t="str">
        <f t="shared" si="126"/>
        <v>HL</v>
      </c>
      <c r="S200" s="12" t="str">
        <f t="shared" si="127"/>
        <v>HW</v>
      </c>
      <c r="T200" s="12" t="str">
        <f t="shared" si="128"/>
        <v>HL</v>
      </c>
      <c r="U200" s="12" t="str">
        <f t="shared" si="129"/>
        <v>O</v>
      </c>
      <c r="V200" s="12" t="str">
        <f t="shared" si="130"/>
        <v>U</v>
      </c>
      <c r="W200" s="12" t="str">
        <f t="shared" si="131"/>
        <v>U</v>
      </c>
      <c r="X200" s="12" t="str">
        <f t="shared" si="122"/>
        <v>U</v>
      </c>
      <c r="Z200" s="12">
        <v>57</v>
      </c>
      <c r="AA200" s="12" t="str">
        <f t="shared" si="132"/>
        <v>MEM/GS</v>
      </c>
    </row>
    <row r="201" spans="1:27" ht="17.100000000000001" x14ac:dyDescent="0.45">
      <c r="A201" s="12">
        <v>191120</v>
      </c>
      <c r="B201" s="1">
        <v>0.5</v>
      </c>
      <c r="C201" t="s">
        <v>226</v>
      </c>
      <c r="D201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123"/>
        <v>120</v>
      </c>
      <c r="P201" s="12">
        <f t="shared" si="124"/>
        <v>116</v>
      </c>
      <c r="Q201" s="12" t="str">
        <f t="shared" si="125"/>
        <v>HW</v>
      </c>
      <c r="R201" s="12" t="str">
        <f t="shared" si="126"/>
        <v>HW</v>
      </c>
      <c r="S201" s="12" t="str">
        <f t="shared" si="127"/>
        <v>HL</v>
      </c>
      <c r="T201" s="12" t="str">
        <f t="shared" si="128"/>
        <v>HL</v>
      </c>
      <c r="U201" s="12" t="str">
        <f t="shared" si="129"/>
        <v>U</v>
      </c>
      <c r="V201" s="12" t="str">
        <f t="shared" si="130"/>
        <v>O</v>
      </c>
      <c r="W201" s="12" t="str">
        <f t="shared" si="131"/>
        <v>O</v>
      </c>
      <c r="X201" s="12" t="str">
        <f t="shared" si="122"/>
        <v>O</v>
      </c>
      <c r="Z201" s="12">
        <v>53.5</v>
      </c>
      <c r="AA201" s="12" t="str">
        <f t="shared" si="132"/>
        <v>SAC/PHO</v>
      </c>
    </row>
    <row r="202" spans="1:27" ht="17.100000000000001" x14ac:dyDescent="0.45">
      <c r="A202" s="12">
        <v>191120</v>
      </c>
      <c r="B202" s="1">
        <v>0.52083333333333337</v>
      </c>
      <c r="C202" t="s">
        <v>233</v>
      </c>
      <c r="D20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123"/>
        <v>112</v>
      </c>
      <c r="P202" s="12">
        <f t="shared" si="124"/>
        <v>107</v>
      </c>
      <c r="Q202" s="12" t="str">
        <f t="shared" si="125"/>
        <v>HW</v>
      </c>
      <c r="R202" s="12" t="str">
        <f t="shared" si="126"/>
        <v>HW</v>
      </c>
      <c r="S202" s="12" t="str">
        <f t="shared" si="127"/>
        <v>HL</v>
      </c>
      <c r="T202" s="12" t="str">
        <f t="shared" si="128"/>
        <v>HL</v>
      </c>
      <c r="U202" s="12" t="str">
        <f t="shared" si="129"/>
        <v>O</v>
      </c>
      <c r="V202" s="12" t="str">
        <f t="shared" si="130"/>
        <v>O</v>
      </c>
      <c r="W202" s="12" t="str">
        <f t="shared" si="131"/>
        <v>O</v>
      </c>
      <c r="X202" s="12" t="str">
        <f t="shared" si="122"/>
        <v>U</v>
      </c>
      <c r="Z202" s="12">
        <v>54</v>
      </c>
      <c r="AA202" s="12" t="str">
        <f t="shared" si="132"/>
        <v>LAL/OKC</v>
      </c>
    </row>
    <row r="203" spans="1:27" ht="17.100000000000001" x14ac:dyDescent="0.45">
      <c r="A203" s="12">
        <v>191121</v>
      </c>
      <c r="B203" s="1">
        <v>0.375</v>
      </c>
      <c r="C203" t="s">
        <v>225</v>
      </c>
      <c r="D203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N203" s="12"/>
      <c r="O203" s="12">
        <f t="shared" ref="O203:O213" si="133">SUM(E203:I203)</f>
        <v>109</v>
      </c>
      <c r="P203" s="12">
        <f t="shared" ref="P203:P213" si="134">SUM(J203:N203)</f>
        <v>104</v>
      </c>
      <c r="Q203" s="12" t="str">
        <f t="shared" ref="Q203:Q213" si="135">IF(E203=J203,"TT",IF(E203&gt;J203,"HW","HL"))</f>
        <v>HW</v>
      </c>
      <c r="R203" s="12" t="str">
        <f t="shared" ref="R203:R213" si="136">IF(F203=K203,"TT",IF(F203&gt;K203,"HW","HL"))</f>
        <v>TT</v>
      </c>
      <c r="S203" s="12" t="str">
        <f t="shared" ref="S203:S213" si="137">IF(G203=L203,"TT",IF(G203&gt;L203,"HW","HL"))</f>
        <v>HL</v>
      </c>
      <c r="T203" s="12" t="str">
        <f t="shared" ref="T203:T213" si="138">IF(H203=M203,"TT",IF(H203&gt;M203,"HW","HL"))</f>
        <v>HW</v>
      </c>
      <c r="U203" s="12" t="str">
        <f t="shared" ref="U203:U213" si="139">IF(SUM(E203,J203)=$Z203,"T",IF(SUM(E203,J203)&gt;$Z203,"O","U"))</f>
        <v>U</v>
      </c>
      <c r="V203" s="12" t="str">
        <f t="shared" ref="V203:V213" si="140">IF(SUM(F203,K203)=$Z203,"T",IF(SUM(F203,K203)&gt;$Z203,"O","U"))</f>
        <v>U</v>
      </c>
      <c r="W203" s="12" t="str">
        <f t="shared" ref="W203:W213" si="141">IF(SUM(G203,L203)=$Z203,"T",IF(SUM(G203,L203)&gt;$Z203,"O","U"))</f>
        <v>U</v>
      </c>
      <c r="X203" s="12" t="str">
        <f t="shared" ref="X203:X213" si="142">IF(SUM(H203,M203)=$Z203,"T",IF(SUM(H203,M203)&gt;$Z203,"O","U"))</f>
        <v>O</v>
      </c>
      <c r="Z203" s="12">
        <v>54.5</v>
      </c>
      <c r="AA203" s="12" t="str">
        <f t="shared" si="132"/>
        <v>PHI/NYK</v>
      </c>
    </row>
    <row r="204" spans="1:27" ht="17.100000000000001" x14ac:dyDescent="0.45">
      <c r="A204" s="12">
        <v>191121</v>
      </c>
      <c r="B204" s="1">
        <v>0.375</v>
      </c>
      <c r="C204" t="s">
        <v>249</v>
      </c>
      <c r="D204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N204" s="12"/>
      <c r="O204" s="12">
        <f t="shared" si="133"/>
        <v>138</v>
      </c>
      <c r="P204" s="12">
        <f t="shared" si="134"/>
        <v>132</v>
      </c>
      <c r="Q204" s="12" t="str">
        <f t="shared" si="135"/>
        <v>HL</v>
      </c>
      <c r="R204" s="12" t="str">
        <f t="shared" si="136"/>
        <v>HL</v>
      </c>
      <c r="S204" s="12" t="str">
        <f t="shared" si="137"/>
        <v>HW</v>
      </c>
      <c r="T204" s="12" t="str">
        <f t="shared" si="138"/>
        <v>HW</v>
      </c>
      <c r="U204" s="12" t="str">
        <f t="shared" si="139"/>
        <v>O</v>
      </c>
      <c r="V204" s="12" t="str">
        <f t="shared" si="140"/>
        <v>O</v>
      </c>
      <c r="W204" s="12" t="str">
        <f t="shared" si="141"/>
        <v>O</v>
      </c>
      <c r="X204" s="12" t="str">
        <f t="shared" si="142"/>
        <v>O</v>
      </c>
      <c r="Z204" s="12">
        <v>58</v>
      </c>
      <c r="AA204" s="12" t="str">
        <f t="shared" si="132"/>
        <v>WAS/SAS</v>
      </c>
    </row>
    <row r="205" spans="1:27" ht="17.100000000000001" x14ac:dyDescent="0.45">
      <c r="A205" s="12">
        <v>191121</v>
      </c>
      <c r="B205" s="1">
        <v>0.39583333333333331</v>
      </c>
      <c r="C205" t="s">
        <v>234</v>
      </c>
      <c r="D205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N205" s="12"/>
      <c r="O205" s="12">
        <f t="shared" si="133"/>
        <v>127</v>
      </c>
      <c r="P205" s="12">
        <f t="shared" si="134"/>
        <v>135</v>
      </c>
      <c r="Q205" s="12" t="str">
        <f t="shared" si="135"/>
        <v>HL</v>
      </c>
      <c r="R205" s="12" t="str">
        <f t="shared" si="136"/>
        <v>HW</v>
      </c>
      <c r="S205" s="12" t="str">
        <f t="shared" si="137"/>
        <v>HL</v>
      </c>
      <c r="T205" s="12" t="str">
        <f t="shared" si="138"/>
        <v>HW</v>
      </c>
      <c r="U205" s="12" t="str">
        <f t="shared" si="139"/>
        <v>O</v>
      </c>
      <c r="V205" s="12" t="str">
        <f t="shared" si="140"/>
        <v>O</v>
      </c>
      <c r="W205" s="12" t="str">
        <f t="shared" si="141"/>
        <v>O</v>
      </c>
      <c r="X205" s="12" t="str">
        <f t="shared" si="142"/>
        <v>O</v>
      </c>
      <c r="Z205" s="12">
        <v>57</v>
      </c>
      <c r="AA205" s="12" t="str">
        <f t="shared" si="132"/>
        <v>ATL/MIL</v>
      </c>
    </row>
    <row r="206" spans="1:27" ht="17.100000000000001" x14ac:dyDescent="0.45">
      <c r="A206" s="12">
        <v>191121</v>
      </c>
      <c r="B206" s="1">
        <v>0.39583333333333331</v>
      </c>
      <c r="C206" t="s">
        <v>250</v>
      </c>
      <c r="D206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N206" s="12"/>
      <c r="O206" s="12">
        <f t="shared" si="133"/>
        <v>142</v>
      </c>
      <c r="P206" s="12">
        <f t="shared" si="134"/>
        <v>94</v>
      </c>
      <c r="Q206" s="12" t="str">
        <f t="shared" si="135"/>
        <v>HW</v>
      </c>
      <c r="R206" s="12" t="str">
        <f t="shared" si="136"/>
        <v>HW</v>
      </c>
      <c r="S206" s="12" t="str">
        <f t="shared" si="137"/>
        <v>HW</v>
      </c>
      <c r="T206" s="12" t="str">
        <f t="shared" si="138"/>
        <v>HW</v>
      </c>
      <c r="U206" s="12" t="str">
        <f t="shared" si="139"/>
        <v>O</v>
      </c>
      <c r="V206" s="12" t="str">
        <f t="shared" si="140"/>
        <v>U</v>
      </c>
      <c r="W206" s="12" t="str">
        <f t="shared" si="141"/>
        <v>T</v>
      </c>
      <c r="X206" s="12" t="str">
        <f t="shared" si="142"/>
        <v>O</v>
      </c>
      <c r="Z206" s="12">
        <v>56</v>
      </c>
      <c r="AA206" s="12" t="str">
        <f t="shared" si="132"/>
        <v>DAL/GS</v>
      </c>
    </row>
    <row r="207" spans="1:27" ht="17.100000000000001" x14ac:dyDescent="0.45">
      <c r="A207" s="12">
        <v>191121</v>
      </c>
      <c r="B207" s="1">
        <v>0.39583333333333331</v>
      </c>
      <c r="C207" t="s">
        <v>251</v>
      </c>
      <c r="D207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N207" s="12"/>
      <c r="O207" s="12">
        <f t="shared" si="133"/>
        <v>124</v>
      </c>
      <c r="P207" s="12">
        <f t="shared" si="134"/>
        <v>100</v>
      </c>
      <c r="Q207" s="12" t="str">
        <f t="shared" si="135"/>
        <v>HW</v>
      </c>
      <c r="R207" s="12" t="str">
        <f t="shared" si="136"/>
        <v>HW</v>
      </c>
      <c r="S207" s="12" t="str">
        <f t="shared" si="137"/>
        <v>HL</v>
      </c>
      <c r="T207" s="12" t="str">
        <f t="shared" si="138"/>
        <v>HW</v>
      </c>
      <c r="U207" s="12" t="str">
        <f t="shared" si="139"/>
        <v>O</v>
      </c>
      <c r="V207" s="12" t="str">
        <f t="shared" si="140"/>
        <v>O</v>
      </c>
      <c r="W207" s="12" t="str">
        <f t="shared" si="141"/>
        <v>O</v>
      </c>
      <c r="X207" s="12" t="str">
        <f t="shared" si="142"/>
        <v>U</v>
      </c>
      <c r="Z207" s="12">
        <v>52.5</v>
      </c>
      <c r="AA207" s="12" t="str">
        <f t="shared" si="132"/>
        <v>MIA/CLE</v>
      </c>
    </row>
    <row r="208" spans="1:27" ht="17.100000000000001" x14ac:dyDescent="0.45">
      <c r="A208" s="12">
        <v>191121</v>
      </c>
      <c r="B208" s="1">
        <v>0.39583333333333331</v>
      </c>
      <c r="C208" t="s">
        <v>235</v>
      </c>
      <c r="D208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N208" s="12"/>
      <c r="O208" s="12">
        <f t="shared" si="133"/>
        <v>101</v>
      </c>
      <c r="P208" s="12">
        <f t="shared" si="134"/>
        <v>91</v>
      </c>
      <c r="Q208" s="12" t="str">
        <f t="shared" si="135"/>
        <v>TT</v>
      </c>
      <c r="R208" s="12" t="str">
        <f t="shared" si="136"/>
        <v>HW</v>
      </c>
      <c r="S208" s="12" t="str">
        <f t="shared" si="137"/>
        <v>HW</v>
      </c>
      <c r="T208" s="12" t="str">
        <f t="shared" si="138"/>
        <v>HW</v>
      </c>
      <c r="U208" s="12" t="str">
        <f t="shared" si="139"/>
        <v>U</v>
      </c>
      <c r="V208" s="12" t="str">
        <f t="shared" si="140"/>
        <v>U</v>
      </c>
      <c r="W208" s="12" t="str">
        <f t="shared" si="141"/>
        <v>U</v>
      </c>
      <c r="X208" s="12" t="str">
        <f t="shared" si="142"/>
        <v>U</v>
      </c>
      <c r="Z208" s="12">
        <v>56</v>
      </c>
      <c r="AA208" s="12" t="str">
        <f t="shared" si="132"/>
        <v>BKN/CHA</v>
      </c>
    </row>
    <row r="209" spans="1:27" ht="17.100000000000001" x14ac:dyDescent="0.45">
      <c r="A209" s="12">
        <v>191121</v>
      </c>
      <c r="B209" s="1">
        <v>0.39583333333333331</v>
      </c>
      <c r="C209" t="s">
        <v>236</v>
      </c>
      <c r="D209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N209" s="12"/>
      <c r="O209" s="12">
        <f t="shared" si="133"/>
        <v>113</v>
      </c>
      <c r="P209" s="12">
        <f t="shared" si="134"/>
        <v>97</v>
      </c>
      <c r="Q209" s="12" t="str">
        <f t="shared" si="135"/>
        <v>TT</v>
      </c>
      <c r="R209" s="12" t="str">
        <f t="shared" si="136"/>
        <v>HW</v>
      </c>
      <c r="S209" s="12" t="str">
        <f t="shared" si="137"/>
        <v>HW</v>
      </c>
      <c r="T209" s="12" t="str">
        <f t="shared" si="138"/>
        <v>HW</v>
      </c>
      <c r="U209" s="12" t="str">
        <f t="shared" si="139"/>
        <v>O</v>
      </c>
      <c r="V209" s="12" t="str">
        <f t="shared" si="140"/>
        <v>U</v>
      </c>
      <c r="W209" s="12" t="str">
        <f t="shared" si="141"/>
        <v>U</v>
      </c>
      <c r="X209" s="12" t="str">
        <f t="shared" si="142"/>
        <v>O</v>
      </c>
      <c r="Z209" s="12">
        <v>53.5</v>
      </c>
      <c r="AA209" s="12" t="str">
        <f t="shared" si="132"/>
        <v>TOR/ORL</v>
      </c>
    </row>
    <row r="210" spans="1:27" ht="17.100000000000001" x14ac:dyDescent="0.45">
      <c r="A210" s="12">
        <v>191121</v>
      </c>
      <c r="B210" s="1">
        <v>0.41666666666666669</v>
      </c>
      <c r="C210" t="s">
        <v>238</v>
      </c>
      <c r="D210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N210" s="12"/>
      <c r="O210" s="12">
        <f t="shared" si="133"/>
        <v>109</v>
      </c>
      <c r="P210" s="12">
        <f t="shared" si="134"/>
        <v>89</v>
      </c>
      <c r="Q210" s="12" t="str">
        <f t="shared" si="135"/>
        <v>TT</v>
      </c>
      <c r="R210" s="12" t="str">
        <f t="shared" si="136"/>
        <v>HW</v>
      </c>
      <c r="S210" s="12" t="str">
        <f t="shared" si="137"/>
        <v>HW</v>
      </c>
      <c r="T210" s="12" t="str">
        <f t="shared" si="138"/>
        <v>HW</v>
      </c>
      <c r="U210" s="12" t="str">
        <f t="shared" si="139"/>
        <v>O</v>
      </c>
      <c r="V210" s="12" t="str">
        <f t="shared" si="140"/>
        <v>U</v>
      </c>
      <c r="W210" s="12" t="str">
        <f t="shared" si="141"/>
        <v>U</v>
      </c>
      <c r="X210" s="12" t="str">
        <f t="shared" si="142"/>
        <v>U</v>
      </c>
      <c r="Z210" s="12">
        <v>56.5</v>
      </c>
      <c r="AA210" s="12" t="str">
        <f t="shared" si="132"/>
        <v>CHI/DET</v>
      </c>
    </row>
    <row r="211" spans="1:27" ht="17.100000000000001" x14ac:dyDescent="0.45">
      <c r="A211" s="12">
        <v>191121</v>
      </c>
      <c r="B211" s="1">
        <v>0.41666666666666669</v>
      </c>
      <c r="C211" t="s">
        <v>245</v>
      </c>
      <c r="D2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N211" s="12"/>
      <c r="O211" s="12">
        <f t="shared" si="133"/>
        <v>95</v>
      </c>
      <c r="P211" s="12">
        <f t="shared" si="134"/>
        <v>103</v>
      </c>
      <c r="Q211" s="12" t="str">
        <f t="shared" si="135"/>
        <v>HL</v>
      </c>
      <c r="R211" s="12" t="str">
        <f t="shared" si="136"/>
        <v>HW</v>
      </c>
      <c r="S211" s="12" t="str">
        <f t="shared" si="137"/>
        <v>HL</v>
      </c>
      <c r="T211" s="12" t="str">
        <f t="shared" si="138"/>
        <v>HL</v>
      </c>
      <c r="U211" s="12" t="str">
        <f t="shared" si="139"/>
        <v>U</v>
      </c>
      <c r="V211" s="12" t="str">
        <f t="shared" si="140"/>
        <v>U</v>
      </c>
      <c r="W211" s="12" t="str">
        <f t="shared" si="141"/>
        <v>U</v>
      </c>
      <c r="X211" s="12" t="str">
        <f t="shared" si="142"/>
        <v>O</v>
      </c>
      <c r="Z211" s="12">
        <v>54</v>
      </c>
      <c r="AA211" s="12" t="str">
        <f t="shared" si="132"/>
        <v>MIN/UTA</v>
      </c>
    </row>
    <row r="212" spans="1:27" ht="17.100000000000001" x14ac:dyDescent="0.45">
      <c r="A212" s="12">
        <v>191121</v>
      </c>
      <c r="B212" s="1">
        <v>0.45833333333333331</v>
      </c>
      <c r="C212" t="s">
        <v>230</v>
      </c>
      <c r="D212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N212" s="12"/>
      <c r="O212" s="12">
        <f t="shared" si="133"/>
        <v>105</v>
      </c>
      <c r="P212" s="12">
        <f t="shared" si="134"/>
        <v>95</v>
      </c>
      <c r="Q212" s="12" t="str">
        <f t="shared" si="135"/>
        <v>HW</v>
      </c>
      <c r="R212" s="12" t="str">
        <f t="shared" si="136"/>
        <v>HL</v>
      </c>
      <c r="S212" s="12" t="str">
        <f t="shared" si="137"/>
        <v>HW</v>
      </c>
      <c r="T212" s="12" t="str">
        <f t="shared" si="138"/>
        <v>HW</v>
      </c>
      <c r="U212" s="12" t="str">
        <f t="shared" si="139"/>
        <v>U</v>
      </c>
      <c r="V212" s="12" t="str">
        <f t="shared" si="140"/>
        <v>U</v>
      </c>
      <c r="W212" s="12" t="str">
        <f t="shared" si="141"/>
        <v>U</v>
      </c>
      <c r="X212" s="12" t="str">
        <f t="shared" si="142"/>
        <v>U</v>
      </c>
      <c r="Z212" s="12">
        <v>57</v>
      </c>
      <c r="AA212" s="12" t="str">
        <f t="shared" si="132"/>
        <v>DEN/HOU</v>
      </c>
    </row>
    <row r="213" spans="1:27" ht="17.100000000000001" x14ac:dyDescent="0.45">
      <c r="A213" s="12">
        <v>191121</v>
      </c>
      <c r="B213" s="1">
        <v>0.5</v>
      </c>
      <c r="C213" t="s">
        <v>246</v>
      </c>
      <c r="D213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133"/>
        <v>107</v>
      </c>
      <c r="P213" s="12">
        <f t="shared" si="134"/>
        <v>104</v>
      </c>
      <c r="Q213" s="12" t="str">
        <f t="shared" si="135"/>
        <v>HW</v>
      </c>
      <c r="R213" s="12" t="str">
        <f t="shared" si="136"/>
        <v>HL</v>
      </c>
      <c r="S213" s="12" t="str">
        <f t="shared" si="137"/>
        <v>HL</v>
      </c>
      <c r="T213" s="12" t="str">
        <f t="shared" si="138"/>
        <v>HW</v>
      </c>
      <c r="U213" s="12" t="str">
        <f t="shared" si="139"/>
        <v>U</v>
      </c>
      <c r="V213" s="12" t="str">
        <f t="shared" si="140"/>
        <v>U</v>
      </c>
      <c r="W213" s="12" t="str">
        <f t="shared" si="141"/>
        <v>O</v>
      </c>
      <c r="X213" s="12" t="str">
        <f t="shared" si="142"/>
        <v>U</v>
      </c>
      <c r="Z213" s="12">
        <v>53</v>
      </c>
      <c r="AA213" s="12" t="str">
        <f t="shared" si="132"/>
        <v>LAC/BOS</v>
      </c>
    </row>
    <row r="214" spans="1:27" ht="17.100000000000001" x14ac:dyDescent="0.45">
      <c r="A214" s="12">
        <v>191122</v>
      </c>
      <c r="B214" s="1">
        <v>0.41666666666666669</v>
      </c>
      <c r="C214" s="12" t="s">
        <v>53</v>
      </c>
      <c r="D214" s="12" t="s">
        <v>45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3" si="143">SUM(E214:I214)</f>
        <v>137</v>
      </c>
      <c r="P214" s="12">
        <f t="shared" ref="P214:P253" si="144">SUM(J214:N214)</f>
        <v>129</v>
      </c>
      <c r="Q214" s="12" t="str">
        <f t="shared" ref="Q214:Q253" si="145">IF(E214=J214,"TT",IF(E214&gt;J214,"HW","HL"))</f>
        <v>HW</v>
      </c>
      <c r="R214" s="12" t="str">
        <f t="shared" ref="R214:R253" si="146">IF(F214=K214,"TT",IF(F214&gt;K214,"HW","HL"))</f>
        <v>HW</v>
      </c>
      <c r="S214" s="12" t="str">
        <f t="shared" ref="S214:S253" si="147">IF(G214=L214,"TT",IF(G214&gt;L214,"HW","HL"))</f>
        <v>HL</v>
      </c>
      <c r="T214" s="12" t="str">
        <f t="shared" ref="T214:T253" si="148">IF(H214=M214,"TT",IF(H214&gt;M214,"HW","HL"))</f>
        <v>HL</v>
      </c>
      <c r="U214" s="12" t="str">
        <f t="shared" ref="U214:U253" si="149">IF(SUM(E214,J214)=$Z214,"T",IF(SUM(E214,J214)&gt;$Z214,"O","U"))</f>
        <v>O</v>
      </c>
      <c r="V214" s="12" t="str">
        <f t="shared" ref="V214:V253" si="150">IF(SUM(F214,K214)=$Z214,"T",IF(SUM(F214,K214)&gt;$Z214,"O","U"))</f>
        <v>O</v>
      </c>
      <c r="W214" s="12" t="str">
        <f t="shared" ref="W214:W253" si="151">IF(SUM(G214,L214)=$Z214,"T",IF(SUM(G214,L214)&gt;$Z214,"O","U"))</f>
        <v>O</v>
      </c>
      <c r="X214" s="12" t="str">
        <f t="shared" ref="X214:X253" si="152">IF(SUM(H214,M214)=$Z214,"T",IF(SUM(H214,M214)&gt;$Z214,"O","U"))</f>
        <v>O</v>
      </c>
      <c r="Y214" s="12"/>
      <c r="Z214" s="12">
        <v>55.5</v>
      </c>
      <c r="AA214" t="str">
        <f t="shared" si="132"/>
        <v>MIL/POR</v>
      </c>
    </row>
    <row r="215" spans="1:27" ht="17.100000000000001" x14ac:dyDescent="0.45">
      <c r="A215" s="12">
        <v>191122</v>
      </c>
      <c r="B215" s="1">
        <v>0.52083333333333337</v>
      </c>
      <c r="C215" s="12" t="s">
        <v>43</v>
      </c>
      <c r="D215" s="5" t="s">
        <v>27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O215" s="12">
        <f t="shared" si="143"/>
        <v>121</v>
      </c>
      <c r="P215" s="12">
        <f t="shared" si="144"/>
        <v>124</v>
      </c>
      <c r="Q215" s="12" t="str">
        <f t="shared" si="145"/>
        <v>HL</v>
      </c>
      <c r="R215" s="12" t="str">
        <f t="shared" si="146"/>
        <v>HW</v>
      </c>
      <c r="S215" s="12" t="str">
        <f t="shared" si="147"/>
        <v>HL</v>
      </c>
      <c r="T215" s="12" t="str">
        <f t="shared" si="148"/>
        <v>HL</v>
      </c>
      <c r="U215" s="12" t="str">
        <f t="shared" si="149"/>
        <v>O</v>
      </c>
      <c r="V215" s="12" t="str">
        <f t="shared" si="150"/>
        <v>U</v>
      </c>
      <c r="W215" s="12" t="str">
        <f t="shared" si="151"/>
        <v>O</v>
      </c>
      <c r="X215" s="12" t="str">
        <f t="shared" si="152"/>
        <v>U</v>
      </c>
      <c r="Y215" s="12"/>
      <c r="Z215" s="12">
        <v>60</v>
      </c>
      <c r="AA215" s="12" t="str">
        <f t="shared" si="132"/>
        <v>PHO/NO</v>
      </c>
    </row>
    <row r="216" spans="1:27" ht="17.100000000000001" x14ac:dyDescent="0.45">
      <c r="A216" s="12">
        <v>191123</v>
      </c>
      <c r="B216" s="1">
        <v>0.375</v>
      </c>
      <c r="C216" s="12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43"/>
        <v>128</v>
      </c>
      <c r="P216" s="12">
        <f t="shared" si="144"/>
        <v>103</v>
      </c>
      <c r="Q216" s="12" t="str">
        <f t="shared" si="145"/>
        <v>HW</v>
      </c>
      <c r="R216" s="12" t="str">
        <f t="shared" si="146"/>
        <v>HW</v>
      </c>
      <c r="S216" s="12" t="str">
        <f t="shared" si="147"/>
        <v>HW</v>
      </c>
      <c r="T216" s="12" t="str">
        <f t="shared" si="148"/>
        <v>HW</v>
      </c>
      <c r="U216" s="12" t="str">
        <f t="shared" si="149"/>
        <v>U</v>
      </c>
      <c r="V216" s="12" t="str">
        <f t="shared" si="150"/>
        <v>O</v>
      </c>
      <c r="W216" s="12" t="str">
        <f t="shared" si="151"/>
        <v>U</v>
      </c>
      <c r="X216" s="12" t="str">
        <f t="shared" si="152"/>
        <v>U</v>
      </c>
      <c r="Y216" s="12"/>
      <c r="Z216" s="12">
        <v>58.5</v>
      </c>
      <c r="AA216" s="12" t="str">
        <f t="shared" si="132"/>
        <v>DET/ATL</v>
      </c>
    </row>
    <row r="217" spans="1:27" ht="17.100000000000001" x14ac:dyDescent="0.45">
      <c r="A217" s="12">
        <v>191123</v>
      </c>
      <c r="B217" s="1">
        <v>0.375</v>
      </c>
      <c r="C217" s="12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43"/>
        <v>125</v>
      </c>
      <c r="P217" s="12">
        <f t="shared" si="144"/>
        <v>118</v>
      </c>
      <c r="Q217" s="12" t="str">
        <f t="shared" si="145"/>
        <v>HL</v>
      </c>
      <c r="R217" s="12" t="str">
        <f t="shared" si="146"/>
        <v>HL</v>
      </c>
      <c r="S217" s="12" t="str">
        <f t="shared" si="147"/>
        <v>TT</v>
      </c>
      <c r="T217" s="12" t="str">
        <f t="shared" si="148"/>
        <v>HW</v>
      </c>
      <c r="U217" s="12" t="str">
        <f t="shared" si="149"/>
        <v>O</v>
      </c>
      <c r="V217" s="12" t="str">
        <f t="shared" si="150"/>
        <v>O</v>
      </c>
      <c r="W217" s="12" t="str">
        <f t="shared" si="151"/>
        <v>U</v>
      </c>
      <c r="X217" s="12" t="str">
        <f t="shared" si="152"/>
        <v>U</v>
      </c>
      <c r="Y217" s="12"/>
      <c r="Z217" s="12">
        <v>60.5</v>
      </c>
      <c r="AA217" s="12" t="str">
        <f t="shared" si="132"/>
        <v>WAS/CHA</v>
      </c>
    </row>
    <row r="218" spans="1:27" ht="17.100000000000001" x14ac:dyDescent="0.45">
      <c r="A218" s="12">
        <v>191123</v>
      </c>
      <c r="B218" s="1">
        <v>0.39583333333333331</v>
      </c>
      <c r="C218" s="12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O218" s="12">
        <f t="shared" si="143"/>
        <v>116</v>
      </c>
      <c r="P218" s="12">
        <f t="shared" si="144"/>
        <v>97</v>
      </c>
      <c r="Q218" s="12" t="str">
        <f t="shared" si="145"/>
        <v>HW</v>
      </c>
      <c r="R218" s="12" t="str">
        <f t="shared" si="146"/>
        <v>HW</v>
      </c>
      <c r="S218" s="12" t="str">
        <f t="shared" si="147"/>
        <v>HW</v>
      </c>
      <c r="T218" s="12" t="str">
        <f t="shared" si="148"/>
        <v>HW</v>
      </c>
      <c r="U218" s="12" t="str">
        <f t="shared" si="149"/>
        <v>U</v>
      </c>
      <c r="V218" s="12" t="str">
        <f t="shared" si="150"/>
        <v>O</v>
      </c>
      <c r="W218" s="12" t="str">
        <f t="shared" si="151"/>
        <v>U</v>
      </c>
      <c r="X218" s="12" t="str">
        <f t="shared" si="152"/>
        <v>O</v>
      </c>
      <c r="Y218" s="12"/>
      <c r="Z218" s="12">
        <v>54.5</v>
      </c>
      <c r="AA218" s="12" t="str">
        <f t="shared" si="132"/>
        <v>BKN/SAC</v>
      </c>
    </row>
    <row r="219" spans="1:27" ht="17.100000000000001" x14ac:dyDescent="0.45">
      <c r="A219" s="12">
        <v>191123</v>
      </c>
      <c r="B219" s="1">
        <v>0.41666666666666669</v>
      </c>
      <c r="C219" s="12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43"/>
        <v>108</v>
      </c>
      <c r="P219" s="12">
        <f t="shared" si="144"/>
        <v>116</v>
      </c>
      <c r="Q219" s="12" t="str">
        <f t="shared" si="145"/>
        <v>HL</v>
      </c>
      <c r="R219" s="12" t="str">
        <f t="shared" si="146"/>
        <v>HL</v>
      </c>
      <c r="S219" s="12" t="str">
        <f t="shared" si="147"/>
        <v>HW</v>
      </c>
      <c r="T219" s="12" t="str">
        <f t="shared" si="148"/>
        <v>HW</v>
      </c>
      <c r="U219" s="12" t="str">
        <f t="shared" si="149"/>
        <v>U</v>
      </c>
      <c r="V219" s="12" t="str">
        <f t="shared" si="150"/>
        <v>O</v>
      </c>
      <c r="W219" s="12" t="str">
        <f t="shared" si="151"/>
        <v>U</v>
      </c>
      <c r="X219" s="12" t="str">
        <f t="shared" si="152"/>
        <v>O</v>
      </c>
      <c r="Y219" s="12"/>
      <c r="Z219" s="12">
        <v>55.5</v>
      </c>
      <c r="AA219" s="12" t="str">
        <f t="shared" si="132"/>
        <v>CHI/MIA</v>
      </c>
    </row>
    <row r="220" spans="1:27" ht="17.100000000000001" x14ac:dyDescent="0.45">
      <c r="A220" s="12">
        <v>191123</v>
      </c>
      <c r="B220" s="1">
        <v>0.41666666666666669</v>
      </c>
      <c r="C220" s="12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43"/>
        <v>115</v>
      </c>
      <c r="P220" s="12">
        <f t="shared" si="144"/>
        <v>104</v>
      </c>
      <c r="Q220" s="12" t="str">
        <f t="shared" si="145"/>
        <v>HW</v>
      </c>
      <c r="R220" s="12" t="str">
        <f t="shared" si="146"/>
        <v>TT</v>
      </c>
      <c r="S220" s="12" t="str">
        <f t="shared" si="147"/>
        <v>TT</v>
      </c>
      <c r="T220" s="12" t="str">
        <f t="shared" si="148"/>
        <v>HW</v>
      </c>
      <c r="U220" s="12" t="str">
        <f t="shared" si="149"/>
        <v>U</v>
      </c>
      <c r="V220" s="12" t="str">
        <f t="shared" si="150"/>
        <v>O</v>
      </c>
      <c r="W220" s="12" t="str">
        <f t="shared" si="151"/>
        <v>O</v>
      </c>
      <c r="X220" s="12" t="str">
        <f t="shared" si="152"/>
        <v>U</v>
      </c>
      <c r="Y220" s="12"/>
      <c r="Z220" s="12">
        <v>53.5</v>
      </c>
      <c r="AA220" s="12" t="str">
        <f t="shared" si="132"/>
        <v>PHI/SAS</v>
      </c>
    </row>
    <row r="221" spans="1:27" ht="17.100000000000001" x14ac:dyDescent="0.45">
      <c r="A221" s="12">
        <v>191123</v>
      </c>
      <c r="B221" s="1">
        <v>0.41666666666666669</v>
      </c>
      <c r="C221" s="12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43"/>
        <v>127</v>
      </c>
      <c r="P221" s="12">
        <f t="shared" si="144"/>
        <v>130</v>
      </c>
      <c r="Q221" s="12" t="str">
        <f t="shared" si="145"/>
        <v>HL</v>
      </c>
      <c r="R221" s="12" t="str">
        <f t="shared" si="146"/>
        <v>HW</v>
      </c>
      <c r="S221" s="12" t="str">
        <f t="shared" si="147"/>
        <v>HL</v>
      </c>
      <c r="T221" s="12" t="str">
        <f t="shared" si="148"/>
        <v>TT</v>
      </c>
      <c r="U221" s="12" t="str">
        <f t="shared" si="149"/>
        <v>O</v>
      </c>
      <c r="V221" s="12" t="str">
        <f t="shared" si="150"/>
        <v>O</v>
      </c>
      <c r="W221" s="12" t="str">
        <f t="shared" si="151"/>
        <v>O</v>
      </c>
      <c r="X221" s="12" t="str">
        <f t="shared" si="152"/>
        <v>U</v>
      </c>
      <c r="Y221" s="12"/>
      <c r="Z221" s="12">
        <v>54.5</v>
      </c>
      <c r="AA221" s="12" t="str">
        <f t="shared" si="132"/>
        <v>OKC/LAL</v>
      </c>
    </row>
    <row r="222" spans="1:27" ht="17.100000000000001" x14ac:dyDescent="0.45">
      <c r="A222" s="12">
        <v>191123</v>
      </c>
      <c r="B222" s="1">
        <v>0.4375</v>
      </c>
      <c r="C222" s="12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O222" s="12">
        <f t="shared" si="143"/>
        <v>143</v>
      </c>
      <c r="P222" s="12">
        <f t="shared" si="144"/>
        <v>101</v>
      </c>
      <c r="Q222" s="12" t="str">
        <f t="shared" si="145"/>
        <v>HW</v>
      </c>
      <c r="R222" s="12" t="str">
        <f t="shared" si="146"/>
        <v>HW</v>
      </c>
      <c r="S222" s="12" t="str">
        <f t="shared" si="147"/>
        <v>HW</v>
      </c>
      <c r="T222" s="12" t="str">
        <f t="shared" si="148"/>
        <v>HW</v>
      </c>
      <c r="U222" s="12" t="str">
        <f t="shared" si="149"/>
        <v>O</v>
      </c>
      <c r="V222" s="12" t="str">
        <f t="shared" si="150"/>
        <v>U</v>
      </c>
      <c r="W222" s="12" t="str">
        <f t="shared" si="151"/>
        <v>O</v>
      </c>
      <c r="X222" s="12" t="str">
        <f t="shared" si="152"/>
        <v>O</v>
      </c>
      <c r="Y222" s="12"/>
      <c r="Z222" s="12">
        <v>54</v>
      </c>
      <c r="AA222" s="12" t="str">
        <f t="shared" si="132"/>
        <v>DAL/CLE</v>
      </c>
    </row>
    <row r="223" spans="1:27" ht="17.100000000000001" x14ac:dyDescent="0.45">
      <c r="A223" s="12">
        <v>191123</v>
      </c>
      <c r="B223" s="1">
        <v>0.45833333333333331</v>
      </c>
      <c r="C223" s="12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43"/>
        <v>96</v>
      </c>
      <c r="P223" s="12">
        <f t="shared" si="144"/>
        <v>92</v>
      </c>
      <c r="Q223" s="12" t="str">
        <f t="shared" si="145"/>
        <v>HW</v>
      </c>
      <c r="R223" s="12" t="str">
        <f t="shared" si="146"/>
        <v>HL</v>
      </c>
      <c r="S223" s="12" t="str">
        <f t="shared" si="147"/>
        <v>HW</v>
      </c>
      <c r="T223" s="12" t="str">
        <f t="shared" si="148"/>
        <v>HL</v>
      </c>
      <c r="U223" s="12" t="str">
        <f t="shared" si="149"/>
        <v>U</v>
      </c>
      <c r="V223" s="12" t="str">
        <f t="shared" si="150"/>
        <v>U</v>
      </c>
      <c r="W223" s="12" t="str">
        <f t="shared" si="151"/>
        <v>U</v>
      </c>
      <c r="X223" s="12" t="str">
        <f t="shared" si="152"/>
        <v>O</v>
      </c>
      <c r="Y223" s="12"/>
      <c r="Z223" s="12">
        <v>50</v>
      </c>
      <c r="AA223" s="12" t="str">
        <f t="shared" si="132"/>
        <v>DEN/BOS</v>
      </c>
    </row>
    <row r="224" spans="1:27" ht="17.100000000000001" x14ac:dyDescent="0.45">
      <c r="A224" s="12">
        <v>191123</v>
      </c>
      <c r="B224" s="1">
        <v>0.45833333333333331</v>
      </c>
      <c r="C224" s="12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43"/>
        <v>113</v>
      </c>
      <c r="P224" s="12">
        <f t="shared" si="144"/>
        <v>109</v>
      </c>
      <c r="Q224" s="12" t="str">
        <f t="shared" si="145"/>
        <v>HW</v>
      </c>
      <c r="R224" s="12" t="str">
        <f t="shared" si="146"/>
        <v>HW</v>
      </c>
      <c r="S224" s="12" t="str">
        <f t="shared" si="147"/>
        <v>HW</v>
      </c>
      <c r="T224" s="12" t="str">
        <f t="shared" si="148"/>
        <v>HL</v>
      </c>
      <c r="U224" s="12" t="str">
        <f t="shared" si="149"/>
        <v>O</v>
      </c>
      <c r="V224" s="12" t="str">
        <f t="shared" si="150"/>
        <v>O</v>
      </c>
      <c r="W224" s="12" t="str">
        <f t="shared" si="151"/>
        <v>U</v>
      </c>
      <c r="X224" s="12" t="str">
        <f t="shared" si="152"/>
        <v>O</v>
      </c>
      <c r="Y224" s="12"/>
      <c r="Z224" s="12">
        <v>54</v>
      </c>
      <c r="AA224" s="12" t="str">
        <f t="shared" si="132"/>
        <v>UTA/GS</v>
      </c>
    </row>
    <row r="225" spans="1:27" ht="17.100000000000001" x14ac:dyDescent="0.45">
      <c r="A225" s="12">
        <v>191123</v>
      </c>
      <c r="B225" s="1">
        <v>0.52083333333333337</v>
      </c>
      <c r="C225" s="12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43"/>
        <v>122</v>
      </c>
      <c r="P225" s="12">
        <f t="shared" si="144"/>
        <v>119</v>
      </c>
      <c r="Q225" s="12" t="str">
        <f t="shared" si="145"/>
        <v>HW</v>
      </c>
      <c r="R225" s="12" t="str">
        <f t="shared" si="146"/>
        <v>HL</v>
      </c>
      <c r="S225" s="12" t="str">
        <f t="shared" si="147"/>
        <v>HL</v>
      </c>
      <c r="T225" s="12" t="str">
        <f t="shared" si="148"/>
        <v>HW</v>
      </c>
      <c r="U225" s="12" t="str">
        <f t="shared" si="149"/>
        <v>U</v>
      </c>
      <c r="V225" s="12" t="str">
        <f t="shared" si="150"/>
        <v>U</v>
      </c>
      <c r="W225" s="12" t="str">
        <f t="shared" si="151"/>
        <v>T</v>
      </c>
      <c r="X225" s="12" t="str">
        <f t="shared" si="152"/>
        <v>O</v>
      </c>
      <c r="Y225" s="12"/>
      <c r="Z225" s="12">
        <v>58</v>
      </c>
      <c r="AA225" s="12" t="str">
        <f t="shared" si="132"/>
        <v>LAC/HOU</v>
      </c>
    </row>
    <row r="226" spans="1:27" ht="17.100000000000001" x14ac:dyDescent="0.45">
      <c r="A226" s="12">
        <v>191124</v>
      </c>
      <c r="B226" s="1">
        <v>0.29166666666666669</v>
      </c>
      <c r="C226" s="12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43"/>
        <v>98</v>
      </c>
      <c r="P226" s="12">
        <f t="shared" si="144"/>
        <v>100</v>
      </c>
      <c r="Q226" s="12" t="str">
        <f t="shared" si="145"/>
        <v>HL</v>
      </c>
      <c r="R226" s="12" t="str">
        <f t="shared" si="146"/>
        <v>TT</v>
      </c>
      <c r="S226" s="12" t="str">
        <f t="shared" si="147"/>
        <v>HL</v>
      </c>
      <c r="T226" s="12" t="str">
        <f t="shared" si="148"/>
        <v>HW</v>
      </c>
      <c r="U226" s="12" t="str">
        <f t="shared" si="149"/>
        <v>U</v>
      </c>
      <c r="V226" s="12" t="str">
        <f t="shared" si="150"/>
        <v>U</v>
      </c>
      <c r="W226" s="12" t="str">
        <f t="shared" si="151"/>
        <v>O</v>
      </c>
      <c r="X226" s="12" t="str">
        <f t="shared" si="152"/>
        <v>U</v>
      </c>
      <c r="Y226" s="12"/>
      <c r="Z226" s="12">
        <v>57</v>
      </c>
      <c r="AA226" s="12" t="str">
        <f t="shared" si="132"/>
        <v>MIN/PHO</v>
      </c>
    </row>
    <row r="227" spans="1:27" ht="17.100000000000001" x14ac:dyDescent="0.45">
      <c r="A227" s="12">
        <v>191124</v>
      </c>
      <c r="B227" s="1">
        <v>0.375</v>
      </c>
      <c r="C227" s="12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43"/>
        <v>111</v>
      </c>
      <c r="P227" s="12">
        <f t="shared" si="144"/>
        <v>106</v>
      </c>
      <c r="Q227" s="12" t="str">
        <f t="shared" si="145"/>
        <v>HL</v>
      </c>
      <c r="R227" s="12" t="str">
        <f t="shared" si="146"/>
        <v>HW</v>
      </c>
      <c r="S227" s="12" t="str">
        <f t="shared" si="147"/>
        <v>HL</v>
      </c>
      <c r="T227" s="12" t="str">
        <f t="shared" si="148"/>
        <v>HW</v>
      </c>
      <c r="U227" s="12" t="str">
        <f t="shared" si="149"/>
        <v>U</v>
      </c>
      <c r="V227" s="12" t="str">
        <f t="shared" si="150"/>
        <v>U</v>
      </c>
      <c r="W227" s="12" t="str">
        <f t="shared" si="151"/>
        <v>O</v>
      </c>
      <c r="X227" s="12" t="str">
        <f t="shared" si="152"/>
        <v>U</v>
      </c>
      <c r="Y227" s="12"/>
      <c r="Z227" s="12">
        <v>52</v>
      </c>
      <c r="AA227" s="12" t="str">
        <f t="shared" si="132"/>
        <v>IND/ORL</v>
      </c>
    </row>
    <row r="228" spans="1:27" ht="17.100000000000001" x14ac:dyDescent="0.45">
      <c r="A228" s="12">
        <v>191124</v>
      </c>
      <c r="B228" s="1">
        <v>0.375</v>
      </c>
      <c r="C228" s="12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43"/>
        <v>115</v>
      </c>
      <c r="P228" s="12">
        <f t="shared" si="144"/>
        <v>116</v>
      </c>
      <c r="Q228" s="12" t="str">
        <f t="shared" si="145"/>
        <v>HL</v>
      </c>
      <c r="R228" s="12" t="str">
        <f t="shared" si="146"/>
        <v>HW</v>
      </c>
      <c r="S228" s="12" t="str">
        <f t="shared" si="147"/>
        <v>HW</v>
      </c>
      <c r="T228" s="12" t="str">
        <f t="shared" si="148"/>
        <v>HL</v>
      </c>
      <c r="U228" s="12" t="str">
        <f t="shared" si="149"/>
        <v>O</v>
      </c>
      <c r="V228" s="12" t="str">
        <f t="shared" si="150"/>
        <v>U</v>
      </c>
      <c r="W228" s="12" t="str">
        <f t="shared" si="151"/>
        <v>U</v>
      </c>
      <c r="X228" s="12" t="str">
        <f t="shared" si="152"/>
        <v>O</v>
      </c>
      <c r="Y228" s="12"/>
      <c r="Z228" s="12">
        <v>54.5</v>
      </c>
      <c r="AA228" s="12" t="str">
        <f t="shared" si="132"/>
        <v>CHA/CHI</v>
      </c>
    </row>
    <row r="229" spans="1:27" ht="17.100000000000001" x14ac:dyDescent="0.45">
      <c r="A229" s="12">
        <v>191124</v>
      </c>
      <c r="B229" s="1">
        <v>0.39583333333333331</v>
      </c>
      <c r="C229" s="12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43"/>
        <v>116</v>
      </c>
      <c r="P229" s="12">
        <f t="shared" si="144"/>
        <v>119</v>
      </c>
      <c r="Q229" s="12" t="str">
        <f t="shared" si="145"/>
        <v>HW</v>
      </c>
      <c r="R229" s="12" t="str">
        <f t="shared" si="146"/>
        <v>HW</v>
      </c>
      <c r="S229" s="12" t="str">
        <f t="shared" si="147"/>
        <v>HL</v>
      </c>
      <c r="T229" s="12" t="str">
        <f t="shared" si="148"/>
        <v>HL</v>
      </c>
      <c r="U229" s="12" t="str">
        <f t="shared" si="149"/>
        <v>U</v>
      </c>
      <c r="V229" s="12" t="str">
        <f t="shared" si="150"/>
        <v>O</v>
      </c>
      <c r="W229" s="12" t="str">
        <f t="shared" si="151"/>
        <v>O</v>
      </c>
      <c r="X229" s="12" t="str">
        <f t="shared" si="152"/>
        <v>O</v>
      </c>
      <c r="Y229" s="12"/>
      <c r="Z229" s="12">
        <v>57.5</v>
      </c>
      <c r="AA229" s="12" t="str">
        <f t="shared" si="132"/>
        <v>ATL/TOR</v>
      </c>
    </row>
    <row r="230" spans="1:27" ht="17.100000000000001" x14ac:dyDescent="0.45">
      <c r="A230" s="12">
        <v>191124</v>
      </c>
      <c r="B230" s="1">
        <v>0.39583333333333331</v>
      </c>
      <c r="C230" s="12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43"/>
        <v>104</v>
      </c>
      <c r="P230" s="12">
        <f t="shared" si="144"/>
        <v>111</v>
      </c>
      <c r="Q230" s="12" t="str">
        <f t="shared" si="145"/>
        <v>HL</v>
      </c>
      <c r="R230" s="12" t="str">
        <f t="shared" si="146"/>
        <v>HL</v>
      </c>
      <c r="S230" s="12" t="str">
        <f t="shared" si="147"/>
        <v>HW</v>
      </c>
      <c r="T230" s="12" t="str">
        <f t="shared" si="148"/>
        <v>HW</v>
      </c>
      <c r="U230" s="12" t="str">
        <f t="shared" si="149"/>
        <v>U</v>
      </c>
      <c r="V230" s="12" t="str">
        <f t="shared" si="150"/>
        <v>O</v>
      </c>
      <c r="W230" s="12" t="str">
        <f t="shared" si="151"/>
        <v>U</v>
      </c>
      <c r="X230" s="12" t="str">
        <f t="shared" si="152"/>
        <v>O</v>
      </c>
      <c r="Y230" s="12"/>
      <c r="Z230" s="12">
        <v>52.5</v>
      </c>
      <c r="AA230" s="12" t="str">
        <f t="shared" si="132"/>
        <v>NYK/SAS</v>
      </c>
    </row>
    <row r="231" spans="1:27" ht="17.100000000000001" x14ac:dyDescent="0.45">
      <c r="A231" s="12">
        <v>191124</v>
      </c>
      <c r="B231" s="1">
        <v>0.39583333333333331</v>
      </c>
      <c r="C231" s="12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43"/>
        <v>113</v>
      </c>
      <c r="P231" s="12">
        <f t="shared" si="144"/>
        <v>86</v>
      </c>
      <c r="Q231" s="12" t="str">
        <f t="shared" si="145"/>
        <v>HW</v>
      </c>
      <c r="R231" s="12" t="str">
        <f t="shared" si="146"/>
        <v>HW</v>
      </c>
      <c r="S231" s="12" t="str">
        <f t="shared" si="147"/>
        <v>HW</v>
      </c>
      <c r="T231" s="12" t="str">
        <f t="shared" si="148"/>
        <v>HL</v>
      </c>
      <c r="U231" s="12" t="str">
        <f t="shared" si="149"/>
        <v>U</v>
      </c>
      <c r="V231" s="12" t="str">
        <f t="shared" si="150"/>
        <v>U</v>
      </c>
      <c r="W231" s="12" t="str">
        <f t="shared" si="151"/>
        <v>O</v>
      </c>
      <c r="X231" s="12" t="str">
        <f t="shared" si="152"/>
        <v>U</v>
      </c>
      <c r="Y231" s="12"/>
      <c r="Z231" s="12">
        <v>54.5</v>
      </c>
      <c r="AA231" s="12" t="str">
        <f t="shared" si="132"/>
        <v>PHI/MIA</v>
      </c>
    </row>
    <row r="232" spans="1:27" ht="17.100000000000001" x14ac:dyDescent="0.45">
      <c r="A232" s="12">
        <v>191124</v>
      </c>
      <c r="B232" s="1">
        <v>0.41666666666666669</v>
      </c>
      <c r="C232" s="12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43"/>
        <v>110</v>
      </c>
      <c r="P232" s="12">
        <f t="shared" si="144"/>
        <v>104</v>
      </c>
      <c r="Q232" s="12" t="str">
        <f t="shared" si="145"/>
        <v>TT</v>
      </c>
      <c r="R232" s="12" t="str">
        <f t="shared" si="146"/>
        <v>HW</v>
      </c>
      <c r="S232" s="12" t="str">
        <f t="shared" si="147"/>
        <v>TT</v>
      </c>
      <c r="T232" s="12" t="str">
        <f t="shared" si="148"/>
        <v>HL</v>
      </c>
      <c r="U232" s="12" t="str">
        <f t="shared" si="149"/>
        <v>U</v>
      </c>
      <c r="V232" s="12" t="str">
        <f t="shared" si="150"/>
        <v>U</v>
      </c>
      <c r="W232" s="12" t="str">
        <f t="shared" si="151"/>
        <v>U</v>
      </c>
      <c r="X232" s="12" t="str">
        <f t="shared" si="152"/>
        <v>O</v>
      </c>
      <c r="Y232" s="12"/>
      <c r="Z232" s="12">
        <v>55</v>
      </c>
      <c r="AA232" s="12" t="str">
        <f t="shared" si="132"/>
        <v>CLE/POR</v>
      </c>
    </row>
    <row r="233" spans="1:27" ht="17.100000000000001" x14ac:dyDescent="0.45">
      <c r="A233" s="12">
        <v>191124</v>
      </c>
      <c r="B233" s="1">
        <v>0.41666666666666669</v>
      </c>
      <c r="C233" s="12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43"/>
        <v>108</v>
      </c>
      <c r="P233" s="12">
        <f t="shared" si="144"/>
        <v>109</v>
      </c>
      <c r="Q233" s="12" t="str">
        <f t="shared" si="145"/>
        <v>HW</v>
      </c>
      <c r="R233" s="12" t="str">
        <f t="shared" si="146"/>
        <v>HL</v>
      </c>
      <c r="S233" s="12" t="str">
        <f t="shared" si="147"/>
        <v>HL</v>
      </c>
      <c r="T233" s="12" t="str">
        <f t="shared" si="148"/>
        <v>TT</v>
      </c>
      <c r="U233" s="12" t="str">
        <f t="shared" si="149"/>
        <v>O</v>
      </c>
      <c r="V233" s="12" t="str">
        <f t="shared" si="150"/>
        <v>O</v>
      </c>
      <c r="W233" s="12" t="str">
        <f t="shared" si="151"/>
        <v>U</v>
      </c>
      <c r="X233" s="12" t="str">
        <f t="shared" si="152"/>
        <v>U</v>
      </c>
      <c r="Y233" s="12"/>
      <c r="Z233" s="12">
        <v>57.5</v>
      </c>
      <c r="AA233" s="12" t="str">
        <f t="shared" si="132"/>
        <v>MEM/LAL</v>
      </c>
    </row>
    <row r="234" spans="1:27" ht="17.100000000000001" x14ac:dyDescent="0.45">
      <c r="A234" s="12">
        <v>191124</v>
      </c>
      <c r="B234" s="1">
        <v>0.4375</v>
      </c>
      <c r="C234" s="12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43"/>
        <v>104</v>
      </c>
      <c r="P234" s="12">
        <f t="shared" si="144"/>
        <v>90</v>
      </c>
      <c r="Q234" s="12" t="str">
        <f t="shared" si="145"/>
        <v>HW</v>
      </c>
      <c r="R234" s="12" t="str">
        <f t="shared" si="146"/>
        <v>HW</v>
      </c>
      <c r="S234" s="12" t="str">
        <f t="shared" si="147"/>
        <v>HW</v>
      </c>
      <c r="T234" s="12" t="str">
        <f t="shared" si="148"/>
        <v>HW</v>
      </c>
      <c r="U234" s="12" t="str">
        <f t="shared" si="149"/>
        <v>U</v>
      </c>
      <c r="V234" s="12" t="str">
        <f t="shared" si="150"/>
        <v>U</v>
      </c>
      <c r="W234" s="12" t="str">
        <f t="shared" si="151"/>
        <v>U</v>
      </c>
      <c r="X234" s="12" t="str">
        <f t="shared" si="152"/>
        <v>U</v>
      </c>
      <c r="Y234" s="12"/>
      <c r="Z234" s="12">
        <v>58</v>
      </c>
      <c r="AA234" s="12" t="str">
        <f t="shared" si="132"/>
        <v>MIL/DET</v>
      </c>
    </row>
    <row r="235" spans="1:27" ht="17.100000000000001" x14ac:dyDescent="0.45">
      <c r="A235" s="12">
        <v>191124</v>
      </c>
      <c r="B235" s="1">
        <v>0.45833333333333331</v>
      </c>
      <c r="C235" s="12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43"/>
        <v>128</v>
      </c>
      <c r="P235" s="12">
        <f t="shared" si="144"/>
        <v>120</v>
      </c>
      <c r="Q235" s="12" t="str">
        <f t="shared" si="145"/>
        <v>HW</v>
      </c>
      <c r="R235" s="12" t="str">
        <f t="shared" si="146"/>
        <v>HW</v>
      </c>
      <c r="S235" s="12" t="str">
        <f t="shared" si="147"/>
        <v>HL</v>
      </c>
      <c r="T235" s="12" t="str">
        <f t="shared" si="148"/>
        <v>HL</v>
      </c>
      <c r="U235" s="12" t="str">
        <f t="shared" si="149"/>
        <v>O</v>
      </c>
      <c r="V235" s="12" t="str">
        <f t="shared" si="150"/>
        <v>U</v>
      </c>
      <c r="W235" s="12" t="str">
        <f t="shared" si="151"/>
        <v>O</v>
      </c>
      <c r="X235" s="12" t="str">
        <f t="shared" si="152"/>
        <v>O</v>
      </c>
      <c r="Y235" s="12"/>
      <c r="Z235" s="12">
        <v>57</v>
      </c>
      <c r="AA235" s="12" t="str">
        <f t="shared" si="132"/>
        <v>UTA/NO</v>
      </c>
    </row>
    <row r="236" spans="1:27" ht="17.100000000000001" x14ac:dyDescent="0.45">
      <c r="A236" s="12">
        <v>191125</v>
      </c>
      <c r="B236" s="1">
        <v>0.22916666666666666</v>
      </c>
      <c r="C236" s="12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43"/>
        <v>123</v>
      </c>
      <c r="P236" s="12">
        <f t="shared" si="144"/>
        <v>137</v>
      </c>
      <c r="Q236" s="12" t="str">
        <f t="shared" si="145"/>
        <v>HL</v>
      </c>
      <c r="R236" s="12" t="str">
        <f t="shared" si="146"/>
        <v>HL</v>
      </c>
      <c r="S236" s="12" t="str">
        <f t="shared" si="147"/>
        <v>HW</v>
      </c>
      <c r="T236" s="12" t="str">
        <f t="shared" si="148"/>
        <v>HL</v>
      </c>
      <c r="U236" s="12" t="str">
        <f t="shared" si="149"/>
        <v>O</v>
      </c>
      <c r="V236" s="12" t="str">
        <f t="shared" si="150"/>
        <v>O</v>
      </c>
      <c r="W236" s="12" t="str">
        <f t="shared" si="151"/>
        <v>O</v>
      </c>
      <c r="X236" s="12" t="str">
        <f t="shared" si="152"/>
        <v>O</v>
      </c>
      <c r="Y236" s="12"/>
      <c r="Z236" s="12">
        <v>59.5</v>
      </c>
      <c r="AA236" s="12" t="str">
        <f t="shared" si="132"/>
        <v>HOU/DAL</v>
      </c>
    </row>
    <row r="237" spans="1:27" ht="17.100000000000001" x14ac:dyDescent="0.45">
      <c r="A237" s="12">
        <v>191125</v>
      </c>
      <c r="B237" s="1">
        <v>0.33333333333333331</v>
      </c>
      <c r="C237" s="12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43"/>
        <v>101</v>
      </c>
      <c r="P237" s="12">
        <f t="shared" si="144"/>
        <v>103</v>
      </c>
      <c r="Q237" s="12" t="str">
        <f t="shared" si="145"/>
        <v>HL</v>
      </c>
      <c r="R237" s="12" t="str">
        <f t="shared" si="146"/>
        <v>HW</v>
      </c>
      <c r="S237" s="12" t="str">
        <f t="shared" si="147"/>
        <v>HL</v>
      </c>
      <c r="T237" s="12" t="str">
        <f t="shared" si="148"/>
        <v>HW</v>
      </c>
      <c r="U237" s="12" t="str">
        <f t="shared" si="149"/>
        <v>U</v>
      </c>
      <c r="V237" s="12" t="str">
        <f t="shared" si="150"/>
        <v>U</v>
      </c>
      <c r="W237" s="12" t="str">
        <f t="shared" si="151"/>
        <v>O</v>
      </c>
      <c r="X237" s="12" t="str">
        <f t="shared" si="152"/>
        <v>U</v>
      </c>
      <c r="Y237" s="12"/>
      <c r="Z237" s="12">
        <v>52</v>
      </c>
      <c r="AA237" s="12" t="str">
        <f t="shared" si="132"/>
        <v>NYK/BKN</v>
      </c>
    </row>
    <row r="238" spans="1:27" ht="17.100000000000001" x14ac:dyDescent="0.45">
      <c r="A238" s="12">
        <v>191125</v>
      </c>
      <c r="B238" s="1">
        <v>0.33333333333333331</v>
      </c>
      <c r="C238" s="12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43"/>
        <v>106</v>
      </c>
      <c r="P238" s="12">
        <f t="shared" si="144"/>
        <v>113</v>
      </c>
      <c r="Q238" s="12" t="str">
        <f t="shared" si="145"/>
        <v>HW</v>
      </c>
      <c r="R238" s="12" t="str">
        <f t="shared" si="146"/>
        <v>HL</v>
      </c>
      <c r="S238" s="12" t="str">
        <f t="shared" si="147"/>
        <v>HL</v>
      </c>
      <c r="T238" s="12" t="str">
        <f t="shared" si="148"/>
        <v>HL</v>
      </c>
      <c r="U238" s="12" t="str">
        <f t="shared" si="149"/>
        <v>U</v>
      </c>
      <c r="V238" s="12" t="str">
        <f t="shared" si="150"/>
        <v>O</v>
      </c>
      <c r="W238" s="12" t="str">
        <f t="shared" si="151"/>
        <v>O</v>
      </c>
      <c r="X238" s="12" t="str">
        <f t="shared" si="152"/>
        <v>U</v>
      </c>
      <c r="Y238" s="12"/>
      <c r="Z238" s="12">
        <v>60.5</v>
      </c>
      <c r="AA238" s="12" t="str">
        <f t="shared" si="132"/>
        <v>WAS/SAC</v>
      </c>
    </row>
    <row r="239" spans="1:27" ht="17.100000000000001" x14ac:dyDescent="0.45">
      <c r="A239" s="12">
        <v>191125</v>
      </c>
      <c r="B239" s="1">
        <v>0.41666666666666669</v>
      </c>
      <c r="C239" s="12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43"/>
        <v>116</v>
      </c>
      <c r="P239" s="12">
        <f t="shared" si="144"/>
        <v>104</v>
      </c>
      <c r="Q239" s="12" t="str">
        <f t="shared" si="145"/>
        <v>TT</v>
      </c>
      <c r="R239" s="12" t="str">
        <f t="shared" si="146"/>
        <v>HL</v>
      </c>
      <c r="S239" s="12" t="str">
        <f t="shared" si="147"/>
        <v>HW</v>
      </c>
      <c r="T239" s="12" t="str">
        <f t="shared" si="148"/>
        <v>HW</v>
      </c>
      <c r="U239" s="12" t="str">
        <f t="shared" si="149"/>
        <v>O</v>
      </c>
      <c r="V239" s="12" t="str">
        <f t="shared" si="150"/>
        <v>O</v>
      </c>
      <c r="W239" s="12" t="str">
        <f t="shared" si="151"/>
        <v>U</v>
      </c>
      <c r="X239" s="12" t="str">
        <f t="shared" si="152"/>
        <v>O</v>
      </c>
      <c r="Y239" s="12"/>
      <c r="Z239" s="12">
        <v>52</v>
      </c>
      <c r="AA239" s="12" t="str">
        <f t="shared" si="132"/>
        <v>DEN/PHO</v>
      </c>
    </row>
    <row r="240" spans="1:27" ht="17.100000000000001" x14ac:dyDescent="0.45">
      <c r="A240" s="12">
        <v>191125</v>
      </c>
      <c r="B240" s="1">
        <v>0.45833333333333331</v>
      </c>
      <c r="C240" s="12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43"/>
        <v>134</v>
      </c>
      <c r="P240" s="12">
        <f t="shared" si="144"/>
        <v>109</v>
      </c>
      <c r="Q240" s="12" t="str">
        <f t="shared" si="145"/>
        <v>HW</v>
      </c>
      <c r="R240" s="12" t="str">
        <f t="shared" si="146"/>
        <v>HW</v>
      </c>
      <c r="S240" s="12" t="str">
        <f t="shared" si="147"/>
        <v>HL</v>
      </c>
      <c r="T240" s="12" t="str">
        <f t="shared" si="148"/>
        <v>HW</v>
      </c>
      <c r="U240" s="12" t="str">
        <f t="shared" si="149"/>
        <v>O</v>
      </c>
      <c r="V240" s="12" t="str">
        <f t="shared" si="150"/>
        <v>O</v>
      </c>
      <c r="W240" s="12" t="str">
        <f t="shared" si="151"/>
        <v>U</v>
      </c>
      <c r="X240" s="12" t="str">
        <f t="shared" si="152"/>
        <v>U</v>
      </c>
      <c r="Y240" s="12"/>
      <c r="Z240" s="12">
        <v>59.5</v>
      </c>
      <c r="AA240" s="12" t="str">
        <f t="shared" ref="AA240:AA331" si="153">C240&amp;"/"&amp;D240</f>
        <v>LAC/NO</v>
      </c>
    </row>
    <row r="241" spans="1:27" ht="17.100000000000001" x14ac:dyDescent="0.45">
      <c r="A241" s="12">
        <v>191126</v>
      </c>
      <c r="B241" s="1">
        <v>0.375</v>
      </c>
      <c r="C241" s="12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43"/>
        <v>106</v>
      </c>
      <c r="P241" s="12">
        <f t="shared" si="144"/>
        <v>108</v>
      </c>
      <c r="Q241" s="12" t="str">
        <f t="shared" si="145"/>
        <v>HW</v>
      </c>
      <c r="R241" s="12" t="str">
        <f t="shared" si="146"/>
        <v>HL</v>
      </c>
      <c r="S241" s="12" t="str">
        <f t="shared" si="147"/>
        <v>HL</v>
      </c>
      <c r="T241" s="12" t="str">
        <f t="shared" si="148"/>
        <v>HW</v>
      </c>
      <c r="U241" s="12" t="str">
        <f t="shared" si="149"/>
        <v>U</v>
      </c>
      <c r="V241" s="12" t="str">
        <f t="shared" si="150"/>
        <v>U</v>
      </c>
      <c r="W241" s="12" t="str">
        <f t="shared" si="151"/>
        <v>T</v>
      </c>
      <c r="X241" s="12" t="str">
        <f t="shared" si="152"/>
        <v>O</v>
      </c>
      <c r="Y241" s="12"/>
      <c r="Z241" s="12">
        <v>53</v>
      </c>
      <c r="AA241" s="12" t="str">
        <f t="shared" si="153"/>
        <v>CLE/BKN</v>
      </c>
    </row>
    <row r="242" spans="1:27" ht="17.100000000000001" x14ac:dyDescent="0.45">
      <c r="A242" s="12">
        <v>191126</v>
      </c>
      <c r="B242" s="1">
        <v>0.375</v>
      </c>
      <c r="C242" s="12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43"/>
        <v>103</v>
      </c>
      <c r="P242" s="12">
        <f t="shared" si="144"/>
        <v>88</v>
      </c>
      <c r="Q242" s="12" t="str">
        <f t="shared" si="145"/>
        <v>HL</v>
      </c>
      <c r="R242" s="12" t="str">
        <f t="shared" si="146"/>
        <v>HW</v>
      </c>
      <c r="S242" s="12" t="str">
        <f t="shared" si="147"/>
        <v>HW</v>
      </c>
      <c r="T242" s="12" t="str">
        <f t="shared" si="148"/>
        <v>HW</v>
      </c>
      <c r="U242" s="12" t="str">
        <f t="shared" si="149"/>
        <v>O</v>
      </c>
      <c r="V242" s="12" t="str">
        <f t="shared" si="150"/>
        <v>O</v>
      </c>
      <c r="W242" s="12" t="str">
        <f t="shared" si="151"/>
        <v>U</v>
      </c>
      <c r="X242" s="12" t="str">
        <f t="shared" si="152"/>
        <v>U</v>
      </c>
      <c r="Y242" s="12"/>
      <c r="Z242" s="12">
        <v>53.5</v>
      </c>
      <c r="AA242" s="12" t="str">
        <f t="shared" si="153"/>
        <v>DET/ORL</v>
      </c>
    </row>
    <row r="243" spans="1:27" ht="17.100000000000001" x14ac:dyDescent="0.45">
      <c r="A243" s="12">
        <v>191126</v>
      </c>
      <c r="B243" s="1">
        <v>0.375</v>
      </c>
      <c r="C243" s="12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43"/>
        <v>126</v>
      </c>
      <c r="P243" s="12">
        <f t="shared" si="144"/>
        <v>114</v>
      </c>
      <c r="Q243" s="12" t="str">
        <f t="shared" si="145"/>
        <v>HW</v>
      </c>
      <c r="R243" s="12" t="str">
        <f t="shared" si="146"/>
        <v>HW</v>
      </c>
      <c r="S243" s="12" t="str">
        <f t="shared" si="147"/>
        <v>HW</v>
      </c>
      <c r="T243" s="12" t="str">
        <f t="shared" si="148"/>
        <v>HL</v>
      </c>
      <c r="U243" s="12" t="str">
        <f t="shared" si="149"/>
        <v>O</v>
      </c>
      <c r="V243" s="12" t="str">
        <f t="shared" si="150"/>
        <v>O</v>
      </c>
      <c r="W243" s="12" t="str">
        <f t="shared" si="151"/>
        <v>O</v>
      </c>
      <c r="X243" s="12" t="str">
        <f t="shared" si="152"/>
        <v>U</v>
      </c>
      <c r="Y243" s="12"/>
      <c r="Z243" s="12">
        <v>53.5</v>
      </c>
      <c r="AA243" s="12" t="str">
        <f t="shared" si="153"/>
        <v>IND/MEM</v>
      </c>
    </row>
    <row r="244" spans="1:27" ht="17.100000000000001" x14ac:dyDescent="0.45">
      <c r="A244" s="12">
        <v>191126</v>
      </c>
      <c r="B244" s="1">
        <v>0.39583333333333331</v>
      </c>
      <c r="C244" s="12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43"/>
        <v>113</v>
      </c>
      <c r="P244" s="12">
        <f t="shared" si="144"/>
        <v>125</v>
      </c>
      <c r="Q244" s="12" t="str">
        <f t="shared" si="145"/>
        <v>HL</v>
      </c>
      <c r="R244" s="12" t="str">
        <f t="shared" si="146"/>
        <v>HW</v>
      </c>
      <c r="S244" s="12" t="str">
        <f t="shared" si="147"/>
        <v>HL</v>
      </c>
      <c r="T244" s="12" t="str">
        <f t="shared" si="148"/>
        <v>HL</v>
      </c>
      <c r="U244" s="12" t="str">
        <f t="shared" si="149"/>
        <v>O</v>
      </c>
      <c r="V244" s="12" t="str">
        <f t="shared" si="150"/>
        <v>U</v>
      </c>
      <c r="W244" s="12" t="str">
        <f t="shared" si="151"/>
        <v>O</v>
      </c>
      <c r="X244" s="12" t="str">
        <f t="shared" si="152"/>
        <v>U</v>
      </c>
      <c r="Y244" s="12"/>
      <c r="Z244" s="12">
        <v>60</v>
      </c>
      <c r="AA244" s="12" t="str">
        <f t="shared" si="153"/>
        <v>ATL/MIN</v>
      </c>
    </row>
    <row r="245" spans="1:27" ht="17.100000000000001" x14ac:dyDescent="0.45">
      <c r="A245" s="12">
        <v>191126</v>
      </c>
      <c r="B245" s="1">
        <v>0.39583333333333331</v>
      </c>
      <c r="C245" s="12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43"/>
        <v>103</v>
      </c>
      <c r="P245" s="12">
        <f t="shared" si="144"/>
        <v>102</v>
      </c>
      <c r="Q245" s="12" t="str">
        <f t="shared" si="145"/>
        <v>HL</v>
      </c>
      <c r="R245" s="12" t="str">
        <f t="shared" si="146"/>
        <v>HW</v>
      </c>
      <c r="S245" s="12" t="str">
        <f t="shared" si="147"/>
        <v>HL</v>
      </c>
      <c r="T245" s="12" t="str">
        <f t="shared" si="148"/>
        <v>HW</v>
      </c>
      <c r="U245" s="12" t="str">
        <f t="shared" si="149"/>
        <v>U</v>
      </c>
      <c r="V245" s="12" t="str">
        <f t="shared" si="150"/>
        <v>O</v>
      </c>
      <c r="W245" s="12" t="str">
        <f t="shared" si="151"/>
        <v>U</v>
      </c>
      <c r="X245" s="12" t="str">
        <f t="shared" si="152"/>
        <v>O</v>
      </c>
      <c r="Y245" s="12"/>
      <c r="Z245" s="12">
        <v>52.5</v>
      </c>
      <c r="AA245" s="12" t="str">
        <f t="shared" si="153"/>
        <v>BOS/SAC</v>
      </c>
    </row>
    <row r="246" spans="1:27" ht="17.100000000000001" x14ac:dyDescent="0.45">
      <c r="A246" s="12">
        <v>191126</v>
      </c>
      <c r="B246" s="1">
        <v>0.39583333333333331</v>
      </c>
      <c r="C246" s="12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43"/>
        <v>117</v>
      </c>
      <c r="P246" s="12">
        <f t="shared" si="144"/>
        <v>100</v>
      </c>
      <c r="Q246" s="12" t="str">
        <f t="shared" si="145"/>
        <v>HW</v>
      </c>
      <c r="R246" s="12" t="str">
        <f t="shared" si="146"/>
        <v>HW</v>
      </c>
      <c r="S246" s="12" t="str">
        <f t="shared" si="147"/>
        <v>HW</v>
      </c>
      <c r="T246" s="12" t="str">
        <f t="shared" si="148"/>
        <v>HW</v>
      </c>
      <c r="U246" s="12" t="str">
        <f t="shared" si="149"/>
        <v>O</v>
      </c>
      <c r="V246" s="12" t="str">
        <f t="shared" si="150"/>
        <v>O</v>
      </c>
      <c r="W246" s="12" t="str">
        <f t="shared" si="151"/>
        <v>U</v>
      </c>
      <c r="X246" s="12" t="str">
        <f t="shared" si="152"/>
        <v>U</v>
      </c>
      <c r="Y246" s="12"/>
      <c r="Z246" s="12">
        <v>55</v>
      </c>
      <c r="AA246" s="12" t="str">
        <f t="shared" si="153"/>
        <v>MIA/CHA</v>
      </c>
    </row>
    <row r="247" spans="1:27" ht="17.100000000000001" x14ac:dyDescent="0.45">
      <c r="A247" s="12">
        <v>191126</v>
      </c>
      <c r="B247" s="1">
        <v>0.39583333333333331</v>
      </c>
      <c r="C247" s="12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43"/>
        <v>101</v>
      </c>
      <c r="P247" s="12">
        <f t="shared" si="144"/>
        <v>96</v>
      </c>
      <c r="Q247" s="12" t="str">
        <f t="shared" si="145"/>
        <v>HL</v>
      </c>
      <c r="R247" s="12" t="str">
        <f t="shared" si="146"/>
        <v>HW</v>
      </c>
      <c r="S247" s="12" t="str">
        <f t="shared" si="147"/>
        <v>HL</v>
      </c>
      <c r="T247" s="12" t="str">
        <f t="shared" si="148"/>
        <v>HW</v>
      </c>
      <c r="U247" s="12" t="str">
        <f t="shared" si="149"/>
        <v>O</v>
      </c>
      <c r="V247" s="12" t="str">
        <f t="shared" si="150"/>
        <v>U</v>
      </c>
      <c r="W247" s="12" t="str">
        <f t="shared" si="151"/>
        <v>O</v>
      </c>
      <c r="X247" s="12" t="str">
        <f t="shared" si="152"/>
        <v>U</v>
      </c>
      <c r="Y247" s="12"/>
      <c r="Z247" s="12">
        <v>52</v>
      </c>
      <c r="AA247" s="12" t="str">
        <f t="shared" si="153"/>
        <v>TOR/PHI</v>
      </c>
    </row>
    <row r="248" spans="1:27" ht="17.100000000000001" x14ac:dyDescent="0.45">
      <c r="A248" s="12">
        <v>191126</v>
      </c>
      <c r="B248" s="1">
        <v>0.41666666666666669</v>
      </c>
      <c r="C248" s="12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43"/>
        <v>94</v>
      </c>
      <c r="P248" s="12">
        <f t="shared" si="144"/>
        <v>117</v>
      </c>
      <c r="Q248" s="12" t="str">
        <f t="shared" si="145"/>
        <v>HW</v>
      </c>
      <c r="R248" s="12" t="str">
        <f t="shared" si="146"/>
        <v>HL</v>
      </c>
      <c r="S248" s="12" t="str">
        <f t="shared" si="147"/>
        <v>HL</v>
      </c>
      <c r="T248" s="12" t="str">
        <f t="shared" si="148"/>
        <v>HL</v>
      </c>
      <c r="U248" s="12" t="str">
        <f t="shared" si="149"/>
        <v>T</v>
      </c>
      <c r="V248" s="12" t="str">
        <f t="shared" si="150"/>
        <v>O</v>
      </c>
      <c r="W248" s="12" t="str">
        <f t="shared" si="151"/>
        <v>U</v>
      </c>
      <c r="X248" s="12" t="str">
        <f t="shared" si="152"/>
        <v>U</v>
      </c>
      <c r="Y248" s="12"/>
      <c r="Z248" s="12">
        <v>55</v>
      </c>
      <c r="AA248" s="12" t="str">
        <f t="shared" si="153"/>
        <v>CHI/POR</v>
      </c>
    </row>
    <row r="249" spans="1:27" ht="17.100000000000001" x14ac:dyDescent="0.45">
      <c r="A249" s="12">
        <v>191126</v>
      </c>
      <c r="B249" s="1">
        <v>0.41666666666666669</v>
      </c>
      <c r="C249" s="12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43"/>
        <v>122</v>
      </c>
      <c r="P249" s="12">
        <f t="shared" si="144"/>
        <v>118</v>
      </c>
      <c r="Q249" s="12" t="str">
        <f t="shared" si="145"/>
        <v>HL</v>
      </c>
      <c r="R249" s="12" t="str">
        <f t="shared" si="146"/>
        <v>HL</v>
      </c>
      <c r="S249" s="12" t="str">
        <f t="shared" si="147"/>
        <v>HW</v>
      </c>
      <c r="T249" s="12" t="str">
        <f t="shared" si="148"/>
        <v>HL</v>
      </c>
      <c r="U249" s="12" t="str">
        <f t="shared" si="149"/>
        <v>U</v>
      </c>
      <c r="V249" s="12" t="str">
        <f t="shared" si="150"/>
        <v>O</v>
      </c>
      <c r="W249" s="12" t="str">
        <f t="shared" si="151"/>
        <v>O</v>
      </c>
      <c r="X249" s="12" t="str">
        <f t="shared" si="152"/>
        <v>O</v>
      </c>
      <c r="Y249" s="12"/>
      <c r="Z249" s="12">
        <v>55.5</v>
      </c>
      <c r="AA249" s="12" t="str">
        <f t="shared" si="153"/>
        <v>MIL/UTA</v>
      </c>
    </row>
    <row r="250" spans="1:27" ht="17.100000000000001" x14ac:dyDescent="0.45">
      <c r="A250" s="12">
        <v>191126</v>
      </c>
      <c r="B250" s="1">
        <v>0.4375</v>
      </c>
      <c r="C250" s="12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43"/>
        <v>104</v>
      </c>
      <c r="P250" s="12">
        <f t="shared" si="144"/>
        <v>114</v>
      </c>
      <c r="Q250" s="12" t="str">
        <f t="shared" si="145"/>
        <v>HL</v>
      </c>
      <c r="R250" s="12" t="str">
        <f t="shared" si="146"/>
        <v>HW</v>
      </c>
      <c r="S250" s="12" t="str">
        <f t="shared" si="147"/>
        <v>HL</v>
      </c>
      <c r="T250" s="12" t="str">
        <f t="shared" si="148"/>
        <v>HL</v>
      </c>
      <c r="U250" s="12" t="str">
        <f t="shared" si="149"/>
        <v>U</v>
      </c>
      <c r="V250" s="12" t="str">
        <f t="shared" si="150"/>
        <v>O</v>
      </c>
      <c r="W250" s="12" t="str">
        <f t="shared" si="151"/>
        <v>O</v>
      </c>
      <c r="X250" s="12" t="str">
        <f t="shared" si="152"/>
        <v>U</v>
      </c>
      <c r="Y250" s="12"/>
      <c r="Z250" s="12">
        <v>57.5</v>
      </c>
      <c r="AA250" s="12" t="str">
        <f t="shared" si="153"/>
        <v>SAS/LAL</v>
      </c>
    </row>
    <row r="251" spans="1:27" ht="17.100000000000001" x14ac:dyDescent="0.45">
      <c r="A251" s="12">
        <v>191126</v>
      </c>
      <c r="B251" s="1">
        <v>0.4375</v>
      </c>
      <c r="C251" s="12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43"/>
        <v>97</v>
      </c>
      <c r="P251" s="12">
        <f t="shared" si="144"/>
        <v>100</v>
      </c>
      <c r="Q251" s="12" t="str">
        <f t="shared" si="145"/>
        <v>HW</v>
      </c>
      <c r="R251" s="12" t="str">
        <f t="shared" si="146"/>
        <v>HW</v>
      </c>
      <c r="S251" s="12" t="str">
        <f t="shared" si="147"/>
        <v>HW</v>
      </c>
      <c r="T251" s="12" t="str">
        <f t="shared" si="148"/>
        <v>HL</v>
      </c>
      <c r="U251" s="12" t="str">
        <f t="shared" si="149"/>
        <v>U</v>
      </c>
      <c r="V251" s="12" t="str">
        <f t="shared" si="150"/>
        <v>O</v>
      </c>
      <c r="W251" s="12" t="str">
        <f t="shared" si="151"/>
        <v>U</v>
      </c>
      <c r="X251" s="12" t="str">
        <f t="shared" si="152"/>
        <v>U</v>
      </c>
      <c r="Y251" s="12"/>
      <c r="Z251" s="12">
        <v>55.5</v>
      </c>
      <c r="AA251" s="12" t="str">
        <f t="shared" si="153"/>
        <v>GS/OKC</v>
      </c>
    </row>
    <row r="252" spans="1:27" ht="17.100000000000001" x14ac:dyDescent="0.45">
      <c r="A252" s="12">
        <v>191127</v>
      </c>
      <c r="B252" s="1">
        <v>0.4375</v>
      </c>
      <c r="C252" s="12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43"/>
        <v>99</v>
      </c>
      <c r="P252" s="12">
        <f t="shared" si="144"/>
        <v>114</v>
      </c>
      <c r="Q252" s="12" t="str">
        <f t="shared" si="145"/>
        <v>HL</v>
      </c>
      <c r="R252" s="12" t="str">
        <f t="shared" si="146"/>
        <v>HL</v>
      </c>
      <c r="S252" s="12" t="str">
        <f t="shared" si="147"/>
        <v>TT</v>
      </c>
      <c r="T252" s="12" t="str">
        <f t="shared" si="148"/>
        <v>HW</v>
      </c>
      <c r="U252" s="12" t="str">
        <f t="shared" si="149"/>
        <v>O</v>
      </c>
      <c r="V252" s="12" t="str">
        <f t="shared" si="150"/>
        <v>U</v>
      </c>
      <c r="W252" s="12" t="str">
        <f t="shared" si="151"/>
        <v>O</v>
      </c>
      <c r="X252" s="12" t="str">
        <f t="shared" si="152"/>
        <v>U</v>
      </c>
      <c r="Y252" s="12"/>
      <c r="Z252" s="12">
        <v>58.5</v>
      </c>
      <c r="AA252" s="12" t="str">
        <f t="shared" si="153"/>
        <v>DAL/LAC</v>
      </c>
    </row>
    <row r="253" spans="1:27" ht="17.100000000000001" x14ac:dyDescent="0.45">
      <c r="A253" s="12">
        <v>191127</v>
      </c>
      <c r="B253" s="1">
        <v>0.45833333333333331</v>
      </c>
      <c r="C253" s="12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si="143"/>
        <v>117</v>
      </c>
      <c r="P253" s="12">
        <f t="shared" si="144"/>
        <v>104</v>
      </c>
      <c r="Q253" s="12" t="str">
        <f t="shared" si="145"/>
        <v>HW</v>
      </c>
      <c r="R253" s="12" t="str">
        <f t="shared" si="146"/>
        <v>HW</v>
      </c>
      <c r="S253" s="12" t="str">
        <f t="shared" si="147"/>
        <v>TT</v>
      </c>
      <c r="T253" s="12" t="str">
        <f t="shared" si="148"/>
        <v>HL</v>
      </c>
      <c r="U253" s="12" t="str">
        <f t="shared" si="149"/>
        <v>U</v>
      </c>
      <c r="V253" s="12" t="str">
        <f t="shared" si="150"/>
        <v>O</v>
      </c>
      <c r="W253" s="12" t="str">
        <f t="shared" si="151"/>
        <v>U</v>
      </c>
      <c r="X253" s="12" t="str">
        <f t="shared" si="152"/>
        <v>O</v>
      </c>
      <c r="Y253" s="12"/>
      <c r="Z253" s="12">
        <v>58.5</v>
      </c>
      <c r="AA253" s="12" t="str">
        <f t="shared" si="153"/>
        <v>DEN/WAS</v>
      </c>
    </row>
    <row r="254" spans="1:27" ht="17.100000000000001" x14ac:dyDescent="0.45">
      <c r="A254" s="12">
        <v>191128</v>
      </c>
      <c r="B254" s="1">
        <v>0.375</v>
      </c>
      <c r="C254" s="11" t="s">
        <v>272</v>
      </c>
      <c r="D254" s="13" t="s">
        <v>261</v>
      </c>
      <c r="E254" s="16">
        <v>30</v>
      </c>
      <c r="F254" s="16">
        <v>27</v>
      </c>
      <c r="G254" s="16">
        <v>34</v>
      </c>
      <c r="H254" s="16">
        <v>30</v>
      </c>
      <c r="I254" s="16"/>
      <c r="J254" s="16">
        <v>23</v>
      </c>
      <c r="K254" s="16">
        <v>40</v>
      </c>
      <c r="L254" s="16">
        <v>23</v>
      </c>
      <c r="M254" s="16">
        <v>24</v>
      </c>
      <c r="O254" s="42">
        <f t="shared" ref="O254:O280" si="154">SUM(E254:I254)</f>
        <v>121</v>
      </c>
      <c r="P254" s="42">
        <f t="shared" ref="P254:P280" si="155">SUM(J254:N254)</f>
        <v>110</v>
      </c>
      <c r="Q254" s="42" t="str">
        <f t="shared" ref="Q254:Q280" si="156">IF(E254=J254,"TT",IF(E254&gt;J254,"HW","HL"))</f>
        <v>HW</v>
      </c>
      <c r="R254" s="42" t="str">
        <f t="shared" ref="R254:R280" si="157">IF(F254=K254,"TT",IF(F254&gt;K254,"HW","HL"))</f>
        <v>HL</v>
      </c>
      <c r="S254" s="42" t="str">
        <f t="shared" ref="S254:S280" si="158">IF(G254=L254,"TT",IF(G254&gt;L254,"HW","HL"))</f>
        <v>HW</v>
      </c>
      <c r="T254" s="42" t="str">
        <f t="shared" ref="T254:T280" si="159">IF(H254=M254,"TT",IF(H254&gt;M254,"HW","HL"))</f>
        <v>HW</v>
      </c>
      <c r="U254" s="42" t="str">
        <f t="shared" ref="U254:U280" si="160">IF(SUM(E254,J254)=$Z254,"T",IF(SUM(E254,J254)&gt;$Z254,"O","U"))</f>
        <v>O</v>
      </c>
      <c r="V254" s="42" t="str">
        <f t="shared" ref="V254:V280" si="161">IF(SUM(F254,K254)=$Z254,"T",IF(SUM(F254,K254)&gt;$Z254,"O","U"))</f>
        <v>O</v>
      </c>
      <c r="W254" s="42" t="str">
        <f t="shared" ref="W254:W280" si="162">IF(SUM(G254,L254)=$Z254,"T",IF(SUM(G254,L254)&gt;$Z254,"O","U"))</f>
        <v>O</v>
      </c>
      <c r="X254" s="42" t="str">
        <f t="shared" ref="X254:X280" si="163">IF(SUM(H254,M254)=$Z254,"T",IF(SUM(H254,M254)&gt;$Z254,"O","U"))</f>
        <v>O</v>
      </c>
      <c r="Z254">
        <v>52.5</v>
      </c>
      <c r="AA254" t="str">
        <f t="shared" si="153"/>
        <v>BOS/BKN</v>
      </c>
    </row>
    <row r="255" spans="1:27" ht="17.100000000000001" x14ac:dyDescent="0.45">
      <c r="A255" s="12">
        <v>191128</v>
      </c>
      <c r="B255" s="1">
        <v>0.375</v>
      </c>
      <c r="C255" t="s">
        <v>270</v>
      </c>
      <c r="D255" s="13" t="s">
        <v>280</v>
      </c>
      <c r="E255" s="18">
        <v>27</v>
      </c>
      <c r="F255" s="18">
        <v>25</v>
      </c>
      <c r="G255" s="18">
        <v>21</v>
      </c>
      <c r="H255" s="18">
        <v>31</v>
      </c>
      <c r="I255" s="18"/>
      <c r="J255" s="18">
        <v>27</v>
      </c>
      <c r="K255" s="18">
        <v>32</v>
      </c>
      <c r="L255" s="18">
        <v>28</v>
      </c>
      <c r="M255" s="18">
        <v>29</v>
      </c>
      <c r="O255" s="42">
        <f t="shared" si="154"/>
        <v>104</v>
      </c>
      <c r="P255" s="42">
        <f t="shared" si="155"/>
        <v>116</v>
      </c>
      <c r="Q255" s="42" t="str">
        <f t="shared" si="156"/>
        <v>TT</v>
      </c>
      <c r="R255" s="42" t="str">
        <f t="shared" si="157"/>
        <v>HL</v>
      </c>
      <c r="S255" s="42" t="str">
        <f t="shared" si="158"/>
        <v>HL</v>
      </c>
      <c r="T255" s="42" t="str">
        <f t="shared" si="159"/>
        <v>HW</v>
      </c>
      <c r="U255" s="42" t="str">
        <f t="shared" si="160"/>
        <v>O</v>
      </c>
      <c r="V255" s="42" t="str">
        <f t="shared" si="161"/>
        <v>O</v>
      </c>
      <c r="W255" s="42" t="str">
        <f t="shared" si="162"/>
        <v>U</v>
      </c>
      <c r="X255" s="42" t="str">
        <f t="shared" si="163"/>
        <v>O</v>
      </c>
      <c r="Z255">
        <v>53.5</v>
      </c>
      <c r="AA255" t="str">
        <f t="shared" si="153"/>
        <v>CLE/ORL</v>
      </c>
    </row>
    <row r="256" spans="1:27" ht="17.100000000000001" x14ac:dyDescent="0.45">
      <c r="A256" s="12">
        <v>191128</v>
      </c>
      <c r="B256" s="1">
        <v>0.375</v>
      </c>
      <c r="C256" s="13" t="s">
        <v>35</v>
      </c>
      <c r="D256" s="5" t="s">
        <v>273</v>
      </c>
      <c r="E256" s="21">
        <v>21</v>
      </c>
      <c r="F256" s="21">
        <v>32</v>
      </c>
      <c r="G256" s="21">
        <v>36</v>
      </c>
      <c r="H256" s="21">
        <v>32</v>
      </c>
      <c r="I256" s="21"/>
      <c r="J256" s="21">
        <v>20</v>
      </c>
      <c r="K256" s="21">
        <v>23</v>
      </c>
      <c r="L256" s="21">
        <v>37</v>
      </c>
      <c r="M256" s="21">
        <v>22</v>
      </c>
      <c r="O256" s="42">
        <f t="shared" si="154"/>
        <v>121</v>
      </c>
      <c r="P256" s="42">
        <f t="shared" si="155"/>
        <v>102</v>
      </c>
      <c r="Q256" s="42" t="str">
        <f t="shared" si="156"/>
        <v>HW</v>
      </c>
      <c r="R256" s="42" t="str">
        <f t="shared" si="157"/>
        <v>HW</v>
      </c>
      <c r="S256" s="42" t="str">
        <f t="shared" si="158"/>
        <v>HL</v>
      </c>
      <c r="T256" s="42" t="str">
        <f t="shared" si="159"/>
        <v>HW</v>
      </c>
      <c r="U256" s="42" t="str">
        <f t="shared" si="160"/>
        <v>U</v>
      </c>
      <c r="V256" s="42" t="str">
        <f t="shared" si="161"/>
        <v>O</v>
      </c>
      <c r="W256" s="42" t="str">
        <f t="shared" si="162"/>
        <v>O</v>
      </c>
      <c r="X256" s="42" t="str">
        <f t="shared" si="163"/>
        <v>O</v>
      </c>
      <c r="Z256">
        <v>51</v>
      </c>
      <c r="AA256" t="str">
        <f t="shared" si="153"/>
        <v>IND/UTA</v>
      </c>
    </row>
    <row r="257" spans="1:27" ht="17.100000000000001" x14ac:dyDescent="0.45">
      <c r="A257" s="12">
        <v>191128</v>
      </c>
      <c r="B257" s="1">
        <v>0.375</v>
      </c>
      <c r="C257" s="13" t="s">
        <v>265</v>
      </c>
      <c r="D257" s="13" t="s">
        <v>262</v>
      </c>
      <c r="E257" s="25">
        <v>25</v>
      </c>
      <c r="F257" s="25">
        <v>22</v>
      </c>
      <c r="G257" s="25">
        <v>29</v>
      </c>
      <c r="H257" s="25">
        <v>21</v>
      </c>
      <c r="I257" s="25"/>
      <c r="J257" s="25">
        <v>18</v>
      </c>
      <c r="K257" s="25">
        <v>28</v>
      </c>
      <c r="L257" s="25">
        <v>19</v>
      </c>
      <c r="M257" s="25">
        <v>26</v>
      </c>
      <c r="O257" s="42">
        <f t="shared" si="154"/>
        <v>97</v>
      </c>
      <c r="P257" s="42">
        <f t="shared" si="155"/>
        <v>91</v>
      </c>
      <c r="Q257" s="42" t="str">
        <f t="shared" si="156"/>
        <v>HW</v>
      </c>
      <c r="R257" s="42" t="str">
        <f t="shared" si="157"/>
        <v>HL</v>
      </c>
      <c r="S257" s="42" t="str">
        <f t="shared" si="158"/>
        <v>HW</v>
      </c>
      <c r="T257" s="42" t="str">
        <f t="shared" si="159"/>
        <v>HL</v>
      </c>
      <c r="U257" s="42" t="str">
        <f t="shared" si="160"/>
        <v>U</v>
      </c>
      <c r="V257" s="42" t="str">
        <f t="shared" si="161"/>
        <v>U</v>
      </c>
      <c r="W257" s="42" t="str">
        <f t="shared" si="162"/>
        <v>U</v>
      </c>
      <c r="X257" s="42" t="str">
        <f t="shared" si="163"/>
        <v>U</v>
      </c>
      <c r="Z257">
        <v>54</v>
      </c>
      <c r="AA257" t="str">
        <f t="shared" si="153"/>
        <v>PHI/SAC</v>
      </c>
    </row>
    <row r="258" spans="1:27" ht="17.100000000000001" x14ac:dyDescent="0.45">
      <c r="A258" s="12">
        <v>191128</v>
      </c>
      <c r="B258" s="1">
        <v>0.375</v>
      </c>
      <c r="C258" s="11" t="s">
        <v>260</v>
      </c>
      <c r="D258" s="11" t="s">
        <v>257</v>
      </c>
      <c r="E258" s="17">
        <v>31</v>
      </c>
      <c r="F258" s="17">
        <v>24</v>
      </c>
      <c r="G258" s="17">
        <v>31</v>
      </c>
      <c r="H258" s="17">
        <v>16</v>
      </c>
      <c r="I258" s="17"/>
      <c r="J258" s="17">
        <v>32</v>
      </c>
      <c r="K258" s="17">
        <v>28</v>
      </c>
      <c r="L258" s="17">
        <v>20</v>
      </c>
      <c r="M258" s="17">
        <v>21</v>
      </c>
      <c r="O258" s="42">
        <f t="shared" si="154"/>
        <v>102</v>
      </c>
      <c r="P258" s="42">
        <f t="shared" si="155"/>
        <v>101</v>
      </c>
      <c r="Q258" s="42" t="str">
        <f t="shared" si="156"/>
        <v>HL</v>
      </c>
      <c r="R258" s="42" t="str">
        <f t="shared" si="157"/>
        <v>HL</v>
      </c>
      <c r="S258" s="42" t="str">
        <f t="shared" si="158"/>
        <v>HW</v>
      </c>
      <c r="T258" s="42" t="str">
        <f t="shared" si="159"/>
        <v>HL</v>
      </c>
      <c r="U258" s="42" t="str">
        <f t="shared" si="160"/>
        <v>O</v>
      </c>
      <c r="V258" s="42" t="str">
        <f t="shared" si="161"/>
        <v>U</v>
      </c>
      <c r="W258" s="42" t="str">
        <f t="shared" si="162"/>
        <v>U</v>
      </c>
      <c r="X258" s="42" t="str">
        <f t="shared" si="163"/>
        <v>U</v>
      </c>
      <c r="Z258">
        <v>56</v>
      </c>
      <c r="AA258" t="str">
        <f t="shared" si="153"/>
        <v>CHA/DET</v>
      </c>
    </row>
    <row r="259" spans="1:27" ht="17.100000000000001" x14ac:dyDescent="0.45">
      <c r="A259" s="12">
        <v>191128</v>
      </c>
      <c r="B259" s="1">
        <v>0.39583333333333331</v>
      </c>
      <c r="C259" t="s">
        <v>281</v>
      </c>
      <c r="D259" s="5" t="s">
        <v>282</v>
      </c>
      <c r="E259" s="29">
        <v>21</v>
      </c>
      <c r="F259" s="29">
        <v>37</v>
      </c>
      <c r="G259" s="29">
        <v>31</v>
      </c>
      <c r="H259" s="29">
        <v>37</v>
      </c>
      <c r="I259" s="29"/>
      <c r="J259" s="29">
        <v>29</v>
      </c>
      <c r="K259" s="29">
        <v>17</v>
      </c>
      <c r="L259" s="29">
        <v>23</v>
      </c>
      <c r="M259" s="29">
        <v>29</v>
      </c>
      <c r="O259" s="42">
        <f t="shared" si="154"/>
        <v>126</v>
      </c>
      <c r="P259" s="42">
        <f t="shared" si="155"/>
        <v>98</v>
      </c>
      <c r="Q259" s="42" t="str">
        <f t="shared" si="156"/>
        <v>HL</v>
      </c>
      <c r="R259" s="42" t="str">
        <f t="shared" si="157"/>
        <v>HW</v>
      </c>
      <c r="S259" s="42" t="str">
        <f t="shared" si="158"/>
        <v>HW</v>
      </c>
      <c r="T259" s="42" t="str">
        <f t="shared" si="159"/>
        <v>HW</v>
      </c>
      <c r="U259" s="42" t="str">
        <f t="shared" si="160"/>
        <v>U</v>
      </c>
      <c r="V259" s="42" t="str">
        <f t="shared" si="161"/>
        <v>U</v>
      </c>
      <c r="W259" s="42" t="str">
        <f t="shared" si="162"/>
        <v>U</v>
      </c>
      <c r="X259" s="42" t="str">
        <f t="shared" si="163"/>
        <v>O</v>
      </c>
      <c r="Z259">
        <v>55</v>
      </c>
      <c r="AA259" t="str">
        <f t="shared" si="153"/>
        <v>TOR/NYK</v>
      </c>
    </row>
    <row r="260" spans="1:27" ht="17.100000000000001" x14ac:dyDescent="0.45">
      <c r="A260" s="12">
        <v>191128</v>
      </c>
      <c r="B260" s="1">
        <v>0.41666666666666669</v>
      </c>
      <c r="C260" s="14" t="s">
        <v>276</v>
      </c>
      <c r="D260" s="14" t="s">
        <v>264</v>
      </c>
      <c r="E260" s="20">
        <v>27</v>
      </c>
      <c r="F260" s="20">
        <v>39</v>
      </c>
      <c r="G260" s="20">
        <v>25</v>
      </c>
      <c r="H260" s="20">
        <v>26</v>
      </c>
      <c r="I260" s="20"/>
      <c r="J260" s="20">
        <v>23</v>
      </c>
      <c r="K260" s="20">
        <v>19</v>
      </c>
      <c r="L260" s="20">
        <v>26</v>
      </c>
      <c r="M260" s="20">
        <v>40</v>
      </c>
      <c r="O260" s="42">
        <f t="shared" si="154"/>
        <v>117</v>
      </c>
      <c r="P260" s="42">
        <f t="shared" si="155"/>
        <v>108</v>
      </c>
      <c r="Q260" s="42" t="str">
        <f t="shared" si="156"/>
        <v>HW</v>
      </c>
      <c r="R260" s="42" t="str">
        <f t="shared" si="157"/>
        <v>HW</v>
      </c>
      <c r="S260" s="42" t="str">
        <f t="shared" si="158"/>
        <v>HL</v>
      </c>
      <c r="T260" s="42" t="str">
        <f t="shared" si="159"/>
        <v>HL</v>
      </c>
      <c r="U260" s="42" t="str">
        <f t="shared" si="160"/>
        <v>U</v>
      </c>
      <c r="V260" s="42" t="str">
        <f t="shared" si="161"/>
        <v>U</v>
      </c>
      <c r="W260" s="42" t="str">
        <f t="shared" si="162"/>
        <v>U</v>
      </c>
      <c r="X260" s="42" t="str">
        <f t="shared" si="163"/>
        <v>O</v>
      </c>
      <c r="Z260">
        <v>58.5</v>
      </c>
      <c r="AA260" t="str">
        <f t="shared" si="153"/>
        <v>HOU/MIA</v>
      </c>
    </row>
    <row r="261" spans="1:27" ht="17.100000000000001" x14ac:dyDescent="0.45">
      <c r="A261" s="12">
        <v>191128</v>
      </c>
      <c r="B261" s="1">
        <v>0.41666666666666669</v>
      </c>
      <c r="C261" t="s">
        <v>285</v>
      </c>
      <c r="D261" s="5" t="s">
        <v>258</v>
      </c>
      <c r="E261" s="23">
        <v>33</v>
      </c>
      <c r="F261" s="23">
        <v>27</v>
      </c>
      <c r="G261" s="23">
        <v>21</v>
      </c>
      <c r="H261" s="23">
        <v>30</v>
      </c>
      <c r="I261" s="23"/>
      <c r="J261" s="23">
        <v>17</v>
      </c>
      <c r="K261" s="23">
        <v>42</v>
      </c>
      <c r="L261" s="23">
        <v>23</v>
      </c>
      <c r="M261" s="23">
        <v>20</v>
      </c>
      <c r="O261" s="42">
        <f t="shared" si="154"/>
        <v>111</v>
      </c>
      <c r="P261" s="42">
        <f t="shared" si="155"/>
        <v>102</v>
      </c>
      <c r="Q261" s="42" t="str">
        <f t="shared" si="156"/>
        <v>HW</v>
      </c>
      <c r="R261" s="42" t="str">
        <f t="shared" si="157"/>
        <v>HL</v>
      </c>
      <c r="S261" s="42" t="str">
        <f t="shared" si="158"/>
        <v>HL</v>
      </c>
      <c r="T261" s="42" t="str">
        <f t="shared" si="159"/>
        <v>HW</v>
      </c>
      <c r="U261" s="42" t="str">
        <f t="shared" si="160"/>
        <v>U</v>
      </c>
      <c r="V261" s="42" t="str">
        <f t="shared" si="161"/>
        <v>O</v>
      </c>
      <c r="W261" s="42" t="str">
        <f t="shared" si="162"/>
        <v>U</v>
      </c>
      <c r="X261" s="42" t="str">
        <f t="shared" si="163"/>
        <v>U</v>
      </c>
      <c r="Z261">
        <v>61.5</v>
      </c>
      <c r="AA261" t="str">
        <f t="shared" si="153"/>
        <v>MIL/ATL</v>
      </c>
    </row>
    <row r="262" spans="1:27" ht="17.100000000000001" x14ac:dyDescent="0.45">
      <c r="A262" s="12">
        <v>191128</v>
      </c>
      <c r="B262" s="1">
        <v>0.41666666666666669</v>
      </c>
      <c r="C262" t="s">
        <v>284</v>
      </c>
      <c r="D262" s="5" t="s">
        <v>275</v>
      </c>
      <c r="E262" s="22">
        <v>31</v>
      </c>
      <c r="F262" s="22">
        <v>29</v>
      </c>
      <c r="G262" s="22">
        <v>28</v>
      </c>
      <c r="H262" s="22">
        <v>31</v>
      </c>
      <c r="I262" s="22"/>
      <c r="J262" s="22">
        <v>35</v>
      </c>
      <c r="K262" s="22">
        <v>29</v>
      </c>
      <c r="L262" s="22">
        <v>28</v>
      </c>
      <c r="M262" s="22">
        <v>29</v>
      </c>
      <c r="O262" s="42">
        <f t="shared" si="154"/>
        <v>119</v>
      </c>
      <c r="P262" s="42">
        <f t="shared" si="155"/>
        <v>121</v>
      </c>
      <c r="Q262" s="42" t="str">
        <f t="shared" si="156"/>
        <v>HL</v>
      </c>
      <c r="R262" s="42" t="str">
        <f t="shared" si="157"/>
        <v>TT</v>
      </c>
      <c r="S262" s="42" t="str">
        <f t="shared" si="158"/>
        <v>TT</v>
      </c>
      <c r="T262" s="42" t="str">
        <f t="shared" si="159"/>
        <v>HW</v>
      </c>
      <c r="U262" s="42" t="str">
        <f t="shared" si="160"/>
        <v>O</v>
      </c>
      <c r="V262" s="42" t="str">
        <f t="shared" si="161"/>
        <v>T</v>
      </c>
      <c r="W262" s="42" t="str">
        <f t="shared" si="162"/>
        <v>U</v>
      </c>
      <c r="X262" s="42" t="str">
        <f t="shared" si="163"/>
        <v>O</v>
      </c>
      <c r="Z262">
        <v>58</v>
      </c>
      <c r="AA262" t="str">
        <f t="shared" si="153"/>
        <v>MEM/LAC</v>
      </c>
    </row>
    <row r="263" spans="1:27" ht="17.100000000000001" x14ac:dyDescent="0.45">
      <c r="A263" s="12">
        <v>191128</v>
      </c>
      <c r="B263" s="1">
        <v>0.4375</v>
      </c>
      <c r="C263" t="s">
        <v>266</v>
      </c>
      <c r="D263" s="5" t="s">
        <v>277</v>
      </c>
      <c r="E263" s="28">
        <v>24</v>
      </c>
      <c r="F263" s="28">
        <v>23</v>
      </c>
      <c r="G263" s="28">
        <v>31</v>
      </c>
      <c r="H263" s="28">
        <v>23</v>
      </c>
      <c r="I263" s="28"/>
      <c r="J263" s="28">
        <v>22</v>
      </c>
      <c r="K263" s="28">
        <v>35</v>
      </c>
      <c r="L263" s="28">
        <v>24</v>
      </c>
      <c r="M263" s="28">
        <v>32</v>
      </c>
      <c r="O263" s="42">
        <f t="shared" si="154"/>
        <v>101</v>
      </c>
      <c r="P263" s="42">
        <f t="shared" si="155"/>
        <v>113</v>
      </c>
      <c r="Q263" s="42" t="str">
        <f t="shared" si="156"/>
        <v>HW</v>
      </c>
      <c r="R263" s="42" t="str">
        <f t="shared" si="157"/>
        <v>HL</v>
      </c>
      <c r="S263" s="42" t="str">
        <f t="shared" si="158"/>
        <v>HW</v>
      </c>
      <c r="T263" s="42" t="str">
        <f t="shared" si="159"/>
        <v>HL</v>
      </c>
      <c r="U263" s="42" t="str">
        <f t="shared" si="160"/>
        <v>U</v>
      </c>
      <c r="V263" s="42" t="str">
        <f t="shared" si="161"/>
        <v>U</v>
      </c>
      <c r="W263" s="42" t="str">
        <f t="shared" si="162"/>
        <v>U</v>
      </c>
      <c r="X263" s="42" t="str">
        <f t="shared" si="163"/>
        <v>U</v>
      </c>
      <c r="Z263">
        <v>59</v>
      </c>
      <c r="AA263" t="str">
        <f t="shared" si="153"/>
        <v>SAS/MIN</v>
      </c>
    </row>
    <row r="264" spans="1:27" ht="17.100000000000001" x14ac:dyDescent="0.45">
      <c r="A264" s="12">
        <v>191128</v>
      </c>
      <c r="B264" s="1">
        <v>0.45833333333333331</v>
      </c>
      <c r="C264" t="s">
        <v>278</v>
      </c>
      <c r="D264" s="5" t="s">
        <v>259</v>
      </c>
      <c r="E264" s="26">
        <v>34</v>
      </c>
      <c r="F264" s="26">
        <v>35</v>
      </c>
      <c r="G264" s="26">
        <v>26</v>
      </c>
      <c r="H264" s="26">
        <v>37</v>
      </c>
      <c r="I264" s="26"/>
      <c r="J264" s="26">
        <v>36</v>
      </c>
      <c r="K264" s="26">
        <v>38</v>
      </c>
      <c r="L264" s="26">
        <v>34</v>
      </c>
      <c r="M264" s="26">
        <v>32</v>
      </c>
      <c r="O264" s="42">
        <f t="shared" si="154"/>
        <v>132</v>
      </c>
      <c r="P264" s="42">
        <f t="shared" si="155"/>
        <v>140</v>
      </c>
      <c r="Q264" s="42" t="str">
        <f t="shared" si="156"/>
        <v>HL</v>
      </c>
      <c r="R264" s="42" t="str">
        <f t="shared" si="157"/>
        <v>HL</v>
      </c>
      <c r="S264" s="42" t="str">
        <f t="shared" si="158"/>
        <v>HL</v>
      </c>
      <c r="T264" s="42" t="str">
        <f t="shared" si="159"/>
        <v>HW</v>
      </c>
      <c r="U264" s="42" t="str">
        <f t="shared" si="160"/>
        <v>O</v>
      </c>
      <c r="V264" s="42" t="str">
        <f t="shared" si="161"/>
        <v>O</v>
      </c>
      <c r="W264" s="42" t="str">
        <f t="shared" si="162"/>
        <v>U</v>
      </c>
      <c r="X264" s="42" t="str">
        <f t="shared" si="163"/>
        <v>O</v>
      </c>
      <c r="Z264">
        <v>62</v>
      </c>
      <c r="AA264" t="str">
        <f t="shared" si="153"/>
        <v>PHO/WAS</v>
      </c>
    </row>
    <row r="265" spans="1:27" ht="17.100000000000001" x14ac:dyDescent="0.45">
      <c r="A265" s="12">
        <v>191128</v>
      </c>
      <c r="B265" s="1">
        <v>0.47916666666666669</v>
      </c>
      <c r="C265" s="15" t="s">
        <v>286</v>
      </c>
      <c r="D265" s="15" t="s">
        <v>268</v>
      </c>
      <c r="E265" s="24">
        <v>38</v>
      </c>
      <c r="F265" s="24">
        <v>26</v>
      </c>
      <c r="G265" s="24">
        <v>25</v>
      </c>
      <c r="H265" s="24">
        <v>21</v>
      </c>
      <c r="I265" s="24"/>
      <c r="J265" s="24">
        <v>25</v>
      </c>
      <c r="K265" s="24">
        <v>29</v>
      </c>
      <c r="L265" s="24">
        <v>25</v>
      </c>
      <c r="M265" s="24">
        <v>35</v>
      </c>
      <c r="O265" s="42">
        <f t="shared" si="154"/>
        <v>110</v>
      </c>
      <c r="P265" s="42">
        <f t="shared" si="155"/>
        <v>114</v>
      </c>
      <c r="Q265" s="42" t="str">
        <f t="shared" si="156"/>
        <v>HW</v>
      </c>
      <c r="R265" s="42" t="str">
        <f t="shared" si="157"/>
        <v>HL</v>
      </c>
      <c r="S265" s="42" t="str">
        <f t="shared" si="158"/>
        <v>TT</v>
      </c>
      <c r="T265" s="42" t="str">
        <f t="shared" si="159"/>
        <v>HL</v>
      </c>
      <c r="U265" s="42" t="str">
        <f t="shared" si="160"/>
        <v>O</v>
      </c>
      <c r="V265" s="42" t="str">
        <f t="shared" si="161"/>
        <v>U</v>
      </c>
      <c r="W265" s="42" t="str">
        <f t="shared" si="162"/>
        <v>U</v>
      </c>
      <c r="X265" s="42" t="str">
        <f t="shared" si="163"/>
        <v>U</v>
      </c>
      <c r="Z265">
        <v>59.5</v>
      </c>
      <c r="AA265" t="str">
        <f t="shared" si="153"/>
        <v>NO/LAL</v>
      </c>
    </row>
    <row r="266" spans="1:27" ht="17.100000000000001" x14ac:dyDescent="0.45">
      <c r="A266" s="12">
        <v>191128</v>
      </c>
      <c r="B266" s="1">
        <v>0.5</v>
      </c>
      <c r="C266" t="s">
        <v>283</v>
      </c>
      <c r="D266" s="5" t="s">
        <v>267</v>
      </c>
      <c r="E266" s="27">
        <v>42</v>
      </c>
      <c r="F266" s="27">
        <v>21</v>
      </c>
      <c r="G266" s="27">
        <v>41</v>
      </c>
      <c r="H266" s="27">
        <v>32</v>
      </c>
      <c r="I266" s="27"/>
      <c r="J266" s="27">
        <v>26</v>
      </c>
      <c r="K266" s="27">
        <v>24</v>
      </c>
      <c r="L266" s="27">
        <v>27</v>
      </c>
      <c r="M266" s="27">
        <v>42</v>
      </c>
      <c r="O266" s="42">
        <f t="shared" si="154"/>
        <v>136</v>
      </c>
      <c r="P266" s="42">
        <f t="shared" si="155"/>
        <v>119</v>
      </c>
      <c r="Q266" s="42" t="str">
        <f t="shared" si="156"/>
        <v>HW</v>
      </c>
      <c r="R266" s="42" t="str">
        <f t="shared" si="157"/>
        <v>HL</v>
      </c>
      <c r="S266" s="42" t="str">
        <f t="shared" si="158"/>
        <v>HW</v>
      </c>
      <c r="T266" s="42" t="str">
        <f t="shared" si="159"/>
        <v>HL</v>
      </c>
      <c r="U266" s="42" t="str">
        <f t="shared" si="160"/>
        <v>O</v>
      </c>
      <c r="V266" s="42" t="str">
        <f t="shared" si="161"/>
        <v>U</v>
      </c>
      <c r="W266" s="42" t="str">
        <f t="shared" si="162"/>
        <v>O</v>
      </c>
      <c r="X266" s="42" t="str">
        <f t="shared" si="163"/>
        <v>O</v>
      </c>
      <c r="Z266">
        <v>56</v>
      </c>
      <c r="AA266" t="str">
        <f t="shared" si="153"/>
        <v>POR/OKC</v>
      </c>
    </row>
    <row r="267" spans="1:27" ht="17.100000000000001" x14ac:dyDescent="0.45">
      <c r="A267" s="12">
        <v>191128</v>
      </c>
      <c r="B267" s="1">
        <v>0.52083333333333337</v>
      </c>
      <c r="C267" t="s">
        <v>274</v>
      </c>
      <c r="D267" s="5" t="s">
        <v>263</v>
      </c>
      <c r="E267" s="19">
        <v>25</v>
      </c>
      <c r="F267" s="19">
        <v>28</v>
      </c>
      <c r="G267" s="19">
        <v>25</v>
      </c>
      <c r="H267" s="19">
        <v>26</v>
      </c>
      <c r="I267" s="19"/>
      <c r="J267" s="19">
        <v>17</v>
      </c>
      <c r="K267" s="19">
        <v>31</v>
      </c>
      <c r="L267" s="19">
        <v>25</v>
      </c>
      <c r="M267" s="19">
        <v>17</v>
      </c>
      <c r="O267" s="42">
        <f t="shared" si="154"/>
        <v>104</v>
      </c>
      <c r="P267" s="42">
        <f t="shared" si="155"/>
        <v>90</v>
      </c>
      <c r="Q267" s="42" t="str">
        <f t="shared" si="156"/>
        <v>HW</v>
      </c>
      <c r="R267" s="42" t="str">
        <f t="shared" si="157"/>
        <v>HL</v>
      </c>
      <c r="S267" s="42" t="str">
        <f t="shared" si="158"/>
        <v>TT</v>
      </c>
      <c r="T267" s="42" t="str">
        <f t="shared" si="159"/>
        <v>HW</v>
      </c>
      <c r="U267" s="42" t="str">
        <f t="shared" si="160"/>
        <v>U</v>
      </c>
      <c r="V267" s="42" t="str">
        <f t="shared" si="161"/>
        <v>O</v>
      </c>
      <c r="W267" s="42" t="str">
        <f t="shared" si="162"/>
        <v>U</v>
      </c>
      <c r="X267" s="42" t="str">
        <f t="shared" si="163"/>
        <v>U</v>
      </c>
      <c r="Z267">
        <v>54</v>
      </c>
      <c r="AA267" t="str">
        <f t="shared" si="153"/>
        <v>GS/CHI</v>
      </c>
    </row>
    <row r="268" spans="1:27" ht="17.100000000000001" x14ac:dyDescent="0.45">
      <c r="A268" s="12">
        <v>191130</v>
      </c>
      <c r="B268" s="1">
        <v>8.3333333333333329E-2</v>
      </c>
      <c r="C268" t="s">
        <v>287</v>
      </c>
      <c r="D268" s="5" t="s">
        <v>288</v>
      </c>
      <c r="E268" s="30">
        <v>31</v>
      </c>
      <c r="F268" s="30">
        <v>27</v>
      </c>
      <c r="G268" s="30">
        <v>29</v>
      </c>
      <c r="H268" s="30">
        <v>25</v>
      </c>
      <c r="I268" s="30"/>
      <c r="J268" s="30">
        <v>24</v>
      </c>
      <c r="K268" s="30">
        <v>31</v>
      </c>
      <c r="L268" s="30">
        <v>26</v>
      </c>
      <c r="M268" s="30">
        <v>26</v>
      </c>
      <c r="O268" s="42">
        <f t="shared" si="154"/>
        <v>112</v>
      </c>
      <c r="P268" s="42">
        <f t="shared" si="155"/>
        <v>107</v>
      </c>
      <c r="Q268" s="42" t="str">
        <f t="shared" si="156"/>
        <v>HW</v>
      </c>
      <c r="R268" s="42" t="str">
        <f t="shared" si="157"/>
        <v>HL</v>
      </c>
      <c r="S268" s="42" t="str">
        <f t="shared" si="158"/>
        <v>HW</v>
      </c>
      <c r="T268" s="42" t="str">
        <f t="shared" si="159"/>
        <v>HL</v>
      </c>
      <c r="U268" s="42" t="str">
        <f t="shared" si="160"/>
        <v>O</v>
      </c>
      <c r="V268" s="42" t="str">
        <f t="shared" si="161"/>
        <v>O</v>
      </c>
      <c r="W268" s="42" t="str">
        <f t="shared" si="162"/>
        <v>O</v>
      </c>
      <c r="X268" s="42" t="str">
        <f t="shared" si="163"/>
        <v>U</v>
      </c>
      <c r="Z268">
        <v>52.5</v>
      </c>
      <c r="AA268" t="str">
        <f t="shared" si="153"/>
        <v>BKN/BOS</v>
      </c>
    </row>
    <row r="269" spans="1:27" ht="17.100000000000001" x14ac:dyDescent="0.45">
      <c r="A269" s="12">
        <v>191130</v>
      </c>
      <c r="B269" s="1">
        <v>0.375</v>
      </c>
      <c r="C269" t="s">
        <v>289</v>
      </c>
      <c r="D269" s="5" t="s">
        <v>290</v>
      </c>
      <c r="E269" s="32">
        <v>37</v>
      </c>
      <c r="F269" s="32">
        <v>20</v>
      </c>
      <c r="G269" s="32">
        <v>28</v>
      </c>
      <c r="H269" s="32">
        <v>22</v>
      </c>
      <c r="I269" s="32"/>
      <c r="J269" s="32">
        <v>38</v>
      </c>
      <c r="K269" s="32">
        <v>24</v>
      </c>
      <c r="L269" s="32">
        <v>23</v>
      </c>
      <c r="M269" s="32">
        <v>25</v>
      </c>
      <c r="O269" s="42">
        <f t="shared" si="154"/>
        <v>107</v>
      </c>
      <c r="P269" s="42">
        <f t="shared" si="155"/>
        <v>110</v>
      </c>
      <c r="Q269" s="42" t="str">
        <f t="shared" si="156"/>
        <v>HL</v>
      </c>
      <c r="R269" s="42" t="str">
        <f t="shared" si="157"/>
        <v>HL</v>
      </c>
      <c r="S269" s="42" t="str">
        <f t="shared" si="158"/>
        <v>HW</v>
      </c>
      <c r="T269" s="42" t="str">
        <f t="shared" si="159"/>
        <v>HL</v>
      </c>
      <c r="U269" s="42" t="str">
        <f t="shared" si="160"/>
        <v>O</v>
      </c>
      <c r="V269" s="42" t="str">
        <f t="shared" si="161"/>
        <v>U</v>
      </c>
      <c r="W269" s="42" t="str">
        <f t="shared" si="162"/>
        <v>U</v>
      </c>
      <c r="X269" s="42" t="str">
        <f t="shared" si="163"/>
        <v>U</v>
      </c>
      <c r="Z269">
        <v>55.5</v>
      </c>
      <c r="AA269" t="str">
        <f t="shared" si="153"/>
        <v>DET/CHA</v>
      </c>
    </row>
    <row r="270" spans="1:27" ht="17.100000000000001" x14ac:dyDescent="0.45">
      <c r="A270" s="12">
        <v>191130</v>
      </c>
      <c r="B270" s="1">
        <v>0.375</v>
      </c>
      <c r="C270" t="s">
        <v>291</v>
      </c>
      <c r="D270" s="5" t="s">
        <v>292</v>
      </c>
      <c r="E270" s="39">
        <v>23</v>
      </c>
      <c r="F270" s="39">
        <v>24</v>
      </c>
      <c r="G270" s="39">
        <v>12</v>
      </c>
      <c r="H270" s="39">
        <v>24</v>
      </c>
      <c r="I270" s="39"/>
      <c r="J270" s="39">
        <v>20</v>
      </c>
      <c r="K270" s="39">
        <v>20</v>
      </c>
      <c r="L270" s="39">
        <v>26</v>
      </c>
      <c r="M270" s="39">
        <v>24</v>
      </c>
      <c r="O270" s="42">
        <f t="shared" si="154"/>
        <v>83</v>
      </c>
      <c r="P270" s="42">
        <f t="shared" si="155"/>
        <v>90</v>
      </c>
      <c r="Q270" s="42" t="str">
        <f t="shared" si="156"/>
        <v>HW</v>
      </c>
      <c r="R270" s="42" t="str">
        <f t="shared" si="157"/>
        <v>HW</v>
      </c>
      <c r="S270" s="42" t="str">
        <f t="shared" si="158"/>
        <v>HL</v>
      </c>
      <c r="T270" s="42" t="str">
        <f t="shared" si="159"/>
        <v>TT</v>
      </c>
      <c r="U270" s="42" t="str">
        <f t="shared" si="160"/>
        <v>U</v>
      </c>
      <c r="V270" s="42" t="str">
        <f t="shared" si="161"/>
        <v>U</v>
      </c>
      <c r="W270" s="42" t="str">
        <f t="shared" si="162"/>
        <v>U</v>
      </c>
      <c r="X270" s="42" t="str">
        <f t="shared" si="163"/>
        <v>U</v>
      </c>
      <c r="Z270">
        <v>54.5</v>
      </c>
      <c r="AA270" t="str">
        <f t="shared" si="153"/>
        <v>ORL/TOR</v>
      </c>
    </row>
    <row r="271" spans="1:27" ht="17.100000000000001" x14ac:dyDescent="0.45">
      <c r="A271" s="12">
        <v>191130</v>
      </c>
      <c r="B271" s="1">
        <v>0.39583333333333331</v>
      </c>
      <c r="C271" t="s">
        <v>293</v>
      </c>
      <c r="D271" s="5" t="s">
        <v>294</v>
      </c>
      <c r="E271" s="31">
        <v>29</v>
      </c>
      <c r="F271" s="31">
        <v>18</v>
      </c>
      <c r="G271" s="31">
        <v>42</v>
      </c>
      <c r="H271" s="31">
        <v>21</v>
      </c>
      <c r="I271" s="31"/>
      <c r="J271" s="31">
        <v>38</v>
      </c>
      <c r="K271" s="31">
        <v>29</v>
      </c>
      <c r="L271" s="31">
        <v>32</v>
      </c>
      <c r="M271" s="31">
        <v>20</v>
      </c>
      <c r="O271" s="42">
        <f t="shared" si="154"/>
        <v>110</v>
      </c>
      <c r="P271" s="42">
        <f t="shared" si="155"/>
        <v>119</v>
      </c>
      <c r="Q271" s="42" t="str">
        <f t="shared" si="156"/>
        <v>HL</v>
      </c>
      <c r="R271" s="42" t="str">
        <f t="shared" si="157"/>
        <v>HL</v>
      </c>
      <c r="S271" s="42" t="str">
        <f t="shared" si="158"/>
        <v>HW</v>
      </c>
      <c r="T271" s="42" t="str">
        <f t="shared" si="159"/>
        <v>HW</v>
      </c>
      <c r="U271" s="42" t="str">
        <f t="shared" si="160"/>
        <v>O</v>
      </c>
      <c r="V271" s="42" t="str">
        <f t="shared" si="161"/>
        <v>U</v>
      </c>
      <c r="W271" s="42" t="str">
        <f t="shared" si="162"/>
        <v>O</v>
      </c>
      <c r="X271" s="42" t="str">
        <f t="shared" si="163"/>
        <v>U</v>
      </c>
      <c r="Z271">
        <v>56</v>
      </c>
      <c r="AA271" t="str">
        <f t="shared" si="153"/>
        <v>CLE/MIL</v>
      </c>
    </row>
    <row r="272" spans="1:27" ht="17.100000000000001" x14ac:dyDescent="0.45">
      <c r="A272" s="12">
        <v>191130</v>
      </c>
      <c r="B272" s="1">
        <v>0.39583333333333331</v>
      </c>
      <c r="C272" t="s">
        <v>295</v>
      </c>
      <c r="D272" s="5" t="s">
        <v>296</v>
      </c>
      <c r="E272" s="37">
        <v>31</v>
      </c>
      <c r="F272" s="37">
        <v>20</v>
      </c>
      <c r="G272" s="37">
        <v>17</v>
      </c>
      <c r="H272" s="37">
        <v>27</v>
      </c>
      <c r="I272" s="37"/>
      <c r="J272" s="37">
        <v>18</v>
      </c>
      <c r="K272" s="37">
        <v>21</v>
      </c>
      <c r="L272" s="37">
        <v>31</v>
      </c>
      <c r="M272" s="37">
        <v>31</v>
      </c>
      <c r="O272" s="42">
        <f t="shared" si="154"/>
        <v>95</v>
      </c>
      <c r="P272" s="42">
        <f t="shared" si="155"/>
        <v>101</v>
      </c>
      <c r="Q272" s="42" t="str">
        <f t="shared" si="156"/>
        <v>HW</v>
      </c>
      <c r="R272" s="42" t="str">
        <f t="shared" si="157"/>
        <v>HL</v>
      </c>
      <c r="S272" s="42" t="str">
        <f t="shared" si="158"/>
        <v>HL</v>
      </c>
      <c r="T272" s="42" t="str">
        <f t="shared" si="159"/>
        <v>HL</v>
      </c>
      <c r="U272" s="42" t="str">
        <f t="shared" si="160"/>
        <v>U</v>
      </c>
      <c r="V272" s="42" t="str">
        <f t="shared" si="161"/>
        <v>U</v>
      </c>
      <c r="W272" s="42" t="str">
        <f t="shared" si="162"/>
        <v>U</v>
      </c>
      <c r="X272" s="42" t="str">
        <f t="shared" si="163"/>
        <v>O</v>
      </c>
      <c r="Z272">
        <v>51.5</v>
      </c>
      <c r="AA272" t="str">
        <f t="shared" si="153"/>
        <v>NYK/PHI</v>
      </c>
    </row>
    <row r="273" spans="1:27" ht="17.100000000000001" x14ac:dyDescent="0.45">
      <c r="A273" s="12">
        <v>191130</v>
      </c>
      <c r="B273" s="1">
        <v>0.41666666666666669</v>
      </c>
      <c r="C273" t="s">
        <v>297</v>
      </c>
      <c r="D273" s="5" t="s">
        <v>298</v>
      </c>
      <c r="E273" s="33">
        <v>22</v>
      </c>
      <c r="F273" s="33">
        <v>21</v>
      </c>
      <c r="G273" s="33">
        <v>29</v>
      </c>
      <c r="H273" s="33">
        <v>22</v>
      </c>
      <c r="I273" s="33">
        <v>11</v>
      </c>
      <c r="J273" s="33">
        <v>23</v>
      </c>
      <c r="K273" s="33">
        <v>31</v>
      </c>
      <c r="L273" s="33">
        <v>11</v>
      </c>
      <c r="M273" s="33">
        <v>29</v>
      </c>
      <c r="N273" s="33">
        <v>10</v>
      </c>
      <c r="O273" s="42">
        <f t="shared" si="154"/>
        <v>105</v>
      </c>
      <c r="P273" s="42">
        <f t="shared" si="155"/>
        <v>104</v>
      </c>
      <c r="Q273" s="42" t="str">
        <f t="shared" si="156"/>
        <v>HL</v>
      </c>
      <c r="R273" s="42" t="str">
        <f t="shared" si="157"/>
        <v>HL</v>
      </c>
      <c r="S273" s="42" t="str">
        <f t="shared" si="158"/>
        <v>HW</v>
      </c>
      <c r="T273" s="42" t="str">
        <f t="shared" si="159"/>
        <v>HL</v>
      </c>
      <c r="U273" s="42" t="str">
        <f t="shared" si="160"/>
        <v>U</v>
      </c>
      <c r="V273" s="42" t="str">
        <f t="shared" si="161"/>
        <v>U</v>
      </c>
      <c r="W273" s="42" t="str">
        <f t="shared" si="162"/>
        <v>U</v>
      </c>
      <c r="X273" s="42" t="str">
        <f t="shared" si="163"/>
        <v>U</v>
      </c>
      <c r="Z273">
        <v>58</v>
      </c>
      <c r="AA273" t="str">
        <f t="shared" si="153"/>
        <v>IND/ATL</v>
      </c>
    </row>
    <row r="274" spans="1:27" ht="17.100000000000001" x14ac:dyDescent="0.45">
      <c r="A274" s="12">
        <v>191130</v>
      </c>
      <c r="B274" s="1">
        <v>0.41666666666666669</v>
      </c>
      <c r="C274" t="s">
        <v>299</v>
      </c>
      <c r="D274" s="5" t="s">
        <v>300</v>
      </c>
      <c r="E274" s="36">
        <v>41</v>
      </c>
      <c r="F274" s="36">
        <v>30</v>
      </c>
      <c r="G274" s="36">
        <v>24</v>
      </c>
      <c r="H274" s="36">
        <v>27</v>
      </c>
      <c r="I274" s="36"/>
      <c r="J274" s="36">
        <v>21</v>
      </c>
      <c r="K274" s="36">
        <v>37</v>
      </c>
      <c r="L274" s="36">
        <v>21</v>
      </c>
      <c r="M274" s="36">
        <v>26</v>
      </c>
      <c r="O274" s="42">
        <f t="shared" si="154"/>
        <v>122</v>
      </c>
      <c r="P274" s="42">
        <f t="shared" si="155"/>
        <v>105</v>
      </c>
      <c r="Q274" s="42" t="str">
        <f t="shared" si="156"/>
        <v>HW</v>
      </c>
      <c r="R274" s="42" t="str">
        <f t="shared" si="157"/>
        <v>HL</v>
      </c>
      <c r="S274" s="42" t="str">
        <f t="shared" si="158"/>
        <v>HW</v>
      </c>
      <c r="T274" s="42" t="str">
        <f t="shared" si="159"/>
        <v>HW</v>
      </c>
      <c r="U274" s="42" t="str">
        <f t="shared" si="160"/>
        <v>O</v>
      </c>
      <c r="V274" s="42" t="str">
        <f t="shared" si="161"/>
        <v>O</v>
      </c>
      <c r="W274" s="42" t="str">
        <f t="shared" si="162"/>
        <v>U</v>
      </c>
      <c r="X274" s="42" t="str">
        <f t="shared" si="163"/>
        <v>U</v>
      </c>
      <c r="Z274">
        <v>54.5</v>
      </c>
      <c r="AA274" t="str">
        <f t="shared" si="153"/>
        <v>MIA/GS</v>
      </c>
    </row>
    <row r="275" spans="1:27" ht="17.100000000000001" x14ac:dyDescent="0.45">
      <c r="A275" s="12">
        <v>191130</v>
      </c>
      <c r="B275" s="1">
        <v>0.41666666666666669</v>
      </c>
      <c r="C275" t="s">
        <v>301</v>
      </c>
      <c r="D275" s="5" t="s">
        <v>302</v>
      </c>
      <c r="E275" s="38">
        <v>34</v>
      </c>
      <c r="F275" s="38">
        <v>28</v>
      </c>
      <c r="G275" s="38">
        <v>17</v>
      </c>
      <c r="H275" s="38">
        <v>30</v>
      </c>
      <c r="I275" s="38"/>
      <c r="J275" s="38">
        <v>26</v>
      </c>
      <c r="K275" s="38">
        <v>27</v>
      </c>
      <c r="L275" s="38">
        <v>31</v>
      </c>
      <c r="M275" s="38">
        <v>20</v>
      </c>
      <c r="O275" s="42">
        <f t="shared" si="154"/>
        <v>109</v>
      </c>
      <c r="P275" s="42">
        <f t="shared" si="155"/>
        <v>104</v>
      </c>
      <c r="Q275" s="42" t="str">
        <f t="shared" si="156"/>
        <v>HW</v>
      </c>
      <c r="R275" s="42" t="str">
        <f t="shared" si="157"/>
        <v>HW</v>
      </c>
      <c r="S275" s="42" t="str">
        <f t="shared" si="158"/>
        <v>HL</v>
      </c>
      <c r="T275" s="42" t="str">
        <f t="shared" si="159"/>
        <v>HW</v>
      </c>
      <c r="U275" s="42" t="str">
        <f t="shared" si="160"/>
        <v>O</v>
      </c>
      <c r="V275" s="42" t="str">
        <f t="shared" si="161"/>
        <v>U</v>
      </c>
      <c r="W275" s="42" t="str">
        <f t="shared" si="162"/>
        <v>U</v>
      </c>
      <c r="X275" s="42" t="str">
        <f t="shared" si="163"/>
        <v>U</v>
      </c>
      <c r="Z275">
        <v>59</v>
      </c>
      <c r="AA275" t="str">
        <f t="shared" si="153"/>
        <v>OKC/NO</v>
      </c>
    </row>
    <row r="276" spans="1:27" ht="17.100000000000001" x14ac:dyDescent="0.45">
      <c r="A276" s="12">
        <v>191130</v>
      </c>
      <c r="B276" s="1">
        <v>0.41666666666666669</v>
      </c>
      <c r="C276" t="s">
        <v>303</v>
      </c>
      <c r="D276" s="5" t="s">
        <v>304</v>
      </c>
      <c r="E276" s="35">
        <v>24</v>
      </c>
      <c r="F276" s="35">
        <v>31</v>
      </c>
      <c r="G276" s="35">
        <v>18</v>
      </c>
      <c r="H276" s="35">
        <v>21</v>
      </c>
      <c r="I276" s="35"/>
      <c r="J276" s="35">
        <v>22</v>
      </c>
      <c r="K276" s="35">
        <v>18</v>
      </c>
      <c r="L276" s="35">
        <v>35</v>
      </c>
      <c r="M276" s="35">
        <v>28</v>
      </c>
      <c r="O276" s="42">
        <f t="shared" si="154"/>
        <v>94</v>
      </c>
      <c r="P276" s="42">
        <f t="shared" si="155"/>
        <v>103</v>
      </c>
      <c r="Q276" s="42" t="str">
        <f t="shared" si="156"/>
        <v>HW</v>
      </c>
      <c r="R276" s="42" t="str">
        <f t="shared" si="157"/>
        <v>HW</v>
      </c>
      <c r="S276" s="42" t="str">
        <f t="shared" si="158"/>
        <v>HL</v>
      </c>
      <c r="T276" s="42" t="str">
        <f t="shared" si="159"/>
        <v>HL</v>
      </c>
      <c r="U276" s="42" t="str">
        <f t="shared" si="160"/>
        <v>U</v>
      </c>
      <c r="V276" s="42" t="str">
        <f t="shared" si="161"/>
        <v>U</v>
      </c>
      <c r="W276" s="42" t="str">
        <f t="shared" si="162"/>
        <v>U</v>
      </c>
      <c r="X276" s="42" t="str">
        <f t="shared" si="163"/>
        <v>U</v>
      </c>
      <c r="Z276">
        <v>54</v>
      </c>
      <c r="AA276" t="str">
        <f t="shared" si="153"/>
        <v>MEM/UTA</v>
      </c>
    </row>
    <row r="277" spans="1:27" ht="17.100000000000001" x14ac:dyDescent="0.45">
      <c r="A277" s="12">
        <v>191130</v>
      </c>
      <c r="B277" s="1">
        <v>0.4375</v>
      </c>
      <c r="C277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O277" s="42">
        <f t="shared" si="154"/>
        <v>107</v>
      </c>
      <c r="P277" s="42">
        <f t="shared" si="155"/>
        <v>97</v>
      </c>
      <c r="Q277" s="42" t="str">
        <f t="shared" si="156"/>
        <v>HL</v>
      </c>
      <c r="R277" s="42" t="str">
        <f t="shared" si="157"/>
        <v>HW</v>
      </c>
      <c r="S277" s="42" t="str">
        <f t="shared" si="158"/>
        <v>HW</v>
      </c>
      <c r="T277" s="42" t="str">
        <f t="shared" si="159"/>
        <v>HL</v>
      </c>
      <c r="U277" s="42" t="str">
        <f t="shared" si="160"/>
        <v>U</v>
      </c>
      <c r="V277" s="42" t="str">
        <f t="shared" si="161"/>
        <v>U</v>
      </c>
      <c r="W277" s="42" t="str">
        <f t="shared" si="162"/>
        <v>U</v>
      </c>
      <c r="X277" s="42" t="str">
        <f t="shared" si="163"/>
        <v>U</v>
      </c>
      <c r="Z277">
        <v>58</v>
      </c>
      <c r="AA277" t="str">
        <f t="shared" si="153"/>
        <v>SAS/LAC</v>
      </c>
    </row>
    <row r="278" spans="1:27" ht="17.100000000000001" x14ac:dyDescent="0.45">
      <c r="A278" s="12">
        <v>191130</v>
      </c>
      <c r="B278" s="1">
        <v>0.45833333333333331</v>
      </c>
      <c r="C278" t="s">
        <v>307</v>
      </c>
      <c r="D278" s="5" t="s">
        <v>308</v>
      </c>
      <c r="E278" s="40">
        <v>25</v>
      </c>
      <c r="F278" s="40">
        <v>25</v>
      </c>
      <c r="G278" s="40">
        <v>39</v>
      </c>
      <c r="H278" s="40">
        <v>24</v>
      </c>
      <c r="I278" s="40"/>
      <c r="J278" s="40">
        <v>31</v>
      </c>
      <c r="K278" s="40">
        <v>22</v>
      </c>
      <c r="L278" s="40">
        <v>36</v>
      </c>
      <c r="M278" s="40">
        <v>31</v>
      </c>
      <c r="O278" s="42">
        <f t="shared" si="154"/>
        <v>113</v>
      </c>
      <c r="P278" s="42">
        <f t="shared" si="155"/>
        <v>120</v>
      </c>
      <c r="Q278" s="42" t="str">
        <f t="shared" si="156"/>
        <v>HL</v>
      </c>
      <c r="R278" s="42" t="str">
        <f t="shared" si="157"/>
        <v>HW</v>
      </c>
      <c r="S278" s="42" t="str">
        <f t="shared" si="158"/>
        <v>HW</v>
      </c>
      <c r="T278" s="42" t="str">
        <f t="shared" si="159"/>
        <v>HL</v>
      </c>
      <c r="U278" s="42" t="str">
        <f t="shared" si="160"/>
        <v>U</v>
      </c>
      <c r="V278" s="42" t="str">
        <f t="shared" si="161"/>
        <v>U</v>
      </c>
      <c r="W278" s="42" t="str">
        <f t="shared" si="162"/>
        <v>O</v>
      </c>
      <c r="X278" s="42" t="str">
        <f t="shared" si="163"/>
        <v>U</v>
      </c>
      <c r="Z278">
        <v>60</v>
      </c>
      <c r="AA278" t="str">
        <f t="shared" si="153"/>
        <v>PHO/DAL</v>
      </c>
    </row>
    <row r="279" spans="1:27" ht="17.100000000000001" x14ac:dyDescent="0.45">
      <c r="A279" s="12">
        <v>191130</v>
      </c>
      <c r="B279" s="1">
        <v>0.5</v>
      </c>
      <c r="C279" t="s">
        <v>309</v>
      </c>
      <c r="D279" s="5" t="s">
        <v>310</v>
      </c>
      <c r="E279" s="41">
        <v>25</v>
      </c>
      <c r="F279" s="41">
        <v>28</v>
      </c>
      <c r="G279" s="41">
        <v>28</v>
      </c>
      <c r="H279" s="41">
        <v>26</v>
      </c>
      <c r="I279" s="41"/>
      <c r="J279" s="41">
        <v>28</v>
      </c>
      <c r="K279" s="41">
        <v>19</v>
      </c>
      <c r="L279" s="41">
        <v>31</v>
      </c>
      <c r="M279" s="41">
        <v>25</v>
      </c>
      <c r="O279" s="42">
        <f t="shared" si="154"/>
        <v>107</v>
      </c>
      <c r="P279" s="42">
        <f t="shared" si="155"/>
        <v>103</v>
      </c>
      <c r="Q279" s="42" t="str">
        <f t="shared" si="156"/>
        <v>HL</v>
      </c>
      <c r="R279" s="42" t="str">
        <f t="shared" si="157"/>
        <v>HW</v>
      </c>
      <c r="S279" s="42" t="str">
        <f t="shared" si="158"/>
        <v>HL</v>
      </c>
      <c r="T279" s="42" t="str">
        <f t="shared" si="159"/>
        <v>HW</v>
      </c>
      <c r="U279" s="42" t="str">
        <f t="shared" si="160"/>
        <v>U</v>
      </c>
      <c r="V279" s="42" t="str">
        <f t="shared" si="161"/>
        <v>U</v>
      </c>
      <c r="W279" s="42" t="str">
        <f t="shared" si="162"/>
        <v>O</v>
      </c>
      <c r="X279" s="42" t="str">
        <f t="shared" si="163"/>
        <v>U</v>
      </c>
      <c r="Z279">
        <v>57.5</v>
      </c>
      <c r="AA279" t="str">
        <f t="shared" si="153"/>
        <v>POR/CHI</v>
      </c>
    </row>
    <row r="280" spans="1:27" ht="17.100000000000001" x14ac:dyDescent="0.45">
      <c r="A280" s="12">
        <v>191130</v>
      </c>
      <c r="B280" s="1">
        <v>0.52083333333333337</v>
      </c>
      <c r="C280" t="s">
        <v>311</v>
      </c>
      <c r="D280" s="5" t="s">
        <v>312</v>
      </c>
      <c r="E280" s="34">
        <v>37</v>
      </c>
      <c r="F280" s="34">
        <v>33</v>
      </c>
      <c r="G280" s="34">
        <v>35</v>
      </c>
      <c r="H280" s="34">
        <v>20</v>
      </c>
      <c r="I280" s="34"/>
      <c r="J280" s="34">
        <v>23</v>
      </c>
      <c r="K280" s="34">
        <v>26</v>
      </c>
      <c r="L280" s="34">
        <v>30</v>
      </c>
      <c r="M280" s="34">
        <v>24</v>
      </c>
      <c r="O280" s="42">
        <f t="shared" si="154"/>
        <v>125</v>
      </c>
      <c r="P280" s="42">
        <f t="shared" si="155"/>
        <v>103</v>
      </c>
      <c r="Q280" s="42" t="str">
        <f t="shared" si="156"/>
        <v>HW</v>
      </c>
      <c r="R280" s="42" t="str">
        <f t="shared" si="157"/>
        <v>HW</v>
      </c>
      <c r="S280" s="42" t="str">
        <f t="shared" si="158"/>
        <v>HW</v>
      </c>
      <c r="T280" s="42" t="str">
        <f t="shared" si="159"/>
        <v>HL</v>
      </c>
      <c r="U280" s="42" t="str">
        <f t="shared" si="160"/>
        <v>T</v>
      </c>
      <c r="V280" s="42" t="str">
        <f t="shared" si="161"/>
        <v>U</v>
      </c>
      <c r="W280" s="42" t="str">
        <f t="shared" si="162"/>
        <v>O</v>
      </c>
      <c r="X280" s="42" t="str">
        <f t="shared" si="163"/>
        <v>U</v>
      </c>
      <c r="Z280">
        <v>60</v>
      </c>
      <c r="AA280" t="str">
        <f t="shared" si="153"/>
        <v>LAL/WAS</v>
      </c>
    </row>
    <row r="281" spans="1:27" ht="17.100000000000001" x14ac:dyDescent="0.45">
      <c r="A281">
        <v>191201</v>
      </c>
      <c r="B281" s="1">
        <v>0.29166666666666669</v>
      </c>
      <c r="C281" s="15" t="s">
        <v>44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64">SUM(E281:I281)</f>
        <v>100</v>
      </c>
      <c r="P281" s="42">
        <f t="shared" ref="P281:P299" si="165">SUM(J281:N281)</f>
        <v>97</v>
      </c>
      <c r="Q281" s="42" t="str">
        <f t="shared" ref="Q281:Q299" si="166">IF(E281=J281,"TT",IF(E281&gt;J281,"HW","HL"))</f>
        <v>HL</v>
      </c>
      <c r="R281" s="42" t="str">
        <f t="shared" ref="R281:R299" si="167">IF(F281=K281,"TT",IF(F281&gt;K281,"HW","HL"))</f>
        <v>HL</v>
      </c>
      <c r="S281" s="42" t="str">
        <f t="shared" ref="S281:S299" si="168">IF(G281=L281,"TT",IF(G281&gt;L281,"HW","HL"))</f>
        <v>HW</v>
      </c>
      <c r="T281" s="42" t="str">
        <f t="shared" ref="T281:T299" si="169">IF(H281=M281,"TT",IF(H281&gt;M281,"HW","HL"))</f>
        <v>HW</v>
      </c>
      <c r="U281" s="42" t="str">
        <f t="shared" ref="U281:U299" si="170">IF(SUM(E281,J281)=$Z281,"T",IF(SUM(E281,J281)&gt;$Z281,"O","U"))</f>
        <v>U</v>
      </c>
      <c r="V281" s="42" t="str">
        <f t="shared" ref="V281:V299" si="171">IF(SUM(F281,K281)=$Z281,"T",IF(SUM(F281,K281)&gt;$Z281,"O","U"))</f>
        <v>U</v>
      </c>
      <c r="W281" s="42" t="str">
        <f t="shared" ref="W281:W299" si="172">IF(SUM(G281,L281)=$Z281,"T",IF(SUM(G281,L281)&gt;$Z281,"O","U"))</f>
        <v>U</v>
      </c>
      <c r="X281" s="42" t="str">
        <f t="shared" ref="X281:X299" si="173">IF(SUM(H281,M281)=$Z281,"T",IF(SUM(H281,M281)&gt;$Z281,"O","U"))</f>
        <v>U</v>
      </c>
      <c r="Z281">
        <v>53.5</v>
      </c>
      <c r="AA281" t="str">
        <f t="shared" si="153"/>
        <v>SAC/DEN</v>
      </c>
    </row>
    <row r="282" spans="1:27" ht="17.100000000000001" x14ac:dyDescent="0.45">
      <c r="A282" s="12">
        <v>191201</v>
      </c>
      <c r="B282" s="1">
        <v>0.375</v>
      </c>
      <c r="C282" s="11" t="s">
        <v>41</v>
      </c>
      <c r="D282" s="11" t="s">
        <v>35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O282" s="42">
        <f t="shared" si="164"/>
        <v>119</v>
      </c>
      <c r="P282" s="42">
        <f t="shared" si="165"/>
        <v>116</v>
      </c>
      <c r="Q282" s="42" t="str">
        <f t="shared" si="166"/>
        <v>HW</v>
      </c>
      <c r="R282" s="42" t="str">
        <f t="shared" si="167"/>
        <v>HL</v>
      </c>
      <c r="S282" s="42" t="str">
        <f t="shared" si="168"/>
        <v>TT</v>
      </c>
      <c r="T282" s="42" t="str">
        <f t="shared" si="169"/>
        <v>HW</v>
      </c>
      <c r="U282" s="42" t="str">
        <f t="shared" si="170"/>
        <v>O</v>
      </c>
      <c r="V282" s="42" t="str">
        <f t="shared" si="171"/>
        <v>O</v>
      </c>
      <c r="W282" s="42" t="str">
        <f t="shared" si="172"/>
        <v>O</v>
      </c>
      <c r="X282" s="42" t="str">
        <f t="shared" si="173"/>
        <v>U</v>
      </c>
      <c r="Z282">
        <v>53.5</v>
      </c>
      <c r="AA282" t="str">
        <f t="shared" si="153"/>
        <v>PHI/IND</v>
      </c>
    </row>
    <row r="283" spans="1:27" ht="17.100000000000001" x14ac:dyDescent="0.45">
      <c r="A283" s="12">
        <v>191201</v>
      </c>
      <c r="B283" s="1">
        <v>0.41666666666666669</v>
      </c>
      <c r="C283" s="15" t="s">
        <v>115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O283" s="42">
        <f t="shared" si="164"/>
        <v>158</v>
      </c>
      <c r="P283" s="42">
        <f t="shared" si="165"/>
        <v>111</v>
      </c>
      <c r="Q283" s="42" t="str">
        <f t="shared" si="166"/>
        <v>HW</v>
      </c>
      <c r="R283" s="42" t="str">
        <f t="shared" si="167"/>
        <v>HW</v>
      </c>
      <c r="S283" s="42" t="str">
        <f t="shared" si="168"/>
        <v>HW</v>
      </c>
      <c r="T283" s="42" t="str">
        <f t="shared" si="169"/>
        <v>HL</v>
      </c>
      <c r="U283" s="42" t="str">
        <f t="shared" si="170"/>
        <v>U</v>
      </c>
      <c r="V283" s="42" t="str">
        <f t="shared" si="171"/>
        <v>O</v>
      </c>
      <c r="W283" s="42" t="str">
        <f t="shared" si="172"/>
        <v>O</v>
      </c>
      <c r="X283" s="42" t="str">
        <f t="shared" si="173"/>
        <v>O</v>
      </c>
      <c r="Z283">
        <v>60.5</v>
      </c>
      <c r="AA283" t="str">
        <f t="shared" si="153"/>
        <v>HOU/ATL</v>
      </c>
    </row>
    <row r="284" spans="1:27" ht="17.100000000000001" x14ac:dyDescent="0.45">
      <c r="A284" s="12">
        <v>191201</v>
      </c>
      <c r="B284" s="1">
        <v>0.41666666666666669</v>
      </c>
      <c r="C284" s="42" t="s">
        <v>319</v>
      </c>
      <c r="D284" s="5" t="s">
        <v>31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O284" s="42">
        <f t="shared" si="164"/>
        <v>137</v>
      </c>
      <c r="P284" s="42">
        <f t="shared" si="165"/>
        <v>96</v>
      </c>
      <c r="Q284" s="42" t="str">
        <f t="shared" si="166"/>
        <v>HW</v>
      </c>
      <c r="R284" s="42" t="str">
        <f t="shared" si="167"/>
        <v>HW</v>
      </c>
      <c r="S284" s="42" t="str">
        <f t="shared" si="168"/>
        <v>HW</v>
      </c>
      <c r="T284" s="42" t="str">
        <f t="shared" si="169"/>
        <v>HW</v>
      </c>
      <c r="U284" s="42" t="str">
        <f t="shared" si="170"/>
        <v>U</v>
      </c>
      <c r="V284" s="42" t="str">
        <f t="shared" si="171"/>
        <v>T</v>
      </c>
      <c r="W284" s="42" t="str">
        <f t="shared" si="172"/>
        <v>O</v>
      </c>
      <c r="X284" s="42" t="str">
        <f t="shared" si="173"/>
        <v>U</v>
      </c>
      <c r="Z284">
        <v>58</v>
      </c>
      <c r="AA284" t="str">
        <f t="shared" si="153"/>
        <v>MIL/CHA</v>
      </c>
    </row>
    <row r="285" spans="1:27" ht="17.100000000000001" x14ac:dyDescent="0.45">
      <c r="A285" s="42">
        <v>191202</v>
      </c>
      <c r="B285" s="1">
        <v>0.20833333333333334</v>
      </c>
      <c r="C285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O285" s="42">
        <f t="shared" si="164"/>
        <v>106</v>
      </c>
      <c r="P285" s="42">
        <f t="shared" si="165"/>
        <v>109</v>
      </c>
      <c r="Q285" s="42" t="str">
        <f t="shared" si="166"/>
        <v>HL</v>
      </c>
      <c r="R285" s="42" t="str">
        <f t="shared" si="167"/>
        <v>HW</v>
      </c>
      <c r="S285" s="42" t="str">
        <f t="shared" si="168"/>
        <v>HL</v>
      </c>
      <c r="T285" s="42" t="str">
        <f t="shared" si="169"/>
        <v>HL</v>
      </c>
      <c r="U285" s="42" t="str">
        <f t="shared" si="170"/>
        <v>O</v>
      </c>
      <c r="V285" s="42" t="str">
        <f t="shared" si="171"/>
        <v>O</v>
      </c>
      <c r="W285" s="42" t="str">
        <f t="shared" si="172"/>
        <v>U</v>
      </c>
      <c r="X285" s="42" t="str">
        <f t="shared" si="173"/>
        <v>U</v>
      </c>
      <c r="Z285">
        <v>55.5</v>
      </c>
      <c r="AA285" t="str">
        <f t="shared" si="153"/>
        <v>BKN/MIA</v>
      </c>
    </row>
    <row r="286" spans="1:27" ht="17.100000000000001" x14ac:dyDescent="0.45">
      <c r="A286" s="42">
        <v>191202</v>
      </c>
      <c r="B286" s="1">
        <v>0.22916666666666666</v>
      </c>
      <c r="C286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O286" s="42">
        <f t="shared" si="164"/>
        <v>107</v>
      </c>
      <c r="P286" s="42">
        <f t="shared" si="165"/>
        <v>115</v>
      </c>
      <c r="Q286" s="42" t="str">
        <f t="shared" si="166"/>
        <v>HL</v>
      </c>
      <c r="R286" s="42" t="str">
        <f t="shared" si="167"/>
        <v>HW</v>
      </c>
      <c r="S286" s="42" t="str">
        <f t="shared" si="168"/>
        <v>HL</v>
      </c>
      <c r="T286" s="42" t="str">
        <f t="shared" si="169"/>
        <v>HL</v>
      </c>
      <c r="U286" s="42" t="str">
        <f t="shared" si="170"/>
        <v>U</v>
      </c>
      <c r="V286" s="42" t="str">
        <f t="shared" si="171"/>
        <v>U</v>
      </c>
      <c r="W286" s="42" t="str">
        <f t="shared" si="172"/>
        <v>O</v>
      </c>
      <c r="X286" s="42" t="str">
        <f t="shared" si="173"/>
        <v>O</v>
      </c>
      <c r="Z286">
        <v>56.5</v>
      </c>
      <c r="AA286" t="str">
        <f t="shared" si="153"/>
        <v>MIN/MEM</v>
      </c>
    </row>
    <row r="287" spans="1:27" ht="17.100000000000001" x14ac:dyDescent="0.45">
      <c r="A287" s="42">
        <v>191202</v>
      </c>
      <c r="B287" s="1">
        <v>0.22916666666666666</v>
      </c>
      <c r="C287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O287" s="42">
        <f t="shared" si="164"/>
        <v>104</v>
      </c>
      <c r="P287" s="42">
        <f t="shared" si="165"/>
        <v>113</v>
      </c>
      <c r="Q287" s="42" t="str">
        <f t="shared" si="166"/>
        <v>HL</v>
      </c>
      <c r="R287" s="42" t="str">
        <f t="shared" si="167"/>
        <v>HW</v>
      </c>
      <c r="S287" s="42" t="str">
        <f t="shared" si="168"/>
        <v>HW</v>
      </c>
      <c r="T287" s="42" t="str">
        <f t="shared" si="169"/>
        <v>HL</v>
      </c>
      <c r="U287" s="42" t="str">
        <f t="shared" si="170"/>
        <v>O</v>
      </c>
      <c r="V287" s="42" t="str">
        <f t="shared" si="171"/>
        <v>O</v>
      </c>
      <c r="W287" s="42" t="str">
        <f t="shared" si="172"/>
        <v>U</v>
      </c>
      <c r="X287" s="42" t="str">
        <f t="shared" si="173"/>
        <v>T</v>
      </c>
      <c r="Z287">
        <v>51</v>
      </c>
      <c r="AA287" t="str">
        <f t="shared" si="153"/>
        <v>NYK/BOS</v>
      </c>
    </row>
    <row r="288" spans="1:27" ht="17.100000000000001" x14ac:dyDescent="0.45">
      <c r="A288" s="42">
        <v>191202</v>
      </c>
      <c r="B288" s="1">
        <v>0.25</v>
      </c>
      <c r="C288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O288" s="42">
        <f t="shared" si="164"/>
        <v>100</v>
      </c>
      <c r="P288" s="42">
        <f t="shared" si="165"/>
        <v>114</v>
      </c>
      <c r="Q288" s="42" t="str">
        <f t="shared" si="166"/>
        <v>HW</v>
      </c>
      <c r="R288" s="42" t="str">
        <f t="shared" si="167"/>
        <v>HL</v>
      </c>
      <c r="S288" s="42" t="str">
        <f t="shared" si="168"/>
        <v>HL</v>
      </c>
      <c r="T288" s="42" t="str">
        <f t="shared" si="169"/>
        <v>HW</v>
      </c>
      <c r="U288" s="42" t="str">
        <f t="shared" si="170"/>
        <v>U</v>
      </c>
      <c r="V288" s="42" t="str">
        <f t="shared" si="171"/>
        <v>O</v>
      </c>
      <c r="W288" s="42" t="str">
        <f t="shared" si="172"/>
        <v>U</v>
      </c>
      <c r="X288" s="42" t="str">
        <f t="shared" si="173"/>
        <v>U</v>
      </c>
      <c r="Z288">
        <v>57.5</v>
      </c>
      <c r="AA288" t="str">
        <f t="shared" si="153"/>
        <v>LAL/DAL</v>
      </c>
    </row>
    <row r="289" spans="1:27" ht="17.100000000000001" x14ac:dyDescent="0.45">
      <c r="A289" s="42">
        <v>191202</v>
      </c>
      <c r="B289" s="1">
        <v>0.29166666666666669</v>
      </c>
      <c r="C289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O289" s="42">
        <f t="shared" si="164"/>
        <v>104</v>
      </c>
      <c r="P289" s="42">
        <f t="shared" si="165"/>
        <v>107</v>
      </c>
      <c r="Q289" s="42" t="str">
        <f t="shared" si="166"/>
        <v>HL</v>
      </c>
      <c r="R289" s="42" t="str">
        <f t="shared" si="167"/>
        <v>HW</v>
      </c>
      <c r="S289" s="42" t="str">
        <f t="shared" si="168"/>
        <v>HL</v>
      </c>
      <c r="T289" s="42" t="str">
        <f t="shared" si="169"/>
        <v>HW</v>
      </c>
      <c r="U289" s="42" t="str">
        <f t="shared" si="170"/>
        <v>O</v>
      </c>
      <c r="V289" s="42" t="str">
        <f t="shared" si="171"/>
        <v>U</v>
      </c>
      <c r="W289" s="42" t="str">
        <f t="shared" si="172"/>
        <v>U</v>
      </c>
      <c r="X289" s="42" t="str">
        <f t="shared" si="173"/>
        <v>U</v>
      </c>
      <c r="Z289">
        <v>58.5</v>
      </c>
      <c r="AA289" t="str">
        <f t="shared" si="153"/>
        <v>NO/OKC</v>
      </c>
    </row>
    <row r="290" spans="1:27" ht="17.100000000000001" x14ac:dyDescent="0.45">
      <c r="A290" s="42">
        <v>191202</v>
      </c>
      <c r="B290" s="1">
        <v>0.29166666666666669</v>
      </c>
      <c r="C290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O290" s="42">
        <f t="shared" si="164"/>
        <v>132</v>
      </c>
      <c r="P290" s="42">
        <f t="shared" si="165"/>
        <v>98</v>
      </c>
      <c r="Q290" s="42" t="str">
        <f t="shared" si="166"/>
        <v>HW</v>
      </c>
      <c r="R290" s="42" t="str">
        <f t="shared" si="167"/>
        <v>HW</v>
      </c>
      <c r="S290" s="42" t="str">
        <f t="shared" si="168"/>
        <v>HW</v>
      </c>
      <c r="T290" s="42" t="str">
        <f t="shared" si="169"/>
        <v>HW</v>
      </c>
      <c r="U290" s="42" t="str">
        <f t="shared" si="170"/>
        <v>O</v>
      </c>
      <c r="V290" s="42" t="str">
        <f t="shared" si="171"/>
        <v>U</v>
      </c>
      <c r="W290" s="42" t="str">
        <f t="shared" si="172"/>
        <v>O</v>
      </c>
      <c r="X290" s="42" t="str">
        <f t="shared" si="173"/>
        <v>O</v>
      </c>
      <c r="Z290">
        <v>53</v>
      </c>
      <c r="AA290" t="str">
        <f t="shared" si="153"/>
        <v>DET/SAS</v>
      </c>
    </row>
    <row r="291" spans="1:27" ht="17.100000000000001" x14ac:dyDescent="0.45">
      <c r="A291" s="42">
        <v>191202</v>
      </c>
      <c r="B291" s="1">
        <v>0.33333333333333331</v>
      </c>
      <c r="C291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O291" s="42">
        <f t="shared" si="164"/>
        <v>100</v>
      </c>
      <c r="P291" s="42">
        <f t="shared" si="165"/>
        <v>96</v>
      </c>
      <c r="Q291" s="42" t="str">
        <f t="shared" si="166"/>
        <v>HW</v>
      </c>
      <c r="R291" s="42" t="str">
        <f t="shared" si="167"/>
        <v>HL</v>
      </c>
      <c r="S291" s="42" t="str">
        <f t="shared" si="168"/>
        <v>HW</v>
      </c>
      <c r="T291" s="42" t="str">
        <f t="shared" si="169"/>
        <v>HW</v>
      </c>
      <c r="U291" s="42" t="str">
        <f t="shared" si="170"/>
        <v>U</v>
      </c>
      <c r="V291" s="42" t="str">
        <f t="shared" si="171"/>
        <v>O</v>
      </c>
      <c r="W291" s="42" t="str">
        <f t="shared" si="172"/>
        <v>U</v>
      </c>
      <c r="X291" s="42" t="str">
        <f t="shared" si="173"/>
        <v>T</v>
      </c>
      <c r="Z291">
        <v>53</v>
      </c>
      <c r="AA291" t="str">
        <f t="shared" si="153"/>
        <v>ORL/GS</v>
      </c>
    </row>
    <row r="292" spans="1:27" ht="17.100000000000001" x14ac:dyDescent="0.45">
      <c r="A292" s="42">
        <v>191202</v>
      </c>
      <c r="B292" s="1">
        <v>0.33333333333333331</v>
      </c>
      <c r="C29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O292" s="42">
        <f t="shared" si="164"/>
        <v>130</v>
      </c>
      <c r="P292" s="42">
        <f t="shared" si="165"/>
        <v>110</v>
      </c>
      <c r="Q292" s="42" t="str">
        <f t="shared" si="166"/>
        <v>HW</v>
      </c>
      <c r="R292" s="42" t="str">
        <f t="shared" si="167"/>
        <v>HW</v>
      </c>
      <c r="S292" s="42" t="str">
        <f t="shared" si="168"/>
        <v>HL</v>
      </c>
      <c r="T292" s="42" t="str">
        <f t="shared" si="169"/>
        <v>HL</v>
      </c>
      <c r="U292" s="42" t="str">
        <f t="shared" si="170"/>
        <v>O</v>
      </c>
      <c r="V292" s="42" t="str">
        <f t="shared" si="171"/>
        <v>O</v>
      </c>
      <c r="W292" s="42" t="str">
        <f t="shared" si="172"/>
        <v>O</v>
      </c>
      <c r="X292" s="42" t="str">
        <f t="shared" si="173"/>
        <v>U</v>
      </c>
      <c r="Z292">
        <v>51.5</v>
      </c>
      <c r="AA292" t="str">
        <f t="shared" si="153"/>
        <v>TOR/UTA</v>
      </c>
    </row>
    <row r="293" spans="1:27" ht="17.100000000000001" x14ac:dyDescent="0.45">
      <c r="A293" s="42">
        <v>191202</v>
      </c>
      <c r="B293" s="1">
        <v>0.52083333333333337</v>
      </c>
      <c r="C293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O293" s="42">
        <f t="shared" si="164"/>
        <v>150</v>
      </c>
      <c r="P293" s="42">
        <f t="shared" si="165"/>
        <v>125</v>
      </c>
      <c r="Q293" s="42" t="str">
        <f t="shared" si="166"/>
        <v>HW</v>
      </c>
      <c r="R293" s="42" t="str">
        <f t="shared" si="167"/>
        <v>HW</v>
      </c>
      <c r="S293" s="42" t="str">
        <f t="shared" si="168"/>
        <v>HL</v>
      </c>
      <c r="T293" s="42" t="str">
        <f t="shared" si="169"/>
        <v>HW</v>
      </c>
      <c r="U293" s="42" t="str">
        <f t="shared" si="170"/>
        <v>O</v>
      </c>
      <c r="V293" s="42" t="str">
        <f t="shared" si="171"/>
        <v>O</v>
      </c>
      <c r="W293" s="42" t="str">
        <f t="shared" si="172"/>
        <v>O</v>
      </c>
      <c r="X293" s="42" t="str">
        <f t="shared" si="173"/>
        <v>U</v>
      </c>
      <c r="Z293">
        <v>61.5</v>
      </c>
      <c r="AA293" t="str">
        <f t="shared" si="153"/>
        <v>LAC/WAS</v>
      </c>
    </row>
    <row r="294" spans="1:27" ht="17.100000000000001" x14ac:dyDescent="0.45">
      <c r="A294" s="42">
        <v>191203</v>
      </c>
      <c r="B294" s="1">
        <v>0.375</v>
      </c>
      <c r="C294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O294" s="42">
        <f t="shared" si="164"/>
        <v>103</v>
      </c>
      <c r="P294" s="42">
        <f t="shared" si="165"/>
        <v>94</v>
      </c>
      <c r="Q294" s="42" t="str">
        <f t="shared" si="166"/>
        <v>HW</v>
      </c>
      <c r="R294" s="42" t="str">
        <f t="shared" si="167"/>
        <v>HW</v>
      </c>
      <c r="S294" s="42" t="str">
        <f t="shared" si="168"/>
        <v>HW</v>
      </c>
      <c r="T294" s="42" t="str">
        <f t="shared" si="169"/>
        <v>HL</v>
      </c>
      <c r="U294" s="42" t="str">
        <f t="shared" si="170"/>
        <v>O</v>
      </c>
      <c r="V294" s="42" t="str">
        <f t="shared" si="171"/>
        <v>U</v>
      </c>
      <c r="W294" s="42" t="str">
        <f t="shared" si="172"/>
        <v>U</v>
      </c>
      <c r="X294" s="42" t="str">
        <f t="shared" si="173"/>
        <v>U</v>
      </c>
      <c r="Z294">
        <v>51</v>
      </c>
      <c r="AA294" t="str">
        <f t="shared" si="153"/>
        <v>PHI/UTA</v>
      </c>
    </row>
    <row r="295" spans="1:27" ht="17.100000000000001" x14ac:dyDescent="0.45">
      <c r="A295" s="42">
        <v>191203</v>
      </c>
      <c r="B295" s="1">
        <v>0.375</v>
      </c>
      <c r="C295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O295" s="42">
        <f t="shared" si="164"/>
        <v>104</v>
      </c>
      <c r="P295" s="42">
        <f t="shared" si="165"/>
        <v>109</v>
      </c>
      <c r="Q295" s="42" t="str">
        <f t="shared" si="166"/>
        <v>HL</v>
      </c>
      <c r="R295" s="42" t="str">
        <f t="shared" si="167"/>
        <v>HL</v>
      </c>
      <c r="S295" s="42" t="str">
        <f t="shared" si="168"/>
        <v>HW</v>
      </c>
      <c r="T295" s="42" t="str">
        <f t="shared" si="169"/>
        <v>HW</v>
      </c>
      <c r="U295" s="42" t="str">
        <f t="shared" si="170"/>
        <v>U</v>
      </c>
      <c r="V295" s="42" t="str">
        <f t="shared" si="171"/>
        <v>U</v>
      </c>
      <c r="W295" s="42" t="str">
        <f t="shared" si="172"/>
        <v>O</v>
      </c>
      <c r="X295" s="42" t="str">
        <f t="shared" si="173"/>
        <v>O</v>
      </c>
      <c r="Z295">
        <v>54.5</v>
      </c>
      <c r="AA295" t="str">
        <f t="shared" si="153"/>
        <v>CHA/PHO</v>
      </c>
    </row>
    <row r="296" spans="1:27" ht="17.100000000000001" x14ac:dyDescent="0.45">
      <c r="A296" s="42">
        <v>191203</v>
      </c>
      <c r="B296" s="1">
        <v>0.39583333333333331</v>
      </c>
      <c r="C296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O296" s="42">
        <f t="shared" si="164"/>
        <v>104</v>
      </c>
      <c r="P296" s="42">
        <f t="shared" si="165"/>
        <v>79</v>
      </c>
      <c r="Q296" s="42" t="str">
        <f t="shared" si="166"/>
        <v>HL</v>
      </c>
      <c r="R296" s="42" t="str">
        <f t="shared" si="167"/>
        <v>HW</v>
      </c>
      <c r="S296" s="42" t="str">
        <f t="shared" si="168"/>
        <v>HW</v>
      </c>
      <c r="T296" s="42" t="str">
        <f t="shared" si="169"/>
        <v>HW</v>
      </c>
      <c r="U296" s="42" t="str">
        <f t="shared" si="170"/>
        <v>U</v>
      </c>
      <c r="V296" s="42" t="str">
        <f t="shared" si="171"/>
        <v>U</v>
      </c>
      <c r="W296" s="42" t="str">
        <f t="shared" si="172"/>
        <v>U</v>
      </c>
      <c r="X296" s="42" t="str">
        <f t="shared" si="173"/>
        <v>U</v>
      </c>
      <c r="Z296">
        <v>57</v>
      </c>
      <c r="AA296" t="str">
        <f t="shared" si="153"/>
        <v>ATL/GS</v>
      </c>
    </row>
    <row r="297" spans="1:27" ht="17.100000000000001" x14ac:dyDescent="0.45">
      <c r="A297" s="42">
        <v>191203</v>
      </c>
      <c r="B297" s="1">
        <v>0.41666666666666669</v>
      </c>
      <c r="C297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O297" s="42">
        <f t="shared" si="164"/>
        <v>132</v>
      </c>
      <c r="P297" s="42">
        <f t="shared" si="165"/>
        <v>88</v>
      </c>
      <c r="Q297" s="42" t="str">
        <f t="shared" si="166"/>
        <v>HW</v>
      </c>
      <c r="R297" s="42" t="str">
        <f t="shared" si="167"/>
        <v>HW</v>
      </c>
      <c r="S297" s="42" t="str">
        <f t="shared" si="168"/>
        <v>HW</v>
      </c>
      <c r="T297" s="42" t="str">
        <f t="shared" si="169"/>
        <v>HW</v>
      </c>
      <c r="U297" s="42" t="str">
        <f t="shared" si="170"/>
        <v>U</v>
      </c>
      <c r="V297" s="42" t="str">
        <f t="shared" si="171"/>
        <v>O</v>
      </c>
      <c r="W297" s="42" t="str">
        <f t="shared" si="172"/>
        <v>U</v>
      </c>
      <c r="X297" s="42" t="str">
        <f t="shared" si="173"/>
        <v>O</v>
      </c>
      <c r="Z297">
        <v>57</v>
      </c>
      <c r="AA297" t="str">
        <f t="shared" si="153"/>
        <v>MIL/NYK</v>
      </c>
    </row>
    <row r="298" spans="1:27" ht="17.100000000000001" x14ac:dyDescent="0.45">
      <c r="A298" s="42">
        <v>191203</v>
      </c>
      <c r="B298" s="1">
        <v>0.41666666666666669</v>
      </c>
      <c r="C298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O298" s="42">
        <f t="shared" si="164"/>
        <v>104</v>
      </c>
      <c r="P298" s="42">
        <f t="shared" si="165"/>
        <v>117</v>
      </c>
      <c r="Q298" s="42" t="str">
        <f t="shared" si="166"/>
        <v>HL</v>
      </c>
      <c r="R298" s="42" t="str">
        <f t="shared" si="167"/>
        <v>HL</v>
      </c>
      <c r="S298" s="42" t="str">
        <f t="shared" si="168"/>
        <v>HL</v>
      </c>
      <c r="T298" s="42" t="str">
        <f t="shared" si="169"/>
        <v>HL</v>
      </c>
      <c r="U298" s="42" t="str">
        <f t="shared" si="170"/>
        <v>U</v>
      </c>
      <c r="V298" s="42" t="str">
        <f t="shared" si="171"/>
        <v>O</v>
      </c>
      <c r="W298" s="42" t="str">
        <f t="shared" si="172"/>
        <v>U</v>
      </c>
      <c r="X298" s="42" t="str">
        <f t="shared" si="173"/>
        <v>O</v>
      </c>
      <c r="Z298">
        <v>56</v>
      </c>
      <c r="AA298" t="str">
        <f t="shared" si="153"/>
        <v>MEM/IND</v>
      </c>
    </row>
    <row r="299" spans="1:27" ht="17.100000000000001" x14ac:dyDescent="0.45">
      <c r="A299" s="42">
        <v>191203</v>
      </c>
      <c r="B299" s="1">
        <v>0.5</v>
      </c>
      <c r="C299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O299" s="42">
        <f t="shared" si="164"/>
        <v>106</v>
      </c>
      <c r="P299" s="42">
        <f t="shared" si="165"/>
        <v>113</v>
      </c>
      <c r="Q299" s="42" t="str">
        <f t="shared" si="166"/>
        <v>HW</v>
      </c>
      <c r="R299" s="42" t="str">
        <f t="shared" si="167"/>
        <v>HL</v>
      </c>
      <c r="S299" s="42" t="str">
        <f t="shared" si="168"/>
        <v>HW</v>
      </c>
      <c r="T299" s="42" t="str">
        <f t="shared" si="169"/>
        <v>HW</v>
      </c>
      <c r="U299" s="42" t="str">
        <f t="shared" si="170"/>
        <v>U</v>
      </c>
      <c r="V299" s="42" t="str">
        <f t="shared" si="171"/>
        <v>U</v>
      </c>
      <c r="W299" s="42" t="str">
        <f t="shared" si="172"/>
        <v>O</v>
      </c>
      <c r="X299" s="42" t="str">
        <f t="shared" si="173"/>
        <v>O</v>
      </c>
      <c r="Z299">
        <v>54.5</v>
      </c>
      <c r="AA299" t="str">
        <f t="shared" si="153"/>
        <v>SAC/CHI</v>
      </c>
    </row>
    <row r="300" spans="1:27" ht="17.100000000000001" x14ac:dyDescent="0.45">
      <c r="A300" s="42">
        <v>191204</v>
      </c>
      <c r="B300" s="1">
        <v>0.375</v>
      </c>
      <c r="C300" t="s">
        <v>347</v>
      </c>
      <c r="D300" s="11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O300" s="42">
        <f t="shared" ref="O300:O306" si="174">SUM(E300:I300)</f>
        <v>94</v>
      </c>
      <c r="P300" s="42">
        <f t="shared" ref="P300:P306" si="175">SUM(J300:N300)</f>
        <v>127</v>
      </c>
      <c r="Q300" s="42" t="str">
        <f t="shared" ref="Q300:Q306" si="176">IF(E300=J300,"TT",IF(E300&gt;J300,"HW","HL"))</f>
        <v>HL</v>
      </c>
      <c r="R300" s="42" t="str">
        <f t="shared" ref="R300:R306" si="177">IF(F300=K300,"TT",IF(F300&gt;K300,"HW","HL"))</f>
        <v>HL</v>
      </c>
      <c r="S300" s="42" t="str">
        <f t="shared" ref="S300:S306" si="178">IF(G300=L300,"TT",IF(G300&gt;L300,"HW","HL"))</f>
        <v>HL</v>
      </c>
      <c r="T300" s="42" t="str">
        <f t="shared" ref="T300:T306" si="179">IF(H300=M300,"TT",IF(H300&gt;M300,"HW","HL"))</f>
        <v>HL</v>
      </c>
      <c r="U300" s="42" t="str">
        <f t="shared" ref="U300:U306" si="180">IF(SUM(E300,J300)=$Z300,"T",IF(SUM(E300,J300)&gt;$Z300,"O","U"))</f>
        <v>O</v>
      </c>
      <c r="V300" s="42" t="str">
        <f t="shared" ref="V300:V306" si="181">IF(SUM(F300,K300)=$Z300,"T",IF(SUM(F300,K300)&gt;$Z300,"O","U"))</f>
        <v>U</v>
      </c>
      <c r="W300" s="42" t="str">
        <f t="shared" ref="W300:W306" si="182">IF(SUM(G300,L300)=$Z300,"T",IF(SUM(G300,L300)&gt;$Z300,"O","U"))</f>
        <v>O</v>
      </c>
      <c r="X300" s="42" t="str">
        <f t="shared" ref="X300:X306" si="183">IF(SUM(H300,M300)=$Z300,"T",IF(SUM(H300,M300)&gt;$Z300,"O","U"))</f>
        <v>T</v>
      </c>
      <c r="Z300" s="42">
        <v>56</v>
      </c>
      <c r="AA300" t="str">
        <f t="shared" si="153"/>
        <v>CLE/DET</v>
      </c>
    </row>
    <row r="301" spans="1:27" ht="17.100000000000001" x14ac:dyDescent="0.45">
      <c r="A301" s="42">
        <v>191204</v>
      </c>
      <c r="B301" s="1">
        <v>0.375</v>
      </c>
      <c r="C301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O301" s="42">
        <f t="shared" si="174"/>
        <v>120</v>
      </c>
      <c r="P301" s="42">
        <f t="shared" si="175"/>
        <v>127</v>
      </c>
      <c r="Q301" s="42" t="str">
        <f t="shared" si="176"/>
        <v>HL</v>
      </c>
      <c r="R301" s="42" t="str">
        <f t="shared" si="177"/>
        <v>HL</v>
      </c>
      <c r="S301" s="42" t="str">
        <f t="shared" si="178"/>
        <v>HW</v>
      </c>
      <c r="T301" s="42" t="str">
        <f t="shared" si="179"/>
        <v>HW</v>
      </c>
      <c r="U301" s="42" t="str">
        <f t="shared" si="180"/>
        <v>U</v>
      </c>
      <c r="V301" s="42" t="str">
        <f t="shared" si="181"/>
        <v>O</v>
      </c>
      <c r="W301" s="42" t="str">
        <f t="shared" si="182"/>
        <v>O</v>
      </c>
      <c r="X301" s="42" t="str">
        <f t="shared" si="183"/>
        <v>O</v>
      </c>
      <c r="Z301" s="42">
        <v>58.5</v>
      </c>
      <c r="AA301" t="str">
        <f t="shared" si="153"/>
        <v>WAS/ORL</v>
      </c>
    </row>
    <row r="302" spans="1:27" ht="17.100000000000001" x14ac:dyDescent="0.45">
      <c r="A302" s="42">
        <v>191204</v>
      </c>
      <c r="B302" s="1">
        <v>0.39583333333333331</v>
      </c>
      <c r="C30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O302" s="42">
        <f t="shared" si="174"/>
        <v>97</v>
      </c>
      <c r="P302" s="42">
        <f t="shared" si="175"/>
        <v>118</v>
      </c>
      <c r="Q302" s="42" t="str">
        <f t="shared" si="176"/>
        <v>TT</v>
      </c>
      <c r="R302" s="42" t="str">
        <f t="shared" si="177"/>
        <v>HL</v>
      </c>
      <c r="S302" s="42" t="str">
        <f t="shared" si="178"/>
        <v>HL</v>
      </c>
      <c r="T302" s="42" t="str">
        <f t="shared" si="179"/>
        <v>HL</v>
      </c>
      <c r="U302" s="42" t="str">
        <f t="shared" si="180"/>
        <v>U</v>
      </c>
      <c r="V302" s="42" t="str">
        <f t="shared" si="181"/>
        <v>O</v>
      </c>
      <c r="W302" s="42" t="str">
        <f t="shared" si="182"/>
        <v>U</v>
      </c>
      <c r="X302" s="42" t="str">
        <f t="shared" si="183"/>
        <v>U</v>
      </c>
      <c r="Z302" s="42">
        <v>60.5</v>
      </c>
      <c r="AA302" t="str">
        <f t="shared" si="153"/>
        <v>NO/DAL</v>
      </c>
    </row>
    <row r="303" spans="1:27" ht="17.100000000000001" x14ac:dyDescent="0.45">
      <c r="A303" s="42">
        <v>191204</v>
      </c>
      <c r="B303" s="1">
        <v>0.39583333333333331</v>
      </c>
      <c r="C303" s="11" t="s">
        <v>335</v>
      </c>
      <c r="D303" s="11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O303" s="42">
        <f t="shared" si="174"/>
        <v>108</v>
      </c>
      <c r="P303" s="42">
        <f t="shared" si="175"/>
        <v>108</v>
      </c>
      <c r="Q303" s="42" t="str">
        <f t="shared" si="176"/>
        <v>HL</v>
      </c>
      <c r="R303" s="42" t="str">
        <f t="shared" si="177"/>
        <v>HW</v>
      </c>
      <c r="S303" s="42" t="str">
        <f t="shared" si="178"/>
        <v>HW</v>
      </c>
      <c r="T303" s="42" t="str">
        <f t="shared" si="179"/>
        <v>HW</v>
      </c>
      <c r="U303" s="42" t="str">
        <f t="shared" si="180"/>
        <v>T</v>
      </c>
      <c r="V303" s="42" t="str">
        <f t="shared" si="181"/>
        <v>O</v>
      </c>
      <c r="W303" s="42" t="str">
        <f t="shared" si="182"/>
        <v>U</v>
      </c>
      <c r="X303" s="42" t="str">
        <f t="shared" si="183"/>
        <v>U</v>
      </c>
      <c r="Z303" s="42">
        <v>55</v>
      </c>
      <c r="AA303" t="str">
        <f t="shared" si="153"/>
        <v>TOR/MIA</v>
      </c>
    </row>
    <row r="304" spans="1:27" ht="17.100000000000001" x14ac:dyDescent="0.45">
      <c r="A304" s="42">
        <v>191204</v>
      </c>
      <c r="B304" s="1">
        <v>0.4375</v>
      </c>
      <c r="C304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74"/>
        <v>135</v>
      </c>
      <c r="P304" s="42">
        <f t="shared" si="175"/>
        <v>133</v>
      </c>
      <c r="Q304" s="42" t="str">
        <f t="shared" si="176"/>
        <v>HW</v>
      </c>
      <c r="R304" s="42" t="str">
        <f t="shared" si="177"/>
        <v>HL</v>
      </c>
      <c r="S304" s="42" t="str">
        <f t="shared" si="178"/>
        <v>HL</v>
      </c>
      <c r="T304" s="42" t="str">
        <f t="shared" si="179"/>
        <v>HW</v>
      </c>
      <c r="U304" s="42" t="str">
        <f t="shared" si="180"/>
        <v>U</v>
      </c>
      <c r="V304" s="42" t="str">
        <f t="shared" si="181"/>
        <v>O</v>
      </c>
      <c r="W304" s="42" t="str">
        <f t="shared" si="182"/>
        <v>U</v>
      </c>
      <c r="X304" s="42" t="str">
        <f t="shared" si="183"/>
        <v>U</v>
      </c>
      <c r="Z304" s="42">
        <v>60</v>
      </c>
      <c r="AA304" t="str">
        <f t="shared" si="153"/>
        <v>SAS/HOU</v>
      </c>
    </row>
    <row r="305" spans="1:27" ht="17.100000000000001" x14ac:dyDescent="0.45">
      <c r="A305" s="42">
        <v>191204</v>
      </c>
      <c r="B305" s="1">
        <v>0.45833333333333331</v>
      </c>
      <c r="C305" s="13" t="s">
        <v>349</v>
      </c>
      <c r="D305" s="11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O305" s="42">
        <f t="shared" si="174"/>
        <v>96</v>
      </c>
      <c r="P305" s="42">
        <f t="shared" si="175"/>
        <v>105</v>
      </c>
      <c r="Q305" s="42" t="str">
        <f t="shared" si="176"/>
        <v>HL</v>
      </c>
      <c r="R305" s="42" t="str">
        <f t="shared" si="177"/>
        <v>HL</v>
      </c>
      <c r="S305" s="42" t="str">
        <f t="shared" si="178"/>
        <v>HW</v>
      </c>
      <c r="T305" s="42" t="str">
        <f t="shared" si="179"/>
        <v>HL</v>
      </c>
      <c r="U305" s="42" t="str">
        <f t="shared" si="180"/>
        <v>U</v>
      </c>
      <c r="V305" s="42" t="str">
        <f t="shared" si="181"/>
        <v>O</v>
      </c>
      <c r="W305" s="42" t="str">
        <f t="shared" si="182"/>
        <v>U</v>
      </c>
      <c r="X305" s="42" t="str">
        <f t="shared" si="183"/>
        <v>U</v>
      </c>
      <c r="Z305" s="42">
        <v>54</v>
      </c>
      <c r="AA305" t="str">
        <f t="shared" si="153"/>
        <v>DEN/LAL</v>
      </c>
    </row>
    <row r="306" spans="1:27" ht="17.100000000000001" x14ac:dyDescent="0.45">
      <c r="A306" s="42">
        <v>191204</v>
      </c>
      <c r="B306" s="1">
        <v>0.5</v>
      </c>
      <c r="C306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O306" s="42">
        <f t="shared" si="174"/>
        <v>117</v>
      </c>
      <c r="P306" s="42">
        <f t="shared" si="175"/>
        <v>97</v>
      </c>
      <c r="Q306" s="42" t="str">
        <f t="shared" si="176"/>
        <v>HL</v>
      </c>
      <c r="R306" s="42" t="str">
        <f t="shared" si="177"/>
        <v>HW</v>
      </c>
      <c r="S306" s="42" t="str">
        <f t="shared" si="178"/>
        <v>HW</v>
      </c>
      <c r="T306" s="42" t="str">
        <f t="shared" si="179"/>
        <v>HW</v>
      </c>
      <c r="U306" s="42" t="str">
        <f t="shared" si="180"/>
        <v>O</v>
      </c>
      <c r="V306" s="42" t="str">
        <f t="shared" si="181"/>
        <v>O</v>
      </c>
      <c r="W306" s="42" t="str">
        <f t="shared" si="182"/>
        <v>U</v>
      </c>
      <c r="X306" s="42" t="str">
        <f t="shared" si="183"/>
        <v>U</v>
      </c>
      <c r="Z306" s="42">
        <v>58.5</v>
      </c>
      <c r="AA306" t="str">
        <f t="shared" si="153"/>
        <v>LAC/POR</v>
      </c>
    </row>
    <row r="307" spans="1:27" ht="17.100000000000001" x14ac:dyDescent="0.45">
      <c r="A307" s="42">
        <v>191205</v>
      </c>
      <c r="B307" s="1">
        <v>0.375</v>
      </c>
      <c r="C307" s="14" t="s">
        <v>351</v>
      </c>
      <c r="D307" s="43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O307" s="42">
        <f t="shared" ref="O307:O320" si="184">SUM(E307:I307)</f>
        <v>103</v>
      </c>
      <c r="P307" s="42">
        <f t="shared" ref="P307:P320" si="185">SUM(J307:N307)</f>
        <v>127</v>
      </c>
      <c r="Q307" s="42" t="str">
        <f t="shared" ref="Q307:Q320" si="186">IF(E307=J307,"TT",IF(E307&gt;J307,"HW","HL"))</f>
        <v>HW</v>
      </c>
      <c r="R307" s="42" t="str">
        <f t="shared" ref="R307:R320" si="187">IF(F307=K307,"TT",IF(F307&gt;K307,"HW","HL"))</f>
        <v>HL</v>
      </c>
      <c r="S307" s="42" t="str">
        <f t="shared" ref="S307:S320" si="188">IF(G307=L307,"TT",IF(G307&gt;L307,"HW","HL"))</f>
        <v>HL</v>
      </c>
      <c r="T307" s="42" t="str">
        <f t="shared" ref="T307:T320" si="189">IF(H307=M307,"TT",IF(H307&gt;M307,"HW","HL"))</f>
        <v>HL</v>
      </c>
      <c r="U307" s="42" t="str">
        <f t="shared" ref="U307:U320" si="190">IF(SUM(E307,J307)=$Z307,"T",IF(SUM(E307,J307)&gt;$Z307,"O","U"))</f>
        <v>U</v>
      </c>
      <c r="V307" s="42" t="str">
        <f t="shared" ref="V307:V320" si="191">IF(SUM(F307,K307)=$Z307,"T",IF(SUM(F307,K307)&gt;$Z307,"O","U"))</f>
        <v>O</v>
      </c>
      <c r="W307" s="42" t="str">
        <f t="shared" ref="W307:W320" si="192">IF(SUM(G307,L307)=$Z307,"T",IF(SUM(G307,L307)&gt;$Z307,"O","U"))</f>
        <v>O</v>
      </c>
      <c r="X307" s="42" t="str">
        <f t="shared" ref="X307:X320" si="193">IF(SUM(H307,M307)=$Z307,"T",IF(SUM(H307,M307)&gt;$Z307,"O","U"))</f>
        <v>O</v>
      </c>
      <c r="Z307">
        <v>54.5</v>
      </c>
      <c r="AA307" t="str">
        <f t="shared" si="153"/>
        <v>DET/MIL</v>
      </c>
    </row>
    <row r="308" spans="1:27" ht="17.100000000000001" x14ac:dyDescent="0.45">
      <c r="A308" s="42">
        <v>191205</v>
      </c>
      <c r="B308" s="1">
        <v>0.375</v>
      </c>
      <c r="C308" s="11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O308" s="42">
        <f t="shared" si="184"/>
        <v>128</v>
      </c>
      <c r="P308" s="42">
        <f t="shared" si="185"/>
        <v>114</v>
      </c>
      <c r="Q308" s="42" t="str">
        <f t="shared" si="186"/>
        <v>HL</v>
      </c>
      <c r="R308" s="42" t="str">
        <f t="shared" si="187"/>
        <v>HW</v>
      </c>
      <c r="S308" s="42" t="str">
        <f t="shared" si="188"/>
        <v>HW</v>
      </c>
      <c r="T308" s="42" t="str">
        <f t="shared" si="189"/>
        <v>HL</v>
      </c>
      <c r="U308" s="42" t="str">
        <f t="shared" si="190"/>
        <v>O</v>
      </c>
      <c r="V308" s="42" t="str">
        <f t="shared" si="191"/>
        <v>O</v>
      </c>
      <c r="W308" s="42" t="str">
        <f t="shared" si="192"/>
        <v>O</v>
      </c>
      <c r="X308" s="42" t="str">
        <f t="shared" si="193"/>
        <v>O</v>
      </c>
      <c r="Z308">
        <v>52</v>
      </c>
      <c r="AA308" t="str">
        <f t="shared" si="153"/>
        <v>ORL/PHO</v>
      </c>
    </row>
    <row r="309" spans="1:27" ht="17.100000000000001" x14ac:dyDescent="0.45">
      <c r="A309" s="42">
        <v>191205</v>
      </c>
      <c r="B309" s="1">
        <v>0.375</v>
      </c>
      <c r="C309" s="13" t="s">
        <v>355</v>
      </c>
      <c r="D309" s="13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O309" s="42">
        <f t="shared" si="184"/>
        <v>106</v>
      </c>
      <c r="P309" s="42">
        <f t="shared" si="185"/>
        <v>91</v>
      </c>
      <c r="Q309" s="42" t="str">
        <f t="shared" si="186"/>
        <v>HW</v>
      </c>
      <c r="R309" s="42" t="str">
        <f t="shared" si="187"/>
        <v>HL</v>
      </c>
      <c r="S309" s="42" t="str">
        <f t="shared" si="188"/>
        <v>HW</v>
      </c>
      <c r="T309" s="42" t="str">
        <f t="shared" si="189"/>
        <v>HW</v>
      </c>
      <c r="U309" s="42" t="str">
        <f t="shared" si="190"/>
        <v>U</v>
      </c>
      <c r="V309" s="42" t="str">
        <f t="shared" si="191"/>
        <v>O</v>
      </c>
      <c r="W309" s="42" t="str">
        <f t="shared" si="192"/>
        <v>U</v>
      </c>
      <c r="X309" s="42" t="str">
        <f t="shared" si="193"/>
        <v>U</v>
      </c>
      <c r="Z309">
        <v>55</v>
      </c>
      <c r="AA309" t="str">
        <f t="shared" si="153"/>
        <v>CHA/GS</v>
      </c>
    </row>
    <row r="310" spans="1:27" ht="17.100000000000001" x14ac:dyDescent="0.45">
      <c r="A310" s="42">
        <v>191205</v>
      </c>
      <c r="B310" s="1">
        <v>0.39583333333333331</v>
      </c>
      <c r="C310" s="11" t="s">
        <v>357</v>
      </c>
      <c r="D310" s="11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O310" s="42">
        <f t="shared" si="184"/>
        <v>118</v>
      </c>
      <c r="P310" s="42">
        <f t="shared" si="185"/>
        <v>130</v>
      </c>
      <c r="Q310" s="42" t="str">
        <f t="shared" si="186"/>
        <v>HW</v>
      </c>
      <c r="R310" s="42" t="str">
        <f t="shared" si="187"/>
        <v>HL</v>
      </c>
      <c r="S310" s="42" t="str">
        <f t="shared" si="188"/>
        <v>TT</v>
      </c>
      <c r="T310" s="42" t="str">
        <f t="shared" si="189"/>
        <v>HL</v>
      </c>
      <c r="U310" s="42" t="str">
        <f t="shared" si="190"/>
        <v>U</v>
      </c>
      <c r="V310" s="42" t="str">
        <f t="shared" si="191"/>
        <v>U</v>
      </c>
      <c r="W310" s="42" t="str">
        <f t="shared" si="192"/>
        <v>O</v>
      </c>
      <c r="X310" s="42" t="str">
        <f t="shared" si="193"/>
        <v>O</v>
      </c>
      <c r="Z310">
        <v>55.5</v>
      </c>
      <c r="AA310" t="str">
        <f t="shared" si="153"/>
        <v>ATL/BKN</v>
      </c>
    </row>
    <row r="311" spans="1:27" ht="17.100000000000001" x14ac:dyDescent="0.45">
      <c r="A311" s="42">
        <v>191205</v>
      </c>
      <c r="B311" s="1">
        <v>0.39583333333333331</v>
      </c>
      <c r="C311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O311" s="42">
        <f t="shared" si="184"/>
        <v>112</v>
      </c>
      <c r="P311" s="42">
        <f t="shared" si="185"/>
        <v>93</v>
      </c>
      <c r="Q311" s="42" t="str">
        <f t="shared" si="186"/>
        <v>HL</v>
      </c>
      <c r="R311" s="42" t="str">
        <f t="shared" si="187"/>
        <v>HW</v>
      </c>
      <c r="S311" s="42" t="str">
        <f t="shared" si="188"/>
        <v>HW</v>
      </c>
      <c r="T311" s="42" t="str">
        <f t="shared" si="189"/>
        <v>HW</v>
      </c>
      <c r="U311" s="42" t="str">
        <f t="shared" si="190"/>
        <v>U</v>
      </c>
      <c r="V311" s="42" t="str">
        <f t="shared" si="191"/>
        <v>U</v>
      </c>
      <c r="W311" s="42" t="str">
        <f t="shared" si="192"/>
        <v>O</v>
      </c>
      <c r="X311" s="42" t="str">
        <f t="shared" si="193"/>
        <v>T</v>
      </c>
      <c r="Z311">
        <v>54</v>
      </c>
      <c r="AA311" t="str">
        <f t="shared" si="153"/>
        <v>BOS/MIA</v>
      </c>
    </row>
    <row r="312" spans="1:27" ht="17.100000000000001" x14ac:dyDescent="0.45">
      <c r="A312" s="42">
        <v>191205</v>
      </c>
      <c r="B312" s="1">
        <v>0.41666666666666669</v>
      </c>
      <c r="C312" s="5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O312" s="42">
        <f t="shared" si="184"/>
        <v>106</v>
      </c>
      <c r="P312" s="42">
        <f t="shared" si="185"/>
        <v>99</v>
      </c>
      <c r="Q312" s="42" t="str">
        <f t="shared" si="186"/>
        <v>HW</v>
      </c>
      <c r="R312" s="42" t="str">
        <f t="shared" si="187"/>
        <v>HW</v>
      </c>
      <c r="S312" s="42" t="str">
        <f t="shared" si="188"/>
        <v>HL</v>
      </c>
      <c r="T312" s="42" t="str">
        <f t="shared" si="189"/>
        <v>HL</v>
      </c>
      <c r="U312" s="42" t="str">
        <f t="shared" si="190"/>
        <v>U</v>
      </c>
      <c r="V312" s="42" t="str">
        <f t="shared" si="191"/>
        <v>U</v>
      </c>
      <c r="W312" s="42" t="str">
        <f t="shared" si="192"/>
        <v>O</v>
      </c>
      <c r="X312" s="42" t="str">
        <f t="shared" si="193"/>
        <v>O</v>
      </c>
      <c r="Z312">
        <v>54</v>
      </c>
      <c r="AA312" t="str">
        <f t="shared" si="153"/>
        <v>CHI/MEM</v>
      </c>
    </row>
    <row r="313" spans="1:27" ht="17.100000000000001" x14ac:dyDescent="0.45">
      <c r="A313" s="42">
        <v>191205</v>
      </c>
      <c r="B313" s="1">
        <v>0.41666666666666669</v>
      </c>
      <c r="C313" s="11" t="s">
        <v>363</v>
      </c>
      <c r="D313" s="13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O313" s="42">
        <f t="shared" si="184"/>
        <v>100</v>
      </c>
      <c r="P313" s="42">
        <f t="shared" si="185"/>
        <v>107</v>
      </c>
      <c r="Q313" s="42" t="str">
        <f t="shared" si="186"/>
        <v>HW</v>
      </c>
      <c r="R313" s="42" t="str">
        <f t="shared" si="187"/>
        <v>HL</v>
      </c>
      <c r="S313" s="42" t="str">
        <f t="shared" si="188"/>
        <v>HL</v>
      </c>
      <c r="T313" s="42" t="str">
        <f t="shared" si="189"/>
        <v>HL</v>
      </c>
      <c r="U313" s="42" t="str">
        <f t="shared" si="190"/>
        <v>O</v>
      </c>
      <c r="V313" s="42" t="str">
        <f t="shared" si="191"/>
        <v>U</v>
      </c>
      <c r="W313" s="42" t="str">
        <f t="shared" si="192"/>
        <v>O</v>
      </c>
      <c r="X313" s="42" t="str">
        <f t="shared" si="193"/>
        <v>U</v>
      </c>
      <c r="Z313">
        <v>54</v>
      </c>
      <c r="AA313" t="str">
        <f t="shared" si="153"/>
        <v>OKC/IND</v>
      </c>
    </row>
    <row r="314" spans="1:27" ht="17.100000000000001" x14ac:dyDescent="0.45">
      <c r="A314" s="42">
        <v>191205</v>
      </c>
      <c r="B314" s="1">
        <v>0.4375</v>
      </c>
      <c r="C314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O314" s="42">
        <f t="shared" si="184"/>
        <v>121</v>
      </c>
      <c r="P314" s="42">
        <f t="shared" si="185"/>
        <v>114</v>
      </c>
      <c r="Q314" s="42" t="str">
        <f t="shared" si="186"/>
        <v>HW</v>
      </c>
      <c r="R314" s="42" t="str">
        <f t="shared" si="187"/>
        <v>HL</v>
      </c>
      <c r="S314" s="42" t="str">
        <f t="shared" si="188"/>
        <v>HL</v>
      </c>
      <c r="T314" s="42" t="str">
        <f t="shared" si="189"/>
        <v>HW</v>
      </c>
      <c r="U314" s="42" t="str">
        <f t="shared" si="190"/>
        <v>U</v>
      </c>
      <c r="V314" s="42" t="str">
        <f t="shared" si="191"/>
        <v>U</v>
      </c>
      <c r="W314" s="42" t="str">
        <f t="shared" si="192"/>
        <v>U</v>
      </c>
      <c r="X314" s="42" t="str">
        <f t="shared" si="193"/>
        <v>O</v>
      </c>
      <c r="Z314">
        <v>59</v>
      </c>
      <c r="AA314" t="str">
        <f t="shared" si="153"/>
        <v>DAL/MIN</v>
      </c>
    </row>
    <row r="315" spans="1:27" ht="17.100000000000001" x14ac:dyDescent="0.45">
      <c r="A315" s="42">
        <v>191205</v>
      </c>
      <c r="B315" s="1">
        <v>0.45833333333333331</v>
      </c>
      <c r="C315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O315" s="42">
        <f t="shared" si="184"/>
        <v>96</v>
      </c>
      <c r="P315" s="42">
        <f t="shared" si="185"/>
        <v>121</v>
      </c>
      <c r="Q315" s="42" t="str">
        <f t="shared" si="186"/>
        <v>HL</v>
      </c>
      <c r="R315" s="42" t="str">
        <f t="shared" si="187"/>
        <v>HL</v>
      </c>
      <c r="S315" s="42" t="str">
        <f t="shared" si="188"/>
        <v>HL</v>
      </c>
      <c r="T315" s="42" t="str">
        <f t="shared" si="189"/>
        <v>HL</v>
      </c>
      <c r="U315" s="42" t="str">
        <f t="shared" si="190"/>
        <v>O</v>
      </c>
      <c r="V315" s="42" t="str">
        <f t="shared" si="191"/>
        <v>U</v>
      </c>
      <c r="W315" s="42" t="str">
        <f t="shared" si="192"/>
        <v>O</v>
      </c>
      <c r="X315" s="42" t="str">
        <f t="shared" si="193"/>
        <v>U</v>
      </c>
      <c r="Z315">
        <v>54.5</v>
      </c>
      <c r="AA315" t="str">
        <f t="shared" si="153"/>
        <v>UTA/LAL</v>
      </c>
    </row>
    <row r="316" spans="1:27" ht="17.100000000000001" x14ac:dyDescent="0.45">
      <c r="A316" s="42">
        <v>191205</v>
      </c>
      <c r="B316" s="1">
        <v>0.5</v>
      </c>
      <c r="C316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O316" s="42">
        <f t="shared" si="184"/>
        <v>127</v>
      </c>
      <c r="P316" s="42">
        <f t="shared" si="185"/>
        <v>116</v>
      </c>
      <c r="Q316" s="42" t="str">
        <f t="shared" si="186"/>
        <v>HL</v>
      </c>
      <c r="R316" s="42" t="str">
        <f t="shared" si="187"/>
        <v>HW</v>
      </c>
      <c r="S316" s="42" t="str">
        <f t="shared" si="188"/>
        <v>HW</v>
      </c>
      <c r="T316" s="42" t="str">
        <f t="shared" si="189"/>
        <v>HW</v>
      </c>
      <c r="U316" s="42" t="str">
        <f t="shared" si="190"/>
        <v>O</v>
      </c>
      <c r="V316" s="42" t="str">
        <f t="shared" si="191"/>
        <v>O</v>
      </c>
      <c r="W316" s="42" t="str">
        <f t="shared" si="192"/>
        <v>O</v>
      </c>
      <c r="X316" s="42" t="str">
        <f t="shared" si="193"/>
        <v>U</v>
      </c>
      <c r="Z316">
        <v>55.5</v>
      </c>
      <c r="AA316" t="str">
        <f t="shared" si="153"/>
        <v>POR/SAC</v>
      </c>
    </row>
    <row r="317" spans="1:27" ht="17.100000000000001" x14ac:dyDescent="0.45">
      <c r="A317" s="42">
        <v>191206</v>
      </c>
      <c r="B317" s="1">
        <v>0.375</v>
      </c>
      <c r="C317" t="s">
        <v>34</v>
      </c>
      <c r="D317" s="5" t="s">
        <v>371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O317" s="42">
        <f t="shared" si="184"/>
        <v>119</v>
      </c>
      <c r="P317" s="42">
        <f t="shared" si="185"/>
        <v>113</v>
      </c>
      <c r="Q317" s="42" t="str">
        <f t="shared" si="186"/>
        <v>HL</v>
      </c>
      <c r="R317" s="42" t="str">
        <f t="shared" si="187"/>
        <v>HW</v>
      </c>
      <c r="S317" s="42" t="str">
        <f t="shared" si="188"/>
        <v>TT</v>
      </c>
      <c r="T317" s="42" t="str">
        <f t="shared" si="189"/>
        <v>HL</v>
      </c>
      <c r="U317" s="42" t="str">
        <f t="shared" si="190"/>
        <v>O</v>
      </c>
      <c r="V317" s="42" t="str">
        <f t="shared" si="191"/>
        <v>O</v>
      </c>
      <c r="W317" s="42" t="str">
        <f t="shared" si="192"/>
        <v>U</v>
      </c>
      <c r="X317" s="42" t="str">
        <f t="shared" si="193"/>
        <v>O</v>
      </c>
      <c r="Z317">
        <v>57.5</v>
      </c>
      <c r="AA317" t="str">
        <f t="shared" si="153"/>
        <v>WAS/PHI</v>
      </c>
    </row>
    <row r="318" spans="1:27" ht="17.100000000000001" x14ac:dyDescent="0.45">
      <c r="A318" s="42">
        <v>191206</v>
      </c>
      <c r="B318" s="1">
        <v>0.39583333333333331</v>
      </c>
      <c r="C318" t="s">
        <v>372</v>
      </c>
      <c r="D318" s="5" t="s">
        <v>373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O318" s="42">
        <f t="shared" si="184"/>
        <v>92</v>
      </c>
      <c r="P318" s="42">
        <f t="shared" si="185"/>
        <v>129</v>
      </c>
      <c r="Q318" s="42" t="str">
        <f t="shared" si="186"/>
        <v>HL</v>
      </c>
      <c r="R318" s="42" t="str">
        <f t="shared" si="187"/>
        <v>HL</v>
      </c>
      <c r="S318" s="42" t="str">
        <f t="shared" si="188"/>
        <v>HL</v>
      </c>
      <c r="T318" s="42" t="str">
        <f t="shared" si="189"/>
        <v>HL</v>
      </c>
      <c r="U318" s="42" t="str">
        <f t="shared" si="190"/>
        <v>O</v>
      </c>
      <c r="V318" s="42" t="str">
        <f t="shared" si="191"/>
        <v>U</v>
      </c>
      <c r="W318" s="42" t="str">
        <f t="shared" si="192"/>
        <v>O</v>
      </c>
      <c r="X318" s="42" t="str">
        <f t="shared" si="193"/>
        <v>U</v>
      </c>
      <c r="Z318">
        <v>52.5</v>
      </c>
      <c r="AA318" t="str">
        <f t="shared" si="153"/>
        <v>NYK/DEN</v>
      </c>
    </row>
    <row r="319" spans="1:27" ht="17.100000000000001" x14ac:dyDescent="0.45">
      <c r="A319" s="42">
        <v>191206</v>
      </c>
      <c r="B319" s="1">
        <v>0.39583333333333331</v>
      </c>
      <c r="C319" t="s">
        <v>374</v>
      </c>
      <c r="D319" s="5" t="s">
        <v>375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O319" s="42">
        <f t="shared" si="184"/>
        <v>109</v>
      </c>
      <c r="P319" s="42">
        <f t="shared" si="185"/>
        <v>119</v>
      </c>
      <c r="Q319" s="42" t="str">
        <f t="shared" si="186"/>
        <v>HL</v>
      </c>
      <c r="R319" s="42" t="str">
        <f t="shared" si="187"/>
        <v>HL</v>
      </c>
      <c r="S319" s="42" t="str">
        <f t="shared" si="188"/>
        <v>HW</v>
      </c>
      <c r="T319" s="42" t="str">
        <f t="shared" si="189"/>
        <v>HL</v>
      </c>
      <c r="U319" s="42" t="str">
        <f t="shared" si="190"/>
        <v>O</v>
      </c>
      <c r="V319" s="42" t="str">
        <f t="shared" si="191"/>
        <v>U</v>
      </c>
      <c r="W319" s="42" t="str">
        <f t="shared" si="192"/>
        <v>O</v>
      </c>
      <c r="X319" s="42" t="str">
        <f t="shared" si="193"/>
        <v>U</v>
      </c>
      <c r="Z319">
        <v>59</v>
      </c>
      <c r="AA319" t="str">
        <f t="shared" si="153"/>
        <v>TOR/HOU</v>
      </c>
    </row>
    <row r="320" spans="1:27" ht="17.100000000000001" x14ac:dyDescent="0.45">
      <c r="A320" s="42">
        <v>191206</v>
      </c>
      <c r="B320" s="1">
        <v>0.41666666666666669</v>
      </c>
      <c r="C320" t="s">
        <v>376</v>
      </c>
      <c r="D320" s="5" t="s">
        <v>377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84"/>
        <v>132</v>
      </c>
      <c r="P320" s="42">
        <f t="shared" si="185"/>
        <v>139</v>
      </c>
      <c r="Q320" s="42" t="str">
        <f t="shared" si="186"/>
        <v>HW</v>
      </c>
      <c r="R320" s="42" t="str">
        <f t="shared" si="187"/>
        <v>HL</v>
      </c>
      <c r="S320" s="42" t="str">
        <f t="shared" si="188"/>
        <v>HL</v>
      </c>
      <c r="T320" s="42" t="str">
        <f t="shared" si="189"/>
        <v>HW</v>
      </c>
      <c r="U320" s="42" t="str">
        <f t="shared" si="190"/>
        <v>O</v>
      </c>
      <c r="V320" s="42" t="str">
        <f t="shared" si="191"/>
        <v>O</v>
      </c>
      <c r="W320" s="42" t="str">
        <f t="shared" si="192"/>
        <v>U</v>
      </c>
      <c r="X320" s="42" t="str">
        <f t="shared" si="193"/>
        <v>U</v>
      </c>
      <c r="Z320">
        <v>57.5</v>
      </c>
      <c r="AA320" t="str">
        <f t="shared" si="153"/>
        <v>NO/PHO</v>
      </c>
    </row>
    <row r="321" spans="1:27" ht="17.100000000000001" x14ac:dyDescent="0.45">
      <c r="A321" s="42">
        <v>191207</v>
      </c>
      <c r="B321" s="1">
        <v>0.375</v>
      </c>
      <c r="C321" t="s">
        <v>378</v>
      </c>
      <c r="D321" s="5" t="s">
        <v>379</v>
      </c>
      <c r="E321">
        <v>25</v>
      </c>
      <c r="F321">
        <v>22</v>
      </c>
      <c r="G321">
        <v>23</v>
      </c>
      <c r="H321">
        <v>17</v>
      </c>
      <c r="J321">
        <v>24</v>
      </c>
      <c r="K321">
        <v>28</v>
      </c>
      <c r="L321">
        <v>16</v>
      </c>
      <c r="M321">
        <v>25</v>
      </c>
      <c r="N321" s="2" t="s">
        <v>427</v>
      </c>
      <c r="O321" s="42">
        <f t="shared" ref="O321:O384" si="194">SUM(E321:I321)</f>
        <v>87</v>
      </c>
      <c r="P321" s="42">
        <f t="shared" ref="P321:P384" si="195">SUM(J321:N321)</f>
        <v>93</v>
      </c>
      <c r="Q321" s="42" t="str">
        <f t="shared" ref="Q321:Q384" si="196">IF(E321=J321,"TT",IF(E321&gt;J321,"HW","HL"))</f>
        <v>HW</v>
      </c>
      <c r="R321" s="42" t="str">
        <f t="shared" ref="R321:R384" si="197">IF(F321=K321,"TT",IF(F321&gt;K321,"HW","HL"))</f>
        <v>HL</v>
      </c>
      <c r="S321" s="42" t="str">
        <f t="shared" ref="S321:S384" si="198">IF(G321=L321,"TT",IF(G321&gt;L321,"HW","HL"))</f>
        <v>HW</v>
      </c>
      <c r="T321" s="42" t="str">
        <f t="shared" ref="T321:T384" si="199">IF(H321=M321,"TT",IF(H321&gt;M321,"HW","HL"))</f>
        <v>HL</v>
      </c>
      <c r="U321" s="42" t="str">
        <f t="shared" ref="U321:U384" si="200">IF(SUM(E321,J321)=$Z321,"T",IF(SUM(E321,J321)&gt;$Z321,"O","U"))</f>
        <v>U</v>
      </c>
      <c r="V321" s="42" t="str">
        <f t="shared" ref="V321:V384" si="201">IF(SUM(F321,K321)=$Z321,"T",IF(SUM(F321,K321)&gt;$Z321,"O","U"))</f>
        <v>U</v>
      </c>
      <c r="W321" s="42" t="str">
        <f t="shared" ref="W321:W384" si="202">IF(SUM(G321,L321)=$Z321,"T",IF(SUM(G321,L321)&gt;$Z321,"O","U"))</f>
        <v>U</v>
      </c>
      <c r="X321" s="42" t="str">
        <f t="shared" ref="X321:X384" si="203">IF(SUM(H321,M321)=$Z321,"T",IF(SUM(H321,M321)&gt;$Z321,"O","U"))</f>
        <v>U</v>
      </c>
      <c r="Z321">
        <v>54</v>
      </c>
      <c r="AA321" t="str">
        <f t="shared" si="153"/>
        <v>CLE/ORL</v>
      </c>
    </row>
    <row r="322" spans="1:27" ht="17.100000000000001" x14ac:dyDescent="0.45">
      <c r="A322" s="42">
        <v>191207</v>
      </c>
      <c r="B322" s="1">
        <v>0.375</v>
      </c>
      <c r="C322" t="s">
        <v>380</v>
      </c>
      <c r="D322" s="5" t="s">
        <v>381</v>
      </c>
      <c r="E322">
        <v>32</v>
      </c>
      <c r="F322">
        <v>23</v>
      </c>
      <c r="G322">
        <v>16</v>
      </c>
      <c r="H322">
        <v>37</v>
      </c>
      <c r="J322">
        <v>19</v>
      </c>
      <c r="K322">
        <v>25</v>
      </c>
      <c r="L322">
        <v>31</v>
      </c>
      <c r="M322">
        <v>26</v>
      </c>
      <c r="N322" s="2" t="s">
        <v>427</v>
      </c>
      <c r="O322" s="42">
        <f t="shared" si="194"/>
        <v>108</v>
      </c>
      <c r="P322" s="42">
        <f t="shared" si="195"/>
        <v>101</v>
      </c>
      <c r="Q322" s="42" t="str">
        <f t="shared" si="196"/>
        <v>HW</v>
      </c>
      <c r="R322" s="42" t="str">
        <f t="shared" si="197"/>
        <v>HL</v>
      </c>
      <c r="S322" s="42" t="str">
        <f t="shared" si="198"/>
        <v>HL</v>
      </c>
      <c r="T322" s="42" t="str">
        <f t="shared" si="199"/>
        <v>HW</v>
      </c>
      <c r="U322" s="42" t="str">
        <f t="shared" si="200"/>
        <v>U</v>
      </c>
      <c r="V322" s="42" t="str">
        <f t="shared" si="201"/>
        <v>U</v>
      </c>
      <c r="W322" s="42" t="str">
        <f t="shared" si="202"/>
        <v>U</v>
      </c>
      <c r="X322" s="42" t="str">
        <f t="shared" si="203"/>
        <v>O</v>
      </c>
      <c r="Z322">
        <v>54.5</v>
      </c>
      <c r="AA322" t="str">
        <f t="shared" si="153"/>
        <v>DET/IND</v>
      </c>
    </row>
    <row r="323" spans="1:27" ht="17.100000000000001" x14ac:dyDescent="0.45">
      <c r="A323" s="42">
        <v>191207</v>
      </c>
      <c r="B323" s="1">
        <v>0.375</v>
      </c>
      <c r="C323" t="s">
        <v>382</v>
      </c>
      <c r="D323" s="5" t="s">
        <v>383</v>
      </c>
      <c r="E323">
        <v>32</v>
      </c>
      <c r="F323">
        <v>25</v>
      </c>
      <c r="G323">
        <v>27</v>
      </c>
      <c r="H323">
        <v>20</v>
      </c>
      <c r="J323">
        <v>29</v>
      </c>
      <c r="K323">
        <v>26</v>
      </c>
      <c r="L323">
        <v>31</v>
      </c>
      <c r="M323">
        <v>25</v>
      </c>
      <c r="N323" s="2" t="s">
        <v>427</v>
      </c>
      <c r="O323" s="42">
        <f t="shared" si="194"/>
        <v>104</v>
      </c>
      <c r="P323" s="42">
        <f t="shared" si="195"/>
        <v>111</v>
      </c>
      <c r="Q323" s="42" t="str">
        <f t="shared" si="196"/>
        <v>HW</v>
      </c>
      <c r="R323" s="42" t="str">
        <f t="shared" si="197"/>
        <v>HL</v>
      </c>
      <c r="S323" s="42" t="str">
        <f t="shared" si="198"/>
        <v>HL</v>
      </c>
      <c r="T323" s="42" t="str">
        <f t="shared" si="199"/>
        <v>HL</v>
      </c>
      <c r="U323" s="42" t="str">
        <f t="shared" si="200"/>
        <v>O</v>
      </c>
      <c r="V323" s="42" t="str">
        <f t="shared" si="201"/>
        <v>U</v>
      </c>
      <c r="W323" s="42" t="str">
        <f t="shared" si="202"/>
        <v>O</v>
      </c>
      <c r="X323" s="42" t="str">
        <f t="shared" si="203"/>
        <v>U</v>
      </c>
      <c r="Z323">
        <v>53.5</v>
      </c>
      <c r="AA323" t="str">
        <f t="shared" si="153"/>
        <v>CHA/BKN</v>
      </c>
    </row>
    <row r="324" spans="1:27" ht="17.100000000000001" x14ac:dyDescent="0.45">
      <c r="A324" s="42">
        <v>191207</v>
      </c>
      <c r="B324" s="1">
        <v>0.41666666666666669</v>
      </c>
      <c r="C324" t="s">
        <v>384</v>
      </c>
      <c r="D324" s="5" t="s">
        <v>373</v>
      </c>
      <c r="E324">
        <v>33</v>
      </c>
      <c r="F324">
        <v>20</v>
      </c>
      <c r="G324">
        <v>32</v>
      </c>
      <c r="H324">
        <v>23</v>
      </c>
      <c r="J324">
        <v>26</v>
      </c>
      <c r="K324">
        <v>19</v>
      </c>
      <c r="L324">
        <v>19</v>
      </c>
      <c r="M324">
        <v>31</v>
      </c>
      <c r="N324" s="2" t="s">
        <v>427</v>
      </c>
      <c r="O324" s="42">
        <f t="shared" si="194"/>
        <v>108</v>
      </c>
      <c r="P324" s="42">
        <f t="shared" si="195"/>
        <v>95</v>
      </c>
      <c r="Q324" s="42" t="str">
        <f t="shared" si="196"/>
        <v>HW</v>
      </c>
      <c r="R324" s="42" t="str">
        <f t="shared" si="197"/>
        <v>HW</v>
      </c>
      <c r="S324" s="42" t="str">
        <f t="shared" si="198"/>
        <v>HW</v>
      </c>
      <c r="T324" s="42" t="str">
        <f t="shared" si="199"/>
        <v>HL</v>
      </c>
      <c r="U324" s="42" t="str">
        <f t="shared" si="200"/>
        <v>O</v>
      </c>
      <c r="V324" s="42" t="str">
        <f t="shared" si="201"/>
        <v>U</v>
      </c>
      <c r="W324" s="42" t="str">
        <f t="shared" si="202"/>
        <v>U</v>
      </c>
      <c r="X324" s="42" t="str">
        <f t="shared" si="203"/>
        <v>O</v>
      </c>
      <c r="Z324">
        <v>52.5</v>
      </c>
      <c r="AA324" t="str">
        <f t="shared" si="153"/>
        <v>BOS/DEN</v>
      </c>
    </row>
    <row r="325" spans="1:27" ht="17.100000000000001" x14ac:dyDescent="0.45">
      <c r="A325" s="42">
        <v>191207</v>
      </c>
      <c r="B325" s="1">
        <v>0.41666666666666669</v>
      </c>
      <c r="C325" t="s">
        <v>385</v>
      </c>
      <c r="D325" s="5" t="s">
        <v>386</v>
      </c>
      <c r="E325">
        <v>28</v>
      </c>
      <c r="F325">
        <v>23</v>
      </c>
      <c r="G325">
        <v>32</v>
      </c>
      <c r="H325">
        <v>15</v>
      </c>
      <c r="J325">
        <v>23</v>
      </c>
      <c r="K325">
        <v>27</v>
      </c>
      <c r="L325">
        <v>27</v>
      </c>
      <c r="M325">
        <v>23</v>
      </c>
      <c r="N325" s="2" t="s">
        <v>427</v>
      </c>
      <c r="O325" s="42">
        <f t="shared" si="194"/>
        <v>98</v>
      </c>
      <c r="P325" s="42">
        <f t="shared" si="195"/>
        <v>100</v>
      </c>
      <c r="Q325" s="42" t="str">
        <f t="shared" si="196"/>
        <v>HW</v>
      </c>
      <c r="R325" s="42" t="str">
        <f t="shared" si="197"/>
        <v>HL</v>
      </c>
      <c r="S325" s="42" t="str">
        <f t="shared" si="198"/>
        <v>HW</v>
      </c>
      <c r="T325" s="42" t="str">
        <f t="shared" si="199"/>
        <v>HL</v>
      </c>
      <c r="U325" s="42" t="str">
        <f t="shared" si="200"/>
        <v>U</v>
      </c>
      <c r="V325" s="42" t="str">
        <f t="shared" si="201"/>
        <v>U</v>
      </c>
      <c r="W325" s="42" t="str">
        <f t="shared" si="202"/>
        <v>O</v>
      </c>
      <c r="X325" s="42" t="str">
        <f t="shared" si="203"/>
        <v>U</v>
      </c>
      <c r="Z325">
        <v>54.5</v>
      </c>
      <c r="AA325" t="str">
        <f t="shared" si="153"/>
        <v>CHI/GS</v>
      </c>
    </row>
    <row r="326" spans="1:27" ht="17.100000000000001" x14ac:dyDescent="0.45">
      <c r="A326" s="42">
        <v>191207</v>
      </c>
      <c r="B326" s="1">
        <v>0.41666666666666669</v>
      </c>
      <c r="C326" t="s">
        <v>387</v>
      </c>
      <c r="D326" s="5" t="s">
        <v>388</v>
      </c>
      <c r="E326">
        <v>27</v>
      </c>
      <c r="F326">
        <v>34</v>
      </c>
      <c r="G326">
        <v>25</v>
      </c>
      <c r="H326">
        <v>26</v>
      </c>
      <c r="J326">
        <v>28</v>
      </c>
      <c r="K326">
        <v>37</v>
      </c>
      <c r="L326">
        <v>20</v>
      </c>
      <c r="M326">
        <v>18</v>
      </c>
      <c r="N326" s="2" t="s">
        <v>427</v>
      </c>
      <c r="O326" s="42">
        <f t="shared" si="194"/>
        <v>112</v>
      </c>
      <c r="P326" s="42">
        <f t="shared" si="195"/>
        <v>103</v>
      </c>
      <c r="Q326" s="42" t="str">
        <f t="shared" si="196"/>
        <v>HL</v>
      </c>
      <c r="R326" s="42" t="str">
        <f t="shared" si="197"/>
        <v>HL</v>
      </c>
      <c r="S326" s="42" t="str">
        <f t="shared" si="198"/>
        <v>HW</v>
      </c>
      <c r="T326" s="42" t="str">
        <f t="shared" si="199"/>
        <v>HW</v>
      </c>
      <c r="U326" s="42" t="str">
        <f t="shared" si="200"/>
        <v>U</v>
      </c>
      <c r="V326" s="42" t="str">
        <f t="shared" si="201"/>
        <v>O</v>
      </c>
      <c r="W326" s="42" t="str">
        <f t="shared" si="202"/>
        <v>U</v>
      </c>
      <c r="X326" s="42" t="str">
        <f t="shared" si="203"/>
        <v>U</v>
      </c>
      <c r="Z326">
        <v>59.5</v>
      </c>
      <c r="AA326" t="str">
        <f t="shared" si="153"/>
        <v>MIA/WAS</v>
      </c>
    </row>
    <row r="327" spans="1:27" ht="17.100000000000001" x14ac:dyDescent="0.45">
      <c r="A327" s="42">
        <v>191207</v>
      </c>
      <c r="B327" s="1">
        <v>0.41666666666666669</v>
      </c>
      <c r="C327" t="s">
        <v>389</v>
      </c>
      <c r="D327" s="5" t="s">
        <v>390</v>
      </c>
      <c r="E327">
        <v>30</v>
      </c>
      <c r="F327">
        <v>23</v>
      </c>
      <c r="G327">
        <v>41</v>
      </c>
      <c r="H327">
        <v>28</v>
      </c>
      <c r="I327">
        <v>17</v>
      </c>
      <c r="J327">
        <v>27</v>
      </c>
      <c r="K327">
        <v>31</v>
      </c>
      <c r="L327">
        <v>39</v>
      </c>
      <c r="M327">
        <v>25</v>
      </c>
      <c r="N327" s="2">
        <v>5</v>
      </c>
      <c r="O327" s="42">
        <f t="shared" si="194"/>
        <v>139</v>
      </c>
      <c r="P327" s="42">
        <f t="shared" si="195"/>
        <v>127</v>
      </c>
      <c r="Q327" s="42" t="str">
        <f t="shared" si="196"/>
        <v>HW</v>
      </c>
      <c r="R327" s="42" t="str">
        <f t="shared" si="197"/>
        <v>HL</v>
      </c>
      <c r="S327" s="42" t="str">
        <f t="shared" si="198"/>
        <v>HW</v>
      </c>
      <c r="T327" s="42" t="str">
        <f t="shared" si="199"/>
        <v>HW</v>
      </c>
      <c r="U327" s="42" t="str">
        <f t="shared" si="200"/>
        <v>O</v>
      </c>
      <c r="V327" s="42" t="str">
        <f t="shared" si="201"/>
        <v>U</v>
      </c>
      <c r="W327" s="42" t="str">
        <f t="shared" si="202"/>
        <v>O</v>
      </c>
      <c r="X327" s="42" t="str">
        <f t="shared" si="203"/>
        <v>U</v>
      </c>
      <c r="Z327">
        <v>56.5</v>
      </c>
      <c r="AA327" t="str">
        <f t="shared" si="153"/>
        <v>OKC/MIN</v>
      </c>
    </row>
    <row r="328" spans="1:27" ht="17.100000000000001" x14ac:dyDescent="0.45">
      <c r="A328" s="42">
        <v>191207</v>
      </c>
      <c r="B328" s="1">
        <v>0.4375</v>
      </c>
      <c r="C328" t="s">
        <v>391</v>
      </c>
      <c r="D328" s="5" t="s">
        <v>392</v>
      </c>
      <c r="E328">
        <v>30</v>
      </c>
      <c r="F328">
        <v>22</v>
      </c>
      <c r="G328">
        <v>35</v>
      </c>
      <c r="H328">
        <v>32</v>
      </c>
      <c r="J328">
        <v>15</v>
      </c>
      <c r="K328">
        <v>28</v>
      </c>
      <c r="L328">
        <v>19</v>
      </c>
      <c r="M328">
        <v>29</v>
      </c>
      <c r="N328" s="2" t="s">
        <v>427</v>
      </c>
      <c r="O328" s="42">
        <f t="shared" si="194"/>
        <v>119</v>
      </c>
      <c r="P328" s="42">
        <f t="shared" si="195"/>
        <v>91</v>
      </c>
      <c r="Q328" s="42" t="str">
        <f t="shared" si="196"/>
        <v>HW</v>
      </c>
      <c r="R328" s="42" t="str">
        <f t="shared" si="197"/>
        <v>HL</v>
      </c>
      <c r="S328" s="42" t="str">
        <f t="shared" si="198"/>
        <v>HW</v>
      </c>
      <c r="T328" s="42" t="str">
        <f t="shared" si="199"/>
        <v>HW</v>
      </c>
      <c r="U328" s="42" t="str">
        <f t="shared" si="200"/>
        <v>U</v>
      </c>
      <c r="V328" s="42" t="str">
        <f t="shared" si="201"/>
        <v>U</v>
      </c>
      <c r="W328" s="42" t="str">
        <f t="shared" si="202"/>
        <v>U</v>
      </c>
      <c r="X328" s="42" t="str">
        <f t="shared" si="203"/>
        <v>O</v>
      </c>
      <c r="Z328">
        <v>60</v>
      </c>
      <c r="AA328" t="str">
        <f t="shared" si="153"/>
        <v>MIL/LAC</v>
      </c>
    </row>
    <row r="329" spans="1:27" ht="17.100000000000001" x14ac:dyDescent="0.45">
      <c r="A329" s="42">
        <v>191207</v>
      </c>
      <c r="B329" s="1">
        <v>0.4375</v>
      </c>
      <c r="C329" t="s">
        <v>393</v>
      </c>
      <c r="D329" s="5" t="s">
        <v>394</v>
      </c>
      <c r="E329">
        <v>21</v>
      </c>
      <c r="F329">
        <v>31</v>
      </c>
      <c r="G329">
        <v>17</v>
      </c>
      <c r="H329">
        <v>31</v>
      </c>
      <c r="I329">
        <v>5</v>
      </c>
      <c r="J329">
        <v>17</v>
      </c>
      <c r="K329">
        <v>25</v>
      </c>
      <c r="L329">
        <v>30</v>
      </c>
      <c r="M329">
        <v>28</v>
      </c>
      <c r="N329" s="2">
        <v>4</v>
      </c>
      <c r="O329" s="42">
        <f t="shared" si="194"/>
        <v>105</v>
      </c>
      <c r="P329" s="42">
        <f t="shared" si="195"/>
        <v>104</v>
      </c>
      <c r="Q329" s="42" t="str">
        <f t="shared" si="196"/>
        <v>HW</v>
      </c>
      <c r="R329" s="42" t="str">
        <f t="shared" si="197"/>
        <v>HW</v>
      </c>
      <c r="S329" s="42" t="str">
        <f t="shared" si="198"/>
        <v>HL</v>
      </c>
      <c r="T329" s="42" t="str">
        <f t="shared" si="199"/>
        <v>HW</v>
      </c>
      <c r="U329" s="42" t="str">
        <f t="shared" si="200"/>
        <v>U</v>
      </c>
      <c r="V329" s="42" t="str">
        <f t="shared" si="201"/>
        <v>O</v>
      </c>
      <c r="W329" s="42" t="str">
        <f t="shared" si="202"/>
        <v>U</v>
      </c>
      <c r="X329" s="42" t="str">
        <f t="shared" si="203"/>
        <v>O</v>
      </c>
      <c r="Z329">
        <v>55.5</v>
      </c>
      <c r="AA329" t="str">
        <f t="shared" si="153"/>
        <v>SAS/SAC</v>
      </c>
    </row>
    <row r="330" spans="1:27" ht="17.100000000000001" x14ac:dyDescent="0.45">
      <c r="A330" s="42">
        <v>191207</v>
      </c>
      <c r="B330" s="1">
        <v>0.52083333333333337</v>
      </c>
      <c r="C330" t="s">
        <v>395</v>
      </c>
      <c r="D330" s="5" t="s">
        <v>396</v>
      </c>
      <c r="E330">
        <v>34</v>
      </c>
      <c r="F330">
        <v>28</v>
      </c>
      <c r="G330">
        <v>31</v>
      </c>
      <c r="H330">
        <v>20</v>
      </c>
      <c r="J330">
        <v>39</v>
      </c>
      <c r="K330">
        <v>38</v>
      </c>
      <c r="L330">
        <v>33</v>
      </c>
      <c r="M330">
        <v>26</v>
      </c>
      <c r="N330" s="2" t="s">
        <v>427</v>
      </c>
      <c r="O330" s="42">
        <f t="shared" si="194"/>
        <v>113</v>
      </c>
      <c r="P330" s="42">
        <f t="shared" si="195"/>
        <v>136</v>
      </c>
      <c r="Q330" s="42" t="str">
        <f t="shared" si="196"/>
        <v>HL</v>
      </c>
      <c r="R330" s="42" t="str">
        <f t="shared" si="197"/>
        <v>HL</v>
      </c>
      <c r="S330" s="42" t="str">
        <f t="shared" si="198"/>
        <v>HL</v>
      </c>
      <c r="T330" s="42" t="str">
        <f t="shared" si="199"/>
        <v>HL</v>
      </c>
      <c r="U330" s="42" t="str">
        <f t="shared" si="200"/>
        <v>O</v>
      </c>
      <c r="V330" s="42" t="str">
        <f t="shared" si="201"/>
        <v>O</v>
      </c>
      <c r="W330" s="42" t="str">
        <f t="shared" si="202"/>
        <v>O</v>
      </c>
      <c r="X330" s="42" t="str">
        <f t="shared" si="203"/>
        <v>U</v>
      </c>
      <c r="Z330">
        <v>58</v>
      </c>
      <c r="AA330" t="str">
        <f t="shared" si="153"/>
        <v>POR/LAL</v>
      </c>
    </row>
    <row r="331" spans="1:27" ht="17.100000000000001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>
        <v>31</v>
      </c>
      <c r="F331">
        <v>33</v>
      </c>
      <c r="G331">
        <v>40</v>
      </c>
      <c r="H331">
        <v>26</v>
      </c>
      <c r="J331">
        <v>28</v>
      </c>
      <c r="K331">
        <v>24</v>
      </c>
      <c r="L331">
        <v>14</v>
      </c>
      <c r="M331">
        <v>18</v>
      </c>
      <c r="N331" s="2" t="s">
        <v>427</v>
      </c>
      <c r="O331" s="42">
        <f t="shared" si="194"/>
        <v>130</v>
      </c>
      <c r="P331" s="42">
        <f t="shared" si="195"/>
        <v>84</v>
      </c>
      <c r="Q331" s="42" t="str">
        <f t="shared" si="196"/>
        <v>HW</v>
      </c>
      <c r="R331" s="42" t="str">
        <f t="shared" si="197"/>
        <v>HW</v>
      </c>
      <c r="S331" s="42" t="str">
        <f t="shared" si="198"/>
        <v>HW</v>
      </c>
      <c r="T331" s="42" t="str">
        <f t="shared" si="199"/>
        <v>HW</v>
      </c>
      <c r="U331" s="42" t="str">
        <f t="shared" si="200"/>
        <v>U</v>
      </c>
      <c r="V331" s="42" t="str">
        <f t="shared" si="201"/>
        <v>U</v>
      </c>
      <c r="W331" s="42" t="str">
        <f t="shared" si="202"/>
        <v>U</v>
      </c>
      <c r="X331" s="42" t="str">
        <f t="shared" si="203"/>
        <v>U</v>
      </c>
      <c r="Z331">
        <v>59.5</v>
      </c>
      <c r="AA331" s="42" t="str">
        <f t="shared" si="153"/>
        <v>DAL/NO</v>
      </c>
    </row>
    <row r="332" spans="1:27" ht="17.100000000000001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>
        <v>27</v>
      </c>
      <c r="F332">
        <v>33</v>
      </c>
      <c r="G332">
        <v>21</v>
      </c>
      <c r="H332">
        <v>22</v>
      </c>
      <c r="J332">
        <v>32</v>
      </c>
      <c r="K332">
        <v>34</v>
      </c>
      <c r="L332">
        <v>23</v>
      </c>
      <c r="M332">
        <v>15</v>
      </c>
      <c r="N332" s="2" t="s">
        <v>427</v>
      </c>
      <c r="O332" s="42">
        <f t="shared" si="194"/>
        <v>103</v>
      </c>
      <c r="P332" s="42">
        <f t="shared" si="195"/>
        <v>104</v>
      </c>
      <c r="Q332" s="42" t="str">
        <f t="shared" si="196"/>
        <v>HL</v>
      </c>
      <c r="R332" s="42" t="str">
        <f t="shared" si="197"/>
        <v>HL</v>
      </c>
      <c r="S332" s="42" t="str">
        <f t="shared" si="198"/>
        <v>HL</v>
      </c>
      <c r="T332" s="42" t="str">
        <f t="shared" si="199"/>
        <v>HW</v>
      </c>
      <c r="U332" s="42" t="str">
        <f t="shared" si="200"/>
        <v>O</v>
      </c>
      <c r="V332" s="42" t="str">
        <f t="shared" si="201"/>
        <v>O</v>
      </c>
      <c r="W332" s="42" t="str">
        <f t="shared" si="202"/>
        <v>U</v>
      </c>
      <c r="X332" s="42" t="str">
        <f t="shared" si="203"/>
        <v>U</v>
      </c>
      <c r="Z332">
        <v>54</v>
      </c>
      <c r="AA332" s="42" t="str">
        <f t="shared" ref="AA332:AA395" si="204">C332&amp;"/"&amp;D332</f>
        <v>NYK/IND</v>
      </c>
    </row>
    <row r="333" spans="1:27" ht="17.100000000000001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>
        <v>36</v>
      </c>
      <c r="F333">
        <v>41</v>
      </c>
      <c r="G333">
        <v>31</v>
      </c>
      <c r="H333">
        <v>33</v>
      </c>
      <c r="J333">
        <v>18</v>
      </c>
      <c r="K333">
        <v>18</v>
      </c>
      <c r="L333">
        <v>26</v>
      </c>
      <c r="M333">
        <v>32</v>
      </c>
      <c r="N333" s="2" t="s">
        <v>427</v>
      </c>
      <c r="O333" s="42">
        <f t="shared" si="194"/>
        <v>141</v>
      </c>
      <c r="P333" s="42">
        <f t="shared" si="195"/>
        <v>94</v>
      </c>
      <c r="Q333" s="42" t="str">
        <f t="shared" si="196"/>
        <v>HW</v>
      </c>
      <c r="R333" s="42" t="str">
        <f t="shared" si="197"/>
        <v>HW</v>
      </c>
      <c r="S333" s="42" t="str">
        <f t="shared" si="198"/>
        <v>HW</v>
      </c>
      <c r="T333" s="42" t="str">
        <f t="shared" si="199"/>
        <v>HW</v>
      </c>
      <c r="U333" s="42" t="str">
        <f t="shared" si="200"/>
        <v>O</v>
      </c>
      <c r="V333" s="42" t="str">
        <f t="shared" si="201"/>
        <v>O</v>
      </c>
      <c r="W333" s="42" t="str">
        <f t="shared" si="202"/>
        <v>O</v>
      </c>
      <c r="X333" s="42" t="str">
        <f t="shared" si="203"/>
        <v>O</v>
      </c>
      <c r="Z333">
        <v>53</v>
      </c>
      <c r="AA333" s="42" t="str">
        <f t="shared" si="204"/>
        <v>PHI/CLE</v>
      </c>
    </row>
    <row r="334" spans="1:27" ht="17.100000000000001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>
        <v>23</v>
      </c>
      <c r="F334">
        <v>37</v>
      </c>
      <c r="G334">
        <v>23</v>
      </c>
      <c r="H334">
        <v>32</v>
      </c>
      <c r="J334">
        <v>31</v>
      </c>
      <c r="K334">
        <v>21</v>
      </c>
      <c r="L334">
        <v>26</v>
      </c>
      <c r="M334">
        <v>31</v>
      </c>
      <c r="N334" s="2" t="s">
        <v>427</v>
      </c>
      <c r="O334" s="42">
        <f t="shared" si="194"/>
        <v>115</v>
      </c>
      <c r="P334" s="42">
        <f t="shared" si="195"/>
        <v>109</v>
      </c>
      <c r="Q334" s="42" t="str">
        <f t="shared" si="196"/>
        <v>HL</v>
      </c>
      <c r="R334" s="42" t="str">
        <f t="shared" si="197"/>
        <v>HW</v>
      </c>
      <c r="S334" s="42" t="str">
        <f t="shared" si="198"/>
        <v>HL</v>
      </c>
      <c r="T334" s="42" t="str">
        <f t="shared" si="199"/>
        <v>HW</v>
      </c>
      <c r="U334" s="42" t="str">
        <f t="shared" si="200"/>
        <v>U</v>
      </c>
      <c r="V334" s="42" t="str">
        <f t="shared" si="201"/>
        <v>U</v>
      </c>
      <c r="W334" s="42" t="str">
        <f t="shared" si="202"/>
        <v>U</v>
      </c>
      <c r="X334" s="42" t="str">
        <f t="shared" si="203"/>
        <v>O</v>
      </c>
      <c r="Z334">
        <v>58.5</v>
      </c>
      <c r="AA334" s="42" t="str">
        <f t="shared" si="204"/>
        <v>HOU/PHO</v>
      </c>
    </row>
    <row r="335" spans="1:27" ht="17.100000000000001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>
        <v>32</v>
      </c>
      <c r="F335">
        <v>37</v>
      </c>
      <c r="G335">
        <v>28</v>
      </c>
      <c r="H335">
        <v>29</v>
      </c>
      <c r="J335">
        <v>36</v>
      </c>
      <c r="K335">
        <v>18</v>
      </c>
      <c r="L335">
        <v>30</v>
      </c>
      <c r="M335">
        <v>28</v>
      </c>
      <c r="N335" s="2" t="s">
        <v>427</v>
      </c>
      <c r="O335" s="42">
        <f t="shared" si="194"/>
        <v>126</v>
      </c>
      <c r="P335" s="42">
        <f t="shared" si="195"/>
        <v>112</v>
      </c>
      <c r="Q335" s="42" t="str">
        <f t="shared" si="196"/>
        <v>HL</v>
      </c>
      <c r="R335" s="42" t="str">
        <f t="shared" si="197"/>
        <v>HW</v>
      </c>
      <c r="S335" s="42" t="str">
        <f t="shared" si="198"/>
        <v>HL</v>
      </c>
      <c r="T335" s="42" t="str">
        <f t="shared" si="199"/>
        <v>HW</v>
      </c>
      <c r="U335" s="42" t="str">
        <f t="shared" si="200"/>
        <v>O</v>
      </c>
      <c r="V335" s="42" t="str">
        <f t="shared" si="201"/>
        <v>O</v>
      </c>
      <c r="W335" s="42" t="str">
        <f t="shared" si="202"/>
        <v>O</v>
      </c>
      <c r="X335" s="42" t="str">
        <f t="shared" si="203"/>
        <v>O</v>
      </c>
      <c r="Z335">
        <v>53</v>
      </c>
      <c r="AA335" s="42" t="str">
        <f t="shared" si="204"/>
        <v>UTA/MEM</v>
      </c>
    </row>
    <row r="336" spans="1:27" ht="17.100000000000001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>
        <v>25</v>
      </c>
      <c r="F336">
        <v>28</v>
      </c>
      <c r="G336">
        <v>29</v>
      </c>
      <c r="H336">
        <v>23</v>
      </c>
      <c r="J336">
        <v>21</v>
      </c>
      <c r="K336">
        <v>33</v>
      </c>
      <c r="L336">
        <v>23</v>
      </c>
      <c r="M336">
        <v>25</v>
      </c>
      <c r="N336" s="2" t="s">
        <v>427</v>
      </c>
      <c r="O336" s="42">
        <f t="shared" si="194"/>
        <v>105</v>
      </c>
      <c r="P336" s="42">
        <f t="shared" si="195"/>
        <v>102</v>
      </c>
      <c r="Q336" s="42" t="str">
        <f t="shared" si="196"/>
        <v>HW</v>
      </c>
      <c r="R336" s="42" t="str">
        <f t="shared" si="197"/>
        <v>HL</v>
      </c>
      <c r="S336" s="42" t="str">
        <f t="shared" si="198"/>
        <v>HW</v>
      </c>
      <c r="T336" s="42" t="str">
        <f t="shared" si="199"/>
        <v>HL</v>
      </c>
      <c r="U336" s="42" t="str">
        <f t="shared" si="200"/>
        <v>U</v>
      </c>
      <c r="V336" s="42" t="str">
        <f t="shared" si="201"/>
        <v>O</v>
      </c>
      <c r="W336" s="42" t="str">
        <f t="shared" si="202"/>
        <v>U</v>
      </c>
      <c r="X336" s="42" t="str">
        <f t="shared" si="203"/>
        <v>U</v>
      </c>
      <c r="Z336">
        <v>54.5</v>
      </c>
      <c r="AA336" s="42" t="str">
        <f t="shared" si="204"/>
        <v>BKN/DEN</v>
      </c>
    </row>
    <row r="337" spans="1:27" ht="17.100000000000001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>
        <v>27</v>
      </c>
      <c r="F337">
        <v>26</v>
      </c>
      <c r="G337">
        <v>30</v>
      </c>
      <c r="H337">
        <v>24</v>
      </c>
      <c r="J337">
        <v>24</v>
      </c>
      <c r="K337">
        <v>27</v>
      </c>
      <c r="L337">
        <v>37</v>
      </c>
      <c r="M337">
        <v>34</v>
      </c>
      <c r="N337" s="2" t="s">
        <v>427</v>
      </c>
      <c r="O337" s="42">
        <f t="shared" si="194"/>
        <v>107</v>
      </c>
      <c r="P337" s="42">
        <f t="shared" si="195"/>
        <v>122</v>
      </c>
      <c r="Q337" s="42" t="str">
        <f t="shared" si="196"/>
        <v>HW</v>
      </c>
      <c r="R337" s="42" t="str">
        <f t="shared" si="197"/>
        <v>HL</v>
      </c>
      <c r="S337" s="42" t="str">
        <f t="shared" si="198"/>
        <v>HL</v>
      </c>
      <c r="T337" s="42" t="str">
        <f t="shared" si="199"/>
        <v>HL</v>
      </c>
      <c r="U337" s="42" t="str">
        <f t="shared" si="200"/>
        <v>U</v>
      </c>
      <c r="V337" s="42" t="str">
        <f t="shared" si="201"/>
        <v>U</v>
      </c>
      <c r="W337" s="42" t="str">
        <f t="shared" si="202"/>
        <v>O</v>
      </c>
      <c r="X337" s="42" t="str">
        <f t="shared" si="203"/>
        <v>O</v>
      </c>
      <c r="Z337">
        <v>57</v>
      </c>
      <c r="AA337" s="42" t="str">
        <f t="shared" si="204"/>
        <v>CHA/ATL</v>
      </c>
    </row>
    <row r="338" spans="1:27" ht="17.100000000000001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>
        <v>16</v>
      </c>
      <c r="F338">
        <v>31</v>
      </c>
      <c r="G338">
        <v>27</v>
      </c>
      <c r="H338">
        <v>23</v>
      </c>
      <c r="I338">
        <v>13</v>
      </c>
      <c r="J338">
        <v>25</v>
      </c>
      <c r="K338">
        <v>24</v>
      </c>
      <c r="L338">
        <v>24</v>
      </c>
      <c r="M338">
        <v>24</v>
      </c>
      <c r="N338" s="2">
        <v>8</v>
      </c>
      <c r="O338" s="42">
        <f t="shared" si="194"/>
        <v>110</v>
      </c>
      <c r="P338" s="42">
        <f t="shared" si="195"/>
        <v>105</v>
      </c>
      <c r="Q338" s="42" t="str">
        <f t="shared" si="196"/>
        <v>HL</v>
      </c>
      <c r="R338" s="42" t="str">
        <f t="shared" si="197"/>
        <v>HW</v>
      </c>
      <c r="S338" s="42" t="str">
        <f t="shared" si="198"/>
        <v>HW</v>
      </c>
      <c r="T338" s="42" t="str">
        <f t="shared" si="199"/>
        <v>HL</v>
      </c>
      <c r="U338" s="42" t="str">
        <f t="shared" si="200"/>
        <v>U</v>
      </c>
      <c r="V338" s="42" t="str">
        <f t="shared" si="201"/>
        <v>O</v>
      </c>
      <c r="W338" s="42" t="str">
        <f t="shared" si="202"/>
        <v>U</v>
      </c>
      <c r="X338" s="42" t="str">
        <f t="shared" si="203"/>
        <v>U</v>
      </c>
      <c r="Z338">
        <v>54</v>
      </c>
      <c r="AA338" s="42" t="str">
        <f t="shared" si="204"/>
        <v>MIA/CHI</v>
      </c>
    </row>
    <row r="339" spans="1:27" ht="17.100000000000001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>
        <v>27</v>
      </c>
      <c r="F339">
        <v>30</v>
      </c>
      <c r="G339">
        <v>29</v>
      </c>
      <c r="H339">
        <v>24</v>
      </c>
      <c r="J339">
        <v>22</v>
      </c>
      <c r="K339">
        <v>20</v>
      </c>
      <c r="L339">
        <v>26</v>
      </c>
      <c r="M339">
        <v>36</v>
      </c>
      <c r="N339" s="2" t="s">
        <v>427</v>
      </c>
      <c r="O339" s="42">
        <f t="shared" si="194"/>
        <v>110</v>
      </c>
      <c r="P339" s="42">
        <f t="shared" si="195"/>
        <v>104</v>
      </c>
      <c r="Q339" s="42" t="str">
        <f t="shared" si="196"/>
        <v>HW</v>
      </c>
      <c r="R339" s="42" t="str">
        <f t="shared" si="197"/>
        <v>HW</v>
      </c>
      <c r="S339" s="42" t="str">
        <f t="shared" si="198"/>
        <v>HW</v>
      </c>
      <c r="T339" s="42" t="str">
        <f t="shared" si="199"/>
        <v>HL</v>
      </c>
      <c r="U339" s="42" t="str">
        <f t="shared" si="200"/>
        <v>U</v>
      </c>
      <c r="V339" s="42" t="str">
        <f t="shared" si="201"/>
        <v>U</v>
      </c>
      <c r="W339" s="42" t="str">
        <f t="shared" si="202"/>
        <v>O</v>
      </c>
      <c r="X339" s="42" t="str">
        <f t="shared" si="203"/>
        <v>O</v>
      </c>
      <c r="Z339">
        <v>54.5</v>
      </c>
      <c r="AA339" s="42" t="str">
        <f t="shared" si="204"/>
        <v>PHI/TOR</v>
      </c>
    </row>
    <row r="340" spans="1:27" ht="17.100000000000001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>
        <v>25</v>
      </c>
      <c r="F340">
        <v>39</v>
      </c>
      <c r="G340">
        <v>29</v>
      </c>
      <c r="H340">
        <v>26</v>
      </c>
      <c r="J340">
        <v>35</v>
      </c>
      <c r="K340">
        <v>30</v>
      </c>
      <c r="L340">
        <v>35</v>
      </c>
      <c r="M340">
        <v>35</v>
      </c>
      <c r="N340" s="2" t="s">
        <v>427</v>
      </c>
      <c r="O340" s="42">
        <f t="shared" si="194"/>
        <v>119</v>
      </c>
      <c r="P340" s="42">
        <f t="shared" si="195"/>
        <v>135</v>
      </c>
      <c r="Q340" s="42" t="str">
        <f t="shared" si="196"/>
        <v>HL</v>
      </c>
      <c r="R340" s="42" t="str">
        <f t="shared" si="197"/>
        <v>HW</v>
      </c>
      <c r="S340" s="42" t="str">
        <f t="shared" si="198"/>
        <v>HL</v>
      </c>
      <c r="T340" s="42" t="str">
        <f t="shared" si="199"/>
        <v>HL</v>
      </c>
      <c r="U340" s="42" t="str">
        <f t="shared" si="200"/>
        <v>U</v>
      </c>
      <c r="V340" s="42" t="str">
        <f t="shared" si="201"/>
        <v>O</v>
      </c>
      <c r="W340" s="42" t="str">
        <f t="shared" si="202"/>
        <v>O</v>
      </c>
      <c r="X340" s="42" t="str">
        <f t="shared" si="203"/>
        <v>O</v>
      </c>
      <c r="Z340">
        <v>60.5</v>
      </c>
      <c r="AA340" s="42" t="str">
        <f t="shared" si="204"/>
        <v>WAS/LAC</v>
      </c>
    </row>
    <row r="341" spans="1:27" ht="17.100000000000001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>
        <v>27</v>
      </c>
      <c r="F341">
        <v>19</v>
      </c>
      <c r="G341">
        <v>32</v>
      </c>
      <c r="H341">
        <v>28</v>
      </c>
      <c r="J341">
        <v>36</v>
      </c>
      <c r="K341">
        <v>30</v>
      </c>
      <c r="L341">
        <v>26</v>
      </c>
      <c r="M341">
        <v>18</v>
      </c>
      <c r="N341" s="2" t="s">
        <v>427</v>
      </c>
      <c r="O341" s="42">
        <f t="shared" si="194"/>
        <v>106</v>
      </c>
      <c r="P341" s="42">
        <f t="shared" si="195"/>
        <v>110</v>
      </c>
      <c r="Q341" s="42" t="str">
        <f t="shared" si="196"/>
        <v>HL</v>
      </c>
      <c r="R341" s="42" t="str">
        <f t="shared" si="197"/>
        <v>HL</v>
      </c>
      <c r="S341" s="42" t="str">
        <f t="shared" si="198"/>
        <v>HW</v>
      </c>
      <c r="T341" s="42" t="str">
        <f t="shared" si="199"/>
        <v>HW</v>
      </c>
      <c r="U341" s="42" t="str">
        <f t="shared" si="200"/>
        <v>O</v>
      </c>
      <c r="V341" s="42" t="str">
        <f t="shared" si="201"/>
        <v>U</v>
      </c>
      <c r="W341" s="42" t="str">
        <f t="shared" si="202"/>
        <v>O</v>
      </c>
      <c r="X341" s="42" t="str">
        <f t="shared" si="203"/>
        <v>U</v>
      </c>
      <c r="Z341">
        <v>55.5</v>
      </c>
      <c r="AA341" s="42" t="str">
        <f t="shared" si="204"/>
        <v>DAL/SAC</v>
      </c>
    </row>
    <row r="342" spans="1:27" ht="17.100000000000001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>
        <v>20</v>
      </c>
      <c r="F342">
        <v>27</v>
      </c>
      <c r="G342">
        <v>31</v>
      </c>
      <c r="H342">
        <v>18</v>
      </c>
      <c r="J342">
        <v>21</v>
      </c>
      <c r="K342">
        <v>34</v>
      </c>
      <c r="L342">
        <v>27</v>
      </c>
      <c r="M342">
        <v>26</v>
      </c>
      <c r="N342" s="2" t="s">
        <v>427</v>
      </c>
      <c r="O342" s="42">
        <f t="shared" si="194"/>
        <v>96</v>
      </c>
      <c r="P342" s="42">
        <f t="shared" si="195"/>
        <v>108</v>
      </c>
      <c r="Q342" s="42" t="str">
        <f t="shared" si="196"/>
        <v>HL</v>
      </c>
      <c r="R342" s="42" t="str">
        <f t="shared" si="197"/>
        <v>HL</v>
      </c>
      <c r="S342" s="42" t="str">
        <f t="shared" si="198"/>
        <v>HW</v>
      </c>
      <c r="T342" s="42" t="str">
        <f t="shared" si="199"/>
        <v>HL</v>
      </c>
      <c r="U342" s="42" t="str">
        <f t="shared" si="200"/>
        <v>U</v>
      </c>
      <c r="V342" s="42" t="str">
        <f t="shared" si="201"/>
        <v>O</v>
      </c>
      <c r="W342" s="42" t="str">
        <f t="shared" si="202"/>
        <v>O</v>
      </c>
      <c r="X342" s="42" t="str">
        <f t="shared" si="203"/>
        <v>U</v>
      </c>
      <c r="Z342">
        <v>57.5</v>
      </c>
      <c r="AA342" s="42" t="str">
        <f t="shared" si="204"/>
        <v>POR/OKC</v>
      </c>
    </row>
    <row r="343" spans="1:27" ht="17.100000000000001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>
        <v>39</v>
      </c>
      <c r="F343">
        <v>34</v>
      </c>
      <c r="G343">
        <v>37</v>
      </c>
      <c r="H343">
        <v>32</v>
      </c>
      <c r="J343">
        <v>31</v>
      </c>
      <c r="K343">
        <v>34</v>
      </c>
      <c r="L343">
        <v>38</v>
      </c>
      <c r="M343">
        <v>22</v>
      </c>
      <c r="N343" s="2" t="s">
        <v>427</v>
      </c>
      <c r="O343" s="42">
        <f t="shared" si="194"/>
        <v>142</v>
      </c>
      <c r="P343" s="42">
        <f t="shared" si="195"/>
        <v>125</v>
      </c>
      <c r="Q343" s="42" t="str">
        <f t="shared" si="196"/>
        <v>HW</v>
      </c>
      <c r="R343" s="42" t="str">
        <f t="shared" si="197"/>
        <v>TT</v>
      </c>
      <c r="S343" s="42" t="str">
        <f t="shared" si="198"/>
        <v>HL</v>
      </c>
      <c r="T343" s="42" t="str">
        <f t="shared" si="199"/>
        <v>HW</v>
      </c>
      <c r="U343" s="42" t="str">
        <f t="shared" si="200"/>
        <v>O</v>
      </c>
      <c r="V343" s="42" t="str">
        <f t="shared" si="201"/>
        <v>O</v>
      </c>
      <c r="W343" s="42" t="str">
        <f t="shared" si="202"/>
        <v>O</v>
      </c>
      <c r="X343" s="42" t="str">
        <f t="shared" si="203"/>
        <v>U</v>
      </c>
      <c r="Z343">
        <v>58.5</v>
      </c>
      <c r="AA343" s="42" t="str">
        <f t="shared" si="204"/>
        <v>LAL/MIN</v>
      </c>
    </row>
    <row r="344" spans="1:27" ht="17.100000000000001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>
        <v>19</v>
      </c>
      <c r="F344">
        <v>29</v>
      </c>
      <c r="G344">
        <v>25</v>
      </c>
      <c r="H344">
        <v>26</v>
      </c>
      <c r="J344">
        <v>24</v>
      </c>
      <c r="K344">
        <v>36</v>
      </c>
      <c r="L344">
        <v>31</v>
      </c>
      <c r="M344">
        <v>19</v>
      </c>
      <c r="N344" s="2" t="s">
        <v>427</v>
      </c>
      <c r="O344" s="42">
        <f t="shared" si="194"/>
        <v>99</v>
      </c>
      <c r="P344" s="42">
        <f t="shared" si="195"/>
        <v>110</v>
      </c>
      <c r="Q344" s="42" t="str">
        <f t="shared" si="196"/>
        <v>HL</v>
      </c>
      <c r="R344" s="42" t="str">
        <f t="shared" si="197"/>
        <v>HL</v>
      </c>
      <c r="S344" s="42" t="str">
        <f t="shared" si="198"/>
        <v>HL</v>
      </c>
      <c r="T344" s="42" t="str">
        <f t="shared" si="199"/>
        <v>HW</v>
      </c>
      <c r="U344" s="42" t="str">
        <f t="shared" si="200"/>
        <v>U</v>
      </c>
      <c r="V344" s="42" t="str">
        <f t="shared" si="201"/>
        <v>O</v>
      </c>
      <c r="W344" s="42" t="str">
        <f t="shared" si="202"/>
        <v>T</v>
      </c>
      <c r="X344" s="42" t="str">
        <f t="shared" si="203"/>
        <v>U</v>
      </c>
      <c r="Z344">
        <v>56</v>
      </c>
      <c r="AA344" s="42" t="str">
        <f t="shared" si="204"/>
        <v>IND/LAC</v>
      </c>
    </row>
    <row r="345" spans="1:27" ht="17.100000000000001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>
        <v>29</v>
      </c>
      <c r="F345">
        <v>24</v>
      </c>
      <c r="G345">
        <v>30</v>
      </c>
      <c r="H345">
        <v>27</v>
      </c>
      <c r="J345">
        <v>18</v>
      </c>
      <c r="K345">
        <v>22</v>
      </c>
      <c r="L345">
        <v>26</v>
      </c>
      <c r="M345">
        <v>22</v>
      </c>
      <c r="N345" s="2" t="s">
        <v>427</v>
      </c>
      <c r="O345" s="42">
        <f t="shared" si="194"/>
        <v>110</v>
      </c>
      <c r="P345" s="42">
        <f t="shared" si="195"/>
        <v>88</v>
      </c>
      <c r="Q345" s="42" t="str">
        <f t="shared" si="196"/>
        <v>HW</v>
      </c>
      <c r="R345" s="42" t="str">
        <f t="shared" si="197"/>
        <v>HW</v>
      </c>
      <c r="S345" s="42" t="str">
        <f t="shared" si="198"/>
        <v>HW</v>
      </c>
      <c r="T345" s="42" t="str">
        <f t="shared" si="199"/>
        <v>HW</v>
      </c>
      <c r="U345" s="42" t="str">
        <f t="shared" si="200"/>
        <v>U</v>
      </c>
      <c r="V345" s="42" t="str">
        <f t="shared" si="201"/>
        <v>U</v>
      </c>
      <c r="W345" s="42" t="str">
        <f t="shared" si="202"/>
        <v>O</v>
      </c>
      <c r="X345" s="42" t="str">
        <f t="shared" si="203"/>
        <v>U</v>
      </c>
      <c r="Z345">
        <v>52.5</v>
      </c>
      <c r="AA345" s="42" t="str">
        <f t="shared" si="204"/>
        <v>BOS/CLE</v>
      </c>
    </row>
    <row r="346" spans="1:27" ht="17.100000000000001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>
        <v>29</v>
      </c>
      <c r="F346">
        <v>24</v>
      </c>
      <c r="G346">
        <v>21</v>
      </c>
      <c r="H346">
        <v>29</v>
      </c>
      <c r="J346">
        <v>25</v>
      </c>
      <c r="K346">
        <v>22</v>
      </c>
      <c r="L346">
        <v>34</v>
      </c>
      <c r="M346">
        <v>24</v>
      </c>
      <c r="N346" s="2" t="s">
        <v>427</v>
      </c>
      <c r="O346" s="42">
        <f t="shared" si="194"/>
        <v>103</v>
      </c>
      <c r="P346" s="42">
        <f t="shared" si="195"/>
        <v>105</v>
      </c>
      <c r="Q346" s="42" t="str">
        <f t="shared" si="196"/>
        <v>HW</v>
      </c>
      <c r="R346" s="42" t="str">
        <f t="shared" si="197"/>
        <v>HW</v>
      </c>
      <c r="S346" s="42" t="str">
        <f t="shared" si="198"/>
        <v>HL</v>
      </c>
      <c r="T346" s="42" t="str">
        <f t="shared" si="199"/>
        <v>HW</v>
      </c>
      <c r="U346" s="42" t="str">
        <f t="shared" si="200"/>
        <v>U</v>
      </c>
      <c r="V346" s="42" t="str">
        <f t="shared" si="201"/>
        <v>U</v>
      </c>
      <c r="W346" s="42" t="str">
        <f t="shared" si="202"/>
        <v>U</v>
      </c>
      <c r="X346" s="42" t="str">
        <f t="shared" si="203"/>
        <v>U</v>
      </c>
      <c r="Z346">
        <v>58</v>
      </c>
      <c r="AA346" s="42" t="str">
        <f t="shared" si="204"/>
        <v>NO/DET</v>
      </c>
    </row>
    <row r="347" spans="1:27" ht="17.100000000000001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>
        <v>30</v>
      </c>
      <c r="F347">
        <v>21</v>
      </c>
      <c r="G347">
        <v>20</v>
      </c>
      <c r="H347">
        <v>21</v>
      </c>
      <c r="J347">
        <v>30</v>
      </c>
      <c r="K347">
        <v>19</v>
      </c>
      <c r="L347">
        <v>22</v>
      </c>
      <c r="M347">
        <v>22</v>
      </c>
      <c r="N347" s="2" t="s">
        <v>427</v>
      </c>
      <c r="O347" s="42">
        <f t="shared" si="194"/>
        <v>92</v>
      </c>
      <c r="P347" s="42">
        <f t="shared" si="195"/>
        <v>93</v>
      </c>
      <c r="Q347" s="42" t="str">
        <f t="shared" si="196"/>
        <v>TT</v>
      </c>
      <c r="R347" s="42" t="str">
        <f t="shared" si="197"/>
        <v>HW</v>
      </c>
      <c r="S347" s="42" t="str">
        <f t="shared" si="198"/>
        <v>HL</v>
      </c>
      <c r="T347" s="42" t="str">
        <f t="shared" si="199"/>
        <v>HL</v>
      </c>
      <c r="U347" s="42" t="str">
        <f t="shared" si="200"/>
        <v>O</v>
      </c>
      <c r="V347" s="42" t="str">
        <f t="shared" si="201"/>
        <v>U</v>
      </c>
      <c r="W347" s="42" t="str">
        <f t="shared" si="202"/>
        <v>U</v>
      </c>
      <c r="X347" s="42" t="str">
        <f t="shared" si="203"/>
        <v>U</v>
      </c>
      <c r="Z347">
        <v>55</v>
      </c>
      <c r="AA347" s="42" t="str">
        <f t="shared" si="204"/>
        <v>CHI/TOR</v>
      </c>
    </row>
    <row r="348" spans="1:27" ht="17.100000000000001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>
        <v>28</v>
      </c>
      <c r="F348">
        <v>36</v>
      </c>
      <c r="G348">
        <v>29</v>
      </c>
      <c r="H348">
        <v>25</v>
      </c>
      <c r="J348">
        <v>32</v>
      </c>
      <c r="K348">
        <v>27</v>
      </c>
      <c r="L348">
        <v>35</v>
      </c>
      <c r="M348">
        <v>25</v>
      </c>
      <c r="N348" s="2" t="s">
        <v>427</v>
      </c>
      <c r="O348" s="42">
        <f t="shared" si="194"/>
        <v>118</v>
      </c>
      <c r="P348" s="42">
        <f t="shared" si="195"/>
        <v>119</v>
      </c>
      <c r="Q348" s="42" t="str">
        <f t="shared" si="196"/>
        <v>HL</v>
      </c>
      <c r="R348" s="42" t="str">
        <f t="shared" si="197"/>
        <v>HW</v>
      </c>
      <c r="S348" s="42" t="str">
        <f t="shared" si="198"/>
        <v>HL</v>
      </c>
      <c r="T348" s="42" t="str">
        <f t="shared" si="199"/>
        <v>TT</v>
      </c>
      <c r="U348" s="42" t="str">
        <f t="shared" si="200"/>
        <v>O</v>
      </c>
      <c r="V348" s="42" t="str">
        <f t="shared" si="201"/>
        <v>O</v>
      </c>
      <c r="W348" s="42" t="str">
        <f t="shared" si="202"/>
        <v>O</v>
      </c>
      <c r="X348" s="42" t="str">
        <f t="shared" si="203"/>
        <v>U</v>
      </c>
      <c r="Z348">
        <v>58</v>
      </c>
      <c r="AA348" s="42" t="str">
        <f t="shared" si="204"/>
        <v>HOU/SAC</v>
      </c>
    </row>
    <row r="349" spans="1:27" ht="17.100000000000001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>
        <v>31</v>
      </c>
      <c r="F349">
        <v>21</v>
      </c>
      <c r="G349">
        <v>28</v>
      </c>
      <c r="H349">
        <v>30</v>
      </c>
      <c r="J349">
        <v>20</v>
      </c>
      <c r="K349">
        <v>20</v>
      </c>
      <c r="L349">
        <v>33</v>
      </c>
      <c r="M349">
        <v>28</v>
      </c>
      <c r="N349" s="2" t="s">
        <v>427</v>
      </c>
      <c r="O349" s="42">
        <f t="shared" si="194"/>
        <v>110</v>
      </c>
      <c r="P349" s="42">
        <f t="shared" si="195"/>
        <v>101</v>
      </c>
      <c r="Q349" s="42" t="str">
        <f t="shared" si="196"/>
        <v>HW</v>
      </c>
      <c r="R349" s="42" t="str">
        <f t="shared" si="197"/>
        <v>HW</v>
      </c>
      <c r="S349" s="42" t="str">
        <f t="shared" si="198"/>
        <v>HL</v>
      </c>
      <c r="T349" s="42" t="str">
        <f t="shared" si="199"/>
        <v>HW</v>
      </c>
      <c r="U349" s="42" t="str">
        <f t="shared" si="200"/>
        <v>U</v>
      </c>
      <c r="V349" s="42" t="str">
        <f t="shared" si="201"/>
        <v>U</v>
      </c>
      <c r="W349" s="42" t="str">
        <f t="shared" si="202"/>
        <v>O</v>
      </c>
      <c r="X349" s="42" t="str">
        <f t="shared" si="203"/>
        <v>O</v>
      </c>
      <c r="Z349">
        <v>56.5</v>
      </c>
      <c r="AA349" s="42" t="str">
        <f t="shared" si="204"/>
        <v>MIL/ORL</v>
      </c>
    </row>
    <row r="350" spans="1:27" ht="17.100000000000001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>
        <v>33</v>
      </c>
      <c r="F350">
        <v>28</v>
      </c>
      <c r="G350">
        <v>33</v>
      </c>
      <c r="H350">
        <v>31</v>
      </c>
      <c r="J350">
        <v>31</v>
      </c>
      <c r="K350">
        <v>33</v>
      </c>
      <c r="L350">
        <v>21</v>
      </c>
      <c r="M350">
        <v>24</v>
      </c>
      <c r="N350" s="2" t="s">
        <v>427</v>
      </c>
      <c r="O350" s="42">
        <f t="shared" si="194"/>
        <v>125</v>
      </c>
      <c r="P350" s="42">
        <f t="shared" si="195"/>
        <v>109</v>
      </c>
      <c r="Q350" s="42" t="str">
        <f t="shared" si="196"/>
        <v>HW</v>
      </c>
      <c r="R350" s="42" t="str">
        <f t="shared" si="197"/>
        <v>HL</v>
      </c>
      <c r="S350" s="42" t="str">
        <f t="shared" si="198"/>
        <v>HW</v>
      </c>
      <c r="T350" s="42" t="str">
        <f t="shared" si="199"/>
        <v>HW</v>
      </c>
      <c r="U350" s="42" t="str">
        <f t="shared" si="200"/>
        <v>O</v>
      </c>
      <c r="V350" s="42" t="str">
        <f t="shared" si="201"/>
        <v>O</v>
      </c>
      <c r="W350" s="42" t="str">
        <f t="shared" si="202"/>
        <v>U</v>
      </c>
      <c r="X350" s="42" t="str">
        <f t="shared" si="203"/>
        <v>U</v>
      </c>
      <c r="Z350">
        <v>60</v>
      </c>
      <c r="AA350" s="42" t="str">
        <f t="shared" si="204"/>
        <v>PHO/MIN</v>
      </c>
    </row>
    <row r="351" spans="1:27" ht="17.100000000000001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>
        <v>24</v>
      </c>
      <c r="F351">
        <v>23</v>
      </c>
      <c r="G351">
        <v>21</v>
      </c>
      <c r="H351">
        <v>22</v>
      </c>
      <c r="J351">
        <v>25</v>
      </c>
      <c r="K351">
        <v>26</v>
      </c>
      <c r="L351">
        <v>34</v>
      </c>
      <c r="M351">
        <v>19</v>
      </c>
      <c r="N351" s="2" t="s">
        <v>427</v>
      </c>
      <c r="O351" s="42">
        <f t="shared" si="194"/>
        <v>90</v>
      </c>
      <c r="P351" s="42">
        <f t="shared" si="195"/>
        <v>104</v>
      </c>
      <c r="Q351" s="42" t="str">
        <f t="shared" si="196"/>
        <v>HL</v>
      </c>
      <c r="R351" s="42" t="str">
        <f t="shared" si="197"/>
        <v>HL</v>
      </c>
      <c r="S351" s="42" t="str">
        <f t="shared" si="198"/>
        <v>HL</v>
      </c>
      <c r="T351" s="42" t="str">
        <f t="shared" si="199"/>
        <v>HW</v>
      </c>
      <c r="U351" s="42" t="str">
        <f t="shared" si="200"/>
        <v>U</v>
      </c>
      <c r="V351" s="42" t="str">
        <f t="shared" si="201"/>
        <v>U</v>
      </c>
      <c r="W351" s="42" t="str">
        <f t="shared" si="202"/>
        <v>O</v>
      </c>
      <c r="X351" s="42" t="str">
        <f t="shared" si="203"/>
        <v>U</v>
      </c>
      <c r="Z351">
        <v>53.5</v>
      </c>
      <c r="AA351" s="42" t="str">
        <f t="shared" si="204"/>
        <v>UTA/OKC</v>
      </c>
    </row>
    <row r="352" spans="1:27" ht="17.100000000000001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>
        <v>20</v>
      </c>
      <c r="F352">
        <v>27</v>
      </c>
      <c r="G352">
        <v>32</v>
      </c>
      <c r="H352">
        <v>23</v>
      </c>
      <c r="J352">
        <v>29</v>
      </c>
      <c r="K352">
        <v>25</v>
      </c>
      <c r="L352">
        <v>34</v>
      </c>
      <c r="M352">
        <v>22</v>
      </c>
      <c r="N352" s="2" t="s">
        <v>427</v>
      </c>
      <c r="O352" s="42">
        <f t="shared" si="194"/>
        <v>102</v>
      </c>
      <c r="P352" s="42">
        <f t="shared" si="195"/>
        <v>110</v>
      </c>
      <c r="Q352" s="42" t="str">
        <f t="shared" si="196"/>
        <v>HL</v>
      </c>
      <c r="R352" s="42" t="str">
        <f t="shared" si="197"/>
        <v>HW</v>
      </c>
      <c r="S352" s="42" t="str">
        <f t="shared" si="198"/>
        <v>HL</v>
      </c>
      <c r="T352" s="42" t="str">
        <f t="shared" si="199"/>
        <v>HW</v>
      </c>
      <c r="U352" s="42" t="str">
        <f t="shared" si="200"/>
        <v>U</v>
      </c>
      <c r="V352" s="42" t="str">
        <f t="shared" si="201"/>
        <v>U</v>
      </c>
      <c r="W352" s="42" t="str">
        <f t="shared" si="202"/>
        <v>O</v>
      </c>
      <c r="X352" s="42" t="str">
        <f t="shared" si="203"/>
        <v>U</v>
      </c>
      <c r="Z352">
        <v>54</v>
      </c>
      <c r="AA352" s="42" t="str">
        <f t="shared" si="204"/>
        <v>GS/MEM</v>
      </c>
    </row>
    <row r="353" spans="1:27" ht="17.100000000000001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>
        <v>28</v>
      </c>
      <c r="F353">
        <v>25</v>
      </c>
      <c r="G353">
        <v>29</v>
      </c>
      <c r="H353">
        <v>32</v>
      </c>
      <c r="J353">
        <v>20</v>
      </c>
      <c r="K353">
        <v>28</v>
      </c>
      <c r="L353">
        <v>27</v>
      </c>
      <c r="M353">
        <v>32</v>
      </c>
      <c r="N353" s="2" t="s">
        <v>427</v>
      </c>
      <c r="O353" s="42">
        <f t="shared" si="194"/>
        <v>114</v>
      </c>
      <c r="P353" s="42">
        <f t="shared" si="195"/>
        <v>107</v>
      </c>
      <c r="Q353" s="42" t="str">
        <f t="shared" si="196"/>
        <v>HW</v>
      </c>
      <c r="R353" s="42" t="str">
        <f t="shared" si="197"/>
        <v>HL</v>
      </c>
      <c r="S353" s="42" t="str">
        <f t="shared" si="198"/>
        <v>HW</v>
      </c>
      <c r="T353" s="42" t="str">
        <f t="shared" si="199"/>
        <v>TT</v>
      </c>
      <c r="U353" s="42" t="str">
        <f t="shared" si="200"/>
        <v>U</v>
      </c>
      <c r="V353" s="42" t="str">
        <f t="shared" si="201"/>
        <v>U</v>
      </c>
      <c r="W353" s="42" t="str">
        <f t="shared" si="202"/>
        <v>U</v>
      </c>
      <c r="X353" s="42" t="str">
        <f t="shared" si="203"/>
        <v>O</v>
      </c>
      <c r="Z353">
        <v>59</v>
      </c>
      <c r="AA353" s="42" t="str">
        <f t="shared" si="204"/>
        <v>CHA/WAS</v>
      </c>
    </row>
    <row r="354" spans="1:27" ht="17.100000000000001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>
        <v>36</v>
      </c>
      <c r="F354">
        <v>30</v>
      </c>
      <c r="G354">
        <v>27</v>
      </c>
      <c r="H354">
        <v>24</v>
      </c>
      <c r="I354">
        <v>18</v>
      </c>
      <c r="J354">
        <v>30</v>
      </c>
      <c r="K354">
        <v>34</v>
      </c>
      <c r="L354">
        <v>32</v>
      </c>
      <c r="M354">
        <v>21</v>
      </c>
      <c r="N354" s="2">
        <v>4</v>
      </c>
      <c r="O354" s="42">
        <f t="shared" si="194"/>
        <v>135</v>
      </c>
      <c r="P354" s="42">
        <f t="shared" si="195"/>
        <v>121</v>
      </c>
      <c r="Q354" s="42" t="str">
        <f t="shared" si="196"/>
        <v>HW</v>
      </c>
      <c r="R354" s="42" t="str">
        <f t="shared" si="197"/>
        <v>HL</v>
      </c>
      <c r="S354" s="42" t="str">
        <f t="shared" si="198"/>
        <v>HL</v>
      </c>
      <c r="T354" s="42" t="str">
        <f t="shared" si="199"/>
        <v>HW</v>
      </c>
      <c r="U354" s="42" t="str">
        <f t="shared" si="200"/>
        <v>O</v>
      </c>
      <c r="V354" s="42" t="str">
        <f t="shared" si="201"/>
        <v>O</v>
      </c>
      <c r="W354" s="42" t="str">
        <f t="shared" si="202"/>
        <v>O</v>
      </c>
      <c r="X354" s="42" t="str">
        <f t="shared" si="203"/>
        <v>U</v>
      </c>
      <c r="Z354">
        <v>56.5</v>
      </c>
      <c r="AA354" s="42" t="str">
        <f t="shared" si="204"/>
        <v>MIA/ATL</v>
      </c>
    </row>
    <row r="355" spans="1:27" ht="17.100000000000001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>
        <v>26</v>
      </c>
      <c r="F355">
        <v>29</v>
      </c>
      <c r="G355">
        <v>28</v>
      </c>
      <c r="H355">
        <v>14</v>
      </c>
      <c r="J355">
        <v>27</v>
      </c>
      <c r="K355">
        <v>23</v>
      </c>
      <c r="L355">
        <v>26</v>
      </c>
      <c r="M355">
        <v>16</v>
      </c>
      <c r="N355" s="2" t="s">
        <v>427</v>
      </c>
      <c r="O355" s="42">
        <f t="shared" si="194"/>
        <v>97</v>
      </c>
      <c r="P355" s="42">
        <f t="shared" si="195"/>
        <v>92</v>
      </c>
      <c r="Q355" s="42" t="str">
        <f t="shared" si="196"/>
        <v>HL</v>
      </c>
      <c r="R355" s="42" t="str">
        <f t="shared" si="197"/>
        <v>HW</v>
      </c>
      <c r="S355" s="42" t="str">
        <f t="shared" si="198"/>
        <v>HW</v>
      </c>
      <c r="T355" s="42" t="str">
        <f t="shared" si="199"/>
        <v>HL</v>
      </c>
      <c r="U355" s="42" t="str">
        <f t="shared" si="200"/>
        <v>U</v>
      </c>
      <c r="V355" s="42" t="str">
        <f t="shared" si="201"/>
        <v>U</v>
      </c>
      <c r="W355" s="42" t="str">
        <f t="shared" si="202"/>
        <v>O</v>
      </c>
      <c r="X355" s="42" t="str">
        <f t="shared" si="203"/>
        <v>U</v>
      </c>
      <c r="Z355">
        <v>53.5</v>
      </c>
      <c r="AA355" s="42" t="str">
        <f t="shared" si="204"/>
        <v>PHI/DEN</v>
      </c>
    </row>
    <row r="356" spans="1:27" ht="17.100000000000001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>
        <v>32</v>
      </c>
      <c r="F356">
        <v>28</v>
      </c>
      <c r="G356">
        <v>26</v>
      </c>
      <c r="H356">
        <v>29</v>
      </c>
      <c r="J356">
        <v>22</v>
      </c>
      <c r="K356">
        <v>19</v>
      </c>
      <c r="L356">
        <v>18</v>
      </c>
      <c r="M356">
        <v>28</v>
      </c>
      <c r="N356" s="2" t="s">
        <v>427</v>
      </c>
      <c r="O356" s="42">
        <f t="shared" si="194"/>
        <v>115</v>
      </c>
      <c r="P356" s="42">
        <f t="shared" si="195"/>
        <v>87</v>
      </c>
      <c r="Q356" s="42" t="str">
        <f t="shared" si="196"/>
        <v>HW</v>
      </c>
      <c r="R356" s="42" t="str">
        <f t="shared" si="197"/>
        <v>HW</v>
      </c>
      <c r="S356" s="42" t="str">
        <f t="shared" si="198"/>
        <v>HW</v>
      </c>
      <c r="T356" s="42" t="str">
        <f t="shared" si="199"/>
        <v>HW</v>
      </c>
      <c r="U356" s="42" t="str">
        <f t="shared" si="200"/>
        <v>U</v>
      </c>
      <c r="V356" s="42" t="str">
        <f t="shared" si="201"/>
        <v>U</v>
      </c>
      <c r="W356" s="42" t="str">
        <f t="shared" si="202"/>
        <v>U</v>
      </c>
      <c r="X356" s="42" t="str">
        <f t="shared" si="203"/>
        <v>T</v>
      </c>
      <c r="Z356">
        <v>57</v>
      </c>
      <c r="AA356" s="42" t="str">
        <f t="shared" si="204"/>
        <v>POR/NYK</v>
      </c>
    </row>
    <row r="357" spans="1:27" ht="17.100000000000001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>
        <v>29</v>
      </c>
      <c r="F357">
        <v>28</v>
      </c>
      <c r="G357">
        <v>25</v>
      </c>
      <c r="H357">
        <v>28</v>
      </c>
      <c r="J357">
        <v>35</v>
      </c>
      <c r="K357">
        <v>29</v>
      </c>
      <c r="L357">
        <v>24</v>
      </c>
      <c r="M357">
        <v>28</v>
      </c>
      <c r="N357" s="2" t="s">
        <v>427</v>
      </c>
      <c r="O357" s="42">
        <f t="shared" si="194"/>
        <v>110</v>
      </c>
      <c r="P357" s="42">
        <f t="shared" si="195"/>
        <v>116</v>
      </c>
      <c r="Q357" s="42" t="str">
        <f t="shared" si="196"/>
        <v>HL</v>
      </c>
      <c r="R357" s="42" t="str">
        <f t="shared" si="197"/>
        <v>HL</v>
      </c>
      <c r="S357" s="42" t="str">
        <f t="shared" si="198"/>
        <v>HW</v>
      </c>
      <c r="T357" s="42" t="str">
        <f t="shared" si="199"/>
        <v>TT</v>
      </c>
      <c r="U357" s="42" t="str">
        <f t="shared" si="200"/>
        <v>O</v>
      </c>
      <c r="V357" s="42" t="str">
        <f t="shared" si="201"/>
        <v>U</v>
      </c>
      <c r="W357" s="42" t="str">
        <f t="shared" si="202"/>
        <v>U</v>
      </c>
      <c r="X357" s="42" t="str">
        <f t="shared" si="203"/>
        <v>U</v>
      </c>
      <c r="Z357">
        <v>59</v>
      </c>
      <c r="AA357" s="42" t="str">
        <f t="shared" si="204"/>
        <v>CLE/HOU</v>
      </c>
    </row>
    <row r="358" spans="1:27" ht="17.100000000000001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>
        <v>30</v>
      </c>
      <c r="F358">
        <v>31</v>
      </c>
      <c r="G358">
        <v>23</v>
      </c>
      <c r="H358">
        <v>38</v>
      </c>
      <c r="J358">
        <v>32</v>
      </c>
      <c r="K358">
        <v>25</v>
      </c>
      <c r="L358">
        <v>37</v>
      </c>
      <c r="M358">
        <v>23</v>
      </c>
      <c r="N358" s="2" t="s">
        <v>427</v>
      </c>
      <c r="O358" s="42">
        <f t="shared" si="194"/>
        <v>122</v>
      </c>
      <c r="P358" s="42">
        <f t="shared" si="195"/>
        <v>117</v>
      </c>
      <c r="Q358" s="42" t="str">
        <f t="shared" si="196"/>
        <v>HL</v>
      </c>
      <c r="R358" s="42" t="str">
        <f t="shared" si="197"/>
        <v>HW</v>
      </c>
      <c r="S358" s="42" t="str">
        <f t="shared" si="198"/>
        <v>HL</v>
      </c>
      <c r="T358" s="42" t="str">
        <f t="shared" si="199"/>
        <v>HW</v>
      </c>
      <c r="U358" s="42" t="str">
        <f t="shared" si="200"/>
        <v>O</v>
      </c>
      <c r="V358" s="42" t="str">
        <f t="shared" si="201"/>
        <v>O</v>
      </c>
      <c r="W358" s="42" t="str">
        <f t="shared" si="202"/>
        <v>O</v>
      </c>
      <c r="X358" s="42" t="str">
        <f t="shared" si="203"/>
        <v>O</v>
      </c>
      <c r="Z358">
        <v>51.5</v>
      </c>
      <c r="AA358" s="42" t="str">
        <f t="shared" si="204"/>
        <v>IND/BOS</v>
      </c>
    </row>
    <row r="359" spans="1:27" ht="17.100000000000001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>
        <v>9</v>
      </c>
      <c r="F359">
        <v>29</v>
      </c>
      <c r="G359">
        <v>27</v>
      </c>
      <c r="H359">
        <v>22</v>
      </c>
      <c r="J359">
        <v>26</v>
      </c>
      <c r="K359">
        <v>25</v>
      </c>
      <c r="L359">
        <v>18</v>
      </c>
      <c r="M359">
        <v>27</v>
      </c>
      <c r="N359" s="2" t="s">
        <v>427</v>
      </c>
      <c r="O359" s="42">
        <f t="shared" si="194"/>
        <v>87</v>
      </c>
      <c r="P359" s="42">
        <f t="shared" si="195"/>
        <v>96</v>
      </c>
      <c r="Q359" s="42" t="str">
        <f t="shared" si="196"/>
        <v>HL</v>
      </c>
      <c r="R359" s="42" t="str">
        <f t="shared" si="197"/>
        <v>HW</v>
      </c>
      <c r="S359" s="42" t="str">
        <f t="shared" si="198"/>
        <v>HW</v>
      </c>
      <c r="T359" s="42" t="str">
        <f t="shared" si="199"/>
        <v>HL</v>
      </c>
      <c r="U359" s="42" t="str">
        <f t="shared" si="200"/>
        <v>U</v>
      </c>
      <c r="V359" s="42" t="str">
        <f t="shared" si="201"/>
        <v>U</v>
      </c>
      <c r="W359" s="42" t="str">
        <f t="shared" si="202"/>
        <v>U</v>
      </c>
      <c r="X359" s="42" t="str">
        <f t="shared" si="203"/>
        <v>U</v>
      </c>
      <c r="Z359">
        <v>55</v>
      </c>
      <c r="AA359" s="42" t="str">
        <f t="shared" si="204"/>
        <v>ORL/LAL</v>
      </c>
    </row>
    <row r="360" spans="1:27" ht="17.100000000000001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>
        <v>32</v>
      </c>
      <c r="F360">
        <v>14</v>
      </c>
      <c r="G360">
        <v>25</v>
      </c>
      <c r="H360">
        <v>21</v>
      </c>
      <c r="J360">
        <v>27</v>
      </c>
      <c r="K360">
        <v>37</v>
      </c>
      <c r="L360">
        <v>24</v>
      </c>
      <c r="M360">
        <v>24</v>
      </c>
      <c r="N360" s="2" t="s">
        <v>427</v>
      </c>
      <c r="O360" s="42">
        <f t="shared" si="194"/>
        <v>92</v>
      </c>
      <c r="P360" s="42">
        <f t="shared" si="195"/>
        <v>112</v>
      </c>
      <c r="Q360" s="42" t="str">
        <f t="shared" si="196"/>
        <v>HW</v>
      </c>
      <c r="R360" s="42" t="str">
        <f t="shared" si="197"/>
        <v>HL</v>
      </c>
      <c r="S360" s="42" t="str">
        <f t="shared" si="198"/>
        <v>HW</v>
      </c>
      <c r="T360" s="42" t="str">
        <f t="shared" si="199"/>
        <v>HL</v>
      </c>
      <c r="U360" s="42" t="str">
        <f t="shared" si="200"/>
        <v>O</v>
      </c>
      <c r="V360" s="42" t="str">
        <f t="shared" si="201"/>
        <v>U</v>
      </c>
      <c r="W360" s="42" t="str">
        <f t="shared" si="202"/>
        <v>U</v>
      </c>
      <c r="X360" s="42" t="str">
        <f t="shared" si="203"/>
        <v>U</v>
      </c>
      <c r="Z360">
        <v>57</v>
      </c>
      <c r="AA360" s="42" t="str">
        <f t="shared" si="204"/>
        <v>TOR/LAC</v>
      </c>
    </row>
    <row r="361" spans="1:27" ht="17.100000000000001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>
        <v>34</v>
      </c>
      <c r="F361">
        <v>30</v>
      </c>
      <c r="G361">
        <v>22</v>
      </c>
      <c r="H361">
        <v>22</v>
      </c>
      <c r="J361">
        <v>26</v>
      </c>
      <c r="K361">
        <v>27</v>
      </c>
      <c r="L361">
        <v>31</v>
      </c>
      <c r="M361">
        <v>29</v>
      </c>
      <c r="N361" s="2" t="s">
        <v>427</v>
      </c>
      <c r="O361" s="42">
        <f t="shared" si="194"/>
        <v>108</v>
      </c>
      <c r="P361" s="42">
        <f t="shared" si="195"/>
        <v>113</v>
      </c>
      <c r="Q361" s="42" t="str">
        <f t="shared" si="196"/>
        <v>HW</v>
      </c>
      <c r="R361" s="42" t="str">
        <f t="shared" si="197"/>
        <v>HW</v>
      </c>
      <c r="S361" s="42" t="str">
        <f t="shared" si="198"/>
        <v>HL</v>
      </c>
      <c r="T361" s="42" t="str">
        <f t="shared" si="199"/>
        <v>HL</v>
      </c>
      <c r="U361" s="42" t="str">
        <f t="shared" si="200"/>
        <v>O</v>
      </c>
      <c r="V361" s="42" t="str">
        <f t="shared" si="201"/>
        <v>O</v>
      </c>
      <c r="W361" s="42" t="str">
        <f t="shared" si="202"/>
        <v>U</v>
      </c>
      <c r="X361" s="42" t="str">
        <f t="shared" si="203"/>
        <v>U</v>
      </c>
      <c r="Z361">
        <v>55.5</v>
      </c>
      <c r="AA361" s="42" t="str">
        <f t="shared" si="204"/>
        <v>BKN/CHA</v>
      </c>
    </row>
    <row r="362" spans="1:27" ht="17.100000000000001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>
        <v>37</v>
      </c>
      <c r="F362">
        <v>29</v>
      </c>
      <c r="G362">
        <v>40</v>
      </c>
      <c r="H362">
        <v>30</v>
      </c>
      <c r="J362">
        <v>33</v>
      </c>
      <c r="K362">
        <v>19</v>
      </c>
      <c r="L362">
        <v>35</v>
      </c>
      <c r="M362">
        <v>15</v>
      </c>
      <c r="N362" s="2" t="s">
        <v>427</v>
      </c>
      <c r="O362" s="42">
        <f t="shared" si="194"/>
        <v>136</v>
      </c>
      <c r="P362" s="42">
        <f t="shared" si="195"/>
        <v>102</v>
      </c>
      <c r="Q362" s="42" t="str">
        <f t="shared" si="196"/>
        <v>HW</v>
      </c>
      <c r="R362" s="42" t="str">
        <f t="shared" si="197"/>
        <v>HW</v>
      </c>
      <c r="S362" s="42" t="str">
        <f t="shared" si="198"/>
        <v>HW</v>
      </c>
      <c r="T362" s="42" t="str">
        <f t="shared" si="199"/>
        <v>HW</v>
      </c>
      <c r="U362" s="42" t="str">
        <f t="shared" si="200"/>
        <v>O</v>
      </c>
      <c r="V362" s="42" t="str">
        <f t="shared" si="201"/>
        <v>U</v>
      </c>
      <c r="W362" s="42" t="str">
        <f t="shared" si="202"/>
        <v>O</v>
      </c>
      <c r="X362" s="42" t="str">
        <f t="shared" si="203"/>
        <v>U</v>
      </c>
      <c r="Z362">
        <v>57</v>
      </c>
      <c r="AA362" s="42" t="str">
        <f t="shared" si="204"/>
        <v>CHI/ATL</v>
      </c>
    </row>
    <row r="363" spans="1:27" ht="17.100000000000001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>
        <v>23</v>
      </c>
      <c r="F363">
        <v>36</v>
      </c>
      <c r="G363">
        <v>24</v>
      </c>
      <c r="H363">
        <v>33</v>
      </c>
      <c r="J363">
        <v>25</v>
      </c>
      <c r="K363">
        <v>34</v>
      </c>
      <c r="L363">
        <v>38</v>
      </c>
      <c r="M363">
        <v>30</v>
      </c>
      <c r="N363" s="2" t="s">
        <v>427</v>
      </c>
      <c r="O363" s="42">
        <f t="shared" si="194"/>
        <v>116</v>
      </c>
      <c r="P363" s="42">
        <f t="shared" si="195"/>
        <v>127</v>
      </c>
      <c r="Q363" s="42" t="str">
        <f t="shared" si="196"/>
        <v>HL</v>
      </c>
      <c r="R363" s="42" t="str">
        <f t="shared" si="197"/>
        <v>HW</v>
      </c>
      <c r="S363" s="42" t="str">
        <f t="shared" si="198"/>
        <v>HL</v>
      </c>
      <c r="T363" s="42" t="str">
        <f t="shared" si="199"/>
        <v>HW</v>
      </c>
      <c r="U363" s="42" t="str">
        <f t="shared" si="200"/>
        <v>U</v>
      </c>
      <c r="V363" s="42" t="str">
        <f t="shared" si="201"/>
        <v>O</v>
      </c>
      <c r="W363" s="42" t="str">
        <f t="shared" si="202"/>
        <v>O</v>
      </c>
      <c r="X363" s="42" t="str">
        <f t="shared" si="203"/>
        <v>O</v>
      </c>
      <c r="Z363">
        <v>54</v>
      </c>
      <c r="AA363" s="42" t="str">
        <f t="shared" si="204"/>
        <v>MIN/UTA</v>
      </c>
    </row>
    <row r="364" spans="1:27" ht="17.100000000000001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>
        <v>19</v>
      </c>
      <c r="F364">
        <v>32</v>
      </c>
      <c r="G364">
        <v>28</v>
      </c>
      <c r="H364">
        <v>29</v>
      </c>
      <c r="J364">
        <v>27</v>
      </c>
      <c r="K364">
        <v>24</v>
      </c>
      <c r="L364">
        <v>33</v>
      </c>
      <c r="M364">
        <v>31</v>
      </c>
      <c r="N364" s="2" t="s">
        <v>427</v>
      </c>
      <c r="O364" s="42">
        <f t="shared" si="194"/>
        <v>108</v>
      </c>
      <c r="P364" s="42">
        <f t="shared" si="195"/>
        <v>115</v>
      </c>
      <c r="Q364" s="42" t="str">
        <f t="shared" si="196"/>
        <v>HL</v>
      </c>
      <c r="R364" s="42" t="str">
        <f t="shared" si="197"/>
        <v>HW</v>
      </c>
      <c r="S364" s="42" t="str">
        <f t="shared" si="198"/>
        <v>HL</v>
      </c>
      <c r="T364" s="42" t="str">
        <f t="shared" si="199"/>
        <v>HL</v>
      </c>
      <c r="U364" s="42" t="str">
        <f t="shared" si="200"/>
        <v>U</v>
      </c>
      <c r="V364" s="42" t="str">
        <f t="shared" si="201"/>
        <v>U</v>
      </c>
      <c r="W364" s="42" t="str">
        <f t="shared" si="202"/>
        <v>O</v>
      </c>
      <c r="X364" s="42" t="str">
        <f t="shared" si="203"/>
        <v>O</v>
      </c>
      <c r="Z364">
        <v>57</v>
      </c>
      <c r="AA364" s="42" t="str">
        <f t="shared" si="204"/>
        <v>PHO/MEM</v>
      </c>
    </row>
    <row r="365" spans="1:27" ht="17.100000000000001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>
        <v>35</v>
      </c>
      <c r="F365">
        <v>34</v>
      </c>
      <c r="G365">
        <v>36</v>
      </c>
      <c r="H365">
        <v>22</v>
      </c>
      <c r="J365">
        <v>20</v>
      </c>
      <c r="K365">
        <v>26</v>
      </c>
      <c r="L365">
        <v>40</v>
      </c>
      <c r="M365">
        <v>26</v>
      </c>
      <c r="N365" s="2" t="s">
        <v>427</v>
      </c>
      <c r="O365" s="42">
        <f t="shared" si="194"/>
        <v>127</v>
      </c>
      <c r="P365" s="42">
        <f t="shared" si="195"/>
        <v>112</v>
      </c>
      <c r="Q365" s="42" t="str">
        <f t="shared" si="196"/>
        <v>HW</v>
      </c>
      <c r="R365" s="42" t="str">
        <f t="shared" si="197"/>
        <v>HW</v>
      </c>
      <c r="S365" s="42" t="str">
        <f t="shared" si="198"/>
        <v>HL</v>
      </c>
      <c r="T365" s="42" t="str">
        <f t="shared" si="199"/>
        <v>HL</v>
      </c>
      <c r="U365" s="42" t="str">
        <f t="shared" si="200"/>
        <v>U</v>
      </c>
      <c r="V365" s="42" t="str">
        <f t="shared" si="201"/>
        <v>T</v>
      </c>
      <c r="W365" s="42" t="str">
        <f t="shared" si="202"/>
        <v>O</v>
      </c>
      <c r="X365" s="42" t="str">
        <f t="shared" si="203"/>
        <v>U</v>
      </c>
      <c r="Z365">
        <v>60</v>
      </c>
      <c r="AA365" s="42" t="str">
        <f t="shared" si="204"/>
        <v>MIL/NO</v>
      </c>
    </row>
    <row r="366" spans="1:27" ht="17.100000000000001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>
        <v>23</v>
      </c>
      <c r="F366">
        <v>15</v>
      </c>
      <c r="G366">
        <v>31</v>
      </c>
      <c r="H366">
        <v>25</v>
      </c>
      <c r="J366">
        <v>18</v>
      </c>
      <c r="K366">
        <v>29</v>
      </c>
      <c r="L366">
        <v>24</v>
      </c>
      <c r="M366">
        <v>22</v>
      </c>
      <c r="N366" s="2" t="s">
        <v>427</v>
      </c>
      <c r="O366" s="42">
        <f t="shared" si="194"/>
        <v>94</v>
      </c>
      <c r="P366" s="42">
        <f t="shared" si="195"/>
        <v>93</v>
      </c>
      <c r="Q366" s="42" t="str">
        <f t="shared" si="196"/>
        <v>HW</v>
      </c>
      <c r="R366" s="42" t="str">
        <f t="shared" si="197"/>
        <v>HL</v>
      </c>
      <c r="S366" s="42" t="str">
        <f t="shared" si="198"/>
        <v>HW</v>
      </c>
      <c r="T366" s="42" t="str">
        <f t="shared" si="199"/>
        <v>HW</v>
      </c>
      <c r="U366" s="42" t="str">
        <f t="shared" si="200"/>
        <v>U</v>
      </c>
      <c r="V366" s="42" t="str">
        <f t="shared" si="201"/>
        <v>U</v>
      </c>
      <c r="W366" s="42" t="str">
        <f t="shared" si="202"/>
        <v>O</v>
      </c>
      <c r="X366" s="42" t="str">
        <f t="shared" si="203"/>
        <v>U</v>
      </c>
      <c r="Z366">
        <v>53.5</v>
      </c>
      <c r="AA366" s="42" t="str">
        <f t="shared" si="204"/>
        <v>SAC/OKC</v>
      </c>
    </row>
    <row r="367" spans="1:27" ht="17.100000000000001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>
        <v>20</v>
      </c>
      <c r="F367">
        <v>30</v>
      </c>
      <c r="G367">
        <v>30</v>
      </c>
      <c r="H367">
        <v>32</v>
      </c>
      <c r="I367">
        <v>10</v>
      </c>
      <c r="J367">
        <v>30</v>
      </c>
      <c r="K367">
        <v>38</v>
      </c>
      <c r="L367">
        <v>19</v>
      </c>
      <c r="M367">
        <v>25</v>
      </c>
      <c r="N367" s="2">
        <v>12</v>
      </c>
      <c r="O367" s="42">
        <f t="shared" si="194"/>
        <v>122</v>
      </c>
      <c r="P367" s="42">
        <f t="shared" si="195"/>
        <v>124</v>
      </c>
      <c r="Q367" s="42" t="str">
        <f t="shared" si="196"/>
        <v>HL</v>
      </c>
      <c r="R367" s="42" t="str">
        <f t="shared" si="197"/>
        <v>HL</v>
      </c>
      <c r="S367" s="42" t="str">
        <f t="shared" si="198"/>
        <v>HW</v>
      </c>
      <c r="T367" s="42" t="str">
        <f t="shared" si="199"/>
        <v>HW</v>
      </c>
      <c r="U367" s="42" t="str">
        <f t="shared" si="200"/>
        <v>U</v>
      </c>
      <c r="V367" s="42" t="str">
        <f t="shared" si="201"/>
        <v>O</v>
      </c>
      <c r="W367" s="42" t="str">
        <f t="shared" si="202"/>
        <v>U</v>
      </c>
      <c r="X367" s="42" t="str">
        <f t="shared" si="203"/>
        <v>O</v>
      </c>
      <c r="Z367">
        <v>54</v>
      </c>
      <c r="AA367" s="42" t="str">
        <f t="shared" si="204"/>
        <v>GS/NYK</v>
      </c>
    </row>
    <row r="368" spans="1:27" ht="17.100000000000001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>
        <v>34</v>
      </c>
      <c r="F368">
        <v>25</v>
      </c>
      <c r="G368">
        <v>21</v>
      </c>
      <c r="H368">
        <v>29</v>
      </c>
      <c r="J368">
        <v>28</v>
      </c>
      <c r="K368">
        <v>28</v>
      </c>
      <c r="L368">
        <v>25</v>
      </c>
      <c r="M368">
        <v>34</v>
      </c>
      <c r="N368" s="2" t="s">
        <v>427</v>
      </c>
      <c r="O368" s="42">
        <f t="shared" si="194"/>
        <v>109</v>
      </c>
      <c r="P368" s="42">
        <f t="shared" si="195"/>
        <v>115</v>
      </c>
      <c r="Q368" s="42" t="str">
        <f t="shared" si="196"/>
        <v>HW</v>
      </c>
      <c r="R368" s="42" t="str">
        <f t="shared" si="197"/>
        <v>HL</v>
      </c>
      <c r="S368" s="42" t="str">
        <f t="shared" si="198"/>
        <v>HL</v>
      </c>
      <c r="T368" s="42" t="str">
        <f t="shared" si="199"/>
        <v>HL</v>
      </c>
      <c r="U368" s="42" t="str">
        <f t="shared" si="200"/>
        <v>O</v>
      </c>
      <c r="V368" s="42" t="str">
        <f t="shared" si="201"/>
        <v>O</v>
      </c>
      <c r="W368" s="42" t="str">
        <f t="shared" si="202"/>
        <v>U</v>
      </c>
      <c r="X368" s="42" t="str">
        <f t="shared" si="203"/>
        <v>O</v>
      </c>
      <c r="Z368">
        <v>52</v>
      </c>
      <c r="AA368" s="42" t="str">
        <f t="shared" si="204"/>
        <v>BOS/PHI</v>
      </c>
    </row>
    <row r="369" spans="1:27" ht="17.100000000000001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>
        <v>19</v>
      </c>
      <c r="F369">
        <v>24</v>
      </c>
      <c r="G369">
        <v>25</v>
      </c>
      <c r="H369">
        <v>35</v>
      </c>
      <c r="I369">
        <v>6</v>
      </c>
      <c r="J369">
        <v>28</v>
      </c>
      <c r="K369">
        <v>25</v>
      </c>
      <c r="L369">
        <v>25</v>
      </c>
      <c r="M369">
        <v>25</v>
      </c>
      <c r="N369" s="2">
        <v>14</v>
      </c>
      <c r="O369" s="42">
        <f t="shared" si="194"/>
        <v>109</v>
      </c>
      <c r="P369" s="42">
        <f t="shared" si="195"/>
        <v>117</v>
      </c>
      <c r="Q369" s="42" t="str">
        <f t="shared" si="196"/>
        <v>HL</v>
      </c>
      <c r="R369" s="42" t="str">
        <f t="shared" si="197"/>
        <v>HL</v>
      </c>
      <c r="S369" s="42" t="str">
        <f t="shared" si="198"/>
        <v>TT</v>
      </c>
      <c r="T369" s="42" t="str">
        <f t="shared" si="199"/>
        <v>HW</v>
      </c>
      <c r="U369" s="42" t="str">
        <f t="shared" si="200"/>
        <v>U</v>
      </c>
      <c r="V369" s="42" t="str">
        <f t="shared" si="201"/>
        <v>U</v>
      </c>
      <c r="W369" s="42" t="str">
        <f t="shared" si="202"/>
        <v>U</v>
      </c>
      <c r="X369" s="42" t="str">
        <f t="shared" si="203"/>
        <v>O</v>
      </c>
      <c r="Z369">
        <v>54</v>
      </c>
      <c r="AA369" s="42" t="str">
        <f t="shared" si="204"/>
        <v>SAS/CLE</v>
      </c>
    </row>
    <row r="370" spans="1:27" ht="17.100000000000001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>
        <v>29</v>
      </c>
      <c r="F370">
        <v>29</v>
      </c>
      <c r="G370">
        <v>27</v>
      </c>
      <c r="H370">
        <v>26</v>
      </c>
      <c r="J370">
        <v>34</v>
      </c>
      <c r="K370">
        <v>31</v>
      </c>
      <c r="L370">
        <v>30</v>
      </c>
      <c r="M370">
        <v>27</v>
      </c>
      <c r="N370" s="2" t="s">
        <v>427</v>
      </c>
      <c r="O370" s="42">
        <f t="shared" si="194"/>
        <v>111</v>
      </c>
      <c r="P370" s="42">
        <f t="shared" si="195"/>
        <v>122</v>
      </c>
      <c r="Q370" s="42" t="str">
        <f t="shared" si="196"/>
        <v>HL</v>
      </c>
      <c r="R370" s="42" t="str">
        <f t="shared" si="197"/>
        <v>HL</v>
      </c>
      <c r="S370" s="42" t="str">
        <f t="shared" si="198"/>
        <v>HL</v>
      </c>
      <c r="T370" s="42" t="str">
        <f t="shared" si="199"/>
        <v>HL</v>
      </c>
      <c r="U370" s="42" t="str">
        <f t="shared" si="200"/>
        <v>O</v>
      </c>
      <c r="V370" s="42" t="str">
        <f t="shared" si="201"/>
        <v>O</v>
      </c>
      <c r="W370" s="42" t="str">
        <f t="shared" si="202"/>
        <v>O</v>
      </c>
      <c r="X370" s="42" t="str">
        <f t="shared" si="203"/>
        <v>U</v>
      </c>
      <c r="Z370">
        <v>56.5</v>
      </c>
      <c r="AA370" s="42" t="str">
        <f t="shared" si="204"/>
        <v>DET/DAL</v>
      </c>
    </row>
    <row r="371" spans="1:27" ht="17.100000000000001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>
        <v>33</v>
      </c>
      <c r="F371">
        <v>29</v>
      </c>
      <c r="G371">
        <v>27</v>
      </c>
      <c r="H371">
        <v>25</v>
      </c>
      <c r="J371">
        <v>26</v>
      </c>
      <c r="K371">
        <v>27</v>
      </c>
      <c r="L371">
        <v>25</v>
      </c>
      <c r="M371">
        <v>21</v>
      </c>
      <c r="N371" s="2" t="s">
        <v>427</v>
      </c>
      <c r="O371" s="42">
        <f t="shared" si="194"/>
        <v>114</v>
      </c>
      <c r="P371" s="42">
        <f t="shared" si="195"/>
        <v>99</v>
      </c>
      <c r="Q371" s="42" t="str">
        <f t="shared" si="196"/>
        <v>HW</v>
      </c>
      <c r="R371" s="42" t="str">
        <f t="shared" si="197"/>
        <v>HW</v>
      </c>
      <c r="S371" s="42" t="str">
        <f t="shared" si="198"/>
        <v>HW</v>
      </c>
      <c r="T371" s="42" t="str">
        <f t="shared" si="199"/>
        <v>HW</v>
      </c>
      <c r="U371" s="42" t="str">
        <f t="shared" si="200"/>
        <v>O</v>
      </c>
      <c r="V371" s="42" t="str">
        <f t="shared" si="201"/>
        <v>O</v>
      </c>
      <c r="W371" s="42" t="str">
        <f t="shared" si="202"/>
        <v>U</v>
      </c>
      <c r="X371" s="42" t="str">
        <f t="shared" si="203"/>
        <v>U</v>
      </c>
      <c r="Z371">
        <v>54.5</v>
      </c>
      <c r="AA371" s="42" t="str">
        <f t="shared" si="204"/>
        <v>DEN/POR</v>
      </c>
    </row>
    <row r="372" spans="1:27" ht="17.100000000000001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>
        <v>29</v>
      </c>
      <c r="F372">
        <v>30</v>
      </c>
      <c r="G372">
        <v>26</v>
      </c>
      <c r="H372">
        <v>25</v>
      </c>
      <c r="J372">
        <v>30</v>
      </c>
      <c r="K372">
        <v>21</v>
      </c>
      <c r="L372">
        <v>37</v>
      </c>
      <c r="M372">
        <v>25</v>
      </c>
      <c r="N372" s="2" t="s">
        <v>427</v>
      </c>
      <c r="O372" s="42">
        <f t="shared" si="194"/>
        <v>110</v>
      </c>
      <c r="P372" s="42">
        <f t="shared" si="195"/>
        <v>113</v>
      </c>
      <c r="Q372" s="42" t="str">
        <f t="shared" si="196"/>
        <v>HL</v>
      </c>
      <c r="R372" s="42" t="str">
        <f t="shared" si="197"/>
        <v>HW</v>
      </c>
      <c r="S372" s="42" t="str">
        <f t="shared" si="198"/>
        <v>HL</v>
      </c>
      <c r="T372" s="42" t="str">
        <f t="shared" si="199"/>
        <v>TT</v>
      </c>
      <c r="U372" s="42" t="str">
        <f t="shared" si="200"/>
        <v>O</v>
      </c>
      <c r="V372" s="42" t="str">
        <f t="shared" si="201"/>
        <v>U</v>
      </c>
      <c r="W372" s="42" t="str">
        <f t="shared" si="202"/>
        <v>O</v>
      </c>
      <c r="X372" s="42" t="str">
        <f t="shared" si="203"/>
        <v>U</v>
      </c>
      <c r="Z372">
        <v>55</v>
      </c>
      <c r="AA372" s="42" t="str">
        <f t="shared" si="204"/>
        <v>MIA/LAL</v>
      </c>
    </row>
    <row r="373" spans="1:27" ht="17.100000000000001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>
        <v>22</v>
      </c>
      <c r="F373">
        <v>33</v>
      </c>
      <c r="G373">
        <v>23</v>
      </c>
      <c r="H373">
        <v>29</v>
      </c>
      <c r="J373">
        <v>28</v>
      </c>
      <c r="K373">
        <v>34</v>
      </c>
      <c r="L373">
        <v>34</v>
      </c>
      <c r="M373">
        <v>34</v>
      </c>
      <c r="N373" s="2" t="s">
        <v>427</v>
      </c>
      <c r="O373" s="42">
        <f t="shared" si="194"/>
        <v>107</v>
      </c>
      <c r="P373" s="42">
        <f t="shared" si="195"/>
        <v>130</v>
      </c>
      <c r="Q373" s="42" t="str">
        <f t="shared" si="196"/>
        <v>HL</v>
      </c>
      <c r="R373" s="42" t="str">
        <f t="shared" si="197"/>
        <v>HL</v>
      </c>
      <c r="S373" s="42" t="str">
        <f t="shared" si="198"/>
        <v>HL</v>
      </c>
      <c r="T373" s="42" t="str">
        <f t="shared" si="199"/>
        <v>HL</v>
      </c>
      <c r="U373" s="42" t="str">
        <f t="shared" si="200"/>
        <v>U</v>
      </c>
      <c r="V373" s="42" t="str">
        <f t="shared" si="201"/>
        <v>O</v>
      </c>
      <c r="W373" s="42" t="str">
        <f t="shared" si="202"/>
        <v>T</v>
      </c>
      <c r="X373" s="42" t="str">
        <f t="shared" si="203"/>
        <v>O</v>
      </c>
      <c r="Z373">
        <v>57</v>
      </c>
      <c r="AA373" s="42" t="str">
        <f t="shared" si="204"/>
        <v>ORL/HOU</v>
      </c>
    </row>
    <row r="374" spans="1:27" ht="17.100000000000001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>
        <v>39</v>
      </c>
      <c r="F374">
        <v>23</v>
      </c>
      <c r="G374">
        <v>30</v>
      </c>
      <c r="H374">
        <v>24</v>
      </c>
      <c r="J374">
        <v>25</v>
      </c>
      <c r="K374">
        <v>32</v>
      </c>
      <c r="L374">
        <v>25</v>
      </c>
      <c r="M374">
        <v>27</v>
      </c>
      <c r="N374" s="2" t="s">
        <v>427</v>
      </c>
      <c r="O374" s="42">
        <f t="shared" si="194"/>
        <v>116</v>
      </c>
      <c r="P374" s="42">
        <f t="shared" si="195"/>
        <v>109</v>
      </c>
      <c r="Q374" s="42" t="str">
        <f t="shared" si="196"/>
        <v>HW</v>
      </c>
      <c r="R374" s="42" t="str">
        <f t="shared" si="197"/>
        <v>HL</v>
      </c>
      <c r="S374" s="42" t="str">
        <f t="shared" si="198"/>
        <v>HW</v>
      </c>
      <c r="T374" s="42" t="str">
        <f t="shared" si="199"/>
        <v>HL</v>
      </c>
      <c r="U374" s="42" t="str">
        <f t="shared" si="200"/>
        <v>O</v>
      </c>
      <c r="V374" s="42" t="str">
        <f t="shared" si="201"/>
        <v>U</v>
      </c>
      <c r="W374" s="42" t="str">
        <f t="shared" si="202"/>
        <v>U</v>
      </c>
      <c r="X374" s="42" t="str">
        <f t="shared" si="203"/>
        <v>U</v>
      </c>
      <c r="Z374">
        <v>57.5</v>
      </c>
      <c r="AA374" s="42" t="str">
        <f t="shared" si="204"/>
        <v>PHI/NO</v>
      </c>
    </row>
    <row r="375" spans="1:27" ht="17.100000000000001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>
        <v>22</v>
      </c>
      <c r="F375">
        <v>26</v>
      </c>
      <c r="G375">
        <v>35</v>
      </c>
      <c r="H375">
        <v>17</v>
      </c>
      <c r="J375">
        <v>29</v>
      </c>
      <c r="K375">
        <v>34</v>
      </c>
      <c r="L375">
        <v>23</v>
      </c>
      <c r="M375">
        <v>24</v>
      </c>
      <c r="N375" s="2" t="s">
        <v>427</v>
      </c>
      <c r="O375" s="42">
        <f t="shared" si="194"/>
        <v>100</v>
      </c>
      <c r="P375" s="42">
        <f t="shared" si="195"/>
        <v>110</v>
      </c>
      <c r="Q375" s="42" t="str">
        <f t="shared" si="196"/>
        <v>HL</v>
      </c>
      <c r="R375" s="42" t="str">
        <f t="shared" si="197"/>
        <v>HL</v>
      </c>
      <c r="S375" s="42" t="str">
        <f t="shared" si="198"/>
        <v>HW</v>
      </c>
      <c r="T375" s="42" t="str">
        <f t="shared" si="199"/>
        <v>HL</v>
      </c>
      <c r="U375" s="42" t="str">
        <f t="shared" si="200"/>
        <v>U</v>
      </c>
      <c r="V375" s="42" t="str">
        <f t="shared" si="201"/>
        <v>O</v>
      </c>
      <c r="W375" s="42" t="str">
        <f t="shared" si="202"/>
        <v>O</v>
      </c>
      <c r="X375" s="42" t="str">
        <f t="shared" si="203"/>
        <v>U</v>
      </c>
      <c r="Z375">
        <v>57.5</v>
      </c>
      <c r="AA375" s="42" t="str">
        <f t="shared" si="204"/>
        <v>ATL/IND</v>
      </c>
    </row>
    <row r="376" spans="1:27" ht="17.100000000000001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>
        <v>15</v>
      </c>
      <c r="F376">
        <v>25</v>
      </c>
      <c r="G376">
        <v>10</v>
      </c>
      <c r="H376">
        <v>23</v>
      </c>
      <c r="J376">
        <v>24</v>
      </c>
      <c r="K376">
        <v>20</v>
      </c>
      <c r="L376">
        <v>15</v>
      </c>
      <c r="M376">
        <v>24</v>
      </c>
      <c r="N376" s="2" t="s">
        <v>427</v>
      </c>
      <c r="O376" s="42">
        <f t="shared" si="194"/>
        <v>73</v>
      </c>
      <c r="P376" s="42">
        <f t="shared" si="195"/>
        <v>83</v>
      </c>
      <c r="Q376" s="42" t="str">
        <f t="shared" si="196"/>
        <v>HL</v>
      </c>
      <c r="R376" s="42" t="str">
        <f t="shared" si="197"/>
        <v>HW</v>
      </c>
      <c r="S376" s="42" t="str">
        <f t="shared" si="198"/>
        <v>HL</v>
      </c>
      <c r="T376" s="42" t="str">
        <f t="shared" si="199"/>
        <v>HL</v>
      </c>
      <c r="U376" s="42" t="str">
        <f t="shared" si="200"/>
        <v>U</v>
      </c>
      <c r="V376" s="42" t="str">
        <f t="shared" si="201"/>
        <v>U</v>
      </c>
      <c r="W376" s="42" t="str">
        <f t="shared" si="202"/>
        <v>U</v>
      </c>
      <c r="X376" s="42" t="str">
        <f t="shared" si="203"/>
        <v>U</v>
      </c>
      <c r="Z376">
        <v>55</v>
      </c>
      <c r="AA376" s="42" t="str">
        <f t="shared" si="204"/>
        <v>CHI/CHA</v>
      </c>
    </row>
    <row r="377" spans="1:27" ht="17.100000000000001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>
        <v>29</v>
      </c>
      <c r="F377">
        <v>33</v>
      </c>
      <c r="G377">
        <v>33</v>
      </c>
      <c r="H377">
        <v>19</v>
      </c>
      <c r="J377">
        <v>35</v>
      </c>
      <c r="K377">
        <v>29</v>
      </c>
      <c r="L377">
        <v>26</v>
      </c>
      <c r="M377">
        <v>37</v>
      </c>
      <c r="N377" s="2" t="s">
        <v>427</v>
      </c>
      <c r="O377" s="42">
        <f t="shared" si="194"/>
        <v>114</v>
      </c>
      <c r="P377" s="42">
        <f t="shared" si="195"/>
        <v>127</v>
      </c>
      <c r="Q377" s="42" t="str">
        <f t="shared" si="196"/>
        <v>HL</v>
      </c>
      <c r="R377" s="42" t="str">
        <f t="shared" si="197"/>
        <v>HW</v>
      </c>
      <c r="S377" s="42" t="str">
        <f t="shared" si="198"/>
        <v>HW</v>
      </c>
      <c r="T377" s="42" t="str">
        <f t="shared" si="199"/>
        <v>HL</v>
      </c>
      <c r="U377" s="42" t="str">
        <f t="shared" si="200"/>
        <v>O</v>
      </c>
      <c r="V377" s="42" t="str">
        <f t="shared" si="201"/>
        <v>O</v>
      </c>
      <c r="W377" s="42" t="str">
        <f t="shared" si="202"/>
        <v>O</v>
      </c>
      <c r="X377" s="42" t="str">
        <f t="shared" si="203"/>
        <v>U</v>
      </c>
      <c r="Z377">
        <v>56.5</v>
      </c>
      <c r="AA377" s="42" t="str">
        <f t="shared" si="204"/>
        <v>MEM/MIL</v>
      </c>
    </row>
    <row r="378" spans="1:27" ht="17.100000000000001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>
        <v>22</v>
      </c>
      <c r="F378">
        <v>27</v>
      </c>
      <c r="G378">
        <v>37</v>
      </c>
      <c r="H378">
        <v>28</v>
      </c>
      <c r="J378">
        <v>29</v>
      </c>
      <c r="K378">
        <v>27</v>
      </c>
      <c r="L378">
        <v>28</v>
      </c>
      <c r="M378">
        <v>22</v>
      </c>
      <c r="N378" s="2" t="s">
        <v>427</v>
      </c>
      <c r="O378" s="42">
        <f t="shared" si="194"/>
        <v>114</v>
      </c>
      <c r="P378" s="42">
        <f t="shared" si="195"/>
        <v>106</v>
      </c>
      <c r="Q378" s="42" t="str">
        <f t="shared" si="196"/>
        <v>HL</v>
      </c>
      <c r="R378" s="42" t="str">
        <f t="shared" si="197"/>
        <v>TT</v>
      </c>
      <c r="S378" s="42" t="str">
        <f t="shared" si="198"/>
        <v>HW</v>
      </c>
      <c r="T378" s="42" t="str">
        <f t="shared" si="199"/>
        <v>HW</v>
      </c>
      <c r="U378" s="42" t="str">
        <f t="shared" si="200"/>
        <v>U</v>
      </c>
      <c r="V378" s="42" t="str">
        <f t="shared" si="201"/>
        <v>U</v>
      </c>
      <c r="W378" s="42" t="str">
        <f t="shared" si="202"/>
        <v>O</v>
      </c>
      <c r="X378" s="42" t="str">
        <f t="shared" si="203"/>
        <v>U</v>
      </c>
      <c r="Z378">
        <v>54.5</v>
      </c>
      <c r="AA378" s="42" t="str">
        <f t="shared" si="204"/>
        <v>UTA/GS</v>
      </c>
    </row>
    <row r="379" spans="1:27" ht="17.100000000000001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>
        <v>29</v>
      </c>
      <c r="F379">
        <v>29</v>
      </c>
      <c r="G379">
        <v>23</v>
      </c>
      <c r="H379">
        <v>36</v>
      </c>
      <c r="J379">
        <v>33</v>
      </c>
      <c r="K379">
        <v>32</v>
      </c>
      <c r="L379">
        <v>37</v>
      </c>
      <c r="M379">
        <v>22</v>
      </c>
      <c r="N379" s="2" t="s">
        <v>427</v>
      </c>
      <c r="O379" s="42">
        <f t="shared" si="194"/>
        <v>117</v>
      </c>
      <c r="P379" s="42">
        <f t="shared" si="195"/>
        <v>124</v>
      </c>
      <c r="Q379" s="42" t="str">
        <f t="shared" si="196"/>
        <v>HL</v>
      </c>
      <c r="R379" s="42" t="str">
        <f t="shared" si="197"/>
        <v>HL</v>
      </c>
      <c r="S379" s="42" t="str">
        <f t="shared" si="198"/>
        <v>HL</v>
      </c>
      <c r="T379" s="42" t="str">
        <f t="shared" si="199"/>
        <v>HW</v>
      </c>
      <c r="U379" s="42" t="str">
        <f t="shared" si="200"/>
        <v>O</v>
      </c>
      <c r="V379" s="42" t="str">
        <f t="shared" si="201"/>
        <v>O</v>
      </c>
      <c r="W379" s="42" t="str">
        <f t="shared" si="202"/>
        <v>O</v>
      </c>
      <c r="X379" s="42" t="str">
        <f t="shared" si="203"/>
        <v>U</v>
      </c>
      <c r="Z379">
        <v>59</v>
      </c>
      <c r="AA379" s="42" t="str">
        <f t="shared" si="204"/>
        <v>MIN/LAC</v>
      </c>
    </row>
    <row r="380" spans="1:27" ht="17.100000000000001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>
        <v>32</v>
      </c>
      <c r="F380">
        <v>22</v>
      </c>
      <c r="G380">
        <v>26</v>
      </c>
      <c r="H380">
        <v>21</v>
      </c>
      <c r="J380">
        <v>20</v>
      </c>
      <c r="K380">
        <v>25</v>
      </c>
      <c r="L380">
        <v>27</v>
      </c>
      <c r="M380">
        <v>31</v>
      </c>
      <c r="N380" s="2" t="s">
        <v>427</v>
      </c>
      <c r="O380" s="42">
        <f t="shared" si="194"/>
        <v>101</v>
      </c>
      <c r="P380" s="42">
        <f t="shared" si="195"/>
        <v>103</v>
      </c>
      <c r="Q380" s="42" t="str">
        <f t="shared" si="196"/>
        <v>HW</v>
      </c>
      <c r="R380" s="42" t="str">
        <f t="shared" si="197"/>
        <v>HL</v>
      </c>
      <c r="S380" s="42" t="str">
        <f t="shared" si="198"/>
        <v>HL</v>
      </c>
      <c r="T380" s="42" t="str">
        <f t="shared" si="199"/>
        <v>HL</v>
      </c>
      <c r="U380" s="42" t="str">
        <f t="shared" si="200"/>
        <v>U</v>
      </c>
      <c r="V380" s="42" t="str">
        <f t="shared" si="201"/>
        <v>U</v>
      </c>
      <c r="W380" s="42" t="str">
        <f t="shared" si="202"/>
        <v>U</v>
      </c>
      <c r="X380" s="42" t="str">
        <f t="shared" si="203"/>
        <v>U</v>
      </c>
      <c r="Z380">
        <v>54</v>
      </c>
      <c r="AA380" s="42" t="str">
        <f t="shared" si="204"/>
        <v>SAC/NYK</v>
      </c>
    </row>
    <row r="381" spans="1:27" ht="17.100000000000001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>
        <v>18</v>
      </c>
      <c r="F381">
        <v>30</v>
      </c>
      <c r="G381">
        <v>32</v>
      </c>
      <c r="H381">
        <v>29</v>
      </c>
      <c r="I381">
        <v>10</v>
      </c>
      <c r="J381">
        <v>28</v>
      </c>
      <c r="K381">
        <v>16</v>
      </c>
      <c r="L381">
        <v>34</v>
      </c>
      <c r="M381">
        <v>31</v>
      </c>
      <c r="N381" s="2">
        <v>12</v>
      </c>
      <c r="O381" s="42">
        <f t="shared" si="194"/>
        <v>119</v>
      </c>
      <c r="P381" s="42">
        <f t="shared" si="195"/>
        <v>121</v>
      </c>
      <c r="Q381" s="42" t="str">
        <f t="shared" si="196"/>
        <v>HL</v>
      </c>
      <c r="R381" s="42" t="str">
        <f t="shared" si="197"/>
        <v>HW</v>
      </c>
      <c r="S381" s="42" t="str">
        <f t="shared" si="198"/>
        <v>HL</v>
      </c>
      <c r="T381" s="42" t="str">
        <f t="shared" si="199"/>
        <v>HL</v>
      </c>
      <c r="U381" s="42" t="str">
        <f t="shared" si="200"/>
        <v>U</v>
      </c>
      <c r="V381" s="42" t="str">
        <f t="shared" si="201"/>
        <v>U</v>
      </c>
      <c r="W381" s="42" t="str">
        <f t="shared" si="202"/>
        <v>O</v>
      </c>
      <c r="X381" s="42" t="str">
        <f t="shared" si="203"/>
        <v>O</v>
      </c>
      <c r="Z381">
        <v>53.5</v>
      </c>
      <c r="AA381" s="42" t="str">
        <f t="shared" si="204"/>
        <v>PHO/SAS</v>
      </c>
    </row>
    <row r="382" spans="1:27" ht="17.100000000000001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>
        <v>38</v>
      </c>
      <c r="F382">
        <v>27</v>
      </c>
      <c r="G382">
        <v>25</v>
      </c>
      <c r="H382">
        <v>20</v>
      </c>
      <c r="J382">
        <v>31</v>
      </c>
      <c r="K382">
        <v>29</v>
      </c>
      <c r="L382">
        <v>23</v>
      </c>
      <c r="M382">
        <v>19</v>
      </c>
      <c r="N382" s="2" t="s">
        <v>427</v>
      </c>
      <c r="O382" s="42">
        <f t="shared" si="194"/>
        <v>110</v>
      </c>
      <c r="P382" s="42">
        <f t="shared" si="195"/>
        <v>102</v>
      </c>
      <c r="Q382" s="42" t="str">
        <f t="shared" si="196"/>
        <v>HW</v>
      </c>
      <c r="R382" s="42" t="str">
        <f t="shared" si="197"/>
        <v>HL</v>
      </c>
      <c r="S382" s="42" t="str">
        <f t="shared" si="198"/>
        <v>HW</v>
      </c>
      <c r="T382" s="42" t="str">
        <f t="shared" si="199"/>
        <v>HW</v>
      </c>
      <c r="U382" s="42" t="str">
        <f t="shared" si="200"/>
        <v>O</v>
      </c>
      <c r="V382" s="42" t="str">
        <f t="shared" si="201"/>
        <v>O</v>
      </c>
      <c r="W382" s="42" t="str">
        <f t="shared" si="202"/>
        <v>U</v>
      </c>
      <c r="X382" s="42" t="str">
        <f t="shared" si="203"/>
        <v>U</v>
      </c>
      <c r="Z382">
        <v>53.5</v>
      </c>
      <c r="AA382" s="42" t="str">
        <f t="shared" si="204"/>
        <v>TOR/BKN</v>
      </c>
    </row>
    <row r="383" spans="1:27" ht="17.100000000000001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>
        <v>24</v>
      </c>
      <c r="F383">
        <v>31</v>
      </c>
      <c r="G383">
        <v>29</v>
      </c>
      <c r="H383">
        <v>25</v>
      </c>
      <c r="J383">
        <v>29</v>
      </c>
      <c r="K383">
        <v>28</v>
      </c>
      <c r="L383">
        <v>22</v>
      </c>
      <c r="M383">
        <v>27</v>
      </c>
      <c r="N383" s="2" t="s">
        <v>427</v>
      </c>
      <c r="O383" s="42">
        <f t="shared" si="194"/>
        <v>109</v>
      </c>
      <c r="P383" s="42">
        <f t="shared" si="195"/>
        <v>106</v>
      </c>
      <c r="Q383" s="42" t="str">
        <f t="shared" si="196"/>
        <v>HL</v>
      </c>
      <c r="R383" s="42" t="str">
        <f t="shared" si="197"/>
        <v>HW</v>
      </c>
      <c r="S383" s="42" t="str">
        <f t="shared" si="198"/>
        <v>HW</v>
      </c>
      <c r="T383" s="42" t="str">
        <f t="shared" si="199"/>
        <v>HL</v>
      </c>
      <c r="U383" s="42" t="str">
        <f t="shared" si="200"/>
        <v>U</v>
      </c>
      <c r="V383" s="42" t="str">
        <f t="shared" si="201"/>
        <v>O</v>
      </c>
      <c r="W383" s="42" t="str">
        <f t="shared" si="202"/>
        <v>U</v>
      </c>
      <c r="X383" s="42" t="str">
        <f t="shared" si="203"/>
        <v>U</v>
      </c>
      <c r="Z383">
        <v>55</v>
      </c>
      <c r="AA383" s="42" t="str">
        <f t="shared" si="204"/>
        <v>CHI/LAC</v>
      </c>
    </row>
    <row r="384" spans="1:27" ht="17.100000000000001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>
        <v>35</v>
      </c>
      <c r="F384">
        <v>34</v>
      </c>
      <c r="G384">
        <v>35</v>
      </c>
      <c r="H384">
        <v>24</v>
      </c>
      <c r="J384">
        <v>30</v>
      </c>
      <c r="K384">
        <v>24</v>
      </c>
      <c r="L384">
        <v>30</v>
      </c>
      <c r="M384">
        <v>27</v>
      </c>
      <c r="N384" s="2" t="s">
        <v>427</v>
      </c>
      <c r="O384" s="42">
        <f t="shared" si="194"/>
        <v>128</v>
      </c>
      <c r="P384" s="42">
        <f t="shared" si="195"/>
        <v>111</v>
      </c>
      <c r="Q384" s="42" t="str">
        <f t="shared" si="196"/>
        <v>HW</v>
      </c>
      <c r="R384" s="42" t="str">
        <f t="shared" si="197"/>
        <v>HW</v>
      </c>
      <c r="S384" s="42" t="str">
        <f t="shared" si="198"/>
        <v>HW</v>
      </c>
      <c r="T384" s="42" t="str">
        <f t="shared" si="199"/>
        <v>HL</v>
      </c>
      <c r="U384" s="42" t="str">
        <f t="shared" si="200"/>
        <v>O</v>
      </c>
      <c r="V384" s="42" t="str">
        <f t="shared" si="201"/>
        <v>U</v>
      </c>
      <c r="W384" s="42" t="str">
        <f t="shared" si="202"/>
        <v>O</v>
      </c>
      <c r="X384" s="42" t="str">
        <f t="shared" si="203"/>
        <v>U</v>
      </c>
      <c r="Z384">
        <v>60.5</v>
      </c>
      <c r="AA384" s="42" t="str">
        <f t="shared" si="204"/>
        <v>MEM/WAS</v>
      </c>
    </row>
    <row r="385" spans="1:27" ht="17.100000000000001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>
        <v>23</v>
      </c>
      <c r="F385">
        <v>27</v>
      </c>
      <c r="G385">
        <v>31</v>
      </c>
      <c r="H385">
        <v>31</v>
      </c>
      <c r="I385">
        <v>6</v>
      </c>
      <c r="J385">
        <v>37</v>
      </c>
      <c r="K385">
        <v>36</v>
      </c>
      <c r="L385">
        <v>18</v>
      </c>
      <c r="M385">
        <v>21</v>
      </c>
      <c r="N385" s="2">
        <v>10</v>
      </c>
      <c r="O385" s="42">
        <f t="shared" ref="O385:O407" si="205">SUM(E385:I385)</f>
        <v>118</v>
      </c>
      <c r="P385" s="42">
        <f t="shared" ref="P385:P407" si="206">SUM(J385:N385)</f>
        <v>122</v>
      </c>
      <c r="Q385" s="42" t="str">
        <f t="shared" ref="Q385:Q407" si="207">IF(E385=J385,"TT",IF(E385&gt;J385,"HW","HL"))</f>
        <v>HL</v>
      </c>
      <c r="R385" s="42" t="str">
        <f t="shared" ref="R385:R407" si="208">IF(F385=K385,"TT",IF(F385&gt;K385,"HW","HL"))</f>
        <v>HL</v>
      </c>
      <c r="S385" s="42" t="str">
        <f t="shared" ref="S385:S407" si="209">IF(G385=L385,"TT",IF(G385&gt;L385,"HW","HL"))</f>
        <v>HW</v>
      </c>
      <c r="T385" s="42" t="str">
        <f t="shared" ref="T385:T407" si="210">IF(H385=M385,"TT",IF(H385&gt;M385,"HW","HL"))</f>
        <v>HW</v>
      </c>
      <c r="U385" s="42" t="str">
        <f t="shared" ref="U385:U407" si="211">IF(SUM(E385,J385)=$Z385,"T",IF(SUM(E385,J385)&gt;$Z385,"O","U"))</f>
        <v>O</v>
      </c>
      <c r="V385" s="42" t="str">
        <f t="shared" ref="V385:V407" si="212">IF(SUM(F385,K385)=$Z385,"T",IF(SUM(F385,K385)&gt;$Z385,"O","U"))</f>
        <v>O</v>
      </c>
      <c r="W385" s="42" t="str">
        <f t="shared" ref="W385:W407" si="213">IF(SUM(G385,L385)=$Z385,"T",IF(SUM(G385,L385)&gt;$Z385,"O","U"))</f>
        <v>U</v>
      </c>
      <c r="X385" s="42" t="str">
        <f t="shared" ref="X385:X407" si="214">IF(SUM(H385,M385)=$Z385,"T",IF(SUM(H385,M385)&gt;$Z385,"O","U"))</f>
        <v>U</v>
      </c>
      <c r="Z385">
        <v>56</v>
      </c>
      <c r="AA385" s="42" t="str">
        <f t="shared" si="204"/>
        <v>DAL/MIA</v>
      </c>
    </row>
    <row r="386" spans="1:27" ht="17.100000000000001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>
        <v>26</v>
      </c>
      <c r="F386">
        <v>43</v>
      </c>
      <c r="G386">
        <v>33</v>
      </c>
      <c r="H386">
        <v>23</v>
      </c>
      <c r="J386">
        <v>20</v>
      </c>
      <c r="K386">
        <v>31</v>
      </c>
      <c r="L386">
        <v>28</v>
      </c>
      <c r="M386">
        <v>29</v>
      </c>
      <c r="N386" s="2" t="s">
        <v>427</v>
      </c>
      <c r="O386" s="42">
        <f t="shared" si="205"/>
        <v>125</v>
      </c>
      <c r="P386" s="42">
        <f t="shared" si="206"/>
        <v>108</v>
      </c>
      <c r="Q386" s="42" t="str">
        <f t="shared" si="207"/>
        <v>HW</v>
      </c>
      <c r="R386" s="42" t="str">
        <f t="shared" si="208"/>
        <v>HW</v>
      </c>
      <c r="S386" s="42" t="str">
        <f t="shared" si="209"/>
        <v>HW</v>
      </c>
      <c r="T386" s="42" t="str">
        <f t="shared" si="210"/>
        <v>HL</v>
      </c>
      <c r="U386" s="42" t="str">
        <f t="shared" si="211"/>
        <v>U</v>
      </c>
      <c r="V386" s="42" t="str">
        <f t="shared" si="212"/>
        <v>O</v>
      </c>
      <c r="W386" s="42" t="str">
        <f t="shared" si="213"/>
        <v>O</v>
      </c>
      <c r="X386" s="42" t="str">
        <f t="shared" si="214"/>
        <v>U</v>
      </c>
      <c r="Z386">
        <v>54.5</v>
      </c>
      <c r="AA386" s="42" t="str">
        <f t="shared" si="204"/>
        <v>MIL/CLE</v>
      </c>
    </row>
    <row r="387" spans="1:27" ht="17.100000000000001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>
        <v>27</v>
      </c>
      <c r="F387">
        <v>25</v>
      </c>
      <c r="G387">
        <v>30</v>
      </c>
      <c r="H387">
        <v>28</v>
      </c>
      <c r="J387">
        <v>20</v>
      </c>
      <c r="K387">
        <v>29</v>
      </c>
      <c r="L387">
        <v>19</v>
      </c>
      <c r="M387">
        <v>34</v>
      </c>
      <c r="N387" s="2" t="s">
        <v>427</v>
      </c>
      <c r="O387" s="42">
        <f t="shared" si="205"/>
        <v>110</v>
      </c>
      <c r="P387" s="42">
        <f t="shared" si="206"/>
        <v>102</v>
      </c>
      <c r="Q387" s="42" t="str">
        <f t="shared" si="207"/>
        <v>HW</v>
      </c>
      <c r="R387" s="42" t="str">
        <f t="shared" si="208"/>
        <v>HL</v>
      </c>
      <c r="S387" s="42" t="str">
        <f t="shared" si="209"/>
        <v>HW</v>
      </c>
      <c r="T387" s="42" t="str">
        <f t="shared" si="210"/>
        <v>HL</v>
      </c>
      <c r="U387" s="42" t="str">
        <f t="shared" si="211"/>
        <v>U</v>
      </c>
      <c r="V387" s="42" t="str">
        <f t="shared" si="212"/>
        <v>O</v>
      </c>
      <c r="W387" s="42" t="str">
        <f t="shared" si="213"/>
        <v>U</v>
      </c>
      <c r="X387" s="42" t="str">
        <f t="shared" si="214"/>
        <v>O</v>
      </c>
      <c r="Z387">
        <v>53</v>
      </c>
      <c r="AA387" s="42" t="str">
        <f t="shared" si="204"/>
        <v>DEN/OKC</v>
      </c>
    </row>
    <row r="388" spans="1:27" ht="17.100000000000001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>
        <v>32</v>
      </c>
      <c r="F388">
        <v>20</v>
      </c>
      <c r="G388">
        <v>23</v>
      </c>
      <c r="H388">
        <v>32</v>
      </c>
      <c r="J388">
        <v>30</v>
      </c>
      <c r="K388">
        <v>32</v>
      </c>
      <c r="L388">
        <v>26</v>
      </c>
      <c r="M388">
        <v>27</v>
      </c>
      <c r="N388" s="2" t="s">
        <v>427</v>
      </c>
      <c r="O388" s="42">
        <f t="shared" si="205"/>
        <v>107</v>
      </c>
      <c r="P388" s="42">
        <f t="shared" si="206"/>
        <v>115</v>
      </c>
      <c r="Q388" s="42" t="str">
        <f t="shared" si="207"/>
        <v>HW</v>
      </c>
      <c r="R388" s="42" t="str">
        <f t="shared" si="208"/>
        <v>HL</v>
      </c>
      <c r="S388" s="42" t="str">
        <f t="shared" si="209"/>
        <v>HL</v>
      </c>
      <c r="T388" s="42" t="str">
        <f t="shared" si="210"/>
        <v>HW</v>
      </c>
      <c r="U388" s="42" t="str">
        <f t="shared" si="211"/>
        <v>O</v>
      </c>
      <c r="V388" s="42" t="str">
        <f t="shared" si="212"/>
        <v>U</v>
      </c>
      <c r="W388" s="42" t="str">
        <f t="shared" si="213"/>
        <v>U</v>
      </c>
      <c r="X388" s="42" t="str">
        <f t="shared" si="214"/>
        <v>O</v>
      </c>
      <c r="Z388">
        <v>58.5</v>
      </c>
      <c r="AA388" s="42" t="str">
        <f t="shared" si="204"/>
        <v>HOU/DET</v>
      </c>
    </row>
    <row r="389" spans="1:27" ht="17.100000000000001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>
        <v>30</v>
      </c>
      <c r="F389">
        <v>27</v>
      </c>
      <c r="G389">
        <v>27</v>
      </c>
      <c r="H389">
        <v>35</v>
      </c>
      <c r="J389">
        <v>24</v>
      </c>
      <c r="K389">
        <v>34</v>
      </c>
      <c r="L389">
        <v>41</v>
      </c>
      <c r="M389">
        <v>31</v>
      </c>
      <c r="N389" s="2" t="s">
        <v>427</v>
      </c>
      <c r="O389" s="42">
        <f t="shared" si="205"/>
        <v>119</v>
      </c>
      <c r="P389" s="42">
        <f t="shared" si="206"/>
        <v>130</v>
      </c>
      <c r="Q389" s="42" t="str">
        <f t="shared" si="207"/>
        <v>HW</v>
      </c>
      <c r="R389" s="42" t="str">
        <f t="shared" si="208"/>
        <v>HL</v>
      </c>
      <c r="S389" s="42" t="str">
        <f t="shared" si="209"/>
        <v>HL</v>
      </c>
      <c r="T389" s="42" t="str">
        <f t="shared" si="210"/>
        <v>HW</v>
      </c>
      <c r="U389" s="42" t="str">
        <f t="shared" si="211"/>
        <v>U</v>
      </c>
      <c r="V389" s="42" t="str">
        <f t="shared" si="212"/>
        <v>O</v>
      </c>
      <c r="W389" s="42" t="str">
        <f t="shared" si="213"/>
        <v>O</v>
      </c>
      <c r="X389" s="42" t="str">
        <f t="shared" si="214"/>
        <v>O</v>
      </c>
      <c r="Z389">
        <v>56</v>
      </c>
      <c r="AA389" s="42" t="str">
        <f t="shared" si="204"/>
        <v>NO/ORL</v>
      </c>
    </row>
    <row r="390" spans="1:27" ht="17.100000000000001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>
        <v>33</v>
      </c>
      <c r="F390">
        <v>26</v>
      </c>
      <c r="G390">
        <v>13</v>
      </c>
      <c r="H390">
        <v>35</v>
      </c>
      <c r="J390">
        <v>20</v>
      </c>
      <c r="K390">
        <v>24</v>
      </c>
      <c r="L390">
        <v>22</v>
      </c>
      <c r="M390">
        <v>19</v>
      </c>
      <c r="N390" s="2" t="s">
        <v>427</v>
      </c>
      <c r="O390" s="42">
        <f t="shared" si="205"/>
        <v>107</v>
      </c>
      <c r="P390" s="42">
        <f t="shared" si="206"/>
        <v>85</v>
      </c>
      <c r="Q390" s="42" t="str">
        <f t="shared" si="207"/>
        <v>HW</v>
      </c>
      <c r="R390" s="42" t="str">
        <f t="shared" si="208"/>
        <v>HW</v>
      </c>
      <c r="S390" s="42" t="str">
        <f t="shared" si="209"/>
        <v>HL</v>
      </c>
      <c r="T390" s="42" t="str">
        <f t="shared" si="210"/>
        <v>HW</v>
      </c>
      <c r="U390" s="42" t="str">
        <f t="shared" si="211"/>
        <v>U</v>
      </c>
      <c r="V390" s="42" t="str">
        <f t="shared" si="212"/>
        <v>U</v>
      </c>
      <c r="W390" s="42" t="str">
        <f t="shared" si="213"/>
        <v>U</v>
      </c>
      <c r="X390" s="42" t="str">
        <f t="shared" si="214"/>
        <v>U</v>
      </c>
      <c r="Z390">
        <v>54.5</v>
      </c>
      <c r="AA390" s="42" t="str">
        <f t="shared" si="204"/>
        <v>IND/CHA</v>
      </c>
    </row>
    <row r="391" spans="1:27" ht="17.100000000000001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>
        <v>25</v>
      </c>
      <c r="F391">
        <v>23</v>
      </c>
      <c r="G391">
        <v>30</v>
      </c>
      <c r="H391">
        <v>18</v>
      </c>
      <c r="J391">
        <v>24</v>
      </c>
      <c r="K391">
        <v>31</v>
      </c>
      <c r="L391">
        <v>27</v>
      </c>
      <c r="M391">
        <v>19</v>
      </c>
      <c r="N391" s="2" t="s">
        <v>427</v>
      </c>
      <c r="O391" s="42">
        <f t="shared" si="205"/>
        <v>96</v>
      </c>
      <c r="P391" s="42">
        <f t="shared" si="206"/>
        <v>101</v>
      </c>
      <c r="Q391" s="42" t="str">
        <f t="shared" si="207"/>
        <v>HW</v>
      </c>
      <c r="R391" s="42" t="str">
        <f t="shared" si="208"/>
        <v>HL</v>
      </c>
      <c r="S391" s="42" t="str">
        <f t="shared" si="209"/>
        <v>HW</v>
      </c>
      <c r="T391" s="42" t="str">
        <f t="shared" si="210"/>
        <v>HL</v>
      </c>
      <c r="U391" s="42" t="str">
        <f t="shared" si="211"/>
        <v>U</v>
      </c>
      <c r="V391" s="42" t="str">
        <f t="shared" si="212"/>
        <v>U</v>
      </c>
      <c r="W391" s="42" t="str">
        <f t="shared" si="213"/>
        <v>U</v>
      </c>
      <c r="X391" s="42" t="str">
        <f t="shared" si="214"/>
        <v>U</v>
      </c>
      <c r="Z391">
        <v>59</v>
      </c>
      <c r="AA391" s="42" t="str">
        <f t="shared" si="204"/>
        <v>ATL/LAL</v>
      </c>
    </row>
    <row r="392" spans="1:27" ht="17.100000000000001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>
        <v>28</v>
      </c>
      <c r="F392">
        <v>29</v>
      </c>
      <c r="G392">
        <v>26</v>
      </c>
      <c r="H392">
        <v>26</v>
      </c>
      <c r="J392">
        <v>23</v>
      </c>
      <c r="K392">
        <v>20</v>
      </c>
      <c r="L392">
        <v>23</v>
      </c>
      <c r="M392">
        <v>23</v>
      </c>
      <c r="N392" s="2" t="s">
        <v>427</v>
      </c>
      <c r="O392" s="42">
        <f t="shared" si="205"/>
        <v>109</v>
      </c>
      <c r="P392" s="42">
        <f t="shared" si="206"/>
        <v>89</v>
      </c>
      <c r="Q392" s="42" t="str">
        <f t="shared" si="207"/>
        <v>HW</v>
      </c>
      <c r="R392" s="42" t="str">
        <f t="shared" si="208"/>
        <v>HW</v>
      </c>
      <c r="S392" s="42" t="str">
        <f t="shared" si="209"/>
        <v>HW</v>
      </c>
      <c r="T392" s="42" t="str">
        <f t="shared" si="210"/>
        <v>HW</v>
      </c>
      <c r="U392" s="42" t="str">
        <f t="shared" si="211"/>
        <v>U</v>
      </c>
      <c r="V392" s="42" t="str">
        <f t="shared" si="212"/>
        <v>U</v>
      </c>
      <c r="W392" s="42" t="str">
        <f t="shared" si="213"/>
        <v>U</v>
      </c>
      <c r="X392" s="42" t="str">
        <f t="shared" si="214"/>
        <v>U</v>
      </c>
      <c r="Z392">
        <v>53.5</v>
      </c>
      <c r="AA392" s="42" t="str">
        <f t="shared" si="204"/>
        <v>BKN/PHI</v>
      </c>
    </row>
    <row r="393" spans="1:27" ht="17.100000000000001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>
        <v>33</v>
      </c>
      <c r="F393">
        <v>34</v>
      </c>
      <c r="G393">
        <v>20</v>
      </c>
      <c r="H393">
        <v>24</v>
      </c>
      <c r="J393">
        <v>22</v>
      </c>
      <c r="K393">
        <v>29</v>
      </c>
      <c r="L393">
        <v>33</v>
      </c>
      <c r="M393">
        <v>21</v>
      </c>
      <c r="N393" s="2" t="s">
        <v>427</v>
      </c>
      <c r="O393" s="42">
        <f t="shared" si="205"/>
        <v>111</v>
      </c>
      <c r="P393" s="42">
        <f t="shared" si="206"/>
        <v>105</v>
      </c>
      <c r="Q393" s="42" t="str">
        <f t="shared" si="207"/>
        <v>HW</v>
      </c>
      <c r="R393" s="42" t="str">
        <f t="shared" si="208"/>
        <v>HW</v>
      </c>
      <c r="S393" s="42" t="str">
        <f t="shared" si="209"/>
        <v>HL</v>
      </c>
      <c r="T393" s="42" t="str">
        <f t="shared" si="210"/>
        <v>HW</v>
      </c>
      <c r="U393" s="42" t="str">
        <f t="shared" si="211"/>
        <v>O</v>
      </c>
      <c r="V393" s="42" t="str">
        <f t="shared" si="212"/>
        <v>O</v>
      </c>
      <c r="W393" s="42" t="str">
        <f t="shared" si="213"/>
        <v>U</v>
      </c>
      <c r="X393" s="42" t="str">
        <f t="shared" si="214"/>
        <v>U</v>
      </c>
      <c r="Z393">
        <v>53.5</v>
      </c>
      <c r="AA393" s="42" t="str">
        <f t="shared" si="204"/>
        <v>DEN/NYK</v>
      </c>
    </row>
    <row r="394" spans="1:27" ht="17.100000000000001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>
        <v>18</v>
      </c>
      <c r="F394">
        <v>24</v>
      </c>
      <c r="G394">
        <v>17</v>
      </c>
      <c r="H394">
        <v>20</v>
      </c>
      <c r="J394">
        <v>26</v>
      </c>
      <c r="K394">
        <v>25</v>
      </c>
      <c r="L394">
        <v>28</v>
      </c>
      <c r="M394">
        <v>21</v>
      </c>
      <c r="N394" s="2" t="s">
        <v>427</v>
      </c>
      <c r="O394" s="42">
        <f t="shared" si="205"/>
        <v>79</v>
      </c>
      <c r="P394" s="42">
        <f t="shared" si="206"/>
        <v>100</v>
      </c>
      <c r="Q394" s="42" t="str">
        <f t="shared" si="207"/>
        <v>HL</v>
      </c>
      <c r="R394" s="42" t="str">
        <f t="shared" si="208"/>
        <v>HL</v>
      </c>
      <c r="S394" s="42" t="str">
        <f t="shared" si="209"/>
        <v>HL</v>
      </c>
      <c r="T394" s="42" t="str">
        <f t="shared" si="210"/>
        <v>HL</v>
      </c>
      <c r="U394" s="42" t="str">
        <f t="shared" si="211"/>
        <v>U</v>
      </c>
      <c r="V394" s="42" t="str">
        <f t="shared" si="212"/>
        <v>U</v>
      </c>
      <c r="W394" s="42" t="str">
        <f t="shared" si="213"/>
        <v>U</v>
      </c>
      <c r="X394" s="42" t="str">
        <f t="shared" si="214"/>
        <v>U</v>
      </c>
      <c r="Z394">
        <v>54</v>
      </c>
      <c r="AA394" s="42" t="str">
        <f t="shared" si="204"/>
        <v>GS/SAC</v>
      </c>
    </row>
    <row r="395" spans="1:27" ht="17.100000000000001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>
        <v>31</v>
      </c>
      <c r="F395">
        <v>30</v>
      </c>
      <c r="G395">
        <v>30</v>
      </c>
      <c r="H395">
        <v>28</v>
      </c>
      <c r="J395">
        <v>43</v>
      </c>
      <c r="K395">
        <v>24</v>
      </c>
      <c r="L395">
        <v>29</v>
      </c>
      <c r="M395">
        <v>37</v>
      </c>
      <c r="N395" s="2" t="s">
        <v>427</v>
      </c>
      <c r="O395" s="42">
        <f t="shared" si="205"/>
        <v>119</v>
      </c>
      <c r="P395" s="42">
        <f t="shared" si="206"/>
        <v>133</v>
      </c>
      <c r="Q395" s="42" t="str">
        <f t="shared" si="207"/>
        <v>HL</v>
      </c>
      <c r="R395" s="42" t="str">
        <f t="shared" si="208"/>
        <v>HW</v>
      </c>
      <c r="S395" s="42" t="str">
        <f t="shared" si="209"/>
        <v>HW</v>
      </c>
      <c r="T395" s="42" t="str">
        <f t="shared" si="210"/>
        <v>HL</v>
      </c>
      <c r="U395" s="42" t="str">
        <f t="shared" si="211"/>
        <v>O</v>
      </c>
      <c r="V395" s="42" t="str">
        <f t="shared" si="212"/>
        <v>U</v>
      </c>
      <c r="W395" s="42" t="str">
        <f t="shared" si="213"/>
        <v>U</v>
      </c>
      <c r="X395" s="42" t="str">
        <f t="shared" si="214"/>
        <v>O</v>
      </c>
      <c r="Z395">
        <v>59.5</v>
      </c>
      <c r="AA395" s="42" t="str">
        <f t="shared" si="204"/>
        <v>DET/WAS</v>
      </c>
    </row>
    <row r="396" spans="1:27" ht="17.100000000000001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>
        <v>37</v>
      </c>
      <c r="F396">
        <v>29</v>
      </c>
      <c r="G396">
        <v>38</v>
      </c>
      <c r="H396">
        <v>29</v>
      </c>
      <c r="J396">
        <v>29</v>
      </c>
      <c r="K396">
        <v>25</v>
      </c>
      <c r="L396">
        <v>30</v>
      </c>
      <c r="M396">
        <v>29</v>
      </c>
      <c r="N396" s="2" t="s">
        <v>427</v>
      </c>
      <c r="O396" s="42">
        <f t="shared" si="205"/>
        <v>133</v>
      </c>
      <c r="P396" s="42">
        <f t="shared" si="206"/>
        <v>113</v>
      </c>
      <c r="Q396" s="42" t="str">
        <f t="shared" si="207"/>
        <v>HW</v>
      </c>
      <c r="R396" s="42" t="str">
        <f t="shared" si="208"/>
        <v>HW</v>
      </c>
      <c r="S396" s="42" t="str">
        <f t="shared" si="209"/>
        <v>HW</v>
      </c>
      <c r="T396" s="42" t="str">
        <f t="shared" si="210"/>
        <v>TT</v>
      </c>
      <c r="U396" s="42" t="str">
        <f t="shared" si="211"/>
        <v>O</v>
      </c>
      <c r="V396" s="42" t="str">
        <f t="shared" si="212"/>
        <v>O</v>
      </c>
      <c r="W396" s="42" t="str">
        <f t="shared" si="213"/>
        <v>O</v>
      </c>
      <c r="X396" s="42" t="str">
        <f t="shared" si="214"/>
        <v>O</v>
      </c>
      <c r="Z396">
        <v>53.5</v>
      </c>
      <c r="AA396" s="42" t="str">
        <f t="shared" ref="AA396:AA459" si="215">C396&amp;"/"&amp;D396</f>
        <v>TOR/CLE</v>
      </c>
    </row>
    <row r="397" spans="1:27" ht="17.100000000000001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>
        <v>21</v>
      </c>
      <c r="F397">
        <v>32</v>
      </c>
      <c r="G397">
        <v>30</v>
      </c>
      <c r="H397">
        <v>26</v>
      </c>
      <c r="J397">
        <v>35</v>
      </c>
      <c r="K397">
        <v>37</v>
      </c>
      <c r="L397">
        <v>17</v>
      </c>
      <c r="M397">
        <v>18</v>
      </c>
      <c r="N397" s="2" t="s">
        <v>427</v>
      </c>
      <c r="O397" s="42">
        <f t="shared" si="205"/>
        <v>109</v>
      </c>
      <c r="P397" s="42">
        <f t="shared" si="206"/>
        <v>107</v>
      </c>
      <c r="Q397" s="42" t="str">
        <f t="shared" si="207"/>
        <v>HL</v>
      </c>
      <c r="R397" s="42" t="str">
        <f t="shared" si="208"/>
        <v>HL</v>
      </c>
      <c r="S397" s="42" t="str">
        <f t="shared" si="209"/>
        <v>HW</v>
      </c>
      <c r="T397" s="42" t="str">
        <f t="shared" si="210"/>
        <v>HW</v>
      </c>
      <c r="U397" s="42" t="str">
        <f t="shared" si="211"/>
        <v>U</v>
      </c>
      <c r="V397" s="42" t="str">
        <f t="shared" si="212"/>
        <v>O</v>
      </c>
      <c r="W397" s="42" t="str">
        <f t="shared" si="213"/>
        <v>U</v>
      </c>
      <c r="X397" s="42" t="str">
        <f t="shared" si="214"/>
        <v>U</v>
      </c>
      <c r="Z397">
        <v>57</v>
      </c>
      <c r="AA397" s="42" t="str">
        <f t="shared" si="215"/>
        <v>HOU/SAS</v>
      </c>
    </row>
    <row r="398" spans="1:27" ht="17.100000000000001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>
        <v>22</v>
      </c>
      <c r="F398">
        <v>34</v>
      </c>
      <c r="G398">
        <v>20</v>
      </c>
      <c r="H398">
        <v>40</v>
      </c>
      <c r="J398">
        <v>36</v>
      </c>
      <c r="K398">
        <v>23</v>
      </c>
      <c r="L398">
        <v>27</v>
      </c>
      <c r="M398">
        <v>34</v>
      </c>
      <c r="N398" s="2" t="s">
        <v>427</v>
      </c>
      <c r="O398" s="42">
        <f t="shared" si="205"/>
        <v>116</v>
      </c>
      <c r="P398" s="42">
        <f t="shared" si="206"/>
        <v>120</v>
      </c>
      <c r="Q398" s="42" t="str">
        <f t="shared" si="207"/>
        <v>HL</v>
      </c>
      <c r="R398" s="42" t="str">
        <f t="shared" si="208"/>
        <v>HW</v>
      </c>
      <c r="S398" s="42" t="str">
        <f t="shared" si="209"/>
        <v>HL</v>
      </c>
      <c r="T398" s="42" t="str">
        <f t="shared" si="210"/>
        <v>HW</v>
      </c>
      <c r="U398" s="42" t="str">
        <f t="shared" si="211"/>
        <v>U</v>
      </c>
      <c r="V398" s="42" t="str">
        <f t="shared" si="212"/>
        <v>U</v>
      </c>
      <c r="W398" s="42" t="str">
        <f t="shared" si="213"/>
        <v>U</v>
      </c>
      <c r="X398" s="42" t="str">
        <f t="shared" si="214"/>
        <v>O</v>
      </c>
      <c r="Z398">
        <v>58.5</v>
      </c>
      <c r="AA398" s="42" t="str">
        <f t="shared" si="215"/>
        <v>MIL/DAL</v>
      </c>
    </row>
    <row r="399" spans="1:27" ht="17.100000000000001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>
        <v>16</v>
      </c>
      <c r="F399">
        <v>33</v>
      </c>
      <c r="G399">
        <v>33</v>
      </c>
      <c r="H399">
        <v>27</v>
      </c>
      <c r="J399">
        <v>37</v>
      </c>
      <c r="K399">
        <v>31</v>
      </c>
      <c r="L399">
        <v>22</v>
      </c>
      <c r="M399">
        <v>16</v>
      </c>
      <c r="N399" s="2" t="s">
        <v>427</v>
      </c>
      <c r="O399" s="42">
        <f t="shared" si="205"/>
        <v>109</v>
      </c>
      <c r="P399" s="42">
        <f t="shared" si="206"/>
        <v>106</v>
      </c>
      <c r="Q399" s="42" t="str">
        <f t="shared" si="207"/>
        <v>HL</v>
      </c>
      <c r="R399" s="42" t="str">
        <f t="shared" si="208"/>
        <v>HW</v>
      </c>
      <c r="S399" s="42" t="str">
        <f t="shared" si="209"/>
        <v>HW</v>
      </c>
      <c r="T399" s="42" t="str">
        <f t="shared" si="210"/>
        <v>HW</v>
      </c>
      <c r="U399" s="42" t="str">
        <f t="shared" si="211"/>
        <v>U</v>
      </c>
      <c r="V399" s="42" t="str">
        <f t="shared" si="212"/>
        <v>O</v>
      </c>
      <c r="W399" s="42" t="str">
        <f t="shared" si="213"/>
        <v>O</v>
      </c>
      <c r="X399" s="42" t="str">
        <f t="shared" si="214"/>
        <v>U</v>
      </c>
      <c r="Z399">
        <v>53.5</v>
      </c>
      <c r="AA399" s="42" t="str">
        <f t="shared" si="215"/>
        <v>OKC/CHI</v>
      </c>
    </row>
    <row r="400" spans="1:27" ht="17.100000000000001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>
        <v>36</v>
      </c>
      <c r="F400">
        <v>37</v>
      </c>
      <c r="G400">
        <v>22</v>
      </c>
      <c r="H400">
        <v>23</v>
      </c>
      <c r="J400">
        <v>32</v>
      </c>
      <c r="K400">
        <v>26</v>
      </c>
      <c r="L400">
        <v>28</v>
      </c>
      <c r="M400">
        <v>25</v>
      </c>
      <c r="N400" s="2" t="s">
        <v>427</v>
      </c>
      <c r="O400" s="42">
        <f t="shared" si="205"/>
        <v>118</v>
      </c>
      <c r="P400" s="42">
        <f t="shared" si="206"/>
        <v>111</v>
      </c>
      <c r="Q400" s="42" t="str">
        <f t="shared" si="207"/>
        <v>HW</v>
      </c>
      <c r="R400" s="42" t="str">
        <f t="shared" si="208"/>
        <v>HW</v>
      </c>
      <c r="S400" s="42" t="str">
        <f t="shared" si="209"/>
        <v>HL</v>
      </c>
      <c r="T400" s="42" t="str">
        <f t="shared" si="210"/>
        <v>HL</v>
      </c>
      <c r="U400" s="42" t="str">
        <f t="shared" si="211"/>
        <v>O</v>
      </c>
      <c r="V400" s="42" t="str">
        <f t="shared" si="212"/>
        <v>O</v>
      </c>
      <c r="W400" s="42" t="str">
        <f t="shared" si="213"/>
        <v>U</v>
      </c>
      <c r="X400" s="42" t="str">
        <f t="shared" si="214"/>
        <v>U</v>
      </c>
      <c r="Z400">
        <v>56</v>
      </c>
      <c r="AA400" s="42" t="str">
        <f t="shared" si="215"/>
        <v>MEM/MIA</v>
      </c>
    </row>
    <row r="401" spans="1:27" ht="17.100000000000001" x14ac:dyDescent="0.45">
      <c r="A401" s="42">
        <v>191217</v>
      </c>
      <c r="B401" s="44">
        <v>0.45833333333333331</v>
      </c>
      <c r="C401" s="42" t="s">
        <v>404</v>
      </c>
      <c r="D401" s="42" t="s">
        <v>417</v>
      </c>
      <c r="E401">
        <v>33</v>
      </c>
      <c r="F401">
        <v>34</v>
      </c>
      <c r="G401">
        <v>21</v>
      </c>
      <c r="H401">
        <v>22</v>
      </c>
      <c r="J401">
        <v>25</v>
      </c>
      <c r="K401">
        <v>34</v>
      </c>
      <c r="L401">
        <v>31</v>
      </c>
      <c r="M401">
        <v>21</v>
      </c>
      <c r="N401" s="2" t="s">
        <v>427</v>
      </c>
      <c r="O401" s="42">
        <f t="shared" si="205"/>
        <v>110</v>
      </c>
      <c r="P401" s="42">
        <f t="shared" si="206"/>
        <v>111</v>
      </c>
      <c r="Q401" s="42" t="str">
        <f t="shared" si="207"/>
        <v>HW</v>
      </c>
      <c r="R401" s="42" t="str">
        <f t="shared" si="208"/>
        <v>TT</v>
      </c>
      <c r="S401" s="42" t="str">
        <f t="shared" si="209"/>
        <v>HL</v>
      </c>
      <c r="T401" s="42" t="str">
        <f t="shared" si="210"/>
        <v>HW</v>
      </c>
      <c r="U401" s="42" t="str">
        <f t="shared" si="211"/>
        <v>T</v>
      </c>
      <c r="V401" s="42" t="str">
        <f t="shared" si="212"/>
        <v>O</v>
      </c>
      <c r="W401" s="42" t="str">
        <f t="shared" si="213"/>
        <v>U</v>
      </c>
      <c r="X401" s="42" t="str">
        <f t="shared" si="214"/>
        <v>U</v>
      </c>
      <c r="Z401">
        <v>58</v>
      </c>
      <c r="AA401" s="42" t="str">
        <f t="shared" si="215"/>
        <v>PHO/POR</v>
      </c>
    </row>
    <row r="402" spans="1:27" ht="17.100000000000001" x14ac:dyDescent="0.45">
      <c r="A402" s="42">
        <v>191218</v>
      </c>
      <c r="B402" s="44">
        <v>0.375</v>
      </c>
      <c r="C402" s="42" t="s">
        <v>400</v>
      </c>
      <c r="D402" s="42" t="s">
        <v>419</v>
      </c>
      <c r="E402">
        <v>24</v>
      </c>
      <c r="F402">
        <v>26</v>
      </c>
      <c r="G402">
        <v>28</v>
      </c>
      <c r="H402">
        <v>27</v>
      </c>
      <c r="J402">
        <v>28</v>
      </c>
      <c r="K402">
        <v>24</v>
      </c>
      <c r="L402">
        <v>24</v>
      </c>
      <c r="M402">
        <v>26</v>
      </c>
      <c r="N402" s="2" t="s">
        <v>427</v>
      </c>
      <c r="O402" s="42">
        <f t="shared" si="205"/>
        <v>105</v>
      </c>
      <c r="P402" s="42">
        <f t="shared" si="206"/>
        <v>102</v>
      </c>
      <c r="Q402" s="42" t="str">
        <f t="shared" si="207"/>
        <v>HL</v>
      </c>
      <c r="R402" s="42" t="str">
        <f t="shared" si="208"/>
        <v>HW</v>
      </c>
      <c r="S402" s="42" t="str">
        <f t="shared" si="209"/>
        <v>HW</v>
      </c>
      <c r="T402" s="42" t="str">
        <f t="shared" si="210"/>
        <v>HW</v>
      </c>
      <c r="U402" s="42" t="str">
        <f t="shared" si="211"/>
        <v>U</v>
      </c>
      <c r="V402" s="42" t="str">
        <f t="shared" si="212"/>
        <v>U</v>
      </c>
      <c r="W402" s="42" t="str">
        <f t="shared" si="213"/>
        <v>U</v>
      </c>
      <c r="X402" s="42" t="str">
        <f t="shared" si="214"/>
        <v>U</v>
      </c>
      <c r="Z402">
        <v>54.5</v>
      </c>
      <c r="AA402" s="42" t="str">
        <f t="shared" si="215"/>
        <v>IND/LAL</v>
      </c>
    </row>
    <row r="403" spans="1:27" ht="17.100000000000001" x14ac:dyDescent="0.45">
      <c r="A403" s="42">
        <v>191218</v>
      </c>
      <c r="B403" s="44">
        <v>0.375</v>
      </c>
      <c r="C403" s="42" t="s">
        <v>409</v>
      </c>
      <c r="D403" s="42" t="s">
        <v>416</v>
      </c>
      <c r="E403">
        <v>26</v>
      </c>
      <c r="F403">
        <v>27</v>
      </c>
      <c r="G403">
        <v>27</v>
      </c>
      <c r="H403">
        <v>30</v>
      </c>
      <c r="J403">
        <v>21</v>
      </c>
      <c r="K403">
        <v>26</v>
      </c>
      <c r="L403">
        <v>32</v>
      </c>
      <c r="M403">
        <v>23</v>
      </c>
      <c r="N403" s="2" t="s">
        <v>427</v>
      </c>
      <c r="O403" s="42">
        <f t="shared" si="205"/>
        <v>110</v>
      </c>
      <c r="P403" s="42">
        <f t="shared" si="206"/>
        <v>102</v>
      </c>
      <c r="Q403" s="42" t="str">
        <f t="shared" si="207"/>
        <v>HW</v>
      </c>
      <c r="R403" s="42" t="str">
        <f t="shared" si="208"/>
        <v>HW</v>
      </c>
      <c r="S403" s="42" t="str">
        <f t="shared" si="209"/>
        <v>HL</v>
      </c>
      <c r="T403" s="42" t="str">
        <f t="shared" si="210"/>
        <v>HW</v>
      </c>
      <c r="U403" s="42" t="str">
        <f t="shared" si="211"/>
        <v>U</v>
      </c>
      <c r="V403" s="42" t="str">
        <f t="shared" si="212"/>
        <v>U</v>
      </c>
      <c r="W403" s="42" t="str">
        <f t="shared" si="213"/>
        <v>O</v>
      </c>
      <c r="X403" s="42" t="str">
        <f t="shared" si="214"/>
        <v>U</v>
      </c>
      <c r="Z403">
        <v>54</v>
      </c>
      <c r="AA403" s="42" t="str">
        <f t="shared" si="215"/>
        <v>CHA/SAC</v>
      </c>
    </row>
    <row r="404" spans="1:27" ht="17.100000000000001" x14ac:dyDescent="0.45">
      <c r="A404" s="42">
        <v>191218</v>
      </c>
      <c r="B404" s="44">
        <v>0.39583333333333331</v>
      </c>
      <c r="C404" s="42" t="s">
        <v>399</v>
      </c>
      <c r="D404" s="42" t="s">
        <v>410</v>
      </c>
      <c r="E404">
        <v>41</v>
      </c>
      <c r="F404">
        <v>36</v>
      </c>
      <c r="G404">
        <v>32</v>
      </c>
      <c r="H404">
        <v>34</v>
      </c>
      <c r="J404">
        <v>27</v>
      </c>
      <c r="K404">
        <v>26</v>
      </c>
      <c r="L404">
        <v>31</v>
      </c>
      <c r="M404">
        <v>36</v>
      </c>
      <c r="N404" s="2" t="s">
        <v>427</v>
      </c>
      <c r="O404" s="42">
        <f t="shared" si="205"/>
        <v>143</v>
      </c>
      <c r="P404" s="42">
        <f t="shared" si="206"/>
        <v>120</v>
      </c>
      <c r="Q404" s="42" t="str">
        <f t="shared" si="207"/>
        <v>HW</v>
      </c>
      <c r="R404" s="42" t="str">
        <f t="shared" si="208"/>
        <v>HW</v>
      </c>
      <c r="S404" s="42" t="str">
        <f t="shared" si="209"/>
        <v>HW</v>
      </c>
      <c r="T404" s="42" t="str">
        <f t="shared" si="210"/>
        <v>HL</v>
      </c>
      <c r="U404" s="42" t="str">
        <f t="shared" si="211"/>
        <v>O</v>
      </c>
      <c r="V404" s="42" t="str">
        <f t="shared" si="212"/>
        <v>O</v>
      </c>
      <c r="W404" s="42" t="str">
        <f t="shared" si="213"/>
        <v>O</v>
      </c>
      <c r="X404" s="42" t="str">
        <f t="shared" si="214"/>
        <v>O</v>
      </c>
      <c r="Z404">
        <v>58</v>
      </c>
      <c r="AA404" s="42" t="str">
        <f t="shared" si="215"/>
        <v>NYK/ATL</v>
      </c>
    </row>
    <row r="405" spans="1:27" ht="17.100000000000001" x14ac:dyDescent="0.45">
      <c r="A405" s="42">
        <v>191218</v>
      </c>
      <c r="B405" s="44">
        <v>0.41666666666666669</v>
      </c>
      <c r="C405" s="42" t="s">
        <v>398</v>
      </c>
      <c r="D405" s="42" t="s">
        <v>407</v>
      </c>
      <c r="E405">
        <v>21</v>
      </c>
      <c r="F405">
        <v>14</v>
      </c>
      <c r="G405">
        <v>29</v>
      </c>
      <c r="H405">
        <v>29</v>
      </c>
      <c r="I405">
        <v>8</v>
      </c>
      <c r="J405">
        <v>21</v>
      </c>
      <c r="K405">
        <v>21</v>
      </c>
      <c r="L405">
        <v>19</v>
      </c>
      <c r="M405">
        <v>32</v>
      </c>
      <c r="N405" s="2">
        <v>15</v>
      </c>
      <c r="O405" s="42">
        <f t="shared" si="205"/>
        <v>101</v>
      </c>
      <c r="P405" s="42">
        <f t="shared" si="206"/>
        <v>108</v>
      </c>
      <c r="Q405" s="42" t="str">
        <f t="shared" si="207"/>
        <v>TT</v>
      </c>
      <c r="R405" s="42" t="str">
        <f t="shared" si="208"/>
        <v>HL</v>
      </c>
      <c r="S405" s="42" t="str">
        <f t="shared" si="209"/>
        <v>HW</v>
      </c>
      <c r="T405" s="42" t="str">
        <f t="shared" si="210"/>
        <v>HL</v>
      </c>
      <c r="U405" s="42" t="str">
        <f t="shared" si="211"/>
        <v>U</v>
      </c>
      <c r="V405" s="42" t="str">
        <f t="shared" si="212"/>
        <v>U</v>
      </c>
      <c r="W405" s="42" t="str">
        <f t="shared" si="213"/>
        <v>U</v>
      </c>
      <c r="X405" s="42" t="str">
        <f t="shared" si="214"/>
        <v>O</v>
      </c>
      <c r="Z405">
        <v>56</v>
      </c>
      <c r="AA405" s="42" t="str">
        <f t="shared" si="215"/>
        <v>NO/BKN</v>
      </c>
    </row>
    <row r="406" spans="1:27" ht="17.100000000000001" x14ac:dyDescent="0.45">
      <c r="A406" s="42">
        <v>191218</v>
      </c>
      <c r="B406" s="44">
        <v>0.45833333333333331</v>
      </c>
      <c r="C406" s="42" t="s">
        <v>405</v>
      </c>
      <c r="D406" s="42" t="s">
        <v>424</v>
      </c>
      <c r="E406">
        <v>26</v>
      </c>
      <c r="F406">
        <v>32</v>
      </c>
      <c r="G406">
        <v>24</v>
      </c>
      <c r="H406">
        <v>27</v>
      </c>
      <c r="J406">
        <v>20</v>
      </c>
      <c r="K406">
        <v>27</v>
      </c>
      <c r="L406">
        <v>24</v>
      </c>
      <c r="M406">
        <v>31</v>
      </c>
      <c r="N406" s="2" t="s">
        <v>427</v>
      </c>
      <c r="O406" s="42">
        <f t="shared" si="205"/>
        <v>109</v>
      </c>
      <c r="P406" s="42">
        <f t="shared" si="206"/>
        <v>102</v>
      </c>
      <c r="Q406" s="42" t="str">
        <f t="shared" si="207"/>
        <v>HW</v>
      </c>
      <c r="R406" s="42" t="str">
        <f t="shared" si="208"/>
        <v>HW</v>
      </c>
      <c r="S406" s="42" t="str">
        <f t="shared" si="209"/>
        <v>TT</v>
      </c>
      <c r="T406" s="42" t="str">
        <f t="shared" si="210"/>
        <v>HL</v>
      </c>
      <c r="U406" s="42" t="str">
        <f t="shared" si="211"/>
        <v>U</v>
      </c>
      <c r="V406" s="42" t="str">
        <f t="shared" si="212"/>
        <v>O</v>
      </c>
      <c r="W406" s="42" t="str">
        <f t="shared" si="213"/>
        <v>U</v>
      </c>
      <c r="X406" s="42" t="str">
        <f t="shared" si="214"/>
        <v>O</v>
      </c>
      <c r="Z406">
        <v>53.5</v>
      </c>
      <c r="AA406" s="42" t="str">
        <f t="shared" si="215"/>
        <v>UTA/ORL</v>
      </c>
    </row>
    <row r="407" spans="1:27" ht="17.100000000000001" x14ac:dyDescent="0.45">
      <c r="A407" s="42">
        <v>191218</v>
      </c>
      <c r="B407" s="44">
        <v>0.52083333333333337</v>
      </c>
      <c r="C407" s="42" t="s">
        <v>415</v>
      </c>
      <c r="D407" s="42" t="s">
        <v>404</v>
      </c>
      <c r="E407">
        <v>31</v>
      </c>
      <c r="F407">
        <v>23</v>
      </c>
      <c r="G407">
        <v>36</v>
      </c>
      <c r="H407">
        <v>30</v>
      </c>
      <c r="J407">
        <v>23</v>
      </c>
      <c r="K407">
        <v>21</v>
      </c>
      <c r="L407">
        <v>25</v>
      </c>
      <c r="M407">
        <v>30</v>
      </c>
      <c r="N407" s="2" t="s">
        <v>427</v>
      </c>
      <c r="O407" s="42">
        <f t="shared" si="205"/>
        <v>120</v>
      </c>
      <c r="P407" s="42">
        <f t="shared" si="206"/>
        <v>99</v>
      </c>
      <c r="Q407" s="42" t="str">
        <f t="shared" si="207"/>
        <v>HW</v>
      </c>
      <c r="R407" s="42" t="str">
        <f t="shared" si="208"/>
        <v>HW</v>
      </c>
      <c r="S407" s="42" t="str">
        <f t="shared" si="209"/>
        <v>HW</v>
      </c>
      <c r="T407" s="42" t="str">
        <f t="shared" si="210"/>
        <v>TT</v>
      </c>
      <c r="U407" s="42" t="str">
        <f t="shared" si="211"/>
        <v>U</v>
      </c>
      <c r="V407" s="42" t="str">
        <f t="shared" si="212"/>
        <v>U</v>
      </c>
      <c r="W407" s="42" t="str">
        <f t="shared" si="213"/>
        <v>O</v>
      </c>
      <c r="X407" s="42" t="str">
        <f t="shared" si="214"/>
        <v>O</v>
      </c>
      <c r="Z407">
        <v>55.5</v>
      </c>
      <c r="AA407" s="42" t="str">
        <f t="shared" si="215"/>
        <v>LAC/PHO</v>
      </c>
    </row>
    <row r="408" spans="1:27" ht="17.100000000000001" x14ac:dyDescent="0.45">
      <c r="A408" s="50">
        <v>191219</v>
      </c>
      <c r="B408" s="44">
        <v>0.375</v>
      </c>
      <c r="C408" s="50" t="s">
        <v>402</v>
      </c>
      <c r="D408" s="50" t="s">
        <v>409</v>
      </c>
      <c r="E408" s="52">
        <v>29</v>
      </c>
      <c r="F408" s="52">
        <v>24</v>
      </c>
      <c r="G408" s="52">
        <v>23</v>
      </c>
      <c r="H408" s="52">
        <v>24</v>
      </c>
      <c r="I408" s="52"/>
      <c r="J408" s="52">
        <v>21</v>
      </c>
      <c r="K408" s="52">
        <v>20</v>
      </c>
      <c r="L408" s="52">
        <v>23</v>
      </c>
      <c r="M408" s="52">
        <v>34</v>
      </c>
      <c r="N408" s="52" t="s">
        <v>427</v>
      </c>
      <c r="O408" s="74">
        <f t="shared" ref="O408:O430" si="216">SUM(E408:I408)</f>
        <v>100</v>
      </c>
      <c r="P408" s="74">
        <f t="shared" ref="P408:P430" si="217">SUM(J408:N408)</f>
        <v>98</v>
      </c>
      <c r="Q408" s="74" t="str">
        <f t="shared" ref="Q408:Q430" si="218">IF(E408=J408,"TT",IF(E408&gt;J408,"HW","HL"))</f>
        <v>HW</v>
      </c>
      <c r="R408" s="74" t="str">
        <f t="shared" ref="R408:R430" si="219">IF(F408=K408,"TT",IF(F408&gt;K408,"HW","HL"))</f>
        <v>HW</v>
      </c>
      <c r="S408" s="74" t="str">
        <f t="shared" ref="S408:S430" si="220">IF(G408=L408,"TT",IF(G408&gt;L408,"HW","HL"))</f>
        <v>TT</v>
      </c>
      <c r="T408" s="74" t="str">
        <f t="shared" ref="T408:T430" si="221">IF(H408=M408,"TT",IF(H408&gt;M408,"HW","HL"))</f>
        <v>HL</v>
      </c>
      <c r="U408" s="74" t="str">
        <f t="shared" ref="U408:U430" si="222">IF(SUM(E408,J408)=$Z408,"T",IF(SUM(E408,J408)&gt;$Z408,"O","U"))</f>
        <v>U</v>
      </c>
      <c r="V408" s="74" t="str">
        <f t="shared" ref="V408:V430" si="223">IF(SUM(F408,K408)=$Z408,"T",IF(SUM(F408,K408)&gt;$Z408,"O","U"))</f>
        <v>U</v>
      </c>
      <c r="W408" s="74" t="str">
        <f t="shared" ref="W408:W430" si="224">IF(SUM(G408,L408)=$Z408,"T",IF(SUM(G408,L408)&gt;$Z408,"O","U"))</f>
        <v>U</v>
      </c>
      <c r="X408" s="74" t="str">
        <f t="shared" ref="X408:X430" si="225">IF(SUM(H408,M408)=$Z408,"T",IF(SUM(H408,M408)&gt;$Z408,"O","U"))</f>
        <v>O</v>
      </c>
      <c r="Z408">
        <v>54.5</v>
      </c>
      <c r="AA408" s="42" t="str">
        <f t="shared" si="215"/>
        <v>CLE/CHA</v>
      </c>
    </row>
    <row r="409" spans="1:27" ht="17.100000000000001" x14ac:dyDescent="0.45">
      <c r="A409" s="50">
        <v>191219</v>
      </c>
      <c r="B409" s="44">
        <v>0.375</v>
      </c>
      <c r="C409" s="15" t="s">
        <v>422</v>
      </c>
      <c r="D409" s="15" t="s">
        <v>413</v>
      </c>
      <c r="E409" s="55">
        <v>29</v>
      </c>
      <c r="F409" s="55">
        <v>35</v>
      </c>
      <c r="G409" s="55">
        <v>15</v>
      </c>
      <c r="H409" s="55">
        <v>20</v>
      </c>
      <c r="I409" s="55"/>
      <c r="J409" s="55">
        <v>30</v>
      </c>
      <c r="K409" s="55">
        <v>40</v>
      </c>
      <c r="L409" s="55">
        <v>26</v>
      </c>
      <c r="M409" s="55">
        <v>16</v>
      </c>
      <c r="N409" s="55" t="s">
        <v>427</v>
      </c>
      <c r="O409" s="74">
        <f t="shared" si="216"/>
        <v>99</v>
      </c>
      <c r="P409" s="74">
        <f t="shared" si="217"/>
        <v>112</v>
      </c>
      <c r="Q409" s="74" t="str">
        <f t="shared" si="218"/>
        <v>HL</v>
      </c>
      <c r="R409" s="74" t="str">
        <f t="shared" si="219"/>
        <v>HL</v>
      </c>
      <c r="S409" s="74" t="str">
        <f t="shared" si="220"/>
        <v>HL</v>
      </c>
      <c r="T409" s="74" t="str">
        <f t="shared" si="221"/>
        <v>HW</v>
      </c>
      <c r="U409" s="74" t="str">
        <f t="shared" si="222"/>
        <v>O</v>
      </c>
      <c r="V409" s="74" t="str">
        <f t="shared" si="223"/>
        <v>O</v>
      </c>
      <c r="W409" s="74" t="str">
        <f t="shared" si="224"/>
        <v>U</v>
      </c>
      <c r="X409" s="74" t="str">
        <f t="shared" si="225"/>
        <v>U</v>
      </c>
      <c r="Z409">
        <v>56</v>
      </c>
      <c r="AA409" s="42" t="str">
        <f t="shared" si="215"/>
        <v>DET/TOR</v>
      </c>
    </row>
    <row r="410" spans="1:27" ht="17.100000000000001" x14ac:dyDescent="0.45">
      <c r="A410" s="50">
        <v>191219</v>
      </c>
      <c r="B410" s="44">
        <v>0.375</v>
      </c>
      <c r="C410" s="15" t="s">
        <v>401</v>
      </c>
      <c r="D410" s="15" t="s">
        <v>411</v>
      </c>
      <c r="E410" s="58">
        <v>29</v>
      </c>
      <c r="F410" s="58">
        <v>19</v>
      </c>
      <c r="G410" s="58">
        <v>26</v>
      </c>
      <c r="H410" s="58">
        <v>30</v>
      </c>
      <c r="I410" s="58"/>
      <c r="J410" s="58">
        <v>19</v>
      </c>
      <c r="K410" s="58">
        <v>37</v>
      </c>
      <c r="L410" s="58">
        <v>26</v>
      </c>
      <c r="M410" s="58">
        <v>26</v>
      </c>
      <c r="N410" s="58" t="s">
        <v>427</v>
      </c>
      <c r="O410" s="74">
        <f t="shared" si="216"/>
        <v>104</v>
      </c>
      <c r="P410" s="74">
        <f t="shared" si="217"/>
        <v>108</v>
      </c>
      <c r="Q410" s="74" t="str">
        <f t="shared" si="218"/>
        <v>HW</v>
      </c>
      <c r="R410" s="74" t="str">
        <f t="shared" si="219"/>
        <v>HL</v>
      </c>
      <c r="S410" s="74" t="str">
        <f t="shared" si="220"/>
        <v>TT</v>
      </c>
      <c r="T410" s="74" t="str">
        <f t="shared" si="221"/>
        <v>HW</v>
      </c>
      <c r="U410" s="74" t="str">
        <f t="shared" si="222"/>
        <v>U</v>
      </c>
      <c r="V410" s="74" t="str">
        <f t="shared" si="223"/>
        <v>O</v>
      </c>
      <c r="W410" s="74" t="str">
        <f t="shared" si="224"/>
        <v>U</v>
      </c>
      <c r="X410" s="74" t="str">
        <f t="shared" si="225"/>
        <v>O</v>
      </c>
      <c r="Z410">
        <v>54.5</v>
      </c>
      <c r="AA410" s="42" t="str">
        <f t="shared" si="215"/>
        <v>PHI/MIA</v>
      </c>
    </row>
    <row r="411" spans="1:27" ht="17.100000000000001" x14ac:dyDescent="0.45">
      <c r="A411" s="50">
        <v>191219</v>
      </c>
      <c r="B411" s="44">
        <v>0.375</v>
      </c>
      <c r="C411" s="50" t="s">
        <v>414</v>
      </c>
      <c r="D411" s="50" t="s">
        <v>412</v>
      </c>
      <c r="E411" s="60">
        <v>27</v>
      </c>
      <c r="F411" s="60">
        <v>31</v>
      </c>
      <c r="G411" s="60">
        <v>27</v>
      </c>
      <c r="H411" s="60">
        <v>13</v>
      </c>
      <c r="I411" s="60">
        <v>11</v>
      </c>
      <c r="J411" s="60">
        <v>23</v>
      </c>
      <c r="K411" s="60">
        <v>29</v>
      </c>
      <c r="L411" s="60">
        <v>21</v>
      </c>
      <c r="M411" s="60">
        <v>25</v>
      </c>
      <c r="N411" s="60">
        <v>12</v>
      </c>
      <c r="O411" s="74">
        <f t="shared" si="216"/>
        <v>109</v>
      </c>
      <c r="P411" s="74">
        <f t="shared" si="217"/>
        <v>110</v>
      </c>
      <c r="Q411" s="74" t="str">
        <f t="shared" si="218"/>
        <v>HW</v>
      </c>
      <c r="R411" s="74" t="str">
        <f t="shared" si="219"/>
        <v>HW</v>
      </c>
      <c r="S411" s="74" t="str">
        <f t="shared" si="220"/>
        <v>HW</v>
      </c>
      <c r="T411" s="74" t="str">
        <f t="shared" si="221"/>
        <v>HL</v>
      </c>
      <c r="U411" s="74" t="str">
        <f t="shared" si="222"/>
        <v>U</v>
      </c>
      <c r="V411" s="74" t="str">
        <f t="shared" si="223"/>
        <v>O</v>
      </c>
      <c r="W411" s="74" t="str">
        <f t="shared" si="224"/>
        <v>U</v>
      </c>
      <c r="X411" s="74" t="str">
        <f t="shared" si="225"/>
        <v>U</v>
      </c>
      <c r="Z411">
        <v>59</v>
      </c>
      <c r="AA411" s="42" t="str">
        <f t="shared" si="215"/>
        <v>WAS/CHI</v>
      </c>
    </row>
    <row r="412" spans="1:27" ht="17.100000000000001" x14ac:dyDescent="0.45">
      <c r="A412" s="50">
        <v>191219</v>
      </c>
      <c r="B412" s="44">
        <v>0.41666666666666669</v>
      </c>
      <c r="C412" s="15" t="s">
        <v>420</v>
      </c>
      <c r="D412" s="13" t="s">
        <v>398</v>
      </c>
      <c r="E412" s="56">
        <v>25</v>
      </c>
      <c r="F412" s="56">
        <v>25</v>
      </c>
      <c r="G412" s="56">
        <v>22</v>
      </c>
      <c r="H412" s="56">
        <v>27</v>
      </c>
      <c r="I412" s="56"/>
      <c r="J412" s="56">
        <v>32</v>
      </c>
      <c r="K412" s="56">
        <v>31</v>
      </c>
      <c r="L412" s="56">
        <v>24</v>
      </c>
      <c r="M412" s="56">
        <v>20</v>
      </c>
      <c r="N412" s="56" t="s">
        <v>427</v>
      </c>
      <c r="O412" s="74">
        <f t="shared" si="216"/>
        <v>99</v>
      </c>
      <c r="P412" s="74">
        <f t="shared" si="217"/>
        <v>107</v>
      </c>
      <c r="Q412" s="74" t="str">
        <f t="shared" si="218"/>
        <v>HL</v>
      </c>
      <c r="R412" s="74" t="str">
        <f t="shared" si="219"/>
        <v>HL</v>
      </c>
      <c r="S412" s="74" t="str">
        <f t="shared" si="220"/>
        <v>HL</v>
      </c>
      <c r="T412" s="74" t="str">
        <f t="shared" si="221"/>
        <v>HW</v>
      </c>
      <c r="U412" s="74" t="str">
        <f t="shared" si="222"/>
        <v>U</v>
      </c>
      <c r="V412" s="74" t="str">
        <f t="shared" si="223"/>
        <v>U</v>
      </c>
      <c r="W412" s="74" t="str">
        <f t="shared" si="224"/>
        <v>U</v>
      </c>
      <c r="X412" s="74" t="str">
        <f t="shared" si="225"/>
        <v>U</v>
      </c>
      <c r="Z412">
        <v>59</v>
      </c>
      <c r="AA412" s="42" t="str">
        <f t="shared" si="215"/>
        <v>MIN/NO</v>
      </c>
    </row>
    <row r="413" spans="1:27" ht="17.100000000000001" x14ac:dyDescent="0.45">
      <c r="A413" s="50">
        <v>191219</v>
      </c>
      <c r="B413" s="44">
        <v>0.41666666666666669</v>
      </c>
      <c r="C413" s="5" t="s">
        <v>418</v>
      </c>
      <c r="D413" s="5" t="s">
        <v>406</v>
      </c>
      <c r="E413" s="57">
        <v>27</v>
      </c>
      <c r="F413" s="57">
        <v>32</v>
      </c>
      <c r="G413" s="57">
        <v>34</v>
      </c>
      <c r="H413" s="57">
        <v>33</v>
      </c>
      <c r="I413" s="57"/>
      <c r="J413" s="57">
        <v>32</v>
      </c>
      <c r="K413" s="57">
        <v>36</v>
      </c>
      <c r="L413" s="57">
        <v>32</v>
      </c>
      <c r="M413" s="57">
        <v>22</v>
      </c>
      <c r="N413" s="57" t="s">
        <v>427</v>
      </c>
      <c r="O413" s="74">
        <f t="shared" si="216"/>
        <v>126</v>
      </c>
      <c r="P413" s="74">
        <f t="shared" si="217"/>
        <v>122</v>
      </c>
      <c r="Q413" s="74" t="str">
        <f t="shared" si="218"/>
        <v>HL</v>
      </c>
      <c r="R413" s="74" t="str">
        <f t="shared" si="219"/>
        <v>HL</v>
      </c>
      <c r="S413" s="74" t="str">
        <f t="shared" si="220"/>
        <v>HW</v>
      </c>
      <c r="T413" s="74" t="str">
        <f t="shared" si="221"/>
        <v>HW</v>
      </c>
      <c r="U413" s="74" t="str">
        <f t="shared" si="222"/>
        <v>O</v>
      </c>
      <c r="V413" s="74" t="str">
        <f t="shared" si="223"/>
        <v>O</v>
      </c>
      <c r="W413" s="74" t="str">
        <f t="shared" si="224"/>
        <v>O</v>
      </c>
      <c r="X413" s="74" t="str">
        <f t="shared" si="225"/>
        <v>O</v>
      </c>
      <c r="Z413">
        <v>54</v>
      </c>
      <c r="AA413" s="42" t="str">
        <f t="shared" si="215"/>
        <v>OKC/MEM</v>
      </c>
    </row>
    <row r="414" spans="1:27" ht="17.100000000000001" x14ac:dyDescent="0.45">
      <c r="A414" s="50">
        <v>191219</v>
      </c>
      <c r="B414" s="44">
        <v>0.45833333333333331</v>
      </c>
      <c r="C414" s="13" t="s">
        <v>46</v>
      </c>
      <c r="D414" s="15" t="s">
        <v>424</v>
      </c>
      <c r="E414" s="54">
        <v>27</v>
      </c>
      <c r="F414" s="54">
        <v>18</v>
      </c>
      <c r="G414" s="54">
        <v>39</v>
      </c>
      <c r="H414" s="54">
        <v>29</v>
      </c>
      <c r="I414" s="54"/>
      <c r="J414" s="54">
        <v>32</v>
      </c>
      <c r="K414" s="54">
        <v>28</v>
      </c>
      <c r="L414" s="54">
        <v>16</v>
      </c>
      <c r="M414" s="54">
        <v>28</v>
      </c>
      <c r="N414" s="54" t="s">
        <v>427</v>
      </c>
      <c r="O414" s="74">
        <f t="shared" si="216"/>
        <v>113</v>
      </c>
      <c r="P414" s="74">
        <f t="shared" si="217"/>
        <v>104</v>
      </c>
      <c r="Q414" s="74" t="str">
        <f t="shared" si="218"/>
        <v>HL</v>
      </c>
      <c r="R414" s="74" t="str">
        <f t="shared" si="219"/>
        <v>HL</v>
      </c>
      <c r="S414" s="74" t="str">
        <f t="shared" si="220"/>
        <v>HW</v>
      </c>
      <c r="T414" s="74" t="str">
        <f t="shared" si="221"/>
        <v>HW</v>
      </c>
      <c r="U414" s="74" t="str">
        <f t="shared" si="222"/>
        <v>O</v>
      </c>
      <c r="V414" s="74" t="str">
        <f t="shared" si="223"/>
        <v>U</v>
      </c>
      <c r="W414" s="74" t="str">
        <f t="shared" si="224"/>
        <v>O</v>
      </c>
      <c r="X414" s="74" t="str">
        <f t="shared" si="225"/>
        <v>O</v>
      </c>
      <c r="Z414">
        <v>52.5</v>
      </c>
      <c r="AA414" s="42" t="str">
        <f t="shared" si="215"/>
        <v>DEN/ORL</v>
      </c>
    </row>
    <row r="415" spans="1:27" ht="17.100000000000001" x14ac:dyDescent="0.45">
      <c r="A415" s="50">
        <v>191219</v>
      </c>
      <c r="B415" s="44">
        <v>0.47916666666666669</v>
      </c>
      <c r="C415" s="15" t="s">
        <v>98</v>
      </c>
      <c r="D415" s="48" t="s">
        <v>421</v>
      </c>
      <c r="E415" s="53">
        <v>29</v>
      </c>
      <c r="F415" s="53">
        <v>26</v>
      </c>
      <c r="G415" s="53">
        <v>18</v>
      </c>
      <c r="H415" s="53">
        <v>30</v>
      </c>
      <c r="I415" s="53"/>
      <c r="J415" s="53">
        <v>29</v>
      </c>
      <c r="K415" s="53">
        <v>21</v>
      </c>
      <c r="L415" s="53">
        <v>26</v>
      </c>
      <c r="M415" s="53">
        <v>33</v>
      </c>
      <c r="N415" s="53" t="s">
        <v>427</v>
      </c>
      <c r="O415" s="74">
        <f t="shared" si="216"/>
        <v>103</v>
      </c>
      <c r="P415" s="74">
        <f t="shared" si="217"/>
        <v>109</v>
      </c>
      <c r="Q415" s="74" t="str">
        <f t="shared" si="218"/>
        <v>TT</v>
      </c>
      <c r="R415" s="74" t="str">
        <f t="shared" si="219"/>
        <v>HW</v>
      </c>
      <c r="S415" s="74" t="str">
        <f t="shared" si="220"/>
        <v>HL</v>
      </c>
      <c r="T415" s="74" t="str">
        <f t="shared" si="221"/>
        <v>HL</v>
      </c>
      <c r="U415" s="74" t="str">
        <f t="shared" si="222"/>
        <v>O</v>
      </c>
      <c r="V415" s="74" t="str">
        <f t="shared" si="223"/>
        <v>U</v>
      </c>
      <c r="W415" s="74" t="str">
        <f t="shared" si="224"/>
        <v>U</v>
      </c>
      <c r="X415" s="74" t="str">
        <f t="shared" si="225"/>
        <v>O</v>
      </c>
      <c r="Z415">
        <v>52.5</v>
      </c>
      <c r="AA415" s="42" t="str">
        <f t="shared" si="215"/>
        <v>DAL/BOS</v>
      </c>
    </row>
    <row r="416" spans="1:27" ht="17.100000000000001" x14ac:dyDescent="0.45">
      <c r="A416" s="50">
        <v>191219</v>
      </c>
      <c r="B416" s="44">
        <v>0.5</v>
      </c>
      <c r="C416" s="50" t="s">
        <v>417</v>
      </c>
      <c r="D416" s="50" t="s">
        <v>425</v>
      </c>
      <c r="E416" s="59">
        <v>40</v>
      </c>
      <c r="F416" s="59">
        <v>27</v>
      </c>
      <c r="G416" s="59">
        <v>30</v>
      </c>
      <c r="H416" s="59">
        <v>25</v>
      </c>
      <c r="I416" s="59"/>
      <c r="J416" s="59">
        <v>29</v>
      </c>
      <c r="K416" s="59">
        <v>37</v>
      </c>
      <c r="L416" s="59">
        <v>26</v>
      </c>
      <c r="M416" s="59">
        <v>20</v>
      </c>
      <c r="N416" s="59" t="s">
        <v>427</v>
      </c>
      <c r="O416" s="74">
        <f t="shared" si="216"/>
        <v>122</v>
      </c>
      <c r="P416" s="74">
        <f t="shared" si="217"/>
        <v>112</v>
      </c>
      <c r="Q416" s="74" t="str">
        <f t="shared" si="218"/>
        <v>HW</v>
      </c>
      <c r="R416" s="74" t="str">
        <f t="shared" si="219"/>
        <v>HL</v>
      </c>
      <c r="S416" s="74" t="str">
        <f t="shared" si="220"/>
        <v>HW</v>
      </c>
      <c r="T416" s="74" t="str">
        <f t="shared" si="221"/>
        <v>HW</v>
      </c>
      <c r="U416" s="74" t="str">
        <f t="shared" si="222"/>
        <v>O</v>
      </c>
      <c r="V416" s="74" t="str">
        <f t="shared" si="223"/>
        <v>O</v>
      </c>
      <c r="W416" s="74" t="str">
        <f t="shared" si="224"/>
        <v>U</v>
      </c>
      <c r="X416" s="74" t="str">
        <f t="shared" si="225"/>
        <v>U</v>
      </c>
      <c r="Z416">
        <v>56.5</v>
      </c>
      <c r="AA416" s="42" t="str">
        <f t="shared" si="215"/>
        <v>POR/GS</v>
      </c>
    </row>
    <row r="417" spans="1:27" ht="17.100000000000001" x14ac:dyDescent="0.45">
      <c r="A417" s="50">
        <v>191220</v>
      </c>
      <c r="B417" s="51">
        <v>0.39583333333333331</v>
      </c>
      <c r="C417" s="50" t="s">
        <v>410</v>
      </c>
      <c r="D417" s="50" t="s">
        <v>405</v>
      </c>
      <c r="E417" s="61">
        <v>30</v>
      </c>
      <c r="F417" s="61">
        <v>26</v>
      </c>
      <c r="G417" s="61">
        <v>28</v>
      </c>
      <c r="H417" s="61">
        <v>22</v>
      </c>
      <c r="I417" s="61"/>
      <c r="J417" s="61">
        <v>28</v>
      </c>
      <c r="K417" s="61">
        <v>24</v>
      </c>
      <c r="L417" s="61">
        <v>31</v>
      </c>
      <c r="M417" s="61">
        <v>28</v>
      </c>
      <c r="N417" s="61" t="s">
        <v>427</v>
      </c>
      <c r="O417" s="74">
        <f t="shared" si="216"/>
        <v>106</v>
      </c>
      <c r="P417" s="74">
        <f t="shared" si="217"/>
        <v>111</v>
      </c>
      <c r="Q417" s="74" t="str">
        <f t="shared" si="218"/>
        <v>HW</v>
      </c>
      <c r="R417" s="74" t="str">
        <f t="shared" si="219"/>
        <v>HW</v>
      </c>
      <c r="S417" s="74" t="str">
        <f t="shared" si="220"/>
        <v>HL</v>
      </c>
      <c r="T417" s="74" t="str">
        <f t="shared" si="221"/>
        <v>HL</v>
      </c>
      <c r="U417" s="74" t="str">
        <f t="shared" si="222"/>
        <v>O</v>
      </c>
      <c r="V417" s="74" t="str">
        <f t="shared" si="223"/>
        <v>U</v>
      </c>
      <c r="W417" s="74" t="str">
        <f t="shared" si="224"/>
        <v>O</v>
      </c>
      <c r="X417" s="74" t="str">
        <f t="shared" si="225"/>
        <v>U</v>
      </c>
      <c r="Z417">
        <v>55</v>
      </c>
      <c r="AA417" s="74" t="str">
        <f t="shared" si="215"/>
        <v>ATL/UTA</v>
      </c>
    </row>
    <row r="418" spans="1:27" ht="17.100000000000001" x14ac:dyDescent="0.45">
      <c r="A418" s="50">
        <v>191220</v>
      </c>
      <c r="B418" s="51">
        <v>0.41666666666666669</v>
      </c>
      <c r="C418" s="50" t="s">
        <v>423</v>
      </c>
      <c r="D418" s="50" t="s">
        <v>419</v>
      </c>
      <c r="E418" s="63">
        <v>23</v>
      </c>
      <c r="F418" s="63">
        <v>42</v>
      </c>
      <c r="G418" s="63">
        <v>24</v>
      </c>
      <c r="H418" s="63">
        <v>22</v>
      </c>
      <c r="I418" s="63"/>
      <c r="J418" s="63">
        <v>17</v>
      </c>
      <c r="K418" s="63">
        <v>29</v>
      </c>
      <c r="L418" s="63">
        <v>35</v>
      </c>
      <c r="M418" s="63">
        <v>23</v>
      </c>
      <c r="N418" s="63" t="s">
        <v>427</v>
      </c>
      <c r="O418" s="74">
        <f t="shared" si="216"/>
        <v>111</v>
      </c>
      <c r="P418" s="74">
        <f t="shared" si="217"/>
        <v>104</v>
      </c>
      <c r="Q418" s="74" t="str">
        <f t="shared" si="218"/>
        <v>HW</v>
      </c>
      <c r="R418" s="74" t="str">
        <f t="shared" si="219"/>
        <v>HW</v>
      </c>
      <c r="S418" s="74" t="str">
        <f t="shared" si="220"/>
        <v>HL</v>
      </c>
      <c r="T418" s="74" t="str">
        <f t="shared" si="221"/>
        <v>HL</v>
      </c>
      <c r="U418" s="74" t="str">
        <f t="shared" si="222"/>
        <v>U</v>
      </c>
      <c r="V418" s="74" t="str">
        <f t="shared" si="223"/>
        <v>O</v>
      </c>
      <c r="W418" s="74" t="str">
        <f t="shared" si="224"/>
        <v>O</v>
      </c>
      <c r="X418" s="74" t="str">
        <f t="shared" si="225"/>
        <v>U</v>
      </c>
      <c r="Z418">
        <v>58.5</v>
      </c>
      <c r="AA418" s="74" t="str">
        <f t="shared" si="215"/>
        <v>MIL/LAL</v>
      </c>
    </row>
    <row r="419" spans="1:27" ht="17.100000000000001" x14ac:dyDescent="0.45">
      <c r="A419" s="50">
        <v>191220</v>
      </c>
      <c r="B419" s="51">
        <v>0.4375</v>
      </c>
      <c r="C419" s="50" t="s">
        <v>426</v>
      </c>
      <c r="D419" s="50" t="s">
        <v>407</v>
      </c>
      <c r="E419" s="64">
        <v>27</v>
      </c>
      <c r="F419" s="64">
        <v>23</v>
      </c>
      <c r="G419" s="64">
        <v>33</v>
      </c>
      <c r="H419" s="64">
        <v>35</v>
      </c>
      <c r="I419" s="64"/>
      <c r="J419" s="64">
        <v>33</v>
      </c>
      <c r="K419" s="64">
        <v>23</v>
      </c>
      <c r="L419" s="64">
        <v>25</v>
      </c>
      <c r="M419" s="64">
        <v>24</v>
      </c>
      <c r="N419" s="64" t="s">
        <v>427</v>
      </c>
      <c r="O419" s="74">
        <f t="shared" si="216"/>
        <v>118</v>
      </c>
      <c r="P419" s="74">
        <f t="shared" si="217"/>
        <v>105</v>
      </c>
      <c r="Q419" s="74" t="str">
        <f t="shared" si="218"/>
        <v>HL</v>
      </c>
      <c r="R419" s="74" t="str">
        <f t="shared" si="219"/>
        <v>TT</v>
      </c>
      <c r="S419" s="74" t="str">
        <f t="shared" si="220"/>
        <v>HW</v>
      </c>
      <c r="T419" s="74" t="str">
        <f t="shared" si="221"/>
        <v>HW</v>
      </c>
      <c r="U419" s="74" t="str">
        <f t="shared" si="222"/>
        <v>O</v>
      </c>
      <c r="V419" s="74" t="str">
        <f t="shared" si="223"/>
        <v>U</v>
      </c>
      <c r="W419" s="74" t="str">
        <f t="shared" si="224"/>
        <v>O</v>
      </c>
      <c r="X419" s="74" t="str">
        <f t="shared" si="225"/>
        <v>O</v>
      </c>
      <c r="Z419">
        <v>53.5</v>
      </c>
      <c r="AA419" s="74" t="str">
        <f t="shared" si="215"/>
        <v>SAS/BKN</v>
      </c>
    </row>
    <row r="420" spans="1:27" ht="17.100000000000001" x14ac:dyDescent="0.45">
      <c r="A420" s="50">
        <v>191220</v>
      </c>
      <c r="B420" s="51">
        <v>0.52083333333333337</v>
      </c>
      <c r="C420" s="50" t="s">
        <v>415</v>
      </c>
      <c r="D420" s="50" t="s">
        <v>403</v>
      </c>
      <c r="E420" s="62">
        <v>28</v>
      </c>
      <c r="F420" s="62">
        <v>41</v>
      </c>
      <c r="G420" s="62">
        <v>18</v>
      </c>
      <c r="H420" s="62">
        <v>30</v>
      </c>
      <c r="I420" s="62"/>
      <c r="J420" s="62">
        <v>27</v>
      </c>
      <c r="K420" s="62">
        <v>27</v>
      </c>
      <c r="L420" s="62">
        <v>36</v>
      </c>
      <c r="M420" s="62">
        <v>32</v>
      </c>
      <c r="N420" s="62" t="s">
        <v>427</v>
      </c>
      <c r="O420" s="74">
        <f t="shared" si="216"/>
        <v>117</v>
      </c>
      <c r="P420" s="74">
        <f t="shared" si="217"/>
        <v>122</v>
      </c>
      <c r="Q420" s="74" t="str">
        <f t="shared" si="218"/>
        <v>HW</v>
      </c>
      <c r="R420" s="74" t="str">
        <f t="shared" si="219"/>
        <v>HW</v>
      </c>
      <c r="S420" s="74" t="str">
        <f t="shared" si="220"/>
        <v>HL</v>
      </c>
      <c r="T420" s="74" t="str">
        <f t="shared" si="221"/>
        <v>HL</v>
      </c>
      <c r="U420" s="74" t="str">
        <f t="shared" si="222"/>
        <v>U</v>
      </c>
      <c r="V420" s="74" t="str">
        <f t="shared" si="223"/>
        <v>O</v>
      </c>
      <c r="W420" s="74" t="str">
        <f t="shared" si="224"/>
        <v>U</v>
      </c>
      <c r="X420" s="74" t="str">
        <f t="shared" si="225"/>
        <v>O</v>
      </c>
      <c r="Z420">
        <v>60.5</v>
      </c>
      <c r="AA420" s="74" t="str">
        <f t="shared" si="215"/>
        <v>LAC/HOU</v>
      </c>
    </row>
    <row r="421" spans="1:27" ht="17.100000000000001" x14ac:dyDescent="0.45">
      <c r="A421" s="50">
        <v>191221</v>
      </c>
      <c r="B421" s="51">
        <v>0.375</v>
      </c>
      <c r="C421" s="50" t="s">
        <v>402</v>
      </c>
      <c r="D421" s="50" t="s">
        <v>406</v>
      </c>
      <c r="E421" s="66">
        <v>25</v>
      </c>
      <c r="F421" s="66">
        <v>30</v>
      </c>
      <c r="G421" s="66">
        <v>26</v>
      </c>
      <c r="H421" s="66">
        <v>33</v>
      </c>
      <c r="I421" s="66"/>
      <c r="J421" s="66">
        <v>27</v>
      </c>
      <c r="K421" s="66">
        <v>24</v>
      </c>
      <c r="L421" s="66">
        <v>36</v>
      </c>
      <c r="M421" s="66">
        <v>20</v>
      </c>
      <c r="N421" s="66" t="s">
        <v>427</v>
      </c>
      <c r="O421" s="74">
        <f t="shared" si="216"/>
        <v>114</v>
      </c>
      <c r="P421" s="74">
        <f t="shared" si="217"/>
        <v>107</v>
      </c>
      <c r="Q421" s="74" t="str">
        <f t="shared" si="218"/>
        <v>HL</v>
      </c>
      <c r="R421" s="74" t="str">
        <f t="shared" si="219"/>
        <v>HW</v>
      </c>
      <c r="S421" s="74" t="str">
        <f t="shared" si="220"/>
        <v>HL</v>
      </c>
      <c r="T421" s="74" t="str">
        <f t="shared" si="221"/>
        <v>HW</v>
      </c>
      <c r="U421" s="74" t="str">
        <f t="shared" si="222"/>
        <v>U</v>
      </c>
      <c r="V421" s="74" t="str">
        <f t="shared" si="223"/>
        <v>U</v>
      </c>
      <c r="W421" s="74" t="str">
        <f t="shared" si="224"/>
        <v>O</v>
      </c>
      <c r="X421" s="74" t="str">
        <f t="shared" si="225"/>
        <v>U</v>
      </c>
      <c r="Z421">
        <v>55</v>
      </c>
      <c r="AA421" s="74" t="str">
        <f t="shared" si="215"/>
        <v>CLE/MEM</v>
      </c>
    </row>
    <row r="422" spans="1:27" ht="17.100000000000001" x14ac:dyDescent="0.45">
      <c r="A422" s="50">
        <v>191221</v>
      </c>
      <c r="B422" s="51">
        <v>0.375</v>
      </c>
      <c r="C422" s="50" t="s">
        <v>400</v>
      </c>
      <c r="D422" s="50" t="s">
        <v>416</v>
      </c>
      <c r="E422" s="69">
        <v>30</v>
      </c>
      <c r="F422" s="69">
        <v>38</v>
      </c>
      <c r="G422" s="69">
        <v>24</v>
      </c>
      <c r="H422" s="69">
        <v>27</v>
      </c>
      <c r="I422" s="69"/>
      <c r="J422" s="69">
        <v>32</v>
      </c>
      <c r="K422" s="69">
        <v>25</v>
      </c>
      <c r="L422" s="69">
        <v>22</v>
      </c>
      <c r="M422" s="69">
        <v>26</v>
      </c>
      <c r="N422" s="69" t="s">
        <v>427</v>
      </c>
      <c r="O422" s="74">
        <f t="shared" si="216"/>
        <v>119</v>
      </c>
      <c r="P422" s="74">
        <f t="shared" si="217"/>
        <v>105</v>
      </c>
      <c r="Q422" s="74" t="str">
        <f t="shared" si="218"/>
        <v>HL</v>
      </c>
      <c r="R422" s="74" t="str">
        <f t="shared" si="219"/>
        <v>HW</v>
      </c>
      <c r="S422" s="74" t="str">
        <f t="shared" si="220"/>
        <v>HW</v>
      </c>
      <c r="T422" s="74" t="str">
        <f t="shared" si="221"/>
        <v>HW</v>
      </c>
      <c r="U422" s="74" t="str">
        <f t="shared" si="222"/>
        <v>O</v>
      </c>
      <c r="V422" s="74" t="str">
        <f t="shared" si="223"/>
        <v>O</v>
      </c>
      <c r="W422" s="74" t="str">
        <f t="shared" si="224"/>
        <v>U</v>
      </c>
      <c r="X422" s="74" t="str">
        <f t="shared" si="225"/>
        <v>U</v>
      </c>
      <c r="Z422">
        <v>54</v>
      </c>
      <c r="AA422" s="74" t="str">
        <f t="shared" si="215"/>
        <v>IND/SAC</v>
      </c>
    </row>
    <row r="423" spans="1:27" ht="17.100000000000001" x14ac:dyDescent="0.45">
      <c r="A423" s="50">
        <v>191221</v>
      </c>
      <c r="B423" s="51">
        <v>0.39583333333333331</v>
      </c>
      <c r="C423" s="50" t="s">
        <v>421</v>
      </c>
      <c r="D423" s="50" t="s">
        <v>422</v>
      </c>
      <c r="E423" s="65">
        <v>28</v>
      </c>
      <c r="F423" s="65">
        <v>32</v>
      </c>
      <c r="G423" s="65">
        <v>31</v>
      </c>
      <c r="H423" s="65">
        <v>23</v>
      </c>
      <c r="I423" s="65"/>
      <c r="J423" s="65">
        <v>26</v>
      </c>
      <c r="K423" s="65">
        <v>22</v>
      </c>
      <c r="L423" s="65">
        <v>21</v>
      </c>
      <c r="M423" s="65">
        <v>24</v>
      </c>
      <c r="N423" s="65" t="s">
        <v>427</v>
      </c>
      <c r="O423" s="74">
        <f t="shared" si="216"/>
        <v>114</v>
      </c>
      <c r="P423" s="74">
        <f t="shared" si="217"/>
        <v>93</v>
      </c>
      <c r="Q423" s="74" t="str">
        <f t="shared" si="218"/>
        <v>HW</v>
      </c>
      <c r="R423" s="74" t="str">
        <f t="shared" si="219"/>
        <v>HW</v>
      </c>
      <c r="S423" s="74" t="str">
        <f t="shared" si="220"/>
        <v>HW</v>
      </c>
      <c r="T423" s="74" t="str">
        <f t="shared" si="221"/>
        <v>HL</v>
      </c>
      <c r="U423" s="74" t="str">
        <f t="shared" si="222"/>
        <v>U</v>
      </c>
      <c r="V423" s="74" t="str">
        <f t="shared" si="223"/>
        <v>U</v>
      </c>
      <c r="W423" s="74" t="str">
        <f t="shared" si="224"/>
        <v>U</v>
      </c>
      <c r="X423" s="74" t="str">
        <f t="shared" si="225"/>
        <v>U</v>
      </c>
      <c r="Z423">
        <v>54.5</v>
      </c>
      <c r="AA423" s="74" t="str">
        <f t="shared" si="215"/>
        <v>BOS/DET</v>
      </c>
    </row>
    <row r="424" spans="1:27" ht="17.100000000000001" x14ac:dyDescent="0.45">
      <c r="A424" s="50">
        <v>191221</v>
      </c>
      <c r="B424" s="51">
        <v>0.39583333333333331</v>
      </c>
      <c r="C424" s="50" t="s">
        <v>413</v>
      </c>
      <c r="D424" s="50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16"/>
        <v>122</v>
      </c>
      <c r="P424" s="74">
        <f t="shared" si="217"/>
        <v>118</v>
      </c>
      <c r="Q424" s="74" t="str">
        <f t="shared" si="218"/>
        <v>HW</v>
      </c>
      <c r="R424" s="74" t="str">
        <f t="shared" si="219"/>
        <v>HL</v>
      </c>
      <c r="S424" s="74" t="str">
        <f t="shared" si="220"/>
        <v>HL</v>
      </c>
      <c r="T424" s="74" t="str">
        <f t="shared" si="221"/>
        <v>HL</v>
      </c>
      <c r="U424" s="74" t="str">
        <f t="shared" si="222"/>
        <v>O</v>
      </c>
      <c r="V424" s="74" t="str">
        <f t="shared" si="223"/>
        <v>U</v>
      </c>
      <c r="W424" s="74" t="str">
        <f t="shared" si="224"/>
        <v>O</v>
      </c>
      <c r="X424" s="74" t="str">
        <f t="shared" si="225"/>
        <v>T</v>
      </c>
      <c r="Z424">
        <v>59</v>
      </c>
      <c r="AA424" s="74" t="str">
        <f t="shared" si="215"/>
        <v>TOR/WAS</v>
      </c>
    </row>
    <row r="425" spans="1:27" ht="17.100000000000001" x14ac:dyDescent="0.45">
      <c r="A425" s="50">
        <v>191221</v>
      </c>
      <c r="B425" s="51">
        <v>0.41666666666666669</v>
      </c>
      <c r="C425" s="50" t="s">
        <v>411</v>
      </c>
      <c r="D425" s="50" t="s">
        <v>399</v>
      </c>
      <c r="E425" s="70">
        <v>39</v>
      </c>
      <c r="F425" s="70">
        <v>31</v>
      </c>
      <c r="G425" s="70">
        <v>28</v>
      </c>
      <c r="H425" s="70">
        <v>31</v>
      </c>
      <c r="I425" s="70"/>
      <c r="J425" s="70">
        <v>20</v>
      </c>
      <c r="K425" s="70">
        <v>27</v>
      </c>
      <c r="L425" s="70">
        <v>27</v>
      </c>
      <c r="M425" s="70">
        <v>40</v>
      </c>
      <c r="N425" s="70" t="s">
        <v>427</v>
      </c>
      <c r="O425" s="74">
        <f t="shared" si="216"/>
        <v>129</v>
      </c>
      <c r="P425" s="74">
        <f t="shared" si="217"/>
        <v>114</v>
      </c>
      <c r="Q425" s="74" t="str">
        <f t="shared" si="218"/>
        <v>HW</v>
      </c>
      <c r="R425" s="74" t="str">
        <f t="shared" si="219"/>
        <v>HW</v>
      </c>
      <c r="S425" s="74" t="str">
        <f t="shared" si="220"/>
        <v>HW</v>
      </c>
      <c r="T425" s="74" t="str">
        <f t="shared" si="221"/>
        <v>HL</v>
      </c>
      <c r="U425" s="74" t="str">
        <f t="shared" si="222"/>
        <v>O</v>
      </c>
      <c r="V425" s="74" t="str">
        <f t="shared" si="223"/>
        <v>O</v>
      </c>
      <c r="W425" s="74" t="str">
        <f t="shared" si="224"/>
        <v>U</v>
      </c>
      <c r="X425" s="74" t="str">
        <f t="shared" si="225"/>
        <v>O</v>
      </c>
      <c r="Z425">
        <v>55.5</v>
      </c>
      <c r="AA425" s="74" t="str">
        <f t="shared" si="215"/>
        <v>MIA/NYK</v>
      </c>
    </row>
    <row r="426" spans="1:27" ht="17.100000000000001" x14ac:dyDescent="0.45">
      <c r="A426" s="50">
        <v>191221</v>
      </c>
      <c r="B426" s="51">
        <v>0.41666666666666669</v>
      </c>
      <c r="C426" s="50" t="s">
        <v>401</v>
      </c>
      <c r="D426" s="50" t="s">
        <v>397</v>
      </c>
      <c r="E426" s="72">
        <v>28</v>
      </c>
      <c r="F426" s="72">
        <v>29</v>
      </c>
      <c r="G426" s="72">
        <v>20</v>
      </c>
      <c r="H426" s="72">
        <v>21</v>
      </c>
      <c r="I426" s="72"/>
      <c r="J426" s="72">
        <v>35</v>
      </c>
      <c r="K426" s="72">
        <v>28</v>
      </c>
      <c r="L426" s="72">
        <v>25</v>
      </c>
      <c r="M426" s="72">
        <v>29</v>
      </c>
      <c r="N426" s="72" t="s">
        <v>427</v>
      </c>
      <c r="O426" s="74">
        <f t="shared" si="216"/>
        <v>98</v>
      </c>
      <c r="P426" s="74">
        <f t="shared" si="217"/>
        <v>117</v>
      </c>
      <c r="Q426" s="74" t="str">
        <f t="shared" si="218"/>
        <v>HL</v>
      </c>
      <c r="R426" s="74" t="str">
        <f t="shared" si="219"/>
        <v>HW</v>
      </c>
      <c r="S426" s="74" t="str">
        <f t="shared" si="220"/>
        <v>HL</v>
      </c>
      <c r="T426" s="74" t="str">
        <f t="shared" si="221"/>
        <v>HL</v>
      </c>
      <c r="U426" s="74" t="str">
        <f t="shared" si="222"/>
        <v>O</v>
      </c>
      <c r="V426" s="74" t="str">
        <f t="shared" si="223"/>
        <v>O</v>
      </c>
      <c r="W426" s="74" t="str">
        <f t="shared" si="224"/>
        <v>U</v>
      </c>
      <c r="X426" s="74" t="str">
        <f t="shared" si="225"/>
        <v>U</v>
      </c>
      <c r="Z426">
        <v>54.5</v>
      </c>
      <c r="AA426" s="74" t="str">
        <f t="shared" si="215"/>
        <v>PHI/DAL</v>
      </c>
    </row>
    <row r="427" spans="1:27" ht="17.100000000000001" x14ac:dyDescent="0.45">
      <c r="A427" s="50">
        <v>191221</v>
      </c>
      <c r="B427" s="51">
        <v>0.41666666666666669</v>
      </c>
      <c r="C427" s="50" t="s">
        <v>418</v>
      </c>
      <c r="D427" s="50" t="s">
        <v>404</v>
      </c>
      <c r="E427" s="71">
        <v>26</v>
      </c>
      <c r="F427" s="71">
        <v>31</v>
      </c>
      <c r="G427" s="71">
        <v>44</v>
      </c>
      <c r="H427" s="71">
        <v>25</v>
      </c>
      <c r="I427" s="71"/>
      <c r="J427" s="71">
        <v>23</v>
      </c>
      <c r="K427" s="71">
        <v>27</v>
      </c>
      <c r="L427" s="71">
        <v>41</v>
      </c>
      <c r="M427" s="71">
        <v>17</v>
      </c>
      <c r="N427" s="71" t="s">
        <v>427</v>
      </c>
      <c r="O427" s="74">
        <f t="shared" si="216"/>
        <v>126</v>
      </c>
      <c r="P427" s="74">
        <f t="shared" si="217"/>
        <v>108</v>
      </c>
      <c r="Q427" s="74" t="str">
        <f t="shared" si="218"/>
        <v>HW</v>
      </c>
      <c r="R427" s="74" t="str">
        <f t="shared" si="219"/>
        <v>HW</v>
      </c>
      <c r="S427" s="74" t="str">
        <f t="shared" si="220"/>
        <v>HW</v>
      </c>
      <c r="T427" s="74" t="str">
        <f t="shared" si="221"/>
        <v>HW</v>
      </c>
      <c r="U427" s="74" t="str">
        <f t="shared" si="222"/>
        <v>U</v>
      </c>
      <c r="V427" s="74" t="str">
        <f t="shared" si="223"/>
        <v>O</v>
      </c>
      <c r="W427" s="74" t="str">
        <f t="shared" si="224"/>
        <v>O</v>
      </c>
      <c r="X427" s="74" t="str">
        <f t="shared" si="225"/>
        <v>U</v>
      </c>
      <c r="Z427">
        <v>54</v>
      </c>
      <c r="AA427" s="74" t="str">
        <f t="shared" si="215"/>
        <v>OKC/PHO</v>
      </c>
    </row>
    <row r="428" spans="1:27" ht="17.100000000000001" x14ac:dyDescent="0.45">
      <c r="A428" s="50">
        <v>191221</v>
      </c>
      <c r="B428" s="51">
        <v>0.45833333333333331</v>
      </c>
      <c r="C428" s="50" t="s">
        <v>408</v>
      </c>
      <c r="D428" s="50" t="s">
        <v>420</v>
      </c>
      <c r="E428" s="67">
        <v>33</v>
      </c>
      <c r="F428" s="67">
        <v>28</v>
      </c>
      <c r="G428" s="67">
        <v>21</v>
      </c>
      <c r="H428" s="67">
        <v>27</v>
      </c>
      <c r="I428" s="67"/>
      <c r="J428" s="67">
        <v>20</v>
      </c>
      <c r="K428" s="67">
        <v>31</v>
      </c>
      <c r="L428" s="67">
        <v>24</v>
      </c>
      <c r="M428" s="67">
        <v>25</v>
      </c>
      <c r="N428" s="67" t="s">
        <v>427</v>
      </c>
      <c r="O428" s="74">
        <f t="shared" si="216"/>
        <v>109</v>
      </c>
      <c r="P428" s="74">
        <f t="shared" si="217"/>
        <v>100</v>
      </c>
      <c r="Q428" s="74" t="str">
        <f t="shared" si="218"/>
        <v>HW</v>
      </c>
      <c r="R428" s="74" t="str">
        <f t="shared" si="219"/>
        <v>HL</v>
      </c>
      <c r="S428" s="74" t="str">
        <f t="shared" si="220"/>
        <v>HL</v>
      </c>
      <c r="T428" s="74" t="str">
        <f t="shared" si="221"/>
        <v>HW</v>
      </c>
      <c r="U428" s="74" t="str">
        <f t="shared" si="222"/>
        <v>U</v>
      </c>
      <c r="V428" s="74" t="str">
        <f t="shared" si="223"/>
        <v>O</v>
      </c>
      <c r="W428" s="74" t="str">
        <f t="shared" si="224"/>
        <v>U</v>
      </c>
      <c r="X428" s="74" t="str">
        <f t="shared" si="225"/>
        <v>U</v>
      </c>
      <c r="Z428">
        <v>55.5</v>
      </c>
      <c r="AA428" s="74" t="str">
        <f t="shared" si="215"/>
        <v>DEN/MIN</v>
      </c>
    </row>
    <row r="429" spans="1:27" ht="17.100000000000001" x14ac:dyDescent="0.45">
      <c r="A429" s="50">
        <v>191221</v>
      </c>
      <c r="B429" s="51">
        <v>0.5</v>
      </c>
      <c r="C429" s="50" t="s">
        <v>417</v>
      </c>
      <c r="D429" s="50" t="s">
        <v>424</v>
      </c>
      <c r="E429" s="73">
        <v>31</v>
      </c>
      <c r="F429" s="73">
        <v>26</v>
      </c>
      <c r="G429" s="73">
        <v>36</v>
      </c>
      <c r="H429" s="73">
        <v>25</v>
      </c>
      <c r="I429" s="73"/>
      <c r="J429" s="73">
        <v>13</v>
      </c>
      <c r="K429" s="73">
        <v>31</v>
      </c>
      <c r="L429" s="73">
        <v>31</v>
      </c>
      <c r="M429" s="73">
        <v>28</v>
      </c>
      <c r="N429" s="73" t="s">
        <v>427</v>
      </c>
      <c r="O429" s="74">
        <f t="shared" si="216"/>
        <v>118</v>
      </c>
      <c r="P429" s="74">
        <f t="shared" si="217"/>
        <v>103</v>
      </c>
      <c r="Q429" s="74" t="str">
        <f t="shared" si="218"/>
        <v>HW</v>
      </c>
      <c r="R429" s="74" t="str">
        <f t="shared" si="219"/>
        <v>HL</v>
      </c>
      <c r="S429" s="74" t="str">
        <f t="shared" si="220"/>
        <v>HW</v>
      </c>
      <c r="T429" s="74" t="str">
        <f t="shared" si="221"/>
        <v>HL</v>
      </c>
      <c r="U429" s="74" t="str">
        <f t="shared" si="222"/>
        <v>U</v>
      </c>
      <c r="V429" s="74" t="str">
        <f t="shared" si="223"/>
        <v>O</v>
      </c>
      <c r="W429" s="74" t="str">
        <f t="shared" si="224"/>
        <v>O</v>
      </c>
      <c r="X429" s="74" t="str">
        <f t="shared" si="225"/>
        <v>U</v>
      </c>
      <c r="Z429">
        <v>56</v>
      </c>
      <c r="AA429" s="74" t="str">
        <f t="shared" si="215"/>
        <v>POR/ORL</v>
      </c>
    </row>
    <row r="430" spans="1:27" ht="17.100000000000001" x14ac:dyDescent="0.45">
      <c r="A430" s="50">
        <v>191221</v>
      </c>
      <c r="B430" s="51">
        <v>0.52083333333333337</v>
      </c>
      <c r="C430" s="50" t="s">
        <v>425</v>
      </c>
      <c r="D430" s="50" t="s">
        <v>398</v>
      </c>
      <c r="E430" s="68">
        <v>31</v>
      </c>
      <c r="F430" s="68">
        <v>25</v>
      </c>
      <c r="G430" s="68">
        <v>22</v>
      </c>
      <c r="H430" s="68">
        <v>28</v>
      </c>
      <c r="I430" s="68"/>
      <c r="J430" s="68">
        <v>16</v>
      </c>
      <c r="K430" s="68">
        <v>28</v>
      </c>
      <c r="L430" s="68">
        <v>37</v>
      </c>
      <c r="M430" s="68">
        <v>21</v>
      </c>
      <c r="N430" s="68" t="s">
        <v>427</v>
      </c>
      <c r="O430" s="74">
        <f t="shared" si="216"/>
        <v>106</v>
      </c>
      <c r="P430" s="74">
        <f t="shared" si="217"/>
        <v>102</v>
      </c>
      <c r="Q430" s="74" t="str">
        <f t="shared" si="218"/>
        <v>HW</v>
      </c>
      <c r="R430" s="74" t="str">
        <f t="shared" si="219"/>
        <v>HL</v>
      </c>
      <c r="S430" s="74" t="str">
        <f t="shared" si="220"/>
        <v>HL</v>
      </c>
      <c r="T430" s="74" t="str">
        <f t="shared" si="221"/>
        <v>HW</v>
      </c>
      <c r="U430" s="74" t="str">
        <f t="shared" si="222"/>
        <v>U</v>
      </c>
      <c r="V430" s="74" t="str">
        <f t="shared" si="223"/>
        <v>U</v>
      </c>
      <c r="W430" s="74" t="str">
        <f t="shared" si="224"/>
        <v>O</v>
      </c>
      <c r="X430" s="74" t="str">
        <f t="shared" si="225"/>
        <v>U</v>
      </c>
      <c r="Z430">
        <v>57.5</v>
      </c>
      <c r="AA430" s="74" t="str">
        <f t="shared" si="215"/>
        <v>GS/NO</v>
      </c>
    </row>
    <row r="431" spans="1:27" ht="17.100000000000001" x14ac:dyDescent="0.45">
      <c r="A431" s="50">
        <v>191222</v>
      </c>
      <c r="B431" s="51">
        <v>0.29166666666666669</v>
      </c>
      <c r="C431" s="13" t="s">
        <v>428</v>
      </c>
      <c r="D431" s="15" t="s">
        <v>405</v>
      </c>
      <c r="E431" s="186">
        <v>33</v>
      </c>
      <c r="F431" s="186">
        <v>31</v>
      </c>
      <c r="G431" s="186">
        <v>22</v>
      </c>
      <c r="H431" s="186">
        <v>21</v>
      </c>
      <c r="I431" s="186"/>
      <c r="J431" s="186">
        <v>31</v>
      </c>
      <c r="K431" s="186">
        <v>25</v>
      </c>
      <c r="L431" s="186">
        <v>28</v>
      </c>
      <c r="M431" s="186">
        <v>30</v>
      </c>
      <c r="N431" s="186" t="s">
        <v>427</v>
      </c>
      <c r="O431" s="186">
        <f t="shared" ref="O431:O494" si="226">SUM(E431:I431)</f>
        <v>107</v>
      </c>
      <c r="P431" s="186">
        <f t="shared" ref="P431:P494" si="227">SUM(J431:N431)</f>
        <v>114</v>
      </c>
      <c r="Q431" s="186" t="str">
        <f t="shared" ref="Q431:Q494" si="228">IF(E431=J431,"TT",IF(E431&gt;J431,"HW","HL"))</f>
        <v>HW</v>
      </c>
      <c r="R431" s="186" t="str">
        <f t="shared" ref="R431:R494" si="229">IF(F431=K431,"TT",IF(F431&gt;K431,"HW","HL"))</f>
        <v>HW</v>
      </c>
      <c r="S431" s="186" t="str">
        <f t="shared" ref="S431:S494" si="230">IF(G431=L431,"TT",IF(G431&gt;L431,"HW","HL"))</f>
        <v>HL</v>
      </c>
      <c r="T431" s="186" t="str">
        <f t="shared" ref="T431:T494" si="231">IF(H431=M431,"TT",IF(H431&gt;M431,"HW","HL"))</f>
        <v>HL</v>
      </c>
      <c r="U431" s="186" t="str">
        <f t="shared" ref="U431:U494" si="232">IF(SUM(E431,J431)=$Z431,"T",IF(SUM(E431,J431)&gt;$Z431,"O","U"))</f>
        <v>O</v>
      </c>
      <c r="V431" s="186" t="str">
        <f t="shared" ref="V431:V494" si="233">IF(SUM(F431,K431)=$Z431,"T",IF(SUM(F431,K431)&gt;$Z431,"O","U"))</f>
        <v>O</v>
      </c>
      <c r="W431" s="186" t="str">
        <f t="shared" ref="W431:W494" si="234">IF(SUM(G431,L431)=$Z431,"T",IF(SUM(G431,L431)&gt;$Z431,"O","U"))</f>
        <v>U</v>
      </c>
      <c r="X431" s="186" t="str">
        <f t="shared" ref="X431:X494" si="235">IF(SUM(H431,M431)=$Z431,"T",IF(SUM(H431,M431)&gt;$Z431,"O","U"))</f>
        <v>U</v>
      </c>
      <c r="Y431">
        <v>208.5</v>
      </c>
      <c r="Z431">
        <v>52.5</v>
      </c>
      <c r="AA431" s="74" t="str">
        <f t="shared" si="215"/>
        <v>CHA/UTA</v>
      </c>
    </row>
    <row r="432" spans="1:27" ht="17.100000000000001" x14ac:dyDescent="0.45">
      <c r="A432" s="50">
        <v>191222</v>
      </c>
      <c r="B432" s="51">
        <v>0.33333333333333331</v>
      </c>
      <c r="C432" s="15" t="s">
        <v>407</v>
      </c>
      <c r="D432" s="50" t="s">
        <v>410</v>
      </c>
      <c r="E432" s="186">
        <v>34</v>
      </c>
      <c r="F432" s="186">
        <v>26</v>
      </c>
      <c r="G432" s="186">
        <v>25</v>
      </c>
      <c r="H432" s="186">
        <v>37</v>
      </c>
      <c r="I432" s="186"/>
      <c r="J432" s="186">
        <v>34</v>
      </c>
      <c r="K432" s="186">
        <v>39</v>
      </c>
      <c r="L432" s="186">
        <v>25</v>
      </c>
      <c r="M432" s="186">
        <v>14</v>
      </c>
      <c r="N432" s="186"/>
      <c r="O432" s="186">
        <f t="shared" si="226"/>
        <v>122</v>
      </c>
      <c r="P432" s="186">
        <f t="shared" si="227"/>
        <v>112</v>
      </c>
      <c r="Q432" s="186" t="str">
        <f t="shared" si="228"/>
        <v>TT</v>
      </c>
      <c r="R432" s="186" t="str">
        <f t="shared" si="229"/>
        <v>HL</v>
      </c>
      <c r="S432" s="186" t="str">
        <f t="shared" si="230"/>
        <v>TT</v>
      </c>
      <c r="T432" s="186" t="str">
        <f t="shared" si="231"/>
        <v>HW</v>
      </c>
      <c r="U432" s="186" t="str">
        <f t="shared" si="232"/>
        <v>O</v>
      </c>
      <c r="V432" s="186" t="str">
        <f t="shared" si="233"/>
        <v>O</v>
      </c>
      <c r="W432" s="186" t="str">
        <f t="shared" si="234"/>
        <v>U</v>
      </c>
      <c r="X432" s="186" t="str">
        <f t="shared" si="235"/>
        <v>U</v>
      </c>
      <c r="Y432">
        <v>231</v>
      </c>
      <c r="Z432" s="98">
        <v>58</v>
      </c>
      <c r="AA432" s="74" t="str">
        <f t="shared" si="215"/>
        <v>BKN/ATL</v>
      </c>
    </row>
    <row r="433" spans="1:27" ht="17.100000000000001" x14ac:dyDescent="0.45">
      <c r="A433" s="50">
        <v>191222</v>
      </c>
      <c r="B433" s="51">
        <v>0.375</v>
      </c>
      <c r="C433" s="15" t="s">
        <v>422</v>
      </c>
      <c r="D433" s="13" t="s">
        <v>412</v>
      </c>
      <c r="E433" s="186">
        <v>28</v>
      </c>
      <c r="F433" s="186">
        <v>31</v>
      </c>
      <c r="G433" s="186">
        <v>30</v>
      </c>
      <c r="H433" s="186">
        <v>18</v>
      </c>
      <c r="I433" s="186"/>
      <c r="J433" s="186">
        <v>25</v>
      </c>
      <c r="K433" s="186">
        <v>28</v>
      </c>
      <c r="L433" s="186">
        <v>40</v>
      </c>
      <c r="M433" s="186">
        <v>26</v>
      </c>
      <c r="N433" s="186" t="s">
        <v>427</v>
      </c>
      <c r="O433" s="186">
        <f t="shared" si="226"/>
        <v>107</v>
      </c>
      <c r="P433" s="186">
        <f t="shared" si="227"/>
        <v>119</v>
      </c>
      <c r="Q433" s="186" t="str">
        <f t="shared" si="228"/>
        <v>HW</v>
      </c>
      <c r="R433" s="186" t="str">
        <f t="shared" si="229"/>
        <v>HW</v>
      </c>
      <c r="S433" s="186" t="str">
        <f t="shared" si="230"/>
        <v>HL</v>
      </c>
      <c r="T433" s="186" t="str">
        <f t="shared" si="231"/>
        <v>HL</v>
      </c>
      <c r="U433" s="186" t="str">
        <f t="shared" si="232"/>
        <v>O</v>
      </c>
      <c r="V433" s="186" t="str">
        <f t="shared" si="233"/>
        <v>O</v>
      </c>
      <c r="W433" s="186" t="str">
        <f t="shared" si="234"/>
        <v>O</v>
      </c>
      <c r="X433" s="186" t="str">
        <f t="shared" si="235"/>
        <v>U</v>
      </c>
      <c r="Y433">
        <v>209</v>
      </c>
      <c r="Z433" s="98">
        <v>52.5</v>
      </c>
      <c r="AA433" s="74" t="str">
        <f t="shared" si="215"/>
        <v>DET/CHI</v>
      </c>
    </row>
    <row r="434" spans="1:27" ht="17.100000000000001" x14ac:dyDescent="0.45">
      <c r="A434" s="50">
        <v>191222</v>
      </c>
      <c r="B434" s="51">
        <v>0.375</v>
      </c>
      <c r="C434" s="5" t="s">
        <v>401</v>
      </c>
      <c r="D434" s="50" t="s">
        <v>414</v>
      </c>
      <c r="E434" s="186">
        <v>32</v>
      </c>
      <c r="F434" s="186">
        <v>33</v>
      </c>
      <c r="G434" s="186">
        <v>23</v>
      </c>
      <c r="H434" s="186">
        <v>37</v>
      </c>
      <c r="I434" s="186"/>
      <c r="J434" s="186">
        <v>25</v>
      </c>
      <c r="K434" s="186">
        <v>28</v>
      </c>
      <c r="L434" s="186">
        <v>27</v>
      </c>
      <c r="M434" s="186">
        <v>28</v>
      </c>
      <c r="N434" s="186" t="s">
        <v>427</v>
      </c>
      <c r="O434" s="186">
        <f t="shared" si="226"/>
        <v>125</v>
      </c>
      <c r="P434" s="186">
        <f t="shared" si="227"/>
        <v>108</v>
      </c>
      <c r="Q434" s="186" t="str">
        <f t="shared" si="228"/>
        <v>HW</v>
      </c>
      <c r="R434" s="186" t="str">
        <f t="shared" si="229"/>
        <v>HW</v>
      </c>
      <c r="S434" s="186" t="str">
        <f t="shared" si="230"/>
        <v>HL</v>
      </c>
      <c r="T434" s="186" t="str">
        <f t="shared" si="231"/>
        <v>HW</v>
      </c>
      <c r="U434" s="186" t="str">
        <f t="shared" si="232"/>
        <v>T</v>
      </c>
      <c r="V434" s="186" t="str">
        <f t="shared" si="233"/>
        <v>O</v>
      </c>
      <c r="W434" s="186" t="str">
        <f t="shared" si="234"/>
        <v>U</v>
      </c>
      <c r="X434" s="186" t="str">
        <f t="shared" si="235"/>
        <v>O</v>
      </c>
      <c r="Y434">
        <v>227</v>
      </c>
      <c r="Z434" s="98">
        <v>57</v>
      </c>
      <c r="AA434" s="74" t="str">
        <f t="shared" si="215"/>
        <v>PHI/WAS</v>
      </c>
    </row>
    <row r="435" spans="1:27" ht="17.100000000000001" x14ac:dyDescent="0.45">
      <c r="A435" s="50">
        <v>191222</v>
      </c>
      <c r="B435" s="51">
        <v>0.39583333333333331</v>
      </c>
      <c r="C435" s="50" t="s">
        <v>429</v>
      </c>
      <c r="D435" s="50" t="s">
        <v>423</v>
      </c>
      <c r="E435" s="186">
        <v>23</v>
      </c>
      <c r="F435" s="186">
        <v>31</v>
      </c>
      <c r="G435" s="186">
        <v>16</v>
      </c>
      <c r="H435" s="186">
        <v>32</v>
      </c>
      <c r="I435" s="186"/>
      <c r="J435" s="186">
        <v>37</v>
      </c>
      <c r="K435" s="186">
        <v>31</v>
      </c>
      <c r="L435" s="186">
        <v>27</v>
      </c>
      <c r="M435" s="186">
        <v>28</v>
      </c>
      <c r="N435" s="186" t="s">
        <v>427</v>
      </c>
      <c r="O435" s="186">
        <f t="shared" si="226"/>
        <v>102</v>
      </c>
      <c r="P435" s="186">
        <f t="shared" si="227"/>
        <v>123</v>
      </c>
      <c r="Q435" s="186" t="str">
        <f t="shared" si="228"/>
        <v>HL</v>
      </c>
      <c r="R435" s="186" t="str">
        <f t="shared" si="229"/>
        <v>TT</v>
      </c>
      <c r="S435" s="186" t="str">
        <f t="shared" si="230"/>
        <v>HL</v>
      </c>
      <c r="T435" s="186" t="str">
        <f t="shared" si="231"/>
        <v>HW</v>
      </c>
      <c r="U435" s="186" t="str">
        <f t="shared" si="232"/>
        <v>O</v>
      </c>
      <c r="V435" s="186" t="str">
        <f t="shared" si="233"/>
        <v>O</v>
      </c>
      <c r="W435" s="186" t="str">
        <f t="shared" si="234"/>
        <v>U</v>
      </c>
      <c r="X435" s="186" t="str">
        <f t="shared" si="235"/>
        <v>O</v>
      </c>
      <c r="Y435">
        <v>227</v>
      </c>
      <c r="Z435" s="98">
        <v>57</v>
      </c>
      <c r="AA435" s="74" t="str">
        <f t="shared" si="215"/>
        <v>NYK/MIL</v>
      </c>
    </row>
    <row r="436" spans="1:27" ht="17.100000000000001" x14ac:dyDescent="0.45">
      <c r="A436" s="50">
        <v>191222</v>
      </c>
      <c r="B436" s="51">
        <v>0.41666666666666669</v>
      </c>
      <c r="C436" s="5" t="s">
        <v>406</v>
      </c>
      <c r="D436" s="50" t="s">
        <v>416</v>
      </c>
      <c r="E436" s="186">
        <v>23</v>
      </c>
      <c r="F436" s="186">
        <v>37</v>
      </c>
      <c r="G436" s="186">
        <v>31</v>
      </c>
      <c r="H436" s="186">
        <v>28</v>
      </c>
      <c r="I436" s="186"/>
      <c r="J436" s="186">
        <v>21</v>
      </c>
      <c r="K436" s="186">
        <v>29</v>
      </c>
      <c r="L436" s="186">
        <v>28</v>
      </c>
      <c r="M436" s="186">
        <v>37</v>
      </c>
      <c r="N436" s="186" t="s">
        <v>427</v>
      </c>
      <c r="O436" s="186">
        <f t="shared" si="226"/>
        <v>119</v>
      </c>
      <c r="P436" s="186">
        <f t="shared" si="227"/>
        <v>115</v>
      </c>
      <c r="Q436" s="186" t="str">
        <f t="shared" si="228"/>
        <v>HW</v>
      </c>
      <c r="R436" s="186" t="str">
        <f t="shared" si="229"/>
        <v>HW</v>
      </c>
      <c r="S436" s="186" t="str">
        <f t="shared" si="230"/>
        <v>HW</v>
      </c>
      <c r="T436" s="186" t="str">
        <f t="shared" si="231"/>
        <v>HL</v>
      </c>
      <c r="U436" s="186" t="str">
        <f t="shared" si="232"/>
        <v>U</v>
      </c>
      <c r="V436" s="186" t="str">
        <f t="shared" si="233"/>
        <v>O</v>
      </c>
      <c r="W436" s="186" t="str">
        <f t="shared" si="234"/>
        <v>O</v>
      </c>
      <c r="X436" s="186" t="str">
        <f t="shared" si="235"/>
        <v>O</v>
      </c>
      <c r="Y436">
        <v>221.5</v>
      </c>
      <c r="Z436" s="98">
        <v>55.5</v>
      </c>
      <c r="AA436" s="74" t="str">
        <f t="shared" si="215"/>
        <v>MEM/SAC</v>
      </c>
    </row>
    <row r="437" spans="1:27" ht="17.100000000000001" x14ac:dyDescent="0.45">
      <c r="A437" s="50">
        <v>191222</v>
      </c>
      <c r="B437" s="51">
        <v>0.4375</v>
      </c>
      <c r="C437" s="15" t="s">
        <v>426</v>
      </c>
      <c r="D437" s="11" t="s">
        <v>415</v>
      </c>
      <c r="E437" s="186">
        <v>31</v>
      </c>
      <c r="F437" s="186">
        <v>30</v>
      </c>
      <c r="G437" s="186">
        <v>22</v>
      </c>
      <c r="H437" s="186">
        <v>26</v>
      </c>
      <c r="I437" s="186"/>
      <c r="J437" s="186">
        <v>33</v>
      </c>
      <c r="K437" s="186">
        <v>39</v>
      </c>
      <c r="L437" s="186">
        <v>38</v>
      </c>
      <c r="M437" s="186">
        <v>24</v>
      </c>
      <c r="N437" s="186" t="s">
        <v>427</v>
      </c>
      <c r="O437" s="186">
        <f t="shared" si="226"/>
        <v>109</v>
      </c>
      <c r="P437" s="186">
        <f t="shared" si="227"/>
        <v>134</v>
      </c>
      <c r="Q437" s="186" t="str">
        <f t="shared" si="228"/>
        <v>HL</v>
      </c>
      <c r="R437" s="186" t="str">
        <f t="shared" si="229"/>
        <v>HL</v>
      </c>
      <c r="S437" s="186" t="str">
        <f t="shared" si="230"/>
        <v>HL</v>
      </c>
      <c r="T437" s="186" t="str">
        <f t="shared" si="231"/>
        <v>HW</v>
      </c>
      <c r="U437" s="186" t="str">
        <f t="shared" si="232"/>
        <v>O</v>
      </c>
      <c r="V437" s="186" t="str">
        <f t="shared" si="233"/>
        <v>O</v>
      </c>
      <c r="W437" s="186" t="str">
        <f t="shared" si="234"/>
        <v>O</v>
      </c>
      <c r="X437" s="186" t="str">
        <f t="shared" si="235"/>
        <v>U</v>
      </c>
      <c r="Y437">
        <v>226</v>
      </c>
      <c r="Z437" s="98">
        <v>56.5</v>
      </c>
      <c r="AA437" s="74" t="str">
        <f t="shared" si="215"/>
        <v>SAS/LAC</v>
      </c>
    </row>
    <row r="438" spans="1:27" ht="17.100000000000001" x14ac:dyDescent="0.45">
      <c r="A438" s="50">
        <v>191222</v>
      </c>
      <c r="B438" s="51">
        <v>0.45833333333333331</v>
      </c>
      <c r="C438" s="50" t="s">
        <v>430</v>
      </c>
      <c r="D438" s="50" t="s">
        <v>403</v>
      </c>
      <c r="E438" s="186">
        <v>35</v>
      </c>
      <c r="F438" s="186">
        <v>30</v>
      </c>
      <c r="G438" s="186">
        <v>30</v>
      </c>
      <c r="H438" s="186">
        <v>30</v>
      </c>
      <c r="I438" s="186"/>
      <c r="J438" s="186">
        <v>36</v>
      </c>
      <c r="K438" s="186">
        <v>34</v>
      </c>
      <c r="L438" s="186">
        <v>36</v>
      </c>
      <c r="M438" s="186">
        <v>33</v>
      </c>
      <c r="N438" s="186" t="s">
        <v>427</v>
      </c>
      <c r="O438" s="186">
        <f t="shared" si="226"/>
        <v>125</v>
      </c>
      <c r="P438" s="186">
        <f t="shared" si="227"/>
        <v>139</v>
      </c>
      <c r="Q438" s="186" t="str">
        <f t="shared" si="228"/>
        <v>HL</v>
      </c>
      <c r="R438" s="186" t="str">
        <f t="shared" si="229"/>
        <v>HL</v>
      </c>
      <c r="S438" s="186" t="str">
        <f t="shared" si="230"/>
        <v>HL</v>
      </c>
      <c r="T438" s="186" t="str">
        <f t="shared" si="231"/>
        <v>HL</v>
      </c>
      <c r="U438" s="186" t="str">
        <f t="shared" si="232"/>
        <v>O</v>
      </c>
      <c r="V438" s="186" t="str">
        <f t="shared" si="233"/>
        <v>O</v>
      </c>
      <c r="W438" s="186" t="str">
        <f t="shared" si="234"/>
        <v>O</v>
      </c>
      <c r="X438" s="186" t="str">
        <f t="shared" si="235"/>
        <v>O</v>
      </c>
      <c r="Y438">
        <v>235</v>
      </c>
      <c r="Z438" s="98">
        <v>59</v>
      </c>
      <c r="AA438" s="74" t="str">
        <f t="shared" si="215"/>
        <v>PHO/HOU</v>
      </c>
    </row>
    <row r="439" spans="1:27" ht="17.100000000000001" x14ac:dyDescent="0.45">
      <c r="A439" s="50">
        <v>191222</v>
      </c>
      <c r="B439" s="51">
        <v>0.5</v>
      </c>
      <c r="C439" s="50" t="s">
        <v>417</v>
      </c>
      <c r="D439" s="50" t="s">
        <v>420</v>
      </c>
      <c r="E439" s="186">
        <v>27</v>
      </c>
      <c r="F439" s="186">
        <v>34</v>
      </c>
      <c r="G439" s="186">
        <v>22</v>
      </c>
      <c r="H439" s="186">
        <v>30</v>
      </c>
      <c r="I439" s="186"/>
      <c r="J439" s="186">
        <v>23</v>
      </c>
      <c r="K439" s="186">
        <v>29</v>
      </c>
      <c r="L439" s="186">
        <v>28</v>
      </c>
      <c r="M439" s="186">
        <v>26</v>
      </c>
      <c r="N439" s="186" t="s">
        <v>427</v>
      </c>
      <c r="O439" s="186">
        <f t="shared" si="226"/>
        <v>113</v>
      </c>
      <c r="P439" s="186">
        <f t="shared" si="227"/>
        <v>106</v>
      </c>
      <c r="Q439" s="186" t="str">
        <f t="shared" si="228"/>
        <v>HW</v>
      </c>
      <c r="R439" s="186" t="str">
        <f t="shared" si="229"/>
        <v>HW</v>
      </c>
      <c r="S439" s="186" t="str">
        <f t="shared" si="230"/>
        <v>HL</v>
      </c>
      <c r="T439" s="186" t="str">
        <f t="shared" si="231"/>
        <v>HW</v>
      </c>
      <c r="U439" s="186" t="str">
        <f t="shared" si="232"/>
        <v>U</v>
      </c>
      <c r="V439" s="186" t="str">
        <f t="shared" si="233"/>
        <v>O</v>
      </c>
      <c r="W439" s="186" t="str">
        <f t="shared" si="234"/>
        <v>U</v>
      </c>
      <c r="X439" s="186" t="str">
        <f t="shared" si="235"/>
        <v>U</v>
      </c>
      <c r="Y439">
        <v>228</v>
      </c>
      <c r="Z439" s="98">
        <v>57</v>
      </c>
      <c r="AA439" s="74" t="str">
        <f t="shared" si="215"/>
        <v>POR/MIN</v>
      </c>
    </row>
    <row r="440" spans="1:27" ht="17.100000000000001" x14ac:dyDescent="0.45">
      <c r="A440" s="74">
        <v>191223</v>
      </c>
      <c r="B440" s="77">
        <v>0.22916666666666666</v>
      </c>
      <c r="C440" s="76" t="s">
        <v>413</v>
      </c>
      <c r="D440" s="76" t="s">
        <v>397</v>
      </c>
      <c r="E440" s="186">
        <v>20</v>
      </c>
      <c r="F440" s="186">
        <v>22</v>
      </c>
      <c r="G440" s="186">
        <v>21</v>
      </c>
      <c r="H440" s="186">
        <v>47</v>
      </c>
      <c r="I440" s="186"/>
      <c r="J440" s="186">
        <v>17</v>
      </c>
      <c r="K440" s="186">
        <v>34</v>
      </c>
      <c r="L440" s="186">
        <v>35</v>
      </c>
      <c r="M440" s="186">
        <v>21</v>
      </c>
      <c r="N440" s="186" t="s">
        <v>427</v>
      </c>
      <c r="O440" s="186">
        <f t="shared" si="226"/>
        <v>110</v>
      </c>
      <c r="P440" s="186">
        <f t="shared" si="227"/>
        <v>107</v>
      </c>
      <c r="Q440" s="186" t="str">
        <f t="shared" si="228"/>
        <v>HW</v>
      </c>
      <c r="R440" s="186" t="str">
        <f t="shared" si="229"/>
        <v>HL</v>
      </c>
      <c r="S440" s="186" t="str">
        <f t="shared" si="230"/>
        <v>HL</v>
      </c>
      <c r="T440" s="186" t="str">
        <f t="shared" si="231"/>
        <v>HW</v>
      </c>
      <c r="U440" s="186" t="str">
        <f t="shared" si="232"/>
        <v>U</v>
      </c>
      <c r="V440" s="186" t="str">
        <f t="shared" si="233"/>
        <v>O</v>
      </c>
      <c r="W440" s="186" t="str">
        <f t="shared" si="234"/>
        <v>O</v>
      </c>
      <c r="X440" s="186" t="str">
        <f t="shared" si="235"/>
        <v>O</v>
      </c>
      <c r="Y440">
        <v>218.5</v>
      </c>
      <c r="Z440" s="98">
        <v>55</v>
      </c>
      <c r="AA440" s="90" t="str">
        <f t="shared" si="215"/>
        <v>TOR/DAL</v>
      </c>
    </row>
    <row r="441" spans="1:27" ht="17.100000000000001" x14ac:dyDescent="0.45">
      <c r="A441" s="76">
        <v>191223</v>
      </c>
      <c r="B441" s="77">
        <v>0.33333333333333331</v>
      </c>
      <c r="C441" s="76" t="s">
        <v>421</v>
      </c>
      <c r="D441" s="76" t="s">
        <v>409</v>
      </c>
      <c r="E441" s="186">
        <v>30</v>
      </c>
      <c r="F441" s="186">
        <v>29</v>
      </c>
      <c r="G441" s="186">
        <v>25</v>
      </c>
      <c r="H441" s="186">
        <v>35</v>
      </c>
      <c r="I441" s="186"/>
      <c r="J441" s="186">
        <v>37</v>
      </c>
      <c r="K441" s="186">
        <v>19</v>
      </c>
      <c r="L441" s="186">
        <v>21</v>
      </c>
      <c r="M441" s="186">
        <v>16</v>
      </c>
      <c r="N441" s="186" t="s">
        <v>427</v>
      </c>
      <c r="O441" s="186">
        <f t="shared" si="226"/>
        <v>119</v>
      </c>
      <c r="P441" s="186">
        <f t="shared" si="227"/>
        <v>93</v>
      </c>
      <c r="Q441" s="186" t="str">
        <f t="shared" si="228"/>
        <v>HL</v>
      </c>
      <c r="R441" s="186" t="str">
        <f t="shared" si="229"/>
        <v>HW</v>
      </c>
      <c r="S441" s="186" t="str">
        <f t="shared" si="230"/>
        <v>HW</v>
      </c>
      <c r="T441" s="186" t="str">
        <f t="shared" si="231"/>
        <v>HW</v>
      </c>
      <c r="U441" s="186" t="str">
        <f t="shared" si="232"/>
        <v>O</v>
      </c>
      <c r="V441" s="186" t="str">
        <f t="shared" si="233"/>
        <v>U</v>
      </c>
      <c r="W441" s="186" t="str">
        <f t="shared" si="234"/>
        <v>U</v>
      </c>
      <c r="X441" s="186" t="str">
        <f t="shared" si="235"/>
        <v>U</v>
      </c>
      <c r="Y441">
        <v>209.5</v>
      </c>
      <c r="Z441" s="98">
        <v>52.5</v>
      </c>
      <c r="AA441" s="90" t="str">
        <f t="shared" si="215"/>
        <v>BOS/CHA</v>
      </c>
    </row>
    <row r="442" spans="1:27" ht="17.100000000000001" x14ac:dyDescent="0.45">
      <c r="A442" s="76">
        <v>191223</v>
      </c>
      <c r="B442" s="77">
        <v>0.375</v>
      </c>
      <c r="C442" s="76" t="s">
        <v>423</v>
      </c>
      <c r="D442" s="76" t="s">
        <v>400</v>
      </c>
      <c r="E442" s="186">
        <v>21</v>
      </c>
      <c r="F442" s="186">
        <v>38</v>
      </c>
      <c r="G442" s="186">
        <v>24</v>
      </c>
      <c r="H442" s="186">
        <v>34</v>
      </c>
      <c r="I442" s="186"/>
      <c r="J442" s="186">
        <v>22</v>
      </c>
      <c r="K442" s="186">
        <v>33</v>
      </c>
      <c r="L442" s="186">
        <v>18</v>
      </c>
      <c r="M442" s="186">
        <v>16</v>
      </c>
      <c r="N442" s="186"/>
      <c r="O442" s="186">
        <f t="shared" si="226"/>
        <v>117</v>
      </c>
      <c r="P442" s="186">
        <f t="shared" si="227"/>
        <v>89</v>
      </c>
      <c r="Q442" s="186" t="str">
        <f t="shared" si="228"/>
        <v>HL</v>
      </c>
      <c r="R442" s="186" t="str">
        <f t="shared" si="229"/>
        <v>HW</v>
      </c>
      <c r="S442" s="186" t="str">
        <f t="shared" si="230"/>
        <v>HW</v>
      </c>
      <c r="T442" s="186" t="str">
        <f t="shared" si="231"/>
        <v>HW</v>
      </c>
      <c r="U442" s="186" t="str">
        <f t="shared" si="232"/>
        <v>U</v>
      </c>
      <c r="V442" s="186" t="str">
        <f t="shared" si="233"/>
        <v>O</v>
      </c>
      <c r="W442" s="186" t="str">
        <f t="shared" si="234"/>
        <v>U</v>
      </c>
      <c r="X442" s="186" t="str">
        <f t="shared" si="235"/>
        <v>U</v>
      </c>
      <c r="Y442">
        <v>221</v>
      </c>
      <c r="Z442" s="98">
        <v>55.5</v>
      </c>
      <c r="AA442" s="90" t="str">
        <f t="shared" si="215"/>
        <v>MIL/IND</v>
      </c>
    </row>
    <row r="443" spans="1:27" ht="17.100000000000001" x14ac:dyDescent="0.45">
      <c r="A443" s="76">
        <v>191223</v>
      </c>
      <c r="B443" s="77">
        <v>0.375</v>
      </c>
      <c r="C443" s="76" t="s">
        <v>418</v>
      </c>
      <c r="D443" s="76" t="s">
        <v>415</v>
      </c>
      <c r="E443" s="186">
        <v>27</v>
      </c>
      <c r="F443" s="186">
        <v>30</v>
      </c>
      <c r="G443" s="186">
        <v>29</v>
      </c>
      <c r="H443" s="186">
        <v>32</v>
      </c>
      <c r="I443" s="186"/>
      <c r="J443" s="186">
        <v>33</v>
      </c>
      <c r="K443" s="186">
        <v>30</v>
      </c>
      <c r="L443" s="186">
        <v>26</v>
      </c>
      <c r="M443" s="186">
        <v>23</v>
      </c>
      <c r="N443" s="186" t="s">
        <v>427</v>
      </c>
      <c r="O443" s="186">
        <f t="shared" si="226"/>
        <v>118</v>
      </c>
      <c r="P443" s="186">
        <f t="shared" si="227"/>
        <v>112</v>
      </c>
      <c r="Q443" s="186" t="str">
        <f t="shared" si="228"/>
        <v>HL</v>
      </c>
      <c r="R443" s="186" t="str">
        <f t="shared" si="229"/>
        <v>TT</v>
      </c>
      <c r="S443" s="186" t="str">
        <f t="shared" si="230"/>
        <v>HW</v>
      </c>
      <c r="T443" s="186" t="str">
        <f t="shared" si="231"/>
        <v>HW</v>
      </c>
      <c r="U443" s="186" t="str">
        <f t="shared" si="232"/>
        <v>O</v>
      </c>
      <c r="V443" s="186" t="str">
        <f t="shared" si="233"/>
        <v>O</v>
      </c>
      <c r="W443" s="186" t="str">
        <f t="shared" si="234"/>
        <v>U</v>
      </c>
      <c r="X443" s="186" t="str">
        <f t="shared" si="235"/>
        <v>U</v>
      </c>
      <c r="Y443">
        <v>223.5</v>
      </c>
      <c r="Z443" s="98">
        <v>56</v>
      </c>
      <c r="AA443" s="90" t="str">
        <f t="shared" si="215"/>
        <v>OKC/LAC</v>
      </c>
    </row>
    <row r="444" spans="1:27" ht="17.100000000000001" x14ac:dyDescent="0.45">
      <c r="A444" s="76">
        <v>191223</v>
      </c>
      <c r="B444" s="77">
        <v>0.47916666666666669</v>
      </c>
      <c r="C444" s="76" t="s">
        <v>419</v>
      </c>
      <c r="D444" s="76" t="s">
        <v>408</v>
      </c>
      <c r="E444" s="186">
        <v>28</v>
      </c>
      <c r="F444" s="186">
        <v>25</v>
      </c>
      <c r="G444" s="186">
        <v>25</v>
      </c>
      <c r="H444" s="186">
        <v>26</v>
      </c>
      <c r="I444" s="186"/>
      <c r="J444" s="186">
        <v>23</v>
      </c>
      <c r="K444" s="186">
        <v>32</v>
      </c>
      <c r="L444" s="186">
        <v>36</v>
      </c>
      <c r="M444" s="186">
        <v>37</v>
      </c>
      <c r="N444" s="186" t="s">
        <v>427</v>
      </c>
      <c r="O444" s="186">
        <f t="shared" si="226"/>
        <v>104</v>
      </c>
      <c r="P444" s="186">
        <f t="shared" si="227"/>
        <v>128</v>
      </c>
      <c r="Q444" s="186" t="str">
        <f t="shared" si="228"/>
        <v>HW</v>
      </c>
      <c r="R444" s="186" t="str">
        <f t="shared" si="229"/>
        <v>HL</v>
      </c>
      <c r="S444" s="186" t="str">
        <f t="shared" si="230"/>
        <v>HL</v>
      </c>
      <c r="T444" s="186" t="str">
        <f t="shared" si="231"/>
        <v>HL</v>
      </c>
      <c r="U444" s="186" t="str">
        <f t="shared" si="232"/>
        <v>U</v>
      </c>
      <c r="V444" s="186" t="str">
        <f t="shared" si="233"/>
        <v>O</v>
      </c>
      <c r="W444" s="186" t="str">
        <f t="shared" si="234"/>
        <v>O</v>
      </c>
      <c r="X444" s="186" t="str">
        <f t="shared" si="235"/>
        <v>O</v>
      </c>
      <c r="Y444">
        <v>208</v>
      </c>
      <c r="Z444" s="98">
        <v>52</v>
      </c>
      <c r="AA444" s="90" t="str">
        <f t="shared" si="215"/>
        <v>LAL/DEN</v>
      </c>
    </row>
    <row r="445" spans="1:27" ht="17.100000000000001" x14ac:dyDescent="0.45">
      <c r="A445" s="76">
        <v>191224</v>
      </c>
      <c r="B445" s="79">
        <v>0.375</v>
      </c>
      <c r="C445" s="78" t="s">
        <v>402</v>
      </c>
      <c r="D445" s="78" t="s">
        <v>410</v>
      </c>
      <c r="E445" s="186">
        <v>42</v>
      </c>
      <c r="F445" s="186">
        <v>29</v>
      </c>
      <c r="G445" s="186">
        <v>23</v>
      </c>
      <c r="H445" s="186">
        <v>27</v>
      </c>
      <c r="I445" s="186"/>
      <c r="J445" s="186">
        <v>32</v>
      </c>
      <c r="K445" s="186">
        <v>32</v>
      </c>
      <c r="L445" s="186">
        <v>30</v>
      </c>
      <c r="M445" s="186">
        <v>24</v>
      </c>
      <c r="N445" s="186" t="s">
        <v>427</v>
      </c>
      <c r="O445" s="186">
        <f t="shared" si="226"/>
        <v>121</v>
      </c>
      <c r="P445" s="186">
        <f t="shared" si="227"/>
        <v>118</v>
      </c>
      <c r="Q445" s="186" t="str">
        <f t="shared" si="228"/>
        <v>HW</v>
      </c>
      <c r="R445" s="186" t="str">
        <f t="shared" si="229"/>
        <v>HL</v>
      </c>
      <c r="S445" s="186" t="str">
        <f t="shared" si="230"/>
        <v>HL</v>
      </c>
      <c r="T445" s="186" t="str">
        <f t="shared" si="231"/>
        <v>HW</v>
      </c>
      <c r="U445" s="186" t="str">
        <f t="shared" si="232"/>
        <v>O</v>
      </c>
      <c r="V445" s="186" t="str">
        <f t="shared" si="233"/>
        <v>O</v>
      </c>
      <c r="W445" s="186" t="str">
        <f t="shared" si="234"/>
        <v>U</v>
      </c>
      <c r="X445" s="186" t="str">
        <f t="shared" si="235"/>
        <v>U</v>
      </c>
      <c r="Y445">
        <v>229.5</v>
      </c>
      <c r="Z445" s="98">
        <v>57.5</v>
      </c>
      <c r="AA445" s="90" t="str">
        <f t="shared" si="215"/>
        <v>CLE/ATL</v>
      </c>
    </row>
    <row r="446" spans="1:27" ht="17.100000000000001" x14ac:dyDescent="0.45">
      <c r="A446" s="78">
        <v>191224</v>
      </c>
      <c r="B446" s="79">
        <v>0.375</v>
      </c>
      <c r="C446" s="78" t="s">
        <v>422</v>
      </c>
      <c r="D446" s="78" t="s">
        <v>401</v>
      </c>
      <c r="E446" s="186">
        <v>23</v>
      </c>
      <c r="F446" s="186">
        <v>29</v>
      </c>
      <c r="G446" s="186">
        <v>34</v>
      </c>
      <c r="H446" s="186">
        <v>23</v>
      </c>
      <c r="I446" s="186"/>
      <c r="J446" s="186">
        <v>30</v>
      </c>
      <c r="K446" s="186">
        <v>30</v>
      </c>
      <c r="L446" s="186">
        <v>34</v>
      </c>
      <c r="M446" s="186">
        <v>31</v>
      </c>
      <c r="N446" s="186" t="s">
        <v>427</v>
      </c>
      <c r="O446" s="186">
        <f t="shared" si="226"/>
        <v>109</v>
      </c>
      <c r="P446" s="186">
        <f t="shared" si="227"/>
        <v>125</v>
      </c>
      <c r="Q446" s="186" t="str">
        <f t="shared" si="228"/>
        <v>HL</v>
      </c>
      <c r="R446" s="186" t="str">
        <f t="shared" si="229"/>
        <v>HL</v>
      </c>
      <c r="S446" s="186" t="str">
        <f t="shared" si="230"/>
        <v>TT</v>
      </c>
      <c r="T446" s="186" t="str">
        <f t="shared" si="231"/>
        <v>HL</v>
      </c>
      <c r="U446" s="186" t="str">
        <f t="shared" si="232"/>
        <v>U</v>
      </c>
      <c r="V446" s="186" t="str">
        <f t="shared" si="233"/>
        <v>O</v>
      </c>
      <c r="W446" s="186" t="str">
        <f t="shared" si="234"/>
        <v>O</v>
      </c>
      <c r="X446" s="186" t="str">
        <f t="shared" si="235"/>
        <v>T</v>
      </c>
      <c r="Y446">
        <v>215</v>
      </c>
      <c r="Z446" s="98">
        <v>54</v>
      </c>
      <c r="AA446" s="90" t="str">
        <f t="shared" si="215"/>
        <v>DET/PHI</v>
      </c>
    </row>
    <row r="447" spans="1:27" ht="17.100000000000001" x14ac:dyDescent="0.45">
      <c r="A447" s="78">
        <v>191224</v>
      </c>
      <c r="B447" s="79">
        <v>0.375</v>
      </c>
      <c r="C447" s="78" t="s">
        <v>400</v>
      </c>
      <c r="D447" s="78" t="s">
        <v>413</v>
      </c>
      <c r="E447" s="186">
        <v>30</v>
      </c>
      <c r="F447" s="186">
        <v>24</v>
      </c>
      <c r="G447" s="186">
        <v>24</v>
      </c>
      <c r="H447" s="186">
        <v>29</v>
      </c>
      <c r="I447" s="186">
        <v>13</v>
      </c>
      <c r="J447" s="186">
        <v>19</v>
      </c>
      <c r="K447" s="186">
        <v>25</v>
      </c>
      <c r="L447" s="186">
        <v>35</v>
      </c>
      <c r="M447" s="186">
        <v>28</v>
      </c>
      <c r="N447" s="186">
        <v>8</v>
      </c>
      <c r="O447" s="186">
        <f t="shared" si="226"/>
        <v>120</v>
      </c>
      <c r="P447" s="186">
        <f t="shared" si="227"/>
        <v>115</v>
      </c>
      <c r="Q447" s="186" t="str">
        <f t="shared" si="228"/>
        <v>HW</v>
      </c>
      <c r="R447" s="186" t="str">
        <f t="shared" si="229"/>
        <v>HL</v>
      </c>
      <c r="S447" s="186" t="str">
        <f t="shared" si="230"/>
        <v>HL</v>
      </c>
      <c r="T447" s="186" t="str">
        <f t="shared" si="231"/>
        <v>HW</v>
      </c>
      <c r="U447" s="186" t="str">
        <f t="shared" si="232"/>
        <v>U</v>
      </c>
      <c r="V447" s="186" t="str">
        <f t="shared" si="233"/>
        <v>U</v>
      </c>
      <c r="W447" s="186" t="str">
        <f t="shared" si="234"/>
        <v>O</v>
      </c>
      <c r="X447" s="186" t="str">
        <f t="shared" si="235"/>
        <v>O</v>
      </c>
      <c r="Y447">
        <v>209.5</v>
      </c>
      <c r="Z447" s="98">
        <v>52.5</v>
      </c>
      <c r="AA447" s="90" t="str">
        <f t="shared" si="215"/>
        <v>IND/TOR</v>
      </c>
    </row>
    <row r="448" spans="1:27" ht="17.100000000000001" x14ac:dyDescent="0.45">
      <c r="A448" s="78">
        <v>191224</v>
      </c>
      <c r="B448" s="79">
        <v>0.375</v>
      </c>
      <c r="C448" s="78" t="s">
        <v>399</v>
      </c>
      <c r="D448" s="78" t="s">
        <v>414</v>
      </c>
      <c r="E448" s="186">
        <v>37</v>
      </c>
      <c r="F448" s="186">
        <v>27</v>
      </c>
      <c r="G448" s="186">
        <v>27</v>
      </c>
      <c r="H448" s="186">
        <v>24</v>
      </c>
      <c r="I448" s="186"/>
      <c r="J448" s="186">
        <v>32</v>
      </c>
      <c r="K448" s="186">
        <v>31</v>
      </c>
      <c r="L448" s="186">
        <v>31</v>
      </c>
      <c r="M448" s="186">
        <v>27</v>
      </c>
      <c r="N448" s="186" t="s">
        <v>427</v>
      </c>
      <c r="O448" s="186">
        <f t="shared" si="226"/>
        <v>115</v>
      </c>
      <c r="P448" s="186">
        <f t="shared" si="227"/>
        <v>121</v>
      </c>
      <c r="Q448" s="186" t="str">
        <f t="shared" si="228"/>
        <v>HW</v>
      </c>
      <c r="R448" s="186" t="str">
        <f t="shared" si="229"/>
        <v>HL</v>
      </c>
      <c r="S448" s="186" t="str">
        <f t="shared" si="230"/>
        <v>HL</v>
      </c>
      <c r="T448" s="186" t="str">
        <f t="shared" si="231"/>
        <v>HL</v>
      </c>
      <c r="U448" s="186" t="str">
        <f t="shared" si="232"/>
        <v>O</v>
      </c>
      <c r="V448" s="186" t="str">
        <f t="shared" si="233"/>
        <v>O</v>
      </c>
      <c r="W448" s="186" t="str">
        <f t="shared" si="234"/>
        <v>O</v>
      </c>
      <c r="X448" s="186" t="str">
        <f t="shared" si="235"/>
        <v>U</v>
      </c>
      <c r="Y448">
        <v>228</v>
      </c>
      <c r="Z448" s="98">
        <v>57</v>
      </c>
      <c r="AA448" s="90" t="str">
        <f t="shared" si="215"/>
        <v>NYK/WAS</v>
      </c>
    </row>
    <row r="449" spans="1:27" ht="17.100000000000001" x14ac:dyDescent="0.45">
      <c r="A449" s="78">
        <v>191224</v>
      </c>
      <c r="B449" s="79">
        <v>0.375</v>
      </c>
      <c r="C449" s="78" t="s">
        <v>424</v>
      </c>
      <c r="D449" s="78" t="s">
        <v>412</v>
      </c>
      <c r="E449" s="186">
        <v>28</v>
      </c>
      <c r="F449" s="186">
        <v>23</v>
      </c>
      <c r="G449" s="186">
        <v>32</v>
      </c>
      <c r="H449" s="186">
        <v>20</v>
      </c>
      <c r="I449" s="186"/>
      <c r="J449" s="186">
        <v>28</v>
      </c>
      <c r="K449" s="186">
        <v>26</v>
      </c>
      <c r="L449" s="186">
        <v>27</v>
      </c>
      <c r="M449" s="186">
        <v>14</v>
      </c>
      <c r="N449" s="186" t="s">
        <v>427</v>
      </c>
      <c r="O449" s="186">
        <f t="shared" si="226"/>
        <v>103</v>
      </c>
      <c r="P449" s="186">
        <f t="shared" si="227"/>
        <v>95</v>
      </c>
      <c r="Q449" s="186" t="str">
        <f t="shared" si="228"/>
        <v>TT</v>
      </c>
      <c r="R449" s="186" t="str">
        <f t="shared" si="229"/>
        <v>HL</v>
      </c>
      <c r="S449" s="186" t="str">
        <f t="shared" si="230"/>
        <v>HW</v>
      </c>
      <c r="T449" s="186" t="str">
        <f t="shared" si="231"/>
        <v>HW</v>
      </c>
      <c r="U449" s="186" t="str">
        <f t="shared" si="232"/>
        <v>O</v>
      </c>
      <c r="V449" s="186" t="str">
        <f t="shared" si="233"/>
        <v>U</v>
      </c>
      <c r="W449" s="186" t="str">
        <f t="shared" si="234"/>
        <v>O</v>
      </c>
      <c r="X449" s="186" t="str">
        <f t="shared" si="235"/>
        <v>U</v>
      </c>
      <c r="Y449">
        <v>205</v>
      </c>
      <c r="Z449" s="98">
        <v>51.5</v>
      </c>
      <c r="AA449" s="90" t="str">
        <f t="shared" si="215"/>
        <v>ORL/CHI</v>
      </c>
    </row>
    <row r="450" spans="1:27" ht="17.100000000000001" x14ac:dyDescent="0.45">
      <c r="A450" s="78">
        <v>191224</v>
      </c>
      <c r="B450" s="79">
        <v>0.39583333333333331</v>
      </c>
      <c r="C450" s="78" t="s">
        <v>411</v>
      </c>
      <c r="D450" s="78" t="s">
        <v>405</v>
      </c>
      <c r="E450" s="186">
        <v>32</v>
      </c>
      <c r="F450" s="186">
        <v>21</v>
      </c>
      <c r="G450" s="186">
        <v>23</v>
      </c>
      <c r="H450" s="186">
        <v>31</v>
      </c>
      <c r="I450" s="186"/>
      <c r="J450" s="186">
        <v>28</v>
      </c>
      <c r="K450" s="186">
        <v>24</v>
      </c>
      <c r="L450" s="186">
        <v>29</v>
      </c>
      <c r="M450" s="186">
        <v>23</v>
      </c>
      <c r="N450" s="186" t="s">
        <v>427</v>
      </c>
      <c r="O450" s="186">
        <f t="shared" si="226"/>
        <v>107</v>
      </c>
      <c r="P450" s="186">
        <f t="shared" si="227"/>
        <v>104</v>
      </c>
      <c r="Q450" s="186" t="str">
        <f t="shared" si="228"/>
        <v>HW</v>
      </c>
      <c r="R450" s="186" t="str">
        <f t="shared" si="229"/>
        <v>HL</v>
      </c>
      <c r="S450" s="186" t="str">
        <f t="shared" si="230"/>
        <v>HL</v>
      </c>
      <c r="T450" s="186" t="str">
        <f t="shared" si="231"/>
        <v>HW</v>
      </c>
      <c r="U450" s="186" t="str">
        <f t="shared" si="232"/>
        <v>O</v>
      </c>
      <c r="V450" s="186" t="str">
        <f t="shared" si="233"/>
        <v>U</v>
      </c>
      <c r="W450" s="186" t="str">
        <f t="shared" si="234"/>
        <v>U</v>
      </c>
      <c r="X450" s="186" t="str">
        <f t="shared" si="235"/>
        <v>O</v>
      </c>
      <c r="Y450">
        <v>213.5</v>
      </c>
      <c r="Z450" s="98">
        <v>53.5</v>
      </c>
      <c r="AA450" s="90" t="str">
        <f t="shared" si="215"/>
        <v>MIA/UTA</v>
      </c>
    </row>
    <row r="451" spans="1:27" ht="17.100000000000001" x14ac:dyDescent="0.45">
      <c r="A451" s="78">
        <v>191224</v>
      </c>
      <c r="B451" s="79">
        <v>0.41666666666666669</v>
      </c>
      <c r="C451" s="78" t="s">
        <v>406</v>
      </c>
      <c r="D451" s="78" t="s">
        <v>426</v>
      </c>
      <c r="E451" s="186">
        <v>31</v>
      </c>
      <c r="F451" s="186">
        <v>30</v>
      </c>
      <c r="G451" s="186">
        <v>28</v>
      </c>
      <c r="H451" s="186">
        <v>26</v>
      </c>
      <c r="I451" s="186"/>
      <c r="J451" s="186">
        <v>46</v>
      </c>
      <c r="K451" s="186">
        <v>26</v>
      </c>
      <c r="L451" s="186">
        <v>36</v>
      </c>
      <c r="M451" s="186">
        <v>37</v>
      </c>
      <c r="N451" s="186" t="s">
        <v>427</v>
      </c>
      <c r="O451" s="186">
        <f t="shared" si="226"/>
        <v>115</v>
      </c>
      <c r="P451" s="186">
        <f t="shared" si="227"/>
        <v>145</v>
      </c>
      <c r="Q451" s="186" t="str">
        <f t="shared" si="228"/>
        <v>HL</v>
      </c>
      <c r="R451" s="186" t="str">
        <f t="shared" si="229"/>
        <v>HW</v>
      </c>
      <c r="S451" s="186" t="str">
        <f t="shared" si="230"/>
        <v>HL</v>
      </c>
      <c r="T451" s="186" t="str">
        <f t="shared" si="231"/>
        <v>HL</v>
      </c>
      <c r="U451" s="186" t="str">
        <f t="shared" si="232"/>
        <v>O</v>
      </c>
      <c r="V451" s="186" t="str">
        <f t="shared" si="233"/>
        <v>U</v>
      </c>
      <c r="W451" s="186" t="str">
        <f t="shared" si="234"/>
        <v>O</v>
      </c>
      <c r="X451" s="186" t="str">
        <f t="shared" si="235"/>
        <v>O</v>
      </c>
      <c r="Y451">
        <v>227</v>
      </c>
      <c r="Z451" s="98">
        <v>57</v>
      </c>
      <c r="AA451" s="90" t="str">
        <f t="shared" si="215"/>
        <v>MEM/SAS</v>
      </c>
    </row>
    <row r="452" spans="1:27" ht="17.100000000000001" x14ac:dyDescent="0.45">
      <c r="A452" s="78">
        <v>191224</v>
      </c>
      <c r="B452" s="79">
        <v>0.45833333333333331</v>
      </c>
      <c r="C452" s="78" t="s">
        <v>404</v>
      </c>
      <c r="D452" s="78" t="s">
        <v>408</v>
      </c>
      <c r="E452" s="186">
        <v>22</v>
      </c>
      <c r="F452" s="186">
        <v>27</v>
      </c>
      <c r="G452" s="186">
        <v>32</v>
      </c>
      <c r="H452" s="186">
        <v>30</v>
      </c>
      <c r="I452" s="186"/>
      <c r="J452" s="186">
        <v>34</v>
      </c>
      <c r="K452" s="186">
        <v>22</v>
      </c>
      <c r="L452" s="186">
        <v>26</v>
      </c>
      <c r="M452" s="186">
        <v>31</v>
      </c>
      <c r="N452" s="186" t="s">
        <v>427</v>
      </c>
      <c r="O452" s="186">
        <f t="shared" si="226"/>
        <v>111</v>
      </c>
      <c r="P452" s="186">
        <f t="shared" si="227"/>
        <v>113</v>
      </c>
      <c r="Q452" s="186" t="str">
        <f t="shared" si="228"/>
        <v>HL</v>
      </c>
      <c r="R452" s="186" t="str">
        <f t="shared" si="229"/>
        <v>HW</v>
      </c>
      <c r="S452" s="186" t="str">
        <f t="shared" si="230"/>
        <v>HW</v>
      </c>
      <c r="T452" s="186" t="str">
        <f t="shared" si="231"/>
        <v>HL</v>
      </c>
      <c r="U452" s="186" t="str">
        <f t="shared" si="232"/>
        <v>O</v>
      </c>
      <c r="V452" s="186" t="str">
        <f t="shared" si="233"/>
        <v>U</v>
      </c>
      <c r="W452" s="186" t="str">
        <f t="shared" si="234"/>
        <v>O</v>
      </c>
      <c r="X452" s="186" t="str">
        <f t="shared" si="235"/>
        <v>O</v>
      </c>
      <c r="Y452">
        <v>218.5</v>
      </c>
      <c r="Z452" s="98">
        <v>55</v>
      </c>
      <c r="AA452" s="90" t="str">
        <f t="shared" si="215"/>
        <v>PHO/DEN</v>
      </c>
    </row>
    <row r="453" spans="1:27" ht="17.100000000000001" x14ac:dyDescent="0.45">
      <c r="A453" s="78">
        <v>191224</v>
      </c>
      <c r="B453" s="79">
        <v>0.5</v>
      </c>
      <c r="C453" s="78" t="s">
        <v>417</v>
      </c>
      <c r="D453" s="78" t="s">
        <v>398</v>
      </c>
      <c r="E453" s="186">
        <v>31</v>
      </c>
      <c r="F453" s="186">
        <v>25</v>
      </c>
      <c r="G453" s="186">
        <v>21</v>
      </c>
      <c r="H453" s="186">
        <v>17</v>
      </c>
      <c r="I453" s="186"/>
      <c r="J453" s="186">
        <v>31</v>
      </c>
      <c r="K453" s="186">
        <v>23</v>
      </c>
      <c r="L453" s="186">
        <v>28</v>
      </c>
      <c r="M453" s="186">
        <v>20</v>
      </c>
      <c r="N453" s="186" t="s">
        <v>427</v>
      </c>
      <c r="O453" s="186">
        <f t="shared" si="226"/>
        <v>94</v>
      </c>
      <c r="P453" s="186">
        <f t="shared" si="227"/>
        <v>102</v>
      </c>
      <c r="Q453" s="186" t="str">
        <f t="shared" si="228"/>
        <v>TT</v>
      </c>
      <c r="R453" s="186" t="str">
        <f t="shared" si="229"/>
        <v>HW</v>
      </c>
      <c r="S453" s="186" t="str">
        <f t="shared" si="230"/>
        <v>HL</v>
      </c>
      <c r="T453" s="186" t="str">
        <f t="shared" si="231"/>
        <v>HL</v>
      </c>
      <c r="U453" s="186" t="str">
        <f t="shared" si="232"/>
        <v>O</v>
      </c>
      <c r="V453" s="186" t="str">
        <f t="shared" si="233"/>
        <v>U</v>
      </c>
      <c r="W453" s="186" t="str">
        <f t="shared" si="234"/>
        <v>U</v>
      </c>
      <c r="X453" s="186" t="str">
        <f t="shared" si="235"/>
        <v>U</v>
      </c>
      <c r="Y453">
        <v>230</v>
      </c>
      <c r="Z453" s="98">
        <v>57.5</v>
      </c>
      <c r="AA453" s="90" t="str">
        <f t="shared" si="215"/>
        <v>POR/NO</v>
      </c>
    </row>
    <row r="454" spans="1:27" ht="17.100000000000001" x14ac:dyDescent="0.45">
      <c r="A454" s="78">
        <v>191224</v>
      </c>
      <c r="B454" s="79">
        <v>0.5</v>
      </c>
      <c r="C454" s="78" t="s">
        <v>416</v>
      </c>
      <c r="D454" s="78" t="s">
        <v>403</v>
      </c>
      <c r="E454" s="186">
        <v>21</v>
      </c>
      <c r="F454" s="186">
        <v>36</v>
      </c>
      <c r="G454" s="186">
        <v>22</v>
      </c>
      <c r="H454" s="186">
        <v>25</v>
      </c>
      <c r="I454" s="186"/>
      <c r="J454" s="186">
        <v>37</v>
      </c>
      <c r="K454" s="186">
        <v>28</v>
      </c>
      <c r="L454" s="186">
        <v>32</v>
      </c>
      <c r="M454" s="186">
        <v>16</v>
      </c>
      <c r="N454" s="186" t="s">
        <v>427</v>
      </c>
      <c r="O454" s="186">
        <f t="shared" si="226"/>
        <v>104</v>
      </c>
      <c r="P454" s="186">
        <f t="shared" si="227"/>
        <v>113</v>
      </c>
      <c r="Q454" s="186" t="str">
        <f t="shared" si="228"/>
        <v>HL</v>
      </c>
      <c r="R454" s="186" t="str">
        <f t="shared" si="229"/>
        <v>HW</v>
      </c>
      <c r="S454" s="186" t="str">
        <f t="shared" si="230"/>
        <v>HL</v>
      </c>
      <c r="T454" s="186" t="str">
        <f t="shared" si="231"/>
        <v>HW</v>
      </c>
      <c r="U454" s="186" t="str">
        <f t="shared" si="232"/>
        <v>O</v>
      </c>
      <c r="V454" s="186" t="str">
        <f t="shared" si="233"/>
        <v>O</v>
      </c>
      <c r="W454" s="186" t="str">
        <f t="shared" si="234"/>
        <v>U</v>
      </c>
      <c r="X454" s="186" t="str">
        <f t="shared" si="235"/>
        <v>U</v>
      </c>
      <c r="Y454">
        <v>230</v>
      </c>
      <c r="Z454" s="98">
        <v>57.5</v>
      </c>
      <c r="AA454" s="90" t="str">
        <f t="shared" si="215"/>
        <v>SAC/HOU</v>
      </c>
    </row>
    <row r="455" spans="1:27" ht="17.100000000000001" x14ac:dyDescent="0.45">
      <c r="A455" s="78">
        <v>191224</v>
      </c>
      <c r="B455" s="79">
        <v>0.52083333333333337</v>
      </c>
      <c r="C455" s="78" t="s">
        <v>425</v>
      </c>
      <c r="D455" s="78" t="s">
        <v>420</v>
      </c>
      <c r="E455" s="186">
        <v>22</v>
      </c>
      <c r="F455" s="186">
        <v>35</v>
      </c>
      <c r="G455" s="186">
        <v>27</v>
      </c>
      <c r="H455" s="186">
        <v>29</v>
      </c>
      <c r="I455" s="186"/>
      <c r="J455" s="186">
        <v>22</v>
      </c>
      <c r="K455" s="186">
        <v>21</v>
      </c>
      <c r="L455" s="186">
        <v>24</v>
      </c>
      <c r="M455" s="186">
        <v>37</v>
      </c>
      <c r="N455" s="186" t="s">
        <v>427</v>
      </c>
      <c r="O455" s="186">
        <f t="shared" si="226"/>
        <v>113</v>
      </c>
      <c r="P455" s="186">
        <f t="shared" si="227"/>
        <v>104</v>
      </c>
      <c r="Q455" s="186" t="str">
        <f t="shared" si="228"/>
        <v>TT</v>
      </c>
      <c r="R455" s="186" t="str">
        <f t="shared" si="229"/>
        <v>HW</v>
      </c>
      <c r="S455" s="186" t="str">
        <f t="shared" si="230"/>
        <v>HW</v>
      </c>
      <c r="T455" s="186" t="str">
        <f t="shared" si="231"/>
        <v>HL</v>
      </c>
      <c r="U455" s="186" t="str">
        <f t="shared" si="232"/>
        <v>U</v>
      </c>
      <c r="V455" s="186" t="str">
        <f t="shared" si="233"/>
        <v>T</v>
      </c>
      <c r="W455" s="186" t="str">
        <f t="shared" si="234"/>
        <v>U</v>
      </c>
      <c r="X455" s="186" t="str">
        <f t="shared" si="235"/>
        <v>O</v>
      </c>
      <c r="Y455">
        <v>222.5</v>
      </c>
      <c r="Z455" s="98">
        <v>56</v>
      </c>
      <c r="AA455" s="90" t="str">
        <f t="shared" si="215"/>
        <v>GS/MIN</v>
      </c>
    </row>
    <row r="456" spans="1:27" ht="17.100000000000001" x14ac:dyDescent="0.45">
      <c r="A456" s="78">
        <v>191226</v>
      </c>
      <c r="B456" s="81">
        <v>8.3333333333333329E-2</v>
      </c>
      <c r="C456" s="80" t="s">
        <v>413</v>
      </c>
      <c r="D456" s="80" t="s">
        <v>421</v>
      </c>
      <c r="E456" s="186">
        <v>19</v>
      </c>
      <c r="F456" s="186">
        <v>28</v>
      </c>
      <c r="G456" s="186">
        <v>22</v>
      </c>
      <c r="H456" s="186">
        <v>33</v>
      </c>
      <c r="I456" s="186"/>
      <c r="J456" s="186">
        <v>28</v>
      </c>
      <c r="K456" s="186">
        <v>27</v>
      </c>
      <c r="L456" s="186">
        <v>33</v>
      </c>
      <c r="M456" s="186">
        <v>30</v>
      </c>
      <c r="N456" s="186" t="s">
        <v>427</v>
      </c>
      <c r="O456" s="186">
        <f t="shared" si="226"/>
        <v>102</v>
      </c>
      <c r="P456" s="186">
        <f t="shared" si="227"/>
        <v>118</v>
      </c>
      <c r="Q456" s="186" t="str">
        <f t="shared" si="228"/>
        <v>HL</v>
      </c>
      <c r="R456" s="186" t="str">
        <f t="shared" si="229"/>
        <v>HW</v>
      </c>
      <c r="S456" s="186" t="str">
        <f t="shared" si="230"/>
        <v>HL</v>
      </c>
      <c r="T456" s="186" t="str">
        <f t="shared" si="231"/>
        <v>HW</v>
      </c>
      <c r="U456" s="186" t="str">
        <f t="shared" si="232"/>
        <v>U</v>
      </c>
      <c r="V456" s="186" t="str">
        <f t="shared" si="233"/>
        <v>O</v>
      </c>
      <c r="W456" s="186" t="str">
        <f t="shared" si="234"/>
        <v>O</v>
      </c>
      <c r="X456" s="186" t="str">
        <f t="shared" si="235"/>
        <v>O</v>
      </c>
      <c r="Z456">
        <v>53</v>
      </c>
      <c r="AA456" s="90" t="str">
        <f t="shared" si="215"/>
        <v>TOR/BOS</v>
      </c>
    </row>
    <row r="457" spans="1:27" ht="17.100000000000001" x14ac:dyDescent="0.45">
      <c r="A457" s="80">
        <v>191226</v>
      </c>
      <c r="B457" s="81">
        <v>0.1875</v>
      </c>
      <c r="C457" s="80" t="s">
        <v>401</v>
      </c>
      <c r="D457" s="80" t="s">
        <v>423</v>
      </c>
      <c r="E457" s="186">
        <v>38</v>
      </c>
      <c r="F457" s="186">
        <v>31</v>
      </c>
      <c r="G457" s="186">
        <v>31</v>
      </c>
      <c r="H457" s="186">
        <v>21</v>
      </c>
      <c r="I457" s="186"/>
      <c r="J457" s="186">
        <v>30</v>
      </c>
      <c r="K457" s="186">
        <v>18</v>
      </c>
      <c r="L457" s="186">
        <v>25</v>
      </c>
      <c r="M457" s="186">
        <v>36</v>
      </c>
      <c r="N457" s="186" t="s">
        <v>427</v>
      </c>
      <c r="O457" s="186">
        <f t="shared" si="226"/>
        <v>121</v>
      </c>
      <c r="P457" s="186">
        <f t="shared" si="227"/>
        <v>109</v>
      </c>
      <c r="Q457" s="186" t="str">
        <f t="shared" si="228"/>
        <v>HW</v>
      </c>
      <c r="R457" s="186" t="str">
        <f t="shared" si="229"/>
        <v>HW</v>
      </c>
      <c r="S457" s="186" t="str">
        <f t="shared" si="230"/>
        <v>HW</v>
      </c>
      <c r="T457" s="186" t="str">
        <f t="shared" si="231"/>
        <v>HL</v>
      </c>
      <c r="U457" s="186" t="str">
        <f t="shared" si="232"/>
        <v>O</v>
      </c>
      <c r="V457" s="186" t="str">
        <f t="shared" si="233"/>
        <v>U</v>
      </c>
      <c r="W457" s="186" t="str">
        <f t="shared" si="234"/>
        <v>O</v>
      </c>
      <c r="X457" s="186" t="str">
        <f t="shared" si="235"/>
        <v>O</v>
      </c>
      <c r="Z457">
        <v>54.5</v>
      </c>
      <c r="AA457" s="90" t="str">
        <f t="shared" si="215"/>
        <v>PHI/MIL</v>
      </c>
    </row>
    <row r="458" spans="1:27" ht="17.100000000000001" x14ac:dyDescent="0.45">
      <c r="A458" s="80">
        <v>191226</v>
      </c>
      <c r="B458" s="81">
        <v>0.29166666666666669</v>
      </c>
      <c r="C458" s="80" t="s">
        <v>425</v>
      </c>
      <c r="D458" s="80" t="s">
        <v>403</v>
      </c>
      <c r="E458" s="186">
        <v>28</v>
      </c>
      <c r="F458" s="186">
        <v>36</v>
      </c>
      <c r="G458" s="186">
        <v>28</v>
      </c>
      <c r="H458" s="186">
        <v>24</v>
      </c>
      <c r="I458" s="186"/>
      <c r="J458" s="186">
        <v>29</v>
      </c>
      <c r="K458" s="186">
        <v>39</v>
      </c>
      <c r="L458" s="186">
        <v>19</v>
      </c>
      <c r="M458" s="186">
        <v>17</v>
      </c>
      <c r="N458" s="186" t="s">
        <v>427</v>
      </c>
      <c r="O458" s="186">
        <f t="shared" si="226"/>
        <v>116</v>
      </c>
      <c r="P458" s="186">
        <f t="shared" si="227"/>
        <v>104</v>
      </c>
      <c r="Q458" s="186" t="str">
        <f t="shared" si="228"/>
        <v>HL</v>
      </c>
      <c r="R458" s="186" t="str">
        <f t="shared" si="229"/>
        <v>HL</v>
      </c>
      <c r="S458" s="186" t="str">
        <f t="shared" si="230"/>
        <v>HW</v>
      </c>
      <c r="T458" s="186" t="str">
        <f t="shared" si="231"/>
        <v>HW</v>
      </c>
      <c r="U458" s="186" t="str">
        <f t="shared" si="232"/>
        <v>U</v>
      </c>
      <c r="V458" s="186" t="str">
        <f t="shared" si="233"/>
        <v>O</v>
      </c>
      <c r="W458" s="186" t="str">
        <f t="shared" si="234"/>
        <v>U</v>
      </c>
      <c r="X458" s="186" t="str">
        <f t="shared" si="235"/>
        <v>U</v>
      </c>
      <c r="Z458">
        <v>59</v>
      </c>
      <c r="AA458" s="90" t="str">
        <f t="shared" si="215"/>
        <v>GS/HOU</v>
      </c>
    </row>
    <row r="459" spans="1:27" ht="17.100000000000001" x14ac:dyDescent="0.45">
      <c r="A459" s="80">
        <v>191226</v>
      </c>
      <c r="B459" s="81">
        <v>0.41666666666666669</v>
      </c>
      <c r="C459" s="80" t="s">
        <v>419</v>
      </c>
      <c r="D459" s="80" t="s">
        <v>415</v>
      </c>
      <c r="E459" s="186">
        <v>33</v>
      </c>
      <c r="F459" s="186">
        <v>30</v>
      </c>
      <c r="G459" s="186">
        <v>23</v>
      </c>
      <c r="H459" s="186">
        <v>20</v>
      </c>
      <c r="I459" s="186"/>
      <c r="J459" s="186">
        <v>31</v>
      </c>
      <c r="K459" s="186">
        <v>20</v>
      </c>
      <c r="L459" s="186">
        <v>35</v>
      </c>
      <c r="M459" s="186">
        <v>25</v>
      </c>
      <c r="N459" s="186" t="s">
        <v>427</v>
      </c>
      <c r="O459" s="186">
        <f t="shared" si="226"/>
        <v>106</v>
      </c>
      <c r="P459" s="186">
        <f t="shared" si="227"/>
        <v>111</v>
      </c>
      <c r="Q459" s="186" t="str">
        <f t="shared" si="228"/>
        <v>HW</v>
      </c>
      <c r="R459" s="186" t="str">
        <f t="shared" si="229"/>
        <v>HW</v>
      </c>
      <c r="S459" s="186" t="str">
        <f t="shared" si="230"/>
        <v>HL</v>
      </c>
      <c r="T459" s="186" t="str">
        <f t="shared" si="231"/>
        <v>HL</v>
      </c>
      <c r="U459" s="186" t="str">
        <f t="shared" si="232"/>
        <v>O</v>
      </c>
      <c r="V459" s="186" t="str">
        <f t="shared" si="233"/>
        <v>U</v>
      </c>
      <c r="W459" s="186" t="str">
        <f t="shared" si="234"/>
        <v>T</v>
      </c>
      <c r="X459" s="186" t="str">
        <f t="shared" si="235"/>
        <v>U</v>
      </c>
      <c r="Z459">
        <v>58</v>
      </c>
      <c r="AA459" s="90" t="str">
        <f t="shared" si="215"/>
        <v>LAL/LAC</v>
      </c>
    </row>
    <row r="460" spans="1:27" ht="17.100000000000001" x14ac:dyDescent="0.45">
      <c r="A460" s="80">
        <v>191226</v>
      </c>
      <c r="B460" s="81">
        <v>0.52083333333333337</v>
      </c>
      <c r="C460" s="80" t="s">
        <v>408</v>
      </c>
      <c r="D460" s="80" t="s">
        <v>398</v>
      </c>
      <c r="E460" s="186">
        <v>26</v>
      </c>
      <c r="F460" s="186">
        <v>29</v>
      </c>
      <c r="G460" s="186">
        <v>25</v>
      </c>
      <c r="H460" s="186">
        <v>20</v>
      </c>
      <c r="I460" s="186"/>
      <c r="J460" s="186">
        <v>29</v>
      </c>
      <c r="K460" s="186">
        <v>29</v>
      </c>
      <c r="L460" s="186">
        <v>26</v>
      </c>
      <c r="M460" s="186">
        <v>28</v>
      </c>
      <c r="N460" s="186" t="s">
        <v>427</v>
      </c>
      <c r="O460" s="186">
        <f t="shared" si="226"/>
        <v>100</v>
      </c>
      <c r="P460" s="186">
        <f t="shared" si="227"/>
        <v>112</v>
      </c>
      <c r="Q460" s="186" t="str">
        <f t="shared" si="228"/>
        <v>HL</v>
      </c>
      <c r="R460" s="186" t="str">
        <f t="shared" si="229"/>
        <v>TT</v>
      </c>
      <c r="S460" s="186" t="str">
        <f t="shared" si="230"/>
        <v>HL</v>
      </c>
      <c r="T460" s="186" t="str">
        <f t="shared" si="231"/>
        <v>HL</v>
      </c>
      <c r="U460" s="186" t="str">
        <f t="shared" si="232"/>
        <v>U</v>
      </c>
      <c r="V460" s="186" t="str">
        <f t="shared" si="233"/>
        <v>O</v>
      </c>
      <c r="W460" s="186" t="str">
        <f t="shared" si="234"/>
        <v>U</v>
      </c>
      <c r="X460" s="186" t="str">
        <f t="shared" si="235"/>
        <v>U</v>
      </c>
      <c r="Z460">
        <v>56</v>
      </c>
      <c r="AA460" s="90" t="str">
        <f t="shared" ref="AA460:AA523" si="236">C460&amp;"/"&amp;D460</f>
        <v>DEN/NO</v>
      </c>
    </row>
    <row r="461" spans="1:27" ht="17.100000000000001" x14ac:dyDescent="0.45">
      <c r="A461" s="80">
        <v>191227</v>
      </c>
      <c r="B461" s="83">
        <v>0.375</v>
      </c>
      <c r="C461" s="82" t="s">
        <v>422</v>
      </c>
      <c r="D461" s="82" t="s">
        <v>414</v>
      </c>
      <c r="E461" s="186">
        <v>31</v>
      </c>
      <c r="F461" s="186">
        <v>37</v>
      </c>
      <c r="G461" s="186">
        <v>38</v>
      </c>
      <c r="H461" s="186">
        <v>26</v>
      </c>
      <c r="I461" s="186"/>
      <c r="J461" s="186">
        <v>23</v>
      </c>
      <c r="K461" s="186">
        <v>25</v>
      </c>
      <c r="L461" s="186">
        <v>28</v>
      </c>
      <c r="M461" s="186">
        <v>26</v>
      </c>
      <c r="N461" s="186" t="s">
        <v>427</v>
      </c>
      <c r="O461" s="186">
        <f t="shared" si="226"/>
        <v>132</v>
      </c>
      <c r="P461" s="186">
        <f t="shared" si="227"/>
        <v>102</v>
      </c>
      <c r="Q461" s="186" t="str">
        <f t="shared" si="228"/>
        <v>HW</v>
      </c>
      <c r="R461" s="186" t="str">
        <f t="shared" si="229"/>
        <v>HW</v>
      </c>
      <c r="S461" s="186" t="str">
        <f t="shared" si="230"/>
        <v>HW</v>
      </c>
      <c r="T461" s="186" t="str">
        <f t="shared" si="231"/>
        <v>TT</v>
      </c>
      <c r="U461" s="186" t="str">
        <f t="shared" si="232"/>
        <v>U</v>
      </c>
      <c r="V461" s="186" t="str">
        <f t="shared" si="233"/>
        <v>O</v>
      </c>
      <c r="W461" s="186" t="str">
        <f t="shared" si="234"/>
        <v>O</v>
      </c>
      <c r="X461" s="186" t="str">
        <f t="shared" si="235"/>
        <v>U</v>
      </c>
      <c r="Z461">
        <v>59</v>
      </c>
      <c r="AA461" s="90" t="str">
        <f t="shared" si="236"/>
        <v>DET/WAS</v>
      </c>
    </row>
    <row r="462" spans="1:27" ht="17.100000000000001" x14ac:dyDescent="0.45">
      <c r="A462" s="82">
        <v>191227</v>
      </c>
      <c r="B462" s="83">
        <v>0.39583333333333331</v>
      </c>
      <c r="C462" s="82" t="s">
        <v>407</v>
      </c>
      <c r="D462" s="82" t="s">
        <v>399</v>
      </c>
      <c r="E462" s="186">
        <v>15</v>
      </c>
      <c r="F462" s="186">
        <v>26</v>
      </c>
      <c r="G462" s="186">
        <v>20</v>
      </c>
      <c r="H462" s="186">
        <v>21</v>
      </c>
      <c r="I462" s="186"/>
      <c r="J462" s="186">
        <v>24</v>
      </c>
      <c r="K462" s="186">
        <v>22</v>
      </c>
      <c r="L462" s="186">
        <v>33</v>
      </c>
      <c r="M462" s="186">
        <v>15</v>
      </c>
      <c r="N462" s="186" t="s">
        <v>427</v>
      </c>
      <c r="O462" s="186">
        <f t="shared" si="226"/>
        <v>82</v>
      </c>
      <c r="P462" s="186">
        <f t="shared" si="227"/>
        <v>94</v>
      </c>
      <c r="Q462" s="186" t="str">
        <f t="shared" si="228"/>
        <v>HL</v>
      </c>
      <c r="R462" s="186" t="str">
        <f t="shared" si="229"/>
        <v>HW</v>
      </c>
      <c r="S462" s="186" t="str">
        <f t="shared" si="230"/>
        <v>HL</v>
      </c>
      <c r="T462" s="186" t="str">
        <f t="shared" si="231"/>
        <v>HW</v>
      </c>
      <c r="U462" s="186" t="str">
        <f t="shared" si="232"/>
        <v>U</v>
      </c>
      <c r="V462" s="186" t="str">
        <f t="shared" si="233"/>
        <v>U</v>
      </c>
      <c r="W462" s="186" t="str">
        <f t="shared" si="234"/>
        <v>U</v>
      </c>
      <c r="X462" s="186" t="str">
        <f t="shared" si="235"/>
        <v>U</v>
      </c>
      <c r="Z462">
        <v>58</v>
      </c>
      <c r="AA462" s="90" t="str">
        <f t="shared" si="236"/>
        <v>BKN/NYK</v>
      </c>
    </row>
    <row r="463" spans="1:27" ht="17.100000000000001" x14ac:dyDescent="0.45">
      <c r="A463" s="82">
        <v>191227</v>
      </c>
      <c r="B463" s="83">
        <v>0.41666666666666669</v>
      </c>
      <c r="C463" s="82" t="s">
        <v>397</v>
      </c>
      <c r="D463" s="82" t="s">
        <v>426</v>
      </c>
      <c r="E463" s="186">
        <v>20</v>
      </c>
      <c r="F463" s="186">
        <v>32</v>
      </c>
      <c r="G463" s="186">
        <v>27</v>
      </c>
      <c r="H463" s="186">
        <v>23</v>
      </c>
      <c r="I463" s="186"/>
      <c r="J463" s="186">
        <v>24</v>
      </c>
      <c r="K463" s="186">
        <v>23</v>
      </c>
      <c r="L463" s="186">
        <v>27</v>
      </c>
      <c r="M463" s="186">
        <v>24</v>
      </c>
      <c r="N463" s="186" t="s">
        <v>427</v>
      </c>
      <c r="O463" s="186">
        <f t="shared" si="226"/>
        <v>102</v>
      </c>
      <c r="P463" s="186">
        <f t="shared" si="227"/>
        <v>98</v>
      </c>
      <c r="Q463" s="186" t="str">
        <f t="shared" si="228"/>
        <v>HL</v>
      </c>
      <c r="R463" s="186" t="str">
        <f t="shared" si="229"/>
        <v>HW</v>
      </c>
      <c r="S463" s="186" t="str">
        <f t="shared" si="230"/>
        <v>TT</v>
      </c>
      <c r="T463" s="186" t="str">
        <f t="shared" si="231"/>
        <v>HL</v>
      </c>
      <c r="U463" s="186" t="str">
        <f t="shared" si="232"/>
        <v>U</v>
      </c>
      <c r="V463" s="186" t="str">
        <f t="shared" si="233"/>
        <v>U</v>
      </c>
      <c r="W463" s="186" t="str">
        <f t="shared" si="234"/>
        <v>U</v>
      </c>
      <c r="X463" s="186" t="str">
        <f t="shared" si="235"/>
        <v>U</v>
      </c>
      <c r="Z463">
        <v>56</v>
      </c>
      <c r="AA463" s="90" t="str">
        <f t="shared" si="236"/>
        <v>DAL/SAS</v>
      </c>
    </row>
    <row r="464" spans="1:27" ht="17.100000000000001" x14ac:dyDescent="0.45">
      <c r="A464" s="82">
        <v>191227</v>
      </c>
      <c r="B464" s="83">
        <v>0.41666666666666669</v>
      </c>
      <c r="C464" s="82" t="s">
        <v>418</v>
      </c>
      <c r="D464" s="82" t="s">
        <v>406</v>
      </c>
      <c r="E464" s="186">
        <v>18</v>
      </c>
      <c r="F464" s="186">
        <v>29</v>
      </c>
      <c r="G464" s="186">
        <v>27</v>
      </c>
      <c r="H464" s="186">
        <v>23</v>
      </c>
      <c r="I464" s="186"/>
      <c r="J464" s="186">
        <v>23</v>
      </c>
      <c r="K464" s="186">
        <v>26</v>
      </c>
      <c r="L464" s="186">
        <v>37</v>
      </c>
      <c r="M464" s="186">
        <v>24</v>
      </c>
      <c r="N464" s="186" t="s">
        <v>427</v>
      </c>
      <c r="O464" s="186">
        <f t="shared" si="226"/>
        <v>97</v>
      </c>
      <c r="P464" s="186">
        <f t="shared" si="227"/>
        <v>110</v>
      </c>
      <c r="Q464" s="186" t="str">
        <f t="shared" si="228"/>
        <v>HL</v>
      </c>
      <c r="R464" s="186" t="str">
        <f t="shared" si="229"/>
        <v>HW</v>
      </c>
      <c r="S464" s="186" t="str">
        <f t="shared" si="230"/>
        <v>HL</v>
      </c>
      <c r="T464" s="186" t="str">
        <f t="shared" si="231"/>
        <v>HL</v>
      </c>
      <c r="U464" s="186" t="str">
        <f t="shared" si="232"/>
        <v>U</v>
      </c>
      <c r="V464" s="186" t="str">
        <f t="shared" si="233"/>
        <v>T</v>
      </c>
      <c r="W464" s="186" t="str">
        <f t="shared" si="234"/>
        <v>O</v>
      </c>
      <c r="X464" s="186" t="str">
        <f t="shared" si="235"/>
        <v>U</v>
      </c>
      <c r="Z464">
        <v>55</v>
      </c>
      <c r="AA464" s="90" t="str">
        <f t="shared" si="236"/>
        <v>OKC/MEM</v>
      </c>
    </row>
    <row r="465" spans="1:27" ht="17.100000000000001" x14ac:dyDescent="0.45">
      <c r="A465" s="82">
        <v>191227</v>
      </c>
      <c r="B465" s="83">
        <v>0.5</v>
      </c>
      <c r="C465" s="82" t="s">
        <v>416</v>
      </c>
      <c r="D465" s="82" t="s">
        <v>420</v>
      </c>
      <c r="E465" s="186">
        <v>26</v>
      </c>
      <c r="F465" s="186">
        <v>22</v>
      </c>
      <c r="G465" s="186">
        <v>31</v>
      </c>
      <c r="H465" s="186">
        <v>11</v>
      </c>
      <c r="I465" s="186">
        <v>14</v>
      </c>
      <c r="J465" s="186">
        <v>21</v>
      </c>
      <c r="K465" s="186">
        <v>29</v>
      </c>
      <c r="L465" s="186">
        <v>21</v>
      </c>
      <c r="M465" s="186">
        <v>19</v>
      </c>
      <c r="N465" s="186">
        <v>15</v>
      </c>
      <c r="O465" s="186">
        <f t="shared" si="226"/>
        <v>104</v>
      </c>
      <c r="P465" s="186">
        <f t="shared" si="227"/>
        <v>105</v>
      </c>
      <c r="Q465" s="186" t="str">
        <f t="shared" si="228"/>
        <v>HW</v>
      </c>
      <c r="R465" s="186" t="str">
        <f t="shared" si="229"/>
        <v>HL</v>
      </c>
      <c r="S465" s="186" t="str">
        <f t="shared" si="230"/>
        <v>HW</v>
      </c>
      <c r="T465" s="186" t="str">
        <f t="shared" si="231"/>
        <v>HL</v>
      </c>
      <c r="U465" s="186" t="str">
        <f t="shared" si="232"/>
        <v>U</v>
      </c>
      <c r="V465" s="186" t="str">
        <f t="shared" si="233"/>
        <v>U</v>
      </c>
      <c r="W465" s="186" t="str">
        <f t="shared" si="234"/>
        <v>U</v>
      </c>
      <c r="X465" s="186" t="str">
        <f t="shared" si="235"/>
        <v>U</v>
      </c>
      <c r="Z465">
        <v>57</v>
      </c>
      <c r="AA465" s="90" t="str">
        <f t="shared" si="236"/>
        <v>SAC/MIN</v>
      </c>
    </row>
    <row r="466" spans="1:27" ht="17.100000000000001" x14ac:dyDescent="0.45">
      <c r="A466" s="82">
        <v>191227</v>
      </c>
      <c r="B466" s="83">
        <v>0.52083333333333337</v>
      </c>
      <c r="C466" s="82" t="s">
        <v>405</v>
      </c>
      <c r="D466" s="82" t="s">
        <v>417</v>
      </c>
      <c r="E466" s="186">
        <v>37</v>
      </c>
      <c r="F466" s="186">
        <v>25</v>
      </c>
      <c r="G466" s="186">
        <v>34</v>
      </c>
      <c r="H466" s="186">
        <v>25</v>
      </c>
      <c r="I466" s="186"/>
      <c r="J466" s="186">
        <v>22</v>
      </c>
      <c r="K466" s="186">
        <v>30</v>
      </c>
      <c r="L466" s="186">
        <v>24</v>
      </c>
      <c r="M466" s="186">
        <v>39</v>
      </c>
      <c r="N466" s="186" t="s">
        <v>427</v>
      </c>
      <c r="O466" s="186">
        <f t="shared" si="226"/>
        <v>121</v>
      </c>
      <c r="P466" s="186">
        <f t="shared" si="227"/>
        <v>115</v>
      </c>
      <c r="Q466" s="186" t="str">
        <f t="shared" si="228"/>
        <v>HW</v>
      </c>
      <c r="R466" s="186" t="str">
        <f t="shared" si="229"/>
        <v>HL</v>
      </c>
      <c r="S466" s="186" t="str">
        <f t="shared" si="230"/>
        <v>HW</v>
      </c>
      <c r="T466" s="186" t="str">
        <f t="shared" si="231"/>
        <v>HL</v>
      </c>
      <c r="U466" s="186" t="str">
        <f t="shared" si="232"/>
        <v>O</v>
      </c>
      <c r="V466" s="186" t="str">
        <f t="shared" si="233"/>
        <v>U</v>
      </c>
      <c r="W466" s="186" t="str">
        <f t="shared" si="234"/>
        <v>O</v>
      </c>
      <c r="X466" s="186" t="str">
        <f t="shared" si="235"/>
        <v>O</v>
      </c>
      <c r="Z466">
        <v>56.5</v>
      </c>
      <c r="AA466" s="90" t="str">
        <f t="shared" si="236"/>
        <v>UTA/POR</v>
      </c>
    </row>
    <row r="467" spans="1:27" ht="17.100000000000001" x14ac:dyDescent="0.45">
      <c r="A467" s="82">
        <v>191228</v>
      </c>
      <c r="B467" s="85">
        <v>0.25</v>
      </c>
      <c r="C467" s="84" t="s">
        <v>421</v>
      </c>
      <c r="D467" s="84" t="s">
        <v>402</v>
      </c>
      <c r="E467" s="186">
        <v>33</v>
      </c>
      <c r="F467" s="186">
        <v>29</v>
      </c>
      <c r="G467" s="186">
        <v>30</v>
      </c>
      <c r="H467" s="186">
        <v>37</v>
      </c>
      <c r="I467" s="186"/>
      <c r="J467" s="186">
        <v>22</v>
      </c>
      <c r="K467" s="186">
        <v>25</v>
      </c>
      <c r="L467" s="186">
        <v>34</v>
      </c>
      <c r="M467" s="186">
        <v>36</v>
      </c>
      <c r="N467" s="186" t="s">
        <v>427</v>
      </c>
      <c r="O467" s="186">
        <f t="shared" si="226"/>
        <v>129</v>
      </c>
      <c r="P467" s="186">
        <f t="shared" si="227"/>
        <v>117</v>
      </c>
      <c r="Q467" s="186" t="str">
        <f t="shared" si="228"/>
        <v>HW</v>
      </c>
      <c r="R467" s="186" t="str">
        <f t="shared" si="229"/>
        <v>HW</v>
      </c>
      <c r="S467" s="186" t="str">
        <f t="shared" si="230"/>
        <v>HL</v>
      </c>
      <c r="T467" s="186" t="str">
        <f t="shared" si="231"/>
        <v>HW</v>
      </c>
      <c r="U467" s="186" t="str">
        <f t="shared" si="232"/>
        <v>O</v>
      </c>
      <c r="V467" s="186" t="str">
        <f t="shared" si="233"/>
        <v>O</v>
      </c>
      <c r="W467" s="186" t="str">
        <f t="shared" si="234"/>
        <v>O</v>
      </c>
      <c r="X467" s="186" t="str">
        <f t="shared" si="235"/>
        <v>O</v>
      </c>
      <c r="Z467">
        <v>53.5</v>
      </c>
      <c r="AA467" s="90" t="str">
        <f t="shared" si="236"/>
        <v>BOS/CLE</v>
      </c>
    </row>
    <row r="468" spans="1:27" ht="17.100000000000001" x14ac:dyDescent="0.45">
      <c r="A468" s="84">
        <v>191228</v>
      </c>
      <c r="B468" s="85">
        <v>0.375</v>
      </c>
      <c r="C468" s="84" t="s">
        <v>424</v>
      </c>
      <c r="D468" s="84" t="s">
        <v>401</v>
      </c>
      <c r="E468" s="186">
        <v>19</v>
      </c>
      <c r="F468" s="186">
        <v>27</v>
      </c>
      <c r="G468" s="186">
        <v>25</v>
      </c>
      <c r="H468" s="186">
        <v>27</v>
      </c>
      <c r="I468" s="186"/>
      <c r="J468" s="186">
        <v>21</v>
      </c>
      <c r="K468" s="186">
        <v>26</v>
      </c>
      <c r="L468" s="186">
        <v>21</v>
      </c>
      <c r="M468" s="186">
        <v>29</v>
      </c>
      <c r="N468" s="186" t="s">
        <v>427</v>
      </c>
      <c r="O468" s="186">
        <f t="shared" si="226"/>
        <v>98</v>
      </c>
      <c r="P468" s="186">
        <f t="shared" si="227"/>
        <v>97</v>
      </c>
      <c r="Q468" s="186" t="str">
        <f t="shared" si="228"/>
        <v>HL</v>
      </c>
      <c r="R468" s="186" t="str">
        <f t="shared" si="229"/>
        <v>HW</v>
      </c>
      <c r="S468" s="186" t="str">
        <f t="shared" si="230"/>
        <v>HW</v>
      </c>
      <c r="T468" s="186" t="str">
        <f t="shared" si="231"/>
        <v>HL</v>
      </c>
      <c r="U468" s="186" t="str">
        <f t="shared" si="232"/>
        <v>U</v>
      </c>
      <c r="V468" s="186" t="str">
        <f t="shared" si="233"/>
        <v>O</v>
      </c>
      <c r="W468" s="186" t="str">
        <f t="shared" si="234"/>
        <v>U</v>
      </c>
      <c r="X468" s="186" t="str">
        <f t="shared" si="235"/>
        <v>O</v>
      </c>
      <c r="Z468">
        <v>52</v>
      </c>
      <c r="AA468" s="90" t="str">
        <f t="shared" si="236"/>
        <v>ORL/PHI</v>
      </c>
    </row>
    <row r="469" spans="1:27" ht="17.100000000000001" x14ac:dyDescent="0.45">
      <c r="A469" s="84">
        <v>191228</v>
      </c>
      <c r="B469" s="85">
        <v>0.375</v>
      </c>
      <c r="C469" s="84" t="s">
        <v>409</v>
      </c>
      <c r="D469" s="84" t="s">
        <v>418</v>
      </c>
      <c r="E469" s="186">
        <v>18</v>
      </c>
      <c r="F469" s="186">
        <v>25</v>
      </c>
      <c r="G469" s="186">
        <v>22</v>
      </c>
      <c r="H469" s="186">
        <v>29</v>
      </c>
      <c r="I469" s="186">
        <v>8</v>
      </c>
      <c r="J469" s="186">
        <v>26</v>
      </c>
      <c r="K469" s="186">
        <v>27</v>
      </c>
      <c r="L469" s="186">
        <v>19</v>
      </c>
      <c r="M469" s="186">
        <v>22</v>
      </c>
      <c r="N469" s="186">
        <v>10</v>
      </c>
      <c r="O469" s="186">
        <f t="shared" si="226"/>
        <v>102</v>
      </c>
      <c r="P469" s="186">
        <f t="shared" si="227"/>
        <v>104</v>
      </c>
      <c r="Q469" s="186" t="str">
        <f t="shared" si="228"/>
        <v>HL</v>
      </c>
      <c r="R469" s="186" t="str">
        <f t="shared" si="229"/>
        <v>HL</v>
      </c>
      <c r="S469" s="186" t="str">
        <f t="shared" si="230"/>
        <v>HW</v>
      </c>
      <c r="T469" s="186" t="str">
        <f t="shared" si="231"/>
        <v>HW</v>
      </c>
      <c r="U469" s="186" t="str">
        <f t="shared" si="232"/>
        <v>U</v>
      </c>
      <c r="V469" s="186" t="str">
        <f t="shared" si="233"/>
        <v>U</v>
      </c>
      <c r="W469" s="186" t="str">
        <f t="shared" si="234"/>
        <v>U</v>
      </c>
      <c r="X469" s="186" t="str">
        <f t="shared" si="235"/>
        <v>U</v>
      </c>
      <c r="Z469">
        <v>53.5</v>
      </c>
      <c r="AA469" s="90" t="str">
        <f t="shared" si="236"/>
        <v>CHA/OKC</v>
      </c>
    </row>
    <row r="470" spans="1:27" ht="17.100000000000001" x14ac:dyDescent="0.45">
      <c r="A470" s="84">
        <v>191228</v>
      </c>
      <c r="B470" s="85">
        <v>0.39583333333333331</v>
      </c>
      <c r="C470" s="84" t="s">
        <v>410</v>
      </c>
      <c r="D470" s="84" t="s">
        <v>423</v>
      </c>
      <c r="E470" s="186">
        <v>19</v>
      </c>
      <c r="F470" s="186">
        <v>21</v>
      </c>
      <c r="G470" s="186">
        <v>23</v>
      </c>
      <c r="H470" s="186">
        <v>23</v>
      </c>
      <c r="I470" s="186"/>
      <c r="J470" s="186">
        <v>32</v>
      </c>
      <c r="K470" s="186">
        <v>31</v>
      </c>
      <c r="L470" s="186">
        <v>21</v>
      </c>
      <c r="M470" s="186">
        <v>28</v>
      </c>
      <c r="N470" s="186" t="s">
        <v>427</v>
      </c>
      <c r="O470" s="186">
        <f t="shared" si="226"/>
        <v>86</v>
      </c>
      <c r="P470" s="186">
        <f t="shared" si="227"/>
        <v>112</v>
      </c>
      <c r="Q470" s="186" t="str">
        <f t="shared" si="228"/>
        <v>HL</v>
      </c>
      <c r="R470" s="186" t="str">
        <f t="shared" si="229"/>
        <v>HL</v>
      </c>
      <c r="S470" s="186" t="str">
        <f t="shared" si="230"/>
        <v>HW</v>
      </c>
      <c r="T470" s="186" t="str">
        <f t="shared" si="231"/>
        <v>HL</v>
      </c>
      <c r="U470" s="186" t="str">
        <f t="shared" si="232"/>
        <v>U</v>
      </c>
      <c r="V470" s="186" t="str">
        <f t="shared" si="233"/>
        <v>U</v>
      </c>
      <c r="W470" s="186" t="str">
        <f t="shared" si="234"/>
        <v>U</v>
      </c>
      <c r="X470" s="186" t="str">
        <f t="shared" si="235"/>
        <v>U</v>
      </c>
      <c r="Z470">
        <v>58</v>
      </c>
      <c r="AA470" s="90" t="str">
        <f t="shared" si="236"/>
        <v>ATL/MIL</v>
      </c>
    </row>
    <row r="471" spans="1:27" ht="17.100000000000001" x14ac:dyDescent="0.45">
      <c r="A471" s="84">
        <v>191228</v>
      </c>
      <c r="B471" s="85">
        <v>0.41666666666666669</v>
      </c>
      <c r="C471" s="84" t="s">
        <v>411</v>
      </c>
      <c r="D471" s="84" t="s">
        <v>400</v>
      </c>
      <c r="E471" s="186">
        <v>25</v>
      </c>
      <c r="F471" s="186">
        <v>33</v>
      </c>
      <c r="G471" s="186">
        <v>26</v>
      </c>
      <c r="H471" s="186">
        <v>29</v>
      </c>
      <c r="I471" s="186"/>
      <c r="J471" s="186">
        <v>27</v>
      </c>
      <c r="K471" s="186">
        <v>28</v>
      </c>
      <c r="L471" s="186">
        <v>27</v>
      </c>
      <c r="M471" s="186">
        <v>30</v>
      </c>
      <c r="N471" s="186" t="s">
        <v>427</v>
      </c>
      <c r="O471" s="186">
        <f t="shared" si="226"/>
        <v>113</v>
      </c>
      <c r="P471" s="186">
        <f t="shared" si="227"/>
        <v>112</v>
      </c>
      <c r="Q471" s="186" t="str">
        <f t="shared" si="228"/>
        <v>HL</v>
      </c>
      <c r="R471" s="186" t="str">
        <f t="shared" si="229"/>
        <v>HW</v>
      </c>
      <c r="S471" s="186" t="str">
        <f t="shared" si="230"/>
        <v>HL</v>
      </c>
      <c r="T471" s="186" t="str">
        <f t="shared" si="231"/>
        <v>HL</v>
      </c>
      <c r="U471" s="186" t="str">
        <f t="shared" si="232"/>
        <v>U</v>
      </c>
      <c r="V471" s="186" t="str">
        <f t="shared" si="233"/>
        <v>O</v>
      </c>
      <c r="W471" s="186" t="str">
        <f t="shared" si="234"/>
        <v>U</v>
      </c>
      <c r="X471" s="186" t="str">
        <f t="shared" si="235"/>
        <v>O</v>
      </c>
      <c r="Z471">
        <v>54.5</v>
      </c>
      <c r="AA471" s="90" t="str">
        <f t="shared" si="236"/>
        <v>MIA/IND</v>
      </c>
    </row>
    <row r="472" spans="1:27" ht="17.100000000000001" x14ac:dyDescent="0.45">
      <c r="A472" s="84">
        <v>191228</v>
      </c>
      <c r="B472" s="85">
        <v>0.52083333333333337</v>
      </c>
      <c r="C472" s="84" t="s">
        <v>425</v>
      </c>
      <c r="D472" s="84" t="s">
        <v>404</v>
      </c>
      <c r="E472" s="186">
        <v>25</v>
      </c>
      <c r="F472" s="186">
        <v>18</v>
      </c>
      <c r="G472" s="186">
        <v>23</v>
      </c>
      <c r="H472" s="186">
        <v>39</v>
      </c>
      <c r="I472" s="186"/>
      <c r="J472" s="186">
        <v>29</v>
      </c>
      <c r="K472" s="186">
        <v>22</v>
      </c>
      <c r="L472" s="186">
        <v>27</v>
      </c>
      <c r="M472" s="186">
        <v>18</v>
      </c>
      <c r="N472" s="186" t="s">
        <v>427</v>
      </c>
      <c r="O472" s="186">
        <f t="shared" si="226"/>
        <v>105</v>
      </c>
      <c r="P472" s="186">
        <f t="shared" si="227"/>
        <v>96</v>
      </c>
      <c r="Q472" s="186" t="str">
        <f t="shared" si="228"/>
        <v>HL</v>
      </c>
      <c r="R472" s="186" t="str">
        <f t="shared" si="229"/>
        <v>HL</v>
      </c>
      <c r="S472" s="186" t="str">
        <f t="shared" si="230"/>
        <v>HL</v>
      </c>
      <c r="T472" s="186" t="str">
        <f t="shared" si="231"/>
        <v>HW</v>
      </c>
      <c r="U472" s="186" t="str">
        <f t="shared" si="232"/>
        <v>U</v>
      </c>
      <c r="V472" s="186" t="str">
        <f t="shared" si="233"/>
        <v>U</v>
      </c>
      <c r="W472" s="186" t="str">
        <f t="shared" si="234"/>
        <v>U</v>
      </c>
      <c r="X472" s="186" t="str">
        <f t="shared" si="235"/>
        <v>O</v>
      </c>
      <c r="Z472">
        <v>55.5</v>
      </c>
      <c r="AA472" s="90" t="str">
        <f t="shared" si="236"/>
        <v>GS/PHO</v>
      </c>
    </row>
    <row r="473" spans="1:27" ht="17.100000000000001" x14ac:dyDescent="0.45">
      <c r="A473" s="84">
        <v>191229</v>
      </c>
      <c r="B473" s="87">
        <v>0.29166666666666669</v>
      </c>
      <c r="C473" s="86" t="s">
        <v>408</v>
      </c>
      <c r="D473" s="86" t="s">
        <v>406</v>
      </c>
      <c r="E473" s="186">
        <v>26</v>
      </c>
      <c r="F473" s="186">
        <v>24</v>
      </c>
      <c r="G473" s="186">
        <v>32</v>
      </c>
      <c r="H473" s="186">
        <v>37</v>
      </c>
      <c r="I473" s="186"/>
      <c r="J473" s="186">
        <v>11</v>
      </c>
      <c r="K473" s="186">
        <v>28</v>
      </c>
      <c r="L473" s="186">
        <v>29</v>
      </c>
      <c r="M473" s="186">
        <v>42</v>
      </c>
      <c r="N473" s="186" t="s">
        <v>427</v>
      </c>
      <c r="O473" s="186">
        <f t="shared" si="226"/>
        <v>119</v>
      </c>
      <c r="P473" s="186">
        <f t="shared" si="227"/>
        <v>110</v>
      </c>
      <c r="Q473" s="186" t="str">
        <f t="shared" si="228"/>
        <v>HW</v>
      </c>
      <c r="R473" s="186" t="str">
        <f t="shared" si="229"/>
        <v>HL</v>
      </c>
      <c r="S473" s="186" t="str">
        <f t="shared" si="230"/>
        <v>HW</v>
      </c>
      <c r="T473" s="186" t="str">
        <f t="shared" si="231"/>
        <v>HL</v>
      </c>
      <c r="U473" s="186" t="str">
        <f t="shared" si="232"/>
        <v>U</v>
      </c>
      <c r="V473" s="186" t="str">
        <f t="shared" si="233"/>
        <v>U</v>
      </c>
      <c r="W473" s="186" t="str">
        <f t="shared" si="234"/>
        <v>O</v>
      </c>
      <c r="X473" s="186" t="str">
        <f t="shared" si="235"/>
        <v>O</v>
      </c>
      <c r="Z473">
        <v>54.5</v>
      </c>
      <c r="AA473" s="90" t="str">
        <f t="shared" si="236"/>
        <v>DEN/MEM</v>
      </c>
    </row>
    <row r="474" spans="1:27" ht="17.100000000000001" x14ac:dyDescent="0.45">
      <c r="A474" s="86">
        <v>191229</v>
      </c>
      <c r="B474" s="87">
        <v>0.375</v>
      </c>
      <c r="C474" s="86" t="s">
        <v>421</v>
      </c>
      <c r="D474" s="86" t="s">
        <v>413</v>
      </c>
      <c r="E474" s="186">
        <v>25</v>
      </c>
      <c r="F474" s="186">
        <v>29</v>
      </c>
      <c r="G474" s="186">
        <v>25</v>
      </c>
      <c r="H474" s="186">
        <v>18</v>
      </c>
      <c r="I474" s="186"/>
      <c r="J474" s="186">
        <v>36</v>
      </c>
      <c r="K474" s="186">
        <v>23</v>
      </c>
      <c r="L474" s="186">
        <v>30</v>
      </c>
      <c r="M474" s="186">
        <v>24</v>
      </c>
      <c r="N474" s="186" t="s">
        <v>427</v>
      </c>
      <c r="O474" s="186">
        <f t="shared" si="226"/>
        <v>97</v>
      </c>
      <c r="P474" s="186">
        <f t="shared" si="227"/>
        <v>113</v>
      </c>
      <c r="Q474" s="186" t="str">
        <f t="shared" si="228"/>
        <v>HL</v>
      </c>
      <c r="R474" s="186" t="str">
        <f t="shared" si="229"/>
        <v>HW</v>
      </c>
      <c r="S474" s="186" t="str">
        <f t="shared" si="230"/>
        <v>HL</v>
      </c>
      <c r="T474" s="186" t="str">
        <f t="shared" si="231"/>
        <v>HL</v>
      </c>
      <c r="U474" s="186" t="str">
        <f t="shared" si="232"/>
        <v>O</v>
      </c>
      <c r="V474" s="186" t="str">
        <f t="shared" si="233"/>
        <v>U</v>
      </c>
      <c r="W474" s="186" t="str">
        <f t="shared" si="234"/>
        <v>U</v>
      </c>
      <c r="X474" s="186" t="str">
        <f t="shared" si="235"/>
        <v>U</v>
      </c>
      <c r="Z474">
        <v>55.5</v>
      </c>
      <c r="AA474" s="90" t="str">
        <f t="shared" si="236"/>
        <v>BOS/TOR</v>
      </c>
    </row>
    <row r="475" spans="1:27" ht="17.100000000000001" x14ac:dyDescent="0.45">
      <c r="A475" s="86">
        <v>191229</v>
      </c>
      <c r="B475" s="87">
        <v>0.375</v>
      </c>
      <c r="C475" s="86" t="s">
        <v>398</v>
      </c>
      <c r="D475" s="86" t="s">
        <v>400</v>
      </c>
      <c r="E475" s="186">
        <v>19</v>
      </c>
      <c r="F475" s="186">
        <v>29</v>
      </c>
      <c r="G475" s="186">
        <v>38</v>
      </c>
      <c r="H475" s="186">
        <v>34</v>
      </c>
      <c r="I475" s="186"/>
      <c r="J475" s="186">
        <v>32</v>
      </c>
      <c r="K475" s="186">
        <v>13</v>
      </c>
      <c r="L475" s="186">
        <v>23</v>
      </c>
      <c r="M475" s="186">
        <v>30</v>
      </c>
      <c r="N475" s="186" t="s">
        <v>427</v>
      </c>
      <c r="O475" s="186">
        <f t="shared" si="226"/>
        <v>120</v>
      </c>
      <c r="P475" s="186">
        <f t="shared" si="227"/>
        <v>98</v>
      </c>
      <c r="Q475" s="186" t="str">
        <f t="shared" si="228"/>
        <v>HL</v>
      </c>
      <c r="R475" s="186" t="str">
        <f t="shared" si="229"/>
        <v>HW</v>
      </c>
      <c r="S475" s="186" t="str">
        <f t="shared" si="230"/>
        <v>HW</v>
      </c>
      <c r="T475" s="186" t="str">
        <f t="shared" si="231"/>
        <v>HW</v>
      </c>
      <c r="U475" s="186" t="str">
        <f t="shared" si="232"/>
        <v>U</v>
      </c>
      <c r="V475" s="186" t="str">
        <f t="shared" si="233"/>
        <v>U</v>
      </c>
      <c r="W475" s="186" t="str">
        <f t="shared" si="234"/>
        <v>O</v>
      </c>
      <c r="X475" s="186" t="str">
        <f t="shared" si="235"/>
        <v>O</v>
      </c>
      <c r="Z475">
        <v>56.5</v>
      </c>
      <c r="AA475" s="90" t="str">
        <f t="shared" si="236"/>
        <v>NO/IND</v>
      </c>
    </row>
    <row r="476" spans="1:27" ht="17.100000000000001" x14ac:dyDescent="0.45">
      <c r="A476" s="86">
        <v>191229</v>
      </c>
      <c r="B476" s="87">
        <v>0.41666666666666669</v>
      </c>
      <c r="C476" s="86" t="s">
        <v>412</v>
      </c>
      <c r="D476" s="86" t="s">
        <v>410</v>
      </c>
      <c r="E476" s="186">
        <v>35</v>
      </c>
      <c r="F476" s="186">
        <v>29</v>
      </c>
      <c r="G476" s="186">
        <v>19</v>
      </c>
      <c r="H476" s="186">
        <v>33</v>
      </c>
      <c r="I476" s="186"/>
      <c r="J476" s="186">
        <v>19</v>
      </c>
      <c r="K476" s="186">
        <v>24</v>
      </c>
      <c r="L476" s="186">
        <v>22</v>
      </c>
      <c r="M476" s="186">
        <v>16</v>
      </c>
      <c r="N476" s="186" t="s">
        <v>427</v>
      </c>
      <c r="O476" s="186">
        <f t="shared" si="226"/>
        <v>116</v>
      </c>
      <c r="P476" s="186">
        <f t="shared" si="227"/>
        <v>81</v>
      </c>
      <c r="Q476" s="186" t="str">
        <f t="shared" si="228"/>
        <v>HW</v>
      </c>
      <c r="R476" s="186" t="str">
        <f t="shared" si="229"/>
        <v>HW</v>
      </c>
      <c r="S476" s="186" t="str">
        <f t="shared" si="230"/>
        <v>HL</v>
      </c>
      <c r="T476" s="186" t="str">
        <f t="shared" si="231"/>
        <v>HW</v>
      </c>
      <c r="U476" s="186" t="str">
        <f t="shared" si="232"/>
        <v>U</v>
      </c>
      <c r="V476" s="186" t="str">
        <f t="shared" si="233"/>
        <v>U</v>
      </c>
      <c r="W476" s="186" t="str">
        <f t="shared" si="234"/>
        <v>U</v>
      </c>
      <c r="X476" s="186" t="str">
        <f t="shared" si="235"/>
        <v>U</v>
      </c>
      <c r="Z476">
        <v>55.5</v>
      </c>
      <c r="AA476" s="90" t="str">
        <f t="shared" si="236"/>
        <v>CHI/ATL</v>
      </c>
    </row>
    <row r="477" spans="1:27" ht="17.100000000000001" x14ac:dyDescent="0.45">
      <c r="A477" s="86">
        <v>191229</v>
      </c>
      <c r="B477" s="87">
        <v>0.41666666666666669</v>
      </c>
      <c r="C477" s="86" t="s">
        <v>403</v>
      </c>
      <c r="D477" s="86" t="s">
        <v>407</v>
      </c>
      <c r="E477" s="186">
        <v>42</v>
      </c>
      <c r="F477" s="186">
        <v>21</v>
      </c>
      <c r="G477" s="186">
        <v>25</v>
      </c>
      <c r="H477" s="186">
        <v>20</v>
      </c>
      <c r="I477" s="186"/>
      <c r="J477" s="186">
        <v>20</v>
      </c>
      <c r="K477" s="186">
        <v>34</v>
      </c>
      <c r="L477" s="186">
        <v>25</v>
      </c>
      <c r="M477" s="186">
        <v>19</v>
      </c>
      <c r="N477" s="186" t="s">
        <v>427</v>
      </c>
      <c r="O477" s="186">
        <f t="shared" si="226"/>
        <v>108</v>
      </c>
      <c r="P477" s="186">
        <f t="shared" si="227"/>
        <v>98</v>
      </c>
      <c r="Q477" s="186" t="str">
        <f t="shared" si="228"/>
        <v>HW</v>
      </c>
      <c r="R477" s="186" t="str">
        <f t="shared" si="229"/>
        <v>HL</v>
      </c>
      <c r="S477" s="186" t="str">
        <f t="shared" si="230"/>
        <v>TT</v>
      </c>
      <c r="T477" s="186" t="str">
        <f t="shared" si="231"/>
        <v>HW</v>
      </c>
      <c r="U477" s="186" t="str">
        <f t="shared" si="232"/>
        <v>O</v>
      </c>
      <c r="V477" s="186" t="str">
        <f t="shared" si="233"/>
        <v>U</v>
      </c>
      <c r="W477" s="186" t="str">
        <f t="shared" si="234"/>
        <v>U</v>
      </c>
      <c r="X477" s="186" t="str">
        <f t="shared" si="235"/>
        <v>U</v>
      </c>
      <c r="Z477">
        <v>57.5</v>
      </c>
      <c r="AA477" s="90" t="str">
        <f t="shared" si="236"/>
        <v>HOU/BKN</v>
      </c>
    </row>
    <row r="478" spans="1:27" ht="17.100000000000001" x14ac:dyDescent="0.45">
      <c r="A478" s="86">
        <v>191229</v>
      </c>
      <c r="B478" s="87">
        <v>0.41666666666666669</v>
      </c>
      <c r="C478" s="86" t="s">
        <v>411</v>
      </c>
      <c r="D478" s="86" t="s">
        <v>401</v>
      </c>
      <c r="E478" s="186">
        <v>28</v>
      </c>
      <c r="F478" s="186">
        <v>26</v>
      </c>
      <c r="G478" s="186">
        <v>31</v>
      </c>
      <c r="H478" s="186">
        <v>23</v>
      </c>
      <c r="I478" s="186">
        <v>9</v>
      </c>
      <c r="J478" s="186">
        <v>33</v>
      </c>
      <c r="K478" s="186">
        <v>26</v>
      </c>
      <c r="L478" s="186">
        <v>20</v>
      </c>
      <c r="M478" s="186">
        <v>29</v>
      </c>
      <c r="N478" s="186">
        <v>8</v>
      </c>
      <c r="O478" s="186">
        <f t="shared" si="226"/>
        <v>117</v>
      </c>
      <c r="P478" s="186">
        <f t="shared" si="227"/>
        <v>116</v>
      </c>
      <c r="Q478" s="186" t="str">
        <f t="shared" si="228"/>
        <v>HL</v>
      </c>
      <c r="R478" s="186" t="str">
        <f t="shared" si="229"/>
        <v>TT</v>
      </c>
      <c r="S478" s="186" t="str">
        <f t="shared" si="230"/>
        <v>HW</v>
      </c>
      <c r="T478" s="186" t="str">
        <f t="shared" si="231"/>
        <v>HL</v>
      </c>
      <c r="U478" s="186" t="str">
        <f t="shared" si="232"/>
        <v>O</v>
      </c>
      <c r="V478" s="186" t="str">
        <f t="shared" si="233"/>
        <v>U</v>
      </c>
      <c r="W478" s="186" t="str">
        <f t="shared" si="234"/>
        <v>U</v>
      </c>
      <c r="X478" s="186" t="str">
        <f t="shared" si="235"/>
        <v>U</v>
      </c>
      <c r="Z478">
        <v>52.5</v>
      </c>
      <c r="AA478" s="90" t="str">
        <f t="shared" si="236"/>
        <v>MIA/PHI</v>
      </c>
    </row>
    <row r="479" spans="1:27" ht="17.100000000000001" x14ac:dyDescent="0.45">
      <c r="A479" s="86">
        <v>191229</v>
      </c>
      <c r="B479" s="87">
        <v>0.41666666666666669</v>
      </c>
      <c r="C479" s="86" t="s">
        <v>420</v>
      </c>
      <c r="D479" s="86" t="s">
        <v>402</v>
      </c>
      <c r="E479" s="186">
        <v>21</v>
      </c>
      <c r="F479" s="186">
        <v>22</v>
      </c>
      <c r="G479" s="186">
        <v>17</v>
      </c>
      <c r="H479" s="186">
        <v>28</v>
      </c>
      <c r="I479" s="186"/>
      <c r="J479" s="186">
        <v>27</v>
      </c>
      <c r="K479" s="186">
        <v>22</v>
      </c>
      <c r="L479" s="186">
        <v>18</v>
      </c>
      <c r="M479" s="186">
        <v>27</v>
      </c>
      <c r="N479" s="186" t="s">
        <v>427</v>
      </c>
      <c r="O479" s="186">
        <f t="shared" si="226"/>
        <v>88</v>
      </c>
      <c r="P479" s="186">
        <f t="shared" si="227"/>
        <v>94</v>
      </c>
      <c r="Q479" s="186" t="str">
        <f t="shared" si="228"/>
        <v>HL</v>
      </c>
      <c r="R479" s="186" t="str">
        <f t="shared" si="229"/>
        <v>TT</v>
      </c>
      <c r="S479" s="186" t="str">
        <f t="shared" si="230"/>
        <v>HL</v>
      </c>
      <c r="T479" s="186" t="str">
        <f t="shared" si="231"/>
        <v>HW</v>
      </c>
      <c r="U479" s="186" t="str">
        <f t="shared" si="232"/>
        <v>U</v>
      </c>
      <c r="V479" s="186" t="str">
        <f t="shared" si="233"/>
        <v>U</v>
      </c>
      <c r="W479" s="186" t="str">
        <f t="shared" si="234"/>
        <v>U</v>
      </c>
      <c r="X479" s="186" t="str">
        <f t="shared" si="235"/>
        <v>O</v>
      </c>
      <c r="Z479">
        <v>53.5</v>
      </c>
      <c r="AA479" s="90" t="str">
        <f t="shared" si="236"/>
        <v>MIN/CLE</v>
      </c>
    </row>
    <row r="480" spans="1:27" ht="17.100000000000001" x14ac:dyDescent="0.45">
      <c r="A480" s="86">
        <v>191229</v>
      </c>
      <c r="B480" s="87">
        <v>0.41666666666666669</v>
      </c>
      <c r="C480" s="86" t="s">
        <v>414</v>
      </c>
      <c r="D480" s="86" t="s">
        <v>399</v>
      </c>
      <c r="E480" s="186">
        <v>23</v>
      </c>
      <c r="F480" s="186">
        <v>35</v>
      </c>
      <c r="G480" s="186">
        <v>20</v>
      </c>
      <c r="H480" s="186">
        <v>22</v>
      </c>
      <c r="I480" s="186"/>
      <c r="J480" s="186">
        <v>33</v>
      </c>
      <c r="K480" s="186">
        <v>26</v>
      </c>
      <c r="L480" s="186">
        <v>27</v>
      </c>
      <c r="M480" s="186">
        <v>21</v>
      </c>
      <c r="N480" s="186" t="s">
        <v>427</v>
      </c>
      <c r="O480" s="186">
        <f t="shared" si="226"/>
        <v>100</v>
      </c>
      <c r="P480" s="186">
        <f t="shared" si="227"/>
        <v>107</v>
      </c>
      <c r="Q480" s="186" t="str">
        <f t="shared" si="228"/>
        <v>HL</v>
      </c>
      <c r="R480" s="186" t="str">
        <f t="shared" si="229"/>
        <v>HW</v>
      </c>
      <c r="S480" s="186" t="str">
        <f t="shared" si="230"/>
        <v>HL</v>
      </c>
      <c r="T480" s="186" t="str">
        <f t="shared" si="231"/>
        <v>HW</v>
      </c>
      <c r="U480" s="186" t="str">
        <f t="shared" si="232"/>
        <v>U</v>
      </c>
      <c r="V480" s="186" t="str">
        <f t="shared" si="233"/>
        <v>O</v>
      </c>
      <c r="W480" s="186" t="str">
        <f t="shared" si="234"/>
        <v>U</v>
      </c>
      <c r="X480" s="186" t="str">
        <f t="shared" si="235"/>
        <v>U</v>
      </c>
      <c r="Z480">
        <v>58</v>
      </c>
      <c r="AA480" s="90" t="str">
        <f t="shared" si="236"/>
        <v>WAS/NYK</v>
      </c>
    </row>
    <row r="481" spans="1:27" ht="17.100000000000001" x14ac:dyDescent="0.45">
      <c r="A481" s="86">
        <v>191229</v>
      </c>
      <c r="B481" s="87">
        <v>0.4375</v>
      </c>
      <c r="C481" s="86" t="s">
        <v>425</v>
      </c>
      <c r="D481" s="86" t="s">
        <v>397</v>
      </c>
      <c r="E481" s="186">
        <v>41</v>
      </c>
      <c r="F481" s="186">
        <v>33</v>
      </c>
      <c r="G481" s="186">
        <v>24</v>
      </c>
      <c r="H481" s="186">
        <v>23</v>
      </c>
      <c r="I481" s="186"/>
      <c r="J481" s="186">
        <v>41</v>
      </c>
      <c r="K481" s="186">
        <v>31</v>
      </c>
      <c r="L481" s="186">
        <v>45</v>
      </c>
      <c r="M481" s="186">
        <v>24</v>
      </c>
      <c r="N481" s="186" t="s">
        <v>427</v>
      </c>
      <c r="O481" s="186">
        <f t="shared" si="226"/>
        <v>121</v>
      </c>
      <c r="P481" s="186">
        <f t="shared" si="227"/>
        <v>141</v>
      </c>
      <c r="Q481" s="186" t="str">
        <f t="shared" si="228"/>
        <v>TT</v>
      </c>
      <c r="R481" s="186" t="str">
        <f t="shared" si="229"/>
        <v>HW</v>
      </c>
      <c r="S481" s="186" t="str">
        <f t="shared" si="230"/>
        <v>HL</v>
      </c>
      <c r="T481" s="186" t="str">
        <f t="shared" si="231"/>
        <v>HL</v>
      </c>
      <c r="U481" s="186" t="str">
        <f t="shared" si="232"/>
        <v>O</v>
      </c>
      <c r="V481" s="186" t="str">
        <f t="shared" si="233"/>
        <v>O</v>
      </c>
      <c r="W481" s="186" t="str">
        <f t="shared" si="234"/>
        <v>O</v>
      </c>
      <c r="X481" s="186" t="str">
        <f t="shared" si="235"/>
        <v>U</v>
      </c>
      <c r="Z481">
        <v>56</v>
      </c>
      <c r="AA481" s="90" t="str">
        <f t="shared" si="236"/>
        <v>GS/DAL</v>
      </c>
    </row>
    <row r="482" spans="1:27" ht="17.100000000000001" x14ac:dyDescent="0.45">
      <c r="A482" s="86">
        <v>191229</v>
      </c>
      <c r="B482" s="87">
        <v>0.4375</v>
      </c>
      <c r="C482" s="86" t="s">
        <v>423</v>
      </c>
      <c r="D482" s="86" t="s">
        <v>424</v>
      </c>
      <c r="E482" s="186">
        <v>37</v>
      </c>
      <c r="F482" s="186">
        <v>19</v>
      </c>
      <c r="G482" s="186">
        <v>22</v>
      </c>
      <c r="H482" s="186">
        <v>33</v>
      </c>
      <c r="I482" s="186"/>
      <c r="J482" s="186">
        <v>25</v>
      </c>
      <c r="K482" s="186">
        <v>21</v>
      </c>
      <c r="L482" s="186">
        <v>28</v>
      </c>
      <c r="M482" s="186">
        <v>26</v>
      </c>
      <c r="N482" s="186" t="s">
        <v>427</v>
      </c>
      <c r="O482" s="186">
        <f t="shared" si="226"/>
        <v>111</v>
      </c>
      <c r="P482" s="186">
        <f t="shared" si="227"/>
        <v>100</v>
      </c>
      <c r="Q482" s="186" t="str">
        <f t="shared" si="228"/>
        <v>HW</v>
      </c>
      <c r="R482" s="186" t="str">
        <f t="shared" si="229"/>
        <v>HL</v>
      </c>
      <c r="S482" s="186" t="str">
        <f t="shared" si="230"/>
        <v>HL</v>
      </c>
      <c r="T482" s="186" t="str">
        <f t="shared" si="231"/>
        <v>HW</v>
      </c>
      <c r="U482" s="186" t="str">
        <f t="shared" si="232"/>
        <v>O</v>
      </c>
      <c r="V482" s="186" t="str">
        <f t="shared" si="233"/>
        <v>U</v>
      </c>
      <c r="W482" s="186" t="str">
        <f t="shared" si="234"/>
        <v>U</v>
      </c>
      <c r="X482" s="186" t="str">
        <f t="shared" si="235"/>
        <v>O</v>
      </c>
      <c r="Z482">
        <v>55.5</v>
      </c>
      <c r="AA482" s="90" t="str">
        <f t="shared" si="236"/>
        <v>MIL/ORL</v>
      </c>
    </row>
    <row r="483" spans="1:27" ht="17.100000000000001" x14ac:dyDescent="0.45">
      <c r="A483" s="86">
        <v>191229</v>
      </c>
      <c r="B483" s="87">
        <v>0.4375</v>
      </c>
      <c r="C483" s="86" t="s">
        <v>426</v>
      </c>
      <c r="D483" s="86" t="s">
        <v>422</v>
      </c>
      <c r="E483" s="186">
        <v>30</v>
      </c>
      <c r="F483" s="186">
        <v>29</v>
      </c>
      <c r="G483" s="186">
        <v>42</v>
      </c>
      <c r="H483" s="186">
        <v>35</v>
      </c>
      <c r="I483" s="186"/>
      <c r="J483" s="186">
        <v>28</v>
      </c>
      <c r="K483" s="186">
        <v>27</v>
      </c>
      <c r="L483" s="186">
        <v>25</v>
      </c>
      <c r="M483" s="186">
        <v>29</v>
      </c>
      <c r="N483" s="186" t="s">
        <v>427</v>
      </c>
      <c r="O483" s="186">
        <f t="shared" si="226"/>
        <v>136</v>
      </c>
      <c r="P483" s="186">
        <f t="shared" si="227"/>
        <v>109</v>
      </c>
      <c r="Q483" s="186" t="str">
        <f t="shared" si="228"/>
        <v>HW</v>
      </c>
      <c r="R483" s="186" t="str">
        <f t="shared" si="229"/>
        <v>HW</v>
      </c>
      <c r="S483" s="186" t="str">
        <f t="shared" si="230"/>
        <v>HW</v>
      </c>
      <c r="T483" s="186" t="str">
        <f t="shared" si="231"/>
        <v>HW</v>
      </c>
      <c r="U483" s="186" t="str">
        <f t="shared" si="232"/>
        <v>O</v>
      </c>
      <c r="V483" s="186" t="str">
        <f t="shared" si="233"/>
        <v>U</v>
      </c>
      <c r="W483" s="186" t="str">
        <f t="shared" si="234"/>
        <v>O</v>
      </c>
      <c r="X483" s="186" t="str">
        <f t="shared" si="235"/>
        <v>O</v>
      </c>
      <c r="Z483">
        <v>57</v>
      </c>
      <c r="AA483" s="90" t="str">
        <f t="shared" si="236"/>
        <v>SAS/DET</v>
      </c>
    </row>
    <row r="484" spans="1:27" ht="17.100000000000001" x14ac:dyDescent="0.45">
      <c r="A484" s="86">
        <v>191229</v>
      </c>
      <c r="B484" s="87">
        <v>0.45833333333333331</v>
      </c>
      <c r="C484" s="86" t="s">
        <v>416</v>
      </c>
      <c r="D484" s="86" t="s">
        <v>404</v>
      </c>
      <c r="E484" s="186">
        <v>30</v>
      </c>
      <c r="F484" s="186">
        <v>19</v>
      </c>
      <c r="G484" s="186">
        <v>28</v>
      </c>
      <c r="H484" s="186">
        <v>33</v>
      </c>
      <c r="I484" s="186"/>
      <c r="J484" s="186">
        <v>31</v>
      </c>
      <c r="K484" s="186">
        <v>28</v>
      </c>
      <c r="L484" s="186">
        <v>22</v>
      </c>
      <c r="M484" s="186">
        <v>31</v>
      </c>
      <c r="N484" s="186" t="s">
        <v>427</v>
      </c>
      <c r="O484" s="186">
        <f t="shared" si="226"/>
        <v>110</v>
      </c>
      <c r="P484" s="186">
        <f t="shared" si="227"/>
        <v>112</v>
      </c>
      <c r="Q484" s="186" t="str">
        <f t="shared" si="228"/>
        <v>HL</v>
      </c>
      <c r="R484" s="186" t="str">
        <f t="shared" si="229"/>
        <v>HL</v>
      </c>
      <c r="S484" s="186" t="str">
        <f t="shared" si="230"/>
        <v>HW</v>
      </c>
      <c r="T484" s="186" t="str">
        <f t="shared" si="231"/>
        <v>HW</v>
      </c>
      <c r="U484" s="186" t="str">
        <f t="shared" si="232"/>
        <v>O</v>
      </c>
      <c r="V484" s="186" t="str">
        <f t="shared" si="233"/>
        <v>U</v>
      </c>
      <c r="W484" s="186" t="str">
        <f t="shared" si="234"/>
        <v>U</v>
      </c>
      <c r="X484" s="186" t="str">
        <f t="shared" si="235"/>
        <v>O</v>
      </c>
      <c r="Z484">
        <v>53.5</v>
      </c>
      <c r="AA484" s="90" t="str">
        <f t="shared" si="236"/>
        <v>SAC/PHO</v>
      </c>
    </row>
    <row r="485" spans="1:27" ht="17.100000000000001" x14ac:dyDescent="0.45">
      <c r="A485" s="86">
        <v>191229</v>
      </c>
      <c r="B485" s="87">
        <v>0.5</v>
      </c>
      <c r="C485" s="86" t="s">
        <v>417</v>
      </c>
      <c r="D485" s="86" t="s">
        <v>419</v>
      </c>
      <c r="E485" s="186">
        <v>32</v>
      </c>
      <c r="F485" s="186">
        <v>32</v>
      </c>
      <c r="G485" s="186">
        <v>31</v>
      </c>
      <c r="H485" s="186">
        <v>25</v>
      </c>
      <c r="I485" s="186"/>
      <c r="J485" s="186">
        <v>34</v>
      </c>
      <c r="K485" s="186">
        <v>37</v>
      </c>
      <c r="L485" s="186">
        <v>32</v>
      </c>
      <c r="M485" s="186">
        <v>25</v>
      </c>
      <c r="N485" s="186" t="s">
        <v>427</v>
      </c>
      <c r="O485" s="186">
        <f t="shared" si="226"/>
        <v>120</v>
      </c>
      <c r="P485" s="186">
        <f t="shared" si="227"/>
        <v>128</v>
      </c>
      <c r="Q485" s="186" t="str">
        <f t="shared" si="228"/>
        <v>HL</v>
      </c>
      <c r="R485" s="186" t="str">
        <f t="shared" si="229"/>
        <v>HL</v>
      </c>
      <c r="S485" s="186" t="str">
        <f t="shared" si="230"/>
        <v>HL</v>
      </c>
      <c r="T485" s="186" t="str">
        <f t="shared" si="231"/>
        <v>TT</v>
      </c>
      <c r="U485" s="186" t="str">
        <f t="shared" si="232"/>
        <v>O</v>
      </c>
      <c r="V485" s="186" t="str">
        <f t="shared" si="233"/>
        <v>O</v>
      </c>
      <c r="W485" s="186" t="str">
        <f t="shared" si="234"/>
        <v>O</v>
      </c>
      <c r="X485" s="186" t="str">
        <f t="shared" si="235"/>
        <v>U</v>
      </c>
      <c r="Z485">
        <v>57.5</v>
      </c>
      <c r="AA485" s="90" t="str">
        <f t="shared" si="236"/>
        <v>POR/LAL</v>
      </c>
    </row>
    <row r="486" spans="1:27" ht="17.100000000000001" x14ac:dyDescent="0.45">
      <c r="A486" s="86">
        <v>191229</v>
      </c>
      <c r="B486" s="87">
        <v>0.52083333333333337</v>
      </c>
      <c r="C486" s="86" t="s">
        <v>415</v>
      </c>
      <c r="D486" s="86" t="s">
        <v>405</v>
      </c>
      <c r="E486" s="186">
        <v>32</v>
      </c>
      <c r="F486" s="186">
        <v>31</v>
      </c>
      <c r="G486" s="186">
        <v>29</v>
      </c>
      <c r="H486" s="186">
        <v>15</v>
      </c>
      <c r="I486" s="186"/>
      <c r="J486" s="186">
        <v>22</v>
      </c>
      <c r="K486" s="186">
        <v>39</v>
      </c>
      <c r="L486" s="186">
        <v>32</v>
      </c>
      <c r="M486" s="186">
        <v>27</v>
      </c>
      <c r="N486" s="186" t="s">
        <v>427</v>
      </c>
      <c r="O486" s="186">
        <f t="shared" si="226"/>
        <v>107</v>
      </c>
      <c r="P486" s="186">
        <f t="shared" si="227"/>
        <v>120</v>
      </c>
      <c r="Q486" s="186" t="str">
        <f t="shared" si="228"/>
        <v>HW</v>
      </c>
      <c r="R486" s="186" t="str">
        <f t="shared" si="229"/>
        <v>HL</v>
      </c>
      <c r="S486" s="186" t="str">
        <f t="shared" si="230"/>
        <v>HL</v>
      </c>
      <c r="T486" s="186" t="str">
        <f t="shared" si="231"/>
        <v>HL</v>
      </c>
      <c r="U486" s="186" t="str">
        <f t="shared" si="232"/>
        <v>U</v>
      </c>
      <c r="V486" s="186" t="str">
        <f t="shared" si="233"/>
        <v>O</v>
      </c>
      <c r="W486" s="186" t="str">
        <f t="shared" si="234"/>
        <v>O</v>
      </c>
      <c r="X486" s="186" t="str">
        <f t="shared" si="235"/>
        <v>U</v>
      </c>
      <c r="Z486">
        <v>55</v>
      </c>
      <c r="AA486" s="90" t="str">
        <f t="shared" si="236"/>
        <v>LAC/UTA</v>
      </c>
    </row>
    <row r="487" spans="1:27" ht="17.100000000000001" x14ac:dyDescent="0.45">
      <c r="A487" s="86">
        <v>191230</v>
      </c>
      <c r="B487" s="89">
        <v>0.33333333333333331</v>
      </c>
      <c r="C487" s="88" t="s">
        <v>413</v>
      </c>
      <c r="D487" s="88" t="s">
        <v>418</v>
      </c>
      <c r="E487" s="186">
        <v>20</v>
      </c>
      <c r="F487" s="186">
        <v>27</v>
      </c>
      <c r="G487" s="186">
        <v>33</v>
      </c>
      <c r="H487" s="186">
        <v>17</v>
      </c>
      <c r="I487" s="186"/>
      <c r="J487" s="186">
        <v>22</v>
      </c>
      <c r="K487" s="186">
        <v>25</v>
      </c>
      <c r="L487" s="186">
        <v>29</v>
      </c>
      <c r="M487" s="186">
        <v>22</v>
      </c>
      <c r="N487" s="186" t="s">
        <v>427</v>
      </c>
      <c r="O487" s="186">
        <f t="shared" si="226"/>
        <v>97</v>
      </c>
      <c r="P487" s="186">
        <f t="shared" si="227"/>
        <v>98</v>
      </c>
      <c r="Q487" s="186" t="str">
        <f t="shared" si="228"/>
        <v>HL</v>
      </c>
      <c r="R487" s="186" t="str">
        <f t="shared" si="229"/>
        <v>HW</v>
      </c>
      <c r="S487" s="186" t="str">
        <f t="shared" si="230"/>
        <v>HW</v>
      </c>
      <c r="T487" s="186" t="str">
        <f t="shared" si="231"/>
        <v>HL</v>
      </c>
      <c r="U487" s="186" t="str">
        <f t="shared" si="232"/>
        <v>U</v>
      </c>
      <c r="V487" s="186" t="str">
        <f t="shared" si="233"/>
        <v>U</v>
      </c>
      <c r="W487" s="186" t="str">
        <f t="shared" si="234"/>
        <v>O</v>
      </c>
      <c r="X487" s="186" t="str">
        <f t="shared" si="235"/>
        <v>U</v>
      </c>
      <c r="Z487">
        <v>54</v>
      </c>
      <c r="AA487" s="90" t="str">
        <f t="shared" si="236"/>
        <v>TOR/OKC</v>
      </c>
    </row>
    <row r="488" spans="1:27" ht="17.100000000000001" x14ac:dyDescent="0.45">
      <c r="A488" s="88">
        <v>191230</v>
      </c>
      <c r="B488" s="89">
        <v>0.41666666666666669</v>
      </c>
      <c r="C488" s="88" t="s">
        <v>398</v>
      </c>
      <c r="D488" s="88" t="s">
        <v>403</v>
      </c>
      <c r="E488" s="186">
        <v>36</v>
      </c>
      <c r="F488" s="186">
        <v>28</v>
      </c>
      <c r="G488" s="186">
        <v>22</v>
      </c>
      <c r="H488" s="186">
        <v>41</v>
      </c>
      <c r="I488" s="186"/>
      <c r="J488" s="186">
        <v>37</v>
      </c>
      <c r="K488" s="186">
        <v>27</v>
      </c>
      <c r="L488" s="186">
        <v>29</v>
      </c>
      <c r="M488" s="186">
        <v>19</v>
      </c>
      <c r="N488" s="186" t="s">
        <v>427</v>
      </c>
      <c r="O488" s="186">
        <f t="shared" si="226"/>
        <v>127</v>
      </c>
      <c r="P488" s="186">
        <f t="shared" si="227"/>
        <v>112</v>
      </c>
      <c r="Q488" s="186" t="str">
        <f t="shared" si="228"/>
        <v>HL</v>
      </c>
      <c r="R488" s="186" t="str">
        <f t="shared" si="229"/>
        <v>HW</v>
      </c>
      <c r="S488" s="186" t="str">
        <f t="shared" si="230"/>
        <v>HL</v>
      </c>
      <c r="T488" s="186" t="str">
        <f t="shared" si="231"/>
        <v>HW</v>
      </c>
      <c r="U488" s="186" t="str">
        <f t="shared" si="232"/>
        <v>O</v>
      </c>
      <c r="V488" s="186" t="str">
        <f t="shared" si="233"/>
        <v>U</v>
      </c>
      <c r="W488" s="186" t="str">
        <f t="shared" si="234"/>
        <v>U</v>
      </c>
      <c r="X488" s="186" t="str">
        <f t="shared" si="235"/>
        <v>O</v>
      </c>
      <c r="Z488">
        <v>57.5</v>
      </c>
      <c r="AA488" s="90" t="str">
        <f t="shared" si="236"/>
        <v>NO/HOU</v>
      </c>
    </row>
    <row r="489" spans="1:27" ht="17.100000000000001" x14ac:dyDescent="0.45">
      <c r="A489" s="88">
        <v>191230</v>
      </c>
      <c r="B489" s="89">
        <v>0.41666666666666669</v>
      </c>
      <c r="C489" s="88" t="s">
        <v>408</v>
      </c>
      <c r="D489" s="88" t="s">
        <v>416</v>
      </c>
      <c r="E489" s="186">
        <v>31</v>
      </c>
      <c r="F489" s="186">
        <v>31</v>
      </c>
      <c r="G489" s="186">
        <v>26</v>
      </c>
      <c r="H489" s="186">
        <v>32</v>
      </c>
      <c r="I489" s="186"/>
      <c r="J489" s="186">
        <v>32</v>
      </c>
      <c r="K489" s="186">
        <v>25</v>
      </c>
      <c r="L489" s="186">
        <v>24</v>
      </c>
      <c r="M489" s="186">
        <v>34</v>
      </c>
      <c r="N489" s="186" t="s">
        <v>427</v>
      </c>
      <c r="O489" s="186">
        <f t="shared" si="226"/>
        <v>120</v>
      </c>
      <c r="P489" s="186">
        <f t="shared" si="227"/>
        <v>115</v>
      </c>
      <c r="Q489" s="186" t="str">
        <f t="shared" si="228"/>
        <v>HL</v>
      </c>
      <c r="R489" s="186" t="str">
        <f t="shared" si="229"/>
        <v>HW</v>
      </c>
      <c r="S489" s="186" t="str">
        <f t="shared" si="230"/>
        <v>HW</v>
      </c>
      <c r="T489" s="186" t="str">
        <f t="shared" si="231"/>
        <v>HL</v>
      </c>
      <c r="U489" s="186" t="str">
        <f t="shared" si="232"/>
        <v>O</v>
      </c>
      <c r="V489" s="186" t="str">
        <f t="shared" si="233"/>
        <v>O</v>
      </c>
      <c r="W489" s="186" t="str">
        <f t="shared" si="234"/>
        <v>U</v>
      </c>
      <c r="X489" s="186" t="str">
        <f t="shared" si="235"/>
        <v>O</v>
      </c>
      <c r="Z489">
        <v>54</v>
      </c>
      <c r="AA489" s="90" t="str">
        <f t="shared" si="236"/>
        <v>DEN/SAC</v>
      </c>
    </row>
    <row r="490" spans="1:27" ht="17.100000000000001" x14ac:dyDescent="0.45">
      <c r="A490" s="88">
        <v>191230</v>
      </c>
      <c r="B490" s="89">
        <v>0.41666666666666669</v>
      </c>
      <c r="C490" s="88" t="s">
        <v>406</v>
      </c>
      <c r="D490" s="88" t="s">
        <v>409</v>
      </c>
      <c r="E490" s="186">
        <v>31</v>
      </c>
      <c r="F490" s="186">
        <v>25</v>
      </c>
      <c r="G490" s="186">
        <v>30</v>
      </c>
      <c r="H490" s="186">
        <v>31</v>
      </c>
      <c r="I490" s="186"/>
      <c r="J490" s="186">
        <v>20</v>
      </c>
      <c r="K490" s="186">
        <v>26</v>
      </c>
      <c r="L490" s="186">
        <v>29</v>
      </c>
      <c r="M490" s="186">
        <v>29</v>
      </c>
      <c r="N490" s="186" t="s">
        <v>427</v>
      </c>
      <c r="O490" s="186">
        <f t="shared" si="226"/>
        <v>117</v>
      </c>
      <c r="P490" s="186">
        <f t="shared" si="227"/>
        <v>104</v>
      </c>
      <c r="Q490" s="186" t="str">
        <f t="shared" si="228"/>
        <v>HW</v>
      </c>
      <c r="R490" s="186" t="str">
        <f t="shared" si="229"/>
        <v>HL</v>
      </c>
      <c r="S490" s="186" t="str">
        <f t="shared" si="230"/>
        <v>HW</v>
      </c>
      <c r="T490" s="186" t="str">
        <f t="shared" si="231"/>
        <v>HW</v>
      </c>
      <c r="U490" s="186" t="str">
        <f t="shared" si="232"/>
        <v>U</v>
      </c>
      <c r="V490" s="186" t="str">
        <f t="shared" si="233"/>
        <v>U</v>
      </c>
      <c r="W490" s="186" t="str">
        <f t="shared" si="234"/>
        <v>O</v>
      </c>
      <c r="X490" s="186" t="str">
        <f t="shared" si="235"/>
        <v>O</v>
      </c>
      <c r="Z490">
        <v>56.5</v>
      </c>
      <c r="AA490" s="90" t="str">
        <f t="shared" si="236"/>
        <v>MEM/CHA</v>
      </c>
    </row>
    <row r="491" spans="1:27" ht="17.100000000000001" x14ac:dyDescent="0.45">
      <c r="A491" s="88">
        <v>191230</v>
      </c>
      <c r="B491" s="89">
        <v>0.47916666666666669</v>
      </c>
      <c r="C491" s="88" t="s">
        <v>419</v>
      </c>
      <c r="D491" s="88" t="s">
        <v>397</v>
      </c>
      <c r="E491" s="186">
        <v>25</v>
      </c>
      <c r="F491" s="186">
        <v>29</v>
      </c>
      <c r="G491" s="186">
        <v>30</v>
      </c>
      <c r="H491" s="186">
        <v>24</v>
      </c>
      <c r="I491" s="186"/>
      <c r="J491" s="186">
        <v>19</v>
      </c>
      <c r="K491" s="186">
        <v>24</v>
      </c>
      <c r="L491" s="186">
        <v>26</v>
      </c>
      <c r="M491" s="186">
        <v>26</v>
      </c>
      <c r="N491" s="186" t="s">
        <v>427</v>
      </c>
      <c r="O491" s="186">
        <f t="shared" si="226"/>
        <v>108</v>
      </c>
      <c r="P491" s="186">
        <f t="shared" si="227"/>
        <v>95</v>
      </c>
      <c r="Q491" s="186" t="str">
        <f t="shared" si="228"/>
        <v>HW</v>
      </c>
      <c r="R491" s="186" t="str">
        <f t="shared" si="229"/>
        <v>HW</v>
      </c>
      <c r="S491" s="186" t="str">
        <f t="shared" si="230"/>
        <v>HW</v>
      </c>
      <c r="T491" s="186" t="str">
        <f t="shared" si="231"/>
        <v>HL</v>
      </c>
      <c r="U491" s="186" t="str">
        <f t="shared" si="232"/>
        <v>U</v>
      </c>
      <c r="V491" s="186" t="str">
        <f t="shared" si="233"/>
        <v>U</v>
      </c>
      <c r="W491" s="186" t="str">
        <f t="shared" si="234"/>
        <v>U</v>
      </c>
      <c r="X491" s="186" t="str">
        <f t="shared" si="235"/>
        <v>U</v>
      </c>
      <c r="Z491">
        <v>58</v>
      </c>
      <c r="AA491" s="90" t="str">
        <f t="shared" si="236"/>
        <v>LAL/DAL</v>
      </c>
    </row>
    <row r="492" spans="1:27" ht="17.100000000000001" x14ac:dyDescent="0.45">
      <c r="A492" s="88">
        <v>191231</v>
      </c>
      <c r="B492" s="91">
        <v>0.375</v>
      </c>
      <c r="C492" s="90" t="s">
        <v>424</v>
      </c>
      <c r="D492" s="90" t="s">
        <v>410</v>
      </c>
      <c r="E492" s="186">
        <v>21</v>
      </c>
      <c r="F492" s="186">
        <v>36</v>
      </c>
      <c r="G492" s="186">
        <v>15</v>
      </c>
      <c r="H492" s="186">
        <v>21</v>
      </c>
      <c r="I492" s="186"/>
      <c r="J492" s="186">
        <v>25</v>
      </c>
      <c r="K492" s="186">
        <v>22</v>
      </c>
      <c r="L492" s="186">
        <v>27</v>
      </c>
      <c r="M492" s="186">
        <v>27</v>
      </c>
      <c r="N492" s="186" t="s">
        <v>427</v>
      </c>
      <c r="O492" s="186">
        <f t="shared" si="226"/>
        <v>93</v>
      </c>
      <c r="P492" s="186">
        <f t="shared" si="227"/>
        <v>101</v>
      </c>
      <c r="Q492" s="186" t="str">
        <f t="shared" si="228"/>
        <v>HL</v>
      </c>
      <c r="R492" s="186" t="str">
        <f t="shared" si="229"/>
        <v>HW</v>
      </c>
      <c r="S492" s="186" t="str">
        <f t="shared" si="230"/>
        <v>HL</v>
      </c>
      <c r="T492" s="186" t="str">
        <f t="shared" si="231"/>
        <v>HL</v>
      </c>
      <c r="U492" s="186" t="str">
        <f t="shared" si="232"/>
        <v>U</v>
      </c>
      <c r="V492" s="186" t="str">
        <f t="shared" si="233"/>
        <v>O</v>
      </c>
      <c r="W492" s="186" t="str">
        <f t="shared" si="234"/>
        <v>U</v>
      </c>
      <c r="X492" s="186" t="str">
        <f t="shared" si="235"/>
        <v>U</v>
      </c>
      <c r="Z492">
        <v>54</v>
      </c>
      <c r="AA492" s="90" t="str">
        <f t="shared" si="236"/>
        <v>ORL/ATL</v>
      </c>
    </row>
    <row r="493" spans="1:27" ht="17.100000000000001" x14ac:dyDescent="0.45">
      <c r="A493" s="90">
        <v>191231</v>
      </c>
      <c r="B493" s="91">
        <v>0.375</v>
      </c>
      <c r="C493" s="90" t="s">
        <v>414</v>
      </c>
      <c r="D493" s="90" t="s">
        <v>411</v>
      </c>
      <c r="E493" s="186">
        <v>29</v>
      </c>
      <c r="F493" s="186">
        <v>42</v>
      </c>
      <c r="G493" s="186">
        <v>19</v>
      </c>
      <c r="H493" s="186">
        <v>33</v>
      </c>
      <c r="I493" s="186"/>
      <c r="J493" s="186">
        <v>39</v>
      </c>
      <c r="K493" s="186">
        <v>24</v>
      </c>
      <c r="L493" s="186">
        <v>18</v>
      </c>
      <c r="M493" s="186">
        <v>24</v>
      </c>
      <c r="N493" s="186" t="s">
        <v>427</v>
      </c>
      <c r="O493" s="186">
        <f t="shared" si="226"/>
        <v>123</v>
      </c>
      <c r="P493" s="186">
        <f t="shared" si="227"/>
        <v>105</v>
      </c>
      <c r="Q493" s="186" t="str">
        <f t="shared" si="228"/>
        <v>HL</v>
      </c>
      <c r="R493" s="186" t="str">
        <f t="shared" si="229"/>
        <v>HW</v>
      </c>
      <c r="S493" s="186" t="str">
        <f t="shared" si="230"/>
        <v>HW</v>
      </c>
      <c r="T493" s="186" t="str">
        <f t="shared" si="231"/>
        <v>HW</v>
      </c>
      <c r="U493" s="186" t="str">
        <f t="shared" si="232"/>
        <v>O</v>
      </c>
      <c r="V493" s="186" t="str">
        <f t="shared" si="233"/>
        <v>O</v>
      </c>
      <c r="W493" s="186" t="str">
        <f t="shared" si="234"/>
        <v>U</v>
      </c>
      <c r="X493" s="186" t="str">
        <f t="shared" si="235"/>
        <v>U</v>
      </c>
      <c r="Z493">
        <v>57.5</v>
      </c>
      <c r="AA493" s="90" t="str">
        <f t="shared" si="236"/>
        <v>WAS/MIA</v>
      </c>
    </row>
    <row r="494" spans="1:27" ht="17.100000000000001" x14ac:dyDescent="0.45">
      <c r="A494" s="90">
        <v>191231</v>
      </c>
      <c r="B494" s="91">
        <v>0.41666666666666669</v>
      </c>
      <c r="C494" s="90" t="s">
        <v>412</v>
      </c>
      <c r="D494" s="90" t="s">
        <v>423</v>
      </c>
      <c r="E494" s="186">
        <v>20</v>
      </c>
      <c r="F494" s="186">
        <v>32</v>
      </c>
      <c r="G494" s="186">
        <v>25</v>
      </c>
      <c r="H494" s="186">
        <v>25</v>
      </c>
      <c r="I494" s="186"/>
      <c r="J494" s="186">
        <v>31</v>
      </c>
      <c r="K494" s="186">
        <v>24</v>
      </c>
      <c r="L494" s="186">
        <v>40</v>
      </c>
      <c r="M494" s="186">
        <v>28</v>
      </c>
      <c r="N494" s="186" t="s">
        <v>427</v>
      </c>
      <c r="O494" s="186">
        <f t="shared" si="226"/>
        <v>102</v>
      </c>
      <c r="P494" s="186">
        <f t="shared" si="227"/>
        <v>123</v>
      </c>
      <c r="Q494" s="186" t="str">
        <f t="shared" si="228"/>
        <v>HL</v>
      </c>
      <c r="R494" s="186" t="str">
        <f t="shared" si="229"/>
        <v>HW</v>
      </c>
      <c r="S494" s="186" t="str">
        <f t="shared" si="230"/>
        <v>HL</v>
      </c>
      <c r="T494" s="186" t="str">
        <f t="shared" si="231"/>
        <v>HL</v>
      </c>
      <c r="U494" s="186" t="str">
        <f t="shared" si="232"/>
        <v>U</v>
      </c>
      <c r="V494" s="186" t="str">
        <f t="shared" si="233"/>
        <v>O</v>
      </c>
      <c r="W494" s="186" t="str">
        <f t="shared" si="234"/>
        <v>O</v>
      </c>
      <c r="X494" s="186" t="str">
        <f t="shared" si="235"/>
        <v>U</v>
      </c>
      <c r="Z494">
        <v>55</v>
      </c>
      <c r="AA494" s="90" t="str">
        <f t="shared" si="236"/>
        <v>CHI/MIL</v>
      </c>
    </row>
    <row r="495" spans="1:27" ht="17.100000000000001" x14ac:dyDescent="0.45">
      <c r="A495" s="90">
        <v>191231</v>
      </c>
      <c r="B495" s="91">
        <v>0.41666666666666669</v>
      </c>
      <c r="C495" s="90" t="s">
        <v>420</v>
      </c>
      <c r="D495" s="90" t="s">
        <v>407</v>
      </c>
      <c r="E495" s="186">
        <v>27</v>
      </c>
      <c r="F495" s="186">
        <v>22</v>
      </c>
      <c r="G495" s="186">
        <v>25</v>
      </c>
      <c r="H495" s="186">
        <v>29</v>
      </c>
      <c r="I495" s="186">
        <v>19</v>
      </c>
      <c r="J495" s="186">
        <v>29</v>
      </c>
      <c r="K495" s="186">
        <v>21</v>
      </c>
      <c r="L495" s="186">
        <v>30</v>
      </c>
      <c r="M495" s="186">
        <v>23</v>
      </c>
      <c r="N495" s="186">
        <v>12</v>
      </c>
      <c r="O495" s="186">
        <f t="shared" ref="O495:O517" si="237">SUM(E495:I495)</f>
        <v>122</v>
      </c>
      <c r="P495" s="186">
        <f t="shared" ref="P495:P517" si="238">SUM(J495:N495)</f>
        <v>115</v>
      </c>
      <c r="Q495" s="186" t="str">
        <f t="shared" ref="Q495:Q517" si="239">IF(E495=J495,"TT",IF(E495&gt;J495,"HW","HL"))</f>
        <v>HL</v>
      </c>
      <c r="R495" s="186" t="str">
        <f t="shared" ref="R495:R517" si="240">IF(F495=K495,"TT",IF(F495&gt;K495,"HW","HL"))</f>
        <v>HW</v>
      </c>
      <c r="S495" s="186" t="str">
        <f t="shared" ref="S495:S517" si="241">IF(G495=L495,"TT",IF(G495&gt;L495,"HW","HL"))</f>
        <v>HL</v>
      </c>
      <c r="T495" s="186" t="str">
        <f t="shared" ref="T495:T517" si="242">IF(H495=M495,"TT",IF(H495&gt;M495,"HW","HL"))</f>
        <v>HW</v>
      </c>
      <c r="U495" s="186" t="str">
        <f t="shared" ref="U495:U517" si="243">IF(SUM(E495,J495)=$Z495,"T",IF(SUM(E495,J495)&gt;$Z495,"O","U"))</f>
        <v>O</v>
      </c>
      <c r="V495" s="186" t="str">
        <f t="shared" ref="V495:V517" si="244">IF(SUM(F495,K495)=$Z495,"T",IF(SUM(F495,K495)&gt;$Z495,"O","U"))</f>
        <v>U</v>
      </c>
      <c r="W495" s="186" t="str">
        <f t="shared" ref="W495:W517" si="245">IF(SUM(G495,L495)=$Z495,"T",IF(SUM(G495,L495)&gt;$Z495,"O","U"))</f>
        <v>O</v>
      </c>
      <c r="X495" s="186" t="str">
        <f t="shared" ref="X495:X517" si="246">IF(SUM(H495,M495)=$Z495,"T",IF(SUM(H495,M495)&gt;$Z495,"O","U"))</f>
        <v>U</v>
      </c>
      <c r="Z495">
        <v>53.5</v>
      </c>
      <c r="AA495" s="90" t="str">
        <f t="shared" si="236"/>
        <v>MIN/BKN</v>
      </c>
    </row>
    <row r="496" spans="1:27" ht="17.100000000000001" x14ac:dyDescent="0.45">
      <c r="A496" s="90">
        <v>191231</v>
      </c>
      <c r="B496" s="91">
        <v>0.45833333333333331</v>
      </c>
      <c r="C496" s="90" t="s">
        <v>405</v>
      </c>
      <c r="D496" s="90" t="s">
        <v>422</v>
      </c>
      <c r="E496" s="186">
        <v>19</v>
      </c>
      <c r="F496" s="186">
        <v>20</v>
      </c>
      <c r="G496" s="186">
        <v>29</v>
      </c>
      <c r="H496" s="186">
        <v>36</v>
      </c>
      <c r="I496" s="186"/>
      <c r="J496" s="186">
        <v>21</v>
      </c>
      <c r="K496" s="186">
        <v>19</v>
      </c>
      <c r="L496" s="186">
        <v>18</v>
      </c>
      <c r="M496" s="186">
        <v>23</v>
      </c>
      <c r="N496" s="186" t="s">
        <v>427</v>
      </c>
      <c r="O496" s="186">
        <f t="shared" si="237"/>
        <v>104</v>
      </c>
      <c r="P496" s="186">
        <f t="shared" si="238"/>
        <v>81</v>
      </c>
      <c r="Q496" s="186" t="str">
        <f t="shared" si="239"/>
        <v>HL</v>
      </c>
      <c r="R496" s="186" t="str">
        <f t="shared" si="240"/>
        <v>HW</v>
      </c>
      <c r="S496" s="186" t="str">
        <f t="shared" si="241"/>
        <v>HW</v>
      </c>
      <c r="T496" s="186" t="str">
        <f t="shared" si="242"/>
        <v>HW</v>
      </c>
      <c r="U496" s="186" t="str">
        <f t="shared" si="243"/>
        <v>U</v>
      </c>
      <c r="V496" s="186" t="str">
        <f t="shared" si="244"/>
        <v>U</v>
      </c>
      <c r="W496" s="186" t="str">
        <f t="shared" si="245"/>
        <v>U</v>
      </c>
      <c r="X496" s="186" t="str">
        <f t="shared" si="246"/>
        <v>O</v>
      </c>
      <c r="Z496">
        <v>56</v>
      </c>
      <c r="AA496" s="90" t="str">
        <f t="shared" si="236"/>
        <v>UTA/DET</v>
      </c>
    </row>
    <row r="497" spans="1:27" ht="17.100000000000001" x14ac:dyDescent="0.45">
      <c r="A497" s="90">
        <v>191231</v>
      </c>
      <c r="B497" s="91">
        <v>0.5</v>
      </c>
      <c r="C497" s="90" t="s">
        <v>417</v>
      </c>
      <c r="D497" s="90" t="s">
        <v>404</v>
      </c>
      <c r="E497" s="186">
        <v>38</v>
      </c>
      <c r="F497" s="186">
        <v>26</v>
      </c>
      <c r="G497" s="186">
        <v>25</v>
      </c>
      <c r="H497" s="186">
        <v>27</v>
      </c>
      <c r="I497" s="186"/>
      <c r="J497" s="186">
        <v>19</v>
      </c>
      <c r="K497" s="186">
        <v>36</v>
      </c>
      <c r="L497" s="186">
        <v>28</v>
      </c>
      <c r="M497" s="186">
        <v>39</v>
      </c>
      <c r="N497" s="186" t="s">
        <v>427</v>
      </c>
      <c r="O497" s="186">
        <f t="shared" si="237"/>
        <v>116</v>
      </c>
      <c r="P497" s="186">
        <f t="shared" si="238"/>
        <v>122</v>
      </c>
      <c r="Q497" s="186" t="str">
        <f t="shared" si="239"/>
        <v>HW</v>
      </c>
      <c r="R497" s="186" t="str">
        <f t="shared" si="240"/>
        <v>HL</v>
      </c>
      <c r="S497" s="186" t="str">
        <f t="shared" si="241"/>
        <v>HL</v>
      </c>
      <c r="T497" s="186" t="str">
        <f t="shared" si="242"/>
        <v>HL</v>
      </c>
      <c r="U497" s="186" t="str">
        <f t="shared" si="243"/>
        <v>O</v>
      </c>
      <c r="V497" s="186" t="str">
        <f t="shared" si="244"/>
        <v>O</v>
      </c>
      <c r="W497" s="186" t="str">
        <f t="shared" si="245"/>
        <v>U</v>
      </c>
      <c r="X497" s="186" t="str">
        <f t="shared" si="246"/>
        <v>O</v>
      </c>
      <c r="Z497">
        <v>56.5</v>
      </c>
      <c r="AA497" s="90" t="str">
        <f t="shared" si="236"/>
        <v>POR/PHO</v>
      </c>
    </row>
    <row r="498" spans="1:27" ht="17.100000000000001" x14ac:dyDescent="0.45">
      <c r="A498">
        <v>200101</v>
      </c>
      <c r="B498" s="93">
        <v>0.20833333333333334</v>
      </c>
      <c r="C498" s="92" t="s">
        <v>400</v>
      </c>
      <c r="D498" s="92" t="s">
        <v>401</v>
      </c>
      <c r="E498" s="186">
        <v>29</v>
      </c>
      <c r="F498" s="186">
        <v>38</v>
      </c>
      <c r="G498" s="186">
        <v>29</v>
      </c>
      <c r="H498" s="186">
        <v>19</v>
      </c>
      <c r="I498" s="186"/>
      <c r="J498" s="186">
        <v>27</v>
      </c>
      <c r="K498" s="186">
        <v>16</v>
      </c>
      <c r="L498" s="186">
        <v>23</v>
      </c>
      <c r="M498" s="186">
        <v>31</v>
      </c>
      <c r="N498" s="186" t="s">
        <v>427</v>
      </c>
      <c r="O498" s="186">
        <f t="shared" si="237"/>
        <v>115</v>
      </c>
      <c r="P498" s="186">
        <f t="shared" si="238"/>
        <v>97</v>
      </c>
      <c r="Q498" s="186" t="str">
        <f t="shared" si="239"/>
        <v>HW</v>
      </c>
      <c r="R498" s="186" t="str">
        <f t="shared" si="240"/>
        <v>HW</v>
      </c>
      <c r="S498" s="186" t="str">
        <f t="shared" si="241"/>
        <v>HW</v>
      </c>
      <c r="T498" s="186" t="str">
        <f t="shared" si="242"/>
        <v>HL</v>
      </c>
      <c r="U498" s="186" t="str">
        <f t="shared" si="243"/>
        <v>O</v>
      </c>
      <c r="V498" s="186" t="str">
        <f t="shared" si="244"/>
        <v>O</v>
      </c>
      <c r="W498" s="186" t="str">
        <f t="shared" si="245"/>
        <v>U</v>
      </c>
      <c r="X498" s="186" t="str">
        <f t="shared" si="246"/>
        <v>U</v>
      </c>
      <c r="Z498">
        <v>53</v>
      </c>
      <c r="AA498" s="98" t="str">
        <f t="shared" si="236"/>
        <v>IND/PHI</v>
      </c>
    </row>
    <row r="499" spans="1:27" ht="17.100000000000001" x14ac:dyDescent="0.45">
      <c r="A499" s="92">
        <v>200101</v>
      </c>
      <c r="B499" s="93">
        <v>0.20833333333333334</v>
      </c>
      <c r="C499" s="92" t="s">
        <v>409</v>
      </c>
      <c r="D499" s="92" t="s">
        <v>421</v>
      </c>
      <c r="E499" s="186">
        <v>18</v>
      </c>
      <c r="F499" s="186">
        <v>25</v>
      </c>
      <c r="G499" s="186">
        <v>30</v>
      </c>
      <c r="H499" s="186">
        <v>19</v>
      </c>
      <c r="I499" s="186"/>
      <c r="J499" s="186">
        <v>24</v>
      </c>
      <c r="K499" s="186">
        <v>26</v>
      </c>
      <c r="L499" s="186">
        <v>30</v>
      </c>
      <c r="M499" s="186">
        <v>29</v>
      </c>
      <c r="N499" s="186" t="s">
        <v>427</v>
      </c>
      <c r="O499" s="186">
        <f t="shared" si="237"/>
        <v>92</v>
      </c>
      <c r="P499" s="186">
        <f t="shared" si="238"/>
        <v>109</v>
      </c>
      <c r="Q499" s="186" t="str">
        <f t="shared" si="239"/>
        <v>HL</v>
      </c>
      <c r="R499" s="186" t="str">
        <f t="shared" si="240"/>
        <v>HL</v>
      </c>
      <c r="S499" s="186" t="str">
        <f t="shared" si="241"/>
        <v>TT</v>
      </c>
      <c r="T499" s="186" t="str">
        <f t="shared" si="242"/>
        <v>HL</v>
      </c>
      <c r="U499" s="186" t="str">
        <f t="shared" si="243"/>
        <v>U</v>
      </c>
      <c r="V499" s="186" t="str">
        <f t="shared" si="244"/>
        <v>U</v>
      </c>
      <c r="W499" s="186" t="str">
        <f t="shared" si="245"/>
        <v>O</v>
      </c>
      <c r="X499" s="186" t="str">
        <f t="shared" si="246"/>
        <v>U</v>
      </c>
      <c r="Z499">
        <v>52.5</v>
      </c>
      <c r="AA499" s="98" t="str">
        <f t="shared" si="236"/>
        <v>CHA/BOS</v>
      </c>
    </row>
    <row r="500" spans="1:27" ht="17.100000000000001" x14ac:dyDescent="0.45">
      <c r="A500" s="92">
        <v>200101</v>
      </c>
      <c r="B500" s="93">
        <v>0.29166666666666669</v>
      </c>
      <c r="C500" s="92" t="s">
        <v>416</v>
      </c>
      <c r="D500" s="92" t="s">
        <v>415</v>
      </c>
      <c r="E500" s="186">
        <v>23</v>
      </c>
      <c r="F500" s="186">
        <v>17</v>
      </c>
      <c r="G500" s="186">
        <v>33</v>
      </c>
      <c r="H500" s="186">
        <v>14</v>
      </c>
      <c r="I500" s="186"/>
      <c r="J500" s="186">
        <v>28</v>
      </c>
      <c r="K500" s="186">
        <v>29</v>
      </c>
      <c r="L500" s="186">
        <v>31</v>
      </c>
      <c r="M500" s="186">
        <v>17</v>
      </c>
      <c r="N500" s="186" t="s">
        <v>427</v>
      </c>
      <c r="O500" s="186">
        <f t="shared" si="237"/>
        <v>87</v>
      </c>
      <c r="P500" s="186">
        <f t="shared" si="238"/>
        <v>105</v>
      </c>
      <c r="Q500" s="186" t="str">
        <f t="shared" si="239"/>
        <v>HL</v>
      </c>
      <c r="R500" s="186" t="str">
        <f t="shared" si="240"/>
        <v>HL</v>
      </c>
      <c r="S500" s="186" t="str">
        <f t="shared" si="241"/>
        <v>HW</v>
      </c>
      <c r="T500" s="186" t="str">
        <f t="shared" si="242"/>
        <v>HL</v>
      </c>
      <c r="U500" s="186" t="str">
        <f t="shared" si="243"/>
        <v>U</v>
      </c>
      <c r="V500" s="186" t="str">
        <f t="shared" si="244"/>
        <v>U</v>
      </c>
      <c r="W500" s="186" t="str">
        <f t="shared" si="245"/>
        <v>O</v>
      </c>
      <c r="X500" s="186" t="str">
        <f t="shared" si="246"/>
        <v>U</v>
      </c>
      <c r="Z500">
        <v>57</v>
      </c>
      <c r="AA500" s="98" t="str">
        <f t="shared" si="236"/>
        <v>SAC/LAC</v>
      </c>
    </row>
    <row r="501" spans="1:27" ht="17.100000000000001" x14ac:dyDescent="0.45">
      <c r="A501" s="92">
        <v>200101</v>
      </c>
      <c r="B501" s="93">
        <v>0.375</v>
      </c>
      <c r="C501" s="92" t="s">
        <v>403</v>
      </c>
      <c r="D501" s="92" t="s">
        <v>408</v>
      </c>
      <c r="E501" s="186">
        <v>38</v>
      </c>
      <c r="F501" s="186">
        <v>31</v>
      </c>
      <c r="G501" s="186">
        <v>23</v>
      </c>
      <c r="H501" s="186">
        <v>38</v>
      </c>
      <c r="I501" s="186"/>
      <c r="J501" s="186">
        <v>26</v>
      </c>
      <c r="K501" s="186">
        <v>26</v>
      </c>
      <c r="L501" s="186">
        <v>37</v>
      </c>
      <c r="M501" s="186">
        <v>15</v>
      </c>
      <c r="N501" s="186" t="s">
        <v>427</v>
      </c>
      <c r="O501" s="186">
        <f t="shared" si="237"/>
        <v>130</v>
      </c>
      <c r="P501" s="186">
        <f t="shared" si="238"/>
        <v>104</v>
      </c>
      <c r="Q501" s="186" t="str">
        <f t="shared" si="239"/>
        <v>HW</v>
      </c>
      <c r="R501" s="186" t="str">
        <f t="shared" si="240"/>
        <v>HW</v>
      </c>
      <c r="S501" s="186" t="str">
        <f t="shared" si="241"/>
        <v>HL</v>
      </c>
      <c r="T501" s="186" t="str">
        <f t="shared" si="242"/>
        <v>HW</v>
      </c>
      <c r="U501" s="186" t="str">
        <f t="shared" si="243"/>
        <v>O</v>
      </c>
      <c r="V501" s="186" t="str">
        <f t="shared" si="244"/>
        <v>U</v>
      </c>
      <c r="W501" s="186" t="str">
        <f t="shared" si="245"/>
        <v>O</v>
      </c>
      <c r="X501" s="186" t="str">
        <f t="shared" si="246"/>
        <v>U</v>
      </c>
      <c r="Z501">
        <v>58</v>
      </c>
      <c r="AA501" s="98" t="str">
        <f t="shared" si="236"/>
        <v>HOU/DEN</v>
      </c>
    </row>
    <row r="502" spans="1:27" ht="17.100000000000001" x14ac:dyDescent="0.45">
      <c r="A502" s="92">
        <v>200101</v>
      </c>
      <c r="B502" s="93">
        <v>0.375</v>
      </c>
      <c r="C502" s="92" t="s">
        <v>426</v>
      </c>
      <c r="D502" s="92" t="s">
        <v>425</v>
      </c>
      <c r="E502" s="186">
        <v>25</v>
      </c>
      <c r="F502" s="186">
        <v>28</v>
      </c>
      <c r="G502" s="186">
        <v>24</v>
      </c>
      <c r="H502" s="186">
        <v>23</v>
      </c>
      <c r="I502" s="186">
        <v>17</v>
      </c>
      <c r="J502" s="186">
        <v>32</v>
      </c>
      <c r="K502" s="186">
        <v>23</v>
      </c>
      <c r="L502" s="186">
        <v>20</v>
      </c>
      <c r="M502" s="186">
        <v>25</v>
      </c>
      <c r="N502" s="186">
        <v>13</v>
      </c>
      <c r="O502" s="186">
        <f t="shared" si="237"/>
        <v>117</v>
      </c>
      <c r="P502" s="186">
        <f t="shared" si="238"/>
        <v>113</v>
      </c>
      <c r="Q502" s="186" t="str">
        <f t="shared" si="239"/>
        <v>HL</v>
      </c>
      <c r="R502" s="186" t="str">
        <f t="shared" si="240"/>
        <v>HW</v>
      </c>
      <c r="S502" s="186" t="str">
        <f t="shared" si="241"/>
        <v>HW</v>
      </c>
      <c r="T502" s="186" t="str">
        <f t="shared" si="242"/>
        <v>HL</v>
      </c>
      <c r="U502" s="186" t="str">
        <f t="shared" si="243"/>
        <v>O</v>
      </c>
      <c r="V502" s="186" t="str">
        <f t="shared" si="244"/>
        <v>U</v>
      </c>
      <c r="W502" s="186" t="str">
        <f t="shared" si="245"/>
        <v>U</v>
      </c>
      <c r="X502" s="186" t="str">
        <f t="shared" si="246"/>
        <v>U</v>
      </c>
      <c r="Z502">
        <v>56</v>
      </c>
      <c r="AA502" s="98" t="str">
        <f t="shared" si="236"/>
        <v>SAS/GS</v>
      </c>
    </row>
    <row r="503" spans="1:27" ht="17.100000000000001" x14ac:dyDescent="0.45">
      <c r="A503" s="92">
        <v>200101</v>
      </c>
      <c r="B503" s="93">
        <v>0.375</v>
      </c>
      <c r="C503" s="92" t="s">
        <v>413</v>
      </c>
      <c r="D503" s="92" t="s">
        <v>402</v>
      </c>
      <c r="E503" s="186">
        <v>27</v>
      </c>
      <c r="F503" s="186">
        <v>32</v>
      </c>
      <c r="G503" s="186">
        <v>27</v>
      </c>
      <c r="H503" s="186">
        <v>31</v>
      </c>
      <c r="I503" s="186"/>
      <c r="J503" s="186">
        <v>25</v>
      </c>
      <c r="K503" s="186">
        <v>18</v>
      </c>
      <c r="L503" s="186">
        <v>26</v>
      </c>
      <c r="M503" s="186">
        <v>28</v>
      </c>
      <c r="N503" s="186" t="s">
        <v>427</v>
      </c>
      <c r="O503" s="186">
        <f t="shared" si="237"/>
        <v>117</v>
      </c>
      <c r="P503" s="186">
        <f t="shared" si="238"/>
        <v>97</v>
      </c>
      <c r="Q503" s="186" t="str">
        <f t="shared" si="239"/>
        <v>HW</v>
      </c>
      <c r="R503" s="186" t="str">
        <f t="shared" si="240"/>
        <v>HW</v>
      </c>
      <c r="S503" s="186" t="str">
        <f t="shared" si="241"/>
        <v>HW</v>
      </c>
      <c r="T503" s="186" t="str">
        <f t="shared" si="242"/>
        <v>HW</v>
      </c>
      <c r="U503" s="186" t="str">
        <f t="shared" si="243"/>
        <v>U</v>
      </c>
      <c r="V503" s="186" t="str">
        <f t="shared" si="244"/>
        <v>U</v>
      </c>
      <c r="W503" s="186" t="str">
        <f t="shared" si="245"/>
        <v>U</v>
      </c>
      <c r="X503" s="186" t="str">
        <f t="shared" si="246"/>
        <v>O</v>
      </c>
      <c r="Z503">
        <v>53.5</v>
      </c>
      <c r="AA503" s="98" t="str">
        <f t="shared" si="236"/>
        <v>TOR/CLE</v>
      </c>
    </row>
    <row r="504" spans="1:27" ht="17.100000000000001" x14ac:dyDescent="0.45">
      <c r="A504" s="92">
        <v>200101</v>
      </c>
      <c r="B504" s="93">
        <v>0.41666666666666669</v>
      </c>
      <c r="C504" s="92" t="s">
        <v>418</v>
      </c>
      <c r="D504" s="92" t="s">
        <v>397</v>
      </c>
      <c r="E504" s="186">
        <v>20</v>
      </c>
      <c r="F504" s="186">
        <v>30</v>
      </c>
      <c r="G504" s="186">
        <v>27</v>
      </c>
      <c r="H504" s="186">
        <v>29</v>
      </c>
      <c r="I504" s="186"/>
      <c r="J504" s="186">
        <v>32</v>
      </c>
      <c r="K504" s="186">
        <v>19</v>
      </c>
      <c r="L504" s="186">
        <v>27</v>
      </c>
      <c r="M504" s="186">
        <v>23</v>
      </c>
      <c r="N504" s="186" t="s">
        <v>427</v>
      </c>
      <c r="O504" s="186">
        <f t="shared" si="237"/>
        <v>106</v>
      </c>
      <c r="P504" s="186">
        <f t="shared" si="238"/>
        <v>101</v>
      </c>
      <c r="Q504" s="186" t="str">
        <f t="shared" si="239"/>
        <v>HL</v>
      </c>
      <c r="R504" s="186" t="str">
        <f t="shared" si="240"/>
        <v>HW</v>
      </c>
      <c r="S504" s="186" t="str">
        <f t="shared" si="241"/>
        <v>TT</v>
      </c>
      <c r="T504" s="186" t="str">
        <f t="shared" si="242"/>
        <v>HW</v>
      </c>
      <c r="U504" s="186" t="str">
        <f t="shared" si="243"/>
        <v>U</v>
      </c>
      <c r="V504" s="186" t="str">
        <f t="shared" si="244"/>
        <v>U</v>
      </c>
      <c r="W504" s="186" t="str">
        <f t="shared" si="245"/>
        <v>U</v>
      </c>
      <c r="X504" s="186" t="str">
        <f t="shared" si="246"/>
        <v>U</v>
      </c>
      <c r="Z504">
        <v>56.5</v>
      </c>
      <c r="AA504" s="98" t="str">
        <f t="shared" si="236"/>
        <v>OKC/DAL</v>
      </c>
    </row>
    <row r="505" spans="1:27" ht="17.100000000000001" x14ac:dyDescent="0.45">
      <c r="A505" s="92">
        <v>200102</v>
      </c>
      <c r="B505" s="95">
        <v>0.33333333333333331</v>
      </c>
      <c r="C505" s="94" t="s">
        <v>414</v>
      </c>
      <c r="D505" s="94" t="s">
        <v>424</v>
      </c>
      <c r="E505" s="186">
        <v>29</v>
      </c>
      <c r="F505" s="186">
        <v>29</v>
      </c>
      <c r="G505" s="186">
        <v>25</v>
      </c>
      <c r="H505" s="186">
        <v>18</v>
      </c>
      <c r="I505" s="186"/>
      <c r="J505" s="186">
        <v>31</v>
      </c>
      <c r="K505" s="186">
        <v>31</v>
      </c>
      <c r="L505" s="186">
        <v>32</v>
      </c>
      <c r="M505" s="186">
        <v>28</v>
      </c>
      <c r="N505" s="186" t="s">
        <v>427</v>
      </c>
      <c r="O505" s="186">
        <f t="shared" si="237"/>
        <v>101</v>
      </c>
      <c r="P505" s="186">
        <f t="shared" si="238"/>
        <v>122</v>
      </c>
      <c r="Q505" s="186" t="str">
        <f t="shared" si="239"/>
        <v>HL</v>
      </c>
      <c r="R505" s="186" t="str">
        <f t="shared" si="240"/>
        <v>HL</v>
      </c>
      <c r="S505" s="186" t="str">
        <f t="shared" si="241"/>
        <v>HL</v>
      </c>
      <c r="T505" s="186" t="str">
        <f t="shared" si="242"/>
        <v>HL</v>
      </c>
      <c r="U505" s="186" t="str">
        <f t="shared" si="243"/>
        <v>O</v>
      </c>
      <c r="V505" s="186" t="str">
        <f t="shared" si="244"/>
        <v>O</v>
      </c>
      <c r="W505" s="186" t="str">
        <f t="shared" si="245"/>
        <v>T</v>
      </c>
      <c r="X505" s="186" t="str">
        <f t="shared" si="246"/>
        <v>U</v>
      </c>
      <c r="Z505">
        <v>57</v>
      </c>
      <c r="AA505" s="98" t="str">
        <f t="shared" si="236"/>
        <v>WAS/ORL</v>
      </c>
    </row>
    <row r="506" spans="1:27" ht="17.100000000000001" x14ac:dyDescent="0.45">
      <c r="A506" s="94">
        <v>200102</v>
      </c>
      <c r="B506" s="95">
        <v>0.39583333333333331</v>
      </c>
      <c r="C506" s="94" t="s">
        <v>399</v>
      </c>
      <c r="D506" s="94" t="s">
        <v>417</v>
      </c>
      <c r="E506" s="186">
        <v>25</v>
      </c>
      <c r="F506" s="186">
        <v>26</v>
      </c>
      <c r="G506" s="186">
        <v>32</v>
      </c>
      <c r="H506" s="186">
        <v>34</v>
      </c>
      <c r="I506" s="186"/>
      <c r="J506" s="186">
        <v>27</v>
      </c>
      <c r="K506" s="186">
        <v>21</v>
      </c>
      <c r="L506" s="186">
        <v>29</v>
      </c>
      <c r="M506" s="186">
        <v>16</v>
      </c>
      <c r="N506" s="186" t="s">
        <v>427</v>
      </c>
      <c r="O506" s="186">
        <f t="shared" si="237"/>
        <v>117</v>
      </c>
      <c r="P506" s="186">
        <f t="shared" si="238"/>
        <v>93</v>
      </c>
      <c r="Q506" s="186" t="str">
        <f t="shared" si="239"/>
        <v>HL</v>
      </c>
      <c r="R506" s="186" t="str">
        <f t="shared" si="240"/>
        <v>HW</v>
      </c>
      <c r="S506" s="186" t="str">
        <f t="shared" si="241"/>
        <v>HW</v>
      </c>
      <c r="T506" s="186" t="str">
        <f t="shared" si="242"/>
        <v>HW</v>
      </c>
      <c r="U506" s="186" t="str">
        <f t="shared" si="243"/>
        <v>U</v>
      </c>
      <c r="V506" s="186" t="str">
        <f t="shared" si="244"/>
        <v>U</v>
      </c>
      <c r="W506" s="186" t="str">
        <f t="shared" si="245"/>
        <v>O</v>
      </c>
      <c r="X506" s="186" t="str">
        <f t="shared" si="246"/>
        <v>U</v>
      </c>
      <c r="Z506">
        <v>57.5</v>
      </c>
      <c r="AA506" s="98" t="str">
        <f t="shared" si="236"/>
        <v>NYK/POR</v>
      </c>
    </row>
    <row r="507" spans="1:27" ht="17.100000000000001" x14ac:dyDescent="0.45">
      <c r="A507" s="94">
        <v>200102</v>
      </c>
      <c r="B507" s="95">
        <v>0.41666666666666669</v>
      </c>
      <c r="C507" s="94" t="s">
        <v>423</v>
      </c>
      <c r="D507" s="94" t="s">
        <v>420</v>
      </c>
      <c r="E507" s="186">
        <v>19</v>
      </c>
      <c r="F507" s="186">
        <v>33</v>
      </c>
      <c r="G507" s="186">
        <v>25</v>
      </c>
      <c r="H507" s="186">
        <v>29</v>
      </c>
      <c r="I507" s="186"/>
      <c r="J507" s="186">
        <v>23</v>
      </c>
      <c r="K507" s="186">
        <v>28</v>
      </c>
      <c r="L507" s="186">
        <v>20</v>
      </c>
      <c r="M507" s="186">
        <v>33</v>
      </c>
      <c r="N507" s="186" t="s">
        <v>427</v>
      </c>
      <c r="O507" s="186">
        <f t="shared" si="237"/>
        <v>106</v>
      </c>
      <c r="P507" s="186">
        <f t="shared" si="238"/>
        <v>104</v>
      </c>
      <c r="Q507" s="186" t="str">
        <f t="shared" si="239"/>
        <v>HL</v>
      </c>
      <c r="R507" s="186" t="str">
        <f t="shared" si="240"/>
        <v>HW</v>
      </c>
      <c r="S507" s="186" t="str">
        <f t="shared" si="241"/>
        <v>HW</v>
      </c>
      <c r="T507" s="186" t="str">
        <f t="shared" si="242"/>
        <v>HL</v>
      </c>
      <c r="U507" s="186" t="str">
        <f t="shared" si="243"/>
        <v>U</v>
      </c>
      <c r="V507" s="186" t="str">
        <f t="shared" si="244"/>
        <v>O</v>
      </c>
      <c r="W507" s="186" t="str">
        <f t="shared" si="245"/>
        <v>U</v>
      </c>
      <c r="X507" s="186" t="str">
        <f t="shared" si="246"/>
        <v>O</v>
      </c>
      <c r="Z507">
        <v>57</v>
      </c>
      <c r="AA507" s="98" t="str">
        <f t="shared" si="236"/>
        <v>MIL/MIN</v>
      </c>
    </row>
    <row r="508" spans="1:27" ht="17.100000000000001" x14ac:dyDescent="0.45">
      <c r="A508" s="94">
        <v>200102</v>
      </c>
      <c r="B508" s="95">
        <v>0.52083333333333337</v>
      </c>
      <c r="C508" s="94" t="s">
        <v>419</v>
      </c>
      <c r="D508" s="94" t="s">
        <v>404</v>
      </c>
      <c r="E508" s="186">
        <v>43</v>
      </c>
      <c r="F508" s="186">
        <v>31</v>
      </c>
      <c r="G508" s="186">
        <v>27</v>
      </c>
      <c r="H508" s="186">
        <v>16</v>
      </c>
      <c r="I508" s="186"/>
      <c r="J508" s="186">
        <v>17</v>
      </c>
      <c r="K508" s="186">
        <v>24</v>
      </c>
      <c r="L508" s="186">
        <v>38</v>
      </c>
      <c r="M508" s="186">
        <v>28</v>
      </c>
      <c r="N508" s="186" t="s">
        <v>427</v>
      </c>
      <c r="O508" s="186">
        <f t="shared" si="237"/>
        <v>117</v>
      </c>
      <c r="P508" s="186">
        <f t="shared" si="238"/>
        <v>107</v>
      </c>
      <c r="Q508" s="186" t="str">
        <f t="shared" si="239"/>
        <v>HW</v>
      </c>
      <c r="R508" s="186" t="str">
        <f t="shared" si="240"/>
        <v>HW</v>
      </c>
      <c r="S508" s="186" t="str">
        <f t="shared" si="241"/>
        <v>HL</v>
      </c>
      <c r="T508" s="186" t="str">
        <f t="shared" si="242"/>
        <v>HL</v>
      </c>
      <c r="U508" s="186" t="str">
        <f t="shared" si="243"/>
        <v>O</v>
      </c>
      <c r="V508" s="186" t="str">
        <f t="shared" si="244"/>
        <v>U</v>
      </c>
      <c r="W508" s="186" t="str">
        <f t="shared" si="245"/>
        <v>O</v>
      </c>
      <c r="X508" s="186" t="str">
        <f t="shared" si="246"/>
        <v>U</v>
      </c>
      <c r="Z508">
        <v>56</v>
      </c>
      <c r="AA508" s="98" t="str">
        <f t="shared" si="236"/>
        <v>LAL/PHO</v>
      </c>
    </row>
    <row r="509" spans="1:27" ht="17.100000000000001" x14ac:dyDescent="0.45">
      <c r="A509" s="94">
        <v>200103</v>
      </c>
      <c r="B509" s="97">
        <v>0.375</v>
      </c>
      <c r="C509" s="96" t="s">
        <v>402</v>
      </c>
      <c r="D509" s="96" t="s">
        <v>409</v>
      </c>
      <c r="E509" s="186">
        <v>29</v>
      </c>
      <c r="F509" s="186">
        <v>30</v>
      </c>
      <c r="G509" s="186">
        <v>26</v>
      </c>
      <c r="H509" s="186">
        <v>21</v>
      </c>
      <c r="I509" s="186"/>
      <c r="J509" s="186">
        <v>31</v>
      </c>
      <c r="K509" s="186">
        <v>21</v>
      </c>
      <c r="L509" s="186">
        <v>30</v>
      </c>
      <c r="M509" s="186">
        <v>27</v>
      </c>
      <c r="N509" s="186" t="s">
        <v>427</v>
      </c>
      <c r="O509" s="186">
        <f t="shared" si="237"/>
        <v>106</v>
      </c>
      <c r="P509" s="186">
        <f t="shared" si="238"/>
        <v>109</v>
      </c>
      <c r="Q509" s="186" t="str">
        <f t="shared" si="239"/>
        <v>HL</v>
      </c>
      <c r="R509" s="186" t="str">
        <f t="shared" si="240"/>
        <v>HW</v>
      </c>
      <c r="S509" s="186" t="str">
        <f t="shared" si="241"/>
        <v>HL</v>
      </c>
      <c r="T509" s="186" t="str">
        <f t="shared" si="242"/>
        <v>HL</v>
      </c>
      <c r="U509" s="186" t="str">
        <f t="shared" si="243"/>
        <v>O</v>
      </c>
      <c r="V509" s="186" t="str">
        <f t="shared" si="244"/>
        <v>U</v>
      </c>
      <c r="W509" s="186" t="str">
        <f t="shared" si="245"/>
        <v>O</v>
      </c>
      <c r="X509" s="186" t="str">
        <f t="shared" si="246"/>
        <v>U</v>
      </c>
      <c r="Z509">
        <v>54.5</v>
      </c>
      <c r="AA509" s="98" t="str">
        <f t="shared" si="236"/>
        <v>CLE/CHA</v>
      </c>
    </row>
    <row r="510" spans="1:27" ht="17.100000000000001" x14ac:dyDescent="0.45">
      <c r="A510" s="96">
        <v>200103</v>
      </c>
      <c r="B510" s="97">
        <v>0.375</v>
      </c>
      <c r="C510" s="96" t="s">
        <v>400</v>
      </c>
      <c r="D510" s="96" t="s">
        <v>408</v>
      </c>
      <c r="E510" s="186">
        <v>37</v>
      </c>
      <c r="F510" s="186">
        <v>27</v>
      </c>
      <c r="G510" s="186">
        <v>24</v>
      </c>
      <c r="H510" s="186">
        <v>28</v>
      </c>
      <c r="I510" s="186"/>
      <c r="J510" s="186">
        <v>27</v>
      </c>
      <c r="K510" s="186">
        <v>35</v>
      </c>
      <c r="L510" s="186">
        <v>30</v>
      </c>
      <c r="M510" s="186">
        <v>32</v>
      </c>
      <c r="N510" s="186" t="s">
        <v>427</v>
      </c>
      <c r="O510" s="186">
        <f t="shared" si="237"/>
        <v>116</v>
      </c>
      <c r="P510" s="186">
        <f t="shared" si="238"/>
        <v>124</v>
      </c>
      <c r="Q510" s="186" t="str">
        <f t="shared" si="239"/>
        <v>HW</v>
      </c>
      <c r="R510" s="186" t="str">
        <f t="shared" si="240"/>
        <v>HL</v>
      </c>
      <c r="S510" s="186" t="str">
        <f t="shared" si="241"/>
        <v>HL</v>
      </c>
      <c r="T510" s="186" t="str">
        <f t="shared" si="242"/>
        <v>HL</v>
      </c>
      <c r="U510" s="186" t="str">
        <f t="shared" si="243"/>
        <v>O</v>
      </c>
      <c r="V510" s="186" t="str">
        <f t="shared" si="244"/>
        <v>O</v>
      </c>
      <c r="W510" s="186" t="str">
        <f t="shared" si="245"/>
        <v>O</v>
      </c>
      <c r="X510" s="186" t="str">
        <f t="shared" si="246"/>
        <v>O</v>
      </c>
      <c r="Z510">
        <v>53.5</v>
      </c>
      <c r="AA510" s="98" t="str">
        <f t="shared" si="236"/>
        <v>IND/DEN</v>
      </c>
    </row>
    <row r="511" spans="1:27" ht="17.100000000000001" x14ac:dyDescent="0.45">
      <c r="A511" s="96">
        <v>200103</v>
      </c>
      <c r="B511" s="97">
        <v>0.39583333333333331</v>
      </c>
      <c r="C511" s="96" t="s">
        <v>411</v>
      </c>
      <c r="D511" s="96" t="s">
        <v>413</v>
      </c>
      <c r="E511" s="186">
        <v>18</v>
      </c>
      <c r="F511" s="186">
        <v>24</v>
      </c>
      <c r="G511" s="186">
        <v>21</v>
      </c>
      <c r="H511" s="186">
        <v>21</v>
      </c>
      <c r="I511" s="186"/>
      <c r="J511" s="186">
        <v>20</v>
      </c>
      <c r="K511" s="186">
        <v>19</v>
      </c>
      <c r="L511" s="186">
        <v>21</v>
      </c>
      <c r="M511" s="186">
        <v>16</v>
      </c>
      <c r="N511" s="186" t="s">
        <v>427</v>
      </c>
      <c r="O511" s="186">
        <f t="shared" si="237"/>
        <v>84</v>
      </c>
      <c r="P511" s="186">
        <f t="shared" si="238"/>
        <v>76</v>
      </c>
      <c r="Q511" s="186" t="str">
        <f t="shared" si="239"/>
        <v>HL</v>
      </c>
      <c r="R511" s="186" t="str">
        <f t="shared" si="240"/>
        <v>HW</v>
      </c>
      <c r="S511" s="186" t="str">
        <f t="shared" si="241"/>
        <v>TT</v>
      </c>
      <c r="T511" s="186" t="str">
        <f t="shared" si="242"/>
        <v>HW</v>
      </c>
      <c r="U511" s="186" t="str">
        <f t="shared" si="243"/>
        <v>U</v>
      </c>
      <c r="V511" s="186" t="str">
        <f t="shared" si="244"/>
        <v>U</v>
      </c>
      <c r="W511" s="186" t="str">
        <f t="shared" si="245"/>
        <v>U</v>
      </c>
      <c r="X511" s="186" t="str">
        <f t="shared" si="246"/>
        <v>U</v>
      </c>
      <c r="Z511">
        <v>55.5</v>
      </c>
      <c r="AA511" s="98" t="str">
        <f t="shared" si="236"/>
        <v>MIA/TOR</v>
      </c>
    </row>
    <row r="512" spans="1:27" ht="17.100000000000001" x14ac:dyDescent="0.45">
      <c r="A512" s="96">
        <v>200103</v>
      </c>
      <c r="B512" s="97">
        <v>0.41666666666666669</v>
      </c>
      <c r="C512" s="96" t="s">
        <v>412</v>
      </c>
      <c r="D512" s="96" t="s">
        <v>405</v>
      </c>
      <c r="E512" s="186">
        <v>22</v>
      </c>
      <c r="F512" s="186">
        <v>29</v>
      </c>
      <c r="G512" s="186">
        <v>19</v>
      </c>
      <c r="H512" s="186">
        <v>28</v>
      </c>
      <c r="I512" s="186"/>
      <c r="J512" s="186">
        <v>25</v>
      </c>
      <c r="K512" s="186">
        <v>22</v>
      </c>
      <c r="L512" s="186">
        <v>29</v>
      </c>
      <c r="M512" s="186">
        <v>26</v>
      </c>
      <c r="N512" s="186" t="s">
        <v>427</v>
      </c>
      <c r="O512" s="186">
        <f t="shared" si="237"/>
        <v>98</v>
      </c>
      <c r="P512" s="186">
        <f t="shared" si="238"/>
        <v>102</v>
      </c>
      <c r="Q512" s="186" t="str">
        <f t="shared" si="239"/>
        <v>HL</v>
      </c>
      <c r="R512" s="186" t="str">
        <f t="shared" si="240"/>
        <v>HW</v>
      </c>
      <c r="S512" s="186" t="str">
        <f t="shared" si="241"/>
        <v>HL</v>
      </c>
      <c r="T512" s="186" t="str">
        <f t="shared" si="242"/>
        <v>HW</v>
      </c>
      <c r="U512" s="186" t="str">
        <f t="shared" si="243"/>
        <v>U</v>
      </c>
      <c r="V512" s="186" t="str">
        <f t="shared" si="244"/>
        <v>U</v>
      </c>
      <c r="W512" s="186" t="str">
        <f t="shared" si="245"/>
        <v>U</v>
      </c>
      <c r="X512" s="186" t="str">
        <f t="shared" si="246"/>
        <v>O</v>
      </c>
      <c r="Z512">
        <v>51.5</v>
      </c>
      <c r="AA512" s="98" t="str">
        <f t="shared" si="236"/>
        <v>CHI/UTA</v>
      </c>
    </row>
    <row r="513" spans="1:27" ht="17.100000000000001" x14ac:dyDescent="0.45">
      <c r="A513" s="96">
        <v>200103</v>
      </c>
      <c r="B513" s="97">
        <v>0.41666666666666669</v>
      </c>
      <c r="C513" s="96" t="s">
        <v>420</v>
      </c>
      <c r="D513" s="96" t="s">
        <v>425</v>
      </c>
      <c r="E513" s="186">
        <v>34</v>
      </c>
      <c r="F513" s="186">
        <v>24</v>
      </c>
      <c r="G513" s="186">
        <v>23</v>
      </c>
      <c r="H513" s="186">
        <v>18</v>
      </c>
      <c r="I513" s="186"/>
      <c r="J513" s="186">
        <v>19</v>
      </c>
      <c r="K513" s="186">
        <v>22</v>
      </c>
      <c r="L513" s="186">
        <v>26</v>
      </c>
      <c r="M513" s="186">
        <v>17</v>
      </c>
      <c r="N513" s="186" t="s">
        <v>427</v>
      </c>
      <c r="O513" s="186">
        <f t="shared" si="237"/>
        <v>99</v>
      </c>
      <c r="P513" s="186">
        <f t="shared" si="238"/>
        <v>84</v>
      </c>
      <c r="Q513" s="186" t="str">
        <f t="shared" si="239"/>
        <v>HW</v>
      </c>
      <c r="R513" s="186" t="str">
        <f t="shared" si="240"/>
        <v>HW</v>
      </c>
      <c r="S513" s="186" t="str">
        <f t="shared" si="241"/>
        <v>HL</v>
      </c>
      <c r="T513" s="186" t="str">
        <f t="shared" si="242"/>
        <v>HW</v>
      </c>
      <c r="U513" s="186" t="str">
        <f t="shared" si="243"/>
        <v>U</v>
      </c>
      <c r="V513" s="186" t="str">
        <f t="shared" si="244"/>
        <v>U</v>
      </c>
      <c r="W513" s="186" t="str">
        <f t="shared" si="245"/>
        <v>U</v>
      </c>
      <c r="X513" s="186" t="str">
        <f t="shared" si="246"/>
        <v>U</v>
      </c>
      <c r="Z513">
        <v>54.5</v>
      </c>
      <c r="AA513" s="98" t="str">
        <f t="shared" si="236"/>
        <v>MIN/GS</v>
      </c>
    </row>
    <row r="514" spans="1:27" ht="17.100000000000001" x14ac:dyDescent="0.45">
      <c r="A514" s="96">
        <v>200103</v>
      </c>
      <c r="B514" s="97">
        <v>0.4375</v>
      </c>
      <c r="C514" s="96" t="s">
        <v>397</v>
      </c>
      <c r="D514" s="96" t="s">
        <v>407</v>
      </c>
      <c r="E514" s="186">
        <v>31</v>
      </c>
      <c r="F514" s="186">
        <v>29</v>
      </c>
      <c r="G514" s="186">
        <v>33</v>
      </c>
      <c r="H514" s="186">
        <v>30</v>
      </c>
      <c r="I514" s="186"/>
      <c r="J514" s="186">
        <v>30</v>
      </c>
      <c r="K514" s="186">
        <v>35</v>
      </c>
      <c r="L514" s="186">
        <v>28</v>
      </c>
      <c r="M514" s="186">
        <v>18</v>
      </c>
      <c r="N514" s="186" t="s">
        <v>427</v>
      </c>
      <c r="O514" s="186">
        <f t="shared" si="237"/>
        <v>123</v>
      </c>
      <c r="P514" s="186">
        <f t="shared" si="238"/>
        <v>111</v>
      </c>
      <c r="Q514" s="186" t="str">
        <f t="shared" si="239"/>
        <v>HW</v>
      </c>
      <c r="R514" s="186" t="str">
        <f t="shared" si="240"/>
        <v>HL</v>
      </c>
      <c r="S514" s="186" t="str">
        <f t="shared" si="241"/>
        <v>HW</v>
      </c>
      <c r="T514" s="186" t="str">
        <f t="shared" si="242"/>
        <v>HW</v>
      </c>
      <c r="U514" s="186" t="str">
        <f t="shared" si="243"/>
        <v>O</v>
      </c>
      <c r="V514" s="186" t="str">
        <f t="shared" si="244"/>
        <v>O</v>
      </c>
      <c r="W514" s="186" t="str">
        <f t="shared" si="245"/>
        <v>O</v>
      </c>
      <c r="X514" s="186" t="str">
        <f t="shared" si="246"/>
        <v>U</v>
      </c>
      <c r="Z514">
        <v>54.5</v>
      </c>
      <c r="AA514" s="98" t="str">
        <f t="shared" si="236"/>
        <v>DAL/BKN</v>
      </c>
    </row>
    <row r="515" spans="1:27" ht="17.100000000000001" x14ac:dyDescent="0.45">
      <c r="A515" s="96">
        <v>200103</v>
      </c>
      <c r="B515" s="97">
        <v>0.4375</v>
      </c>
      <c r="C515" s="96" t="s">
        <v>426</v>
      </c>
      <c r="D515" s="96" t="s">
        <v>418</v>
      </c>
      <c r="E515" s="186">
        <v>27</v>
      </c>
      <c r="F515" s="186">
        <v>28</v>
      </c>
      <c r="G515" s="186">
        <v>21</v>
      </c>
      <c r="H515" s="186">
        <v>27</v>
      </c>
      <c r="I515" s="186"/>
      <c r="J515" s="186">
        <v>27</v>
      </c>
      <c r="K515" s="186">
        <v>19</v>
      </c>
      <c r="L515" s="186">
        <v>28</v>
      </c>
      <c r="M515" s="186">
        <v>35</v>
      </c>
      <c r="N515" s="186" t="s">
        <v>427</v>
      </c>
      <c r="O515" s="186">
        <f t="shared" si="237"/>
        <v>103</v>
      </c>
      <c r="P515" s="186">
        <f t="shared" si="238"/>
        <v>109</v>
      </c>
      <c r="Q515" s="186" t="str">
        <f t="shared" si="239"/>
        <v>TT</v>
      </c>
      <c r="R515" s="186" t="str">
        <f t="shared" si="240"/>
        <v>HW</v>
      </c>
      <c r="S515" s="186" t="str">
        <f t="shared" si="241"/>
        <v>HL</v>
      </c>
      <c r="T515" s="186" t="str">
        <f t="shared" si="242"/>
        <v>HL</v>
      </c>
      <c r="U515" s="186" t="str">
        <f t="shared" si="243"/>
        <v>U</v>
      </c>
      <c r="V515" s="186" t="str">
        <f t="shared" si="244"/>
        <v>U</v>
      </c>
      <c r="W515" s="186" t="str">
        <f t="shared" si="245"/>
        <v>U</v>
      </c>
      <c r="X515" s="186" t="str">
        <f t="shared" si="246"/>
        <v>O</v>
      </c>
      <c r="Z515">
        <v>56</v>
      </c>
      <c r="AA515" s="98" t="str">
        <f t="shared" si="236"/>
        <v>SAS/OKC</v>
      </c>
    </row>
    <row r="516" spans="1:27" ht="17.100000000000001" x14ac:dyDescent="0.45">
      <c r="A516" s="96">
        <v>200103</v>
      </c>
      <c r="B516" s="97">
        <v>0.5</v>
      </c>
      <c r="C516" s="96" t="s">
        <v>416</v>
      </c>
      <c r="D516" s="96" t="s">
        <v>406</v>
      </c>
      <c r="E516" s="186">
        <v>26</v>
      </c>
      <c r="F516" s="186">
        <v>37</v>
      </c>
      <c r="G516" s="186">
        <v>27</v>
      </c>
      <c r="H516" s="186">
        <v>38</v>
      </c>
      <c r="I516" s="186"/>
      <c r="J516" s="186">
        <v>42</v>
      </c>
      <c r="K516" s="186">
        <v>18</v>
      </c>
      <c r="L516" s="186">
        <v>37</v>
      </c>
      <c r="M516" s="186">
        <v>26</v>
      </c>
      <c r="N516" s="186" t="s">
        <v>427</v>
      </c>
      <c r="O516" s="186">
        <f t="shared" si="237"/>
        <v>128</v>
      </c>
      <c r="P516" s="186">
        <f t="shared" si="238"/>
        <v>123</v>
      </c>
      <c r="Q516" s="186" t="str">
        <f t="shared" si="239"/>
        <v>HL</v>
      </c>
      <c r="R516" s="186" t="str">
        <f t="shared" si="240"/>
        <v>HW</v>
      </c>
      <c r="S516" s="186" t="str">
        <f t="shared" si="241"/>
        <v>HL</v>
      </c>
      <c r="T516" s="186" t="str">
        <f t="shared" si="242"/>
        <v>HW</v>
      </c>
      <c r="U516" s="186" t="str">
        <f t="shared" si="243"/>
        <v>O</v>
      </c>
      <c r="V516" s="186" t="str">
        <f t="shared" si="244"/>
        <v>T</v>
      </c>
      <c r="W516" s="186" t="str">
        <f t="shared" si="245"/>
        <v>O</v>
      </c>
      <c r="X516" s="186" t="str">
        <f t="shared" si="246"/>
        <v>O</v>
      </c>
      <c r="Z516">
        <v>55</v>
      </c>
      <c r="AA516" s="98" t="str">
        <f t="shared" si="236"/>
        <v>SAC/MEM</v>
      </c>
    </row>
    <row r="517" spans="1:27" ht="17.100000000000001" x14ac:dyDescent="0.45">
      <c r="A517" s="96">
        <v>200103</v>
      </c>
      <c r="B517" s="97">
        <v>0.52083333333333337</v>
      </c>
      <c r="C517" s="96" t="s">
        <v>415</v>
      </c>
      <c r="D517" s="96" t="s">
        <v>422</v>
      </c>
      <c r="E517" s="186">
        <v>30</v>
      </c>
      <c r="F517" s="186">
        <v>39</v>
      </c>
      <c r="G517" s="186">
        <v>37</v>
      </c>
      <c r="H517" s="186">
        <v>20</v>
      </c>
      <c r="I517" s="186"/>
      <c r="J517" s="186">
        <v>33</v>
      </c>
      <c r="K517" s="186">
        <v>30</v>
      </c>
      <c r="L517" s="186">
        <v>16</v>
      </c>
      <c r="M517" s="186">
        <v>33</v>
      </c>
      <c r="N517" s="186" t="s">
        <v>427</v>
      </c>
      <c r="O517" s="186">
        <f t="shared" si="237"/>
        <v>126</v>
      </c>
      <c r="P517" s="186">
        <f t="shared" si="238"/>
        <v>112</v>
      </c>
      <c r="Q517" s="186" t="str">
        <f t="shared" si="239"/>
        <v>HL</v>
      </c>
      <c r="R517" s="186" t="str">
        <f t="shared" si="240"/>
        <v>HW</v>
      </c>
      <c r="S517" s="186" t="str">
        <f t="shared" si="241"/>
        <v>HW</v>
      </c>
      <c r="T517" s="186" t="str">
        <f t="shared" si="242"/>
        <v>HL</v>
      </c>
      <c r="U517" s="186" t="str">
        <f t="shared" si="243"/>
        <v>O</v>
      </c>
      <c r="V517" s="186" t="str">
        <f t="shared" si="244"/>
        <v>O</v>
      </c>
      <c r="W517" s="186" t="str">
        <f t="shared" si="245"/>
        <v>U</v>
      </c>
      <c r="X517" s="186" t="str">
        <f t="shared" si="246"/>
        <v>U</v>
      </c>
      <c r="Z517">
        <v>58.5</v>
      </c>
      <c r="AA517" s="98" t="str">
        <f t="shared" si="236"/>
        <v>LAC/DET</v>
      </c>
    </row>
    <row r="518" spans="1:27" ht="17.100000000000001" x14ac:dyDescent="0.45">
      <c r="A518" s="96">
        <v>200104</v>
      </c>
      <c r="B518" s="99">
        <v>0.375</v>
      </c>
      <c r="C518" s="98" t="s">
        <v>421</v>
      </c>
      <c r="D518" s="98" t="s">
        <v>410</v>
      </c>
      <c r="E518" s="187">
        <v>19</v>
      </c>
      <c r="F518" s="187">
        <v>34</v>
      </c>
      <c r="G518" s="187">
        <v>29</v>
      </c>
      <c r="H518" s="187">
        <v>27</v>
      </c>
      <c r="I518" s="187"/>
      <c r="J518" s="187">
        <v>32</v>
      </c>
      <c r="K518" s="187">
        <v>23</v>
      </c>
      <c r="L518" s="187">
        <v>25</v>
      </c>
      <c r="M518" s="187">
        <v>26</v>
      </c>
      <c r="N518" s="187" t="s">
        <v>427</v>
      </c>
      <c r="O518" s="192">
        <f t="shared" ref="O518:O523" si="247">SUM(E518:I518)</f>
        <v>109</v>
      </c>
      <c r="P518" s="192">
        <f t="shared" ref="P518:P523" si="248">SUM(J518:N518)</f>
        <v>106</v>
      </c>
      <c r="Q518" s="192" t="str">
        <f t="shared" ref="Q518:Q523" si="249">IF(E518=J518,"TT",IF(E518&gt;J518,"HW","HL"))</f>
        <v>HL</v>
      </c>
      <c r="R518" s="192" t="str">
        <f t="shared" ref="R518:R523" si="250">IF(F518=K518,"TT",IF(F518&gt;K518,"HW","HL"))</f>
        <v>HW</v>
      </c>
      <c r="S518" s="192" t="str">
        <f t="shared" ref="S518:S523" si="251">IF(G518=L518,"TT",IF(G518&gt;L518,"HW","HL"))</f>
        <v>HW</v>
      </c>
      <c r="T518" s="192" t="str">
        <f t="shared" ref="T518:T523" si="252">IF(H518=M518,"TT",IF(H518&gt;M518,"HW","HL"))</f>
        <v>HW</v>
      </c>
      <c r="U518" s="192" t="str">
        <f t="shared" ref="U518:U523" si="253">IF(SUM(E518,J518)=$Z518,"T",IF(SUM(E518,J518)&gt;$Z518,"O","U"))</f>
        <v>U</v>
      </c>
      <c r="V518" s="192" t="str">
        <f t="shared" ref="V518:V523" si="254">IF(SUM(F518,K518)=$Z518,"T",IF(SUM(F518,K518)&gt;$Z518,"O","U"))</f>
        <v>U</v>
      </c>
      <c r="W518" s="192" t="str">
        <f t="shared" ref="W518:W523" si="255">IF(SUM(G518,L518)=$Z518,"T",IF(SUM(G518,L518)&gt;$Z518,"O","U"))</f>
        <v>U</v>
      </c>
      <c r="X518" s="192" t="str">
        <f t="shared" ref="X518:X523" si="256">IF(SUM(H518,M518)=$Z518,"T",IF(SUM(H518,M518)&gt;$Z518,"O","U"))</f>
        <v>U</v>
      </c>
      <c r="Z518">
        <v>58</v>
      </c>
      <c r="AA518" s="98" t="str">
        <f t="shared" si="236"/>
        <v>BOS/ATL</v>
      </c>
    </row>
    <row r="519" spans="1:27" ht="17.100000000000001" x14ac:dyDescent="0.45">
      <c r="A519" s="98">
        <v>200104</v>
      </c>
      <c r="B519" s="99">
        <v>0.375</v>
      </c>
      <c r="C519" s="98" t="s">
        <v>424</v>
      </c>
      <c r="D519" s="98" t="s">
        <v>411</v>
      </c>
      <c r="E519" s="190">
        <v>27</v>
      </c>
      <c r="F519" s="190">
        <v>29</v>
      </c>
      <c r="G519" s="190">
        <v>28</v>
      </c>
      <c r="H519" s="190">
        <v>21</v>
      </c>
      <c r="I519" s="190"/>
      <c r="J519" s="190">
        <v>22</v>
      </c>
      <c r="K519" s="190">
        <v>22</v>
      </c>
      <c r="L519" s="190">
        <v>35</v>
      </c>
      <c r="M519" s="190">
        <v>6</v>
      </c>
      <c r="N519" s="190" t="s">
        <v>427</v>
      </c>
      <c r="O519" s="192">
        <f t="shared" si="247"/>
        <v>105</v>
      </c>
      <c r="P519" s="192">
        <f t="shared" si="248"/>
        <v>85</v>
      </c>
      <c r="Q519" s="192" t="str">
        <f t="shared" si="249"/>
        <v>HW</v>
      </c>
      <c r="R519" s="192" t="str">
        <f t="shared" si="250"/>
        <v>HW</v>
      </c>
      <c r="S519" s="192" t="str">
        <f t="shared" si="251"/>
        <v>HL</v>
      </c>
      <c r="T519" s="192" t="str">
        <f t="shared" si="252"/>
        <v>HW</v>
      </c>
      <c r="U519" s="192" t="str">
        <f t="shared" si="253"/>
        <v>U</v>
      </c>
      <c r="V519" s="192" t="str">
        <f t="shared" si="254"/>
        <v>U</v>
      </c>
      <c r="W519" s="192" t="str">
        <f t="shared" si="255"/>
        <v>O</v>
      </c>
      <c r="X519" s="192" t="str">
        <f t="shared" si="256"/>
        <v>U</v>
      </c>
      <c r="Z519">
        <v>53</v>
      </c>
      <c r="AA519" s="98" t="str">
        <f t="shared" si="236"/>
        <v>ORL/MIA</v>
      </c>
    </row>
    <row r="520" spans="1:27" ht="17.100000000000001" x14ac:dyDescent="0.45">
      <c r="A520" s="98">
        <v>200104</v>
      </c>
      <c r="B520" s="99">
        <v>0.375</v>
      </c>
      <c r="C520" s="98" t="s">
        <v>414</v>
      </c>
      <c r="D520" s="98" t="s">
        <v>417</v>
      </c>
      <c r="E520" s="192">
        <v>31</v>
      </c>
      <c r="F520" s="192">
        <v>27</v>
      </c>
      <c r="G520" s="192">
        <v>20</v>
      </c>
      <c r="H520" s="192">
        <v>25</v>
      </c>
      <c r="I520" s="192"/>
      <c r="J520" s="192">
        <v>27</v>
      </c>
      <c r="K520" s="192">
        <v>39</v>
      </c>
      <c r="L520" s="192">
        <v>25</v>
      </c>
      <c r="M520" s="192">
        <v>31</v>
      </c>
      <c r="N520" s="192" t="s">
        <v>427</v>
      </c>
      <c r="O520" s="192">
        <f t="shared" si="247"/>
        <v>103</v>
      </c>
      <c r="P520" s="192">
        <f t="shared" si="248"/>
        <v>122</v>
      </c>
      <c r="Q520" s="192" t="str">
        <f t="shared" si="249"/>
        <v>HW</v>
      </c>
      <c r="R520" s="192" t="str">
        <f t="shared" si="250"/>
        <v>HL</v>
      </c>
      <c r="S520" s="192" t="str">
        <f t="shared" si="251"/>
        <v>HL</v>
      </c>
      <c r="T520" s="192" t="str">
        <f t="shared" si="252"/>
        <v>HL</v>
      </c>
      <c r="U520" s="192" t="str">
        <f t="shared" si="253"/>
        <v>U</v>
      </c>
      <c r="V520" s="192" t="str">
        <f t="shared" si="254"/>
        <v>O</v>
      </c>
      <c r="W520" s="192" t="str">
        <f t="shared" si="255"/>
        <v>U</v>
      </c>
      <c r="X520" s="192" t="str">
        <f t="shared" si="256"/>
        <v>U</v>
      </c>
      <c r="Z520">
        <v>60</v>
      </c>
      <c r="AA520" s="98" t="str">
        <f t="shared" si="236"/>
        <v>WAS/POR</v>
      </c>
    </row>
    <row r="521" spans="1:27" ht="17.100000000000001" x14ac:dyDescent="0.45">
      <c r="A521" s="98">
        <v>200104</v>
      </c>
      <c r="B521" s="99">
        <v>0.41666666666666669</v>
      </c>
      <c r="C521" s="98" t="s">
        <v>403</v>
      </c>
      <c r="D521" s="98" t="s">
        <v>401</v>
      </c>
      <c r="E521" s="188">
        <v>20</v>
      </c>
      <c r="F521" s="188">
        <v>40</v>
      </c>
      <c r="G521" s="188">
        <v>36</v>
      </c>
      <c r="H521" s="188">
        <v>22</v>
      </c>
      <c r="I521" s="188"/>
      <c r="J521" s="188">
        <v>27</v>
      </c>
      <c r="K521" s="188">
        <v>26</v>
      </c>
      <c r="L521" s="188">
        <v>31</v>
      </c>
      <c r="M521" s="188">
        <v>24</v>
      </c>
      <c r="N521" s="188" t="s">
        <v>427</v>
      </c>
      <c r="O521" s="192">
        <f t="shared" si="247"/>
        <v>118</v>
      </c>
      <c r="P521" s="192">
        <f t="shared" si="248"/>
        <v>108</v>
      </c>
      <c r="Q521" s="192" t="str">
        <f t="shared" si="249"/>
        <v>HL</v>
      </c>
      <c r="R521" s="192" t="str">
        <f t="shared" si="250"/>
        <v>HW</v>
      </c>
      <c r="S521" s="192" t="str">
        <f t="shared" si="251"/>
        <v>HW</v>
      </c>
      <c r="T521" s="192" t="str">
        <f t="shared" si="252"/>
        <v>HL</v>
      </c>
      <c r="U521" s="192" t="str">
        <f t="shared" si="253"/>
        <v>U</v>
      </c>
      <c r="V521" s="192" t="str">
        <f t="shared" si="254"/>
        <v>O</v>
      </c>
      <c r="W521" s="192" t="str">
        <f t="shared" si="255"/>
        <v>O</v>
      </c>
      <c r="X521" s="192" t="str">
        <f t="shared" si="256"/>
        <v>U</v>
      </c>
      <c r="Z521">
        <v>57</v>
      </c>
      <c r="AA521" s="98" t="str">
        <f t="shared" si="236"/>
        <v>HOU/PHI</v>
      </c>
    </row>
    <row r="522" spans="1:27" ht="17.100000000000001" x14ac:dyDescent="0.45">
      <c r="A522" s="98">
        <v>200104</v>
      </c>
      <c r="B522" s="99">
        <v>0.45833333333333331</v>
      </c>
      <c r="C522" s="98" t="s">
        <v>404</v>
      </c>
      <c r="D522" s="98" t="s">
        <v>399</v>
      </c>
      <c r="E522" s="191">
        <v>29</v>
      </c>
      <c r="F522" s="191">
        <v>22</v>
      </c>
      <c r="G522" s="191">
        <v>32</v>
      </c>
      <c r="H522" s="191">
        <v>37</v>
      </c>
      <c r="I522" s="191"/>
      <c r="J522" s="191">
        <v>37</v>
      </c>
      <c r="K522" s="191">
        <v>24</v>
      </c>
      <c r="L522" s="191">
        <v>26</v>
      </c>
      <c r="M522" s="191">
        <v>25</v>
      </c>
      <c r="N522" s="191" t="s">
        <v>427</v>
      </c>
      <c r="O522" s="192">
        <f t="shared" si="247"/>
        <v>120</v>
      </c>
      <c r="P522" s="192">
        <f t="shared" si="248"/>
        <v>112</v>
      </c>
      <c r="Q522" s="192" t="str">
        <f t="shared" si="249"/>
        <v>HL</v>
      </c>
      <c r="R522" s="192" t="str">
        <f t="shared" si="250"/>
        <v>HL</v>
      </c>
      <c r="S522" s="192" t="str">
        <f t="shared" si="251"/>
        <v>HW</v>
      </c>
      <c r="T522" s="192" t="str">
        <f t="shared" si="252"/>
        <v>HW</v>
      </c>
      <c r="U522" s="192" t="str">
        <f t="shared" si="253"/>
        <v>O</v>
      </c>
      <c r="V522" s="192" t="str">
        <f t="shared" si="254"/>
        <v>U</v>
      </c>
      <c r="W522" s="192" t="str">
        <f t="shared" si="255"/>
        <v>T</v>
      </c>
      <c r="X522" s="192" t="str">
        <f t="shared" si="256"/>
        <v>O</v>
      </c>
      <c r="Z522">
        <v>58</v>
      </c>
      <c r="AA522" s="98" t="str">
        <f t="shared" si="236"/>
        <v>PHO/NYK</v>
      </c>
    </row>
    <row r="523" spans="1:27" ht="17.100000000000001" x14ac:dyDescent="0.45">
      <c r="A523" s="98">
        <v>200104</v>
      </c>
      <c r="B523" s="99">
        <v>0.52083333333333337</v>
      </c>
      <c r="C523" s="98" t="s">
        <v>419</v>
      </c>
      <c r="D523" s="98" t="s">
        <v>398</v>
      </c>
      <c r="E523" s="189">
        <v>42</v>
      </c>
      <c r="F523" s="189">
        <v>32</v>
      </c>
      <c r="G523" s="189">
        <v>31</v>
      </c>
      <c r="H523" s="189">
        <v>18</v>
      </c>
      <c r="I523" s="189"/>
      <c r="J523" s="189">
        <v>30</v>
      </c>
      <c r="K523" s="189">
        <v>32</v>
      </c>
      <c r="L523" s="189">
        <v>21</v>
      </c>
      <c r="M523" s="189">
        <v>30</v>
      </c>
      <c r="N523" s="189" t="s">
        <v>427</v>
      </c>
      <c r="O523" s="192">
        <f t="shared" si="247"/>
        <v>123</v>
      </c>
      <c r="P523" s="192">
        <f t="shared" si="248"/>
        <v>113</v>
      </c>
      <c r="Q523" s="192" t="str">
        <f t="shared" si="249"/>
        <v>HW</v>
      </c>
      <c r="R523" s="192" t="str">
        <f t="shared" si="250"/>
        <v>TT</v>
      </c>
      <c r="S523" s="192" t="str">
        <f t="shared" si="251"/>
        <v>HW</v>
      </c>
      <c r="T523" s="192" t="str">
        <f t="shared" si="252"/>
        <v>HL</v>
      </c>
      <c r="U523" s="192" t="str">
        <f t="shared" si="253"/>
        <v>O</v>
      </c>
      <c r="V523" s="192" t="str">
        <f t="shared" si="254"/>
        <v>O</v>
      </c>
      <c r="W523" s="192" t="str">
        <f t="shared" si="255"/>
        <v>U</v>
      </c>
      <c r="X523" s="192" t="str">
        <f t="shared" si="256"/>
        <v>U</v>
      </c>
      <c r="Z523" s="206">
        <v>58</v>
      </c>
      <c r="AA523" s="98" t="str">
        <f t="shared" si="236"/>
        <v>LAL/NO</v>
      </c>
    </row>
    <row r="524" spans="1:27" ht="17.100000000000001" x14ac:dyDescent="0.45">
      <c r="A524" s="193">
        <v>200105</v>
      </c>
      <c r="B524" s="194">
        <v>0.22916666666666666</v>
      </c>
      <c r="C524" s="193" t="s">
        <v>415</v>
      </c>
      <c r="D524" s="193" t="s">
        <v>406</v>
      </c>
      <c r="E524" s="201">
        <v>27</v>
      </c>
      <c r="F524" s="201">
        <v>30</v>
      </c>
      <c r="G524" s="201">
        <v>23</v>
      </c>
      <c r="H524" s="201">
        <v>34</v>
      </c>
      <c r="I524" s="201"/>
      <c r="J524" s="201">
        <v>40</v>
      </c>
      <c r="K524" s="201">
        <v>25</v>
      </c>
      <c r="L524" s="201">
        <v>39</v>
      </c>
      <c r="M524" s="201">
        <v>36</v>
      </c>
      <c r="N524" s="201" t="s">
        <v>427</v>
      </c>
      <c r="O524" s="206">
        <f t="shared" ref="O524:O534" si="257">SUM(E524:I524)</f>
        <v>114</v>
      </c>
      <c r="P524" s="206">
        <f t="shared" ref="P524:P534" si="258">SUM(J524:N524)</f>
        <v>140</v>
      </c>
      <c r="Q524" s="206" t="str">
        <f t="shared" ref="Q524:Q534" si="259">IF(E524=J524,"TT",IF(E524&gt;J524,"HW","HL"))</f>
        <v>HL</v>
      </c>
      <c r="R524" s="206" t="str">
        <f t="shared" ref="R524:R534" si="260">IF(F524=K524,"TT",IF(F524&gt;K524,"HW","HL"))</f>
        <v>HW</v>
      </c>
      <c r="S524" s="206" t="str">
        <f t="shared" ref="S524:S534" si="261">IF(G524=L524,"TT",IF(G524&gt;L524,"HW","HL"))</f>
        <v>HL</v>
      </c>
      <c r="T524" s="206" t="str">
        <f t="shared" ref="T524:T534" si="262">IF(H524=M524,"TT",IF(H524&gt;M524,"HW","HL"))</f>
        <v>HL</v>
      </c>
      <c r="U524" s="206" t="str">
        <f t="shared" ref="U524:U534" si="263">IF(SUM(E524,J524)=$Z524,"T",IF(SUM(E524,J524)&gt;$Z524,"O","U"))</f>
        <v>O</v>
      </c>
      <c r="V524" s="206" t="str">
        <f t="shared" ref="V524:V534" si="264">IF(SUM(F524,K524)=$Z524,"T",IF(SUM(F524,K524)&gt;$Z524,"O","U"))</f>
        <v>U</v>
      </c>
      <c r="W524" s="206" t="str">
        <f t="shared" ref="W524:W534" si="265">IF(SUM(G524,L524)=$Z524,"T",IF(SUM(G524,L524)&gt;$Z524,"O","U"))</f>
        <v>O</v>
      </c>
      <c r="X524" s="206" t="str">
        <f t="shared" ref="X524:X534" si="266">IF(SUM(H524,M524)=$Z524,"T",IF(SUM(H524,M524)&gt;$Z524,"O","U"))</f>
        <v>O</v>
      </c>
      <c r="Y524" s="206"/>
      <c r="Z524" s="206">
        <v>56</v>
      </c>
      <c r="AA524" s="206" t="str">
        <f t="shared" ref="AA524:AA587" si="267">C524&amp;"/"&amp;D524</f>
        <v>LAC/MEM</v>
      </c>
    </row>
    <row r="525" spans="1:27" ht="17.100000000000001" x14ac:dyDescent="0.45">
      <c r="A525" s="193">
        <v>200105</v>
      </c>
      <c r="B525" s="194">
        <v>0.33333333333333331</v>
      </c>
      <c r="C525" s="14" t="s">
        <v>407</v>
      </c>
      <c r="D525" s="193" t="s">
        <v>413</v>
      </c>
      <c r="E525" s="196">
        <v>33</v>
      </c>
      <c r="F525" s="196">
        <v>19</v>
      </c>
      <c r="G525" s="196">
        <v>28</v>
      </c>
      <c r="H525" s="196">
        <v>22</v>
      </c>
      <c r="I525" s="196"/>
      <c r="J525" s="196">
        <v>24</v>
      </c>
      <c r="K525" s="196">
        <v>24</v>
      </c>
      <c r="L525" s="196">
        <v>35</v>
      </c>
      <c r="M525" s="196">
        <v>38</v>
      </c>
      <c r="N525" s="196" t="s">
        <v>427</v>
      </c>
      <c r="O525" s="206">
        <f t="shared" si="257"/>
        <v>102</v>
      </c>
      <c r="P525" s="206">
        <f t="shared" si="258"/>
        <v>121</v>
      </c>
      <c r="Q525" s="206" t="str">
        <f t="shared" si="259"/>
        <v>HW</v>
      </c>
      <c r="R525" s="206" t="str">
        <f t="shared" si="260"/>
        <v>HL</v>
      </c>
      <c r="S525" s="206" t="str">
        <f t="shared" si="261"/>
        <v>HL</v>
      </c>
      <c r="T525" s="206" t="str">
        <f t="shared" si="262"/>
        <v>HL</v>
      </c>
      <c r="U525" s="206" t="str">
        <f t="shared" si="263"/>
        <v>O</v>
      </c>
      <c r="V525" s="206" t="str">
        <f t="shared" si="264"/>
        <v>U</v>
      </c>
      <c r="W525" s="206" t="str">
        <f t="shared" si="265"/>
        <v>O</v>
      </c>
      <c r="X525" s="206" t="str">
        <f t="shared" si="266"/>
        <v>O</v>
      </c>
      <c r="Y525" s="206"/>
      <c r="Z525" s="206">
        <v>55</v>
      </c>
      <c r="AA525" s="206" t="str">
        <f t="shared" si="267"/>
        <v>BKN/TOR</v>
      </c>
    </row>
    <row r="526" spans="1:27" ht="17.100000000000001" x14ac:dyDescent="0.45">
      <c r="A526" s="193">
        <v>200105</v>
      </c>
      <c r="B526" s="194">
        <v>0.375</v>
      </c>
      <c r="C526" s="193" t="s">
        <v>431</v>
      </c>
      <c r="D526" s="193" t="s">
        <v>405</v>
      </c>
      <c r="E526" s="203">
        <v>25</v>
      </c>
      <c r="F526" s="203">
        <v>22</v>
      </c>
      <c r="G526" s="203">
        <v>28</v>
      </c>
      <c r="H526" s="203">
        <v>21</v>
      </c>
      <c r="I526" s="203"/>
      <c r="J526" s="203">
        <v>33</v>
      </c>
      <c r="K526" s="203">
        <v>19</v>
      </c>
      <c r="L526" s="203">
        <v>24</v>
      </c>
      <c r="M526" s="203">
        <v>33</v>
      </c>
      <c r="N526" s="203" t="s">
        <v>427</v>
      </c>
      <c r="O526" s="206">
        <f t="shared" si="257"/>
        <v>96</v>
      </c>
      <c r="P526" s="206">
        <f t="shared" si="258"/>
        <v>109</v>
      </c>
      <c r="Q526" s="206" t="str">
        <f t="shared" si="259"/>
        <v>HL</v>
      </c>
      <c r="R526" s="206" t="str">
        <f t="shared" si="260"/>
        <v>HW</v>
      </c>
      <c r="S526" s="206" t="str">
        <f t="shared" si="261"/>
        <v>HW</v>
      </c>
      <c r="T526" s="206" t="str">
        <f t="shared" si="262"/>
        <v>HL</v>
      </c>
      <c r="U526" s="206" t="str">
        <f t="shared" si="263"/>
        <v>O</v>
      </c>
      <c r="V526" s="206" t="str">
        <f t="shared" si="264"/>
        <v>U</v>
      </c>
      <c r="W526" s="206" t="str">
        <f t="shared" si="265"/>
        <v>O</v>
      </c>
      <c r="X526" s="206" t="str">
        <f t="shared" si="266"/>
        <v>O</v>
      </c>
      <c r="Y526" s="206"/>
      <c r="Z526" s="206">
        <v>50.5</v>
      </c>
      <c r="AA526" s="206" t="str">
        <f t="shared" si="267"/>
        <v>ORL/UTA</v>
      </c>
    </row>
    <row r="527" spans="1:27" ht="17.100000000000001" x14ac:dyDescent="0.45">
      <c r="A527" s="193">
        <v>200105</v>
      </c>
      <c r="B527" s="194">
        <v>0.39583333333333331</v>
      </c>
      <c r="C527" s="14" t="s">
        <v>410</v>
      </c>
      <c r="D527" s="14" t="s">
        <v>400</v>
      </c>
      <c r="E527" s="195">
        <v>43</v>
      </c>
      <c r="F527" s="195">
        <v>21</v>
      </c>
      <c r="G527" s="195">
        <v>32</v>
      </c>
      <c r="H527" s="195">
        <v>20</v>
      </c>
      <c r="I527" s="195"/>
      <c r="J527" s="195">
        <v>26</v>
      </c>
      <c r="K527" s="195">
        <v>34</v>
      </c>
      <c r="L527" s="195">
        <v>35</v>
      </c>
      <c r="M527" s="195">
        <v>16</v>
      </c>
      <c r="N527" s="195" t="s">
        <v>427</v>
      </c>
      <c r="O527" s="206">
        <f t="shared" si="257"/>
        <v>116</v>
      </c>
      <c r="P527" s="206">
        <f t="shared" si="258"/>
        <v>111</v>
      </c>
      <c r="Q527" s="206" t="str">
        <f t="shared" si="259"/>
        <v>HW</v>
      </c>
      <c r="R527" s="206" t="str">
        <f t="shared" si="260"/>
        <v>HL</v>
      </c>
      <c r="S527" s="206" t="str">
        <f t="shared" si="261"/>
        <v>HL</v>
      </c>
      <c r="T527" s="206" t="str">
        <f t="shared" si="262"/>
        <v>HW</v>
      </c>
      <c r="U527" s="206" t="str">
        <f t="shared" si="263"/>
        <v>O</v>
      </c>
      <c r="V527" s="206" t="str">
        <f t="shared" si="264"/>
        <v>U</v>
      </c>
      <c r="W527" s="206" t="str">
        <f t="shared" si="265"/>
        <v>O</v>
      </c>
      <c r="X527" s="206" t="str">
        <f t="shared" si="266"/>
        <v>U</v>
      </c>
      <c r="Y527" s="206"/>
      <c r="Z527" s="206">
        <v>56.5</v>
      </c>
      <c r="AA527" s="206" t="str">
        <f t="shared" si="267"/>
        <v>ATL/IND</v>
      </c>
    </row>
    <row r="528" spans="1:27" ht="17.100000000000001" x14ac:dyDescent="0.45">
      <c r="A528" s="193">
        <v>200105</v>
      </c>
      <c r="B528" s="194">
        <v>0.39583333333333331</v>
      </c>
      <c r="C528" s="193" t="s">
        <v>402</v>
      </c>
      <c r="D528" s="193" t="s">
        <v>418</v>
      </c>
      <c r="E528" s="198">
        <v>27</v>
      </c>
      <c r="F528" s="198">
        <v>26</v>
      </c>
      <c r="G528" s="198">
        <v>26</v>
      </c>
      <c r="H528" s="198">
        <v>27</v>
      </c>
      <c r="I528" s="198"/>
      <c r="J528" s="198">
        <v>34</v>
      </c>
      <c r="K528" s="198">
        <v>32</v>
      </c>
      <c r="L528" s="198">
        <v>25</v>
      </c>
      <c r="M528" s="198">
        <v>30</v>
      </c>
      <c r="N528" s="198" t="s">
        <v>427</v>
      </c>
      <c r="O528" s="206">
        <f t="shared" si="257"/>
        <v>106</v>
      </c>
      <c r="P528" s="206">
        <f t="shared" si="258"/>
        <v>121</v>
      </c>
      <c r="Q528" s="206" t="str">
        <f t="shared" si="259"/>
        <v>HL</v>
      </c>
      <c r="R528" s="206" t="str">
        <f t="shared" si="260"/>
        <v>HL</v>
      </c>
      <c r="S528" s="206" t="str">
        <f t="shared" si="261"/>
        <v>HW</v>
      </c>
      <c r="T528" s="206" t="str">
        <f t="shared" si="262"/>
        <v>HL</v>
      </c>
      <c r="U528" s="206" t="str">
        <f t="shared" si="263"/>
        <v>O</v>
      </c>
      <c r="V528" s="206" t="str">
        <f t="shared" si="264"/>
        <v>O</v>
      </c>
      <c r="W528" s="206" t="str">
        <f t="shared" si="265"/>
        <v>U</v>
      </c>
      <c r="X528" s="206" t="str">
        <f t="shared" si="266"/>
        <v>O</v>
      </c>
      <c r="Y528" s="206"/>
      <c r="Z528" s="206">
        <v>55</v>
      </c>
      <c r="AA528" s="206" t="str">
        <f t="shared" si="267"/>
        <v>CLE/OKC</v>
      </c>
    </row>
    <row r="529" spans="1:27" ht="17.100000000000001" x14ac:dyDescent="0.45">
      <c r="A529" s="193">
        <v>200105</v>
      </c>
      <c r="B529" s="194">
        <v>0.41666666666666669</v>
      </c>
      <c r="C529" s="14" t="s">
        <v>432</v>
      </c>
      <c r="D529" s="193" t="s">
        <v>421</v>
      </c>
      <c r="E529" s="197">
        <v>28</v>
      </c>
      <c r="F529" s="197">
        <v>24</v>
      </c>
      <c r="G529" s="197">
        <v>21</v>
      </c>
      <c r="H529" s="197">
        <v>31</v>
      </c>
      <c r="I529" s="197"/>
      <c r="J529" s="197">
        <v>30</v>
      </c>
      <c r="K529" s="197">
        <v>25</v>
      </c>
      <c r="L529" s="197">
        <v>30</v>
      </c>
      <c r="M529" s="197">
        <v>26</v>
      </c>
      <c r="N529" s="197" t="s">
        <v>427</v>
      </c>
      <c r="O529" s="206">
        <f t="shared" si="257"/>
        <v>104</v>
      </c>
      <c r="P529" s="206">
        <f t="shared" si="258"/>
        <v>111</v>
      </c>
      <c r="Q529" s="206" t="str">
        <f t="shared" si="259"/>
        <v>HL</v>
      </c>
      <c r="R529" s="206" t="str">
        <f t="shared" si="260"/>
        <v>HL</v>
      </c>
      <c r="S529" s="206" t="str">
        <f t="shared" si="261"/>
        <v>HL</v>
      </c>
      <c r="T529" s="206" t="str">
        <f t="shared" si="262"/>
        <v>HW</v>
      </c>
      <c r="U529" s="206" t="str">
        <f t="shared" si="263"/>
        <v>O</v>
      </c>
      <c r="V529" s="206" t="str">
        <f t="shared" si="264"/>
        <v>U</v>
      </c>
      <c r="W529" s="206" t="str">
        <f t="shared" si="265"/>
        <v>T</v>
      </c>
      <c r="X529" s="206" t="str">
        <f t="shared" si="266"/>
        <v>O</v>
      </c>
      <c r="Y529" s="206"/>
      <c r="Z529" s="206">
        <v>51</v>
      </c>
      <c r="AA529" s="206" t="str">
        <f t="shared" si="267"/>
        <v>CHI/BOS</v>
      </c>
    </row>
    <row r="530" spans="1:27" ht="17.100000000000001" x14ac:dyDescent="0.45">
      <c r="A530" s="193">
        <v>200105</v>
      </c>
      <c r="B530" s="194">
        <v>0.41666666666666669</v>
      </c>
      <c r="C530" s="193" t="s">
        <v>433</v>
      </c>
      <c r="D530" s="193" t="s">
        <v>408</v>
      </c>
      <c r="E530" s="205">
        <v>31</v>
      </c>
      <c r="F530" s="205">
        <v>30</v>
      </c>
      <c r="G530" s="205">
        <v>34</v>
      </c>
      <c r="H530" s="205">
        <v>33</v>
      </c>
      <c r="I530" s="205"/>
      <c r="J530" s="205">
        <v>19</v>
      </c>
      <c r="K530" s="205">
        <v>36</v>
      </c>
      <c r="L530" s="205">
        <v>35</v>
      </c>
      <c r="M530" s="205">
        <v>24</v>
      </c>
      <c r="N530" s="205" t="s">
        <v>427</v>
      </c>
      <c r="O530" s="206">
        <f t="shared" si="257"/>
        <v>128</v>
      </c>
      <c r="P530" s="206">
        <f t="shared" si="258"/>
        <v>114</v>
      </c>
      <c r="Q530" s="206" t="str">
        <f t="shared" si="259"/>
        <v>HW</v>
      </c>
      <c r="R530" s="206" t="str">
        <f t="shared" si="260"/>
        <v>HL</v>
      </c>
      <c r="S530" s="206" t="str">
        <f t="shared" si="261"/>
        <v>HL</v>
      </c>
      <c r="T530" s="206" t="str">
        <f t="shared" si="262"/>
        <v>HW</v>
      </c>
      <c r="U530" s="206" t="str">
        <f t="shared" si="263"/>
        <v>U</v>
      </c>
      <c r="V530" s="206" t="str">
        <f t="shared" si="264"/>
        <v>O</v>
      </c>
      <c r="W530" s="206" t="str">
        <f t="shared" si="265"/>
        <v>O</v>
      </c>
      <c r="X530" s="206" t="str">
        <f t="shared" si="266"/>
        <v>T</v>
      </c>
      <c r="Y530" s="206"/>
      <c r="Z530" s="206">
        <v>57</v>
      </c>
      <c r="AA530" s="206" t="str">
        <f t="shared" si="267"/>
        <v>WAS/DEN</v>
      </c>
    </row>
    <row r="531" spans="1:27" ht="17.100000000000001" x14ac:dyDescent="0.45">
      <c r="A531" s="193">
        <v>200105</v>
      </c>
      <c r="B531" s="194">
        <v>0.4375</v>
      </c>
      <c r="C531" s="14" t="s">
        <v>434</v>
      </c>
      <c r="D531" s="14" t="s">
        <v>409</v>
      </c>
      <c r="E531" s="199">
        <v>20</v>
      </c>
      <c r="F531" s="199">
        <v>24</v>
      </c>
      <c r="G531" s="199">
        <v>40</v>
      </c>
      <c r="H531" s="199">
        <v>19</v>
      </c>
      <c r="I531" s="199">
        <v>17</v>
      </c>
      <c r="J531" s="199">
        <v>32</v>
      </c>
      <c r="K531" s="199">
        <v>25</v>
      </c>
      <c r="L531" s="199">
        <v>23</v>
      </c>
      <c r="M531" s="199">
        <v>23</v>
      </c>
      <c r="N531" s="199">
        <v>20</v>
      </c>
      <c r="O531" s="206">
        <f t="shared" si="257"/>
        <v>120</v>
      </c>
      <c r="P531" s="206">
        <f t="shared" si="258"/>
        <v>123</v>
      </c>
      <c r="Q531" s="206" t="str">
        <f t="shared" si="259"/>
        <v>HL</v>
      </c>
      <c r="R531" s="206" t="str">
        <f t="shared" si="260"/>
        <v>HL</v>
      </c>
      <c r="S531" s="206" t="str">
        <f t="shared" si="261"/>
        <v>HW</v>
      </c>
      <c r="T531" s="206" t="str">
        <f t="shared" si="262"/>
        <v>HL</v>
      </c>
      <c r="U531" s="206" t="str">
        <f t="shared" si="263"/>
        <v>U</v>
      </c>
      <c r="V531" s="206" t="str">
        <f t="shared" si="264"/>
        <v>U</v>
      </c>
      <c r="W531" s="206" t="str">
        <f t="shared" si="265"/>
        <v>O</v>
      </c>
      <c r="X531" s="206" t="str">
        <f t="shared" si="266"/>
        <v>U</v>
      </c>
      <c r="Y531" s="206"/>
      <c r="Z531" s="206">
        <v>55.5</v>
      </c>
      <c r="AA531" s="206" t="str">
        <f t="shared" si="267"/>
        <v>DAL/CHA</v>
      </c>
    </row>
    <row r="532" spans="1:27" ht="17.100000000000001" x14ac:dyDescent="0.45">
      <c r="A532" s="193">
        <v>200105</v>
      </c>
      <c r="B532" s="194">
        <v>0.4375</v>
      </c>
      <c r="C532" s="193" t="s">
        <v>425</v>
      </c>
      <c r="D532" s="193" t="s">
        <v>422</v>
      </c>
      <c r="E532" s="200">
        <v>23</v>
      </c>
      <c r="F532" s="200">
        <v>36</v>
      </c>
      <c r="G532" s="200">
        <v>21</v>
      </c>
      <c r="H532" s="200">
        <v>24</v>
      </c>
      <c r="I532" s="200"/>
      <c r="J532" s="200">
        <v>25</v>
      </c>
      <c r="K532" s="200">
        <v>31</v>
      </c>
      <c r="L532" s="200">
        <v>27</v>
      </c>
      <c r="M532" s="200">
        <v>28</v>
      </c>
      <c r="N532" s="200" t="s">
        <v>427</v>
      </c>
      <c r="O532" s="206">
        <f t="shared" si="257"/>
        <v>104</v>
      </c>
      <c r="P532" s="206">
        <f t="shared" si="258"/>
        <v>111</v>
      </c>
      <c r="Q532" s="206" t="str">
        <f t="shared" si="259"/>
        <v>HL</v>
      </c>
      <c r="R532" s="206" t="str">
        <f t="shared" si="260"/>
        <v>HW</v>
      </c>
      <c r="S532" s="206" t="str">
        <f t="shared" si="261"/>
        <v>HL</v>
      </c>
      <c r="T532" s="206" t="str">
        <f t="shared" si="262"/>
        <v>HL</v>
      </c>
      <c r="U532" s="206" t="str">
        <f t="shared" si="263"/>
        <v>U</v>
      </c>
      <c r="V532" s="206" t="str">
        <f t="shared" si="264"/>
        <v>O</v>
      </c>
      <c r="W532" s="206" t="str">
        <f t="shared" si="265"/>
        <v>U</v>
      </c>
      <c r="X532" s="206" t="str">
        <f t="shared" si="266"/>
        <v>U</v>
      </c>
      <c r="Y532" s="206"/>
      <c r="Z532" s="206">
        <v>55</v>
      </c>
      <c r="AA532" s="206" t="str">
        <f t="shared" si="267"/>
        <v>GS/DET</v>
      </c>
    </row>
    <row r="533" spans="1:27" ht="17.100000000000001" x14ac:dyDescent="0.45">
      <c r="A533" s="193">
        <v>200105</v>
      </c>
      <c r="B533" s="194">
        <v>0.4375</v>
      </c>
      <c r="C533" s="193" t="s">
        <v>423</v>
      </c>
      <c r="D533" s="193" t="s">
        <v>426</v>
      </c>
      <c r="E533" s="202">
        <v>29</v>
      </c>
      <c r="F533" s="202">
        <v>42</v>
      </c>
      <c r="G533" s="202">
        <v>32</v>
      </c>
      <c r="H533" s="202">
        <v>24</v>
      </c>
      <c r="I533" s="202"/>
      <c r="J533" s="202">
        <v>31</v>
      </c>
      <c r="K533" s="202">
        <v>35</v>
      </c>
      <c r="L533" s="202">
        <v>25</v>
      </c>
      <c r="M533" s="202">
        <v>27</v>
      </c>
      <c r="N533" s="202" t="s">
        <v>427</v>
      </c>
      <c r="O533" s="206">
        <f t="shared" si="257"/>
        <v>127</v>
      </c>
      <c r="P533" s="206">
        <f t="shared" si="258"/>
        <v>118</v>
      </c>
      <c r="Q533" s="206" t="str">
        <f t="shared" si="259"/>
        <v>HL</v>
      </c>
      <c r="R533" s="206" t="str">
        <f t="shared" si="260"/>
        <v>HW</v>
      </c>
      <c r="S533" s="206" t="str">
        <f t="shared" si="261"/>
        <v>HW</v>
      </c>
      <c r="T533" s="206" t="str">
        <f t="shared" si="262"/>
        <v>HL</v>
      </c>
      <c r="U533" s="206" t="str">
        <f t="shared" si="263"/>
        <v>O</v>
      </c>
      <c r="V533" s="206" t="str">
        <f t="shared" si="264"/>
        <v>O</v>
      </c>
      <c r="W533" s="206" t="str">
        <f t="shared" si="265"/>
        <v>O</v>
      </c>
      <c r="X533" s="206" t="str">
        <f t="shared" si="266"/>
        <v>U</v>
      </c>
      <c r="Y533" s="206"/>
      <c r="Z533" s="206">
        <v>56</v>
      </c>
      <c r="AA533" s="206" t="str">
        <f t="shared" si="267"/>
        <v>MIL/SAS</v>
      </c>
    </row>
    <row r="534" spans="1:27" ht="17.100000000000001" x14ac:dyDescent="0.45">
      <c r="A534" s="193">
        <v>200105</v>
      </c>
      <c r="B534" s="194">
        <v>0.5</v>
      </c>
      <c r="C534" s="11" t="s">
        <v>416</v>
      </c>
      <c r="D534" s="11" t="s">
        <v>398</v>
      </c>
      <c r="E534" s="204">
        <v>26</v>
      </c>
      <c r="F534" s="204">
        <v>22</v>
      </c>
      <c r="G534" s="204">
        <v>32</v>
      </c>
      <c r="H534" s="204">
        <v>35</v>
      </c>
      <c r="I534" s="204"/>
      <c r="J534" s="204">
        <v>25</v>
      </c>
      <c r="K534" s="204">
        <v>27</v>
      </c>
      <c r="L534" s="204">
        <v>24</v>
      </c>
      <c r="M534" s="204">
        <v>41</v>
      </c>
      <c r="N534" s="204" t="s">
        <v>427</v>
      </c>
      <c r="O534" s="206">
        <f t="shared" si="257"/>
        <v>115</v>
      </c>
      <c r="P534" s="206">
        <f t="shared" si="258"/>
        <v>117</v>
      </c>
      <c r="Q534" s="206" t="str">
        <f t="shared" si="259"/>
        <v>HW</v>
      </c>
      <c r="R534" s="206" t="str">
        <f t="shared" si="260"/>
        <v>HL</v>
      </c>
      <c r="S534" s="206" t="str">
        <f t="shared" si="261"/>
        <v>HW</v>
      </c>
      <c r="T534" s="206" t="str">
        <f t="shared" si="262"/>
        <v>HL</v>
      </c>
      <c r="U534" s="206" t="str">
        <f t="shared" si="263"/>
        <v>U</v>
      </c>
      <c r="V534" s="206" t="str">
        <f t="shared" si="264"/>
        <v>U</v>
      </c>
      <c r="W534" s="206" t="str">
        <f t="shared" si="265"/>
        <v>U</v>
      </c>
      <c r="X534" s="206" t="str">
        <f t="shared" si="266"/>
        <v>O</v>
      </c>
      <c r="Y534" s="206"/>
      <c r="Z534" s="206">
        <v>58</v>
      </c>
      <c r="AA534" s="206" t="str">
        <f t="shared" si="267"/>
        <v>SAC/NO</v>
      </c>
    </row>
    <row r="535" spans="1:27" ht="17.100000000000001" x14ac:dyDescent="0.45">
      <c r="A535" s="206">
        <v>200106</v>
      </c>
      <c r="B535" s="207">
        <v>0.22916666666666666</v>
      </c>
      <c r="C535" s="206" t="s">
        <v>415</v>
      </c>
      <c r="D535" s="206" t="s">
        <v>399</v>
      </c>
      <c r="E535" s="206">
        <v>29</v>
      </c>
      <c r="F535" s="206">
        <v>47</v>
      </c>
      <c r="G535" s="206">
        <v>38</v>
      </c>
      <c r="H535" s="206">
        <v>21</v>
      </c>
      <c r="I535" s="206"/>
      <c r="J535" s="206">
        <v>45</v>
      </c>
      <c r="K535" s="206">
        <v>24</v>
      </c>
      <c r="L535" s="206">
        <v>31</v>
      </c>
      <c r="M535" s="206">
        <v>32</v>
      </c>
      <c r="N535" s="206" t="s">
        <v>427</v>
      </c>
      <c r="O535" s="206">
        <f t="shared" ref="O535:O598" si="268">SUM(E535:I535)</f>
        <v>135</v>
      </c>
      <c r="P535" s="206">
        <f t="shared" ref="P535:P598" si="269">SUM(J535:N535)</f>
        <v>132</v>
      </c>
      <c r="Q535" s="206" t="str">
        <f t="shared" ref="Q535:Q598" si="270">IF(E535=J535,"TT",IF(E535&gt;J535,"HW","HL"))</f>
        <v>HL</v>
      </c>
      <c r="R535" s="206" t="str">
        <f t="shared" ref="R535:R598" si="271">IF(F535=K535,"TT",IF(F535&gt;K535,"HW","HL"))</f>
        <v>HW</v>
      </c>
      <c r="S535" s="206" t="str">
        <f t="shared" ref="S535:S598" si="272">IF(G535=L535,"TT",IF(G535&gt;L535,"HW","HL"))</f>
        <v>HW</v>
      </c>
      <c r="T535" s="206" t="str">
        <f t="shared" ref="T535:T598" si="273">IF(H535=M535,"TT",IF(H535&gt;M535,"HW","HL"))</f>
        <v>HL</v>
      </c>
      <c r="U535" s="206" t="str">
        <f t="shared" ref="U535:U598" si="274">IF(SUM(E535,J535)=$Z535,"T",IF(SUM(E535,J535)&gt;$Z535,"O","U"))</f>
        <v>O</v>
      </c>
      <c r="V535" s="206" t="str">
        <f t="shared" ref="V535:V598" si="275">IF(SUM(F535,K535)=$Z535,"T",IF(SUM(F535,K535)&gt;$Z535,"O","U"))</f>
        <v>O</v>
      </c>
      <c r="W535" s="206" t="str">
        <f t="shared" ref="W535:W598" si="276">IF(SUM(G535,L535)=$Z535,"T",IF(SUM(G535,L535)&gt;$Z535,"O","U"))</f>
        <v>O</v>
      </c>
      <c r="X535" s="206" t="str">
        <f t="shared" ref="X535:X598" si="277">IF(SUM(H535,M535)=$Z535,"T",IF(SUM(H535,M535)&gt;$Z535,"O","U"))</f>
        <v>U</v>
      </c>
      <c r="Y535" s="206"/>
      <c r="Z535" s="206">
        <v>57</v>
      </c>
      <c r="AA535" s="206" t="str">
        <f t="shared" si="267"/>
        <v>LAC/NYK</v>
      </c>
    </row>
    <row r="536" spans="1:27" ht="17.100000000000001" x14ac:dyDescent="0.45">
      <c r="A536" s="206">
        <v>200106</v>
      </c>
      <c r="B536" s="207">
        <v>0.33333333333333331</v>
      </c>
      <c r="C536" s="15" t="s">
        <v>411</v>
      </c>
      <c r="D536" s="206" t="s">
        <v>417</v>
      </c>
      <c r="E536" s="206">
        <v>31</v>
      </c>
      <c r="F536" s="206">
        <v>34</v>
      </c>
      <c r="G536" s="206">
        <v>29</v>
      </c>
      <c r="H536" s="206">
        <v>28</v>
      </c>
      <c r="I536" s="206"/>
      <c r="J536" s="206">
        <v>19</v>
      </c>
      <c r="K536" s="206">
        <v>27</v>
      </c>
      <c r="L536" s="206">
        <v>35</v>
      </c>
      <c r="M536" s="206">
        <v>30</v>
      </c>
      <c r="N536" s="206" t="s">
        <v>427</v>
      </c>
      <c r="O536" s="206">
        <f t="shared" si="268"/>
        <v>122</v>
      </c>
      <c r="P536" s="206">
        <f t="shared" si="269"/>
        <v>111</v>
      </c>
      <c r="Q536" s="206" t="str">
        <f t="shared" si="270"/>
        <v>HW</v>
      </c>
      <c r="R536" s="206" t="str">
        <f t="shared" si="271"/>
        <v>HW</v>
      </c>
      <c r="S536" s="206" t="str">
        <f t="shared" si="272"/>
        <v>HL</v>
      </c>
      <c r="T536" s="206" t="str">
        <f t="shared" si="273"/>
        <v>HL</v>
      </c>
      <c r="U536" s="206" t="str">
        <f t="shared" si="274"/>
        <v>U</v>
      </c>
      <c r="V536" s="206" t="str">
        <f t="shared" si="275"/>
        <v>O</v>
      </c>
      <c r="W536" s="206" t="str">
        <f t="shared" si="276"/>
        <v>O</v>
      </c>
      <c r="X536" s="206" t="str">
        <f t="shared" si="277"/>
        <v>O</v>
      </c>
      <c r="Y536" s="206"/>
      <c r="Z536">
        <v>55.5</v>
      </c>
      <c r="AA536" s="206" t="str">
        <f t="shared" si="267"/>
        <v>MIA/POR</v>
      </c>
    </row>
    <row r="537" spans="1:27" ht="17.100000000000001" x14ac:dyDescent="0.45">
      <c r="A537" s="206">
        <v>200106</v>
      </c>
      <c r="B537" s="207">
        <v>0.39583333333333331</v>
      </c>
      <c r="C537" s="206" t="s">
        <v>402</v>
      </c>
      <c r="D537" s="206" t="s">
        <v>420</v>
      </c>
      <c r="E537" s="206">
        <v>20</v>
      </c>
      <c r="F537" s="206">
        <v>28</v>
      </c>
      <c r="G537" s="206">
        <v>31</v>
      </c>
      <c r="H537" s="206">
        <v>24</v>
      </c>
      <c r="I537" s="206"/>
      <c r="J537" s="206">
        <v>24</v>
      </c>
      <c r="K537" s="206">
        <v>42</v>
      </c>
      <c r="L537" s="206">
        <v>28</v>
      </c>
      <c r="M537" s="206">
        <v>24</v>
      </c>
      <c r="N537" s="206" t="s">
        <v>427</v>
      </c>
      <c r="O537" s="206">
        <f t="shared" si="268"/>
        <v>103</v>
      </c>
      <c r="P537" s="206">
        <f t="shared" si="269"/>
        <v>118</v>
      </c>
      <c r="Q537" s="206" t="str">
        <f t="shared" si="270"/>
        <v>HL</v>
      </c>
      <c r="R537" s="206" t="str">
        <f t="shared" si="271"/>
        <v>HL</v>
      </c>
      <c r="S537" s="206" t="str">
        <f t="shared" si="272"/>
        <v>HW</v>
      </c>
      <c r="T537" s="206" t="str">
        <f t="shared" si="273"/>
        <v>TT</v>
      </c>
      <c r="U537" s="206" t="str">
        <f t="shared" si="274"/>
        <v>U</v>
      </c>
      <c r="V537" s="206" t="str">
        <f t="shared" si="275"/>
        <v>O</v>
      </c>
      <c r="W537" s="206" t="str">
        <f t="shared" si="276"/>
        <v>O</v>
      </c>
      <c r="X537" s="206" t="str">
        <f t="shared" si="277"/>
        <v>U</v>
      </c>
      <c r="Y537" s="206"/>
      <c r="Z537">
        <v>55.5</v>
      </c>
      <c r="AA537" s="206" t="str">
        <f t="shared" si="267"/>
        <v>CLE/MIN</v>
      </c>
    </row>
    <row r="538" spans="1:27" ht="17.100000000000001" x14ac:dyDescent="0.45">
      <c r="A538" s="206">
        <v>200106</v>
      </c>
      <c r="B538" s="207">
        <v>0.41666666666666669</v>
      </c>
      <c r="C538" s="208" t="s">
        <v>435</v>
      </c>
      <c r="D538" s="208" t="s">
        <v>406</v>
      </c>
      <c r="E538" s="206">
        <v>31</v>
      </c>
      <c r="F538" s="206">
        <v>26</v>
      </c>
      <c r="G538" s="206">
        <v>20</v>
      </c>
      <c r="H538" s="206">
        <v>37</v>
      </c>
      <c r="I538" s="206"/>
      <c r="J538" s="206">
        <v>27</v>
      </c>
      <c r="K538" s="206">
        <v>35</v>
      </c>
      <c r="L538" s="206">
        <v>34</v>
      </c>
      <c r="M538" s="206">
        <v>25</v>
      </c>
      <c r="N538" s="206" t="s">
        <v>427</v>
      </c>
      <c r="O538" s="206">
        <f t="shared" si="268"/>
        <v>114</v>
      </c>
      <c r="P538" s="206">
        <f t="shared" si="269"/>
        <v>121</v>
      </c>
      <c r="Q538" s="206" t="str">
        <f t="shared" si="270"/>
        <v>HW</v>
      </c>
      <c r="R538" s="206" t="str">
        <f t="shared" si="271"/>
        <v>HL</v>
      </c>
      <c r="S538" s="206" t="str">
        <f t="shared" si="272"/>
        <v>HL</v>
      </c>
      <c r="T538" s="206" t="str">
        <f t="shared" si="273"/>
        <v>HW</v>
      </c>
      <c r="U538" s="206" t="str">
        <f t="shared" si="274"/>
        <v>O</v>
      </c>
      <c r="V538" s="206" t="str">
        <f t="shared" si="275"/>
        <v>O</v>
      </c>
      <c r="W538" s="206" t="str">
        <f t="shared" si="276"/>
        <v>U</v>
      </c>
      <c r="X538" s="206" t="str">
        <f t="shared" si="277"/>
        <v>O</v>
      </c>
      <c r="Y538" s="206"/>
      <c r="Z538">
        <v>57.5</v>
      </c>
      <c r="AA538" s="206" t="str">
        <f t="shared" si="267"/>
        <v>PHO/MEM</v>
      </c>
    </row>
    <row r="539" spans="1:27" ht="17.100000000000001" x14ac:dyDescent="0.45">
      <c r="A539" s="206">
        <v>200106</v>
      </c>
      <c r="B539" s="207">
        <v>0.5</v>
      </c>
      <c r="C539" s="11" t="s">
        <v>419</v>
      </c>
      <c r="D539" s="11" t="s">
        <v>422</v>
      </c>
      <c r="E539" s="206">
        <v>23</v>
      </c>
      <c r="F539" s="206">
        <v>33</v>
      </c>
      <c r="G539" s="206">
        <v>19</v>
      </c>
      <c r="H539" s="206">
        <v>31</v>
      </c>
      <c r="I539" s="206"/>
      <c r="J539" s="206">
        <v>22</v>
      </c>
      <c r="K539" s="206">
        <v>25</v>
      </c>
      <c r="L539" s="206">
        <v>32</v>
      </c>
      <c r="M539" s="206">
        <v>20</v>
      </c>
      <c r="N539" s="206" t="s">
        <v>427</v>
      </c>
      <c r="O539" s="206">
        <f t="shared" si="268"/>
        <v>106</v>
      </c>
      <c r="P539" s="206">
        <f t="shared" si="269"/>
        <v>99</v>
      </c>
      <c r="Q539" s="206" t="str">
        <f t="shared" si="270"/>
        <v>HW</v>
      </c>
      <c r="R539" s="206" t="str">
        <f t="shared" si="271"/>
        <v>HW</v>
      </c>
      <c r="S539" s="206" t="str">
        <f t="shared" si="272"/>
        <v>HL</v>
      </c>
      <c r="T539" s="206" t="str">
        <f t="shared" si="273"/>
        <v>HW</v>
      </c>
      <c r="U539" s="206" t="str">
        <f t="shared" si="274"/>
        <v>U</v>
      </c>
      <c r="V539" s="206" t="str">
        <f t="shared" si="275"/>
        <v>O</v>
      </c>
      <c r="W539" s="206" t="str">
        <f t="shared" si="276"/>
        <v>U</v>
      </c>
      <c r="X539" s="206" t="str">
        <f t="shared" si="277"/>
        <v>U</v>
      </c>
      <c r="Y539" s="206"/>
      <c r="Z539">
        <v>57.5</v>
      </c>
      <c r="AA539" s="206" t="str">
        <f t="shared" si="267"/>
        <v>LAL/DET</v>
      </c>
    </row>
    <row r="540" spans="1:27" ht="17.100000000000001" x14ac:dyDescent="0.45">
      <c r="A540" s="206">
        <v>200107</v>
      </c>
      <c r="B540" s="44">
        <v>0.375</v>
      </c>
      <c r="C540" s="206" t="s">
        <v>424</v>
      </c>
      <c r="D540" s="206" t="s">
        <v>407</v>
      </c>
      <c r="E540" s="206">
        <v>20</v>
      </c>
      <c r="F540" s="206">
        <v>32</v>
      </c>
      <c r="G540" s="206">
        <v>23</v>
      </c>
      <c r="H540" s="206">
        <v>26</v>
      </c>
      <c r="I540" s="206"/>
      <c r="J540" s="206">
        <v>22</v>
      </c>
      <c r="K540" s="206">
        <v>17</v>
      </c>
      <c r="L540" s="206">
        <v>32</v>
      </c>
      <c r="M540" s="206">
        <v>18</v>
      </c>
      <c r="N540" s="206" t="s">
        <v>427</v>
      </c>
      <c r="O540" s="206">
        <f t="shared" si="268"/>
        <v>101</v>
      </c>
      <c r="P540" s="206">
        <f t="shared" si="269"/>
        <v>89</v>
      </c>
      <c r="Q540" s="206" t="str">
        <f t="shared" si="270"/>
        <v>HL</v>
      </c>
      <c r="R540" s="206" t="str">
        <f t="shared" si="271"/>
        <v>HW</v>
      </c>
      <c r="S540" s="206" t="str">
        <f t="shared" si="272"/>
        <v>HL</v>
      </c>
      <c r="T540" s="206" t="str">
        <f t="shared" si="273"/>
        <v>HW</v>
      </c>
      <c r="U540" s="206" t="str">
        <f t="shared" si="274"/>
        <v>U</v>
      </c>
      <c r="V540" s="206" t="str">
        <f t="shared" si="275"/>
        <v>U</v>
      </c>
      <c r="W540" s="206" t="str">
        <f t="shared" si="276"/>
        <v>O</v>
      </c>
      <c r="X540" s="206" t="str">
        <f t="shared" si="277"/>
        <v>U</v>
      </c>
      <c r="Y540" s="206"/>
      <c r="Z540" s="206">
        <v>52</v>
      </c>
      <c r="AA540" s="206" t="str">
        <f t="shared" si="267"/>
        <v>ORL/BKN</v>
      </c>
    </row>
    <row r="541" spans="1:27" ht="17.100000000000001" x14ac:dyDescent="0.45">
      <c r="A541" s="206">
        <v>200107</v>
      </c>
      <c r="B541" s="44">
        <v>0.375</v>
      </c>
      <c r="C541" s="206" t="s">
        <v>401</v>
      </c>
      <c r="D541" s="206" t="s">
        <v>418</v>
      </c>
      <c r="E541" s="206">
        <v>31</v>
      </c>
      <c r="F541" s="206">
        <v>31</v>
      </c>
      <c r="G541" s="206">
        <v>28</v>
      </c>
      <c r="H541" s="206">
        <v>30</v>
      </c>
      <c r="I541" s="206"/>
      <c r="J541" s="206">
        <v>31</v>
      </c>
      <c r="K541" s="206">
        <v>21</v>
      </c>
      <c r="L541" s="206">
        <v>34</v>
      </c>
      <c r="M541" s="206">
        <v>27</v>
      </c>
      <c r="N541" s="206" t="s">
        <v>427</v>
      </c>
      <c r="O541" s="206">
        <f t="shared" si="268"/>
        <v>120</v>
      </c>
      <c r="P541" s="206">
        <f t="shared" si="269"/>
        <v>113</v>
      </c>
      <c r="Q541" s="206" t="str">
        <f t="shared" si="270"/>
        <v>TT</v>
      </c>
      <c r="R541" s="206" t="str">
        <f t="shared" si="271"/>
        <v>HW</v>
      </c>
      <c r="S541" s="206" t="str">
        <f t="shared" si="272"/>
        <v>HL</v>
      </c>
      <c r="T541" s="206" t="str">
        <f t="shared" si="273"/>
        <v>HW</v>
      </c>
      <c r="U541" s="206" t="str">
        <f t="shared" si="274"/>
        <v>O</v>
      </c>
      <c r="V541" s="206" t="str">
        <f t="shared" si="275"/>
        <v>U</v>
      </c>
      <c r="W541" s="206" t="str">
        <f t="shared" si="276"/>
        <v>O</v>
      </c>
      <c r="X541" s="206" t="str">
        <f t="shared" si="277"/>
        <v>O</v>
      </c>
      <c r="Y541" s="206"/>
      <c r="Z541" s="206">
        <v>55</v>
      </c>
      <c r="AA541" s="206" t="str">
        <f t="shared" si="267"/>
        <v>PHI/OKC</v>
      </c>
    </row>
    <row r="542" spans="1:27" ht="17.100000000000001" x14ac:dyDescent="0.45">
      <c r="A542" s="206">
        <v>200107</v>
      </c>
      <c r="B542" s="44">
        <v>0.375</v>
      </c>
      <c r="C542" s="206" t="s">
        <v>414</v>
      </c>
      <c r="D542" s="206" t="s">
        <v>421</v>
      </c>
      <c r="E542" s="206">
        <v>26</v>
      </c>
      <c r="F542" s="206">
        <v>25</v>
      </c>
      <c r="G542" s="206">
        <v>23</v>
      </c>
      <c r="H542" s="206">
        <v>25</v>
      </c>
      <c r="I542" s="206"/>
      <c r="J542" s="206">
        <v>17</v>
      </c>
      <c r="K542" s="206">
        <v>23</v>
      </c>
      <c r="L542" s="206">
        <v>32</v>
      </c>
      <c r="M542" s="206">
        <v>22</v>
      </c>
      <c r="N542" s="206" t="s">
        <v>427</v>
      </c>
      <c r="O542" s="206">
        <f t="shared" si="268"/>
        <v>99</v>
      </c>
      <c r="P542" s="206">
        <f t="shared" si="269"/>
        <v>94</v>
      </c>
      <c r="Q542" s="206" t="str">
        <f t="shared" si="270"/>
        <v>HW</v>
      </c>
      <c r="R542" s="206" t="str">
        <f t="shared" si="271"/>
        <v>HW</v>
      </c>
      <c r="S542" s="206" t="str">
        <f t="shared" si="272"/>
        <v>HL</v>
      </c>
      <c r="T542" s="206" t="str">
        <f t="shared" si="273"/>
        <v>HW</v>
      </c>
      <c r="U542" s="206" t="str">
        <f t="shared" si="274"/>
        <v>U</v>
      </c>
      <c r="V542" s="206" t="str">
        <f t="shared" si="275"/>
        <v>U</v>
      </c>
      <c r="W542" s="206" t="str">
        <f t="shared" si="276"/>
        <v>T</v>
      </c>
      <c r="X542" s="206" t="str">
        <f t="shared" si="277"/>
        <v>U</v>
      </c>
      <c r="Y542" s="206"/>
      <c r="Z542" s="206">
        <v>55</v>
      </c>
      <c r="AA542" s="206" t="str">
        <f t="shared" si="267"/>
        <v>WAS/BOS</v>
      </c>
    </row>
    <row r="543" spans="1:27" ht="17.100000000000001" x14ac:dyDescent="0.45">
      <c r="A543" s="206">
        <v>200107</v>
      </c>
      <c r="B543" s="44">
        <v>0.375</v>
      </c>
      <c r="C543" s="206" t="s">
        <v>409</v>
      </c>
      <c r="D543" s="206" t="s">
        <v>400</v>
      </c>
      <c r="E543" s="206">
        <v>29</v>
      </c>
      <c r="F543" s="206">
        <v>15</v>
      </c>
      <c r="G543" s="206">
        <v>21</v>
      </c>
      <c r="H543" s="206">
        <v>39</v>
      </c>
      <c r="I543" s="206"/>
      <c r="J543" s="206">
        <v>27</v>
      </c>
      <c r="K543" s="206">
        <v>15</v>
      </c>
      <c r="L543" s="206">
        <v>37</v>
      </c>
      <c r="M543" s="206">
        <v>36</v>
      </c>
      <c r="N543" s="206" t="s">
        <v>427</v>
      </c>
      <c r="O543" s="206">
        <f t="shared" si="268"/>
        <v>104</v>
      </c>
      <c r="P543" s="206">
        <f t="shared" si="269"/>
        <v>115</v>
      </c>
      <c r="Q543" s="206" t="str">
        <f t="shared" si="270"/>
        <v>HW</v>
      </c>
      <c r="R543" s="206" t="str">
        <f t="shared" si="271"/>
        <v>TT</v>
      </c>
      <c r="S543" s="206" t="str">
        <f t="shared" si="272"/>
        <v>HL</v>
      </c>
      <c r="T543" s="206" t="str">
        <f t="shared" si="273"/>
        <v>HW</v>
      </c>
      <c r="U543" s="206" t="str">
        <f t="shared" si="274"/>
        <v>O</v>
      </c>
      <c r="V543" s="206" t="str">
        <f t="shared" si="275"/>
        <v>U</v>
      </c>
      <c r="W543" s="206" t="str">
        <f t="shared" si="276"/>
        <v>O</v>
      </c>
      <c r="X543" s="206" t="str">
        <f t="shared" si="277"/>
        <v>O</v>
      </c>
      <c r="Y543" s="206"/>
      <c r="Z543" s="206">
        <v>54</v>
      </c>
      <c r="AA543" s="206" t="str">
        <f t="shared" si="267"/>
        <v>CHA/IND</v>
      </c>
    </row>
    <row r="544" spans="1:27" ht="17.100000000000001" x14ac:dyDescent="0.45">
      <c r="A544" s="206">
        <v>200107</v>
      </c>
      <c r="B544" s="44">
        <v>0.39583333333333331</v>
      </c>
      <c r="C544" s="206" t="s">
        <v>410</v>
      </c>
      <c r="D544" s="206" t="s">
        <v>408</v>
      </c>
      <c r="E544" s="206">
        <v>31</v>
      </c>
      <c r="F544" s="206">
        <v>25</v>
      </c>
      <c r="G544" s="206">
        <v>30</v>
      </c>
      <c r="H544" s="206">
        <v>29</v>
      </c>
      <c r="I544" s="206"/>
      <c r="J544" s="206">
        <v>29</v>
      </c>
      <c r="K544" s="206">
        <v>35</v>
      </c>
      <c r="L544" s="206">
        <v>27</v>
      </c>
      <c r="M544" s="206">
        <v>32</v>
      </c>
      <c r="N544" s="206" t="s">
        <v>427</v>
      </c>
      <c r="O544" s="206">
        <f t="shared" si="268"/>
        <v>115</v>
      </c>
      <c r="P544" s="206">
        <f t="shared" si="269"/>
        <v>123</v>
      </c>
      <c r="Q544" s="206" t="str">
        <f t="shared" si="270"/>
        <v>HW</v>
      </c>
      <c r="R544" s="206" t="str">
        <f t="shared" si="271"/>
        <v>HL</v>
      </c>
      <c r="S544" s="206" t="str">
        <f t="shared" si="272"/>
        <v>HW</v>
      </c>
      <c r="T544" s="206" t="str">
        <f t="shared" si="273"/>
        <v>HL</v>
      </c>
      <c r="U544" s="206" t="str">
        <f t="shared" si="274"/>
        <v>O</v>
      </c>
      <c r="V544" s="206" t="str">
        <f t="shared" si="275"/>
        <v>O</v>
      </c>
      <c r="W544" s="206" t="str">
        <f t="shared" si="276"/>
        <v>U</v>
      </c>
      <c r="X544" s="206" t="str">
        <f t="shared" si="277"/>
        <v>O</v>
      </c>
      <c r="Y544" s="206"/>
      <c r="Z544" s="206">
        <v>58</v>
      </c>
      <c r="AA544" s="206" t="str">
        <f t="shared" si="267"/>
        <v>ATL/DEN</v>
      </c>
    </row>
    <row r="545" spans="1:27" ht="17.100000000000001" x14ac:dyDescent="0.45">
      <c r="A545" s="206">
        <v>200107</v>
      </c>
      <c r="B545" s="44">
        <v>0.41666666666666669</v>
      </c>
      <c r="C545" s="206" t="s">
        <v>398</v>
      </c>
      <c r="D545" s="206" t="s">
        <v>405</v>
      </c>
      <c r="E545" s="206">
        <v>36</v>
      </c>
      <c r="F545" s="206">
        <v>28</v>
      </c>
      <c r="G545" s="206">
        <v>33</v>
      </c>
      <c r="H545" s="206">
        <v>29</v>
      </c>
      <c r="I545" s="206"/>
      <c r="J545" s="206">
        <v>35</v>
      </c>
      <c r="K545" s="206">
        <v>33</v>
      </c>
      <c r="L545" s="206">
        <v>27</v>
      </c>
      <c r="M545" s="206">
        <v>33</v>
      </c>
      <c r="N545" s="206" t="s">
        <v>427</v>
      </c>
      <c r="O545" s="206">
        <f t="shared" si="268"/>
        <v>126</v>
      </c>
      <c r="P545" s="206">
        <f t="shared" si="269"/>
        <v>128</v>
      </c>
      <c r="Q545" s="206" t="str">
        <f t="shared" si="270"/>
        <v>HW</v>
      </c>
      <c r="R545" s="206" t="str">
        <f t="shared" si="271"/>
        <v>HL</v>
      </c>
      <c r="S545" s="206" t="str">
        <f t="shared" si="272"/>
        <v>HW</v>
      </c>
      <c r="T545" s="206" t="str">
        <f t="shared" si="273"/>
        <v>HL</v>
      </c>
      <c r="U545" s="206" t="str">
        <f t="shared" si="274"/>
        <v>O</v>
      </c>
      <c r="V545" s="206" t="str">
        <f t="shared" si="275"/>
        <v>O</v>
      </c>
      <c r="W545" s="206" t="str">
        <f t="shared" si="276"/>
        <v>O</v>
      </c>
      <c r="X545" s="206" t="str">
        <f t="shared" si="277"/>
        <v>O</v>
      </c>
      <c r="Y545" s="206"/>
      <c r="Z545" s="206">
        <v>54</v>
      </c>
      <c r="AA545" s="206" t="str">
        <f t="shared" si="267"/>
        <v>NO/UTA</v>
      </c>
    </row>
    <row r="546" spans="1:27" ht="17.100000000000001" x14ac:dyDescent="0.45">
      <c r="A546" s="206">
        <v>200107</v>
      </c>
      <c r="B546" s="44">
        <v>0.4375</v>
      </c>
      <c r="C546" s="206" t="s">
        <v>397</v>
      </c>
      <c r="D546" s="206" t="s">
        <v>412</v>
      </c>
      <c r="E546" s="206">
        <v>33</v>
      </c>
      <c r="F546" s="206">
        <v>28</v>
      </c>
      <c r="G546" s="206">
        <v>27</v>
      </c>
      <c r="H546" s="206">
        <v>30</v>
      </c>
      <c r="I546" s="206"/>
      <c r="J546" s="206">
        <v>27</v>
      </c>
      <c r="K546" s="206">
        <v>28</v>
      </c>
      <c r="L546" s="206">
        <v>27</v>
      </c>
      <c r="M546" s="206">
        <v>28</v>
      </c>
      <c r="N546" s="206" t="s">
        <v>427</v>
      </c>
      <c r="O546" s="206">
        <f t="shared" si="268"/>
        <v>118</v>
      </c>
      <c r="P546" s="206">
        <f t="shared" si="269"/>
        <v>110</v>
      </c>
      <c r="Q546" s="206" t="str">
        <f t="shared" si="270"/>
        <v>HW</v>
      </c>
      <c r="R546" s="206" t="str">
        <f t="shared" si="271"/>
        <v>TT</v>
      </c>
      <c r="S546" s="206" t="str">
        <f t="shared" si="272"/>
        <v>TT</v>
      </c>
      <c r="T546" s="206" t="str">
        <f t="shared" si="273"/>
        <v>HW</v>
      </c>
      <c r="U546" s="206" t="str">
        <f t="shared" si="274"/>
        <v>O</v>
      </c>
      <c r="V546" s="206" t="str">
        <f t="shared" si="275"/>
        <v>T</v>
      </c>
      <c r="W546" s="206" t="str">
        <f t="shared" si="276"/>
        <v>U</v>
      </c>
      <c r="X546" s="206" t="str">
        <f t="shared" si="277"/>
        <v>O</v>
      </c>
      <c r="Y546" s="206"/>
      <c r="Z546" s="206">
        <v>56</v>
      </c>
      <c r="AA546" s="206" t="str">
        <f t="shared" si="267"/>
        <v>DAL/CHI</v>
      </c>
    </row>
    <row r="547" spans="1:27" ht="17.100000000000001" x14ac:dyDescent="0.45">
      <c r="A547" s="206">
        <v>200107</v>
      </c>
      <c r="B547" s="44">
        <v>0.4375</v>
      </c>
      <c r="C547" s="206" t="s">
        <v>426</v>
      </c>
      <c r="D547" s="206" t="s">
        <v>423</v>
      </c>
      <c r="E547" s="206">
        <v>27</v>
      </c>
      <c r="F547" s="206">
        <v>38</v>
      </c>
      <c r="G547" s="206">
        <v>26</v>
      </c>
      <c r="H547" s="206">
        <v>35</v>
      </c>
      <c r="I547" s="206"/>
      <c r="J547" s="206">
        <v>22</v>
      </c>
      <c r="K547" s="206">
        <v>30</v>
      </c>
      <c r="L547" s="206">
        <v>29</v>
      </c>
      <c r="M547" s="206">
        <v>23</v>
      </c>
      <c r="N547" s="206" t="s">
        <v>427</v>
      </c>
      <c r="O547" s="206">
        <f t="shared" si="268"/>
        <v>126</v>
      </c>
      <c r="P547" s="206">
        <f t="shared" si="269"/>
        <v>104</v>
      </c>
      <c r="Q547" s="206" t="str">
        <f t="shared" si="270"/>
        <v>HW</v>
      </c>
      <c r="R547" s="206" t="str">
        <f t="shared" si="271"/>
        <v>HW</v>
      </c>
      <c r="S547" s="206" t="str">
        <f t="shared" si="272"/>
        <v>HL</v>
      </c>
      <c r="T547" s="206" t="str">
        <f t="shared" si="273"/>
        <v>HW</v>
      </c>
      <c r="U547" s="206" t="str">
        <f t="shared" si="274"/>
        <v>U</v>
      </c>
      <c r="V547" s="206" t="str">
        <f t="shared" si="275"/>
        <v>O</v>
      </c>
      <c r="W547" s="206" t="str">
        <f t="shared" si="276"/>
        <v>U</v>
      </c>
      <c r="X547" s="206" t="str">
        <f t="shared" si="277"/>
        <v>O</v>
      </c>
      <c r="Y547" s="206"/>
      <c r="Z547" s="206">
        <v>56.5</v>
      </c>
      <c r="AA547" s="206" t="str">
        <f t="shared" si="267"/>
        <v>SAS/MIL</v>
      </c>
    </row>
    <row r="548" spans="1:27" ht="17.100000000000001" x14ac:dyDescent="0.45">
      <c r="A548" s="206">
        <v>200107</v>
      </c>
      <c r="B548" s="44">
        <v>0.5</v>
      </c>
      <c r="C548" s="206" t="s">
        <v>416</v>
      </c>
      <c r="D548" s="206" t="s">
        <v>425</v>
      </c>
      <c r="E548" s="206">
        <v>26</v>
      </c>
      <c r="F548" s="206">
        <v>26</v>
      </c>
      <c r="G548" s="206">
        <v>38</v>
      </c>
      <c r="H548" s="206">
        <v>21</v>
      </c>
      <c r="I548" s="206"/>
      <c r="J548" s="206">
        <v>19</v>
      </c>
      <c r="K548" s="206">
        <v>21</v>
      </c>
      <c r="L548" s="206">
        <v>24</v>
      </c>
      <c r="M548" s="206">
        <v>34</v>
      </c>
      <c r="N548" s="206" t="s">
        <v>427</v>
      </c>
      <c r="O548" s="206">
        <f t="shared" si="268"/>
        <v>111</v>
      </c>
      <c r="P548" s="206">
        <f t="shared" si="269"/>
        <v>98</v>
      </c>
      <c r="Q548" s="206" t="str">
        <f t="shared" si="270"/>
        <v>HW</v>
      </c>
      <c r="R548" s="206" t="str">
        <f t="shared" si="271"/>
        <v>HW</v>
      </c>
      <c r="S548" s="206" t="str">
        <f t="shared" si="272"/>
        <v>HW</v>
      </c>
      <c r="T548" s="206" t="str">
        <f t="shared" si="273"/>
        <v>HL</v>
      </c>
      <c r="U548" s="206" t="str">
        <f t="shared" si="274"/>
        <v>U</v>
      </c>
      <c r="V548" s="206" t="str">
        <f t="shared" si="275"/>
        <v>U</v>
      </c>
      <c r="W548" s="206" t="str">
        <f t="shared" si="276"/>
        <v>O</v>
      </c>
      <c r="X548" s="206" t="str">
        <f t="shared" si="277"/>
        <v>T</v>
      </c>
      <c r="Y548" s="206"/>
      <c r="Z548" s="206">
        <v>55</v>
      </c>
      <c r="AA548" s="206" t="str">
        <f t="shared" si="267"/>
        <v>SAC/GS</v>
      </c>
    </row>
    <row r="549" spans="1:27" ht="17.100000000000001" x14ac:dyDescent="0.45">
      <c r="A549" s="206">
        <v>200108</v>
      </c>
      <c r="B549" s="44">
        <v>0.375</v>
      </c>
      <c r="C549" s="206" t="s">
        <v>402</v>
      </c>
      <c r="D549" s="206" t="s">
        <v>422</v>
      </c>
      <c r="E549" s="206">
        <v>29</v>
      </c>
      <c r="F549" s="206">
        <v>38</v>
      </c>
      <c r="G549" s="206">
        <v>28</v>
      </c>
      <c r="H549" s="206">
        <v>18</v>
      </c>
      <c r="I549" s="206"/>
      <c r="J549" s="206">
        <v>27</v>
      </c>
      <c r="K549" s="206">
        <v>27</v>
      </c>
      <c r="L549" s="206">
        <v>30</v>
      </c>
      <c r="M549" s="206">
        <v>31</v>
      </c>
      <c r="N549" s="206" t="s">
        <v>427</v>
      </c>
      <c r="O549" s="206">
        <f t="shared" si="268"/>
        <v>113</v>
      </c>
      <c r="P549" s="206">
        <f t="shared" si="269"/>
        <v>115</v>
      </c>
      <c r="Q549" s="206" t="str">
        <f t="shared" si="270"/>
        <v>HW</v>
      </c>
      <c r="R549" s="206" t="str">
        <f t="shared" si="271"/>
        <v>HW</v>
      </c>
      <c r="S549" s="206" t="str">
        <f t="shared" si="272"/>
        <v>HL</v>
      </c>
      <c r="T549" s="206" t="str">
        <f t="shared" si="273"/>
        <v>HL</v>
      </c>
      <c r="U549" s="206" t="str">
        <f t="shared" si="274"/>
        <v>U</v>
      </c>
      <c r="V549" s="206" t="str">
        <f t="shared" si="275"/>
        <v>O</v>
      </c>
      <c r="W549" s="206" t="str">
        <f t="shared" si="276"/>
        <v>O</v>
      </c>
      <c r="X549" s="206" t="str">
        <f t="shared" si="277"/>
        <v>U</v>
      </c>
      <c r="Y549" s="206"/>
      <c r="Z549" s="206">
        <v>56.5</v>
      </c>
      <c r="AA549" s="206" t="str">
        <f t="shared" si="267"/>
        <v>CLE/DET</v>
      </c>
    </row>
    <row r="550" spans="1:27" ht="17.100000000000001" x14ac:dyDescent="0.45">
      <c r="A550" s="206">
        <v>200108</v>
      </c>
      <c r="B550" s="44">
        <v>0.375</v>
      </c>
      <c r="C550" s="206" t="s">
        <v>413</v>
      </c>
      <c r="D550" s="206" t="s">
        <v>417</v>
      </c>
      <c r="E550" s="206">
        <v>24</v>
      </c>
      <c r="F550" s="206">
        <v>32</v>
      </c>
      <c r="G550" s="206">
        <v>22</v>
      </c>
      <c r="H550" s="206">
        <v>21</v>
      </c>
      <c r="I550" s="206"/>
      <c r="J550" s="206">
        <v>15</v>
      </c>
      <c r="K550" s="206">
        <v>31</v>
      </c>
      <c r="L550" s="206">
        <v>23</v>
      </c>
      <c r="M550" s="206">
        <v>32</v>
      </c>
      <c r="N550" s="206" t="s">
        <v>427</v>
      </c>
      <c r="O550" s="206">
        <f t="shared" si="268"/>
        <v>99</v>
      </c>
      <c r="P550" s="206">
        <f t="shared" si="269"/>
        <v>101</v>
      </c>
      <c r="Q550" s="206" t="str">
        <f t="shared" si="270"/>
        <v>HW</v>
      </c>
      <c r="R550" s="206" t="str">
        <f t="shared" si="271"/>
        <v>HW</v>
      </c>
      <c r="S550" s="206" t="str">
        <f t="shared" si="272"/>
        <v>HL</v>
      </c>
      <c r="T550" s="206" t="str">
        <f t="shared" si="273"/>
        <v>HL</v>
      </c>
      <c r="U550" s="206" t="str">
        <f t="shared" si="274"/>
        <v>U</v>
      </c>
      <c r="V550" s="206" t="str">
        <f t="shared" si="275"/>
        <v>O</v>
      </c>
      <c r="W550" s="206" t="str">
        <f t="shared" si="276"/>
        <v>U</v>
      </c>
      <c r="X550" s="206" t="str">
        <f t="shared" si="277"/>
        <v>U</v>
      </c>
      <c r="Y550" s="206"/>
      <c r="Z550" s="206">
        <v>57.5</v>
      </c>
      <c r="AA550" s="206" t="str">
        <f t="shared" si="267"/>
        <v>TOR/POR</v>
      </c>
    </row>
    <row r="551" spans="1:27" ht="17.100000000000001" x14ac:dyDescent="0.45">
      <c r="A551" s="206">
        <v>200108</v>
      </c>
      <c r="B551" s="44">
        <v>0.39583333333333331</v>
      </c>
      <c r="C551" s="206" t="s">
        <v>407</v>
      </c>
      <c r="D551" s="206" t="s">
        <v>418</v>
      </c>
      <c r="E551" s="206">
        <v>23</v>
      </c>
      <c r="F551" s="206">
        <v>25</v>
      </c>
      <c r="G551" s="206">
        <v>29</v>
      </c>
      <c r="H551" s="206">
        <v>24</v>
      </c>
      <c r="I551" s="206">
        <v>2</v>
      </c>
      <c r="J551" s="206">
        <v>27</v>
      </c>
      <c r="K551" s="206">
        <v>22</v>
      </c>
      <c r="L551" s="206">
        <v>25</v>
      </c>
      <c r="M551" s="206">
        <v>27</v>
      </c>
      <c r="N551" s="206">
        <v>10</v>
      </c>
      <c r="O551" s="206">
        <f t="shared" si="268"/>
        <v>103</v>
      </c>
      <c r="P551" s="206">
        <f t="shared" si="269"/>
        <v>111</v>
      </c>
      <c r="Q551" s="206" t="str">
        <f t="shared" si="270"/>
        <v>HL</v>
      </c>
      <c r="R551" s="206" t="str">
        <f t="shared" si="271"/>
        <v>HW</v>
      </c>
      <c r="S551" s="206" t="str">
        <f t="shared" si="272"/>
        <v>HW</v>
      </c>
      <c r="T551" s="206" t="str">
        <f t="shared" si="273"/>
        <v>HL</v>
      </c>
      <c r="U551" s="206" t="str">
        <f t="shared" si="274"/>
        <v>U</v>
      </c>
      <c r="V551" s="206" t="str">
        <f t="shared" si="275"/>
        <v>U</v>
      </c>
      <c r="W551" s="206" t="str">
        <f t="shared" si="276"/>
        <v>U</v>
      </c>
      <c r="X551" s="206" t="str">
        <f t="shared" si="277"/>
        <v>U</v>
      </c>
      <c r="Y551" s="206"/>
      <c r="Z551" s="206">
        <v>55.5</v>
      </c>
      <c r="AA551" s="206" t="str">
        <f t="shared" si="267"/>
        <v>BKN/OKC</v>
      </c>
    </row>
    <row r="552" spans="1:27" ht="17.100000000000001" x14ac:dyDescent="0.45">
      <c r="A552" s="206">
        <v>200108</v>
      </c>
      <c r="B552" s="44">
        <v>0.41666666666666669</v>
      </c>
      <c r="C552" s="206" t="s">
        <v>406</v>
      </c>
      <c r="D552" s="206" t="s">
        <v>420</v>
      </c>
      <c r="E552" s="206">
        <v>27</v>
      </c>
      <c r="F552" s="206">
        <v>24</v>
      </c>
      <c r="G552" s="206">
        <v>31</v>
      </c>
      <c r="H552" s="206">
        <v>37</v>
      </c>
      <c r="I552" s="206"/>
      <c r="J552" s="206">
        <v>32</v>
      </c>
      <c r="K552" s="206">
        <v>24</v>
      </c>
      <c r="L552" s="206">
        <v>28</v>
      </c>
      <c r="M552" s="206">
        <v>28</v>
      </c>
      <c r="N552" s="206" t="s">
        <v>427</v>
      </c>
      <c r="O552" s="206">
        <f t="shared" si="268"/>
        <v>119</v>
      </c>
      <c r="P552" s="206">
        <f t="shared" si="269"/>
        <v>112</v>
      </c>
      <c r="Q552" s="206" t="str">
        <f t="shared" si="270"/>
        <v>HL</v>
      </c>
      <c r="R552" s="206" t="str">
        <f t="shared" si="271"/>
        <v>TT</v>
      </c>
      <c r="S552" s="206" t="str">
        <f t="shared" si="272"/>
        <v>HW</v>
      </c>
      <c r="T552" s="206" t="str">
        <f t="shared" si="273"/>
        <v>HW</v>
      </c>
      <c r="U552" s="206" t="str">
        <f t="shared" si="274"/>
        <v>O</v>
      </c>
      <c r="V552" s="206" t="str">
        <f t="shared" si="275"/>
        <v>U</v>
      </c>
      <c r="W552" s="206" t="str">
        <f t="shared" si="276"/>
        <v>O</v>
      </c>
      <c r="X552" s="206" t="str">
        <f t="shared" si="277"/>
        <v>O</v>
      </c>
      <c r="Y552" s="206"/>
      <c r="Z552" s="206">
        <v>58.5</v>
      </c>
      <c r="AA552" s="206" t="str">
        <f t="shared" si="267"/>
        <v>MEM/MIN</v>
      </c>
    </row>
    <row r="553" spans="1:27" ht="17.100000000000001" x14ac:dyDescent="0.45">
      <c r="A553" s="206">
        <v>200108</v>
      </c>
      <c r="B553" s="44">
        <v>0.45833333333333331</v>
      </c>
      <c r="C553" s="206" t="s">
        <v>404</v>
      </c>
      <c r="D553" s="206" t="s">
        <v>416</v>
      </c>
      <c r="E553" s="206">
        <v>29</v>
      </c>
      <c r="F553" s="206">
        <v>24</v>
      </c>
      <c r="G553" s="206">
        <v>34</v>
      </c>
      <c r="H553" s="206">
        <v>16</v>
      </c>
      <c r="I553" s="206"/>
      <c r="J553" s="206">
        <v>26</v>
      </c>
      <c r="K553" s="206">
        <v>27</v>
      </c>
      <c r="L553" s="206">
        <v>25</v>
      </c>
      <c r="M553" s="206">
        <v>36</v>
      </c>
      <c r="N553" s="206" t="s">
        <v>427</v>
      </c>
      <c r="O553" s="206">
        <f t="shared" si="268"/>
        <v>103</v>
      </c>
      <c r="P553" s="206">
        <f t="shared" si="269"/>
        <v>114</v>
      </c>
      <c r="Q553" s="206" t="str">
        <f t="shared" si="270"/>
        <v>HW</v>
      </c>
      <c r="R553" s="206" t="str">
        <f t="shared" si="271"/>
        <v>HL</v>
      </c>
      <c r="S553" s="206" t="str">
        <f t="shared" si="272"/>
        <v>HW</v>
      </c>
      <c r="T553" s="206" t="str">
        <f t="shared" si="273"/>
        <v>HL</v>
      </c>
      <c r="U553" s="206" t="str">
        <f t="shared" si="274"/>
        <v>U</v>
      </c>
      <c r="V553" s="206" t="str">
        <f t="shared" si="275"/>
        <v>U</v>
      </c>
      <c r="W553" s="206" t="str">
        <f t="shared" si="276"/>
        <v>O</v>
      </c>
      <c r="X553" s="206" t="str">
        <f t="shared" si="277"/>
        <v>U</v>
      </c>
      <c r="Y553" s="206"/>
      <c r="Z553" s="206">
        <v>58</v>
      </c>
      <c r="AA553" s="206" t="str">
        <f t="shared" si="267"/>
        <v>PHO/SAC</v>
      </c>
    </row>
    <row r="554" spans="1:27" ht="17.100000000000001" x14ac:dyDescent="0.45">
      <c r="A554" s="206">
        <v>200108</v>
      </c>
      <c r="B554" s="44">
        <v>0.52083333333333337</v>
      </c>
      <c r="C554" s="206" t="s">
        <v>419</v>
      </c>
      <c r="D554" s="206" t="s">
        <v>399</v>
      </c>
      <c r="E554" s="206">
        <v>26</v>
      </c>
      <c r="F554" s="206">
        <v>36</v>
      </c>
      <c r="G554" s="206">
        <v>23</v>
      </c>
      <c r="H554" s="206">
        <v>32</v>
      </c>
      <c r="I554" s="206"/>
      <c r="J554" s="206">
        <v>21</v>
      </c>
      <c r="K554" s="206">
        <v>24</v>
      </c>
      <c r="L554" s="206">
        <v>25</v>
      </c>
      <c r="M554" s="206">
        <v>17</v>
      </c>
      <c r="N554" s="206" t="s">
        <v>427</v>
      </c>
      <c r="O554" s="206">
        <f t="shared" si="268"/>
        <v>117</v>
      </c>
      <c r="P554" s="206">
        <f t="shared" si="269"/>
        <v>87</v>
      </c>
      <c r="Q554" s="206" t="str">
        <f t="shared" si="270"/>
        <v>HW</v>
      </c>
      <c r="R554" s="206" t="str">
        <f t="shared" si="271"/>
        <v>HW</v>
      </c>
      <c r="S554" s="206" t="str">
        <f t="shared" si="272"/>
        <v>HL</v>
      </c>
      <c r="T554" s="206" t="str">
        <f t="shared" si="273"/>
        <v>HW</v>
      </c>
      <c r="U554" s="206" t="str">
        <f t="shared" si="274"/>
        <v>U</v>
      </c>
      <c r="V554" s="206" t="str">
        <f t="shared" si="275"/>
        <v>O</v>
      </c>
      <c r="W554" s="206" t="str">
        <f t="shared" si="276"/>
        <v>U</v>
      </c>
      <c r="X554" s="206" t="str">
        <f t="shared" si="277"/>
        <v>U</v>
      </c>
      <c r="Y554" s="206"/>
      <c r="Z554" s="206">
        <v>57.5</v>
      </c>
      <c r="AA554" s="206" t="str">
        <f t="shared" si="267"/>
        <v>LAL/NYK</v>
      </c>
    </row>
    <row r="555" spans="1:27" ht="17.100000000000001" x14ac:dyDescent="0.45">
      <c r="A555" s="206">
        <v>200109</v>
      </c>
      <c r="B555" s="44">
        <v>0.375</v>
      </c>
      <c r="C555" s="206" t="s">
        <v>421</v>
      </c>
      <c r="D555" s="206" t="s">
        <v>426</v>
      </c>
      <c r="E555" s="206">
        <v>22</v>
      </c>
      <c r="F555" s="206">
        <v>25</v>
      </c>
      <c r="G555" s="206">
        <v>36</v>
      </c>
      <c r="H555" s="206">
        <v>31</v>
      </c>
      <c r="I555" s="206"/>
      <c r="J555" s="206">
        <v>34</v>
      </c>
      <c r="K555" s="206">
        <v>31</v>
      </c>
      <c r="L555" s="206">
        <v>34</v>
      </c>
      <c r="M555" s="206">
        <v>30</v>
      </c>
      <c r="N555" s="206" t="s">
        <v>427</v>
      </c>
      <c r="O555" s="206">
        <f t="shared" si="268"/>
        <v>114</v>
      </c>
      <c r="P555" s="206">
        <f t="shared" si="269"/>
        <v>129</v>
      </c>
      <c r="Q555" s="206" t="str">
        <f t="shared" si="270"/>
        <v>HL</v>
      </c>
      <c r="R555" s="206" t="str">
        <f t="shared" si="271"/>
        <v>HL</v>
      </c>
      <c r="S555" s="206" t="str">
        <f t="shared" si="272"/>
        <v>HW</v>
      </c>
      <c r="T555" s="206" t="str">
        <f t="shared" si="273"/>
        <v>HW</v>
      </c>
      <c r="U555" s="206" t="str">
        <f t="shared" si="274"/>
        <v>O</v>
      </c>
      <c r="V555" s="206" t="str">
        <f t="shared" si="275"/>
        <v>O</v>
      </c>
      <c r="W555" s="206" t="str">
        <f t="shared" si="276"/>
        <v>O</v>
      </c>
      <c r="X555" s="206" t="str">
        <f t="shared" si="277"/>
        <v>O</v>
      </c>
      <c r="Y555" s="206"/>
      <c r="Z555" s="206">
        <v>54</v>
      </c>
      <c r="AA555" s="206" t="str">
        <f t="shared" si="267"/>
        <v>BOS/SAS</v>
      </c>
    </row>
    <row r="556" spans="1:27" ht="17.100000000000001" x14ac:dyDescent="0.45">
      <c r="A556" s="206">
        <v>200109</v>
      </c>
      <c r="B556" s="44">
        <v>0.375</v>
      </c>
      <c r="C556" s="206" t="s">
        <v>400</v>
      </c>
      <c r="D556" s="206" t="s">
        <v>411</v>
      </c>
      <c r="E556" s="206">
        <v>23</v>
      </c>
      <c r="F556" s="206">
        <v>26</v>
      </c>
      <c r="G556" s="206">
        <v>23</v>
      </c>
      <c r="H556" s="206">
        <v>36</v>
      </c>
      <c r="I556" s="206"/>
      <c r="J556" s="206">
        <v>31</v>
      </c>
      <c r="K556" s="206">
        <v>31</v>
      </c>
      <c r="L556" s="206">
        <v>38</v>
      </c>
      <c r="M556" s="206">
        <v>22</v>
      </c>
      <c r="N556" s="206" t="s">
        <v>427</v>
      </c>
      <c r="O556" s="206">
        <f t="shared" si="268"/>
        <v>108</v>
      </c>
      <c r="P556" s="206">
        <f t="shared" si="269"/>
        <v>122</v>
      </c>
      <c r="Q556" s="206" t="str">
        <f t="shared" si="270"/>
        <v>HL</v>
      </c>
      <c r="R556" s="206" t="str">
        <f t="shared" si="271"/>
        <v>HL</v>
      </c>
      <c r="S556" s="206" t="str">
        <f t="shared" si="272"/>
        <v>HL</v>
      </c>
      <c r="T556" s="206" t="str">
        <f t="shared" si="273"/>
        <v>HW</v>
      </c>
      <c r="U556" s="206" t="str">
        <f t="shared" si="274"/>
        <v>U</v>
      </c>
      <c r="V556" s="206" t="str">
        <f t="shared" si="275"/>
        <v>O</v>
      </c>
      <c r="W556" s="206" t="str">
        <f t="shared" si="276"/>
        <v>O</v>
      </c>
      <c r="X556" s="206" t="str">
        <f t="shared" si="277"/>
        <v>O</v>
      </c>
      <c r="Y556" s="206"/>
      <c r="Z556" s="206">
        <v>54.5</v>
      </c>
      <c r="AA556" s="206" t="str">
        <f t="shared" si="267"/>
        <v>IND/MIA</v>
      </c>
    </row>
    <row r="557" spans="1:27" ht="17.100000000000001" x14ac:dyDescent="0.45">
      <c r="A557" s="206">
        <v>200109</v>
      </c>
      <c r="B557" s="44">
        <v>0.375</v>
      </c>
      <c r="C557" s="206" t="s">
        <v>424</v>
      </c>
      <c r="D557" s="206" t="s">
        <v>414</v>
      </c>
      <c r="E557" s="206">
        <v>32</v>
      </c>
      <c r="F557" s="206">
        <v>37</v>
      </c>
      <c r="G557" s="206">
        <v>28</v>
      </c>
      <c r="H557" s="206">
        <v>26</v>
      </c>
      <c r="I557" s="206"/>
      <c r="J557" s="206">
        <v>23</v>
      </c>
      <c r="K557" s="206">
        <v>29</v>
      </c>
      <c r="L557" s="206">
        <v>20</v>
      </c>
      <c r="M557" s="206">
        <v>17</v>
      </c>
      <c r="N557" s="206" t="s">
        <v>427</v>
      </c>
      <c r="O557" s="206">
        <f t="shared" si="268"/>
        <v>123</v>
      </c>
      <c r="P557" s="206">
        <f t="shared" si="269"/>
        <v>89</v>
      </c>
      <c r="Q557" s="206" t="str">
        <f t="shared" si="270"/>
        <v>HW</v>
      </c>
      <c r="R557" s="206" t="str">
        <f t="shared" si="271"/>
        <v>HW</v>
      </c>
      <c r="S557" s="206" t="str">
        <f t="shared" si="272"/>
        <v>HW</v>
      </c>
      <c r="T557" s="206" t="str">
        <f t="shared" si="273"/>
        <v>HW</v>
      </c>
      <c r="U557" s="206" t="str">
        <f t="shared" si="274"/>
        <v>U</v>
      </c>
      <c r="V557" s="206" t="str">
        <f t="shared" si="275"/>
        <v>O</v>
      </c>
      <c r="W557" s="206" t="str">
        <f t="shared" si="276"/>
        <v>U</v>
      </c>
      <c r="X557" s="206" t="str">
        <f t="shared" si="277"/>
        <v>U</v>
      </c>
      <c r="Y557" s="206"/>
      <c r="Z557" s="206">
        <v>56.5</v>
      </c>
      <c r="AA557" s="206" t="str">
        <f t="shared" si="267"/>
        <v>ORL/WAS</v>
      </c>
    </row>
    <row r="558" spans="1:27" ht="17.100000000000001" x14ac:dyDescent="0.45">
      <c r="A558" s="206">
        <v>200109</v>
      </c>
      <c r="B558" s="44">
        <v>0.375</v>
      </c>
      <c r="C558" s="206" t="s">
        <v>409</v>
      </c>
      <c r="D558" s="206" t="s">
        <v>413</v>
      </c>
      <c r="E558" s="206">
        <v>31</v>
      </c>
      <c r="F558" s="206">
        <v>24</v>
      </c>
      <c r="G558" s="206">
        <v>26</v>
      </c>
      <c r="H558" s="206">
        <v>19</v>
      </c>
      <c r="I558" s="206">
        <v>10</v>
      </c>
      <c r="J558" s="206">
        <v>29</v>
      </c>
      <c r="K558" s="206">
        <v>31</v>
      </c>
      <c r="L558" s="206">
        <v>22</v>
      </c>
      <c r="M558" s="206">
        <v>18</v>
      </c>
      <c r="N558" s="206">
        <v>12</v>
      </c>
      <c r="O558" s="206">
        <f t="shared" si="268"/>
        <v>110</v>
      </c>
      <c r="P558" s="206">
        <f t="shared" si="269"/>
        <v>112</v>
      </c>
      <c r="Q558" s="206" t="str">
        <f t="shared" si="270"/>
        <v>HW</v>
      </c>
      <c r="R558" s="206" t="str">
        <f t="shared" si="271"/>
        <v>HL</v>
      </c>
      <c r="S558" s="206" t="str">
        <f t="shared" si="272"/>
        <v>HW</v>
      </c>
      <c r="T558" s="206" t="str">
        <f t="shared" si="273"/>
        <v>HW</v>
      </c>
      <c r="U558" s="206" t="str">
        <f t="shared" si="274"/>
        <v>O</v>
      </c>
      <c r="V558" s="206" t="str">
        <f t="shared" si="275"/>
        <v>O</v>
      </c>
      <c r="W558" s="206" t="str">
        <f t="shared" si="276"/>
        <v>U</v>
      </c>
      <c r="X558" s="206" t="str">
        <f t="shared" si="277"/>
        <v>U</v>
      </c>
      <c r="Y558" s="206"/>
      <c r="Z558" s="206">
        <v>53.5</v>
      </c>
      <c r="AA558" s="206" t="str">
        <f t="shared" si="267"/>
        <v>CHA/TOR</v>
      </c>
    </row>
    <row r="559" spans="1:27" ht="17.100000000000001" x14ac:dyDescent="0.45">
      <c r="A559" s="206">
        <v>200109</v>
      </c>
      <c r="B559" s="44">
        <v>0.39583333333333331</v>
      </c>
      <c r="C559" s="206" t="s">
        <v>410</v>
      </c>
      <c r="D559" s="206" t="s">
        <v>403</v>
      </c>
      <c r="E559" s="206">
        <v>29</v>
      </c>
      <c r="F559" s="206">
        <v>33</v>
      </c>
      <c r="G559" s="206">
        <v>23</v>
      </c>
      <c r="H559" s="206">
        <v>30</v>
      </c>
      <c r="I559" s="206"/>
      <c r="J559" s="206">
        <v>45</v>
      </c>
      <c r="K559" s="206">
        <v>32</v>
      </c>
      <c r="L559" s="206">
        <v>22</v>
      </c>
      <c r="M559" s="206">
        <v>23</v>
      </c>
      <c r="N559" s="206" t="s">
        <v>427</v>
      </c>
      <c r="O559" s="206">
        <f t="shared" si="268"/>
        <v>115</v>
      </c>
      <c r="P559" s="206">
        <f t="shared" si="269"/>
        <v>122</v>
      </c>
      <c r="Q559" s="206" t="str">
        <f t="shared" si="270"/>
        <v>HL</v>
      </c>
      <c r="R559" s="206" t="str">
        <f t="shared" si="271"/>
        <v>HW</v>
      </c>
      <c r="S559" s="206" t="str">
        <f t="shared" si="272"/>
        <v>HW</v>
      </c>
      <c r="T559" s="206" t="str">
        <f t="shared" si="273"/>
        <v>HW</v>
      </c>
      <c r="U559" s="206" t="str">
        <f t="shared" si="274"/>
        <v>O</v>
      </c>
      <c r="V559" s="206" t="str">
        <f t="shared" si="275"/>
        <v>O</v>
      </c>
      <c r="W559" s="206" t="str">
        <f t="shared" si="276"/>
        <v>U</v>
      </c>
      <c r="X559" s="206" t="str">
        <f t="shared" si="277"/>
        <v>U</v>
      </c>
      <c r="Y559" s="206"/>
      <c r="Z559" s="206">
        <v>60.5</v>
      </c>
      <c r="AA559" s="206" t="str">
        <f t="shared" si="267"/>
        <v>ATL/HOU</v>
      </c>
    </row>
    <row r="560" spans="1:27" ht="17.100000000000001" x14ac:dyDescent="0.45">
      <c r="A560" s="206">
        <v>200109</v>
      </c>
      <c r="B560" s="44">
        <v>0.39583333333333331</v>
      </c>
      <c r="C560" s="206" t="s">
        <v>397</v>
      </c>
      <c r="D560" s="206" t="s">
        <v>408</v>
      </c>
      <c r="E560" s="206">
        <v>32</v>
      </c>
      <c r="F560" s="206">
        <v>27</v>
      </c>
      <c r="G560" s="206">
        <v>30</v>
      </c>
      <c r="H560" s="206">
        <v>17</v>
      </c>
      <c r="I560" s="206"/>
      <c r="J560" s="206">
        <v>27</v>
      </c>
      <c r="K560" s="206">
        <v>29</v>
      </c>
      <c r="L560" s="206">
        <v>30</v>
      </c>
      <c r="M560" s="206">
        <v>21</v>
      </c>
      <c r="N560" s="206" t="s">
        <v>427</v>
      </c>
      <c r="O560" s="206">
        <f t="shared" si="268"/>
        <v>106</v>
      </c>
      <c r="P560" s="206">
        <f t="shared" si="269"/>
        <v>107</v>
      </c>
      <c r="Q560" s="206" t="str">
        <f t="shared" si="270"/>
        <v>HW</v>
      </c>
      <c r="R560" s="206" t="str">
        <f t="shared" si="271"/>
        <v>HL</v>
      </c>
      <c r="S560" s="206" t="str">
        <f t="shared" si="272"/>
        <v>TT</v>
      </c>
      <c r="T560" s="206" t="str">
        <f t="shared" si="273"/>
        <v>HL</v>
      </c>
      <c r="U560" s="206" t="str">
        <f t="shared" si="274"/>
        <v>O</v>
      </c>
      <c r="V560" s="206" t="str">
        <f t="shared" si="275"/>
        <v>U</v>
      </c>
      <c r="W560" s="206" t="str">
        <f t="shared" si="276"/>
        <v>O</v>
      </c>
      <c r="X560" s="206" t="str">
        <f t="shared" si="277"/>
        <v>U</v>
      </c>
      <c r="Y560" s="206"/>
      <c r="Z560" s="206">
        <v>56.5</v>
      </c>
      <c r="AA560" s="206" t="str">
        <f t="shared" si="267"/>
        <v>DAL/DEN</v>
      </c>
    </row>
    <row r="561" spans="1:27" ht="17.100000000000001" x14ac:dyDescent="0.45">
      <c r="A561" s="206">
        <v>200109</v>
      </c>
      <c r="B561" s="44">
        <v>0.41666666666666669</v>
      </c>
      <c r="C561" s="206" t="s">
        <v>398</v>
      </c>
      <c r="D561" s="206" t="s">
        <v>412</v>
      </c>
      <c r="E561" s="206">
        <v>23</v>
      </c>
      <c r="F561" s="206">
        <v>25</v>
      </c>
      <c r="G561" s="206">
        <v>44</v>
      </c>
      <c r="H561" s="206">
        <v>31</v>
      </c>
      <c r="I561" s="206"/>
      <c r="J561" s="206">
        <v>21</v>
      </c>
      <c r="K561" s="206">
        <v>27</v>
      </c>
      <c r="L561" s="206">
        <v>27</v>
      </c>
      <c r="M561" s="206">
        <v>33</v>
      </c>
      <c r="N561" s="206" t="s">
        <v>427</v>
      </c>
      <c r="O561" s="206">
        <f t="shared" si="268"/>
        <v>123</v>
      </c>
      <c r="P561" s="206">
        <f t="shared" si="269"/>
        <v>108</v>
      </c>
      <c r="Q561" s="206" t="str">
        <f t="shared" si="270"/>
        <v>HW</v>
      </c>
      <c r="R561" s="206" t="str">
        <f t="shared" si="271"/>
        <v>HL</v>
      </c>
      <c r="S561" s="206" t="str">
        <f t="shared" si="272"/>
        <v>HW</v>
      </c>
      <c r="T561" s="206" t="str">
        <f t="shared" si="273"/>
        <v>HL</v>
      </c>
      <c r="U561" s="206" t="str">
        <f t="shared" si="274"/>
        <v>U</v>
      </c>
      <c r="V561" s="206" t="str">
        <f t="shared" si="275"/>
        <v>U</v>
      </c>
      <c r="W561" s="206" t="str">
        <f t="shared" si="276"/>
        <v>O</v>
      </c>
      <c r="X561" s="206" t="str">
        <f t="shared" si="277"/>
        <v>O</v>
      </c>
      <c r="Y561" s="206"/>
      <c r="Z561" s="206">
        <v>58</v>
      </c>
      <c r="AA561" s="206" t="str">
        <f t="shared" si="267"/>
        <v>NO/CHI</v>
      </c>
    </row>
    <row r="562" spans="1:27" ht="17.100000000000001" x14ac:dyDescent="0.45">
      <c r="A562" s="206">
        <v>200109</v>
      </c>
      <c r="B562" s="44">
        <v>0.45833333333333331</v>
      </c>
      <c r="C562" s="206" t="s">
        <v>405</v>
      </c>
      <c r="D562" s="206" t="s">
        <v>399</v>
      </c>
      <c r="E562" s="206">
        <v>39</v>
      </c>
      <c r="F562" s="206">
        <v>33</v>
      </c>
      <c r="G562" s="206">
        <v>23</v>
      </c>
      <c r="H562" s="206">
        <v>33</v>
      </c>
      <c r="I562" s="206"/>
      <c r="J562" s="206">
        <v>29</v>
      </c>
      <c r="K562" s="206">
        <v>24</v>
      </c>
      <c r="L562" s="206">
        <v>16</v>
      </c>
      <c r="M562" s="206">
        <v>35</v>
      </c>
      <c r="N562" s="206" t="s">
        <v>427</v>
      </c>
      <c r="O562" s="206">
        <f t="shared" si="268"/>
        <v>128</v>
      </c>
      <c r="P562" s="206">
        <f t="shared" si="269"/>
        <v>104</v>
      </c>
      <c r="Q562" s="206" t="str">
        <f t="shared" si="270"/>
        <v>HW</v>
      </c>
      <c r="R562" s="206" t="str">
        <f t="shared" si="271"/>
        <v>HW</v>
      </c>
      <c r="S562" s="206" t="str">
        <f t="shared" si="272"/>
        <v>HW</v>
      </c>
      <c r="T562" s="206" t="str">
        <f t="shared" si="273"/>
        <v>HL</v>
      </c>
      <c r="U562" s="206" t="str">
        <f t="shared" si="274"/>
        <v>O</v>
      </c>
      <c r="V562" s="206" t="str">
        <f t="shared" si="275"/>
        <v>O</v>
      </c>
      <c r="W562" s="206" t="str">
        <f t="shared" si="276"/>
        <v>U</v>
      </c>
      <c r="X562" s="206" t="str">
        <f t="shared" si="277"/>
        <v>O</v>
      </c>
      <c r="Y562" s="206"/>
      <c r="Z562" s="206">
        <v>55.5</v>
      </c>
      <c r="AA562" s="206" t="str">
        <f t="shared" si="267"/>
        <v>UTA/NYK</v>
      </c>
    </row>
    <row r="563" spans="1:27" ht="17.100000000000001" x14ac:dyDescent="0.45">
      <c r="A563" s="206">
        <v>200109</v>
      </c>
      <c r="B563" s="44">
        <v>0.5</v>
      </c>
      <c r="C563" s="206" t="s">
        <v>425</v>
      </c>
      <c r="D563" s="206" t="s">
        <v>423</v>
      </c>
      <c r="E563" s="206">
        <v>19</v>
      </c>
      <c r="F563" s="206">
        <v>20</v>
      </c>
      <c r="G563" s="206">
        <v>33</v>
      </c>
      <c r="H563" s="206">
        <v>26</v>
      </c>
      <c r="I563" s="206"/>
      <c r="J563" s="206">
        <v>19</v>
      </c>
      <c r="K563" s="206">
        <v>28</v>
      </c>
      <c r="L563" s="206">
        <v>34</v>
      </c>
      <c r="M563" s="206">
        <v>26</v>
      </c>
      <c r="N563" s="206" t="s">
        <v>427</v>
      </c>
      <c r="O563" s="206">
        <f t="shared" si="268"/>
        <v>98</v>
      </c>
      <c r="P563" s="206">
        <f t="shared" si="269"/>
        <v>107</v>
      </c>
      <c r="Q563" s="206" t="str">
        <f t="shared" si="270"/>
        <v>TT</v>
      </c>
      <c r="R563" s="206" t="str">
        <f t="shared" si="271"/>
        <v>HL</v>
      </c>
      <c r="S563" s="206" t="str">
        <f t="shared" si="272"/>
        <v>HL</v>
      </c>
      <c r="T563" s="206" t="str">
        <f t="shared" si="273"/>
        <v>TT</v>
      </c>
      <c r="U563" s="206" t="str">
        <f t="shared" si="274"/>
        <v>U</v>
      </c>
      <c r="V563" s="206" t="str">
        <f t="shared" si="275"/>
        <v>U</v>
      </c>
      <c r="W563" s="206" t="str">
        <f t="shared" si="276"/>
        <v>O</v>
      </c>
      <c r="X563" s="206" t="str">
        <f t="shared" si="277"/>
        <v>U</v>
      </c>
      <c r="Y563" s="206"/>
      <c r="Z563" s="206">
        <v>53</v>
      </c>
      <c r="AA563" s="206" t="str">
        <f t="shared" si="267"/>
        <v>GS/MIL</v>
      </c>
    </row>
    <row r="564" spans="1:27" ht="17.100000000000001" x14ac:dyDescent="0.45">
      <c r="A564" s="206">
        <v>200110</v>
      </c>
      <c r="B564" s="44">
        <v>0.375</v>
      </c>
      <c r="C564" s="206" t="s">
        <v>422</v>
      </c>
      <c r="D564" s="206" t="s">
        <v>402</v>
      </c>
      <c r="E564" s="206">
        <v>32</v>
      </c>
      <c r="F564" s="206">
        <v>29</v>
      </c>
      <c r="G564" s="206">
        <v>22</v>
      </c>
      <c r="H564" s="206">
        <v>19</v>
      </c>
      <c r="I564" s="206">
        <v>10</v>
      </c>
      <c r="J564" s="206">
        <v>26</v>
      </c>
      <c r="K564" s="206">
        <v>24</v>
      </c>
      <c r="L564" s="206">
        <v>31</v>
      </c>
      <c r="M564" s="206">
        <v>21</v>
      </c>
      <c r="N564" s="206">
        <v>13</v>
      </c>
      <c r="O564" s="206">
        <f t="shared" si="268"/>
        <v>112</v>
      </c>
      <c r="P564" s="206">
        <f t="shared" si="269"/>
        <v>115</v>
      </c>
      <c r="Q564" s="206" t="str">
        <f t="shared" si="270"/>
        <v>HW</v>
      </c>
      <c r="R564" s="206" t="str">
        <f t="shared" si="271"/>
        <v>HW</v>
      </c>
      <c r="S564" s="206" t="str">
        <f t="shared" si="272"/>
        <v>HL</v>
      </c>
      <c r="T564" s="206" t="str">
        <f t="shared" si="273"/>
        <v>HL</v>
      </c>
      <c r="U564" s="206" t="str">
        <f t="shared" si="274"/>
        <v>O</v>
      </c>
      <c r="V564" s="206" t="str">
        <f t="shared" si="275"/>
        <v>U</v>
      </c>
      <c r="W564" s="206" t="str">
        <f t="shared" si="276"/>
        <v>U</v>
      </c>
      <c r="X564" s="206" t="str">
        <f t="shared" si="277"/>
        <v>U</v>
      </c>
      <c r="Y564" s="206"/>
      <c r="Z564" s="206">
        <v>54</v>
      </c>
      <c r="AA564" s="206" t="str">
        <f t="shared" si="267"/>
        <v>DET/CLE</v>
      </c>
    </row>
    <row r="565" spans="1:27" ht="17.100000000000001" x14ac:dyDescent="0.45">
      <c r="A565" s="206">
        <v>200110</v>
      </c>
      <c r="B565" s="44">
        <v>0.375</v>
      </c>
      <c r="C565" s="206" t="s">
        <v>401</v>
      </c>
      <c r="D565" s="206" t="s">
        <v>421</v>
      </c>
      <c r="E565" s="206">
        <v>26</v>
      </c>
      <c r="F565" s="206">
        <v>22</v>
      </c>
      <c r="G565" s="206">
        <v>29</v>
      </c>
      <c r="H565" s="206">
        <v>32</v>
      </c>
      <c r="I565" s="206"/>
      <c r="J565" s="206">
        <v>35</v>
      </c>
      <c r="K565" s="206">
        <v>20</v>
      </c>
      <c r="L565" s="206">
        <v>25</v>
      </c>
      <c r="M565" s="206">
        <v>18</v>
      </c>
      <c r="N565" s="206" t="s">
        <v>427</v>
      </c>
      <c r="O565" s="206">
        <f t="shared" si="268"/>
        <v>109</v>
      </c>
      <c r="P565" s="206">
        <f t="shared" si="269"/>
        <v>98</v>
      </c>
      <c r="Q565" s="206" t="str">
        <f t="shared" si="270"/>
        <v>HL</v>
      </c>
      <c r="R565" s="206" t="str">
        <f t="shared" si="271"/>
        <v>HW</v>
      </c>
      <c r="S565" s="206" t="str">
        <f t="shared" si="272"/>
        <v>HW</v>
      </c>
      <c r="T565" s="206" t="str">
        <f t="shared" si="273"/>
        <v>HW</v>
      </c>
      <c r="U565" s="206" t="str">
        <f t="shared" si="274"/>
        <v>O</v>
      </c>
      <c r="V565" s="206" t="str">
        <f t="shared" si="275"/>
        <v>U</v>
      </c>
      <c r="W565" s="206" t="str">
        <f t="shared" si="276"/>
        <v>U</v>
      </c>
      <c r="X565" s="206" t="str">
        <f t="shared" si="277"/>
        <v>U</v>
      </c>
      <c r="Y565" s="206"/>
      <c r="Z565" s="206">
        <v>54.5</v>
      </c>
      <c r="AA565" s="206" t="str">
        <f t="shared" si="267"/>
        <v>PHI/BOS</v>
      </c>
    </row>
    <row r="566" spans="1:27" ht="17.100000000000001" x14ac:dyDescent="0.45">
      <c r="A566" s="206">
        <v>200110</v>
      </c>
      <c r="B566" s="44">
        <v>0.41666666666666669</v>
      </c>
      <c r="C566" s="206" t="s">
        <v>420</v>
      </c>
      <c r="D566" s="206" t="s">
        <v>417</v>
      </c>
      <c r="E566" s="206">
        <v>28</v>
      </c>
      <c r="F566" s="206">
        <v>31</v>
      </c>
      <c r="G566" s="206">
        <v>41</v>
      </c>
      <c r="H566" s="206">
        <v>16</v>
      </c>
      <c r="I566" s="206"/>
      <c r="J566" s="206">
        <v>34</v>
      </c>
      <c r="K566" s="206">
        <v>13</v>
      </c>
      <c r="L566" s="206">
        <v>27</v>
      </c>
      <c r="M566" s="206">
        <v>28</v>
      </c>
      <c r="N566" s="206" t="s">
        <v>427</v>
      </c>
      <c r="O566" s="206">
        <f t="shared" si="268"/>
        <v>116</v>
      </c>
      <c r="P566" s="206">
        <f t="shared" si="269"/>
        <v>102</v>
      </c>
      <c r="Q566" s="206" t="str">
        <f t="shared" si="270"/>
        <v>HL</v>
      </c>
      <c r="R566" s="206" t="str">
        <f t="shared" si="271"/>
        <v>HW</v>
      </c>
      <c r="S566" s="206" t="str">
        <f t="shared" si="272"/>
        <v>HW</v>
      </c>
      <c r="T566" s="206" t="str">
        <f t="shared" si="273"/>
        <v>HL</v>
      </c>
      <c r="U566" s="206" t="str">
        <f t="shared" si="274"/>
        <v>O</v>
      </c>
      <c r="V566" s="206" t="str">
        <f t="shared" si="275"/>
        <v>U</v>
      </c>
      <c r="W566" s="206" t="str">
        <f t="shared" si="276"/>
        <v>O</v>
      </c>
      <c r="X566" s="206" t="str">
        <f t="shared" si="277"/>
        <v>U</v>
      </c>
      <c r="Y566" s="206"/>
      <c r="Z566" s="206">
        <v>58</v>
      </c>
      <c r="AA566" s="206" t="str">
        <f t="shared" si="267"/>
        <v>MIN/POR</v>
      </c>
    </row>
    <row r="567" spans="1:27" ht="17.100000000000001" x14ac:dyDescent="0.45">
      <c r="A567" s="206">
        <v>200110</v>
      </c>
      <c r="B567" s="44">
        <v>0.47916666666666669</v>
      </c>
      <c r="C567" s="206" t="s">
        <v>418</v>
      </c>
      <c r="D567" s="206" t="s">
        <v>403</v>
      </c>
      <c r="E567" s="206">
        <v>37</v>
      </c>
      <c r="F567" s="206">
        <v>23</v>
      </c>
      <c r="G567" s="206">
        <v>29</v>
      </c>
      <c r="H567" s="206">
        <v>24</v>
      </c>
      <c r="I567" s="206"/>
      <c r="J567" s="206">
        <v>21</v>
      </c>
      <c r="K567" s="206">
        <v>27</v>
      </c>
      <c r="L567" s="206">
        <v>19</v>
      </c>
      <c r="M567" s="206">
        <v>25</v>
      </c>
      <c r="N567" s="206" t="s">
        <v>427</v>
      </c>
      <c r="O567" s="206">
        <f t="shared" si="268"/>
        <v>113</v>
      </c>
      <c r="P567" s="206">
        <f t="shared" si="269"/>
        <v>92</v>
      </c>
      <c r="Q567" s="206" t="str">
        <f t="shared" si="270"/>
        <v>HW</v>
      </c>
      <c r="R567" s="206" t="str">
        <f t="shared" si="271"/>
        <v>HL</v>
      </c>
      <c r="S567" s="206" t="str">
        <f t="shared" si="272"/>
        <v>HW</v>
      </c>
      <c r="T567" s="206" t="str">
        <f t="shared" si="273"/>
        <v>HL</v>
      </c>
      <c r="U567" s="206" t="str">
        <f t="shared" si="274"/>
        <v>U</v>
      </c>
      <c r="V567" s="206" t="str">
        <f t="shared" si="275"/>
        <v>U</v>
      </c>
      <c r="W567" s="206" t="str">
        <f t="shared" si="276"/>
        <v>U</v>
      </c>
      <c r="X567" s="206" t="str">
        <f t="shared" si="277"/>
        <v>U</v>
      </c>
      <c r="Y567" s="206"/>
      <c r="Z567" s="206">
        <v>59</v>
      </c>
      <c r="AA567" s="206" t="str">
        <f t="shared" si="267"/>
        <v>OKC/HOU</v>
      </c>
    </row>
    <row r="568" spans="1:27" ht="17.100000000000001" x14ac:dyDescent="0.45">
      <c r="A568" s="206">
        <v>200111</v>
      </c>
      <c r="B568" s="44">
        <v>0.375</v>
      </c>
      <c r="C568" s="206" t="s">
        <v>414</v>
      </c>
      <c r="D568" s="206" t="s">
        <v>410</v>
      </c>
      <c r="E568" s="206">
        <v>30</v>
      </c>
      <c r="F568" s="206">
        <v>26</v>
      </c>
      <c r="G568" s="206">
        <v>25</v>
      </c>
      <c r="H568" s="206">
        <v>30</v>
      </c>
      <c r="I568" s="206"/>
      <c r="J568" s="206">
        <v>21</v>
      </c>
      <c r="K568" s="206">
        <v>30</v>
      </c>
      <c r="L568" s="206">
        <v>28</v>
      </c>
      <c r="M568" s="206">
        <v>22</v>
      </c>
      <c r="N568" s="206" t="s">
        <v>427</v>
      </c>
      <c r="O568" s="206">
        <f t="shared" si="268"/>
        <v>111</v>
      </c>
      <c r="P568" s="206">
        <f t="shared" si="269"/>
        <v>101</v>
      </c>
      <c r="Q568" s="206" t="str">
        <f t="shared" si="270"/>
        <v>HW</v>
      </c>
      <c r="R568" s="206" t="str">
        <f t="shared" si="271"/>
        <v>HL</v>
      </c>
      <c r="S568" s="206" t="str">
        <f t="shared" si="272"/>
        <v>HL</v>
      </c>
      <c r="T568" s="206" t="str">
        <f t="shared" si="273"/>
        <v>HW</v>
      </c>
      <c r="U568" s="206" t="str">
        <f t="shared" si="274"/>
        <v>U</v>
      </c>
      <c r="V568" s="206" t="str">
        <f t="shared" si="275"/>
        <v>U</v>
      </c>
      <c r="W568" s="206" t="str">
        <f t="shared" si="276"/>
        <v>U</v>
      </c>
      <c r="X568" s="206" t="str">
        <f t="shared" si="277"/>
        <v>U</v>
      </c>
      <c r="Y568" s="206"/>
      <c r="Z568" s="206">
        <v>61.5</v>
      </c>
      <c r="AA568" s="206" t="str">
        <f t="shared" si="267"/>
        <v>WAS/ATL</v>
      </c>
    </row>
    <row r="569" spans="1:27" ht="17.100000000000001" x14ac:dyDescent="0.45">
      <c r="A569" s="206">
        <v>200111</v>
      </c>
      <c r="B569" s="44">
        <v>0.38541666666666669</v>
      </c>
      <c r="C569" s="206" t="s">
        <v>399</v>
      </c>
      <c r="D569" s="206" t="s">
        <v>398</v>
      </c>
      <c r="E569" s="206">
        <v>31</v>
      </c>
      <c r="F569" s="206">
        <v>30</v>
      </c>
      <c r="G569" s="206">
        <v>25</v>
      </c>
      <c r="H569" s="206">
        <v>25</v>
      </c>
      <c r="I569" s="206"/>
      <c r="J569" s="206">
        <v>33</v>
      </c>
      <c r="K569" s="206">
        <v>34</v>
      </c>
      <c r="L569" s="206">
        <v>28</v>
      </c>
      <c r="M569" s="206">
        <v>28</v>
      </c>
      <c r="N569" s="206" t="s">
        <v>427</v>
      </c>
      <c r="O569" s="206">
        <f t="shared" si="268"/>
        <v>111</v>
      </c>
      <c r="P569" s="206">
        <f t="shared" si="269"/>
        <v>123</v>
      </c>
      <c r="Q569" s="206" t="str">
        <f t="shared" si="270"/>
        <v>HL</v>
      </c>
      <c r="R569" s="206" t="str">
        <f t="shared" si="271"/>
        <v>HL</v>
      </c>
      <c r="S569" s="206" t="str">
        <f t="shared" si="272"/>
        <v>HL</v>
      </c>
      <c r="T569" s="206" t="str">
        <f t="shared" si="273"/>
        <v>HL</v>
      </c>
      <c r="U569" s="206" t="str">
        <f t="shared" si="274"/>
        <v>O</v>
      </c>
      <c r="V569" s="206" t="str">
        <f t="shared" si="275"/>
        <v>O</v>
      </c>
      <c r="W569" s="206" t="str">
        <f t="shared" si="276"/>
        <v>U</v>
      </c>
      <c r="X569" s="206" t="str">
        <f t="shared" si="277"/>
        <v>U</v>
      </c>
      <c r="Y569" s="206"/>
      <c r="Z569" s="206">
        <v>58.5</v>
      </c>
      <c r="AA569" s="206" t="str">
        <f t="shared" si="267"/>
        <v>NYK/NO</v>
      </c>
    </row>
    <row r="570" spans="1:27" ht="17.100000000000001" x14ac:dyDescent="0.45">
      <c r="A570" s="206">
        <v>200111</v>
      </c>
      <c r="B570" s="44">
        <v>0.39583333333333331</v>
      </c>
      <c r="C570" s="206" t="s">
        <v>407</v>
      </c>
      <c r="D570" s="206" t="s">
        <v>411</v>
      </c>
      <c r="E570" s="206">
        <v>32</v>
      </c>
      <c r="F570" s="206">
        <v>25</v>
      </c>
      <c r="G570" s="206">
        <v>32</v>
      </c>
      <c r="H570" s="206">
        <v>28</v>
      </c>
      <c r="I570" s="206"/>
      <c r="J570" s="206">
        <v>42</v>
      </c>
      <c r="K570" s="206">
        <v>27</v>
      </c>
      <c r="L570" s="206">
        <v>20</v>
      </c>
      <c r="M570" s="206">
        <v>24</v>
      </c>
      <c r="N570" s="206" t="s">
        <v>427</v>
      </c>
      <c r="O570" s="206">
        <f t="shared" si="268"/>
        <v>117</v>
      </c>
      <c r="P570" s="206">
        <f t="shared" si="269"/>
        <v>113</v>
      </c>
      <c r="Q570" s="206" t="str">
        <f t="shared" si="270"/>
        <v>HL</v>
      </c>
      <c r="R570" s="206" t="str">
        <f t="shared" si="271"/>
        <v>HL</v>
      </c>
      <c r="S570" s="206" t="str">
        <f t="shared" si="272"/>
        <v>HW</v>
      </c>
      <c r="T570" s="206" t="str">
        <f t="shared" si="273"/>
        <v>HW</v>
      </c>
      <c r="U570" s="206" t="str">
        <f t="shared" si="274"/>
        <v>O</v>
      </c>
      <c r="V570" s="206" t="str">
        <f t="shared" si="275"/>
        <v>U</v>
      </c>
      <c r="W570" s="206" t="str">
        <f t="shared" si="276"/>
        <v>U</v>
      </c>
      <c r="X570" s="206" t="str">
        <f t="shared" si="277"/>
        <v>U</v>
      </c>
      <c r="Y570" s="206"/>
      <c r="Z570" s="206">
        <v>56</v>
      </c>
      <c r="AA570" s="206" t="str">
        <f t="shared" si="267"/>
        <v>BKN/MIA</v>
      </c>
    </row>
    <row r="571" spans="1:27" ht="17.100000000000001" x14ac:dyDescent="0.45">
      <c r="A571" s="206">
        <v>200111</v>
      </c>
      <c r="B571" s="44">
        <v>0.41666666666666669</v>
      </c>
      <c r="C571" s="206" t="s">
        <v>412</v>
      </c>
      <c r="D571" s="206" t="s">
        <v>400</v>
      </c>
      <c r="E571" s="206">
        <v>27</v>
      </c>
      <c r="F571" s="206">
        <v>19</v>
      </c>
      <c r="G571" s="206">
        <v>26</v>
      </c>
      <c r="H571" s="206">
        <v>33</v>
      </c>
      <c r="I571" s="206"/>
      <c r="J571" s="206">
        <v>29</v>
      </c>
      <c r="K571" s="206">
        <v>25</v>
      </c>
      <c r="L571" s="206">
        <v>25</v>
      </c>
      <c r="M571" s="206">
        <v>37</v>
      </c>
      <c r="N571" s="206" t="s">
        <v>427</v>
      </c>
      <c r="O571" s="206">
        <f t="shared" si="268"/>
        <v>105</v>
      </c>
      <c r="P571" s="206">
        <f t="shared" si="269"/>
        <v>116</v>
      </c>
      <c r="Q571" s="206" t="str">
        <f t="shared" si="270"/>
        <v>HL</v>
      </c>
      <c r="R571" s="206" t="str">
        <f t="shared" si="271"/>
        <v>HL</v>
      </c>
      <c r="S571" s="206" t="str">
        <f t="shared" si="272"/>
        <v>HW</v>
      </c>
      <c r="T571" s="206" t="str">
        <f t="shared" si="273"/>
        <v>HL</v>
      </c>
      <c r="U571" s="206" t="str">
        <f t="shared" si="274"/>
        <v>O</v>
      </c>
      <c r="V571" s="206" t="str">
        <f t="shared" si="275"/>
        <v>U</v>
      </c>
      <c r="W571" s="206" t="str">
        <f t="shared" si="276"/>
        <v>U</v>
      </c>
      <c r="X571" s="206" t="str">
        <f t="shared" si="277"/>
        <v>O</v>
      </c>
      <c r="Y571" s="206"/>
      <c r="Z571" s="206">
        <v>54.5</v>
      </c>
      <c r="AA571" s="206" t="str">
        <f t="shared" si="267"/>
        <v>CHI/IND</v>
      </c>
    </row>
    <row r="572" spans="1:27" ht="17.100000000000001" x14ac:dyDescent="0.45">
      <c r="A572" s="206">
        <v>200111</v>
      </c>
      <c r="B572" s="44">
        <v>0.41666666666666669</v>
      </c>
      <c r="C572" s="206" t="s">
        <v>406</v>
      </c>
      <c r="D572" s="206" t="s">
        <v>426</v>
      </c>
      <c r="E572" s="206">
        <v>37</v>
      </c>
      <c r="F572" s="206">
        <v>26</v>
      </c>
      <c r="G572" s="206">
        <v>37</v>
      </c>
      <c r="H572" s="206">
        <v>34</v>
      </c>
      <c r="I572" s="206"/>
      <c r="J572" s="206">
        <v>32</v>
      </c>
      <c r="K572" s="206">
        <v>25</v>
      </c>
      <c r="L572" s="206">
        <v>41</v>
      </c>
      <c r="M572" s="206">
        <v>23</v>
      </c>
      <c r="N572" s="206" t="s">
        <v>427</v>
      </c>
      <c r="O572" s="206">
        <f t="shared" si="268"/>
        <v>134</v>
      </c>
      <c r="P572" s="206">
        <f t="shared" si="269"/>
        <v>121</v>
      </c>
      <c r="Q572" s="206" t="str">
        <f t="shared" si="270"/>
        <v>HW</v>
      </c>
      <c r="R572" s="206" t="str">
        <f t="shared" si="271"/>
        <v>HW</v>
      </c>
      <c r="S572" s="206" t="str">
        <f t="shared" si="272"/>
        <v>HL</v>
      </c>
      <c r="T572" s="206" t="str">
        <f t="shared" si="273"/>
        <v>HW</v>
      </c>
      <c r="U572" s="206" t="str">
        <f t="shared" si="274"/>
        <v>O</v>
      </c>
      <c r="V572" s="206" t="str">
        <f t="shared" si="275"/>
        <v>U</v>
      </c>
      <c r="W572" s="206" t="str">
        <f t="shared" si="276"/>
        <v>O</v>
      </c>
      <c r="X572" s="206" t="str">
        <f t="shared" si="277"/>
        <v>O</v>
      </c>
      <c r="Y572" s="206"/>
      <c r="Z572" s="206">
        <v>56</v>
      </c>
      <c r="AA572" s="206" t="str">
        <f t="shared" si="267"/>
        <v>MEM/SAS</v>
      </c>
    </row>
    <row r="573" spans="1:27" ht="17.100000000000001" x14ac:dyDescent="0.45">
      <c r="A573" s="206">
        <v>200111</v>
      </c>
      <c r="B573" s="44">
        <v>0.45833333333333331</v>
      </c>
      <c r="C573" s="206" t="s">
        <v>404</v>
      </c>
      <c r="D573" s="206" t="s">
        <v>424</v>
      </c>
      <c r="E573" s="206">
        <v>27</v>
      </c>
      <c r="F573" s="206">
        <v>31</v>
      </c>
      <c r="G573" s="206">
        <v>19</v>
      </c>
      <c r="H573" s="206">
        <v>21</v>
      </c>
      <c r="I573" s="206"/>
      <c r="J573" s="206">
        <v>25</v>
      </c>
      <c r="K573" s="206">
        <v>23</v>
      </c>
      <c r="L573" s="206">
        <v>27</v>
      </c>
      <c r="M573" s="206">
        <v>19</v>
      </c>
      <c r="N573" s="206" t="s">
        <v>427</v>
      </c>
      <c r="O573" s="206">
        <f t="shared" si="268"/>
        <v>98</v>
      </c>
      <c r="P573" s="206">
        <f t="shared" si="269"/>
        <v>94</v>
      </c>
      <c r="Q573" s="206" t="str">
        <f t="shared" si="270"/>
        <v>HW</v>
      </c>
      <c r="R573" s="206" t="str">
        <f t="shared" si="271"/>
        <v>HW</v>
      </c>
      <c r="S573" s="206" t="str">
        <f t="shared" si="272"/>
        <v>HL</v>
      </c>
      <c r="T573" s="206" t="str">
        <f t="shared" si="273"/>
        <v>HW</v>
      </c>
      <c r="U573" s="206" t="str">
        <f t="shared" si="274"/>
        <v>U</v>
      </c>
      <c r="V573" s="206" t="str">
        <f t="shared" si="275"/>
        <v>U</v>
      </c>
      <c r="W573" s="206" t="str">
        <f t="shared" si="276"/>
        <v>U</v>
      </c>
      <c r="X573" s="206" t="str">
        <f t="shared" si="277"/>
        <v>U</v>
      </c>
      <c r="Y573" s="206"/>
      <c r="Z573" s="206">
        <v>55.5</v>
      </c>
      <c r="AA573" s="206" t="str">
        <f t="shared" si="267"/>
        <v>PHO/ORL</v>
      </c>
    </row>
    <row r="574" spans="1:27" ht="17.100000000000001" x14ac:dyDescent="0.45">
      <c r="A574" s="206">
        <v>200111</v>
      </c>
      <c r="B574" s="44">
        <v>0.45833333333333331</v>
      </c>
      <c r="C574" s="206" t="s">
        <v>405</v>
      </c>
      <c r="D574" s="206" t="s">
        <v>409</v>
      </c>
      <c r="E574" s="206">
        <v>29</v>
      </c>
      <c r="F574" s="206">
        <v>32</v>
      </c>
      <c r="G574" s="206">
        <v>26</v>
      </c>
      <c r="H574" s="206">
        <v>22</v>
      </c>
      <c r="I574" s="206"/>
      <c r="J574" s="206">
        <v>13</v>
      </c>
      <c r="K574" s="206">
        <v>25</v>
      </c>
      <c r="L574" s="206">
        <v>24</v>
      </c>
      <c r="M574" s="206">
        <v>30</v>
      </c>
      <c r="N574" s="206" t="s">
        <v>427</v>
      </c>
      <c r="O574" s="206">
        <f t="shared" si="268"/>
        <v>109</v>
      </c>
      <c r="P574" s="206">
        <f t="shared" si="269"/>
        <v>92</v>
      </c>
      <c r="Q574" s="206" t="str">
        <f t="shared" si="270"/>
        <v>HW</v>
      </c>
      <c r="R574" s="206" t="str">
        <f t="shared" si="271"/>
        <v>HW</v>
      </c>
      <c r="S574" s="206" t="str">
        <f t="shared" si="272"/>
        <v>HW</v>
      </c>
      <c r="T574" s="206" t="str">
        <f t="shared" si="273"/>
        <v>HL</v>
      </c>
      <c r="U574" s="206" t="str">
        <f t="shared" si="274"/>
        <v>U</v>
      </c>
      <c r="V574" s="206" t="str">
        <f t="shared" si="275"/>
        <v>O</v>
      </c>
      <c r="W574" s="206" t="str">
        <f t="shared" si="276"/>
        <v>U</v>
      </c>
      <c r="X574" s="206" t="str">
        <f t="shared" si="277"/>
        <v>U</v>
      </c>
      <c r="Y574" s="206"/>
      <c r="Z574" s="206">
        <v>54.5</v>
      </c>
      <c r="AA574" s="206" t="str">
        <f t="shared" si="267"/>
        <v>UTA/CHA</v>
      </c>
    </row>
    <row r="575" spans="1:27" ht="17.100000000000001" x14ac:dyDescent="0.45">
      <c r="A575" s="206">
        <v>200111</v>
      </c>
      <c r="B575" s="44">
        <v>0.48958333333333331</v>
      </c>
      <c r="C575" s="206" t="s">
        <v>397</v>
      </c>
      <c r="D575" s="206" t="s">
        <v>419</v>
      </c>
      <c r="E575" s="206">
        <v>27</v>
      </c>
      <c r="F575" s="206">
        <v>31</v>
      </c>
      <c r="G575" s="206">
        <v>28</v>
      </c>
      <c r="H575" s="206">
        <v>28</v>
      </c>
      <c r="I575" s="206"/>
      <c r="J575" s="206">
        <v>45</v>
      </c>
      <c r="K575" s="206">
        <v>34</v>
      </c>
      <c r="L575" s="206">
        <v>20</v>
      </c>
      <c r="M575" s="206">
        <v>30</v>
      </c>
      <c r="N575" s="206" t="s">
        <v>427</v>
      </c>
      <c r="O575" s="206">
        <f t="shared" si="268"/>
        <v>114</v>
      </c>
      <c r="P575" s="206">
        <f t="shared" si="269"/>
        <v>129</v>
      </c>
      <c r="Q575" s="206" t="str">
        <f t="shared" si="270"/>
        <v>HL</v>
      </c>
      <c r="R575" s="206" t="str">
        <f t="shared" si="271"/>
        <v>HL</v>
      </c>
      <c r="S575" s="206" t="str">
        <f t="shared" si="272"/>
        <v>HW</v>
      </c>
      <c r="T575" s="206" t="str">
        <f t="shared" si="273"/>
        <v>HL</v>
      </c>
      <c r="U575" s="206" t="str">
        <f t="shared" si="274"/>
        <v>O</v>
      </c>
      <c r="V575" s="206" t="str">
        <f t="shared" si="275"/>
        <v>O</v>
      </c>
      <c r="W575" s="206" t="str">
        <f t="shared" si="276"/>
        <v>U</v>
      </c>
      <c r="X575" s="206" t="str">
        <f t="shared" si="277"/>
        <v>O</v>
      </c>
      <c r="Y575" s="206"/>
      <c r="Z575" s="206">
        <v>57</v>
      </c>
      <c r="AA575" s="206" t="str">
        <f t="shared" si="267"/>
        <v>DAL/LAL</v>
      </c>
    </row>
    <row r="576" spans="1:27" ht="17.100000000000001" x14ac:dyDescent="0.45">
      <c r="A576" s="206">
        <v>200111</v>
      </c>
      <c r="B576" s="44">
        <v>0.5</v>
      </c>
      <c r="C576" s="206" t="s">
        <v>416</v>
      </c>
      <c r="D576" s="206" t="s">
        <v>423</v>
      </c>
      <c r="E576" s="206">
        <v>18</v>
      </c>
      <c r="F576" s="206">
        <v>26</v>
      </c>
      <c r="G576" s="206">
        <v>31</v>
      </c>
      <c r="H576" s="206">
        <v>31</v>
      </c>
      <c r="I576" s="206"/>
      <c r="J576" s="206">
        <v>34</v>
      </c>
      <c r="K576" s="206">
        <v>19</v>
      </c>
      <c r="L576" s="206">
        <v>37</v>
      </c>
      <c r="M576" s="206">
        <v>37</v>
      </c>
      <c r="N576" s="206" t="s">
        <v>427</v>
      </c>
      <c r="O576" s="206">
        <f t="shared" si="268"/>
        <v>106</v>
      </c>
      <c r="P576" s="206">
        <f t="shared" si="269"/>
        <v>127</v>
      </c>
      <c r="Q576" s="206" t="str">
        <f t="shared" si="270"/>
        <v>HL</v>
      </c>
      <c r="R576" s="206" t="str">
        <f t="shared" si="271"/>
        <v>HW</v>
      </c>
      <c r="S576" s="206" t="str">
        <f t="shared" si="272"/>
        <v>HL</v>
      </c>
      <c r="T576" s="206" t="str">
        <f t="shared" si="273"/>
        <v>HL</v>
      </c>
      <c r="U576" s="206" t="str">
        <f t="shared" si="274"/>
        <v>U</v>
      </c>
      <c r="V576" s="206" t="str">
        <f t="shared" si="275"/>
        <v>U</v>
      </c>
      <c r="W576" s="206" t="str">
        <f t="shared" si="276"/>
        <v>O</v>
      </c>
      <c r="X576" s="206" t="str">
        <f t="shared" si="277"/>
        <v>O</v>
      </c>
      <c r="Y576" s="206"/>
      <c r="Z576" s="206">
        <v>55</v>
      </c>
      <c r="AA576" s="206" t="str">
        <f t="shared" si="267"/>
        <v>SAC/MIL</v>
      </c>
    </row>
    <row r="577" spans="1:27" ht="17.100000000000001" x14ac:dyDescent="0.45">
      <c r="A577" s="206">
        <v>200111</v>
      </c>
      <c r="B577" s="44">
        <v>0.52083333333333337</v>
      </c>
      <c r="C577" s="206" t="s">
        <v>415</v>
      </c>
      <c r="D577" s="206" t="s">
        <v>425</v>
      </c>
      <c r="E577" s="206">
        <v>22</v>
      </c>
      <c r="F577" s="206">
        <v>26</v>
      </c>
      <c r="G577" s="206">
        <v>25</v>
      </c>
      <c r="H577" s="206">
        <v>36</v>
      </c>
      <c r="I577" s="206"/>
      <c r="J577" s="206">
        <v>20</v>
      </c>
      <c r="K577" s="206">
        <v>33</v>
      </c>
      <c r="L577" s="206">
        <v>30</v>
      </c>
      <c r="M577" s="206">
        <v>17</v>
      </c>
      <c r="N577" s="206" t="s">
        <v>427</v>
      </c>
      <c r="O577" s="206">
        <f t="shared" si="268"/>
        <v>109</v>
      </c>
      <c r="P577" s="206">
        <f t="shared" si="269"/>
        <v>100</v>
      </c>
      <c r="Q577" s="206" t="str">
        <f t="shared" si="270"/>
        <v>HW</v>
      </c>
      <c r="R577" s="206" t="str">
        <f t="shared" si="271"/>
        <v>HL</v>
      </c>
      <c r="S577" s="206" t="str">
        <f t="shared" si="272"/>
        <v>HL</v>
      </c>
      <c r="T577" s="206" t="str">
        <f t="shared" si="273"/>
        <v>HW</v>
      </c>
      <c r="U577" s="206" t="str">
        <f t="shared" si="274"/>
        <v>U</v>
      </c>
      <c r="V577" s="206" t="str">
        <f t="shared" si="275"/>
        <v>O</v>
      </c>
      <c r="W577" s="206" t="str">
        <f t="shared" si="276"/>
        <v>U</v>
      </c>
      <c r="X577" s="206" t="str">
        <f t="shared" si="277"/>
        <v>U</v>
      </c>
      <c r="Y577" s="206"/>
      <c r="Z577" s="206">
        <v>56</v>
      </c>
      <c r="AA577" s="206" t="str">
        <f t="shared" si="267"/>
        <v>LAC/GS</v>
      </c>
    </row>
    <row r="578" spans="1:27" ht="17.100000000000001" x14ac:dyDescent="0.45">
      <c r="A578" s="206">
        <v>200112</v>
      </c>
      <c r="B578" s="44">
        <v>0.29166666666666669</v>
      </c>
      <c r="C578" s="206" t="s">
        <v>403</v>
      </c>
      <c r="D578" s="206" t="s">
        <v>420</v>
      </c>
      <c r="E578" s="206">
        <v>22</v>
      </c>
      <c r="F578" s="206">
        <v>35</v>
      </c>
      <c r="G578" s="206">
        <v>45</v>
      </c>
      <c r="H578" s="206">
        <v>37</v>
      </c>
      <c r="I578" s="206"/>
      <c r="J578" s="206">
        <v>20</v>
      </c>
      <c r="K578" s="206">
        <v>21</v>
      </c>
      <c r="L578" s="206">
        <v>35</v>
      </c>
      <c r="M578" s="206">
        <v>33</v>
      </c>
      <c r="N578" s="206" t="s">
        <v>427</v>
      </c>
      <c r="O578" s="206">
        <f t="shared" si="268"/>
        <v>139</v>
      </c>
      <c r="P578" s="206">
        <f t="shared" si="269"/>
        <v>109</v>
      </c>
      <c r="Q578" s="206" t="str">
        <f t="shared" si="270"/>
        <v>HW</v>
      </c>
      <c r="R578" s="206" t="str">
        <f t="shared" si="271"/>
        <v>HW</v>
      </c>
      <c r="S578" s="206" t="str">
        <f t="shared" si="272"/>
        <v>HW</v>
      </c>
      <c r="T578" s="206" t="str">
        <f t="shared" si="273"/>
        <v>HW</v>
      </c>
      <c r="U578" s="206" t="str">
        <f t="shared" si="274"/>
        <v>U</v>
      </c>
      <c r="V578" s="206" t="str">
        <f t="shared" si="275"/>
        <v>U</v>
      </c>
      <c r="W578" s="206" t="str">
        <f t="shared" si="276"/>
        <v>O</v>
      </c>
      <c r="X578" s="206" t="str">
        <f t="shared" si="277"/>
        <v>O</v>
      </c>
      <c r="Y578" s="206"/>
      <c r="Z578" s="206">
        <v>60</v>
      </c>
      <c r="AA578" s="206" t="str">
        <f t="shared" si="267"/>
        <v>HOU/MIN</v>
      </c>
    </row>
    <row r="579" spans="1:27" ht="17.100000000000001" x14ac:dyDescent="0.45">
      <c r="A579" s="206">
        <v>200112</v>
      </c>
      <c r="B579" s="44">
        <v>0.375</v>
      </c>
      <c r="C579" s="206" t="s">
        <v>421</v>
      </c>
      <c r="D579" s="206" t="s">
        <v>398</v>
      </c>
      <c r="E579" s="206">
        <v>41</v>
      </c>
      <c r="F579" s="206">
        <v>31</v>
      </c>
      <c r="G579" s="206">
        <v>42</v>
      </c>
      <c r="H579" s="206">
        <v>26</v>
      </c>
      <c r="I579" s="206"/>
      <c r="J579" s="206">
        <v>24</v>
      </c>
      <c r="K579" s="206">
        <v>33</v>
      </c>
      <c r="L579" s="206">
        <v>25</v>
      </c>
      <c r="M579" s="206">
        <v>23</v>
      </c>
      <c r="N579" s="206" t="s">
        <v>427</v>
      </c>
      <c r="O579" s="206">
        <f t="shared" si="268"/>
        <v>140</v>
      </c>
      <c r="P579" s="206">
        <f t="shared" si="269"/>
        <v>105</v>
      </c>
      <c r="Q579" s="206" t="str">
        <f t="shared" si="270"/>
        <v>HW</v>
      </c>
      <c r="R579" s="206" t="str">
        <f t="shared" si="271"/>
        <v>HL</v>
      </c>
      <c r="S579" s="206" t="str">
        <f t="shared" si="272"/>
        <v>HW</v>
      </c>
      <c r="T579" s="206" t="str">
        <f t="shared" si="273"/>
        <v>HW</v>
      </c>
      <c r="U579" s="206" t="str">
        <f t="shared" si="274"/>
        <v>O</v>
      </c>
      <c r="V579" s="206" t="str">
        <f t="shared" si="275"/>
        <v>O</v>
      </c>
      <c r="W579" s="206" t="str">
        <f t="shared" si="276"/>
        <v>O</v>
      </c>
      <c r="X579" s="206" t="str">
        <f t="shared" si="277"/>
        <v>U</v>
      </c>
      <c r="Y579" s="206"/>
      <c r="Z579" s="206">
        <v>57.5</v>
      </c>
      <c r="AA579" s="206" t="str">
        <f t="shared" si="267"/>
        <v>BOS/NO</v>
      </c>
    </row>
    <row r="580" spans="1:27" ht="17.100000000000001" x14ac:dyDescent="0.45">
      <c r="A580" s="206">
        <v>200112</v>
      </c>
      <c r="B580" s="44">
        <v>0.375</v>
      </c>
      <c r="C580" s="206" t="s">
        <v>422</v>
      </c>
      <c r="D580" s="206" t="s">
        <v>412</v>
      </c>
      <c r="E580" s="206">
        <v>20</v>
      </c>
      <c r="F580" s="206">
        <v>29</v>
      </c>
      <c r="G580" s="206">
        <v>22</v>
      </c>
      <c r="H580" s="206">
        <v>28</v>
      </c>
      <c r="I580" s="206"/>
      <c r="J580" s="206">
        <v>35</v>
      </c>
      <c r="K580" s="206">
        <v>26</v>
      </c>
      <c r="L580" s="206">
        <v>20</v>
      </c>
      <c r="M580" s="206">
        <v>27</v>
      </c>
      <c r="N580" s="206" t="s">
        <v>427</v>
      </c>
      <c r="O580" s="206">
        <f t="shared" si="268"/>
        <v>99</v>
      </c>
      <c r="P580" s="206">
        <f t="shared" si="269"/>
        <v>108</v>
      </c>
      <c r="Q580" s="206" t="str">
        <f t="shared" si="270"/>
        <v>HL</v>
      </c>
      <c r="R580" s="206" t="str">
        <f t="shared" si="271"/>
        <v>HW</v>
      </c>
      <c r="S580" s="206" t="str">
        <f t="shared" si="272"/>
        <v>HW</v>
      </c>
      <c r="T580" s="206" t="str">
        <f t="shared" si="273"/>
        <v>HW</v>
      </c>
      <c r="U580" s="206" t="str">
        <f t="shared" si="274"/>
        <v>U</v>
      </c>
      <c r="V580" s="206" t="str">
        <f t="shared" si="275"/>
        <v>U</v>
      </c>
      <c r="W580" s="206" t="str">
        <f t="shared" si="276"/>
        <v>U</v>
      </c>
      <c r="X580" s="206" t="str">
        <f t="shared" si="277"/>
        <v>U</v>
      </c>
      <c r="Y580" s="206"/>
      <c r="Z580" s="206">
        <v>55.5</v>
      </c>
      <c r="AA580" s="206" t="str">
        <f t="shared" si="267"/>
        <v>DET/CHI</v>
      </c>
    </row>
    <row r="581" spans="1:27" ht="17.100000000000001" x14ac:dyDescent="0.45">
      <c r="A581" s="206">
        <v>200112</v>
      </c>
      <c r="B581" s="44">
        <v>0.41666666666666669</v>
      </c>
      <c r="C581" s="206" t="s">
        <v>418</v>
      </c>
      <c r="D581" s="206" t="s">
        <v>419</v>
      </c>
      <c r="E581" s="206">
        <v>19</v>
      </c>
      <c r="F581" s="206">
        <v>30</v>
      </c>
      <c r="G581" s="206">
        <v>33</v>
      </c>
      <c r="H581" s="206">
        <v>28</v>
      </c>
      <c r="I581" s="206"/>
      <c r="J581" s="206">
        <v>41</v>
      </c>
      <c r="K581" s="206">
        <v>32</v>
      </c>
      <c r="L581" s="206">
        <v>29</v>
      </c>
      <c r="M581" s="206">
        <v>23</v>
      </c>
      <c r="N581" s="206" t="s">
        <v>427</v>
      </c>
      <c r="O581" s="206">
        <f t="shared" si="268"/>
        <v>110</v>
      </c>
      <c r="P581" s="206">
        <f t="shared" si="269"/>
        <v>125</v>
      </c>
      <c r="Q581" s="206" t="str">
        <f t="shared" si="270"/>
        <v>HL</v>
      </c>
      <c r="R581" s="206" t="str">
        <f t="shared" si="271"/>
        <v>HL</v>
      </c>
      <c r="S581" s="206" t="str">
        <f t="shared" si="272"/>
        <v>HW</v>
      </c>
      <c r="T581" s="206" t="str">
        <f t="shared" si="273"/>
        <v>HW</v>
      </c>
      <c r="U581" s="206" t="str">
        <f t="shared" si="274"/>
        <v>O</v>
      </c>
      <c r="V581" s="206" t="str">
        <f t="shared" si="275"/>
        <v>O</v>
      </c>
      <c r="W581" s="206" t="str">
        <f t="shared" si="276"/>
        <v>O</v>
      </c>
      <c r="X581" s="206" t="str">
        <f t="shared" si="277"/>
        <v>U</v>
      </c>
      <c r="Y581" s="206"/>
      <c r="Z581" s="206">
        <v>55</v>
      </c>
      <c r="AA581" s="206" t="str">
        <f t="shared" si="267"/>
        <v>OKC/LAL</v>
      </c>
    </row>
    <row r="582" spans="1:27" ht="17.100000000000001" x14ac:dyDescent="0.45">
      <c r="A582" s="206">
        <v>200112</v>
      </c>
      <c r="B582" s="44">
        <v>0.4375</v>
      </c>
      <c r="C582" s="206" t="s">
        <v>397</v>
      </c>
      <c r="D582" s="206" t="s">
        <v>401</v>
      </c>
      <c r="E582" s="206">
        <v>20</v>
      </c>
      <c r="F582" s="206">
        <v>21</v>
      </c>
      <c r="G582" s="206">
        <v>32</v>
      </c>
      <c r="H582" s="206">
        <v>36</v>
      </c>
      <c r="I582" s="206"/>
      <c r="J582" s="206">
        <v>22</v>
      </c>
      <c r="K582" s="206">
        <v>28</v>
      </c>
      <c r="L582" s="206">
        <v>16</v>
      </c>
      <c r="M582" s="206">
        <v>25</v>
      </c>
      <c r="N582" s="206" t="s">
        <v>427</v>
      </c>
      <c r="O582" s="206">
        <f t="shared" si="268"/>
        <v>109</v>
      </c>
      <c r="P582" s="206">
        <f t="shared" si="269"/>
        <v>91</v>
      </c>
      <c r="Q582" s="206" t="str">
        <f t="shared" si="270"/>
        <v>HL</v>
      </c>
      <c r="R582" s="206" t="str">
        <f t="shared" si="271"/>
        <v>HL</v>
      </c>
      <c r="S582" s="206" t="str">
        <f t="shared" si="272"/>
        <v>HW</v>
      </c>
      <c r="T582" s="206" t="str">
        <f t="shared" si="273"/>
        <v>HW</v>
      </c>
      <c r="U582" s="206" t="str">
        <f t="shared" si="274"/>
        <v>U</v>
      </c>
      <c r="V582" s="206" t="str">
        <f t="shared" si="275"/>
        <v>U</v>
      </c>
      <c r="W582" s="206" t="str">
        <f t="shared" si="276"/>
        <v>U</v>
      </c>
      <c r="X582" s="206" t="str">
        <f t="shared" si="277"/>
        <v>O</v>
      </c>
      <c r="Y582" s="206"/>
      <c r="Z582" s="206">
        <v>55.5</v>
      </c>
      <c r="AA582" s="206" t="str">
        <f t="shared" si="267"/>
        <v>DAL/PHI</v>
      </c>
    </row>
    <row r="583" spans="1:27" ht="17.100000000000001" x14ac:dyDescent="0.45">
      <c r="A583" s="206">
        <v>200112</v>
      </c>
      <c r="B583" s="44">
        <v>0.45833333333333331</v>
      </c>
      <c r="C583" s="206" t="s">
        <v>408</v>
      </c>
      <c r="D583" s="206" t="s">
        <v>402</v>
      </c>
      <c r="E583" s="206">
        <v>18</v>
      </c>
      <c r="F583" s="206">
        <v>24</v>
      </c>
      <c r="G583" s="206">
        <v>29</v>
      </c>
      <c r="H583" s="206">
        <v>32</v>
      </c>
      <c r="I583" s="206"/>
      <c r="J583" s="206">
        <v>23</v>
      </c>
      <c r="K583" s="206">
        <v>28</v>
      </c>
      <c r="L583" s="206">
        <v>34</v>
      </c>
      <c r="M583" s="206">
        <v>26</v>
      </c>
      <c r="N583" s="206" t="s">
        <v>427</v>
      </c>
      <c r="O583" s="206">
        <f t="shared" si="268"/>
        <v>103</v>
      </c>
      <c r="P583" s="206">
        <f t="shared" si="269"/>
        <v>111</v>
      </c>
      <c r="Q583" s="206" t="str">
        <f t="shared" si="270"/>
        <v>HL</v>
      </c>
      <c r="R583" s="206" t="str">
        <f t="shared" si="271"/>
        <v>HL</v>
      </c>
      <c r="S583" s="206" t="str">
        <f t="shared" si="272"/>
        <v>HL</v>
      </c>
      <c r="T583" s="206" t="str">
        <f t="shared" si="273"/>
        <v>HW</v>
      </c>
      <c r="U583" s="206" t="str">
        <f t="shared" si="274"/>
        <v>U</v>
      </c>
      <c r="V583" s="206" t="str">
        <f t="shared" si="275"/>
        <v>U</v>
      </c>
      <c r="W583" s="206" t="str">
        <f t="shared" si="276"/>
        <v>O</v>
      </c>
      <c r="X583" s="206" t="str">
        <f t="shared" si="277"/>
        <v>O</v>
      </c>
      <c r="Y583" s="206"/>
      <c r="Z583" s="206">
        <v>53</v>
      </c>
      <c r="AA583" s="206" t="str">
        <f t="shared" si="267"/>
        <v>DEN/CLE</v>
      </c>
    </row>
    <row r="584" spans="1:27" ht="17.100000000000001" x14ac:dyDescent="0.45">
      <c r="A584" s="206">
        <v>200112</v>
      </c>
      <c r="B584" s="44">
        <v>0.5</v>
      </c>
      <c r="C584" s="206" t="s">
        <v>417</v>
      </c>
      <c r="D584" s="206" t="s">
        <v>423</v>
      </c>
      <c r="E584" s="206">
        <v>24</v>
      </c>
      <c r="F584" s="206">
        <v>31</v>
      </c>
      <c r="G584" s="206">
        <v>25</v>
      </c>
      <c r="H584" s="206">
        <v>21</v>
      </c>
      <c r="I584" s="206"/>
      <c r="J584" s="206">
        <v>32</v>
      </c>
      <c r="K584" s="206">
        <v>32</v>
      </c>
      <c r="L584" s="206">
        <v>33</v>
      </c>
      <c r="M584" s="206">
        <v>25</v>
      </c>
      <c r="N584" s="206" t="s">
        <v>427</v>
      </c>
      <c r="O584" s="206">
        <f t="shared" si="268"/>
        <v>101</v>
      </c>
      <c r="P584" s="206">
        <f t="shared" si="269"/>
        <v>122</v>
      </c>
      <c r="Q584" s="206" t="str">
        <f t="shared" si="270"/>
        <v>HL</v>
      </c>
      <c r="R584" s="206" t="str">
        <f t="shared" si="271"/>
        <v>HL</v>
      </c>
      <c r="S584" s="206" t="str">
        <f t="shared" si="272"/>
        <v>HL</v>
      </c>
      <c r="T584" s="206" t="str">
        <f t="shared" si="273"/>
        <v>HL</v>
      </c>
      <c r="U584" s="206" t="str">
        <f t="shared" si="274"/>
        <v>U</v>
      </c>
      <c r="V584" s="206" t="str">
        <f t="shared" si="275"/>
        <v>O</v>
      </c>
      <c r="W584" s="206" t="str">
        <f t="shared" si="276"/>
        <v>O</v>
      </c>
      <c r="X584" s="206" t="str">
        <f t="shared" si="277"/>
        <v>U</v>
      </c>
      <c r="Y584" s="206"/>
      <c r="Z584" s="206">
        <v>57</v>
      </c>
      <c r="AA584" s="206" t="str">
        <f t="shared" si="267"/>
        <v>POR/MIL</v>
      </c>
    </row>
    <row r="585" spans="1:27" ht="17.100000000000001" x14ac:dyDescent="0.45">
      <c r="A585" s="206">
        <v>200113</v>
      </c>
      <c r="B585" s="44">
        <v>0.22916666666666666</v>
      </c>
      <c r="C585" s="206" t="s">
        <v>399</v>
      </c>
      <c r="D585" s="206" t="s">
        <v>411</v>
      </c>
      <c r="E585" s="206">
        <v>27</v>
      </c>
      <c r="F585" s="206">
        <v>28</v>
      </c>
      <c r="G585" s="206">
        <v>29</v>
      </c>
      <c r="H585" s="206">
        <v>40</v>
      </c>
      <c r="I585" s="206"/>
      <c r="J585" s="206">
        <v>31</v>
      </c>
      <c r="K585" s="206">
        <v>29</v>
      </c>
      <c r="L585" s="206">
        <v>34</v>
      </c>
      <c r="M585" s="206">
        <v>27</v>
      </c>
      <c r="N585" s="206" t="s">
        <v>427</v>
      </c>
      <c r="O585" s="206">
        <f t="shared" si="268"/>
        <v>124</v>
      </c>
      <c r="P585" s="206">
        <f t="shared" si="269"/>
        <v>121</v>
      </c>
      <c r="Q585" s="206" t="str">
        <f t="shared" si="270"/>
        <v>HL</v>
      </c>
      <c r="R585" s="206" t="str">
        <f t="shared" si="271"/>
        <v>HL</v>
      </c>
      <c r="S585" s="206" t="str">
        <f t="shared" si="272"/>
        <v>HL</v>
      </c>
      <c r="T585" s="206" t="str">
        <f t="shared" si="273"/>
        <v>HW</v>
      </c>
      <c r="U585" s="206" t="str">
        <f t="shared" si="274"/>
        <v>O</v>
      </c>
      <c r="V585" s="206" t="str">
        <f t="shared" si="275"/>
        <v>O</v>
      </c>
      <c r="W585" s="206" t="str">
        <f t="shared" si="276"/>
        <v>O</v>
      </c>
      <c r="X585" s="206" t="str">
        <f t="shared" si="277"/>
        <v>O</v>
      </c>
      <c r="Y585" s="206"/>
      <c r="Z585" s="206">
        <v>56</v>
      </c>
      <c r="AA585" s="206" t="str">
        <f t="shared" si="267"/>
        <v>NYK/MIA</v>
      </c>
    </row>
    <row r="586" spans="1:27" ht="17.100000000000001" x14ac:dyDescent="0.45">
      <c r="A586" s="206">
        <v>200113</v>
      </c>
      <c r="B586" s="44">
        <v>0.22916666666666666</v>
      </c>
      <c r="C586" s="206" t="s">
        <v>414</v>
      </c>
      <c r="D586" s="206" t="s">
        <v>405</v>
      </c>
      <c r="E586" s="206">
        <v>34</v>
      </c>
      <c r="F586" s="206">
        <v>32</v>
      </c>
      <c r="G586" s="206">
        <v>25</v>
      </c>
      <c r="H586" s="206">
        <v>25</v>
      </c>
      <c r="I586" s="206"/>
      <c r="J586" s="206">
        <v>23</v>
      </c>
      <c r="K586" s="206">
        <v>32</v>
      </c>
      <c r="L586" s="206">
        <v>38</v>
      </c>
      <c r="M586" s="206">
        <v>34</v>
      </c>
      <c r="N586" s="206" t="s">
        <v>427</v>
      </c>
      <c r="O586" s="206">
        <f t="shared" si="268"/>
        <v>116</v>
      </c>
      <c r="P586" s="206">
        <f t="shared" si="269"/>
        <v>127</v>
      </c>
      <c r="Q586" s="206" t="str">
        <f t="shared" si="270"/>
        <v>HW</v>
      </c>
      <c r="R586" s="206" t="str">
        <f t="shared" si="271"/>
        <v>TT</v>
      </c>
      <c r="S586" s="206" t="str">
        <f t="shared" si="272"/>
        <v>HL</v>
      </c>
      <c r="T586" s="206" t="str">
        <f t="shared" si="273"/>
        <v>HL</v>
      </c>
      <c r="U586" s="206" t="str">
        <f t="shared" si="274"/>
        <v>O</v>
      </c>
      <c r="V586" s="206" t="str">
        <f t="shared" si="275"/>
        <v>O</v>
      </c>
      <c r="W586" s="206" t="str">
        <f t="shared" si="276"/>
        <v>O</v>
      </c>
      <c r="X586" s="206" t="str">
        <f t="shared" si="277"/>
        <v>O</v>
      </c>
      <c r="Y586" s="206"/>
      <c r="Z586" s="206">
        <v>55</v>
      </c>
      <c r="AA586" s="206" t="str">
        <f t="shared" si="267"/>
        <v>WAS/UTA</v>
      </c>
    </row>
    <row r="587" spans="1:27" ht="17.100000000000001" x14ac:dyDescent="0.45">
      <c r="A587" s="206">
        <v>200113</v>
      </c>
      <c r="B587" s="44">
        <v>0.33333333333333331</v>
      </c>
      <c r="C587" s="206" t="s">
        <v>407</v>
      </c>
      <c r="D587" s="206" t="s">
        <v>410</v>
      </c>
      <c r="E587" s="206">
        <v>37</v>
      </c>
      <c r="F587" s="206">
        <v>33</v>
      </c>
      <c r="G587" s="206">
        <v>22</v>
      </c>
      <c r="H587" s="206">
        <v>16</v>
      </c>
      <c r="I587" s="206"/>
      <c r="J587" s="206">
        <v>16</v>
      </c>
      <c r="K587" s="206">
        <v>30</v>
      </c>
      <c r="L587" s="206">
        <v>20</v>
      </c>
      <c r="M587" s="206">
        <v>20</v>
      </c>
      <c r="N587" s="206" t="s">
        <v>427</v>
      </c>
      <c r="O587" s="206">
        <f t="shared" si="268"/>
        <v>108</v>
      </c>
      <c r="P587" s="206">
        <f t="shared" si="269"/>
        <v>86</v>
      </c>
      <c r="Q587" s="206" t="str">
        <f t="shared" si="270"/>
        <v>HW</v>
      </c>
      <c r="R587" s="206" t="str">
        <f t="shared" si="271"/>
        <v>HW</v>
      </c>
      <c r="S587" s="206" t="str">
        <f t="shared" si="272"/>
        <v>HW</v>
      </c>
      <c r="T587" s="206" t="str">
        <f t="shared" si="273"/>
        <v>HL</v>
      </c>
      <c r="U587" s="206" t="str">
        <f t="shared" si="274"/>
        <v>U</v>
      </c>
      <c r="V587" s="206" t="str">
        <f t="shared" si="275"/>
        <v>O</v>
      </c>
      <c r="W587" s="206" t="str">
        <f t="shared" si="276"/>
        <v>U</v>
      </c>
      <c r="X587" s="206" t="str">
        <f t="shared" si="277"/>
        <v>U</v>
      </c>
      <c r="Y587" s="206"/>
      <c r="Z587" s="206">
        <v>58</v>
      </c>
      <c r="AA587" s="206" t="str">
        <f t="shared" si="267"/>
        <v>BKN/ATL</v>
      </c>
    </row>
    <row r="588" spans="1:27" ht="17.100000000000001" x14ac:dyDescent="0.45">
      <c r="A588" s="206">
        <v>200113</v>
      </c>
      <c r="B588" s="44">
        <v>0.33333333333333331</v>
      </c>
      <c r="C588" s="206" t="s">
        <v>413</v>
      </c>
      <c r="D588" s="206" t="s">
        <v>426</v>
      </c>
      <c r="E588" s="206">
        <v>28</v>
      </c>
      <c r="F588" s="206">
        <v>23</v>
      </c>
      <c r="G588" s="206">
        <v>31</v>
      </c>
      <c r="H588" s="206">
        <v>22</v>
      </c>
      <c r="I588" s="206"/>
      <c r="J588" s="206">
        <v>21</v>
      </c>
      <c r="K588" s="206">
        <v>22</v>
      </c>
      <c r="L588" s="206">
        <v>26</v>
      </c>
      <c r="M588" s="206">
        <v>36</v>
      </c>
      <c r="N588" s="206" t="s">
        <v>427</v>
      </c>
      <c r="O588" s="206">
        <f t="shared" si="268"/>
        <v>104</v>
      </c>
      <c r="P588" s="206">
        <f t="shared" si="269"/>
        <v>105</v>
      </c>
      <c r="Q588" s="206" t="str">
        <f t="shared" si="270"/>
        <v>HW</v>
      </c>
      <c r="R588" s="206" t="str">
        <f t="shared" si="271"/>
        <v>HW</v>
      </c>
      <c r="S588" s="206" t="str">
        <f t="shared" si="272"/>
        <v>HW</v>
      </c>
      <c r="T588" s="206" t="str">
        <f t="shared" si="273"/>
        <v>HL</v>
      </c>
      <c r="U588" s="206" t="str">
        <f t="shared" si="274"/>
        <v>U</v>
      </c>
      <c r="V588" s="206" t="str">
        <f t="shared" si="275"/>
        <v>U</v>
      </c>
      <c r="W588" s="206" t="str">
        <f t="shared" si="276"/>
        <v>O</v>
      </c>
      <c r="X588" s="206" t="str">
        <f t="shared" si="277"/>
        <v>O</v>
      </c>
      <c r="Y588" s="206"/>
      <c r="Z588" s="206">
        <v>54.5</v>
      </c>
      <c r="AA588" s="206" t="str">
        <f t="shared" ref="AA588:AA651" si="278">C588&amp;"/"&amp;D588</f>
        <v>TOR/SAS</v>
      </c>
    </row>
    <row r="589" spans="1:27" ht="17.100000000000001" x14ac:dyDescent="0.45">
      <c r="A589" s="206">
        <v>200113</v>
      </c>
      <c r="B589" s="44">
        <v>0.33333333333333331</v>
      </c>
      <c r="C589" s="206" t="s">
        <v>406</v>
      </c>
      <c r="D589" s="206" t="s">
        <v>425</v>
      </c>
      <c r="E589" s="206">
        <v>27</v>
      </c>
      <c r="F589" s="206">
        <v>33</v>
      </c>
      <c r="G589" s="206">
        <v>35</v>
      </c>
      <c r="H589" s="206">
        <v>27</v>
      </c>
      <c r="I589" s="206"/>
      <c r="J589" s="206">
        <v>26</v>
      </c>
      <c r="K589" s="206">
        <v>33</v>
      </c>
      <c r="L589" s="206">
        <v>17</v>
      </c>
      <c r="M589" s="206">
        <v>26</v>
      </c>
      <c r="N589" s="206" t="s">
        <v>427</v>
      </c>
      <c r="O589" s="206">
        <f t="shared" si="268"/>
        <v>122</v>
      </c>
      <c r="P589" s="206">
        <f t="shared" si="269"/>
        <v>102</v>
      </c>
      <c r="Q589" s="206" t="str">
        <f t="shared" si="270"/>
        <v>HW</v>
      </c>
      <c r="R589" s="206" t="str">
        <f t="shared" si="271"/>
        <v>TT</v>
      </c>
      <c r="S589" s="206" t="str">
        <f t="shared" si="272"/>
        <v>HW</v>
      </c>
      <c r="T589" s="206" t="str">
        <f t="shared" si="273"/>
        <v>HW</v>
      </c>
      <c r="U589" s="206" t="str">
        <f t="shared" si="274"/>
        <v>U</v>
      </c>
      <c r="V589" s="206" t="str">
        <f t="shared" si="275"/>
        <v>O</v>
      </c>
      <c r="W589" s="206" t="str">
        <f t="shared" si="276"/>
        <v>U</v>
      </c>
      <c r="X589" s="206" t="str">
        <f t="shared" si="277"/>
        <v>U</v>
      </c>
      <c r="Y589" s="206"/>
      <c r="Z589" s="206">
        <v>57.5</v>
      </c>
      <c r="AA589" s="206" t="str">
        <f t="shared" si="278"/>
        <v>MEM/GS</v>
      </c>
    </row>
    <row r="590" spans="1:27" ht="17.100000000000001" x14ac:dyDescent="0.45">
      <c r="A590" s="206">
        <v>200113</v>
      </c>
      <c r="B590" s="44">
        <v>0.41666666666666669</v>
      </c>
      <c r="C590" s="206" t="s">
        <v>408</v>
      </c>
      <c r="D590" s="206" t="s">
        <v>415</v>
      </c>
      <c r="E590" s="206">
        <v>29</v>
      </c>
      <c r="F590" s="206">
        <v>37</v>
      </c>
      <c r="G590" s="206">
        <v>23</v>
      </c>
      <c r="H590" s="206">
        <v>25</v>
      </c>
      <c r="I590" s="206"/>
      <c r="J590" s="206">
        <v>30</v>
      </c>
      <c r="K590" s="206">
        <v>22</v>
      </c>
      <c r="L590" s="206">
        <v>22</v>
      </c>
      <c r="M590" s="206">
        <v>30</v>
      </c>
      <c r="N590" s="206" t="s">
        <v>427</v>
      </c>
      <c r="O590" s="206">
        <f t="shared" si="268"/>
        <v>114</v>
      </c>
      <c r="P590" s="206">
        <f t="shared" si="269"/>
        <v>104</v>
      </c>
      <c r="Q590" s="206" t="str">
        <f t="shared" si="270"/>
        <v>HL</v>
      </c>
      <c r="R590" s="206" t="str">
        <f t="shared" si="271"/>
        <v>HW</v>
      </c>
      <c r="S590" s="206" t="str">
        <f t="shared" si="272"/>
        <v>HW</v>
      </c>
      <c r="T590" s="206" t="str">
        <f t="shared" si="273"/>
        <v>HL</v>
      </c>
      <c r="U590" s="206" t="str">
        <f t="shared" si="274"/>
        <v>O</v>
      </c>
      <c r="V590" s="206" t="str">
        <f t="shared" si="275"/>
        <v>O</v>
      </c>
      <c r="W590" s="206" t="str">
        <f t="shared" si="276"/>
        <v>U</v>
      </c>
      <c r="X590" s="206" t="str">
        <f t="shared" si="277"/>
        <v>U</v>
      </c>
      <c r="Y590" s="206"/>
      <c r="Z590" s="206">
        <v>57</v>
      </c>
      <c r="AA590" s="206" t="str">
        <f t="shared" si="278"/>
        <v>DEN/LAC</v>
      </c>
    </row>
    <row r="591" spans="1:27" ht="17.100000000000001" x14ac:dyDescent="0.45">
      <c r="A591" s="206">
        <v>200113</v>
      </c>
      <c r="B591" s="44">
        <v>0.41666666666666669</v>
      </c>
      <c r="C591" s="206" t="s">
        <v>404</v>
      </c>
      <c r="D591" s="206" t="s">
        <v>409</v>
      </c>
      <c r="E591" s="206">
        <v>18</v>
      </c>
      <c r="F591" s="206">
        <v>28</v>
      </c>
      <c r="G591" s="206">
        <v>25</v>
      </c>
      <c r="H591" s="206">
        <v>29</v>
      </c>
      <c r="I591" s="206"/>
      <c r="J591" s="206">
        <v>24</v>
      </c>
      <c r="K591" s="206">
        <v>21</v>
      </c>
      <c r="L591" s="206">
        <v>26</v>
      </c>
      <c r="M591" s="206">
        <v>21</v>
      </c>
      <c r="N591" s="206" t="s">
        <v>427</v>
      </c>
      <c r="O591" s="206">
        <f t="shared" si="268"/>
        <v>100</v>
      </c>
      <c r="P591" s="206">
        <f t="shared" si="269"/>
        <v>92</v>
      </c>
      <c r="Q591" s="206" t="str">
        <f t="shared" si="270"/>
        <v>HL</v>
      </c>
      <c r="R591" s="206" t="str">
        <f t="shared" si="271"/>
        <v>HW</v>
      </c>
      <c r="S591" s="206" t="str">
        <f t="shared" si="272"/>
        <v>HL</v>
      </c>
      <c r="T591" s="206" t="str">
        <f t="shared" si="273"/>
        <v>HW</v>
      </c>
      <c r="U591" s="206" t="str">
        <f t="shared" si="274"/>
        <v>U</v>
      </c>
      <c r="V591" s="206" t="str">
        <f t="shared" si="275"/>
        <v>U</v>
      </c>
      <c r="W591" s="206" t="str">
        <f t="shared" si="276"/>
        <v>U</v>
      </c>
      <c r="X591" s="206" t="str">
        <f t="shared" si="277"/>
        <v>U</v>
      </c>
      <c r="Y591" s="206"/>
      <c r="Z591" s="206">
        <v>55.5</v>
      </c>
      <c r="AA591" s="206" t="str">
        <f t="shared" si="278"/>
        <v>PHO/CHA</v>
      </c>
    </row>
    <row r="592" spans="1:27" ht="17.100000000000001" x14ac:dyDescent="0.45">
      <c r="A592" s="206">
        <v>200114</v>
      </c>
      <c r="B592" s="44">
        <v>0.375</v>
      </c>
      <c r="C592" s="206" t="s">
        <v>422</v>
      </c>
      <c r="D592" s="206" t="s">
        <v>398</v>
      </c>
      <c r="E592" s="206">
        <v>23</v>
      </c>
      <c r="F592" s="206">
        <v>29</v>
      </c>
      <c r="G592" s="206">
        <v>25</v>
      </c>
      <c r="H592" s="206">
        <v>25</v>
      </c>
      <c r="I592" s="206">
        <v>8</v>
      </c>
      <c r="J592" s="206">
        <v>32</v>
      </c>
      <c r="K592" s="206">
        <v>31</v>
      </c>
      <c r="L592" s="206">
        <v>26</v>
      </c>
      <c r="M592" s="206">
        <v>13</v>
      </c>
      <c r="N592" s="206">
        <v>15</v>
      </c>
      <c r="O592" s="206">
        <f t="shared" si="268"/>
        <v>110</v>
      </c>
      <c r="P592" s="206">
        <f t="shared" si="269"/>
        <v>117</v>
      </c>
      <c r="Q592" s="206" t="str">
        <f t="shared" si="270"/>
        <v>HL</v>
      </c>
      <c r="R592" s="206" t="str">
        <f t="shared" si="271"/>
        <v>HL</v>
      </c>
      <c r="S592" s="206" t="str">
        <f t="shared" si="272"/>
        <v>HL</v>
      </c>
      <c r="T592" s="206" t="str">
        <f t="shared" si="273"/>
        <v>HW</v>
      </c>
      <c r="U592" s="206" t="str">
        <f t="shared" si="274"/>
        <v>U</v>
      </c>
      <c r="V592" s="206" t="str">
        <f t="shared" si="275"/>
        <v>O</v>
      </c>
      <c r="W592" s="206" t="str">
        <f t="shared" si="276"/>
        <v>U</v>
      </c>
      <c r="X592" s="206" t="str">
        <f t="shared" si="277"/>
        <v>U</v>
      </c>
      <c r="Y592" s="206"/>
      <c r="Z592" s="206">
        <v>57</v>
      </c>
      <c r="AA592" s="206" t="str">
        <f t="shared" si="278"/>
        <v>DET/NO</v>
      </c>
    </row>
    <row r="593" spans="1:32" ht="17.100000000000001" x14ac:dyDescent="0.45">
      <c r="A593" s="206">
        <v>200114</v>
      </c>
      <c r="B593" s="44">
        <v>0.375</v>
      </c>
      <c r="C593" s="206" t="s">
        <v>400</v>
      </c>
      <c r="D593" s="206" t="s">
        <v>401</v>
      </c>
      <c r="E593" s="206">
        <v>22</v>
      </c>
      <c r="F593" s="206">
        <v>18</v>
      </c>
      <c r="G593" s="206">
        <v>29</v>
      </c>
      <c r="H593" s="206">
        <v>32</v>
      </c>
      <c r="I593" s="206"/>
      <c r="J593" s="206">
        <v>23</v>
      </c>
      <c r="K593" s="206">
        <v>26</v>
      </c>
      <c r="L593" s="206">
        <v>20</v>
      </c>
      <c r="M593" s="206">
        <v>26</v>
      </c>
      <c r="N593" s="206" t="s">
        <v>427</v>
      </c>
      <c r="O593" s="206">
        <f t="shared" si="268"/>
        <v>101</v>
      </c>
      <c r="P593" s="206">
        <f t="shared" si="269"/>
        <v>95</v>
      </c>
      <c r="Q593" s="206" t="str">
        <f t="shared" si="270"/>
        <v>HL</v>
      </c>
      <c r="R593" s="206" t="str">
        <f t="shared" si="271"/>
        <v>HL</v>
      </c>
      <c r="S593" s="206" t="str">
        <f t="shared" si="272"/>
        <v>HW</v>
      </c>
      <c r="T593" s="206" t="str">
        <f t="shared" si="273"/>
        <v>HW</v>
      </c>
      <c r="U593" s="206" t="str">
        <f t="shared" si="274"/>
        <v>U</v>
      </c>
      <c r="V593" s="206" t="str">
        <f t="shared" si="275"/>
        <v>U</v>
      </c>
      <c r="W593" s="206" t="str">
        <f t="shared" si="276"/>
        <v>U</v>
      </c>
      <c r="X593" s="206" t="str">
        <f t="shared" si="277"/>
        <v>O</v>
      </c>
      <c r="Y593" s="206"/>
      <c r="Z593" s="206">
        <v>53</v>
      </c>
      <c r="AA593" s="206" t="str">
        <f t="shared" si="278"/>
        <v>IND/PHI</v>
      </c>
    </row>
    <row r="594" spans="1:32" ht="17.100000000000001" x14ac:dyDescent="0.45">
      <c r="A594" s="206">
        <v>200114</v>
      </c>
      <c r="B594" s="44">
        <v>0.39583333333333331</v>
      </c>
      <c r="C594" s="206" t="s">
        <v>421</v>
      </c>
      <c r="D594" s="206" t="s">
        <v>412</v>
      </c>
      <c r="E594" s="206">
        <v>28</v>
      </c>
      <c r="F594" s="206">
        <v>27</v>
      </c>
      <c r="G594" s="206">
        <v>28</v>
      </c>
      <c r="H594" s="206">
        <v>30</v>
      </c>
      <c r="I594" s="206"/>
      <c r="J594" s="206">
        <v>14</v>
      </c>
      <c r="K594" s="206">
        <v>23</v>
      </c>
      <c r="L594" s="206">
        <v>34</v>
      </c>
      <c r="M594" s="206">
        <v>30</v>
      </c>
      <c r="N594" s="206" t="s">
        <v>427</v>
      </c>
      <c r="O594" s="206">
        <f t="shared" si="268"/>
        <v>113</v>
      </c>
      <c r="P594" s="206">
        <f t="shared" si="269"/>
        <v>101</v>
      </c>
      <c r="Q594" s="206" t="str">
        <f t="shared" si="270"/>
        <v>HW</v>
      </c>
      <c r="R594" s="206" t="str">
        <f t="shared" si="271"/>
        <v>HW</v>
      </c>
      <c r="S594" s="206" t="str">
        <f t="shared" si="272"/>
        <v>HL</v>
      </c>
      <c r="T594" s="206" t="str">
        <f t="shared" si="273"/>
        <v>TT</v>
      </c>
      <c r="U594" s="206" t="str">
        <f t="shared" si="274"/>
        <v>U</v>
      </c>
      <c r="V594" s="206" t="str">
        <f t="shared" si="275"/>
        <v>U</v>
      </c>
      <c r="W594" s="206" t="str">
        <f t="shared" si="276"/>
        <v>O</v>
      </c>
      <c r="X594" s="206" t="str">
        <f t="shared" si="277"/>
        <v>O</v>
      </c>
      <c r="Y594" s="206"/>
      <c r="Z594" s="206">
        <v>55.5</v>
      </c>
      <c r="AA594" s="206" t="str">
        <f t="shared" si="278"/>
        <v>BOS/CHI</v>
      </c>
    </row>
    <row r="595" spans="1:32" ht="17.100000000000001" x14ac:dyDescent="0.45">
      <c r="A595" s="206">
        <v>200114</v>
      </c>
      <c r="B595" s="44">
        <v>0.41666666666666669</v>
      </c>
      <c r="C595" s="206" t="s">
        <v>420</v>
      </c>
      <c r="D595" s="206" t="s">
        <v>418</v>
      </c>
      <c r="E595" s="206">
        <v>33</v>
      </c>
      <c r="F595" s="206">
        <v>27</v>
      </c>
      <c r="G595" s="206">
        <v>19</v>
      </c>
      <c r="H595" s="206">
        <v>25</v>
      </c>
      <c r="I595" s="206"/>
      <c r="J595" s="206">
        <v>30</v>
      </c>
      <c r="K595" s="206">
        <v>33</v>
      </c>
      <c r="L595" s="206">
        <v>29</v>
      </c>
      <c r="M595" s="206">
        <v>25</v>
      </c>
      <c r="N595" s="206" t="s">
        <v>427</v>
      </c>
      <c r="O595" s="206">
        <f t="shared" si="268"/>
        <v>104</v>
      </c>
      <c r="P595" s="206">
        <f t="shared" si="269"/>
        <v>117</v>
      </c>
      <c r="Q595" s="206" t="str">
        <f t="shared" si="270"/>
        <v>HW</v>
      </c>
      <c r="R595" s="206" t="str">
        <f t="shared" si="271"/>
        <v>HL</v>
      </c>
      <c r="S595" s="206" t="str">
        <f t="shared" si="272"/>
        <v>HL</v>
      </c>
      <c r="T595" s="206" t="str">
        <f t="shared" si="273"/>
        <v>TT</v>
      </c>
      <c r="U595" s="206" t="str">
        <f t="shared" si="274"/>
        <v>O</v>
      </c>
      <c r="V595" s="206" t="str">
        <f t="shared" si="275"/>
        <v>O</v>
      </c>
      <c r="W595" s="206" t="str">
        <f t="shared" si="276"/>
        <v>U</v>
      </c>
      <c r="X595" s="206" t="str">
        <f t="shared" si="277"/>
        <v>U</v>
      </c>
      <c r="Y595" s="206"/>
      <c r="Z595" s="206">
        <v>56</v>
      </c>
      <c r="AA595" s="206" t="str">
        <f t="shared" si="278"/>
        <v>MIN/OKC</v>
      </c>
    </row>
    <row r="596" spans="1:32" ht="17.100000000000001" x14ac:dyDescent="0.45">
      <c r="A596" s="206">
        <v>200114</v>
      </c>
      <c r="B596" s="44">
        <v>0.5</v>
      </c>
      <c r="C596" s="206" t="s">
        <v>417</v>
      </c>
      <c r="D596" s="206" t="s">
        <v>409</v>
      </c>
      <c r="E596" s="206">
        <v>25</v>
      </c>
      <c r="F596" s="206">
        <v>37</v>
      </c>
      <c r="G596" s="206">
        <v>29</v>
      </c>
      <c r="H596" s="206">
        <v>24</v>
      </c>
      <c r="I596" s="206"/>
      <c r="J596" s="206">
        <v>26</v>
      </c>
      <c r="K596" s="206">
        <v>20</v>
      </c>
      <c r="L596" s="206">
        <v>43</v>
      </c>
      <c r="M596" s="206">
        <v>23</v>
      </c>
      <c r="N596" s="206" t="s">
        <v>427</v>
      </c>
      <c r="O596" s="206">
        <f t="shared" si="268"/>
        <v>115</v>
      </c>
      <c r="P596" s="206">
        <f t="shared" si="269"/>
        <v>112</v>
      </c>
      <c r="Q596" s="206" t="str">
        <f t="shared" si="270"/>
        <v>HL</v>
      </c>
      <c r="R596" s="206" t="str">
        <f t="shared" si="271"/>
        <v>HW</v>
      </c>
      <c r="S596" s="206" t="str">
        <f t="shared" si="272"/>
        <v>HL</v>
      </c>
      <c r="T596" s="206" t="str">
        <f t="shared" si="273"/>
        <v>HW</v>
      </c>
      <c r="U596" s="206" t="str">
        <f t="shared" si="274"/>
        <v>U</v>
      </c>
      <c r="V596" s="206" t="str">
        <f t="shared" si="275"/>
        <v>O</v>
      </c>
      <c r="W596" s="206" t="str">
        <f t="shared" si="276"/>
        <v>O</v>
      </c>
      <c r="X596" s="206" t="str">
        <f t="shared" si="277"/>
        <v>U</v>
      </c>
      <c r="Y596" s="206"/>
      <c r="Z596" s="206">
        <v>55.5</v>
      </c>
      <c r="AA596" s="206" t="str">
        <f t="shared" si="278"/>
        <v>POR/CHA</v>
      </c>
    </row>
    <row r="597" spans="1:32" ht="17.100000000000001" x14ac:dyDescent="0.45">
      <c r="A597" s="206">
        <v>200114</v>
      </c>
      <c r="B597" s="44">
        <v>0.5</v>
      </c>
      <c r="C597" s="206" t="s">
        <v>416</v>
      </c>
      <c r="D597" s="206" t="s">
        <v>424</v>
      </c>
      <c r="E597" s="206">
        <v>25</v>
      </c>
      <c r="F597" s="206">
        <v>27</v>
      </c>
      <c r="G597" s="206">
        <v>33</v>
      </c>
      <c r="H597" s="206">
        <v>27</v>
      </c>
      <c r="I597" s="206"/>
      <c r="J597" s="206">
        <v>33</v>
      </c>
      <c r="K597" s="206">
        <v>32</v>
      </c>
      <c r="L597" s="206">
        <v>21</v>
      </c>
      <c r="M597" s="206">
        <v>28</v>
      </c>
      <c r="N597" s="206" t="s">
        <v>427</v>
      </c>
      <c r="O597" s="206">
        <f t="shared" si="268"/>
        <v>112</v>
      </c>
      <c r="P597" s="206">
        <f t="shared" si="269"/>
        <v>114</v>
      </c>
      <c r="Q597" s="206" t="str">
        <f t="shared" si="270"/>
        <v>HL</v>
      </c>
      <c r="R597" s="206" t="str">
        <f t="shared" si="271"/>
        <v>HL</v>
      </c>
      <c r="S597" s="206" t="str">
        <f t="shared" si="272"/>
        <v>HW</v>
      </c>
      <c r="T597" s="206" t="str">
        <f t="shared" si="273"/>
        <v>HL</v>
      </c>
      <c r="U597" s="206" t="str">
        <f t="shared" si="274"/>
        <v>O</v>
      </c>
      <c r="V597" s="206" t="str">
        <f t="shared" si="275"/>
        <v>O</v>
      </c>
      <c r="W597" s="206" t="str">
        <f t="shared" si="276"/>
        <v>U</v>
      </c>
      <c r="X597" s="206" t="str">
        <f t="shared" si="277"/>
        <v>O</v>
      </c>
      <c r="Y597" s="206"/>
      <c r="Z597" s="206">
        <v>54.5</v>
      </c>
      <c r="AA597" s="206" t="str">
        <f t="shared" si="278"/>
        <v>SAC/ORL</v>
      </c>
    </row>
    <row r="598" spans="1:32" ht="17.100000000000001" x14ac:dyDescent="0.45">
      <c r="A598" s="206">
        <v>200114</v>
      </c>
      <c r="B598" s="44">
        <v>0.52083333333333337</v>
      </c>
      <c r="C598" s="206" t="s">
        <v>419</v>
      </c>
      <c r="D598" s="206" t="s">
        <v>402</v>
      </c>
      <c r="E598" s="206">
        <v>21</v>
      </c>
      <c r="F598" s="206">
        <v>26</v>
      </c>
      <c r="G598" s="206">
        <v>37</v>
      </c>
      <c r="H598" s="206">
        <v>44</v>
      </c>
      <c r="I598" s="206"/>
      <c r="J598" s="206">
        <v>27</v>
      </c>
      <c r="K598" s="206">
        <v>21</v>
      </c>
      <c r="L598" s="206">
        <v>22</v>
      </c>
      <c r="M598" s="206">
        <v>29</v>
      </c>
      <c r="N598" s="206" t="s">
        <v>427</v>
      </c>
      <c r="O598" s="206">
        <f t="shared" si="268"/>
        <v>128</v>
      </c>
      <c r="P598" s="206">
        <f t="shared" si="269"/>
        <v>99</v>
      </c>
      <c r="Q598" s="206" t="str">
        <f t="shared" si="270"/>
        <v>HL</v>
      </c>
      <c r="R598" s="206" t="str">
        <f t="shared" si="271"/>
        <v>HW</v>
      </c>
      <c r="S598" s="206" t="str">
        <f t="shared" si="272"/>
        <v>HW</v>
      </c>
      <c r="T598" s="206" t="str">
        <f t="shared" si="273"/>
        <v>HW</v>
      </c>
      <c r="U598" s="206" t="str">
        <f t="shared" si="274"/>
        <v>U</v>
      </c>
      <c r="V598" s="206" t="str">
        <f t="shared" si="275"/>
        <v>U</v>
      </c>
      <c r="W598" s="206" t="str">
        <f t="shared" si="276"/>
        <v>O</v>
      </c>
      <c r="X598" s="206" t="str">
        <f t="shared" si="277"/>
        <v>O</v>
      </c>
      <c r="Y598" s="206"/>
      <c r="Z598" s="206">
        <v>55</v>
      </c>
      <c r="AA598" s="206" t="str">
        <f t="shared" si="278"/>
        <v>LAL/CLE</v>
      </c>
    </row>
    <row r="599" spans="1:32" ht="17.100000000000001" x14ac:dyDescent="0.45">
      <c r="A599" s="206">
        <v>200115</v>
      </c>
      <c r="B599" s="44">
        <v>0.39583333333333331</v>
      </c>
      <c r="C599" s="206" t="s">
        <v>410</v>
      </c>
      <c r="D599" s="206" t="s">
        <v>404</v>
      </c>
      <c r="E599" s="206">
        <v>28</v>
      </c>
      <c r="F599" s="206">
        <v>28</v>
      </c>
      <c r="G599" s="206">
        <v>28</v>
      </c>
      <c r="H599" s="206">
        <v>39</v>
      </c>
      <c r="I599" s="206"/>
      <c r="J599" s="206">
        <v>25</v>
      </c>
      <c r="K599" s="206">
        <v>26</v>
      </c>
      <c r="L599" s="206">
        <v>32</v>
      </c>
      <c r="M599" s="206">
        <v>27</v>
      </c>
      <c r="N599" s="206" t="s">
        <v>427</v>
      </c>
      <c r="O599" s="206">
        <f t="shared" ref="O599:O604" si="279">SUM(E599:I599)</f>
        <v>123</v>
      </c>
      <c r="P599" s="206">
        <f t="shared" ref="P599:P604" si="280">SUM(J599:N599)</f>
        <v>110</v>
      </c>
      <c r="Q599" s="206" t="str">
        <f t="shared" ref="Q599:Q604" si="281">IF(E599=J599,"TT",IF(E599&gt;J599,"HW","HL"))</f>
        <v>HW</v>
      </c>
      <c r="R599" s="206" t="str">
        <f t="shared" ref="R599:R604" si="282">IF(F599=K599,"TT",IF(F599&gt;K599,"HW","HL"))</f>
        <v>HW</v>
      </c>
      <c r="S599" s="206" t="str">
        <f t="shared" ref="S599:S604" si="283">IF(G599=L599,"TT",IF(G599&gt;L599,"HW","HL"))</f>
        <v>HL</v>
      </c>
      <c r="T599" s="206" t="str">
        <f t="shared" ref="T599:T604" si="284">IF(H599=M599,"TT",IF(H599&gt;M599,"HW","HL"))</f>
        <v>HW</v>
      </c>
      <c r="U599" s="206" t="str">
        <f t="shared" ref="U599:U604" si="285">IF(SUM(E599,J599)=$Z599,"T",IF(SUM(E599,J599)&gt;$Z599,"O","U"))</f>
        <v>U</v>
      </c>
      <c r="V599" s="206" t="str">
        <f t="shared" ref="V599:V604" si="286">IF(SUM(F599,K599)=$Z599,"T",IF(SUM(F599,K599)&gt;$Z599,"O","U"))</f>
        <v>U</v>
      </c>
      <c r="W599" s="206" t="str">
        <f t="shared" ref="W599:W604" si="287">IF(SUM(G599,L599)=$Z599,"T",IF(SUM(G599,L599)&gt;$Z599,"O","U"))</f>
        <v>O</v>
      </c>
      <c r="X599" s="206" t="str">
        <f t="shared" ref="X599:X604" si="288">IF(SUM(H599,M599)=$Z599,"T",IF(SUM(H599,M599)&gt;$Z599,"O","U"))</f>
        <v>O</v>
      </c>
      <c r="Y599" s="206"/>
      <c r="Z599" s="206">
        <v>56</v>
      </c>
      <c r="AA599" s="206" t="str">
        <f t="shared" si="278"/>
        <v>ATL/PHO</v>
      </c>
    </row>
    <row r="600" spans="1:32" ht="17.100000000000001" x14ac:dyDescent="0.45">
      <c r="A600" s="206">
        <v>200115</v>
      </c>
      <c r="B600" s="44">
        <v>0.39583333333333331</v>
      </c>
      <c r="C600" s="206" t="s">
        <v>407</v>
      </c>
      <c r="D600" s="206" t="s">
        <v>405</v>
      </c>
      <c r="E600" s="206">
        <v>26</v>
      </c>
      <c r="F600" s="206">
        <v>19</v>
      </c>
      <c r="G600" s="206">
        <v>29</v>
      </c>
      <c r="H600" s="206">
        <v>33</v>
      </c>
      <c r="I600" s="206"/>
      <c r="J600" s="206">
        <v>30</v>
      </c>
      <c r="K600" s="206">
        <v>29</v>
      </c>
      <c r="L600" s="206">
        <v>29</v>
      </c>
      <c r="M600" s="206">
        <v>30</v>
      </c>
      <c r="N600" s="206" t="s">
        <v>427</v>
      </c>
      <c r="O600" s="206">
        <f t="shared" si="279"/>
        <v>107</v>
      </c>
      <c r="P600" s="206">
        <f t="shared" si="280"/>
        <v>118</v>
      </c>
      <c r="Q600" s="206" t="str">
        <f t="shared" si="281"/>
        <v>HL</v>
      </c>
      <c r="R600" s="206" t="str">
        <f t="shared" si="282"/>
        <v>HL</v>
      </c>
      <c r="S600" s="206" t="str">
        <f t="shared" si="283"/>
        <v>TT</v>
      </c>
      <c r="T600" s="206" t="str">
        <f t="shared" si="284"/>
        <v>HW</v>
      </c>
      <c r="U600" s="206" t="str">
        <f t="shared" si="285"/>
        <v>O</v>
      </c>
      <c r="V600" s="206" t="str">
        <f t="shared" si="286"/>
        <v>U</v>
      </c>
      <c r="W600" s="206" t="str">
        <f t="shared" si="287"/>
        <v>O</v>
      </c>
      <c r="X600" s="206" t="str">
        <f t="shared" si="288"/>
        <v>O</v>
      </c>
      <c r="Y600" s="206"/>
      <c r="Z600" s="206">
        <v>54.5</v>
      </c>
      <c r="AA600" s="206" t="str">
        <f t="shared" si="278"/>
        <v>BKN/UTA</v>
      </c>
    </row>
    <row r="601" spans="1:32" ht="17.100000000000001" x14ac:dyDescent="0.45">
      <c r="A601" s="206">
        <v>200115</v>
      </c>
      <c r="B601" s="44">
        <v>0.41666666666666669</v>
      </c>
      <c r="C601" s="206" t="s">
        <v>423</v>
      </c>
      <c r="D601" s="206" t="s">
        <v>399</v>
      </c>
      <c r="E601" s="206">
        <v>29</v>
      </c>
      <c r="F601" s="206">
        <v>36</v>
      </c>
      <c r="G601" s="206">
        <v>43</v>
      </c>
      <c r="H601" s="206">
        <v>20</v>
      </c>
      <c r="I601" s="206"/>
      <c r="J601" s="206">
        <v>23</v>
      </c>
      <c r="K601" s="206">
        <v>17</v>
      </c>
      <c r="L601" s="206">
        <v>36</v>
      </c>
      <c r="M601" s="206">
        <v>26</v>
      </c>
      <c r="N601" s="206" t="s">
        <v>427</v>
      </c>
      <c r="O601" s="206">
        <f t="shared" si="279"/>
        <v>128</v>
      </c>
      <c r="P601" s="206">
        <f t="shared" si="280"/>
        <v>102</v>
      </c>
      <c r="Q601" s="206" t="str">
        <f t="shared" si="281"/>
        <v>HW</v>
      </c>
      <c r="R601" s="206" t="str">
        <f t="shared" si="282"/>
        <v>HW</v>
      </c>
      <c r="S601" s="206" t="str">
        <f t="shared" si="283"/>
        <v>HW</v>
      </c>
      <c r="T601" s="206" t="str">
        <f t="shared" si="284"/>
        <v>HL</v>
      </c>
      <c r="U601" s="206" t="str">
        <f t="shared" si="285"/>
        <v>U</v>
      </c>
      <c r="V601" s="206" t="str">
        <f t="shared" si="286"/>
        <v>U</v>
      </c>
      <c r="W601" s="206" t="str">
        <f t="shared" si="287"/>
        <v>O</v>
      </c>
      <c r="X601" s="206" t="str">
        <f t="shared" si="288"/>
        <v>U</v>
      </c>
      <c r="Y601" s="206"/>
      <c r="Z601" s="206">
        <v>59.5</v>
      </c>
      <c r="AA601" s="206" t="str">
        <f t="shared" si="278"/>
        <v>MIL/NYK</v>
      </c>
    </row>
    <row r="602" spans="1:32" ht="17.100000000000001" x14ac:dyDescent="0.45">
      <c r="A602" s="206">
        <v>200115</v>
      </c>
      <c r="B602" s="44">
        <v>0.41666666666666669</v>
      </c>
      <c r="C602" s="206" t="s">
        <v>406</v>
      </c>
      <c r="D602" s="206" t="s">
        <v>403</v>
      </c>
      <c r="E602" s="206">
        <v>32</v>
      </c>
      <c r="F602" s="206">
        <v>35</v>
      </c>
      <c r="G602" s="206">
        <v>18</v>
      </c>
      <c r="H602" s="206">
        <v>36</v>
      </c>
      <c r="I602" s="206"/>
      <c r="J602" s="206">
        <v>37</v>
      </c>
      <c r="K602" s="206">
        <v>24</v>
      </c>
      <c r="L602" s="206">
        <v>22</v>
      </c>
      <c r="M602" s="206">
        <v>27</v>
      </c>
      <c r="N602" s="206" t="s">
        <v>427</v>
      </c>
      <c r="O602" s="206">
        <f t="shared" si="279"/>
        <v>121</v>
      </c>
      <c r="P602" s="206">
        <f t="shared" si="280"/>
        <v>110</v>
      </c>
      <c r="Q602" s="206" t="str">
        <f t="shared" si="281"/>
        <v>HL</v>
      </c>
      <c r="R602" s="206" t="str">
        <f t="shared" si="282"/>
        <v>HW</v>
      </c>
      <c r="S602" s="206" t="str">
        <f t="shared" si="283"/>
        <v>HL</v>
      </c>
      <c r="T602" s="206" t="str">
        <f t="shared" si="284"/>
        <v>HW</v>
      </c>
      <c r="U602" s="206" t="str">
        <f t="shared" si="285"/>
        <v>O</v>
      </c>
      <c r="V602" s="206" t="str">
        <f t="shared" si="286"/>
        <v>U</v>
      </c>
      <c r="W602" s="206" t="str">
        <f t="shared" si="287"/>
        <v>U</v>
      </c>
      <c r="X602" s="206" t="str">
        <f t="shared" si="288"/>
        <v>O</v>
      </c>
      <c r="Y602" s="206"/>
      <c r="Z602" s="206">
        <v>62</v>
      </c>
      <c r="AA602" s="206" t="str">
        <f t="shared" si="278"/>
        <v>MEM/HOU</v>
      </c>
    </row>
    <row r="603" spans="1:32" ht="17.100000000000001" x14ac:dyDescent="0.45">
      <c r="A603" s="206">
        <v>200115</v>
      </c>
      <c r="B603" s="44">
        <v>0.52083333333333337</v>
      </c>
      <c r="C603" s="206" t="s">
        <v>425</v>
      </c>
      <c r="D603" s="206" t="s">
        <v>397</v>
      </c>
      <c r="E603" s="206">
        <v>26</v>
      </c>
      <c r="F603" s="206">
        <v>21</v>
      </c>
      <c r="G603" s="206">
        <v>24</v>
      </c>
      <c r="H603" s="206">
        <v>26</v>
      </c>
      <c r="I603" s="206"/>
      <c r="J603" s="206">
        <v>36</v>
      </c>
      <c r="K603" s="206">
        <v>29</v>
      </c>
      <c r="L603" s="206">
        <v>29</v>
      </c>
      <c r="M603" s="206">
        <v>30</v>
      </c>
      <c r="N603" s="206" t="s">
        <v>427</v>
      </c>
      <c r="O603" s="206">
        <f t="shared" si="279"/>
        <v>97</v>
      </c>
      <c r="P603" s="206">
        <f t="shared" si="280"/>
        <v>124</v>
      </c>
      <c r="Q603" s="206" t="str">
        <f t="shared" si="281"/>
        <v>HL</v>
      </c>
      <c r="R603" s="206" t="str">
        <f t="shared" si="282"/>
        <v>HL</v>
      </c>
      <c r="S603" s="206" t="str">
        <f t="shared" si="283"/>
        <v>HL</v>
      </c>
      <c r="T603" s="206" t="str">
        <f t="shared" si="284"/>
        <v>HL</v>
      </c>
      <c r="U603" s="206" t="str">
        <f t="shared" si="285"/>
        <v>O</v>
      </c>
      <c r="V603" s="206" t="str">
        <f t="shared" si="286"/>
        <v>U</v>
      </c>
      <c r="W603" s="206" t="str">
        <f t="shared" si="287"/>
        <v>U</v>
      </c>
      <c r="X603" s="206" t="str">
        <f t="shared" si="288"/>
        <v>U</v>
      </c>
      <c r="Y603" s="206"/>
      <c r="Z603" s="206">
        <v>57.5</v>
      </c>
      <c r="AA603" s="206" t="str">
        <f t="shared" si="278"/>
        <v>GS/DAL</v>
      </c>
    </row>
    <row r="604" spans="1:32" x14ac:dyDescent="0.3">
      <c r="A604" s="206">
        <v>200115</v>
      </c>
      <c r="B604" s="44">
        <v>0.52083333333333337</v>
      </c>
      <c r="C604" s="206" t="s">
        <v>415</v>
      </c>
      <c r="D604" s="206" t="s">
        <v>402</v>
      </c>
      <c r="E604" s="206">
        <v>31</v>
      </c>
      <c r="F604" s="206">
        <v>35</v>
      </c>
      <c r="G604" s="206">
        <v>40</v>
      </c>
      <c r="H604" s="206">
        <v>22</v>
      </c>
      <c r="I604" s="206"/>
      <c r="J604" s="206">
        <v>26</v>
      </c>
      <c r="K604" s="206">
        <v>24</v>
      </c>
      <c r="L604" s="206">
        <v>21</v>
      </c>
      <c r="M604" s="206">
        <v>32</v>
      </c>
      <c r="N604" s="206" t="s">
        <v>427</v>
      </c>
      <c r="O604" s="206">
        <f t="shared" si="279"/>
        <v>128</v>
      </c>
      <c r="P604" s="206">
        <f t="shared" si="280"/>
        <v>103</v>
      </c>
      <c r="Q604" s="206" t="str">
        <f t="shared" si="281"/>
        <v>HW</v>
      </c>
      <c r="R604" s="206" t="str">
        <f t="shared" si="282"/>
        <v>HW</v>
      </c>
      <c r="S604" s="206" t="str">
        <f t="shared" si="283"/>
        <v>HW</v>
      </c>
      <c r="T604" s="206" t="str">
        <f t="shared" si="284"/>
        <v>HL</v>
      </c>
      <c r="U604" s="206" t="str">
        <f t="shared" si="285"/>
        <v>O</v>
      </c>
      <c r="V604" s="206" t="str">
        <f t="shared" si="286"/>
        <v>O</v>
      </c>
      <c r="W604" s="206" t="str">
        <f t="shared" si="287"/>
        <v>O</v>
      </c>
      <c r="X604" s="206" t="str">
        <f t="shared" si="288"/>
        <v>U</v>
      </c>
      <c r="Y604" s="206"/>
      <c r="Z604" s="206">
        <v>55</v>
      </c>
      <c r="AA604" s="206" t="str">
        <f t="shared" si="278"/>
        <v>LAC/CLE</v>
      </c>
    </row>
    <row r="605" spans="1:32" x14ac:dyDescent="0.3">
      <c r="A605" s="206">
        <v>200116</v>
      </c>
      <c r="B605" s="44">
        <v>0.375</v>
      </c>
      <c r="C605" s="206" t="s">
        <v>421</v>
      </c>
      <c r="D605" s="206" t="s">
        <v>422</v>
      </c>
      <c r="E605" s="206">
        <v>24</v>
      </c>
      <c r="F605" s="206">
        <v>35</v>
      </c>
      <c r="G605" s="206">
        <v>23</v>
      </c>
      <c r="H605" s="206">
        <v>21</v>
      </c>
      <c r="I605" s="206"/>
      <c r="J605" s="206">
        <v>27</v>
      </c>
      <c r="K605" s="206">
        <v>30</v>
      </c>
      <c r="L605" s="206">
        <v>34</v>
      </c>
      <c r="M605" s="206">
        <v>25</v>
      </c>
      <c r="N605" s="206"/>
      <c r="O605" s="256">
        <f t="shared" ref="O605:O668" si="289">SUM(E605:I605)</f>
        <v>103</v>
      </c>
      <c r="P605" s="256">
        <f t="shared" ref="P605:P668" si="290">SUM(J605:N605)</f>
        <v>116</v>
      </c>
      <c r="Q605" s="256" t="str">
        <f t="shared" ref="Q605:Q668" si="291">IF(E605=J605,"TT",IF(E605&gt;J605,"HW","HL"))</f>
        <v>HL</v>
      </c>
      <c r="R605" s="256" t="str">
        <f t="shared" ref="R605:R668" si="292">IF(F605=K605,"TT",IF(F605&gt;K605,"HW","HL"))</f>
        <v>HW</v>
      </c>
      <c r="S605" s="256" t="str">
        <f t="shared" ref="S605:S668" si="293">IF(G605=L605,"TT",IF(G605&gt;L605,"HW","HL"))</f>
        <v>HL</v>
      </c>
      <c r="T605" s="256" t="str">
        <f t="shared" ref="T605:T668" si="294">IF(H605=M605,"TT",IF(H605&gt;M605,"HW","HL"))</f>
        <v>HL</v>
      </c>
      <c r="U605" s="256" t="str">
        <f t="shared" ref="U605:U668" si="295">IF(SUM(E605,J605)=$Z605,"T",IF(SUM(E605,J605)&gt;$Z605,"O","U"))</f>
        <v>U</v>
      </c>
      <c r="V605" s="256" t="str">
        <f t="shared" ref="V605:V668" si="296">IF(SUM(F605,K605)=$Z605,"T",IF(SUM(F605,K605)&gt;$Z605,"O","U"))</f>
        <v>O</v>
      </c>
      <c r="W605" s="256" t="str">
        <f t="shared" ref="W605:W668" si="297">IF(SUM(G605,L605)=$Z605,"T",IF(SUM(G605,L605)&gt;$Z605,"O","U"))</f>
        <v>O</v>
      </c>
      <c r="X605" s="256" t="str">
        <f t="shared" ref="X605:X668" si="298">IF(SUM(H605,M605)=$Z605,"T",IF(SUM(H605,M605)&gt;$Z605,"O","U"))</f>
        <v>U</v>
      </c>
      <c r="Y605" s="256">
        <v>218.5</v>
      </c>
      <c r="Z605" s="258">
        <v>55</v>
      </c>
      <c r="AA605" s="256" t="str">
        <f t="shared" si="278"/>
        <v>BOS/DET</v>
      </c>
      <c r="AE605" s="258"/>
    </row>
    <row r="606" spans="1:32" x14ac:dyDescent="0.3">
      <c r="A606" s="206">
        <v>200116</v>
      </c>
      <c r="B606" s="44">
        <v>0.375</v>
      </c>
      <c r="C606" s="11" t="s">
        <v>401</v>
      </c>
      <c r="D606" s="11" t="s">
        <v>407</v>
      </c>
      <c r="E606" s="243">
        <v>25</v>
      </c>
      <c r="F606" s="243">
        <v>29</v>
      </c>
      <c r="G606" s="243">
        <v>32</v>
      </c>
      <c r="H606" s="243">
        <v>31</v>
      </c>
      <c r="I606" s="243"/>
      <c r="J606" s="243">
        <v>28</v>
      </c>
      <c r="K606" s="243">
        <v>29</v>
      </c>
      <c r="L606" s="243">
        <v>33</v>
      </c>
      <c r="M606" s="243">
        <v>16</v>
      </c>
      <c r="N606" s="243" t="s">
        <v>427</v>
      </c>
      <c r="O606" s="256">
        <f t="shared" si="289"/>
        <v>117</v>
      </c>
      <c r="P606" s="256">
        <f t="shared" si="290"/>
        <v>106</v>
      </c>
      <c r="Q606" s="256" t="str">
        <f t="shared" si="291"/>
        <v>HL</v>
      </c>
      <c r="R606" s="256" t="str">
        <f t="shared" si="292"/>
        <v>TT</v>
      </c>
      <c r="S606" s="256" t="str">
        <f t="shared" si="293"/>
        <v>HL</v>
      </c>
      <c r="T606" s="256" t="str">
        <f t="shared" si="294"/>
        <v>HW</v>
      </c>
      <c r="U606" s="256" t="str">
        <f t="shared" si="295"/>
        <v>U</v>
      </c>
      <c r="V606" s="256" t="str">
        <f t="shared" si="296"/>
        <v>O</v>
      </c>
      <c r="W606" s="256" t="str">
        <f t="shared" si="297"/>
        <v>O</v>
      </c>
      <c r="X606" s="256" t="str">
        <f t="shared" si="298"/>
        <v>U</v>
      </c>
      <c r="Y606" s="256">
        <v>222</v>
      </c>
      <c r="Z606" s="258">
        <v>56</v>
      </c>
      <c r="AA606" s="256" t="str">
        <f t="shared" si="278"/>
        <v>PHI/BKN</v>
      </c>
      <c r="AC606" s="256"/>
      <c r="AD606" s="256"/>
      <c r="AE606" s="258"/>
      <c r="AF606" s="256"/>
    </row>
    <row r="607" spans="1:32" x14ac:dyDescent="0.3">
      <c r="A607" s="206">
        <v>200116</v>
      </c>
      <c r="B607" s="44">
        <v>0.39583333333333331</v>
      </c>
      <c r="C607" s="206" t="s">
        <v>411</v>
      </c>
      <c r="D607" s="206" t="s">
        <v>426</v>
      </c>
      <c r="E607" s="240">
        <v>24</v>
      </c>
      <c r="F607" s="240">
        <v>27</v>
      </c>
      <c r="G607" s="240">
        <v>24</v>
      </c>
      <c r="H607" s="240">
        <v>31</v>
      </c>
      <c r="I607" s="240"/>
      <c r="J607" s="240">
        <v>17</v>
      </c>
      <c r="K607" s="240">
        <v>34</v>
      </c>
      <c r="L607" s="240">
        <v>26</v>
      </c>
      <c r="M607" s="240">
        <v>23</v>
      </c>
      <c r="N607" s="240" t="s">
        <v>427</v>
      </c>
      <c r="O607" s="256">
        <f t="shared" si="289"/>
        <v>106</v>
      </c>
      <c r="P607" s="256">
        <f t="shared" si="290"/>
        <v>100</v>
      </c>
      <c r="Q607" s="256" t="str">
        <f t="shared" si="291"/>
        <v>HW</v>
      </c>
      <c r="R607" s="256" t="str">
        <f t="shared" si="292"/>
        <v>HL</v>
      </c>
      <c r="S607" s="256" t="str">
        <f t="shared" si="293"/>
        <v>HL</v>
      </c>
      <c r="T607" s="256" t="str">
        <f t="shared" si="294"/>
        <v>HW</v>
      </c>
      <c r="U607" s="256" t="str">
        <f t="shared" si="295"/>
        <v>U</v>
      </c>
      <c r="V607" s="256" t="str">
        <f t="shared" si="296"/>
        <v>O</v>
      </c>
      <c r="W607" s="256" t="str">
        <f t="shared" si="297"/>
        <v>U</v>
      </c>
      <c r="X607" s="256" t="str">
        <f t="shared" si="298"/>
        <v>U</v>
      </c>
      <c r="Y607" s="256">
        <v>220</v>
      </c>
      <c r="Z607" s="258">
        <v>55.5</v>
      </c>
      <c r="AA607" s="256" t="str">
        <f t="shared" si="278"/>
        <v>MIA/SAS</v>
      </c>
      <c r="AC607" s="256"/>
      <c r="AD607" s="256"/>
      <c r="AE607" s="258"/>
      <c r="AF607" s="256"/>
    </row>
    <row r="608" spans="1:32" x14ac:dyDescent="0.3">
      <c r="A608" s="206">
        <v>200116</v>
      </c>
      <c r="B608" s="44">
        <v>0.41666666666666669</v>
      </c>
      <c r="C608" s="206" t="s">
        <v>436</v>
      </c>
      <c r="D608" s="206" t="s">
        <v>414</v>
      </c>
      <c r="E608">
        <v>24</v>
      </c>
      <c r="F608">
        <v>31</v>
      </c>
      <c r="G608">
        <v>30</v>
      </c>
      <c r="H608">
        <v>30</v>
      </c>
      <c r="J608">
        <v>26</v>
      </c>
      <c r="K608">
        <v>34</v>
      </c>
      <c r="L608">
        <v>20</v>
      </c>
      <c r="M608">
        <v>26</v>
      </c>
      <c r="O608" s="256">
        <f t="shared" si="289"/>
        <v>115</v>
      </c>
      <c r="P608" s="256">
        <f t="shared" si="290"/>
        <v>106</v>
      </c>
      <c r="Q608" s="256" t="str">
        <f t="shared" si="291"/>
        <v>HL</v>
      </c>
      <c r="R608" s="256" t="str">
        <f t="shared" si="292"/>
        <v>HL</v>
      </c>
      <c r="S608" s="256" t="str">
        <f t="shared" si="293"/>
        <v>HW</v>
      </c>
      <c r="T608" s="256" t="str">
        <f t="shared" si="294"/>
        <v>HW</v>
      </c>
      <c r="U608" s="256" t="str">
        <f t="shared" si="295"/>
        <v>U</v>
      </c>
      <c r="V608" s="256" t="str">
        <f t="shared" si="296"/>
        <v>O</v>
      </c>
      <c r="W608" s="256" t="str">
        <f t="shared" si="297"/>
        <v>U</v>
      </c>
      <c r="X608" s="256" t="str">
        <f t="shared" si="298"/>
        <v>U</v>
      </c>
      <c r="Y608" s="256">
        <v>229.5</v>
      </c>
      <c r="Z608" s="258">
        <v>57.5</v>
      </c>
      <c r="AA608" s="256" t="str">
        <f t="shared" si="278"/>
        <v>CHI/WAS</v>
      </c>
      <c r="AC608" s="256"/>
      <c r="AD608" s="256"/>
      <c r="AE608" s="258"/>
      <c r="AF608" s="256"/>
    </row>
    <row r="609" spans="1:32" x14ac:dyDescent="0.3">
      <c r="A609" s="206">
        <v>200116</v>
      </c>
      <c r="B609" s="44">
        <v>0.41666666666666669</v>
      </c>
      <c r="C609" s="206" t="s">
        <v>420</v>
      </c>
      <c r="D609" s="206" t="s">
        <v>400</v>
      </c>
      <c r="E609" s="241">
        <v>30</v>
      </c>
      <c r="F609" s="241">
        <v>29</v>
      </c>
      <c r="G609" s="241">
        <v>18</v>
      </c>
      <c r="H609" s="241">
        <v>22</v>
      </c>
      <c r="I609" s="241"/>
      <c r="J609" s="241">
        <v>24</v>
      </c>
      <c r="K609" s="241">
        <v>30</v>
      </c>
      <c r="L609" s="241">
        <v>22</v>
      </c>
      <c r="M609" s="241">
        <v>28</v>
      </c>
      <c r="N609" s="241" t="s">
        <v>427</v>
      </c>
      <c r="O609" s="256">
        <f t="shared" si="289"/>
        <v>99</v>
      </c>
      <c r="P609" s="256">
        <f t="shared" si="290"/>
        <v>104</v>
      </c>
      <c r="Q609" s="256" t="str">
        <f t="shared" si="291"/>
        <v>HW</v>
      </c>
      <c r="R609" s="256" t="str">
        <f t="shared" si="292"/>
        <v>HL</v>
      </c>
      <c r="S609" s="256" t="str">
        <f t="shared" si="293"/>
        <v>HL</v>
      </c>
      <c r="T609" s="256" t="str">
        <f t="shared" si="294"/>
        <v>HL</v>
      </c>
      <c r="U609" s="256" t="str">
        <f t="shared" si="295"/>
        <v>U</v>
      </c>
      <c r="V609" s="256" t="str">
        <f t="shared" si="296"/>
        <v>O</v>
      </c>
      <c r="W609" s="256" t="str">
        <f t="shared" si="297"/>
        <v>U</v>
      </c>
      <c r="X609" s="256" t="str">
        <f t="shared" si="298"/>
        <v>U</v>
      </c>
      <c r="Y609" s="256">
        <v>218.5</v>
      </c>
      <c r="Z609" s="258">
        <v>55</v>
      </c>
      <c r="AA609" s="256" t="str">
        <f t="shared" si="278"/>
        <v>MIN/IND</v>
      </c>
      <c r="AC609" s="256"/>
      <c r="AD609" s="256"/>
      <c r="AE609" s="258"/>
      <c r="AF609" s="256"/>
    </row>
    <row r="610" spans="1:32" x14ac:dyDescent="0.3">
      <c r="A610" s="206">
        <v>200116</v>
      </c>
      <c r="B610" s="44">
        <v>0.41666666666666669</v>
      </c>
      <c r="C610" s="14" t="s">
        <v>418</v>
      </c>
      <c r="D610" s="14" t="s">
        <v>413</v>
      </c>
      <c r="E610" s="242">
        <v>25</v>
      </c>
      <c r="F610" s="242">
        <v>30</v>
      </c>
      <c r="G610" s="242">
        <v>28</v>
      </c>
      <c r="H610" s="242">
        <v>38</v>
      </c>
      <c r="I610" s="242"/>
      <c r="J610" s="242">
        <v>38</v>
      </c>
      <c r="K610" s="242">
        <v>35</v>
      </c>
      <c r="L610" s="242">
        <v>24</v>
      </c>
      <c r="M610" s="242">
        <v>33</v>
      </c>
      <c r="N610" s="242" t="s">
        <v>427</v>
      </c>
      <c r="O610" s="256">
        <f t="shared" si="289"/>
        <v>121</v>
      </c>
      <c r="P610" s="256">
        <f t="shared" si="290"/>
        <v>130</v>
      </c>
      <c r="Q610" s="256" t="str">
        <f t="shared" si="291"/>
        <v>HL</v>
      </c>
      <c r="R610" s="256" t="str">
        <f t="shared" si="292"/>
        <v>HL</v>
      </c>
      <c r="S610" s="256" t="str">
        <f t="shared" si="293"/>
        <v>HW</v>
      </c>
      <c r="T610" s="256" t="str">
        <f t="shared" si="294"/>
        <v>HW</v>
      </c>
      <c r="U610" s="256" t="str">
        <f t="shared" si="295"/>
        <v>O</v>
      </c>
      <c r="V610" s="256" t="str">
        <f t="shared" si="296"/>
        <v>O</v>
      </c>
      <c r="W610" s="256" t="str">
        <f t="shared" si="297"/>
        <v>U</v>
      </c>
      <c r="X610" s="256" t="str">
        <f t="shared" si="298"/>
        <v>O</v>
      </c>
      <c r="Y610" s="256">
        <v>213.5</v>
      </c>
      <c r="Z610" s="258">
        <v>53.5</v>
      </c>
      <c r="AA610" s="256" t="str">
        <f t="shared" si="278"/>
        <v>OKC/TOR</v>
      </c>
      <c r="AC610" s="256"/>
      <c r="AD610" s="256"/>
      <c r="AE610" s="258"/>
      <c r="AF610" s="256"/>
    </row>
    <row r="611" spans="1:32" x14ac:dyDescent="0.3">
      <c r="A611" s="206">
        <v>200116</v>
      </c>
      <c r="B611" s="207">
        <v>0.45833333333333331</v>
      </c>
      <c r="C611" s="206" t="s">
        <v>437</v>
      </c>
      <c r="D611" s="206" t="s">
        <v>409</v>
      </c>
      <c r="E611">
        <v>28</v>
      </c>
      <c r="F611">
        <v>29</v>
      </c>
      <c r="G611">
        <v>17</v>
      </c>
      <c r="H611">
        <v>26</v>
      </c>
      <c r="J611">
        <v>25</v>
      </c>
      <c r="K611">
        <v>17</v>
      </c>
      <c r="L611">
        <v>27</v>
      </c>
      <c r="M611">
        <v>17</v>
      </c>
      <c r="O611" s="256">
        <f t="shared" si="289"/>
        <v>100</v>
      </c>
      <c r="P611" s="256">
        <f t="shared" si="290"/>
        <v>86</v>
      </c>
      <c r="Q611" s="256" t="str">
        <f t="shared" si="291"/>
        <v>HW</v>
      </c>
      <c r="R611" s="256" t="str">
        <f t="shared" si="292"/>
        <v>HW</v>
      </c>
      <c r="S611" s="256" t="str">
        <f t="shared" si="293"/>
        <v>HL</v>
      </c>
      <c r="T611" s="256" t="str">
        <f t="shared" si="294"/>
        <v>HW</v>
      </c>
      <c r="U611" s="256" t="str">
        <f t="shared" si="295"/>
        <v>T</v>
      </c>
      <c r="V611" s="256" t="str">
        <f t="shared" si="296"/>
        <v>U</v>
      </c>
      <c r="W611" s="256" t="str">
        <f t="shared" si="297"/>
        <v>U</v>
      </c>
      <c r="X611" s="256" t="str">
        <f t="shared" si="298"/>
        <v>U</v>
      </c>
      <c r="Y611" s="256">
        <v>210</v>
      </c>
      <c r="Z611" s="258">
        <v>53</v>
      </c>
      <c r="AA611" s="256" t="str">
        <f t="shared" si="278"/>
        <v>DEN/CHA</v>
      </c>
      <c r="AC611" s="256"/>
      <c r="AD611" s="256"/>
      <c r="AE611" s="258"/>
      <c r="AF611" s="256"/>
    </row>
    <row r="612" spans="1:32" x14ac:dyDescent="0.3">
      <c r="A612" s="206">
        <v>200116</v>
      </c>
      <c r="B612" s="207">
        <v>0.47916666666666669</v>
      </c>
      <c r="C612" s="206" t="s">
        <v>403</v>
      </c>
      <c r="D612" s="206" t="s">
        <v>417</v>
      </c>
      <c r="E612">
        <v>26</v>
      </c>
      <c r="F612">
        <v>21</v>
      </c>
      <c r="G612">
        <v>30</v>
      </c>
      <c r="H612">
        <v>30</v>
      </c>
      <c r="J612">
        <v>28</v>
      </c>
      <c r="K612">
        <v>32</v>
      </c>
      <c r="L612">
        <v>30</v>
      </c>
      <c r="M612">
        <v>27</v>
      </c>
      <c r="O612" s="256">
        <f t="shared" si="289"/>
        <v>107</v>
      </c>
      <c r="P612" s="256">
        <f t="shared" si="290"/>
        <v>117</v>
      </c>
      <c r="Q612" s="256" t="str">
        <f t="shared" si="291"/>
        <v>HL</v>
      </c>
      <c r="R612" s="256" t="str">
        <f t="shared" si="292"/>
        <v>HL</v>
      </c>
      <c r="S612" s="256" t="str">
        <f t="shared" si="293"/>
        <v>TT</v>
      </c>
      <c r="T612" s="256" t="str">
        <f t="shared" si="294"/>
        <v>HW</v>
      </c>
      <c r="U612" s="256" t="str">
        <f t="shared" si="295"/>
        <v>U</v>
      </c>
      <c r="V612" s="256" t="str">
        <f t="shared" si="296"/>
        <v>U</v>
      </c>
      <c r="W612" s="256" t="str">
        <f t="shared" si="297"/>
        <v>O</v>
      </c>
      <c r="X612" s="256" t="str">
        <f t="shared" si="298"/>
        <v>U</v>
      </c>
      <c r="Y612" s="256">
        <v>236.5</v>
      </c>
      <c r="Z612" s="258">
        <v>59.5</v>
      </c>
      <c r="AA612" s="256" t="str">
        <f t="shared" si="278"/>
        <v>HOU/POR</v>
      </c>
      <c r="AC612" s="256"/>
      <c r="AD612" s="256"/>
      <c r="AE612" s="258"/>
      <c r="AF612" s="256"/>
    </row>
    <row r="613" spans="1:32" x14ac:dyDescent="0.3">
      <c r="A613" s="206">
        <v>200116</v>
      </c>
      <c r="B613" s="44">
        <v>0.5</v>
      </c>
      <c r="C613" s="11" t="s">
        <v>416</v>
      </c>
      <c r="D613" s="11" t="s">
        <v>397</v>
      </c>
      <c r="E613" s="244">
        <v>31</v>
      </c>
      <c r="F613" s="244">
        <v>36</v>
      </c>
      <c r="G613" s="244">
        <v>26</v>
      </c>
      <c r="H613" s="244">
        <v>30</v>
      </c>
      <c r="I613" s="244"/>
      <c r="J613" s="244">
        <v>35</v>
      </c>
      <c r="K613" s="244">
        <v>36</v>
      </c>
      <c r="L613" s="244">
        <v>37</v>
      </c>
      <c r="M613" s="244">
        <v>19</v>
      </c>
      <c r="N613" s="244" t="s">
        <v>427</v>
      </c>
      <c r="O613" s="256">
        <f t="shared" si="289"/>
        <v>123</v>
      </c>
      <c r="P613" s="256">
        <f t="shared" si="290"/>
        <v>127</v>
      </c>
      <c r="Q613" s="256" t="str">
        <f t="shared" si="291"/>
        <v>HL</v>
      </c>
      <c r="R613" s="256" t="str">
        <f t="shared" si="292"/>
        <v>TT</v>
      </c>
      <c r="S613" s="256" t="str">
        <f t="shared" si="293"/>
        <v>HL</v>
      </c>
      <c r="T613" s="256" t="str">
        <f t="shared" si="294"/>
        <v>HW</v>
      </c>
      <c r="U613" s="256" t="str">
        <f t="shared" si="295"/>
        <v>O</v>
      </c>
      <c r="V613" s="256" t="str">
        <f t="shared" si="296"/>
        <v>O</v>
      </c>
      <c r="W613" s="256" t="str">
        <f t="shared" si="297"/>
        <v>O</v>
      </c>
      <c r="X613" s="256" t="str">
        <f t="shared" si="298"/>
        <v>U</v>
      </c>
      <c r="Y613" s="256">
        <v>225.5</v>
      </c>
      <c r="Z613" s="258">
        <v>56.5</v>
      </c>
      <c r="AA613" s="256" t="str">
        <f t="shared" si="278"/>
        <v>SAC/DAL</v>
      </c>
      <c r="AC613" s="256"/>
      <c r="AD613" s="256"/>
      <c r="AE613" s="258"/>
      <c r="AF613" s="256"/>
    </row>
    <row r="614" spans="1:32" x14ac:dyDescent="0.3">
      <c r="A614" s="209">
        <v>200116</v>
      </c>
      <c r="B614" s="44">
        <v>0.52083333333333337</v>
      </c>
      <c r="C614" s="11" t="s">
        <v>419</v>
      </c>
      <c r="D614" s="11" t="s">
        <v>424</v>
      </c>
      <c r="E614" s="245">
        <v>29</v>
      </c>
      <c r="F614" s="245">
        <v>29</v>
      </c>
      <c r="G614" s="245">
        <v>30</v>
      </c>
      <c r="H614" s="245">
        <v>30</v>
      </c>
      <c r="I614" s="245"/>
      <c r="J614" s="245">
        <v>35</v>
      </c>
      <c r="K614" s="245">
        <v>30</v>
      </c>
      <c r="L614" s="245">
        <v>24</v>
      </c>
      <c r="M614" s="245">
        <v>30</v>
      </c>
      <c r="N614" s="245" t="s">
        <v>427</v>
      </c>
      <c r="O614" s="256">
        <f t="shared" si="289"/>
        <v>118</v>
      </c>
      <c r="P614" s="256">
        <f t="shared" si="290"/>
        <v>119</v>
      </c>
      <c r="Q614" s="256" t="str">
        <f t="shared" si="291"/>
        <v>HL</v>
      </c>
      <c r="R614" s="256" t="str">
        <f t="shared" si="292"/>
        <v>HL</v>
      </c>
      <c r="S614" s="256" t="str">
        <f t="shared" si="293"/>
        <v>HW</v>
      </c>
      <c r="T614" s="256" t="str">
        <f t="shared" si="294"/>
        <v>TT</v>
      </c>
      <c r="U614" s="256" t="str">
        <f t="shared" si="295"/>
        <v>O</v>
      </c>
      <c r="V614" s="256" t="str">
        <f t="shared" si="296"/>
        <v>O</v>
      </c>
      <c r="W614" s="256" t="str">
        <f t="shared" si="297"/>
        <v>O</v>
      </c>
      <c r="X614" s="256" t="str">
        <f t="shared" si="298"/>
        <v>O</v>
      </c>
      <c r="Y614" s="256">
        <v>209.5</v>
      </c>
      <c r="Z614" s="258">
        <v>52.5</v>
      </c>
      <c r="AA614" s="256" t="str">
        <f t="shared" si="278"/>
        <v>LAL/ORL</v>
      </c>
      <c r="AC614" s="256"/>
      <c r="AD614" s="256"/>
      <c r="AE614" s="258"/>
      <c r="AF614" s="256"/>
    </row>
    <row r="615" spans="1:32" x14ac:dyDescent="0.3">
      <c r="A615" s="209">
        <v>200117</v>
      </c>
      <c r="B615" s="211">
        <v>0.39583333333333331</v>
      </c>
      <c r="C615" s="210" t="s">
        <v>399</v>
      </c>
      <c r="D615" s="210" t="s">
        <v>404</v>
      </c>
      <c r="E615">
        <v>32</v>
      </c>
      <c r="F615">
        <v>20</v>
      </c>
      <c r="G615">
        <v>27</v>
      </c>
      <c r="H615">
        <v>19</v>
      </c>
      <c r="J615">
        <v>25</v>
      </c>
      <c r="K615">
        <v>33</v>
      </c>
      <c r="L615">
        <v>32</v>
      </c>
      <c r="M615">
        <v>31</v>
      </c>
      <c r="O615" s="256">
        <f t="shared" si="289"/>
        <v>98</v>
      </c>
      <c r="P615" s="256">
        <f t="shared" si="290"/>
        <v>121</v>
      </c>
      <c r="Q615" s="256" t="str">
        <f t="shared" si="291"/>
        <v>HW</v>
      </c>
      <c r="R615" s="256" t="str">
        <f t="shared" si="292"/>
        <v>HL</v>
      </c>
      <c r="S615" s="256" t="str">
        <f t="shared" si="293"/>
        <v>HL</v>
      </c>
      <c r="T615" s="256" t="str">
        <f t="shared" si="294"/>
        <v>HL</v>
      </c>
      <c r="U615" s="256" t="str">
        <f t="shared" si="295"/>
        <v>T</v>
      </c>
      <c r="V615" s="256" t="str">
        <f t="shared" si="296"/>
        <v>U</v>
      </c>
      <c r="W615" s="256" t="str">
        <f t="shared" si="297"/>
        <v>O</v>
      </c>
      <c r="X615" s="256" t="str">
        <f t="shared" si="298"/>
        <v>U</v>
      </c>
      <c r="Y615" s="256">
        <v>226</v>
      </c>
      <c r="Z615" s="258">
        <v>57</v>
      </c>
      <c r="AA615" s="256" t="str">
        <f t="shared" si="278"/>
        <v>NYK/PHO</v>
      </c>
      <c r="AC615" s="256"/>
      <c r="AD615" s="256"/>
      <c r="AE615" s="258"/>
      <c r="AF615" s="256"/>
    </row>
    <row r="616" spans="1:32" x14ac:dyDescent="0.3">
      <c r="A616" s="209">
        <v>200117</v>
      </c>
      <c r="B616" s="211">
        <v>0.41666666666666669</v>
      </c>
      <c r="C616" s="210" t="s">
        <v>398</v>
      </c>
      <c r="D616" s="210" t="s">
        <v>405</v>
      </c>
      <c r="E616">
        <v>25</v>
      </c>
      <c r="F616">
        <v>31</v>
      </c>
      <c r="G616">
        <v>31</v>
      </c>
      <c r="H616">
        <v>35</v>
      </c>
      <c r="I616">
        <v>16</v>
      </c>
      <c r="J616">
        <v>28</v>
      </c>
      <c r="K616">
        <v>21</v>
      </c>
      <c r="L616">
        <v>42</v>
      </c>
      <c r="M616">
        <v>31</v>
      </c>
      <c r="N616" s="2">
        <v>10</v>
      </c>
      <c r="O616" s="256">
        <f t="shared" si="289"/>
        <v>138</v>
      </c>
      <c r="P616" s="256">
        <f t="shared" si="290"/>
        <v>132</v>
      </c>
      <c r="Q616" s="256" t="str">
        <f t="shared" si="291"/>
        <v>HL</v>
      </c>
      <c r="R616" s="256" t="str">
        <f t="shared" si="292"/>
        <v>HW</v>
      </c>
      <c r="S616" s="256" t="str">
        <f t="shared" si="293"/>
        <v>HL</v>
      </c>
      <c r="T616" s="256" t="str">
        <f t="shared" si="294"/>
        <v>HW</v>
      </c>
      <c r="U616" s="256" t="str">
        <f t="shared" si="295"/>
        <v>U</v>
      </c>
      <c r="V616" s="256" t="str">
        <f t="shared" si="296"/>
        <v>U</v>
      </c>
      <c r="W616" s="256" t="str">
        <f t="shared" si="297"/>
        <v>O</v>
      </c>
      <c r="X616" s="256" t="str">
        <f t="shared" si="298"/>
        <v>O</v>
      </c>
      <c r="Y616" s="256">
        <v>225.5</v>
      </c>
      <c r="Z616" s="258">
        <v>56.5</v>
      </c>
      <c r="AA616" s="256" t="str">
        <f t="shared" si="278"/>
        <v>NO/UTA</v>
      </c>
      <c r="AC616" s="256"/>
      <c r="AD616" s="256"/>
      <c r="AE616" s="258"/>
      <c r="AF616" s="256"/>
    </row>
    <row r="617" spans="1:32" x14ac:dyDescent="0.3">
      <c r="A617" s="209">
        <v>200117</v>
      </c>
      <c r="B617" s="211">
        <v>0.41666666666666669</v>
      </c>
      <c r="C617" s="210" t="s">
        <v>423</v>
      </c>
      <c r="D617" s="210" t="s">
        <v>421</v>
      </c>
      <c r="E617">
        <v>36</v>
      </c>
      <c r="F617">
        <v>40</v>
      </c>
      <c r="G617">
        <v>30</v>
      </c>
      <c r="H617">
        <v>22</v>
      </c>
      <c r="J617">
        <v>20</v>
      </c>
      <c r="K617">
        <v>38</v>
      </c>
      <c r="L617">
        <v>29</v>
      </c>
      <c r="M617">
        <v>36</v>
      </c>
      <c r="O617" s="256">
        <f t="shared" si="289"/>
        <v>128</v>
      </c>
      <c r="P617" s="256">
        <f t="shared" si="290"/>
        <v>123</v>
      </c>
      <c r="Q617" s="256" t="str">
        <f t="shared" si="291"/>
        <v>HW</v>
      </c>
      <c r="R617" s="256" t="str">
        <f t="shared" si="292"/>
        <v>HW</v>
      </c>
      <c r="S617" s="256" t="str">
        <f t="shared" si="293"/>
        <v>HW</v>
      </c>
      <c r="T617" s="256" t="str">
        <f t="shared" si="294"/>
        <v>HL</v>
      </c>
      <c r="U617" s="256" t="str">
        <f t="shared" si="295"/>
        <v>U</v>
      </c>
      <c r="V617" s="256" t="str">
        <f t="shared" si="296"/>
        <v>O</v>
      </c>
      <c r="W617" s="256" t="str">
        <f t="shared" si="297"/>
        <v>O</v>
      </c>
      <c r="X617" s="256" t="str">
        <f t="shared" si="298"/>
        <v>O</v>
      </c>
      <c r="Y617" s="256">
        <v>227.5</v>
      </c>
      <c r="Z617" s="258">
        <v>57</v>
      </c>
      <c r="AA617" s="256" t="str">
        <f t="shared" si="278"/>
        <v>MIL/BOS</v>
      </c>
      <c r="AC617" s="256"/>
      <c r="AD617" s="256"/>
      <c r="AE617" s="258"/>
      <c r="AF617" s="256"/>
    </row>
    <row r="618" spans="1:32" x14ac:dyDescent="0.3">
      <c r="A618" s="209">
        <v>200117</v>
      </c>
      <c r="B618" s="211">
        <v>0.52083333333333337</v>
      </c>
      <c r="C618" s="210" t="s">
        <v>425</v>
      </c>
      <c r="D618" s="210" t="s">
        <v>408</v>
      </c>
      <c r="E618">
        <v>34</v>
      </c>
      <c r="F618">
        <v>28</v>
      </c>
      <c r="G618">
        <v>23</v>
      </c>
      <c r="H618">
        <v>28</v>
      </c>
      <c r="I618">
        <v>18</v>
      </c>
      <c r="J618">
        <v>19</v>
      </c>
      <c r="K618">
        <v>26</v>
      </c>
      <c r="L618">
        <v>28</v>
      </c>
      <c r="M618">
        <v>40</v>
      </c>
      <c r="N618" s="2">
        <v>21</v>
      </c>
      <c r="O618" s="256">
        <f t="shared" si="289"/>
        <v>131</v>
      </c>
      <c r="P618" s="256">
        <f t="shared" si="290"/>
        <v>134</v>
      </c>
      <c r="Q618" s="256" t="str">
        <f t="shared" si="291"/>
        <v>HW</v>
      </c>
      <c r="R618" s="256" t="str">
        <f t="shared" si="292"/>
        <v>HW</v>
      </c>
      <c r="S618" s="256" t="str">
        <f t="shared" si="293"/>
        <v>HL</v>
      </c>
      <c r="T618" s="256" t="str">
        <f t="shared" si="294"/>
        <v>HL</v>
      </c>
      <c r="U618" s="256" t="str">
        <f t="shared" si="295"/>
        <v>U</v>
      </c>
      <c r="V618" s="256" t="str">
        <f t="shared" si="296"/>
        <v>O</v>
      </c>
      <c r="W618" s="256" t="str">
        <f t="shared" si="297"/>
        <v>U</v>
      </c>
      <c r="X618" s="256" t="str">
        <f t="shared" si="298"/>
        <v>O</v>
      </c>
      <c r="Y618" s="256">
        <v>213</v>
      </c>
      <c r="Z618" s="258">
        <v>53.5</v>
      </c>
      <c r="AA618" s="256" t="str">
        <f t="shared" si="278"/>
        <v>GS/DEN</v>
      </c>
      <c r="AC618" s="256"/>
      <c r="AD618" s="256"/>
      <c r="AE618" s="258"/>
      <c r="AF618" s="256"/>
    </row>
    <row r="619" spans="1:32" x14ac:dyDescent="0.3">
      <c r="A619" s="209">
        <v>200117</v>
      </c>
      <c r="B619" s="211">
        <v>0.52083333333333337</v>
      </c>
      <c r="C619" s="210" t="s">
        <v>415</v>
      </c>
      <c r="D619" s="210" t="s">
        <v>424</v>
      </c>
      <c r="E619">
        <v>34</v>
      </c>
      <c r="F619">
        <v>33</v>
      </c>
      <c r="G619">
        <v>24</v>
      </c>
      <c r="H619">
        <v>31</v>
      </c>
      <c r="J619">
        <v>26</v>
      </c>
      <c r="K619">
        <v>22</v>
      </c>
      <c r="L619">
        <v>28</v>
      </c>
      <c r="M619">
        <v>19</v>
      </c>
      <c r="O619" s="256">
        <f t="shared" si="289"/>
        <v>122</v>
      </c>
      <c r="P619" s="256">
        <f t="shared" si="290"/>
        <v>95</v>
      </c>
      <c r="Q619" s="256" t="str">
        <f t="shared" si="291"/>
        <v>HW</v>
      </c>
      <c r="R619" s="256" t="str">
        <f t="shared" si="292"/>
        <v>HW</v>
      </c>
      <c r="S619" s="256" t="str">
        <f t="shared" si="293"/>
        <v>HL</v>
      </c>
      <c r="T619" s="256" t="str">
        <f t="shared" si="294"/>
        <v>HW</v>
      </c>
      <c r="U619" s="256" t="str">
        <f t="shared" si="295"/>
        <v>O</v>
      </c>
      <c r="V619" s="256" t="str">
        <f t="shared" si="296"/>
        <v>O</v>
      </c>
      <c r="W619" s="256" t="str">
        <f t="shared" si="297"/>
        <v>U</v>
      </c>
      <c r="X619" s="256" t="str">
        <f t="shared" si="298"/>
        <v>U</v>
      </c>
      <c r="Y619" s="256">
        <v>217</v>
      </c>
      <c r="Z619" s="258">
        <v>54.5</v>
      </c>
      <c r="AA619" s="256" t="str">
        <f t="shared" si="278"/>
        <v>LAC/ORL</v>
      </c>
      <c r="AC619" s="256"/>
      <c r="AD619" s="256"/>
      <c r="AE619" s="258"/>
      <c r="AF619" s="256"/>
    </row>
    <row r="620" spans="1:32" x14ac:dyDescent="0.3">
      <c r="A620" s="209">
        <v>200118</v>
      </c>
      <c r="B620" s="213">
        <v>0.375</v>
      </c>
      <c r="C620" s="212" t="s">
        <v>400</v>
      </c>
      <c r="D620" s="212" t="s">
        <v>420</v>
      </c>
      <c r="E620">
        <v>32</v>
      </c>
      <c r="F620">
        <v>35</v>
      </c>
      <c r="G620">
        <v>32</v>
      </c>
      <c r="H620">
        <v>17</v>
      </c>
      <c r="J620">
        <v>26</v>
      </c>
      <c r="K620">
        <v>35</v>
      </c>
      <c r="L620">
        <v>32</v>
      </c>
      <c r="M620">
        <v>21</v>
      </c>
      <c r="O620" s="256">
        <f t="shared" si="289"/>
        <v>116</v>
      </c>
      <c r="P620" s="256">
        <f t="shared" si="290"/>
        <v>114</v>
      </c>
      <c r="Q620" s="256" t="str">
        <f t="shared" si="291"/>
        <v>HW</v>
      </c>
      <c r="R620" s="256" t="str">
        <f t="shared" si="292"/>
        <v>TT</v>
      </c>
      <c r="S620" s="256" t="str">
        <f t="shared" si="293"/>
        <v>TT</v>
      </c>
      <c r="T620" s="256" t="str">
        <f t="shared" si="294"/>
        <v>HL</v>
      </c>
      <c r="U620" s="256" t="str">
        <f t="shared" si="295"/>
        <v>O</v>
      </c>
      <c r="V620" s="256" t="str">
        <f t="shared" si="296"/>
        <v>O</v>
      </c>
      <c r="W620" s="256" t="str">
        <f t="shared" si="297"/>
        <v>O</v>
      </c>
      <c r="X620" s="256" t="str">
        <f t="shared" si="298"/>
        <v>U</v>
      </c>
      <c r="Y620" s="256">
        <v>217.5</v>
      </c>
      <c r="Z620" s="258">
        <v>54.5</v>
      </c>
      <c r="AA620" s="256" t="str">
        <f t="shared" si="278"/>
        <v>IND/MIN</v>
      </c>
      <c r="AC620" s="256"/>
      <c r="AD620" s="256"/>
      <c r="AE620" s="258"/>
      <c r="AF620" s="256"/>
    </row>
    <row r="621" spans="1:32" x14ac:dyDescent="0.3">
      <c r="A621" s="212">
        <v>200118</v>
      </c>
      <c r="B621" s="213">
        <v>0.375</v>
      </c>
      <c r="C621" s="212" t="s">
        <v>401</v>
      </c>
      <c r="D621" s="212" t="s">
        <v>412</v>
      </c>
      <c r="E621">
        <v>21</v>
      </c>
      <c r="F621">
        <v>25</v>
      </c>
      <c r="G621">
        <v>35</v>
      </c>
      <c r="H621">
        <v>19</v>
      </c>
      <c r="J621">
        <v>24</v>
      </c>
      <c r="K621">
        <v>23</v>
      </c>
      <c r="L621">
        <v>24</v>
      </c>
      <c r="M621">
        <v>18</v>
      </c>
      <c r="O621" s="256">
        <f t="shared" si="289"/>
        <v>100</v>
      </c>
      <c r="P621" s="256">
        <f t="shared" si="290"/>
        <v>89</v>
      </c>
      <c r="Q621" s="256" t="str">
        <f t="shared" si="291"/>
        <v>HL</v>
      </c>
      <c r="R621" s="256" t="str">
        <f t="shared" si="292"/>
        <v>HW</v>
      </c>
      <c r="S621" s="256" t="str">
        <f t="shared" si="293"/>
        <v>HW</v>
      </c>
      <c r="T621" s="256" t="str">
        <f t="shared" si="294"/>
        <v>HW</v>
      </c>
      <c r="U621" s="256" t="str">
        <f t="shared" si="295"/>
        <v>U</v>
      </c>
      <c r="V621" s="256" t="str">
        <f t="shared" si="296"/>
        <v>U</v>
      </c>
      <c r="W621" s="256" t="str">
        <f t="shared" si="297"/>
        <v>O</v>
      </c>
      <c r="X621" s="256" t="str">
        <f t="shared" si="298"/>
        <v>U</v>
      </c>
      <c r="Y621" s="256">
        <v>213.5</v>
      </c>
      <c r="Z621" s="258">
        <v>53.5</v>
      </c>
      <c r="AA621" s="256" t="str">
        <f t="shared" si="278"/>
        <v>PHI/CHI</v>
      </c>
      <c r="AC621" s="256"/>
      <c r="AD621" s="256"/>
      <c r="AE621" s="258"/>
      <c r="AF621" s="256"/>
    </row>
    <row r="622" spans="1:32" x14ac:dyDescent="0.3">
      <c r="A622" s="212">
        <v>200118</v>
      </c>
      <c r="B622" s="213">
        <v>0.375</v>
      </c>
      <c r="C622" s="212" t="s">
        <v>413</v>
      </c>
      <c r="D622" s="212" t="s">
        <v>414</v>
      </c>
      <c r="E622">
        <v>38</v>
      </c>
      <c r="F622">
        <v>27</v>
      </c>
      <c r="G622">
        <v>35</v>
      </c>
      <c r="H622">
        <v>40</v>
      </c>
      <c r="J622">
        <v>26</v>
      </c>
      <c r="K622">
        <v>25</v>
      </c>
      <c r="L622">
        <v>25</v>
      </c>
      <c r="M622">
        <v>35</v>
      </c>
      <c r="O622" s="256">
        <f t="shared" si="289"/>
        <v>140</v>
      </c>
      <c r="P622" s="256">
        <f t="shared" si="290"/>
        <v>111</v>
      </c>
      <c r="Q622" s="256" t="str">
        <f t="shared" si="291"/>
        <v>HW</v>
      </c>
      <c r="R622" s="256" t="str">
        <f t="shared" si="292"/>
        <v>HW</v>
      </c>
      <c r="S622" s="256" t="str">
        <f t="shared" si="293"/>
        <v>HW</v>
      </c>
      <c r="T622" s="256" t="str">
        <f t="shared" si="294"/>
        <v>HW</v>
      </c>
      <c r="U622" s="256" t="str">
        <f t="shared" si="295"/>
        <v>O</v>
      </c>
      <c r="V622" s="256" t="str">
        <f t="shared" si="296"/>
        <v>U</v>
      </c>
      <c r="W622" s="256" t="str">
        <f t="shared" si="297"/>
        <v>O</v>
      </c>
      <c r="X622" s="256" t="str">
        <f t="shared" si="298"/>
        <v>O</v>
      </c>
      <c r="Y622" s="256">
        <v>230</v>
      </c>
      <c r="Z622" s="258">
        <v>58</v>
      </c>
      <c r="AA622" s="256" t="str">
        <f t="shared" si="278"/>
        <v>TOR/WAS</v>
      </c>
      <c r="AC622" s="256"/>
      <c r="AD622" s="256"/>
      <c r="AE622" s="258"/>
      <c r="AF622" s="256"/>
    </row>
    <row r="623" spans="1:32" x14ac:dyDescent="0.3">
      <c r="A623" s="212">
        <v>200118</v>
      </c>
      <c r="B623" s="213">
        <v>0.41666666666666669</v>
      </c>
      <c r="C623" s="212" t="s">
        <v>418</v>
      </c>
      <c r="D623" s="212" t="s">
        <v>411</v>
      </c>
      <c r="E623">
        <v>26</v>
      </c>
      <c r="F623">
        <v>21</v>
      </c>
      <c r="G623">
        <v>31</v>
      </c>
      <c r="H623">
        <v>30</v>
      </c>
      <c r="J623">
        <v>40</v>
      </c>
      <c r="K623">
        <v>21</v>
      </c>
      <c r="L623">
        <v>31</v>
      </c>
      <c r="M623">
        <v>23</v>
      </c>
      <c r="O623" s="256">
        <f t="shared" si="289"/>
        <v>108</v>
      </c>
      <c r="P623" s="256">
        <f t="shared" si="290"/>
        <v>115</v>
      </c>
      <c r="Q623" s="256" t="str">
        <f t="shared" si="291"/>
        <v>HL</v>
      </c>
      <c r="R623" s="256" t="str">
        <f t="shared" si="292"/>
        <v>TT</v>
      </c>
      <c r="S623" s="256" t="str">
        <f t="shared" si="293"/>
        <v>TT</v>
      </c>
      <c r="T623" s="256" t="str">
        <f t="shared" si="294"/>
        <v>HW</v>
      </c>
      <c r="U623" s="256" t="str">
        <f t="shared" si="295"/>
        <v>O</v>
      </c>
      <c r="V623" s="256" t="str">
        <f t="shared" si="296"/>
        <v>U</v>
      </c>
      <c r="W623" s="256" t="str">
        <f t="shared" si="297"/>
        <v>O</v>
      </c>
      <c r="X623" s="256" t="str">
        <f t="shared" si="298"/>
        <v>U</v>
      </c>
      <c r="Y623" s="256">
        <v>216.5</v>
      </c>
      <c r="Z623" s="258">
        <v>54.5</v>
      </c>
      <c r="AA623" s="256" t="str">
        <f t="shared" si="278"/>
        <v>OKC/MIA</v>
      </c>
      <c r="AC623" s="256"/>
      <c r="AD623" s="256"/>
      <c r="AE623" s="258"/>
      <c r="AF623" s="256"/>
    </row>
    <row r="624" spans="1:32" x14ac:dyDescent="0.3">
      <c r="A624" s="212">
        <v>200118</v>
      </c>
      <c r="B624" s="213">
        <v>0.41666666666666669</v>
      </c>
      <c r="C624" s="212" t="s">
        <v>406</v>
      </c>
      <c r="D624" s="212" t="s">
        <v>402</v>
      </c>
      <c r="E624">
        <v>27</v>
      </c>
      <c r="F624">
        <v>27</v>
      </c>
      <c r="G624">
        <v>38</v>
      </c>
      <c r="H624">
        <v>21</v>
      </c>
      <c r="J624">
        <v>25</v>
      </c>
      <c r="K624">
        <v>31</v>
      </c>
      <c r="L624">
        <v>20</v>
      </c>
      <c r="M624">
        <v>33</v>
      </c>
      <c r="O624" s="256">
        <f t="shared" si="289"/>
        <v>113</v>
      </c>
      <c r="P624" s="256">
        <f t="shared" si="290"/>
        <v>109</v>
      </c>
      <c r="Q624" s="256" t="str">
        <f t="shared" si="291"/>
        <v>HW</v>
      </c>
      <c r="R624" s="256" t="str">
        <f t="shared" si="292"/>
        <v>HL</v>
      </c>
      <c r="S624" s="256" t="str">
        <f t="shared" si="293"/>
        <v>HW</v>
      </c>
      <c r="T624" s="256" t="str">
        <f t="shared" si="294"/>
        <v>HL</v>
      </c>
      <c r="U624" s="256" t="str">
        <f t="shared" si="295"/>
        <v>U</v>
      </c>
      <c r="V624" s="256" t="str">
        <f t="shared" si="296"/>
        <v>O</v>
      </c>
      <c r="W624" s="256" t="str">
        <f t="shared" si="297"/>
        <v>O</v>
      </c>
      <c r="X624" s="256" t="str">
        <f t="shared" si="298"/>
        <v>U</v>
      </c>
      <c r="Y624" s="256">
        <v>229.5</v>
      </c>
      <c r="Z624" s="258">
        <v>57.5</v>
      </c>
      <c r="AA624" s="256" t="str">
        <f t="shared" si="278"/>
        <v>MEM/CLE</v>
      </c>
      <c r="AC624" s="256"/>
      <c r="AD624" s="256"/>
      <c r="AE624" s="258"/>
      <c r="AF624" s="256"/>
    </row>
    <row r="625" spans="1:32" x14ac:dyDescent="0.3">
      <c r="A625" s="212">
        <v>200118</v>
      </c>
      <c r="B625" s="213">
        <v>0.4375</v>
      </c>
      <c r="C625" s="212" t="s">
        <v>426</v>
      </c>
      <c r="D625" s="212" t="s">
        <v>410</v>
      </c>
      <c r="E625">
        <v>27</v>
      </c>
      <c r="F625">
        <v>31</v>
      </c>
      <c r="G625">
        <v>41</v>
      </c>
      <c r="H625">
        <v>21</v>
      </c>
      <c r="J625">
        <v>29</v>
      </c>
      <c r="K625">
        <v>38</v>
      </c>
      <c r="L625">
        <v>21</v>
      </c>
      <c r="M625">
        <v>33</v>
      </c>
      <c r="O625" s="256">
        <f t="shared" si="289"/>
        <v>120</v>
      </c>
      <c r="P625" s="256">
        <f t="shared" si="290"/>
        <v>121</v>
      </c>
      <c r="Q625" s="256" t="str">
        <f t="shared" si="291"/>
        <v>HL</v>
      </c>
      <c r="R625" s="256" t="str">
        <f t="shared" si="292"/>
        <v>HL</v>
      </c>
      <c r="S625" s="256" t="str">
        <f t="shared" si="293"/>
        <v>HW</v>
      </c>
      <c r="T625" s="256" t="str">
        <f t="shared" si="294"/>
        <v>HL</v>
      </c>
      <c r="U625" s="256" t="str">
        <f t="shared" si="295"/>
        <v>U</v>
      </c>
      <c r="V625" s="256" t="str">
        <f t="shared" si="296"/>
        <v>O</v>
      </c>
      <c r="W625" s="256" t="str">
        <f t="shared" si="297"/>
        <v>O</v>
      </c>
      <c r="X625" s="256" t="str">
        <f t="shared" si="298"/>
        <v>U</v>
      </c>
      <c r="Y625" s="256">
        <v>230</v>
      </c>
      <c r="Z625" s="258">
        <v>58</v>
      </c>
      <c r="AA625" s="256" t="str">
        <f t="shared" si="278"/>
        <v>SAS/ATL</v>
      </c>
      <c r="AC625" s="256"/>
      <c r="AD625" s="256"/>
      <c r="AE625" s="258"/>
      <c r="AF625" s="256"/>
    </row>
    <row r="626" spans="1:32" x14ac:dyDescent="0.3">
      <c r="A626" s="212">
        <v>200118</v>
      </c>
      <c r="B626" s="213">
        <v>0.47916666666666669</v>
      </c>
      <c r="C626" s="212" t="s">
        <v>397</v>
      </c>
      <c r="D626" s="212" t="s">
        <v>417</v>
      </c>
      <c r="E626">
        <v>38</v>
      </c>
      <c r="F626">
        <v>34</v>
      </c>
      <c r="G626">
        <v>26</v>
      </c>
      <c r="H626">
        <v>22</v>
      </c>
      <c r="J626">
        <v>37</v>
      </c>
      <c r="K626">
        <v>26</v>
      </c>
      <c r="L626">
        <v>26</v>
      </c>
      <c r="M626">
        <v>23</v>
      </c>
      <c r="O626" s="256">
        <f t="shared" si="289"/>
        <v>120</v>
      </c>
      <c r="P626" s="256">
        <f t="shared" si="290"/>
        <v>112</v>
      </c>
      <c r="Q626" s="256" t="str">
        <f t="shared" si="291"/>
        <v>HW</v>
      </c>
      <c r="R626" s="256" t="str">
        <f t="shared" si="292"/>
        <v>HW</v>
      </c>
      <c r="S626" s="256" t="str">
        <f t="shared" si="293"/>
        <v>TT</v>
      </c>
      <c r="T626" s="256" t="str">
        <f t="shared" si="294"/>
        <v>HL</v>
      </c>
      <c r="U626" s="256" t="str">
        <f t="shared" si="295"/>
        <v>O</v>
      </c>
      <c r="V626" s="256" t="str">
        <f t="shared" si="296"/>
        <v>O</v>
      </c>
      <c r="W626" s="256" t="str">
        <f t="shared" si="297"/>
        <v>U</v>
      </c>
      <c r="X626" s="256" t="str">
        <f t="shared" si="298"/>
        <v>U</v>
      </c>
      <c r="Y626" s="256">
        <v>228</v>
      </c>
      <c r="Z626" s="258">
        <v>57.5</v>
      </c>
      <c r="AA626" s="256" t="str">
        <f t="shared" si="278"/>
        <v>DAL/POR</v>
      </c>
      <c r="AC626" s="256"/>
      <c r="AD626" s="256"/>
      <c r="AE626" s="258"/>
      <c r="AF626" s="256"/>
    </row>
    <row r="627" spans="1:32" x14ac:dyDescent="0.3">
      <c r="A627" s="212">
        <v>200119</v>
      </c>
      <c r="B627" s="215">
        <v>0.22916666666666666</v>
      </c>
      <c r="C627" s="214" t="s">
        <v>398</v>
      </c>
      <c r="D627" s="214" t="s">
        <v>415</v>
      </c>
      <c r="E627">
        <v>35</v>
      </c>
      <c r="F627">
        <v>45</v>
      </c>
      <c r="G627">
        <v>30</v>
      </c>
      <c r="H627">
        <v>20</v>
      </c>
      <c r="J627">
        <v>33</v>
      </c>
      <c r="K627">
        <v>39</v>
      </c>
      <c r="L627">
        <v>30</v>
      </c>
      <c r="M627">
        <v>31</v>
      </c>
      <c r="O627" s="256">
        <f t="shared" si="289"/>
        <v>130</v>
      </c>
      <c r="P627" s="256">
        <f t="shared" si="290"/>
        <v>133</v>
      </c>
      <c r="Q627" s="256" t="str">
        <f t="shared" si="291"/>
        <v>HW</v>
      </c>
      <c r="R627" s="256" t="str">
        <f t="shared" si="292"/>
        <v>HW</v>
      </c>
      <c r="S627" s="256" t="str">
        <f t="shared" si="293"/>
        <v>TT</v>
      </c>
      <c r="T627" s="256" t="str">
        <f t="shared" si="294"/>
        <v>HL</v>
      </c>
      <c r="U627" s="256" t="str">
        <f t="shared" si="295"/>
        <v>O</v>
      </c>
      <c r="V627" s="256" t="str">
        <f t="shared" si="296"/>
        <v>O</v>
      </c>
      <c r="W627" s="256" t="str">
        <f t="shared" si="297"/>
        <v>O</v>
      </c>
      <c r="X627" s="256" t="str">
        <f t="shared" si="298"/>
        <v>U</v>
      </c>
      <c r="Y627" s="256">
        <v>235.5</v>
      </c>
      <c r="Z627" s="258">
        <v>59</v>
      </c>
      <c r="AA627" s="256" t="str">
        <f t="shared" si="278"/>
        <v>NO/LAC</v>
      </c>
      <c r="AC627" s="256"/>
      <c r="AD627" s="256"/>
      <c r="AE627" s="258"/>
      <c r="AF627" s="256"/>
    </row>
    <row r="628" spans="1:32" x14ac:dyDescent="0.3">
      <c r="A628" s="214">
        <v>200119</v>
      </c>
      <c r="B628" s="215">
        <v>0.33333333333333331</v>
      </c>
      <c r="C628" s="214" t="s">
        <v>407</v>
      </c>
      <c r="D628" s="214" t="s">
        <v>423</v>
      </c>
      <c r="E628">
        <v>22</v>
      </c>
      <c r="F628">
        <v>20</v>
      </c>
      <c r="G628">
        <v>29</v>
      </c>
      <c r="H628">
        <v>26</v>
      </c>
      <c r="J628">
        <v>30</v>
      </c>
      <c r="K628">
        <v>27</v>
      </c>
      <c r="L628">
        <v>36</v>
      </c>
      <c r="M628">
        <v>24</v>
      </c>
      <c r="O628" s="256">
        <f t="shared" si="289"/>
        <v>97</v>
      </c>
      <c r="P628" s="256">
        <f t="shared" si="290"/>
        <v>117</v>
      </c>
      <c r="Q628" s="256" t="str">
        <f t="shared" si="291"/>
        <v>HL</v>
      </c>
      <c r="R628" s="256" t="str">
        <f t="shared" si="292"/>
        <v>HL</v>
      </c>
      <c r="S628" s="256" t="str">
        <f t="shared" si="293"/>
        <v>HL</v>
      </c>
      <c r="T628" s="256" t="str">
        <f t="shared" si="294"/>
        <v>HW</v>
      </c>
      <c r="U628" s="256" t="str">
        <f t="shared" si="295"/>
        <v>U</v>
      </c>
      <c r="V628" s="256" t="str">
        <f t="shared" si="296"/>
        <v>U</v>
      </c>
      <c r="W628" s="256" t="str">
        <f t="shared" si="297"/>
        <v>O</v>
      </c>
      <c r="X628" s="256" t="str">
        <f t="shared" si="298"/>
        <v>U</v>
      </c>
      <c r="Y628" s="256">
        <v>236</v>
      </c>
      <c r="Z628" s="258">
        <v>59.5</v>
      </c>
      <c r="AA628" s="256" t="str">
        <f t="shared" si="278"/>
        <v>BKN/MIL</v>
      </c>
      <c r="AC628" s="256"/>
      <c r="AD628" s="256"/>
      <c r="AE628" s="258"/>
      <c r="AF628" s="256"/>
    </row>
    <row r="629" spans="1:32" x14ac:dyDescent="0.3">
      <c r="A629" s="214">
        <v>200119</v>
      </c>
      <c r="B629" s="215">
        <v>0.375</v>
      </c>
      <c r="C629" s="214" t="s">
        <v>421</v>
      </c>
      <c r="D629" s="214" t="s">
        <v>404</v>
      </c>
      <c r="E629">
        <v>20</v>
      </c>
      <c r="F629">
        <v>31</v>
      </c>
      <c r="G629">
        <v>25</v>
      </c>
      <c r="H629">
        <v>43</v>
      </c>
      <c r="J629">
        <v>26</v>
      </c>
      <c r="K629">
        <v>34</v>
      </c>
      <c r="L629">
        <v>27</v>
      </c>
      <c r="M629">
        <v>36</v>
      </c>
      <c r="O629" s="256">
        <f t="shared" si="289"/>
        <v>119</v>
      </c>
      <c r="P629" s="256">
        <f t="shared" si="290"/>
        <v>123</v>
      </c>
      <c r="Q629" s="256" t="str">
        <f t="shared" si="291"/>
        <v>HL</v>
      </c>
      <c r="R629" s="256" t="str">
        <f t="shared" si="292"/>
        <v>HL</v>
      </c>
      <c r="S629" s="256" t="str">
        <f t="shared" si="293"/>
        <v>HL</v>
      </c>
      <c r="T629" s="256" t="str">
        <f t="shared" si="294"/>
        <v>HW</v>
      </c>
      <c r="U629" s="256" t="str">
        <f t="shared" si="295"/>
        <v>U</v>
      </c>
      <c r="V629" s="256" t="str">
        <f t="shared" si="296"/>
        <v>O</v>
      </c>
      <c r="W629" s="256" t="str">
        <f t="shared" si="297"/>
        <v>U</v>
      </c>
      <c r="X629" s="256" t="str">
        <f t="shared" si="298"/>
        <v>O</v>
      </c>
      <c r="Y629" s="256">
        <v>220</v>
      </c>
      <c r="Z629" s="258">
        <v>55.5</v>
      </c>
      <c r="AA629" s="256" t="str">
        <f t="shared" si="278"/>
        <v>BOS/PHO</v>
      </c>
      <c r="AC629" s="256"/>
      <c r="AD629" s="256"/>
      <c r="AE629" s="258"/>
      <c r="AF629" s="256"/>
    </row>
    <row r="630" spans="1:32" x14ac:dyDescent="0.3">
      <c r="A630" s="214">
        <v>200119</v>
      </c>
      <c r="B630" s="215">
        <v>0.39583333333333331</v>
      </c>
      <c r="C630" s="214" t="s">
        <v>410</v>
      </c>
      <c r="D630" s="214" t="s">
        <v>422</v>
      </c>
      <c r="E630">
        <v>29</v>
      </c>
      <c r="F630">
        <v>26</v>
      </c>
      <c r="G630">
        <v>21</v>
      </c>
      <c r="H630">
        <v>27</v>
      </c>
      <c r="J630">
        <v>36</v>
      </c>
      <c r="K630">
        <v>35</v>
      </c>
      <c r="L630">
        <v>32</v>
      </c>
      <c r="M630">
        <v>33</v>
      </c>
      <c r="O630" s="256">
        <f t="shared" si="289"/>
        <v>103</v>
      </c>
      <c r="P630" s="256">
        <f t="shared" si="290"/>
        <v>136</v>
      </c>
      <c r="Q630" s="256" t="str">
        <f t="shared" si="291"/>
        <v>HL</v>
      </c>
      <c r="R630" s="256" t="str">
        <f t="shared" si="292"/>
        <v>HL</v>
      </c>
      <c r="S630" s="256" t="str">
        <f t="shared" si="293"/>
        <v>HL</v>
      </c>
      <c r="T630" s="256" t="str">
        <f t="shared" si="294"/>
        <v>HL</v>
      </c>
      <c r="U630" s="256" t="str">
        <f t="shared" si="295"/>
        <v>O</v>
      </c>
      <c r="V630" s="256" t="str">
        <f t="shared" si="296"/>
        <v>O</v>
      </c>
      <c r="W630" s="256" t="str">
        <f t="shared" si="297"/>
        <v>U</v>
      </c>
      <c r="X630" s="256" t="str">
        <f t="shared" si="298"/>
        <v>O</v>
      </c>
      <c r="Y630" s="256">
        <v>227.5</v>
      </c>
      <c r="Z630" s="258">
        <v>57</v>
      </c>
      <c r="AA630" s="256" t="str">
        <f t="shared" si="278"/>
        <v>ATL/DET</v>
      </c>
      <c r="AC630" s="256"/>
      <c r="AD630" s="256"/>
      <c r="AE630" s="258"/>
      <c r="AF630" s="256"/>
    </row>
    <row r="631" spans="1:32" x14ac:dyDescent="0.3">
      <c r="A631" s="214">
        <v>200119</v>
      </c>
      <c r="B631" s="215">
        <v>0.39583333333333331</v>
      </c>
      <c r="C631" s="214" t="s">
        <v>399</v>
      </c>
      <c r="D631" s="214" t="s">
        <v>401</v>
      </c>
      <c r="E631">
        <v>25</v>
      </c>
      <c r="F631">
        <v>21</v>
      </c>
      <c r="G631">
        <v>23</v>
      </c>
      <c r="H631">
        <v>18</v>
      </c>
      <c r="J631">
        <v>28</v>
      </c>
      <c r="K631">
        <v>24</v>
      </c>
      <c r="L631">
        <v>18</v>
      </c>
      <c r="M631">
        <v>20</v>
      </c>
      <c r="O631" s="256">
        <f t="shared" si="289"/>
        <v>87</v>
      </c>
      <c r="P631" s="256">
        <f t="shared" si="290"/>
        <v>90</v>
      </c>
      <c r="Q631" s="256" t="str">
        <f t="shared" si="291"/>
        <v>HL</v>
      </c>
      <c r="R631" s="256" t="str">
        <f t="shared" si="292"/>
        <v>HL</v>
      </c>
      <c r="S631" s="256" t="str">
        <f t="shared" si="293"/>
        <v>HW</v>
      </c>
      <c r="T631" s="256" t="str">
        <f t="shared" si="294"/>
        <v>HL</v>
      </c>
      <c r="U631" s="256" t="str">
        <f t="shared" si="295"/>
        <v>U</v>
      </c>
      <c r="V631" s="256" t="str">
        <f t="shared" si="296"/>
        <v>U</v>
      </c>
      <c r="W631" s="256" t="str">
        <f t="shared" si="297"/>
        <v>U</v>
      </c>
      <c r="X631" s="256" t="str">
        <f t="shared" si="298"/>
        <v>U</v>
      </c>
      <c r="Y631" s="256">
        <v>218.5</v>
      </c>
      <c r="Z631" s="258">
        <v>55</v>
      </c>
      <c r="AA631" s="256" t="str">
        <f t="shared" si="278"/>
        <v>NYK/PHI</v>
      </c>
      <c r="AC631" s="256"/>
      <c r="AD631" s="256"/>
      <c r="AE631" s="258"/>
      <c r="AF631" s="256"/>
    </row>
    <row r="632" spans="1:32" x14ac:dyDescent="0.3">
      <c r="A632" s="214">
        <v>200119</v>
      </c>
      <c r="B632" s="215">
        <v>0.41666666666666669</v>
      </c>
      <c r="C632" s="214" t="s">
        <v>412</v>
      </c>
      <c r="D632" s="214" t="s">
        <v>402</v>
      </c>
      <c r="E632">
        <v>31</v>
      </c>
      <c r="F632">
        <v>25</v>
      </c>
      <c r="G632">
        <v>31</v>
      </c>
      <c r="H632">
        <v>31</v>
      </c>
      <c r="J632">
        <v>33</v>
      </c>
      <c r="K632">
        <v>40</v>
      </c>
      <c r="L632">
        <v>29</v>
      </c>
      <c r="M632">
        <v>14</v>
      </c>
      <c r="O632" s="256">
        <f t="shared" si="289"/>
        <v>118</v>
      </c>
      <c r="P632" s="256">
        <f t="shared" si="290"/>
        <v>116</v>
      </c>
      <c r="Q632" s="256" t="str">
        <f t="shared" si="291"/>
        <v>HL</v>
      </c>
      <c r="R632" s="256" t="str">
        <f t="shared" si="292"/>
        <v>HL</v>
      </c>
      <c r="S632" s="256" t="str">
        <f t="shared" si="293"/>
        <v>HW</v>
      </c>
      <c r="T632" s="256" t="str">
        <f t="shared" si="294"/>
        <v>HW</v>
      </c>
      <c r="U632" s="256" t="str">
        <f t="shared" si="295"/>
        <v>O</v>
      </c>
      <c r="V632" s="256" t="str">
        <f t="shared" si="296"/>
        <v>O</v>
      </c>
      <c r="W632" s="256" t="str">
        <f t="shared" si="297"/>
        <v>O</v>
      </c>
      <c r="X632" s="256" t="str">
        <f t="shared" si="298"/>
        <v>U</v>
      </c>
      <c r="Y632" s="256">
        <v>214</v>
      </c>
      <c r="Z632" s="258">
        <v>54</v>
      </c>
      <c r="AA632" s="256" t="str">
        <f t="shared" si="278"/>
        <v>CHI/CLE</v>
      </c>
      <c r="AC632" s="256"/>
      <c r="AD632" s="256"/>
      <c r="AE632" s="258"/>
      <c r="AF632" s="256"/>
    </row>
    <row r="633" spans="1:32" x14ac:dyDescent="0.3">
      <c r="A633" s="214">
        <v>200119</v>
      </c>
      <c r="B633" s="215">
        <v>0.41666666666666669</v>
      </c>
      <c r="C633" s="214" t="s">
        <v>420</v>
      </c>
      <c r="D633" s="214" t="s">
        <v>413</v>
      </c>
      <c r="E633">
        <v>39</v>
      </c>
      <c r="F633">
        <v>23</v>
      </c>
      <c r="G633">
        <v>22</v>
      </c>
      <c r="H633">
        <v>28</v>
      </c>
      <c r="J633">
        <v>32</v>
      </c>
      <c r="K633">
        <v>26</v>
      </c>
      <c r="L633">
        <v>31</v>
      </c>
      <c r="M633">
        <v>33</v>
      </c>
      <c r="O633" s="256">
        <f t="shared" si="289"/>
        <v>112</v>
      </c>
      <c r="P633" s="256">
        <f t="shared" si="290"/>
        <v>122</v>
      </c>
      <c r="Q633" s="256" t="str">
        <f t="shared" si="291"/>
        <v>HW</v>
      </c>
      <c r="R633" s="256" t="str">
        <f t="shared" si="292"/>
        <v>HL</v>
      </c>
      <c r="S633" s="256" t="str">
        <f t="shared" si="293"/>
        <v>HL</v>
      </c>
      <c r="T633" s="256" t="str">
        <f t="shared" si="294"/>
        <v>HL</v>
      </c>
      <c r="U633" s="256" t="str">
        <f t="shared" si="295"/>
        <v>O</v>
      </c>
      <c r="V633" s="256" t="str">
        <f t="shared" si="296"/>
        <v>U</v>
      </c>
      <c r="W633" s="256" t="str">
        <f t="shared" si="297"/>
        <v>U</v>
      </c>
      <c r="X633" s="256" t="str">
        <f t="shared" si="298"/>
        <v>O</v>
      </c>
      <c r="Y633" s="256">
        <v>224.5</v>
      </c>
      <c r="Z633" s="258">
        <v>56.5</v>
      </c>
      <c r="AA633" s="256" t="str">
        <f t="shared" si="278"/>
        <v>MIN/TOR</v>
      </c>
      <c r="AC633" s="256"/>
      <c r="AD633" s="256"/>
      <c r="AE633" s="258"/>
      <c r="AF633" s="256"/>
    </row>
    <row r="634" spans="1:32" x14ac:dyDescent="0.3">
      <c r="A634" s="214">
        <v>200119</v>
      </c>
      <c r="B634" s="215">
        <v>0.4375</v>
      </c>
      <c r="C634" s="214" t="s">
        <v>425</v>
      </c>
      <c r="D634" s="214" t="s">
        <v>424</v>
      </c>
      <c r="E634">
        <v>28</v>
      </c>
      <c r="F634">
        <v>25</v>
      </c>
      <c r="G634">
        <v>29</v>
      </c>
      <c r="H634">
        <v>27</v>
      </c>
      <c r="J634">
        <v>25</v>
      </c>
      <c r="K634">
        <v>27</v>
      </c>
      <c r="L634">
        <v>19</v>
      </c>
      <c r="M634">
        <v>24</v>
      </c>
      <c r="O634" s="256">
        <f t="shared" si="289"/>
        <v>109</v>
      </c>
      <c r="P634" s="256">
        <f t="shared" si="290"/>
        <v>95</v>
      </c>
      <c r="Q634" s="256" t="str">
        <f t="shared" si="291"/>
        <v>HW</v>
      </c>
      <c r="R634" s="256" t="str">
        <f t="shared" si="292"/>
        <v>HL</v>
      </c>
      <c r="S634" s="256" t="str">
        <f t="shared" si="293"/>
        <v>HW</v>
      </c>
      <c r="T634" s="256" t="str">
        <f t="shared" si="294"/>
        <v>HW</v>
      </c>
      <c r="U634" s="256" t="str">
        <f t="shared" si="295"/>
        <v>U</v>
      </c>
      <c r="V634" s="256" t="str">
        <f t="shared" si="296"/>
        <v>U</v>
      </c>
      <c r="W634" s="256" t="str">
        <f t="shared" si="297"/>
        <v>U</v>
      </c>
      <c r="X634" s="256" t="str">
        <f t="shared" si="298"/>
        <v>U</v>
      </c>
      <c r="Y634" s="256">
        <v>214</v>
      </c>
      <c r="Z634" s="258">
        <v>54</v>
      </c>
      <c r="AA634" s="256" t="str">
        <f t="shared" si="278"/>
        <v>GS/ORL</v>
      </c>
      <c r="AC634" s="256"/>
      <c r="AD634" s="256"/>
      <c r="AE634" s="258"/>
      <c r="AF634" s="256"/>
    </row>
    <row r="635" spans="1:32" x14ac:dyDescent="0.3">
      <c r="A635" s="214">
        <v>200119</v>
      </c>
      <c r="B635" s="215">
        <v>0.4375</v>
      </c>
      <c r="C635" s="214" t="s">
        <v>403</v>
      </c>
      <c r="D635" s="214" t="s">
        <v>419</v>
      </c>
      <c r="E635">
        <v>34</v>
      </c>
      <c r="F635">
        <v>31</v>
      </c>
      <c r="G635">
        <v>17</v>
      </c>
      <c r="H635">
        <v>33</v>
      </c>
      <c r="J635">
        <v>27</v>
      </c>
      <c r="K635">
        <v>32</v>
      </c>
      <c r="L635">
        <v>32</v>
      </c>
      <c r="M635">
        <v>33</v>
      </c>
      <c r="O635" s="256">
        <f t="shared" si="289"/>
        <v>115</v>
      </c>
      <c r="P635" s="256">
        <f t="shared" si="290"/>
        <v>124</v>
      </c>
      <c r="Q635" s="256" t="str">
        <f t="shared" si="291"/>
        <v>HW</v>
      </c>
      <c r="R635" s="256" t="str">
        <f t="shared" si="292"/>
        <v>HL</v>
      </c>
      <c r="S635" s="256" t="str">
        <f t="shared" si="293"/>
        <v>HL</v>
      </c>
      <c r="T635" s="256" t="str">
        <f t="shared" si="294"/>
        <v>TT</v>
      </c>
      <c r="U635" s="256" t="str">
        <f t="shared" si="295"/>
        <v>O</v>
      </c>
      <c r="V635" s="256" t="str">
        <f t="shared" si="296"/>
        <v>O</v>
      </c>
      <c r="W635" s="256" t="str">
        <f t="shared" si="297"/>
        <v>U</v>
      </c>
      <c r="X635" s="256" t="str">
        <f t="shared" si="298"/>
        <v>O</v>
      </c>
      <c r="Y635" s="256">
        <v>236</v>
      </c>
      <c r="Z635" s="258">
        <v>59.5</v>
      </c>
      <c r="AA635" s="256" t="str">
        <f t="shared" si="278"/>
        <v>HOU/LAL</v>
      </c>
      <c r="AC635" s="256"/>
      <c r="AD635" s="256"/>
      <c r="AE635" s="258"/>
      <c r="AF635" s="256"/>
    </row>
    <row r="636" spans="1:32" x14ac:dyDescent="0.3">
      <c r="A636" s="214">
        <v>200119</v>
      </c>
      <c r="B636" s="215">
        <v>0.45833333333333331</v>
      </c>
      <c r="C636" s="214" t="s">
        <v>418</v>
      </c>
      <c r="D636" s="214" t="s">
        <v>417</v>
      </c>
      <c r="E636">
        <v>32</v>
      </c>
      <c r="F636">
        <v>32</v>
      </c>
      <c r="G636">
        <v>23</v>
      </c>
      <c r="H636">
        <v>32</v>
      </c>
      <c r="J636">
        <v>24</v>
      </c>
      <c r="K636">
        <v>33</v>
      </c>
      <c r="L636">
        <v>20</v>
      </c>
      <c r="M636">
        <v>29</v>
      </c>
      <c r="O636" s="256">
        <f t="shared" si="289"/>
        <v>119</v>
      </c>
      <c r="P636" s="256">
        <f t="shared" si="290"/>
        <v>106</v>
      </c>
      <c r="Q636" s="256" t="str">
        <f t="shared" si="291"/>
        <v>HW</v>
      </c>
      <c r="R636" s="256" t="str">
        <f t="shared" si="292"/>
        <v>HL</v>
      </c>
      <c r="S636" s="256" t="str">
        <f t="shared" si="293"/>
        <v>HW</v>
      </c>
      <c r="T636" s="256" t="str">
        <f t="shared" si="294"/>
        <v>HW</v>
      </c>
      <c r="U636" s="256" t="str">
        <f t="shared" si="295"/>
        <v>O</v>
      </c>
      <c r="V636" s="256" t="str">
        <f t="shared" si="296"/>
        <v>O</v>
      </c>
      <c r="W636" s="256" t="str">
        <f t="shared" si="297"/>
        <v>U</v>
      </c>
      <c r="X636" s="256" t="str">
        <f t="shared" si="298"/>
        <v>O</v>
      </c>
      <c r="Y636" s="256">
        <v>215.5</v>
      </c>
      <c r="Z636" s="258">
        <v>54</v>
      </c>
      <c r="AA636" s="256" t="str">
        <f t="shared" si="278"/>
        <v>OKC/POR</v>
      </c>
      <c r="AC636" s="256"/>
      <c r="AD636" s="256"/>
      <c r="AE636" s="258"/>
      <c r="AF636" s="256"/>
    </row>
    <row r="637" spans="1:32" x14ac:dyDescent="0.3">
      <c r="A637" s="214">
        <v>200119</v>
      </c>
      <c r="B637" s="215">
        <v>0.45833333333333331</v>
      </c>
      <c r="C637" s="214" t="s">
        <v>405</v>
      </c>
      <c r="D637" s="214" t="s">
        <v>416</v>
      </c>
      <c r="E637">
        <v>38</v>
      </c>
      <c r="F637">
        <v>25</v>
      </c>
      <c r="G637">
        <v>32</v>
      </c>
      <c r="H637">
        <v>28</v>
      </c>
      <c r="J637">
        <v>22</v>
      </c>
      <c r="K637">
        <v>27</v>
      </c>
      <c r="L637">
        <v>28</v>
      </c>
      <c r="M637">
        <v>24</v>
      </c>
      <c r="O637" s="256">
        <f t="shared" si="289"/>
        <v>123</v>
      </c>
      <c r="P637" s="256">
        <f t="shared" si="290"/>
        <v>101</v>
      </c>
      <c r="Q637" s="256" t="str">
        <f t="shared" si="291"/>
        <v>HW</v>
      </c>
      <c r="R637" s="256" t="str">
        <f t="shared" si="292"/>
        <v>HL</v>
      </c>
      <c r="S637" s="256" t="str">
        <f t="shared" si="293"/>
        <v>HW</v>
      </c>
      <c r="T637" s="256" t="str">
        <f t="shared" si="294"/>
        <v>HW</v>
      </c>
      <c r="U637" s="256" t="str">
        <f t="shared" si="295"/>
        <v>O</v>
      </c>
      <c r="V637" s="256" t="str">
        <f t="shared" si="296"/>
        <v>U</v>
      </c>
      <c r="W637" s="256" t="str">
        <f t="shared" si="297"/>
        <v>O</v>
      </c>
      <c r="X637" s="256" t="str">
        <f t="shared" si="298"/>
        <v>U</v>
      </c>
      <c r="Y637" s="256">
        <v>223</v>
      </c>
      <c r="Z637" s="258">
        <v>56</v>
      </c>
      <c r="AA637" s="256" t="str">
        <f t="shared" si="278"/>
        <v>UTA/SAC</v>
      </c>
      <c r="AC637" s="256"/>
      <c r="AD637" s="256"/>
      <c r="AE637" s="258"/>
      <c r="AF637" s="256"/>
    </row>
    <row r="638" spans="1:32" x14ac:dyDescent="0.3">
      <c r="A638" s="214">
        <v>200120</v>
      </c>
      <c r="B638" s="217">
        <v>0.20833333333333334</v>
      </c>
      <c r="C638" s="216" t="s">
        <v>426</v>
      </c>
      <c r="D638" s="216" t="s">
        <v>411</v>
      </c>
      <c r="E638">
        <v>28</v>
      </c>
      <c r="F638">
        <v>32</v>
      </c>
      <c r="G638">
        <v>26</v>
      </c>
      <c r="H638">
        <v>21</v>
      </c>
      <c r="J638">
        <v>31</v>
      </c>
      <c r="K638">
        <v>23</v>
      </c>
      <c r="L638">
        <v>30</v>
      </c>
      <c r="M638">
        <v>18</v>
      </c>
      <c r="O638" s="256">
        <f t="shared" si="289"/>
        <v>107</v>
      </c>
      <c r="P638" s="256">
        <f t="shared" si="290"/>
        <v>102</v>
      </c>
      <c r="Q638" s="256" t="str">
        <f t="shared" si="291"/>
        <v>HL</v>
      </c>
      <c r="R638" s="256" t="str">
        <f t="shared" si="292"/>
        <v>HW</v>
      </c>
      <c r="S638" s="256" t="str">
        <f t="shared" si="293"/>
        <v>HL</v>
      </c>
      <c r="T638" s="256" t="str">
        <f t="shared" si="294"/>
        <v>HW</v>
      </c>
      <c r="U638" s="256" t="str">
        <f t="shared" si="295"/>
        <v>O</v>
      </c>
      <c r="V638" s="256" t="str">
        <f t="shared" si="296"/>
        <v>U</v>
      </c>
      <c r="W638" s="256" t="str">
        <f t="shared" si="297"/>
        <v>T</v>
      </c>
      <c r="X638" s="256" t="str">
        <f t="shared" si="298"/>
        <v>U</v>
      </c>
      <c r="Y638" s="256">
        <v>222.5</v>
      </c>
      <c r="Z638" s="258">
        <v>56</v>
      </c>
      <c r="AA638" s="256" t="str">
        <f t="shared" si="278"/>
        <v>SAS/MIA</v>
      </c>
      <c r="AC638" s="256"/>
      <c r="AD638" s="256"/>
      <c r="AE638" s="258"/>
      <c r="AF638" s="256"/>
    </row>
    <row r="639" spans="1:32" x14ac:dyDescent="0.3">
      <c r="A639" s="216">
        <v>200120</v>
      </c>
      <c r="B639" s="217">
        <v>0.41666666666666669</v>
      </c>
      <c r="C639" s="216" t="s">
        <v>408</v>
      </c>
      <c r="D639" s="216" t="s">
        <v>400</v>
      </c>
      <c r="E639">
        <v>21</v>
      </c>
      <c r="F639">
        <v>29</v>
      </c>
      <c r="G639">
        <v>31</v>
      </c>
      <c r="H639">
        <v>26</v>
      </c>
      <c r="J639">
        <v>15</v>
      </c>
      <c r="K639">
        <v>29</v>
      </c>
      <c r="L639">
        <v>30</v>
      </c>
      <c r="M639">
        <v>41</v>
      </c>
      <c r="O639" s="256">
        <f t="shared" si="289"/>
        <v>107</v>
      </c>
      <c r="P639" s="256">
        <f t="shared" si="290"/>
        <v>115</v>
      </c>
      <c r="Q639" s="256" t="str">
        <f t="shared" si="291"/>
        <v>HW</v>
      </c>
      <c r="R639" s="256" t="str">
        <f t="shared" si="292"/>
        <v>TT</v>
      </c>
      <c r="S639" s="256" t="str">
        <f t="shared" si="293"/>
        <v>HW</v>
      </c>
      <c r="T639" s="256" t="str">
        <f t="shared" si="294"/>
        <v>HL</v>
      </c>
      <c r="U639" s="256" t="str">
        <f t="shared" si="295"/>
        <v>U</v>
      </c>
      <c r="V639" s="256" t="str">
        <f t="shared" si="296"/>
        <v>O</v>
      </c>
      <c r="W639" s="256" t="str">
        <f t="shared" si="297"/>
        <v>O</v>
      </c>
      <c r="X639" s="256" t="str">
        <f t="shared" si="298"/>
        <v>O</v>
      </c>
      <c r="Y639" s="256">
        <v>213.5</v>
      </c>
      <c r="Z639" s="258">
        <v>53.5</v>
      </c>
      <c r="AA639" s="256" t="str">
        <f t="shared" si="278"/>
        <v>DEN/IND</v>
      </c>
      <c r="AC639" s="256"/>
      <c r="AD639" s="256"/>
      <c r="AE639" s="258"/>
      <c r="AF639" s="256"/>
    </row>
    <row r="640" spans="1:32" x14ac:dyDescent="0.3">
      <c r="A640" s="216">
        <v>200121</v>
      </c>
      <c r="B640" s="219">
        <v>0.16666666666666666</v>
      </c>
      <c r="C640" s="218" t="s">
        <v>414</v>
      </c>
      <c r="D640" s="218" t="s">
        <v>422</v>
      </c>
      <c r="E640" s="255">
        <v>30</v>
      </c>
      <c r="F640" s="255">
        <v>30</v>
      </c>
      <c r="G640" s="255">
        <v>23</v>
      </c>
      <c r="H640" s="255">
        <v>23</v>
      </c>
      <c r="I640" s="255"/>
      <c r="J640" s="255">
        <v>35</v>
      </c>
      <c r="K640" s="255">
        <v>23</v>
      </c>
      <c r="L640" s="255">
        <v>23</v>
      </c>
      <c r="M640" s="255">
        <v>19</v>
      </c>
      <c r="N640" s="255" t="s">
        <v>427</v>
      </c>
      <c r="O640" s="256">
        <f t="shared" si="289"/>
        <v>106</v>
      </c>
      <c r="P640" s="256">
        <f t="shared" si="290"/>
        <v>100</v>
      </c>
      <c r="Q640" s="256" t="str">
        <f t="shared" si="291"/>
        <v>HL</v>
      </c>
      <c r="R640" s="256" t="str">
        <f t="shared" si="292"/>
        <v>HW</v>
      </c>
      <c r="S640" s="256" t="str">
        <f t="shared" si="293"/>
        <v>TT</v>
      </c>
      <c r="T640" s="256" t="str">
        <f t="shared" si="294"/>
        <v>HW</v>
      </c>
      <c r="U640" s="256" t="str">
        <f t="shared" si="295"/>
        <v>O</v>
      </c>
      <c r="V640" s="256" t="str">
        <f t="shared" si="296"/>
        <v>U</v>
      </c>
      <c r="W640" s="256" t="str">
        <f t="shared" si="297"/>
        <v>U</v>
      </c>
      <c r="X640" s="256" t="str">
        <f t="shared" si="298"/>
        <v>U</v>
      </c>
      <c r="Y640" s="256">
        <v>232.5</v>
      </c>
      <c r="Z640" s="258">
        <v>58.5</v>
      </c>
      <c r="AA640" s="256" t="str">
        <f t="shared" si="278"/>
        <v>WAS/DET</v>
      </c>
      <c r="AC640" s="256"/>
      <c r="AD640" s="256"/>
      <c r="AE640" s="258"/>
      <c r="AF640" s="256"/>
    </row>
    <row r="641" spans="1:32" x14ac:dyDescent="0.3">
      <c r="A641" s="218">
        <v>200121</v>
      </c>
      <c r="B641" s="219">
        <v>0.1875</v>
      </c>
      <c r="C641" s="218" t="s">
        <v>410</v>
      </c>
      <c r="D641" s="218" t="s">
        <v>413</v>
      </c>
      <c r="E641">
        <v>25</v>
      </c>
      <c r="F641">
        <v>35</v>
      </c>
      <c r="G641">
        <v>22</v>
      </c>
      <c r="H641">
        <v>35</v>
      </c>
      <c r="J641">
        <v>36</v>
      </c>
      <c r="K641">
        <v>21</v>
      </c>
      <c r="L641">
        <v>26</v>
      </c>
      <c r="M641">
        <v>39</v>
      </c>
      <c r="O641" s="256">
        <f t="shared" si="289"/>
        <v>117</v>
      </c>
      <c r="P641" s="256">
        <f t="shared" si="290"/>
        <v>122</v>
      </c>
      <c r="Q641" s="256" t="str">
        <f t="shared" si="291"/>
        <v>HL</v>
      </c>
      <c r="R641" s="256" t="str">
        <f t="shared" si="292"/>
        <v>HW</v>
      </c>
      <c r="S641" s="256" t="str">
        <f t="shared" si="293"/>
        <v>HL</v>
      </c>
      <c r="T641" s="256" t="str">
        <f t="shared" si="294"/>
        <v>HL</v>
      </c>
      <c r="U641" s="256" t="str">
        <f t="shared" si="295"/>
        <v>O</v>
      </c>
      <c r="V641" s="256" t="str">
        <f t="shared" si="296"/>
        <v>U</v>
      </c>
      <c r="W641" s="256" t="str">
        <f t="shared" si="297"/>
        <v>U</v>
      </c>
      <c r="X641" s="256" t="str">
        <f t="shared" si="298"/>
        <v>O</v>
      </c>
      <c r="Y641" s="256">
        <v>231</v>
      </c>
      <c r="Z641" s="258">
        <v>58</v>
      </c>
      <c r="AA641" s="256" t="str">
        <f t="shared" si="278"/>
        <v>ATL/TOR</v>
      </c>
      <c r="AC641" s="256"/>
      <c r="AD641" s="256"/>
      <c r="AE641" s="258"/>
      <c r="AF641" s="256"/>
    </row>
    <row r="642" spans="1:32" x14ac:dyDescent="0.3">
      <c r="A642" s="218">
        <v>200121</v>
      </c>
      <c r="B642" s="219">
        <v>0.20833333333333334</v>
      </c>
      <c r="C642" s="218" t="s">
        <v>407</v>
      </c>
      <c r="D642" s="218" t="s">
        <v>401</v>
      </c>
      <c r="E642">
        <v>32</v>
      </c>
      <c r="F642">
        <v>36</v>
      </c>
      <c r="G642">
        <v>23</v>
      </c>
      <c r="H642">
        <v>20</v>
      </c>
      <c r="J642">
        <v>29</v>
      </c>
      <c r="K642">
        <v>35</v>
      </c>
      <c r="L642">
        <v>26</v>
      </c>
      <c r="M642">
        <v>27</v>
      </c>
      <c r="O642" s="256">
        <f t="shared" si="289"/>
        <v>111</v>
      </c>
      <c r="P642" s="256">
        <f t="shared" si="290"/>
        <v>117</v>
      </c>
      <c r="Q642" s="256" t="str">
        <f t="shared" si="291"/>
        <v>HW</v>
      </c>
      <c r="R642" s="256" t="str">
        <f t="shared" si="292"/>
        <v>HW</v>
      </c>
      <c r="S642" s="256" t="str">
        <f t="shared" si="293"/>
        <v>HL</v>
      </c>
      <c r="T642" s="256" t="str">
        <f t="shared" si="294"/>
        <v>HL</v>
      </c>
      <c r="U642" s="256" t="str">
        <f t="shared" si="295"/>
        <v>O</v>
      </c>
      <c r="V642" s="256" t="str">
        <f t="shared" si="296"/>
        <v>O</v>
      </c>
      <c r="W642" s="256" t="str">
        <f t="shared" si="297"/>
        <v>U</v>
      </c>
      <c r="X642" s="256" t="str">
        <f t="shared" si="298"/>
        <v>U</v>
      </c>
      <c r="Y642" s="256">
        <v>218</v>
      </c>
      <c r="Z642" s="258">
        <v>55</v>
      </c>
      <c r="AA642" s="256" t="str">
        <f t="shared" si="278"/>
        <v>BKN/PHI</v>
      </c>
      <c r="AC642" s="256"/>
      <c r="AD642" s="256"/>
      <c r="AE642" s="258"/>
      <c r="AF642" s="256"/>
    </row>
    <row r="643" spans="1:32" x14ac:dyDescent="0.3">
      <c r="A643" s="218">
        <v>200121</v>
      </c>
      <c r="B643" s="219">
        <v>0.29166666666666669</v>
      </c>
      <c r="C643" s="218" t="s">
        <v>402</v>
      </c>
      <c r="D643" s="218" t="s">
        <v>399</v>
      </c>
      <c r="E643" s="246">
        <v>26</v>
      </c>
      <c r="F643" s="246">
        <v>24</v>
      </c>
      <c r="G643" s="246">
        <v>14</v>
      </c>
      <c r="H643" s="246">
        <v>22</v>
      </c>
      <c r="I643" s="246"/>
      <c r="J643" s="246">
        <v>26</v>
      </c>
      <c r="K643" s="246">
        <v>23</v>
      </c>
      <c r="L643" s="246">
        <v>30</v>
      </c>
      <c r="M643" s="246">
        <v>27</v>
      </c>
      <c r="N643" s="246" t="s">
        <v>427</v>
      </c>
      <c r="O643" s="256">
        <f t="shared" si="289"/>
        <v>86</v>
      </c>
      <c r="P643" s="256">
        <f t="shared" si="290"/>
        <v>106</v>
      </c>
      <c r="Q643" s="256" t="str">
        <f t="shared" si="291"/>
        <v>TT</v>
      </c>
      <c r="R643" s="256" t="str">
        <f t="shared" si="292"/>
        <v>HW</v>
      </c>
      <c r="S643" s="256" t="str">
        <f t="shared" si="293"/>
        <v>HL</v>
      </c>
      <c r="T643" s="256" t="str">
        <f t="shared" si="294"/>
        <v>HL</v>
      </c>
      <c r="U643" s="256" t="str">
        <f t="shared" si="295"/>
        <v>U</v>
      </c>
      <c r="V643" s="256" t="str">
        <f t="shared" si="296"/>
        <v>U</v>
      </c>
      <c r="W643" s="256" t="str">
        <f t="shared" si="297"/>
        <v>U</v>
      </c>
      <c r="X643" s="256" t="str">
        <f t="shared" si="298"/>
        <v>U</v>
      </c>
      <c r="Y643" s="256">
        <v>222</v>
      </c>
      <c r="Z643" s="258">
        <v>56</v>
      </c>
      <c r="AA643" s="256" t="str">
        <f t="shared" si="278"/>
        <v>CLE/NYK</v>
      </c>
      <c r="AC643" s="256"/>
      <c r="AD643" s="256"/>
      <c r="AE643" s="258"/>
      <c r="AF643" s="256"/>
    </row>
    <row r="644" spans="1:32" x14ac:dyDescent="0.3">
      <c r="A644" s="218">
        <v>200121</v>
      </c>
      <c r="B644" s="219">
        <v>0.29166666666666669</v>
      </c>
      <c r="C644" s="218" t="s">
        <v>403</v>
      </c>
      <c r="D644" s="218" t="s">
        <v>418</v>
      </c>
      <c r="E644" s="247">
        <v>25</v>
      </c>
      <c r="F644" s="247">
        <v>39</v>
      </c>
      <c r="G644" s="247">
        <v>23</v>
      </c>
      <c r="H644" s="247">
        <v>20</v>
      </c>
      <c r="I644" s="247"/>
      <c r="J644" s="247">
        <v>22</v>
      </c>
      <c r="K644" s="247">
        <v>35</v>
      </c>
      <c r="L644" s="247">
        <v>14</v>
      </c>
      <c r="M644" s="247">
        <v>41</v>
      </c>
      <c r="N644" s="247" t="s">
        <v>427</v>
      </c>
      <c r="O644" s="256">
        <f t="shared" si="289"/>
        <v>107</v>
      </c>
      <c r="P644" s="256">
        <f t="shared" si="290"/>
        <v>112</v>
      </c>
      <c r="Q644" s="256" t="str">
        <f t="shared" si="291"/>
        <v>HW</v>
      </c>
      <c r="R644" s="256" t="str">
        <f t="shared" si="292"/>
        <v>HW</v>
      </c>
      <c r="S644" s="256" t="str">
        <f t="shared" si="293"/>
        <v>HW</v>
      </c>
      <c r="T644" s="256" t="str">
        <f t="shared" si="294"/>
        <v>HL</v>
      </c>
      <c r="U644" s="256" t="str">
        <f t="shared" si="295"/>
        <v>U</v>
      </c>
      <c r="V644" s="256" t="str">
        <f t="shared" si="296"/>
        <v>O</v>
      </c>
      <c r="W644" s="256" t="str">
        <f t="shared" si="297"/>
        <v>U</v>
      </c>
      <c r="X644" s="256" t="str">
        <f t="shared" si="298"/>
        <v>O</v>
      </c>
      <c r="Y644" s="256">
        <v>230.5</v>
      </c>
      <c r="Z644" s="258">
        <v>58</v>
      </c>
      <c r="AA644" s="256" t="str">
        <f t="shared" si="278"/>
        <v>HOU/OKC</v>
      </c>
      <c r="AC644" s="256"/>
      <c r="AD644" s="256"/>
      <c r="AE644" s="258"/>
      <c r="AF644" s="256"/>
    </row>
    <row r="645" spans="1:32" x14ac:dyDescent="0.3">
      <c r="A645" s="218">
        <v>200121</v>
      </c>
      <c r="B645" s="219">
        <v>0.29166666666666669</v>
      </c>
      <c r="C645" s="218" t="s">
        <v>411</v>
      </c>
      <c r="D645" s="218" t="s">
        <v>416</v>
      </c>
      <c r="E645" s="249">
        <v>21</v>
      </c>
      <c r="F645" s="249">
        <v>35</v>
      </c>
      <c r="G645" s="249">
        <v>20</v>
      </c>
      <c r="H645" s="249">
        <v>29</v>
      </c>
      <c r="I645" s="249">
        <v>13</v>
      </c>
      <c r="J645" s="249">
        <v>24</v>
      </c>
      <c r="K645" s="249">
        <v>34</v>
      </c>
      <c r="L645" s="249">
        <v>20</v>
      </c>
      <c r="M645" s="249">
        <v>27</v>
      </c>
      <c r="N645" s="249">
        <v>8</v>
      </c>
      <c r="O645" s="256">
        <f t="shared" si="289"/>
        <v>118</v>
      </c>
      <c r="P645" s="256">
        <f t="shared" si="290"/>
        <v>113</v>
      </c>
      <c r="Q645" s="256" t="str">
        <f t="shared" si="291"/>
        <v>HL</v>
      </c>
      <c r="R645" s="256" t="str">
        <f t="shared" si="292"/>
        <v>HW</v>
      </c>
      <c r="S645" s="256" t="str">
        <f t="shared" si="293"/>
        <v>TT</v>
      </c>
      <c r="T645" s="256" t="str">
        <f t="shared" si="294"/>
        <v>HW</v>
      </c>
      <c r="U645" s="256" t="str">
        <f t="shared" si="295"/>
        <v>U</v>
      </c>
      <c r="V645" s="256" t="str">
        <f t="shared" si="296"/>
        <v>O</v>
      </c>
      <c r="W645" s="256" t="str">
        <f t="shared" si="297"/>
        <v>U</v>
      </c>
      <c r="X645" s="256" t="str">
        <f t="shared" si="298"/>
        <v>O</v>
      </c>
      <c r="Y645" s="256">
        <v>221</v>
      </c>
      <c r="Z645" s="258">
        <v>55.5</v>
      </c>
      <c r="AA645" s="256" t="str">
        <f t="shared" si="278"/>
        <v>MIA/SAC</v>
      </c>
      <c r="AC645" s="256"/>
      <c r="AD645" s="256"/>
      <c r="AE645" s="258"/>
      <c r="AF645" s="256"/>
    </row>
    <row r="646" spans="1:32" x14ac:dyDescent="0.3">
      <c r="A646" s="218">
        <v>200121</v>
      </c>
      <c r="B646" s="219">
        <v>0.29166666666666669</v>
      </c>
      <c r="C646" s="218" t="s">
        <v>423</v>
      </c>
      <c r="D646" s="218" t="s">
        <v>412</v>
      </c>
      <c r="E646" s="250">
        <v>30</v>
      </c>
      <c r="F646" s="250">
        <v>23</v>
      </c>
      <c r="G646" s="250">
        <v>31</v>
      </c>
      <c r="H646" s="250">
        <v>27</v>
      </c>
      <c r="I646" s="250"/>
      <c r="J646" s="250">
        <v>23</v>
      </c>
      <c r="K646" s="250">
        <v>29</v>
      </c>
      <c r="L646" s="250">
        <v>25</v>
      </c>
      <c r="M646" s="250">
        <v>21</v>
      </c>
      <c r="N646" s="250" t="s">
        <v>427</v>
      </c>
      <c r="O646" s="256">
        <f t="shared" si="289"/>
        <v>111</v>
      </c>
      <c r="P646" s="256">
        <f t="shared" si="290"/>
        <v>98</v>
      </c>
      <c r="Q646" s="256" t="str">
        <f t="shared" si="291"/>
        <v>HW</v>
      </c>
      <c r="R646" s="256" t="str">
        <f t="shared" si="292"/>
        <v>HL</v>
      </c>
      <c r="S646" s="256" t="str">
        <f t="shared" si="293"/>
        <v>HW</v>
      </c>
      <c r="T646" s="256" t="str">
        <f t="shared" si="294"/>
        <v>HW</v>
      </c>
      <c r="U646" s="256" t="str">
        <f t="shared" si="295"/>
        <v>U</v>
      </c>
      <c r="V646" s="256" t="str">
        <f t="shared" si="296"/>
        <v>U</v>
      </c>
      <c r="W646" s="256" t="str">
        <f t="shared" si="297"/>
        <v>U</v>
      </c>
      <c r="X646" s="256" t="str">
        <f t="shared" si="298"/>
        <v>U</v>
      </c>
      <c r="Y646" s="256">
        <v>225.5</v>
      </c>
      <c r="Z646" s="258">
        <v>56.5</v>
      </c>
      <c r="AA646" s="256" t="str">
        <f t="shared" si="278"/>
        <v>MIL/CHI</v>
      </c>
      <c r="AC646" s="256"/>
      <c r="AD646" s="256"/>
      <c r="AE646" s="258"/>
      <c r="AF646" s="256"/>
    </row>
    <row r="647" spans="1:32" x14ac:dyDescent="0.3">
      <c r="A647" s="218">
        <v>200121</v>
      </c>
      <c r="B647" s="219">
        <v>0.29166666666666669</v>
      </c>
      <c r="C647" s="218" t="s">
        <v>406</v>
      </c>
      <c r="D647" s="218" t="s">
        <v>398</v>
      </c>
      <c r="E647" s="248">
        <v>30</v>
      </c>
      <c r="F647" s="248">
        <v>20</v>
      </c>
      <c r="G647" s="248">
        <v>27</v>
      </c>
      <c r="H647" s="248">
        <v>39</v>
      </c>
      <c r="I647" s="248"/>
      <c r="J647" s="248">
        <v>31</v>
      </c>
      <c r="K647" s="248">
        <v>38</v>
      </c>
      <c r="L647" s="248">
        <v>29</v>
      </c>
      <c r="M647" s="248">
        <v>28</v>
      </c>
      <c r="N647" s="248" t="s">
        <v>427</v>
      </c>
      <c r="O647" s="256">
        <f t="shared" si="289"/>
        <v>116</v>
      </c>
      <c r="P647" s="256">
        <f t="shared" si="290"/>
        <v>126</v>
      </c>
      <c r="Q647" s="256" t="str">
        <f t="shared" si="291"/>
        <v>HL</v>
      </c>
      <c r="R647" s="256" t="str">
        <f t="shared" si="292"/>
        <v>HL</v>
      </c>
      <c r="S647" s="256" t="str">
        <f t="shared" si="293"/>
        <v>HL</v>
      </c>
      <c r="T647" s="256" t="str">
        <f t="shared" si="294"/>
        <v>HW</v>
      </c>
      <c r="U647" s="256" t="str">
        <f t="shared" si="295"/>
        <v>T</v>
      </c>
      <c r="V647" s="256" t="str">
        <f t="shared" si="296"/>
        <v>U</v>
      </c>
      <c r="W647" s="256" t="str">
        <f t="shared" si="297"/>
        <v>U</v>
      </c>
      <c r="X647" s="256" t="str">
        <f t="shared" si="298"/>
        <v>O</v>
      </c>
      <c r="Y647" s="256">
        <v>242.5</v>
      </c>
      <c r="Z647" s="258">
        <v>61</v>
      </c>
      <c r="AA647" s="256" t="str">
        <f t="shared" si="278"/>
        <v>MEM/NO</v>
      </c>
      <c r="AC647" s="256"/>
      <c r="AD647" s="256"/>
      <c r="AE647" s="258"/>
      <c r="AF647" s="256"/>
    </row>
    <row r="648" spans="1:32" x14ac:dyDescent="0.3">
      <c r="A648" s="218">
        <v>200121</v>
      </c>
      <c r="B648" s="219">
        <v>0.29166666666666669</v>
      </c>
      <c r="C648" s="218" t="s">
        <v>409</v>
      </c>
      <c r="D648" s="218" t="s">
        <v>424</v>
      </c>
      <c r="E648">
        <v>27</v>
      </c>
      <c r="F648">
        <v>18</v>
      </c>
      <c r="G648">
        <v>20</v>
      </c>
      <c r="H648">
        <v>18</v>
      </c>
      <c r="J648">
        <v>19</v>
      </c>
      <c r="K648">
        <v>32</v>
      </c>
      <c r="L648">
        <v>21</v>
      </c>
      <c r="M648">
        <v>34</v>
      </c>
      <c r="O648" s="256">
        <f t="shared" si="289"/>
        <v>83</v>
      </c>
      <c r="P648" s="256">
        <f t="shared" si="290"/>
        <v>106</v>
      </c>
      <c r="Q648" s="256" t="str">
        <f t="shared" si="291"/>
        <v>HW</v>
      </c>
      <c r="R648" s="256" t="str">
        <f t="shared" si="292"/>
        <v>HL</v>
      </c>
      <c r="S648" s="256" t="str">
        <f t="shared" si="293"/>
        <v>HL</v>
      </c>
      <c r="T648" s="256" t="str">
        <f t="shared" si="294"/>
        <v>HL</v>
      </c>
      <c r="U648" s="256" t="str">
        <f t="shared" si="295"/>
        <v>U</v>
      </c>
      <c r="V648" s="256" t="str">
        <f t="shared" si="296"/>
        <v>U</v>
      </c>
      <c r="W648" s="256" t="str">
        <f t="shared" si="297"/>
        <v>U</v>
      </c>
      <c r="X648" s="256" t="str">
        <f t="shared" si="298"/>
        <v>T</v>
      </c>
      <c r="Y648" s="256">
        <v>206</v>
      </c>
      <c r="Z648" s="258">
        <v>52</v>
      </c>
      <c r="AA648" s="256" t="str">
        <f t="shared" si="278"/>
        <v>CHA/ORL</v>
      </c>
      <c r="AC648" s="256"/>
      <c r="AD648" s="256"/>
      <c r="AE648" s="258"/>
      <c r="AF648" s="256"/>
    </row>
    <row r="649" spans="1:32" x14ac:dyDescent="0.3">
      <c r="A649" s="218">
        <v>200121</v>
      </c>
      <c r="B649" s="219">
        <v>0.39583333333333331</v>
      </c>
      <c r="C649" s="218" t="s">
        <v>421</v>
      </c>
      <c r="D649" s="218" t="s">
        <v>419</v>
      </c>
      <c r="E649">
        <v>33</v>
      </c>
      <c r="F649">
        <v>36</v>
      </c>
      <c r="G649">
        <v>35</v>
      </c>
      <c r="H649">
        <v>35</v>
      </c>
      <c r="J649">
        <v>30</v>
      </c>
      <c r="K649">
        <v>25</v>
      </c>
      <c r="L649">
        <v>25</v>
      </c>
      <c r="M649">
        <v>27</v>
      </c>
      <c r="O649" s="256">
        <f t="shared" si="289"/>
        <v>139</v>
      </c>
      <c r="P649" s="256">
        <f t="shared" si="290"/>
        <v>107</v>
      </c>
      <c r="Q649" s="256" t="str">
        <f t="shared" si="291"/>
        <v>HW</v>
      </c>
      <c r="R649" s="256" t="str">
        <f t="shared" si="292"/>
        <v>HW</v>
      </c>
      <c r="S649" s="256" t="str">
        <f t="shared" si="293"/>
        <v>HW</v>
      </c>
      <c r="T649" s="256" t="str">
        <f t="shared" si="294"/>
        <v>HW</v>
      </c>
      <c r="U649" s="256" t="str">
        <f t="shared" si="295"/>
        <v>O</v>
      </c>
      <c r="V649" s="256" t="str">
        <f t="shared" si="296"/>
        <v>O</v>
      </c>
      <c r="W649" s="256" t="str">
        <f t="shared" si="297"/>
        <v>O</v>
      </c>
      <c r="X649" s="256" t="str">
        <f t="shared" si="298"/>
        <v>O</v>
      </c>
      <c r="Y649" s="256">
        <v>226.5</v>
      </c>
      <c r="Z649" s="258">
        <v>57</v>
      </c>
      <c r="AA649" s="256" t="str">
        <f t="shared" si="278"/>
        <v>BOS/LAL</v>
      </c>
      <c r="AC649" s="256"/>
      <c r="AD649" s="256"/>
      <c r="AE649" s="258"/>
      <c r="AF649" s="256"/>
    </row>
    <row r="650" spans="1:32" x14ac:dyDescent="0.3">
      <c r="A650" s="218">
        <v>200121</v>
      </c>
      <c r="B650" s="219">
        <v>0.41666666666666669</v>
      </c>
      <c r="C650" s="218" t="s">
        <v>420</v>
      </c>
      <c r="D650" s="218" t="s">
        <v>408</v>
      </c>
      <c r="E650" s="251">
        <v>29</v>
      </c>
      <c r="F650" s="251">
        <v>25</v>
      </c>
      <c r="G650" s="251">
        <v>25</v>
      </c>
      <c r="H650" s="251">
        <v>21</v>
      </c>
      <c r="I650" s="251"/>
      <c r="J650" s="251">
        <v>26</v>
      </c>
      <c r="K650" s="251">
        <v>29</v>
      </c>
      <c r="L650" s="251">
        <v>26</v>
      </c>
      <c r="M650" s="251">
        <v>26</v>
      </c>
      <c r="N650" s="251" t="s">
        <v>427</v>
      </c>
      <c r="O650" s="256">
        <f t="shared" si="289"/>
        <v>100</v>
      </c>
      <c r="P650" s="256">
        <f t="shared" si="290"/>
        <v>107</v>
      </c>
      <c r="Q650" s="256" t="str">
        <f t="shared" si="291"/>
        <v>HW</v>
      </c>
      <c r="R650" s="256" t="str">
        <f t="shared" si="292"/>
        <v>HL</v>
      </c>
      <c r="S650" s="256" t="str">
        <f t="shared" si="293"/>
        <v>HL</v>
      </c>
      <c r="T650" s="256" t="str">
        <f t="shared" si="294"/>
        <v>HL</v>
      </c>
      <c r="U650" s="256" t="str">
        <f t="shared" si="295"/>
        <v>U</v>
      </c>
      <c r="V650" s="256" t="str">
        <f t="shared" si="296"/>
        <v>U</v>
      </c>
      <c r="W650" s="256" t="str">
        <f t="shared" si="297"/>
        <v>U</v>
      </c>
      <c r="X650" s="256" t="str">
        <f t="shared" si="298"/>
        <v>U</v>
      </c>
      <c r="Y650" s="256">
        <v>221</v>
      </c>
      <c r="Z650" s="258">
        <v>55.5</v>
      </c>
      <c r="AA650" s="256" t="str">
        <f t="shared" si="278"/>
        <v>MIN/DEN</v>
      </c>
      <c r="AC650" s="256"/>
      <c r="AD650" s="256"/>
      <c r="AE650" s="258"/>
      <c r="AF650" s="256"/>
    </row>
    <row r="651" spans="1:32" x14ac:dyDescent="0.3">
      <c r="A651" s="218">
        <v>200121</v>
      </c>
      <c r="B651" s="219">
        <v>0.45833333333333331</v>
      </c>
      <c r="C651" s="218" t="s">
        <v>404</v>
      </c>
      <c r="D651" s="218" t="s">
        <v>426</v>
      </c>
      <c r="E651" s="252">
        <v>26</v>
      </c>
      <c r="F651" s="252">
        <v>25</v>
      </c>
      <c r="G651" s="252">
        <v>32</v>
      </c>
      <c r="H651" s="252">
        <v>35</v>
      </c>
      <c r="I651" s="252"/>
      <c r="J651" s="252">
        <v>28</v>
      </c>
      <c r="K651" s="252">
        <v>38</v>
      </c>
      <c r="L651" s="252">
        <v>30</v>
      </c>
      <c r="M651" s="252">
        <v>24</v>
      </c>
      <c r="N651" s="252" t="s">
        <v>427</v>
      </c>
      <c r="O651" s="256">
        <f t="shared" si="289"/>
        <v>118</v>
      </c>
      <c r="P651" s="256">
        <f t="shared" si="290"/>
        <v>120</v>
      </c>
      <c r="Q651" s="256" t="str">
        <f t="shared" si="291"/>
        <v>HL</v>
      </c>
      <c r="R651" s="256" t="str">
        <f t="shared" si="292"/>
        <v>HL</v>
      </c>
      <c r="S651" s="256" t="str">
        <f t="shared" si="293"/>
        <v>HW</v>
      </c>
      <c r="T651" s="256" t="str">
        <f t="shared" si="294"/>
        <v>HW</v>
      </c>
      <c r="U651" s="256" t="str">
        <f t="shared" si="295"/>
        <v>U</v>
      </c>
      <c r="V651" s="256" t="str">
        <f t="shared" si="296"/>
        <v>O</v>
      </c>
      <c r="W651" s="256" t="str">
        <f t="shared" si="297"/>
        <v>O</v>
      </c>
      <c r="X651" s="256" t="str">
        <f t="shared" si="298"/>
        <v>O</v>
      </c>
      <c r="Y651" s="256">
        <v>230</v>
      </c>
      <c r="Z651" s="258">
        <v>58</v>
      </c>
      <c r="AA651" s="256" t="str">
        <f t="shared" si="278"/>
        <v>PHO/SAS</v>
      </c>
      <c r="AC651" s="256"/>
      <c r="AD651" s="256"/>
      <c r="AE651" s="258"/>
      <c r="AF651" s="256"/>
    </row>
    <row r="652" spans="1:32" x14ac:dyDescent="0.3">
      <c r="A652" s="218">
        <v>200121</v>
      </c>
      <c r="B652" s="219">
        <v>0.45833333333333331</v>
      </c>
      <c r="C652" s="218" t="s">
        <v>405</v>
      </c>
      <c r="D652" s="218" t="s">
        <v>400</v>
      </c>
      <c r="E652" s="254">
        <v>29</v>
      </c>
      <c r="F652" s="254">
        <v>27</v>
      </c>
      <c r="G652" s="254">
        <v>24</v>
      </c>
      <c r="H652" s="254">
        <v>38</v>
      </c>
      <c r="I652" s="254"/>
      <c r="J652" s="254">
        <v>23</v>
      </c>
      <c r="K652" s="254">
        <v>21</v>
      </c>
      <c r="L652" s="254">
        <v>19</v>
      </c>
      <c r="M652" s="254">
        <v>25</v>
      </c>
      <c r="N652" s="254" t="s">
        <v>427</v>
      </c>
      <c r="O652" s="256">
        <f t="shared" si="289"/>
        <v>118</v>
      </c>
      <c r="P652" s="256">
        <f t="shared" si="290"/>
        <v>88</v>
      </c>
      <c r="Q652" s="256" t="str">
        <f t="shared" si="291"/>
        <v>HW</v>
      </c>
      <c r="R652" s="256" t="str">
        <f t="shared" si="292"/>
        <v>HW</v>
      </c>
      <c r="S652" s="256" t="str">
        <f t="shared" si="293"/>
        <v>HW</v>
      </c>
      <c r="T652" s="256" t="str">
        <f t="shared" si="294"/>
        <v>HW</v>
      </c>
      <c r="U652" s="256" t="str">
        <f t="shared" si="295"/>
        <v>U</v>
      </c>
      <c r="V652" s="256" t="str">
        <f t="shared" si="296"/>
        <v>U</v>
      </c>
      <c r="W652" s="256" t="str">
        <f t="shared" si="297"/>
        <v>U</v>
      </c>
      <c r="X652" s="256" t="str">
        <f t="shared" si="298"/>
        <v>O</v>
      </c>
      <c r="Y652" s="256">
        <v>215.5</v>
      </c>
      <c r="Z652" s="258">
        <v>54</v>
      </c>
      <c r="AA652" s="256" t="str">
        <f t="shared" ref="AA652:AA715" si="299">C652&amp;"/"&amp;D652</f>
        <v>UTA/IND</v>
      </c>
      <c r="AC652" s="256"/>
      <c r="AD652" s="256"/>
      <c r="AE652" s="258"/>
      <c r="AF652" s="256"/>
    </row>
    <row r="653" spans="1:32" x14ac:dyDescent="0.3">
      <c r="A653" s="218">
        <v>200121</v>
      </c>
      <c r="B653" s="219">
        <v>0.5</v>
      </c>
      <c r="C653" s="218" t="s">
        <v>417</v>
      </c>
      <c r="D653" s="218" t="s">
        <v>425</v>
      </c>
      <c r="E653" s="253">
        <v>27</v>
      </c>
      <c r="F653" s="253">
        <v>26</v>
      </c>
      <c r="G653" s="253">
        <v>34</v>
      </c>
      <c r="H653" s="253">
        <v>26</v>
      </c>
      <c r="I653" s="253">
        <v>16</v>
      </c>
      <c r="J653" s="253">
        <v>23</v>
      </c>
      <c r="K653" s="253">
        <v>34</v>
      </c>
      <c r="L653" s="253">
        <v>35</v>
      </c>
      <c r="M653" s="253">
        <v>21</v>
      </c>
      <c r="N653" s="253">
        <v>11</v>
      </c>
      <c r="O653" s="256">
        <f t="shared" si="289"/>
        <v>129</v>
      </c>
      <c r="P653" s="256">
        <f t="shared" si="290"/>
        <v>124</v>
      </c>
      <c r="Q653" s="256" t="str">
        <f t="shared" si="291"/>
        <v>HW</v>
      </c>
      <c r="R653" s="256" t="str">
        <f t="shared" si="292"/>
        <v>HL</v>
      </c>
      <c r="S653" s="256" t="str">
        <f t="shared" si="293"/>
        <v>HL</v>
      </c>
      <c r="T653" s="256" t="str">
        <f t="shared" si="294"/>
        <v>HW</v>
      </c>
      <c r="U653" s="256" t="str">
        <f t="shared" si="295"/>
        <v>U</v>
      </c>
      <c r="V653" s="256" t="str">
        <f t="shared" si="296"/>
        <v>O</v>
      </c>
      <c r="W653" s="256" t="str">
        <f t="shared" si="297"/>
        <v>O</v>
      </c>
      <c r="X653" s="256" t="str">
        <f t="shared" si="298"/>
        <v>U</v>
      </c>
      <c r="Y653" s="256">
        <v>222</v>
      </c>
      <c r="Z653" s="258">
        <v>56</v>
      </c>
      <c r="AA653" s="256" t="str">
        <f t="shared" si="299"/>
        <v>POR/GS</v>
      </c>
      <c r="AC653" s="256"/>
      <c r="AD653" s="256"/>
      <c r="AE653" s="258"/>
      <c r="AF653" s="256"/>
    </row>
    <row r="654" spans="1:32" x14ac:dyDescent="0.3">
      <c r="A654" s="218">
        <v>200122</v>
      </c>
      <c r="B654" s="221">
        <v>0.4375</v>
      </c>
      <c r="C654" s="220" t="s">
        <v>397</v>
      </c>
      <c r="D654" s="220" t="s">
        <v>415</v>
      </c>
      <c r="E654">
        <v>24</v>
      </c>
      <c r="F654">
        <v>25</v>
      </c>
      <c r="G654">
        <v>29</v>
      </c>
      <c r="H654">
        <v>29</v>
      </c>
      <c r="J654">
        <v>24</v>
      </c>
      <c r="K654">
        <v>36</v>
      </c>
      <c r="L654">
        <v>22</v>
      </c>
      <c r="M654">
        <v>28</v>
      </c>
      <c r="O654" s="256">
        <f t="shared" si="289"/>
        <v>107</v>
      </c>
      <c r="P654" s="256">
        <f t="shared" si="290"/>
        <v>110</v>
      </c>
      <c r="Q654" s="256" t="str">
        <f t="shared" si="291"/>
        <v>TT</v>
      </c>
      <c r="R654" s="256" t="str">
        <f t="shared" si="292"/>
        <v>HL</v>
      </c>
      <c r="S654" s="256" t="str">
        <f t="shared" si="293"/>
        <v>HW</v>
      </c>
      <c r="T654" s="256" t="str">
        <f t="shared" si="294"/>
        <v>HW</v>
      </c>
      <c r="U654" s="256" t="str">
        <f t="shared" si="295"/>
        <v>U</v>
      </c>
      <c r="V654" s="256" t="str">
        <f t="shared" si="296"/>
        <v>O</v>
      </c>
      <c r="W654" s="256" t="str">
        <f t="shared" si="297"/>
        <v>U</v>
      </c>
      <c r="X654" s="256" t="str">
        <f t="shared" si="298"/>
        <v>U</v>
      </c>
      <c r="Y654" s="256"/>
      <c r="Z654">
        <v>60</v>
      </c>
      <c r="AA654" s="256" t="str">
        <f t="shared" si="299"/>
        <v>DAL/LAC</v>
      </c>
    </row>
    <row r="655" spans="1:32" x14ac:dyDescent="0.3">
      <c r="A655" s="220">
        <v>200123</v>
      </c>
      <c r="B655" s="223">
        <v>0.375</v>
      </c>
      <c r="C655" s="222" t="s">
        <v>422</v>
      </c>
      <c r="D655" s="222" t="s">
        <v>416</v>
      </c>
      <c r="E655">
        <v>26</v>
      </c>
      <c r="F655">
        <v>31</v>
      </c>
      <c r="G655">
        <v>36</v>
      </c>
      <c r="H655">
        <v>34</v>
      </c>
      <c r="J655">
        <v>27</v>
      </c>
      <c r="K655">
        <v>23</v>
      </c>
      <c r="L655">
        <v>25</v>
      </c>
      <c r="M655">
        <v>31</v>
      </c>
      <c r="O655" s="256">
        <f t="shared" si="289"/>
        <v>127</v>
      </c>
      <c r="P655" s="256">
        <f t="shared" si="290"/>
        <v>106</v>
      </c>
      <c r="Q655" s="256" t="str">
        <f t="shared" si="291"/>
        <v>HL</v>
      </c>
      <c r="R655" s="256" t="str">
        <f t="shared" si="292"/>
        <v>HW</v>
      </c>
      <c r="S655" s="256" t="str">
        <f t="shared" si="293"/>
        <v>HW</v>
      </c>
      <c r="T655" s="256" t="str">
        <f t="shared" si="294"/>
        <v>HW</v>
      </c>
      <c r="U655" s="256" t="str">
        <f t="shared" si="295"/>
        <v>U</v>
      </c>
      <c r="V655" s="256" t="str">
        <f t="shared" si="296"/>
        <v>U</v>
      </c>
      <c r="W655" s="256" t="str">
        <f t="shared" si="297"/>
        <v>O</v>
      </c>
      <c r="X655" s="256" t="str">
        <f t="shared" si="298"/>
        <v>O</v>
      </c>
      <c r="Y655" s="256"/>
      <c r="Z655">
        <v>57</v>
      </c>
      <c r="AA655" s="256" t="str">
        <f t="shared" si="299"/>
        <v>DET/SAC</v>
      </c>
    </row>
    <row r="656" spans="1:32" x14ac:dyDescent="0.3">
      <c r="A656" s="222">
        <v>200123</v>
      </c>
      <c r="B656" s="223">
        <v>0.375</v>
      </c>
      <c r="C656" s="222" t="s">
        <v>424</v>
      </c>
      <c r="D656" s="222" t="s">
        <v>418</v>
      </c>
      <c r="E656">
        <v>21</v>
      </c>
      <c r="F656">
        <v>30</v>
      </c>
      <c r="G656">
        <v>38</v>
      </c>
      <c r="H656">
        <v>25</v>
      </c>
      <c r="J656">
        <v>24</v>
      </c>
      <c r="K656">
        <v>36</v>
      </c>
      <c r="L656">
        <v>32</v>
      </c>
      <c r="M656">
        <v>28</v>
      </c>
      <c r="O656" s="256">
        <f t="shared" si="289"/>
        <v>114</v>
      </c>
      <c r="P656" s="256">
        <f t="shared" si="290"/>
        <v>120</v>
      </c>
      <c r="Q656" s="256" t="str">
        <f t="shared" si="291"/>
        <v>HL</v>
      </c>
      <c r="R656" s="256" t="str">
        <f t="shared" si="292"/>
        <v>HL</v>
      </c>
      <c r="S656" s="256" t="str">
        <f t="shared" si="293"/>
        <v>HW</v>
      </c>
      <c r="T656" s="256" t="str">
        <f t="shared" si="294"/>
        <v>HL</v>
      </c>
      <c r="U656" s="256" t="str">
        <f t="shared" si="295"/>
        <v>U</v>
      </c>
      <c r="V656" s="256" t="str">
        <f t="shared" si="296"/>
        <v>O</v>
      </c>
      <c r="W656" s="256" t="str">
        <f t="shared" si="297"/>
        <v>O</v>
      </c>
      <c r="X656" s="256" t="str">
        <f t="shared" si="298"/>
        <v>U</v>
      </c>
      <c r="Y656" s="256"/>
      <c r="Z656">
        <v>54</v>
      </c>
      <c r="AA656" s="256" t="str">
        <f t="shared" si="299"/>
        <v>ORL/OKC</v>
      </c>
    </row>
    <row r="657" spans="1:27" x14ac:dyDescent="0.3">
      <c r="A657" s="222">
        <v>200123</v>
      </c>
      <c r="B657" s="223">
        <v>0.375</v>
      </c>
      <c r="C657" s="222" t="s">
        <v>413</v>
      </c>
      <c r="D657" s="222" t="s">
        <v>401</v>
      </c>
      <c r="E657">
        <v>26</v>
      </c>
      <c r="F657">
        <v>24</v>
      </c>
      <c r="G657">
        <v>26</v>
      </c>
      <c r="H657">
        <v>31</v>
      </c>
      <c r="J657">
        <v>35</v>
      </c>
      <c r="K657">
        <v>15</v>
      </c>
      <c r="L657">
        <v>22</v>
      </c>
      <c r="M657">
        <v>23</v>
      </c>
      <c r="O657" s="256">
        <f t="shared" si="289"/>
        <v>107</v>
      </c>
      <c r="P657" s="256">
        <f t="shared" si="290"/>
        <v>95</v>
      </c>
      <c r="Q657" s="256" t="str">
        <f t="shared" si="291"/>
        <v>HL</v>
      </c>
      <c r="R657" s="256" t="str">
        <f t="shared" si="292"/>
        <v>HW</v>
      </c>
      <c r="S657" s="256" t="str">
        <f t="shared" si="293"/>
        <v>HW</v>
      </c>
      <c r="T657" s="256" t="str">
        <f t="shared" si="294"/>
        <v>HW</v>
      </c>
      <c r="U657" s="256" t="str">
        <f t="shared" si="295"/>
        <v>O</v>
      </c>
      <c r="V657" s="256" t="str">
        <f t="shared" si="296"/>
        <v>U</v>
      </c>
      <c r="W657" s="256" t="str">
        <f t="shared" si="297"/>
        <v>U</v>
      </c>
      <c r="X657" s="256" t="str">
        <f t="shared" si="298"/>
        <v>U</v>
      </c>
      <c r="Y657" s="256"/>
      <c r="Z657">
        <v>55.5</v>
      </c>
      <c r="AA657" s="256" t="str">
        <f t="shared" si="299"/>
        <v>TOR/PHI</v>
      </c>
    </row>
    <row r="658" spans="1:27" x14ac:dyDescent="0.3">
      <c r="A658" s="222">
        <v>200123</v>
      </c>
      <c r="B658" s="223">
        <v>0.39583333333333331</v>
      </c>
      <c r="C658" s="222" t="s">
        <v>410</v>
      </c>
      <c r="D658" s="222" t="s">
        <v>415</v>
      </c>
      <c r="E658">
        <v>16</v>
      </c>
      <c r="F658">
        <v>25</v>
      </c>
      <c r="G658">
        <v>28</v>
      </c>
      <c r="H658">
        <v>33</v>
      </c>
      <c r="J658">
        <v>32</v>
      </c>
      <c r="K658">
        <v>28</v>
      </c>
      <c r="L658">
        <v>15</v>
      </c>
      <c r="M658">
        <v>20</v>
      </c>
      <c r="O658" s="256">
        <f t="shared" si="289"/>
        <v>102</v>
      </c>
      <c r="P658" s="256">
        <f t="shared" si="290"/>
        <v>95</v>
      </c>
      <c r="Q658" s="256" t="str">
        <f t="shared" si="291"/>
        <v>HL</v>
      </c>
      <c r="R658" s="256" t="str">
        <f t="shared" si="292"/>
        <v>HL</v>
      </c>
      <c r="S658" s="256" t="str">
        <f t="shared" si="293"/>
        <v>HW</v>
      </c>
      <c r="T658" s="256" t="str">
        <f t="shared" si="294"/>
        <v>HW</v>
      </c>
      <c r="U658" s="256" t="str">
        <f t="shared" si="295"/>
        <v>U</v>
      </c>
      <c r="V658" s="256" t="str">
        <f t="shared" si="296"/>
        <v>U</v>
      </c>
      <c r="W658" s="256" t="str">
        <f t="shared" si="297"/>
        <v>U</v>
      </c>
      <c r="X658" s="256" t="str">
        <f t="shared" si="298"/>
        <v>U</v>
      </c>
      <c r="Y658" s="256"/>
      <c r="Z658">
        <v>59.5</v>
      </c>
      <c r="AA658" s="256" t="str">
        <f t="shared" si="299"/>
        <v>ATL/LAC</v>
      </c>
    </row>
    <row r="659" spans="1:27" x14ac:dyDescent="0.3">
      <c r="A659" s="222">
        <v>200123</v>
      </c>
      <c r="B659" s="223">
        <v>0.39583333333333331</v>
      </c>
      <c r="C659" s="222" t="s">
        <v>421</v>
      </c>
      <c r="D659" s="222" t="s">
        <v>406</v>
      </c>
      <c r="E659">
        <v>25</v>
      </c>
      <c r="F659">
        <v>33</v>
      </c>
      <c r="G659">
        <v>41</v>
      </c>
      <c r="H659">
        <v>20</v>
      </c>
      <c r="J659">
        <v>27</v>
      </c>
      <c r="K659">
        <v>17</v>
      </c>
      <c r="L659">
        <v>19</v>
      </c>
      <c r="M659">
        <v>32</v>
      </c>
      <c r="O659" s="256">
        <f t="shared" si="289"/>
        <v>119</v>
      </c>
      <c r="P659" s="256">
        <f t="shared" si="290"/>
        <v>95</v>
      </c>
      <c r="Q659" s="256" t="str">
        <f t="shared" si="291"/>
        <v>HL</v>
      </c>
      <c r="R659" s="256" t="str">
        <f t="shared" si="292"/>
        <v>HW</v>
      </c>
      <c r="S659" s="256" t="str">
        <f t="shared" si="293"/>
        <v>HW</v>
      </c>
      <c r="T659" s="256" t="str">
        <f t="shared" si="294"/>
        <v>HL</v>
      </c>
      <c r="U659" s="256" t="str">
        <f t="shared" si="295"/>
        <v>U</v>
      </c>
      <c r="V659" s="256" t="str">
        <f t="shared" si="296"/>
        <v>U</v>
      </c>
      <c r="W659" s="256" t="str">
        <f t="shared" si="297"/>
        <v>O</v>
      </c>
      <c r="X659" s="256" t="str">
        <f t="shared" si="298"/>
        <v>U</v>
      </c>
      <c r="Y659" s="256"/>
      <c r="Z659">
        <v>57</v>
      </c>
      <c r="AA659" s="256" t="str">
        <f t="shared" si="299"/>
        <v>BOS/MEM</v>
      </c>
    </row>
    <row r="660" spans="1:27" x14ac:dyDescent="0.3">
      <c r="A660" s="222">
        <v>200123</v>
      </c>
      <c r="B660" s="223">
        <v>0.39583333333333331</v>
      </c>
      <c r="C660" s="222" t="s">
        <v>411</v>
      </c>
      <c r="D660" s="222" t="s">
        <v>414</v>
      </c>
      <c r="E660">
        <v>30</v>
      </c>
      <c r="F660">
        <v>39</v>
      </c>
      <c r="G660">
        <v>21</v>
      </c>
      <c r="H660">
        <v>28</v>
      </c>
      <c r="I660">
        <v>16</v>
      </c>
      <c r="J660">
        <v>27</v>
      </c>
      <c r="K660">
        <v>23</v>
      </c>
      <c r="L660">
        <v>33</v>
      </c>
      <c r="M660">
        <v>35</v>
      </c>
      <c r="N660" s="2">
        <v>11</v>
      </c>
      <c r="O660" s="256">
        <f t="shared" si="289"/>
        <v>134</v>
      </c>
      <c r="P660" s="256">
        <f t="shared" si="290"/>
        <v>129</v>
      </c>
      <c r="Q660" s="256" t="str">
        <f t="shared" si="291"/>
        <v>HW</v>
      </c>
      <c r="R660" s="256" t="str">
        <f t="shared" si="292"/>
        <v>HW</v>
      </c>
      <c r="S660" s="256" t="str">
        <f t="shared" si="293"/>
        <v>HL</v>
      </c>
      <c r="T660" s="256" t="str">
        <f t="shared" si="294"/>
        <v>HL</v>
      </c>
      <c r="U660" s="256" t="str">
        <f t="shared" si="295"/>
        <v>U</v>
      </c>
      <c r="V660" s="256" t="str">
        <f t="shared" si="296"/>
        <v>O</v>
      </c>
      <c r="W660" s="256" t="str">
        <f t="shared" si="297"/>
        <v>U</v>
      </c>
      <c r="X660" s="256" t="str">
        <f t="shared" si="298"/>
        <v>O</v>
      </c>
      <c r="Y660" s="256"/>
      <c r="Z660">
        <v>60</v>
      </c>
      <c r="AA660" s="256" t="str">
        <f t="shared" si="299"/>
        <v>MIA/WAS</v>
      </c>
    </row>
    <row r="661" spans="1:27" x14ac:dyDescent="0.3">
      <c r="A661" s="222">
        <v>200123</v>
      </c>
      <c r="B661" s="223">
        <v>0.39583333333333331</v>
      </c>
      <c r="C661" s="222" t="s">
        <v>399</v>
      </c>
      <c r="D661" s="222" t="s">
        <v>419</v>
      </c>
      <c r="E661">
        <v>25</v>
      </c>
      <c r="F661">
        <v>23</v>
      </c>
      <c r="G661">
        <v>22</v>
      </c>
      <c r="H661">
        <v>22</v>
      </c>
      <c r="J661">
        <v>28</v>
      </c>
      <c r="K661">
        <v>20</v>
      </c>
      <c r="L661">
        <v>28</v>
      </c>
      <c r="M661">
        <v>24</v>
      </c>
      <c r="O661" s="256">
        <f t="shared" si="289"/>
        <v>92</v>
      </c>
      <c r="P661" s="256">
        <f t="shared" si="290"/>
        <v>100</v>
      </c>
      <c r="Q661" s="256" t="str">
        <f t="shared" si="291"/>
        <v>HL</v>
      </c>
      <c r="R661" s="256" t="str">
        <f t="shared" si="292"/>
        <v>HW</v>
      </c>
      <c r="S661" s="256" t="str">
        <f t="shared" si="293"/>
        <v>HL</v>
      </c>
      <c r="T661" s="256" t="str">
        <f t="shared" si="294"/>
        <v>HL</v>
      </c>
      <c r="U661" s="256" t="str">
        <f t="shared" si="295"/>
        <v>U</v>
      </c>
      <c r="V661" s="256" t="str">
        <f t="shared" si="296"/>
        <v>U</v>
      </c>
      <c r="W661" s="256" t="str">
        <f t="shared" si="297"/>
        <v>U</v>
      </c>
      <c r="X661" s="256" t="str">
        <f t="shared" si="298"/>
        <v>U</v>
      </c>
      <c r="Y661" s="256"/>
      <c r="Z661">
        <v>57.5</v>
      </c>
      <c r="AA661" s="256" t="str">
        <f t="shared" si="299"/>
        <v>NYK/LAL</v>
      </c>
    </row>
    <row r="662" spans="1:27" x14ac:dyDescent="0.3">
      <c r="A662" s="222">
        <v>200123</v>
      </c>
      <c r="B662" s="223">
        <v>0.41666666666666669</v>
      </c>
      <c r="C662" s="222" t="s">
        <v>412</v>
      </c>
      <c r="D662" s="222" t="s">
        <v>420</v>
      </c>
      <c r="E662">
        <v>35</v>
      </c>
      <c r="F662">
        <v>24</v>
      </c>
      <c r="G662">
        <v>22</v>
      </c>
      <c r="H662">
        <v>36</v>
      </c>
      <c r="J662">
        <v>26</v>
      </c>
      <c r="K662">
        <v>26</v>
      </c>
      <c r="L662">
        <v>27</v>
      </c>
      <c r="M662">
        <v>31</v>
      </c>
      <c r="O662" s="256">
        <f t="shared" si="289"/>
        <v>117</v>
      </c>
      <c r="P662" s="256">
        <f t="shared" si="290"/>
        <v>110</v>
      </c>
      <c r="Q662" s="256" t="str">
        <f t="shared" si="291"/>
        <v>HW</v>
      </c>
      <c r="R662" s="256" t="str">
        <f t="shared" si="292"/>
        <v>HL</v>
      </c>
      <c r="S662" s="256" t="str">
        <f t="shared" si="293"/>
        <v>HL</v>
      </c>
      <c r="T662" s="256" t="str">
        <f t="shared" si="294"/>
        <v>HW</v>
      </c>
      <c r="U662" s="256" t="str">
        <f t="shared" si="295"/>
        <v>O</v>
      </c>
      <c r="V662" s="256" t="str">
        <f t="shared" si="296"/>
        <v>U</v>
      </c>
      <c r="W662" s="256" t="str">
        <f t="shared" si="297"/>
        <v>U</v>
      </c>
      <c r="X662" s="256" t="str">
        <f t="shared" si="298"/>
        <v>O</v>
      </c>
      <c r="Y662" s="256"/>
      <c r="Z662">
        <v>56.5</v>
      </c>
      <c r="AA662" s="256" t="str">
        <f t="shared" si="299"/>
        <v>CHI/MIN</v>
      </c>
    </row>
    <row r="663" spans="1:27" x14ac:dyDescent="0.3">
      <c r="A663" s="222">
        <v>200123</v>
      </c>
      <c r="B663" s="223">
        <v>0.41666666666666669</v>
      </c>
      <c r="C663" s="222" t="s">
        <v>403</v>
      </c>
      <c r="D663" s="222" t="s">
        <v>408</v>
      </c>
      <c r="E663">
        <v>35</v>
      </c>
      <c r="F663">
        <v>25</v>
      </c>
      <c r="G663">
        <v>32</v>
      </c>
      <c r="H663">
        <v>29</v>
      </c>
      <c r="J663">
        <v>28</v>
      </c>
      <c r="K663">
        <v>15</v>
      </c>
      <c r="L663">
        <v>28</v>
      </c>
      <c r="M663">
        <v>34</v>
      </c>
      <c r="O663" s="256">
        <f t="shared" si="289"/>
        <v>121</v>
      </c>
      <c r="P663" s="256">
        <f t="shared" si="290"/>
        <v>105</v>
      </c>
      <c r="Q663" s="256" t="str">
        <f t="shared" si="291"/>
        <v>HW</v>
      </c>
      <c r="R663" s="256" t="str">
        <f t="shared" si="292"/>
        <v>HW</v>
      </c>
      <c r="S663" s="256" t="str">
        <f t="shared" si="293"/>
        <v>HW</v>
      </c>
      <c r="T663" s="256" t="str">
        <f t="shared" si="294"/>
        <v>HL</v>
      </c>
      <c r="U663" s="256" t="str">
        <f t="shared" si="295"/>
        <v>O</v>
      </c>
      <c r="V663" s="256" t="str">
        <f t="shared" si="296"/>
        <v>U</v>
      </c>
      <c r="W663" s="256" t="str">
        <f t="shared" si="297"/>
        <v>O</v>
      </c>
      <c r="X663" s="256" t="str">
        <f t="shared" si="298"/>
        <v>O</v>
      </c>
      <c r="Y663" s="256"/>
      <c r="Z663">
        <v>58.5</v>
      </c>
      <c r="AA663" s="256" t="str">
        <f t="shared" si="299"/>
        <v>HOU/DEN</v>
      </c>
    </row>
    <row r="664" spans="1:27" x14ac:dyDescent="0.3">
      <c r="A664" s="222">
        <v>200123</v>
      </c>
      <c r="B664" s="223">
        <v>0.45833333333333331</v>
      </c>
      <c r="C664" s="222" t="s">
        <v>404</v>
      </c>
      <c r="D664" s="222" t="s">
        <v>400</v>
      </c>
      <c r="E664">
        <v>24</v>
      </c>
      <c r="F664">
        <v>24</v>
      </c>
      <c r="G664">
        <v>17</v>
      </c>
      <c r="H664">
        <v>22</v>
      </c>
      <c r="J664">
        <v>30</v>
      </c>
      <c r="K664">
        <v>24</v>
      </c>
      <c r="L664">
        <v>29</v>
      </c>
      <c r="M664">
        <v>29</v>
      </c>
      <c r="O664" s="256">
        <f t="shared" si="289"/>
        <v>87</v>
      </c>
      <c r="P664" s="256">
        <f t="shared" si="290"/>
        <v>112</v>
      </c>
      <c r="Q664" s="256" t="str">
        <f t="shared" si="291"/>
        <v>HL</v>
      </c>
      <c r="R664" s="256" t="str">
        <f t="shared" si="292"/>
        <v>TT</v>
      </c>
      <c r="S664" s="256" t="str">
        <f t="shared" si="293"/>
        <v>HL</v>
      </c>
      <c r="T664" s="256" t="str">
        <f t="shared" si="294"/>
        <v>HL</v>
      </c>
      <c r="U664" s="256" t="str">
        <f t="shared" si="295"/>
        <v>U</v>
      </c>
      <c r="V664" s="256" t="str">
        <f t="shared" si="296"/>
        <v>U</v>
      </c>
      <c r="W664" s="256" t="str">
        <f t="shared" si="297"/>
        <v>U</v>
      </c>
      <c r="X664" s="256" t="str">
        <f t="shared" si="298"/>
        <v>U</v>
      </c>
      <c r="Y664" s="256"/>
      <c r="Z664">
        <v>56.5</v>
      </c>
      <c r="AA664" s="256" t="str">
        <f t="shared" si="299"/>
        <v>PHO/IND</v>
      </c>
    </row>
    <row r="665" spans="1:27" x14ac:dyDescent="0.3">
      <c r="A665" s="222">
        <v>200123</v>
      </c>
      <c r="B665" s="223">
        <v>0.47916666666666669</v>
      </c>
      <c r="C665" s="222" t="s">
        <v>398</v>
      </c>
      <c r="D665" s="222" t="s">
        <v>426</v>
      </c>
      <c r="E665">
        <v>24</v>
      </c>
      <c r="F665">
        <v>27</v>
      </c>
      <c r="G665">
        <v>31</v>
      </c>
      <c r="H665">
        <v>35</v>
      </c>
      <c r="J665">
        <v>31</v>
      </c>
      <c r="K665">
        <v>29</v>
      </c>
      <c r="L665">
        <v>34</v>
      </c>
      <c r="M665">
        <v>27</v>
      </c>
      <c r="O665" s="256">
        <f t="shared" si="289"/>
        <v>117</v>
      </c>
      <c r="P665" s="256">
        <f t="shared" si="290"/>
        <v>121</v>
      </c>
      <c r="Q665" s="256" t="str">
        <f t="shared" si="291"/>
        <v>HL</v>
      </c>
      <c r="R665" s="256" t="str">
        <f t="shared" si="292"/>
        <v>HL</v>
      </c>
      <c r="S665" s="256" t="str">
        <f t="shared" si="293"/>
        <v>HL</v>
      </c>
      <c r="T665" s="256" t="str">
        <f t="shared" si="294"/>
        <v>HW</v>
      </c>
      <c r="U665" s="256" t="str">
        <f t="shared" si="295"/>
        <v>U</v>
      </c>
      <c r="V665" s="256" t="str">
        <f t="shared" si="296"/>
        <v>U</v>
      </c>
      <c r="W665" s="256" t="str">
        <f t="shared" si="297"/>
        <v>O</v>
      </c>
      <c r="X665" s="256" t="str">
        <f t="shared" si="298"/>
        <v>O</v>
      </c>
      <c r="Y665" s="256"/>
      <c r="Z665">
        <v>58</v>
      </c>
      <c r="AA665" s="256" t="str">
        <f t="shared" si="299"/>
        <v>NO/SAS</v>
      </c>
    </row>
    <row r="666" spans="1:27" x14ac:dyDescent="0.3">
      <c r="A666" s="222">
        <v>200123</v>
      </c>
      <c r="B666" s="223">
        <v>0.5</v>
      </c>
      <c r="C666" s="222" t="s">
        <v>425</v>
      </c>
      <c r="D666" s="222" t="s">
        <v>405</v>
      </c>
      <c r="E666">
        <v>17</v>
      </c>
      <c r="F666">
        <v>26</v>
      </c>
      <c r="G666">
        <v>26</v>
      </c>
      <c r="H666">
        <v>27</v>
      </c>
      <c r="J666">
        <v>31</v>
      </c>
      <c r="K666">
        <v>34</v>
      </c>
      <c r="L666">
        <v>35</v>
      </c>
      <c r="M666">
        <v>29</v>
      </c>
      <c r="O666" s="256">
        <f t="shared" si="289"/>
        <v>96</v>
      </c>
      <c r="P666" s="256">
        <f t="shared" si="290"/>
        <v>129</v>
      </c>
      <c r="Q666" s="256" t="str">
        <f t="shared" si="291"/>
        <v>HL</v>
      </c>
      <c r="R666" s="256" t="str">
        <f t="shared" si="292"/>
        <v>HL</v>
      </c>
      <c r="S666" s="256" t="str">
        <f t="shared" si="293"/>
        <v>HL</v>
      </c>
      <c r="T666" s="256" t="str">
        <f t="shared" si="294"/>
        <v>HL</v>
      </c>
      <c r="U666" s="256" t="str">
        <f t="shared" si="295"/>
        <v>U</v>
      </c>
      <c r="V666" s="256" t="str">
        <f t="shared" si="296"/>
        <v>O</v>
      </c>
      <c r="W666" s="256" t="str">
        <f t="shared" si="297"/>
        <v>O</v>
      </c>
      <c r="X666" s="256" t="str">
        <f t="shared" si="298"/>
        <v>O</v>
      </c>
      <c r="Y666" s="256"/>
      <c r="Z666">
        <v>53.5</v>
      </c>
      <c r="AA666" s="256" t="str">
        <f t="shared" si="299"/>
        <v>GS/UTA</v>
      </c>
    </row>
    <row r="667" spans="1:27" x14ac:dyDescent="0.3">
      <c r="A667" s="222">
        <v>200124</v>
      </c>
      <c r="B667" s="225">
        <v>0.375</v>
      </c>
      <c r="C667" s="224" t="s">
        <v>402</v>
      </c>
      <c r="D667" s="224" t="s">
        <v>414</v>
      </c>
      <c r="E667">
        <v>24</v>
      </c>
      <c r="F667">
        <v>37</v>
      </c>
      <c r="G667">
        <v>25</v>
      </c>
      <c r="H667">
        <v>26</v>
      </c>
      <c r="J667">
        <v>29</v>
      </c>
      <c r="K667">
        <v>39</v>
      </c>
      <c r="L667">
        <v>32</v>
      </c>
      <c r="M667">
        <v>24</v>
      </c>
      <c r="O667" s="256">
        <f t="shared" si="289"/>
        <v>112</v>
      </c>
      <c r="P667" s="256">
        <f t="shared" si="290"/>
        <v>124</v>
      </c>
      <c r="Q667" s="256" t="str">
        <f t="shared" si="291"/>
        <v>HL</v>
      </c>
      <c r="R667" s="256" t="str">
        <f t="shared" si="292"/>
        <v>HL</v>
      </c>
      <c r="S667" s="256" t="str">
        <f t="shared" si="293"/>
        <v>HL</v>
      </c>
      <c r="T667" s="256" t="str">
        <f t="shared" si="294"/>
        <v>HW</v>
      </c>
      <c r="U667" s="256" t="str">
        <f t="shared" si="295"/>
        <v>U</v>
      </c>
      <c r="V667" s="256" t="str">
        <f t="shared" si="296"/>
        <v>O</v>
      </c>
      <c r="W667" s="256" t="str">
        <f t="shared" si="297"/>
        <v>U</v>
      </c>
      <c r="X667" s="256" t="str">
        <f t="shared" si="298"/>
        <v>U</v>
      </c>
      <c r="Y667" s="256"/>
      <c r="Z667">
        <v>60.5</v>
      </c>
      <c r="AA667" s="256" t="str">
        <f t="shared" si="299"/>
        <v>CLE/WAS</v>
      </c>
    </row>
    <row r="668" spans="1:27" x14ac:dyDescent="0.3">
      <c r="A668" s="224">
        <v>200124</v>
      </c>
      <c r="B668" s="225">
        <v>0.41666666666666669</v>
      </c>
      <c r="C668" s="224" t="s">
        <v>407</v>
      </c>
      <c r="D668" s="224" t="s">
        <v>419</v>
      </c>
      <c r="E668">
        <v>35</v>
      </c>
      <c r="F668">
        <v>35</v>
      </c>
      <c r="G668">
        <v>24</v>
      </c>
      <c r="H668">
        <v>19</v>
      </c>
      <c r="J668">
        <v>38</v>
      </c>
      <c r="K668">
        <v>37</v>
      </c>
      <c r="L668">
        <v>29</v>
      </c>
      <c r="M668">
        <v>24</v>
      </c>
      <c r="O668" s="256">
        <f t="shared" si="289"/>
        <v>113</v>
      </c>
      <c r="P668" s="256">
        <f t="shared" si="290"/>
        <v>128</v>
      </c>
      <c r="Q668" s="256" t="str">
        <f t="shared" si="291"/>
        <v>HL</v>
      </c>
      <c r="R668" s="256" t="str">
        <f t="shared" si="292"/>
        <v>HL</v>
      </c>
      <c r="S668" s="256" t="str">
        <f t="shared" si="293"/>
        <v>HL</v>
      </c>
      <c r="T668" s="256" t="str">
        <f t="shared" si="294"/>
        <v>HL</v>
      </c>
      <c r="U668" s="256" t="str">
        <f t="shared" si="295"/>
        <v>O</v>
      </c>
      <c r="V668" s="256" t="str">
        <f t="shared" si="296"/>
        <v>O</v>
      </c>
      <c r="W668" s="256" t="str">
        <f t="shared" si="297"/>
        <v>U</v>
      </c>
      <c r="X668" s="256" t="str">
        <f t="shared" si="298"/>
        <v>U</v>
      </c>
      <c r="Y668" s="256"/>
      <c r="Z668">
        <v>59</v>
      </c>
      <c r="AA668" s="256" t="str">
        <f t="shared" si="299"/>
        <v>BKN/LAL</v>
      </c>
    </row>
    <row r="669" spans="1:27" x14ac:dyDescent="0.3">
      <c r="A669" s="224">
        <v>200124</v>
      </c>
      <c r="B669" s="225">
        <v>0.52083333333333337</v>
      </c>
      <c r="C669" s="224" t="s">
        <v>417</v>
      </c>
      <c r="D669" s="224" t="s">
        <v>397</v>
      </c>
      <c r="E669">
        <v>37</v>
      </c>
      <c r="F669">
        <v>26</v>
      </c>
      <c r="G669">
        <v>27</v>
      </c>
      <c r="H669">
        <v>35</v>
      </c>
      <c r="J669">
        <v>45</v>
      </c>
      <c r="K669">
        <v>33</v>
      </c>
      <c r="L669">
        <v>25</v>
      </c>
      <c r="M669">
        <v>30</v>
      </c>
      <c r="O669" s="256">
        <f t="shared" ref="O669:O726" si="300">SUM(E669:I669)</f>
        <v>125</v>
      </c>
      <c r="P669" s="256">
        <f t="shared" ref="P669:P726" si="301">SUM(J669:N669)</f>
        <v>133</v>
      </c>
      <c r="Q669" s="256" t="str">
        <f t="shared" ref="Q669:Q726" si="302">IF(E669=J669,"TT",IF(E669&gt;J669,"HW","HL"))</f>
        <v>HL</v>
      </c>
      <c r="R669" s="256" t="str">
        <f t="shared" ref="R669:R726" si="303">IF(F669=K669,"TT",IF(F669&gt;K669,"HW","HL"))</f>
        <v>HL</v>
      </c>
      <c r="S669" s="256" t="str">
        <f t="shared" ref="S669:S726" si="304">IF(G669=L669,"TT",IF(G669&gt;L669,"HW","HL"))</f>
        <v>HW</v>
      </c>
      <c r="T669" s="256" t="str">
        <f t="shared" ref="T669:T726" si="305">IF(H669=M669,"TT",IF(H669&gt;M669,"HW","HL"))</f>
        <v>HW</v>
      </c>
      <c r="U669" s="256" t="str">
        <f t="shared" ref="U669:U726" si="306">IF(SUM(E669,J669)=$Z669,"T",IF(SUM(E669,J669)&gt;$Z669,"O","U"))</f>
        <v>O</v>
      </c>
      <c r="V669" s="256" t="str">
        <f t="shared" ref="V669:V726" si="307">IF(SUM(F669,K669)=$Z669,"T",IF(SUM(F669,K669)&gt;$Z669,"O","U"))</f>
        <v>O</v>
      </c>
      <c r="W669" s="256" t="str">
        <f t="shared" ref="W669:W726" si="308">IF(SUM(G669,L669)=$Z669,"T",IF(SUM(G669,L669)&gt;$Z669,"O","U"))</f>
        <v>U</v>
      </c>
      <c r="X669" s="256" t="str">
        <f t="shared" ref="X669:X726" si="309">IF(SUM(H669,M669)=$Z669,"T",IF(SUM(H669,M669)&gt;$Z669,"O","U"))</f>
        <v>O</v>
      </c>
      <c r="Y669" s="256"/>
      <c r="Z669">
        <v>58.5</v>
      </c>
      <c r="AA669" s="256" t="str">
        <f t="shared" si="299"/>
        <v>POR/DAL</v>
      </c>
    </row>
    <row r="670" spans="1:27" x14ac:dyDescent="0.3">
      <c r="A670" s="224">
        <v>200125</v>
      </c>
      <c r="B670" s="227">
        <v>0.20833333333333334</v>
      </c>
      <c r="C670" s="226" t="s">
        <v>409</v>
      </c>
      <c r="D670" s="226" t="s">
        <v>423</v>
      </c>
      <c r="E670">
        <v>31</v>
      </c>
      <c r="F670">
        <v>24</v>
      </c>
      <c r="G670">
        <v>23</v>
      </c>
      <c r="H670">
        <v>25</v>
      </c>
      <c r="J670">
        <v>24</v>
      </c>
      <c r="K670">
        <v>26</v>
      </c>
      <c r="L670">
        <v>28</v>
      </c>
      <c r="M670">
        <v>38</v>
      </c>
      <c r="O670" s="256">
        <f t="shared" si="300"/>
        <v>103</v>
      </c>
      <c r="P670" s="256">
        <f t="shared" si="301"/>
        <v>116</v>
      </c>
      <c r="Q670" s="256" t="str">
        <f t="shared" si="302"/>
        <v>HW</v>
      </c>
      <c r="R670" s="256" t="str">
        <f t="shared" si="303"/>
        <v>HL</v>
      </c>
      <c r="S670" s="256" t="str">
        <f t="shared" si="304"/>
        <v>HL</v>
      </c>
      <c r="T670" s="256" t="str">
        <f t="shared" si="305"/>
        <v>HL</v>
      </c>
      <c r="U670" s="256" t="str">
        <f t="shared" si="306"/>
        <v>O</v>
      </c>
      <c r="V670" s="256" t="str">
        <f t="shared" si="307"/>
        <v>U</v>
      </c>
      <c r="W670" s="256" t="str">
        <f t="shared" si="308"/>
        <v>U</v>
      </c>
      <c r="X670" s="256" t="str">
        <f t="shared" si="309"/>
        <v>O</v>
      </c>
      <c r="Y670" s="256"/>
      <c r="Z670">
        <v>54</v>
      </c>
      <c r="AA670" s="256" t="str">
        <f t="shared" si="299"/>
        <v>CHA/MIL</v>
      </c>
    </row>
    <row r="671" spans="1:27" x14ac:dyDescent="0.3">
      <c r="A671" s="228">
        <v>200125</v>
      </c>
      <c r="B671" s="227">
        <v>0.375</v>
      </c>
      <c r="C671" s="226" t="s">
        <v>422</v>
      </c>
      <c r="D671" s="226" t="s">
        <v>406</v>
      </c>
      <c r="E671">
        <v>23</v>
      </c>
      <c r="F671">
        <v>38</v>
      </c>
      <c r="G671">
        <v>24</v>
      </c>
      <c r="H671">
        <v>27</v>
      </c>
      <c r="J671">
        <v>35</v>
      </c>
      <c r="K671">
        <v>31</v>
      </c>
      <c r="L671">
        <v>26</v>
      </c>
      <c r="M671">
        <v>33</v>
      </c>
      <c r="O671" s="256">
        <f t="shared" si="300"/>
        <v>112</v>
      </c>
      <c r="P671" s="256">
        <f t="shared" si="301"/>
        <v>125</v>
      </c>
      <c r="Q671" s="256" t="str">
        <f t="shared" si="302"/>
        <v>HL</v>
      </c>
      <c r="R671" s="256" t="str">
        <f t="shared" si="303"/>
        <v>HW</v>
      </c>
      <c r="S671" s="256" t="str">
        <f t="shared" si="304"/>
        <v>HL</v>
      </c>
      <c r="T671" s="256" t="str">
        <f t="shared" si="305"/>
        <v>HL</v>
      </c>
      <c r="U671" s="256" t="str">
        <f t="shared" si="306"/>
        <v>O</v>
      </c>
      <c r="V671" s="256" t="str">
        <f t="shared" si="307"/>
        <v>O</v>
      </c>
      <c r="W671" s="256" t="str">
        <f t="shared" si="308"/>
        <v>U</v>
      </c>
      <c r="X671" s="256" t="str">
        <f t="shared" si="309"/>
        <v>O</v>
      </c>
      <c r="Y671" s="256"/>
      <c r="Z671">
        <v>56.5</v>
      </c>
      <c r="AA671" s="256" t="str">
        <f t="shared" si="299"/>
        <v>DET/MEM</v>
      </c>
    </row>
    <row r="672" spans="1:27" x14ac:dyDescent="0.3">
      <c r="A672" s="228">
        <v>200125</v>
      </c>
      <c r="B672" s="227">
        <v>0.375</v>
      </c>
      <c r="C672" s="226" t="s">
        <v>424</v>
      </c>
      <c r="D672" s="226" t="s">
        <v>421</v>
      </c>
      <c r="E672">
        <v>30</v>
      </c>
      <c r="F672">
        <v>27</v>
      </c>
      <c r="G672">
        <v>20</v>
      </c>
      <c r="H672">
        <v>21</v>
      </c>
      <c r="J672">
        <v>24</v>
      </c>
      <c r="K672">
        <v>29</v>
      </c>
      <c r="L672">
        <v>29</v>
      </c>
      <c r="M672">
        <v>27</v>
      </c>
      <c r="O672" s="256">
        <f t="shared" si="300"/>
        <v>98</v>
      </c>
      <c r="P672" s="256">
        <f t="shared" si="301"/>
        <v>109</v>
      </c>
      <c r="Q672" s="256" t="str">
        <f t="shared" si="302"/>
        <v>HW</v>
      </c>
      <c r="R672" s="256" t="str">
        <f t="shared" si="303"/>
        <v>HL</v>
      </c>
      <c r="S672" s="256" t="str">
        <f t="shared" si="304"/>
        <v>HL</v>
      </c>
      <c r="T672" s="256" t="str">
        <f t="shared" si="305"/>
        <v>HL</v>
      </c>
      <c r="U672" s="256" t="str">
        <f t="shared" si="306"/>
        <v>O</v>
      </c>
      <c r="V672" s="256" t="str">
        <f t="shared" si="307"/>
        <v>O</v>
      </c>
      <c r="W672" s="256" t="str">
        <f t="shared" si="308"/>
        <v>U</v>
      </c>
      <c r="X672" s="256" t="str">
        <f t="shared" si="309"/>
        <v>U</v>
      </c>
      <c r="Y672" s="256"/>
      <c r="Z672">
        <v>52.5</v>
      </c>
      <c r="AA672" s="256" t="str">
        <f t="shared" si="299"/>
        <v>ORL/BOS</v>
      </c>
    </row>
    <row r="673" spans="1:27" x14ac:dyDescent="0.3">
      <c r="A673" s="228">
        <v>200125</v>
      </c>
      <c r="B673" s="227">
        <v>0.39583333333333331</v>
      </c>
      <c r="C673" s="226" t="s">
        <v>399</v>
      </c>
      <c r="D673" s="226" t="s">
        <v>413</v>
      </c>
      <c r="E673">
        <v>28</v>
      </c>
      <c r="F673">
        <v>25</v>
      </c>
      <c r="G673">
        <v>26</v>
      </c>
      <c r="H673">
        <v>33</v>
      </c>
      <c r="J673">
        <v>20</v>
      </c>
      <c r="K673">
        <v>36</v>
      </c>
      <c r="L673">
        <v>29</v>
      </c>
      <c r="M673">
        <v>33</v>
      </c>
      <c r="O673" s="256">
        <f t="shared" si="300"/>
        <v>112</v>
      </c>
      <c r="P673" s="256">
        <f t="shared" si="301"/>
        <v>118</v>
      </c>
      <c r="Q673" s="256" t="str">
        <f t="shared" si="302"/>
        <v>HW</v>
      </c>
      <c r="R673" s="256" t="str">
        <f t="shared" si="303"/>
        <v>HL</v>
      </c>
      <c r="S673" s="256" t="str">
        <f t="shared" si="304"/>
        <v>HL</v>
      </c>
      <c r="T673" s="256" t="str">
        <f t="shared" si="305"/>
        <v>TT</v>
      </c>
      <c r="U673" s="256" t="str">
        <f t="shared" si="306"/>
        <v>U</v>
      </c>
      <c r="V673" s="256" t="str">
        <f t="shared" si="307"/>
        <v>O</v>
      </c>
      <c r="W673" s="256" t="str">
        <f t="shared" si="308"/>
        <v>U</v>
      </c>
      <c r="X673" s="256" t="str">
        <f t="shared" si="309"/>
        <v>O</v>
      </c>
      <c r="Y673" s="256"/>
      <c r="Z673">
        <v>55.5</v>
      </c>
      <c r="AA673" s="256" t="str">
        <f t="shared" si="299"/>
        <v>NYK/TOR</v>
      </c>
    </row>
    <row r="674" spans="1:27" x14ac:dyDescent="0.3">
      <c r="A674" s="228">
        <v>200125</v>
      </c>
      <c r="B674" s="227">
        <v>0.41666666666666669</v>
      </c>
      <c r="C674" s="226" t="s">
        <v>398</v>
      </c>
      <c r="D674" s="226" t="s">
        <v>408</v>
      </c>
      <c r="E674">
        <v>28</v>
      </c>
      <c r="F674">
        <v>28</v>
      </c>
      <c r="G674">
        <v>26</v>
      </c>
      <c r="H674">
        <v>24</v>
      </c>
      <c r="J674">
        <v>37</v>
      </c>
      <c r="K674">
        <v>26</v>
      </c>
      <c r="L674">
        <v>31</v>
      </c>
      <c r="M674">
        <v>19</v>
      </c>
      <c r="O674" s="256">
        <f t="shared" si="300"/>
        <v>106</v>
      </c>
      <c r="P674" s="256">
        <f t="shared" si="301"/>
        <v>113</v>
      </c>
      <c r="Q674" s="256" t="str">
        <f t="shared" si="302"/>
        <v>HL</v>
      </c>
      <c r="R674" s="256" t="str">
        <f t="shared" si="303"/>
        <v>HW</v>
      </c>
      <c r="S674" s="256" t="str">
        <f t="shared" si="304"/>
        <v>HL</v>
      </c>
      <c r="T674" s="256" t="str">
        <f t="shared" si="305"/>
        <v>HW</v>
      </c>
      <c r="U674" s="256" t="str">
        <f t="shared" si="306"/>
        <v>O</v>
      </c>
      <c r="V674" s="256" t="str">
        <f t="shared" si="307"/>
        <v>U</v>
      </c>
      <c r="W674" s="256" t="str">
        <f t="shared" si="308"/>
        <v>U</v>
      </c>
      <c r="X674" s="256" t="str">
        <f t="shared" si="309"/>
        <v>U</v>
      </c>
      <c r="Y674" s="256"/>
      <c r="Z674">
        <v>59.5</v>
      </c>
      <c r="AA674" s="256" t="str">
        <f t="shared" si="299"/>
        <v>NO/DEN</v>
      </c>
    </row>
    <row r="675" spans="1:27" x14ac:dyDescent="0.3">
      <c r="A675" s="228">
        <v>200125</v>
      </c>
      <c r="B675" s="227">
        <v>0.41666666666666669</v>
      </c>
      <c r="C675" s="226" t="s">
        <v>412</v>
      </c>
      <c r="D675" s="226" t="s">
        <v>416</v>
      </c>
      <c r="E675">
        <v>21</v>
      </c>
      <c r="F675">
        <v>23</v>
      </c>
      <c r="G675">
        <v>25</v>
      </c>
      <c r="H675">
        <v>12</v>
      </c>
      <c r="J675">
        <v>29</v>
      </c>
      <c r="K675">
        <v>25</v>
      </c>
      <c r="L675">
        <v>21</v>
      </c>
      <c r="M675">
        <v>23</v>
      </c>
      <c r="O675" s="256">
        <f t="shared" si="300"/>
        <v>81</v>
      </c>
      <c r="P675" s="256">
        <f t="shared" si="301"/>
        <v>98</v>
      </c>
      <c r="Q675" s="256" t="str">
        <f t="shared" si="302"/>
        <v>HL</v>
      </c>
      <c r="R675" s="256" t="str">
        <f t="shared" si="303"/>
        <v>HL</v>
      </c>
      <c r="S675" s="256" t="str">
        <f t="shared" si="304"/>
        <v>HW</v>
      </c>
      <c r="T675" s="256" t="str">
        <f t="shared" si="305"/>
        <v>HL</v>
      </c>
      <c r="U675" s="256" t="str">
        <f t="shared" si="306"/>
        <v>U</v>
      </c>
      <c r="V675" s="256" t="str">
        <f t="shared" si="307"/>
        <v>U</v>
      </c>
      <c r="W675" s="256" t="str">
        <f t="shared" si="308"/>
        <v>U</v>
      </c>
      <c r="X675" s="256" t="str">
        <f t="shared" si="309"/>
        <v>U</v>
      </c>
      <c r="Y675" s="256"/>
      <c r="Z675">
        <v>56</v>
      </c>
      <c r="AA675" s="256" t="str">
        <f t="shared" si="299"/>
        <v>CHI/SAC</v>
      </c>
    </row>
    <row r="676" spans="1:27" x14ac:dyDescent="0.3">
      <c r="A676" s="228">
        <v>200125</v>
      </c>
      <c r="B676" s="227">
        <v>0.41666666666666669</v>
      </c>
      <c r="C676" s="226" t="s">
        <v>411</v>
      </c>
      <c r="D676" s="226" t="s">
        <v>415</v>
      </c>
      <c r="E676">
        <v>30</v>
      </c>
      <c r="F676">
        <v>35</v>
      </c>
      <c r="G676">
        <v>20</v>
      </c>
      <c r="H676">
        <v>32</v>
      </c>
      <c r="J676">
        <v>22</v>
      </c>
      <c r="K676">
        <v>41</v>
      </c>
      <c r="L676">
        <v>38</v>
      </c>
      <c r="M676">
        <v>21</v>
      </c>
      <c r="O676" s="256">
        <f t="shared" si="300"/>
        <v>117</v>
      </c>
      <c r="P676" s="256">
        <f t="shared" si="301"/>
        <v>122</v>
      </c>
      <c r="Q676" s="256" t="str">
        <f t="shared" si="302"/>
        <v>HW</v>
      </c>
      <c r="R676" s="256" t="str">
        <f t="shared" si="303"/>
        <v>HL</v>
      </c>
      <c r="S676" s="256" t="str">
        <f t="shared" si="304"/>
        <v>HL</v>
      </c>
      <c r="T676" s="256" t="str">
        <f t="shared" si="305"/>
        <v>HW</v>
      </c>
      <c r="U676" s="256" t="str">
        <f t="shared" si="306"/>
        <v>U</v>
      </c>
      <c r="V676" s="256" t="str">
        <f t="shared" si="307"/>
        <v>O</v>
      </c>
      <c r="W676" s="256" t="str">
        <f t="shared" si="308"/>
        <v>O</v>
      </c>
      <c r="X676" s="256" t="str">
        <f t="shared" si="309"/>
        <v>U</v>
      </c>
      <c r="Y676" s="256"/>
      <c r="Z676">
        <v>56.5</v>
      </c>
      <c r="AA676" s="256" t="str">
        <f t="shared" si="299"/>
        <v>MIA/LAC</v>
      </c>
    </row>
    <row r="677" spans="1:27" x14ac:dyDescent="0.3">
      <c r="A677" s="228">
        <v>200125</v>
      </c>
      <c r="B677" s="227">
        <v>0.41666666666666669</v>
      </c>
      <c r="C677" s="226" t="s">
        <v>420</v>
      </c>
      <c r="D677" s="226" t="s">
        <v>403</v>
      </c>
      <c r="E677">
        <v>26</v>
      </c>
      <c r="F677">
        <v>34</v>
      </c>
      <c r="G677">
        <v>24</v>
      </c>
      <c r="H677">
        <v>40</v>
      </c>
      <c r="J677">
        <v>36</v>
      </c>
      <c r="K677">
        <v>27</v>
      </c>
      <c r="L677">
        <v>31</v>
      </c>
      <c r="M677">
        <v>37</v>
      </c>
      <c r="O677" s="256">
        <f t="shared" si="300"/>
        <v>124</v>
      </c>
      <c r="P677" s="256">
        <f t="shared" si="301"/>
        <v>131</v>
      </c>
      <c r="Q677" s="256" t="str">
        <f t="shared" si="302"/>
        <v>HL</v>
      </c>
      <c r="R677" s="256" t="str">
        <f t="shared" si="303"/>
        <v>HW</v>
      </c>
      <c r="S677" s="256" t="str">
        <f t="shared" si="304"/>
        <v>HL</v>
      </c>
      <c r="T677" s="256" t="str">
        <f t="shared" si="305"/>
        <v>HW</v>
      </c>
      <c r="U677" s="256" t="str">
        <f t="shared" si="306"/>
        <v>O</v>
      </c>
      <c r="V677" s="256" t="str">
        <f t="shared" si="307"/>
        <v>O</v>
      </c>
      <c r="W677" s="256" t="str">
        <f t="shared" si="308"/>
        <v>U</v>
      </c>
      <c r="X677" s="256" t="str">
        <f t="shared" si="309"/>
        <v>O</v>
      </c>
      <c r="Y677" s="256"/>
      <c r="Z677">
        <v>60.5</v>
      </c>
      <c r="AA677" s="256" t="str">
        <f t="shared" si="299"/>
        <v>MIN/HOU</v>
      </c>
    </row>
    <row r="678" spans="1:27" x14ac:dyDescent="0.3">
      <c r="A678" s="228">
        <v>200125</v>
      </c>
      <c r="B678" s="227">
        <v>0.41666666666666669</v>
      </c>
      <c r="C678" s="226" t="s">
        <v>418</v>
      </c>
      <c r="D678" s="226" t="s">
        <v>410</v>
      </c>
      <c r="E678">
        <v>33</v>
      </c>
      <c r="F678">
        <v>33</v>
      </c>
      <c r="G678">
        <v>38</v>
      </c>
      <c r="H678">
        <v>36</v>
      </c>
      <c r="J678">
        <v>30</v>
      </c>
      <c r="K678">
        <v>28</v>
      </c>
      <c r="L678">
        <v>32</v>
      </c>
      <c r="M678">
        <v>21</v>
      </c>
      <c r="O678" s="256">
        <f t="shared" si="300"/>
        <v>140</v>
      </c>
      <c r="P678" s="256">
        <f t="shared" si="301"/>
        <v>111</v>
      </c>
      <c r="Q678" s="256" t="str">
        <f t="shared" si="302"/>
        <v>HW</v>
      </c>
      <c r="R678" s="256" t="str">
        <f t="shared" si="303"/>
        <v>HW</v>
      </c>
      <c r="S678" s="256" t="str">
        <f t="shared" si="304"/>
        <v>HW</v>
      </c>
      <c r="T678" s="256" t="str">
        <f t="shared" si="305"/>
        <v>HW</v>
      </c>
      <c r="U678" s="256" t="str">
        <f t="shared" si="306"/>
        <v>O</v>
      </c>
      <c r="V678" s="256" t="str">
        <f t="shared" si="307"/>
        <v>O</v>
      </c>
      <c r="W678" s="256" t="str">
        <f t="shared" si="308"/>
        <v>O</v>
      </c>
      <c r="X678" s="256" t="str">
        <f t="shared" si="309"/>
        <v>U</v>
      </c>
      <c r="Y678" s="256"/>
      <c r="Z678">
        <v>59</v>
      </c>
      <c r="AA678" s="256" t="str">
        <f t="shared" si="299"/>
        <v>OKC/ATL</v>
      </c>
    </row>
    <row r="679" spans="1:27" x14ac:dyDescent="0.3">
      <c r="A679" s="228">
        <v>200125</v>
      </c>
      <c r="B679" s="227">
        <v>0.4375</v>
      </c>
      <c r="C679" s="226" t="s">
        <v>426</v>
      </c>
      <c r="D679" s="226" t="s">
        <v>404</v>
      </c>
      <c r="E679">
        <v>28</v>
      </c>
      <c r="F679">
        <v>16</v>
      </c>
      <c r="G679">
        <v>28</v>
      </c>
      <c r="H679">
        <v>27</v>
      </c>
      <c r="J679">
        <v>22</v>
      </c>
      <c r="K679">
        <v>34</v>
      </c>
      <c r="L679">
        <v>22</v>
      </c>
      <c r="M679">
        <v>25</v>
      </c>
      <c r="O679" s="256">
        <f t="shared" si="300"/>
        <v>99</v>
      </c>
      <c r="P679" s="256">
        <f t="shared" si="301"/>
        <v>103</v>
      </c>
      <c r="Q679" s="256" t="str">
        <f t="shared" si="302"/>
        <v>HW</v>
      </c>
      <c r="R679" s="256" t="str">
        <f t="shared" si="303"/>
        <v>HL</v>
      </c>
      <c r="S679" s="256" t="str">
        <f t="shared" si="304"/>
        <v>HW</v>
      </c>
      <c r="T679" s="256" t="str">
        <f t="shared" si="305"/>
        <v>HW</v>
      </c>
      <c r="U679" s="256" t="str">
        <f t="shared" si="306"/>
        <v>U</v>
      </c>
      <c r="V679" s="256" t="str">
        <f t="shared" si="307"/>
        <v>U</v>
      </c>
      <c r="W679" s="256" t="str">
        <f t="shared" si="308"/>
        <v>U</v>
      </c>
      <c r="X679" s="256" t="str">
        <f t="shared" si="309"/>
        <v>U</v>
      </c>
      <c r="Y679" s="256"/>
      <c r="Z679">
        <v>55.5</v>
      </c>
      <c r="AA679" s="256" t="str">
        <f t="shared" si="299"/>
        <v>SAS/PHO</v>
      </c>
    </row>
    <row r="680" spans="1:27" x14ac:dyDescent="0.3">
      <c r="A680" s="228">
        <v>200125</v>
      </c>
      <c r="B680" s="227">
        <v>0.52083333333333337</v>
      </c>
      <c r="C680" s="226" t="s">
        <v>425</v>
      </c>
      <c r="D680" s="226" t="s">
        <v>400</v>
      </c>
      <c r="E680">
        <v>30</v>
      </c>
      <c r="F680">
        <v>21</v>
      </c>
      <c r="G680">
        <v>35</v>
      </c>
      <c r="H680">
        <v>32</v>
      </c>
      <c r="J680">
        <v>35</v>
      </c>
      <c r="K680">
        <v>32</v>
      </c>
      <c r="L680">
        <v>31</v>
      </c>
      <c r="M680">
        <v>31</v>
      </c>
      <c r="O680" s="256">
        <f t="shared" si="300"/>
        <v>118</v>
      </c>
      <c r="P680" s="256">
        <f t="shared" si="301"/>
        <v>129</v>
      </c>
      <c r="Q680" s="256" t="str">
        <f t="shared" si="302"/>
        <v>HL</v>
      </c>
      <c r="R680" s="256" t="str">
        <f t="shared" si="303"/>
        <v>HL</v>
      </c>
      <c r="S680" s="256" t="str">
        <f t="shared" si="304"/>
        <v>HW</v>
      </c>
      <c r="T680" s="256" t="str">
        <f t="shared" si="305"/>
        <v>HW</v>
      </c>
      <c r="U680" s="256" t="str">
        <f t="shared" si="306"/>
        <v>O</v>
      </c>
      <c r="V680" s="256" t="str">
        <f t="shared" si="307"/>
        <v>U</v>
      </c>
      <c r="W680" s="256" t="str">
        <f t="shared" si="308"/>
        <v>O</v>
      </c>
      <c r="X680" s="256" t="str">
        <f t="shared" si="309"/>
        <v>O</v>
      </c>
      <c r="Y680" s="256"/>
      <c r="Z680">
        <v>55</v>
      </c>
      <c r="AA680" s="256" t="str">
        <f t="shared" si="299"/>
        <v>GS/IND</v>
      </c>
    </row>
    <row r="681" spans="1:27" x14ac:dyDescent="0.3">
      <c r="A681" s="228">
        <v>200126</v>
      </c>
      <c r="B681" s="229">
        <v>0.29166666666666669</v>
      </c>
      <c r="C681" s="228" t="s">
        <v>405</v>
      </c>
      <c r="D681" s="228" t="s">
        <v>397</v>
      </c>
      <c r="E681">
        <v>25</v>
      </c>
      <c r="F681">
        <v>30</v>
      </c>
      <c r="G681">
        <v>25</v>
      </c>
      <c r="H681">
        <v>32</v>
      </c>
      <c r="J681">
        <v>36</v>
      </c>
      <c r="K681">
        <v>22</v>
      </c>
      <c r="L681">
        <v>26</v>
      </c>
      <c r="M681">
        <v>23</v>
      </c>
      <c r="O681" s="256">
        <f t="shared" si="300"/>
        <v>112</v>
      </c>
      <c r="P681" s="256">
        <f t="shared" si="301"/>
        <v>107</v>
      </c>
      <c r="Q681" s="256" t="str">
        <f t="shared" si="302"/>
        <v>HL</v>
      </c>
      <c r="R681" s="256" t="str">
        <f t="shared" si="303"/>
        <v>HW</v>
      </c>
      <c r="S681" s="256" t="str">
        <f t="shared" si="304"/>
        <v>HL</v>
      </c>
      <c r="T681" s="256" t="str">
        <f t="shared" si="305"/>
        <v>HW</v>
      </c>
      <c r="U681" s="256" t="str">
        <f t="shared" si="306"/>
        <v>O</v>
      </c>
      <c r="V681" s="256" t="str">
        <f t="shared" si="307"/>
        <v>U</v>
      </c>
      <c r="W681" s="256" t="str">
        <f t="shared" si="308"/>
        <v>U</v>
      </c>
      <c r="X681" s="256" t="str">
        <f t="shared" si="309"/>
        <v>U</v>
      </c>
      <c r="Y681" s="256"/>
      <c r="Z681">
        <v>58.5</v>
      </c>
      <c r="AA681" s="256" t="str">
        <f t="shared" si="299"/>
        <v>UTA/DAL</v>
      </c>
    </row>
    <row r="682" spans="1:27" x14ac:dyDescent="0.3">
      <c r="A682" s="228">
        <v>200126</v>
      </c>
      <c r="B682" s="229">
        <v>0.375</v>
      </c>
      <c r="C682" s="228" t="s">
        <v>422</v>
      </c>
      <c r="D682" s="228" t="s">
        <v>407</v>
      </c>
      <c r="E682">
        <v>25</v>
      </c>
      <c r="F682">
        <v>35</v>
      </c>
      <c r="G682">
        <v>17</v>
      </c>
      <c r="H682">
        <v>29</v>
      </c>
      <c r="I682">
        <v>5</v>
      </c>
      <c r="J682">
        <v>26</v>
      </c>
      <c r="K682">
        <v>24</v>
      </c>
      <c r="L682">
        <v>30</v>
      </c>
      <c r="M682">
        <v>26</v>
      </c>
      <c r="N682" s="2">
        <v>15</v>
      </c>
      <c r="O682" s="256">
        <f t="shared" si="300"/>
        <v>111</v>
      </c>
      <c r="P682" s="256">
        <f t="shared" si="301"/>
        <v>121</v>
      </c>
      <c r="Q682" s="256" t="str">
        <f t="shared" si="302"/>
        <v>HL</v>
      </c>
      <c r="R682" s="256" t="str">
        <f t="shared" si="303"/>
        <v>HW</v>
      </c>
      <c r="S682" s="256" t="str">
        <f t="shared" si="304"/>
        <v>HL</v>
      </c>
      <c r="T682" s="256" t="str">
        <f t="shared" si="305"/>
        <v>HW</v>
      </c>
      <c r="U682" s="256" t="str">
        <f t="shared" si="306"/>
        <v>U</v>
      </c>
      <c r="V682" s="256" t="str">
        <f t="shared" si="307"/>
        <v>O</v>
      </c>
      <c r="W682" s="256" t="str">
        <f t="shared" si="308"/>
        <v>U</v>
      </c>
      <c r="X682" s="256" t="str">
        <f t="shared" si="309"/>
        <v>U</v>
      </c>
      <c r="Y682" s="256"/>
      <c r="Z682">
        <v>55.5</v>
      </c>
      <c r="AA682" s="256" t="str">
        <f t="shared" si="299"/>
        <v>DET/BKN</v>
      </c>
    </row>
    <row r="683" spans="1:27" x14ac:dyDescent="0.3">
      <c r="A683" s="228">
        <v>200126</v>
      </c>
      <c r="B683" s="229">
        <v>0.41666666666666669</v>
      </c>
      <c r="C683" s="228" t="s">
        <v>402</v>
      </c>
      <c r="D683" s="228" t="s">
        <v>412</v>
      </c>
      <c r="E683">
        <v>31</v>
      </c>
      <c r="F683">
        <v>26</v>
      </c>
      <c r="G683">
        <v>19</v>
      </c>
      <c r="H683">
        <v>30</v>
      </c>
      <c r="J683">
        <v>25</v>
      </c>
      <c r="K683">
        <v>34</v>
      </c>
      <c r="L683">
        <v>40</v>
      </c>
      <c r="M683">
        <v>19</v>
      </c>
      <c r="O683" s="256">
        <f t="shared" si="300"/>
        <v>106</v>
      </c>
      <c r="P683" s="256">
        <f t="shared" si="301"/>
        <v>118</v>
      </c>
      <c r="Q683" s="256" t="str">
        <f t="shared" si="302"/>
        <v>HW</v>
      </c>
      <c r="R683" s="256" t="str">
        <f t="shared" si="303"/>
        <v>HL</v>
      </c>
      <c r="S683" s="256" t="str">
        <f t="shared" si="304"/>
        <v>HL</v>
      </c>
      <c r="T683" s="256" t="str">
        <f t="shared" si="305"/>
        <v>HW</v>
      </c>
      <c r="U683" s="256" t="str">
        <f t="shared" si="306"/>
        <v>O</v>
      </c>
      <c r="V683" s="256" t="str">
        <f t="shared" si="307"/>
        <v>O</v>
      </c>
      <c r="W683" s="256" t="str">
        <f t="shared" si="308"/>
        <v>O</v>
      </c>
      <c r="X683" s="256" t="str">
        <f t="shared" si="309"/>
        <v>U</v>
      </c>
      <c r="Y683" s="256"/>
      <c r="Z683">
        <v>54.5</v>
      </c>
      <c r="AA683" s="256" t="str">
        <f t="shared" si="299"/>
        <v>CLE/CHI</v>
      </c>
    </row>
    <row r="684" spans="1:27" x14ac:dyDescent="0.3">
      <c r="A684" s="228">
        <v>200126</v>
      </c>
      <c r="B684" s="229">
        <v>0.41666666666666669</v>
      </c>
      <c r="C684" s="228" t="s">
        <v>420</v>
      </c>
      <c r="D684" s="228" t="s">
        <v>418</v>
      </c>
      <c r="E684">
        <v>22</v>
      </c>
      <c r="F684">
        <v>26</v>
      </c>
      <c r="G684">
        <v>24</v>
      </c>
      <c r="H684">
        <v>32</v>
      </c>
      <c r="J684">
        <v>28</v>
      </c>
      <c r="K684">
        <v>24</v>
      </c>
      <c r="L684">
        <v>39</v>
      </c>
      <c r="M684">
        <v>22</v>
      </c>
      <c r="O684" s="256">
        <f t="shared" si="300"/>
        <v>104</v>
      </c>
      <c r="P684" s="256">
        <f t="shared" si="301"/>
        <v>113</v>
      </c>
      <c r="Q684" s="256" t="str">
        <f t="shared" si="302"/>
        <v>HL</v>
      </c>
      <c r="R684" s="256" t="str">
        <f t="shared" si="303"/>
        <v>HW</v>
      </c>
      <c r="S684" s="256" t="str">
        <f t="shared" si="304"/>
        <v>HL</v>
      </c>
      <c r="T684" s="256" t="str">
        <f t="shared" si="305"/>
        <v>HW</v>
      </c>
      <c r="U684" s="256" t="str">
        <f t="shared" si="306"/>
        <v>U</v>
      </c>
      <c r="V684" s="256" t="str">
        <f t="shared" si="307"/>
        <v>U</v>
      </c>
      <c r="W684" s="256" t="str">
        <f t="shared" si="308"/>
        <v>O</v>
      </c>
      <c r="X684" s="256" t="str">
        <f t="shared" si="309"/>
        <v>U</v>
      </c>
      <c r="Y684" s="256"/>
      <c r="Z684">
        <v>58</v>
      </c>
      <c r="AA684" s="256" t="str">
        <f t="shared" si="299"/>
        <v>MIN/OKC</v>
      </c>
    </row>
    <row r="685" spans="1:27" x14ac:dyDescent="0.3">
      <c r="A685" s="228">
        <v>200126</v>
      </c>
      <c r="B685" s="229">
        <v>0.4375</v>
      </c>
      <c r="C685" s="228" t="s">
        <v>401</v>
      </c>
      <c r="D685" s="228" t="s">
        <v>419</v>
      </c>
      <c r="E685">
        <v>35</v>
      </c>
      <c r="F685">
        <v>24</v>
      </c>
      <c r="G685">
        <v>26</v>
      </c>
      <c r="H685">
        <v>23</v>
      </c>
      <c r="J685">
        <v>25</v>
      </c>
      <c r="K685">
        <v>25</v>
      </c>
      <c r="L685">
        <v>23</v>
      </c>
      <c r="M685">
        <v>18</v>
      </c>
      <c r="O685" s="256">
        <f t="shared" si="300"/>
        <v>108</v>
      </c>
      <c r="P685" s="256">
        <f t="shared" si="301"/>
        <v>91</v>
      </c>
      <c r="Q685" s="256" t="str">
        <f t="shared" si="302"/>
        <v>HW</v>
      </c>
      <c r="R685" s="256" t="str">
        <f t="shared" si="303"/>
        <v>HL</v>
      </c>
      <c r="S685" s="256" t="str">
        <f t="shared" si="304"/>
        <v>HW</v>
      </c>
      <c r="T685" s="256" t="str">
        <f t="shared" si="305"/>
        <v>HW</v>
      </c>
      <c r="U685" s="256" t="str">
        <f t="shared" si="306"/>
        <v>O</v>
      </c>
      <c r="V685" s="256" t="str">
        <f t="shared" si="307"/>
        <v>U</v>
      </c>
      <c r="W685" s="256" t="str">
        <f t="shared" si="308"/>
        <v>U</v>
      </c>
      <c r="X685" s="256" t="str">
        <f t="shared" si="309"/>
        <v>U</v>
      </c>
      <c r="Y685" s="256"/>
      <c r="Z685">
        <v>57</v>
      </c>
      <c r="AA685" s="256" t="str">
        <f t="shared" si="299"/>
        <v>PHI/LAL</v>
      </c>
    </row>
    <row r="686" spans="1:27" x14ac:dyDescent="0.3">
      <c r="A686" s="228">
        <v>200127</v>
      </c>
      <c r="B686" s="231">
        <v>0.22916666666666666</v>
      </c>
      <c r="C686" s="230" t="s">
        <v>408</v>
      </c>
      <c r="D686" s="230" t="s">
        <v>403</v>
      </c>
      <c r="E686">
        <v>27</v>
      </c>
      <c r="F686">
        <v>30</v>
      </c>
      <c r="G686">
        <v>33</v>
      </c>
      <c r="H686">
        <v>27</v>
      </c>
      <c r="J686">
        <v>36</v>
      </c>
      <c r="K686">
        <v>23</v>
      </c>
      <c r="L686">
        <v>30</v>
      </c>
      <c r="M686">
        <v>21</v>
      </c>
      <c r="O686" s="256">
        <f t="shared" si="300"/>
        <v>117</v>
      </c>
      <c r="P686" s="256">
        <f t="shared" si="301"/>
        <v>110</v>
      </c>
      <c r="Q686" s="256" t="str">
        <f t="shared" si="302"/>
        <v>HL</v>
      </c>
      <c r="R686" s="256" t="str">
        <f t="shared" si="303"/>
        <v>HW</v>
      </c>
      <c r="S686" s="256" t="str">
        <f t="shared" si="304"/>
        <v>HW</v>
      </c>
      <c r="T686" s="256" t="str">
        <f t="shared" si="305"/>
        <v>HW</v>
      </c>
      <c r="U686" s="256" t="str">
        <f t="shared" si="306"/>
        <v>O</v>
      </c>
      <c r="V686" s="256" t="str">
        <f t="shared" si="307"/>
        <v>U</v>
      </c>
      <c r="W686" s="256" t="str">
        <f t="shared" si="308"/>
        <v>O</v>
      </c>
      <c r="X686" s="256" t="str">
        <f t="shared" si="309"/>
        <v>U</v>
      </c>
      <c r="Y686" s="256"/>
      <c r="Z686">
        <v>58</v>
      </c>
      <c r="AA686" s="256" t="str">
        <f t="shared" si="299"/>
        <v>DEN/HOU</v>
      </c>
    </row>
    <row r="687" spans="1:27" x14ac:dyDescent="0.3">
      <c r="A687" s="230">
        <v>200127</v>
      </c>
      <c r="B687" s="231">
        <v>0.25</v>
      </c>
      <c r="C687" s="230" t="s">
        <v>426</v>
      </c>
      <c r="D687" s="230" t="s">
        <v>413</v>
      </c>
      <c r="E687">
        <v>21</v>
      </c>
      <c r="F687">
        <v>30</v>
      </c>
      <c r="G687">
        <v>34</v>
      </c>
      <c r="H687">
        <v>21</v>
      </c>
      <c r="J687">
        <v>37</v>
      </c>
      <c r="K687">
        <v>26</v>
      </c>
      <c r="L687">
        <v>23</v>
      </c>
      <c r="M687">
        <v>24</v>
      </c>
      <c r="O687" s="256">
        <f t="shared" si="300"/>
        <v>106</v>
      </c>
      <c r="P687" s="256">
        <f t="shared" si="301"/>
        <v>110</v>
      </c>
      <c r="Q687" s="256" t="str">
        <f t="shared" si="302"/>
        <v>HL</v>
      </c>
      <c r="R687" s="256" t="str">
        <f t="shared" si="303"/>
        <v>HW</v>
      </c>
      <c r="S687" s="256" t="str">
        <f t="shared" si="304"/>
        <v>HW</v>
      </c>
      <c r="T687" s="256" t="str">
        <f t="shared" si="305"/>
        <v>HL</v>
      </c>
      <c r="U687" s="256" t="str">
        <f t="shared" si="306"/>
        <v>O</v>
      </c>
      <c r="V687" s="256" t="str">
        <f t="shared" si="307"/>
        <v>U</v>
      </c>
      <c r="W687" s="256" t="str">
        <f t="shared" si="308"/>
        <v>T</v>
      </c>
      <c r="X687" s="256" t="str">
        <f t="shared" si="309"/>
        <v>U</v>
      </c>
      <c r="Y687" s="256"/>
      <c r="Z687">
        <v>57</v>
      </c>
      <c r="AA687" s="256" t="str">
        <f t="shared" si="299"/>
        <v>SAS/TOR</v>
      </c>
    </row>
    <row r="688" spans="1:27" x14ac:dyDescent="0.3">
      <c r="A688" s="230">
        <v>200127</v>
      </c>
      <c r="B688" s="231">
        <v>0.33333333333333331</v>
      </c>
      <c r="C688" s="230" t="s">
        <v>410</v>
      </c>
      <c r="D688" s="230" t="s">
        <v>414</v>
      </c>
      <c r="E688">
        <v>31</v>
      </c>
      <c r="F688">
        <v>47</v>
      </c>
      <c r="G688">
        <v>41</v>
      </c>
      <c r="H688">
        <v>33</v>
      </c>
      <c r="J688">
        <v>33</v>
      </c>
      <c r="K688">
        <v>39</v>
      </c>
      <c r="L688">
        <v>30</v>
      </c>
      <c r="M688">
        <v>31</v>
      </c>
      <c r="O688" s="256">
        <f t="shared" si="300"/>
        <v>152</v>
      </c>
      <c r="P688" s="256">
        <f t="shared" si="301"/>
        <v>133</v>
      </c>
      <c r="Q688" s="256" t="str">
        <f t="shared" si="302"/>
        <v>HL</v>
      </c>
      <c r="R688" s="256" t="str">
        <f t="shared" si="303"/>
        <v>HW</v>
      </c>
      <c r="S688" s="256" t="str">
        <f t="shared" si="304"/>
        <v>HW</v>
      </c>
      <c r="T688" s="256" t="str">
        <f t="shared" si="305"/>
        <v>HW</v>
      </c>
      <c r="U688" s="256" t="str">
        <f t="shared" si="306"/>
        <v>O</v>
      </c>
      <c r="V688" s="256" t="str">
        <f t="shared" si="307"/>
        <v>O</v>
      </c>
      <c r="W688" s="256" t="str">
        <f t="shared" si="308"/>
        <v>O</v>
      </c>
      <c r="X688" s="256" t="str">
        <f t="shared" si="309"/>
        <v>O</v>
      </c>
      <c r="Y688" s="256"/>
      <c r="Z688">
        <v>61</v>
      </c>
      <c r="AA688" s="256" t="str">
        <f t="shared" si="299"/>
        <v>ATL/WAS</v>
      </c>
    </row>
    <row r="689" spans="1:27" x14ac:dyDescent="0.3">
      <c r="A689" s="230">
        <v>200127</v>
      </c>
      <c r="B689" s="231">
        <v>0.33333333333333331</v>
      </c>
      <c r="C689" s="230" t="s">
        <v>398</v>
      </c>
      <c r="D689" s="230" t="s">
        <v>421</v>
      </c>
      <c r="E689">
        <v>32</v>
      </c>
      <c r="F689">
        <v>30</v>
      </c>
      <c r="G689">
        <v>29</v>
      </c>
      <c r="H689">
        <v>32</v>
      </c>
      <c r="J689">
        <v>20</v>
      </c>
      <c r="K689">
        <v>22</v>
      </c>
      <c r="L689">
        <v>39</v>
      </c>
      <c r="M689">
        <v>27</v>
      </c>
      <c r="O689" s="256">
        <f t="shared" si="300"/>
        <v>123</v>
      </c>
      <c r="P689" s="256">
        <f t="shared" si="301"/>
        <v>108</v>
      </c>
      <c r="Q689" s="256" t="str">
        <f t="shared" si="302"/>
        <v>HW</v>
      </c>
      <c r="R689" s="256" t="str">
        <f t="shared" si="303"/>
        <v>HW</v>
      </c>
      <c r="S689" s="256" t="str">
        <f t="shared" si="304"/>
        <v>HL</v>
      </c>
      <c r="T689" s="256" t="str">
        <f t="shared" si="305"/>
        <v>HW</v>
      </c>
      <c r="U689" s="256" t="str">
        <f t="shared" si="306"/>
        <v>U</v>
      </c>
      <c r="V689" s="256" t="str">
        <f t="shared" si="307"/>
        <v>U</v>
      </c>
      <c r="W689" s="256" t="str">
        <f t="shared" si="308"/>
        <v>O</v>
      </c>
      <c r="X689" s="256" t="str">
        <f t="shared" si="309"/>
        <v>O</v>
      </c>
      <c r="Y689" s="256"/>
      <c r="Z689">
        <v>55.5</v>
      </c>
      <c r="AA689" s="256" t="str">
        <f t="shared" si="299"/>
        <v>NO/BOS</v>
      </c>
    </row>
    <row r="690" spans="1:27" x14ac:dyDescent="0.3">
      <c r="A690" s="230">
        <v>200127</v>
      </c>
      <c r="B690" s="231">
        <v>0.33333333333333331</v>
      </c>
      <c r="C690" s="230" t="s">
        <v>399</v>
      </c>
      <c r="D690" s="230" t="s">
        <v>407</v>
      </c>
      <c r="E690">
        <v>30</v>
      </c>
      <c r="F690">
        <v>25</v>
      </c>
      <c r="G690">
        <v>30</v>
      </c>
      <c r="H690">
        <v>25</v>
      </c>
      <c r="J690">
        <v>28</v>
      </c>
      <c r="K690">
        <v>24</v>
      </c>
      <c r="L690">
        <v>24</v>
      </c>
      <c r="M690">
        <v>21</v>
      </c>
      <c r="O690" s="256">
        <f t="shared" si="300"/>
        <v>110</v>
      </c>
      <c r="P690" s="256">
        <f t="shared" si="301"/>
        <v>97</v>
      </c>
      <c r="Q690" s="256" t="str">
        <f t="shared" si="302"/>
        <v>HW</v>
      </c>
      <c r="R690" s="256" t="str">
        <f t="shared" si="303"/>
        <v>HW</v>
      </c>
      <c r="S690" s="256" t="str">
        <f t="shared" si="304"/>
        <v>HW</v>
      </c>
      <c r="T690" s="256" t="str">
        <f t="shared" si="305"/>
        <v>HW</v>
      </c>
      <c r="U690" s="256" t="str">
        <f t="shared" si="306"/>
        <v>O</v>
      </c>
      <c r="V690" s="256" t="str">
        <f t="shared" si="307"/>
        <v>U</v>
      </c>
      <c r="W690" s="256" t="str">
        <f t="shared" si="308"/>
        <v>O</v>
      </c>
      <c r="X690" s="256" t="str">
        <f t="shared" si="309"/>
        <v>U</v>
      </c>
      <c r="Y690" s="256"/>
      <c r="Z690">
        <v>53.5</v>
      </c>
      <c r="AA690" s="256" t="str">
        <f t="shared" si="299"/>
        <v>NYK/BKN</v>
      </c>
    </row>
    <row r="691" spans="1:27" x14ac:dyDescent="0.3">
      <c r="A691" s="230">
        <v>200127</v>
      </c>
      <c r="B691" s="231">
        <v>0.33333333333333331</v>
      </c>
      <c r="C691" s="230" t="s">
        <v>424</v>
      </c>
      <c r="D691" s="230" t="s">
        <v>415</v>
      </c>
      <c r="E691">
        <v>28</v>
      </c>
      <c r="F691">
        <v>24</v>
      </c>
      <c r="G691">
        <v>20</v>
      </c>
      <c r="H691">
        <v>25</v>
      </c>
      <c r="J691">
        <v>26</v>
      </c>
      <c r="K691">
        <v>28</v>
      </c>
      <c r="L691">
        <v>31</v>
      </c>
      <c r="M691">
        <v>27</v>
      </c>
      <c r="O691" s="256">
        <f t="shared" si="300"/>
        <v>97</v>
      </c>
      <c r="P691" s="256">
        <f t="shared" si="301"/>
        <v>112</v>
      </c>
      <c r="Q691" s="256" t="str">
        <f t="shared" si="302"/>
        <v>HW</v>
      </c>
      <c r="R691" s="256" t="str">
        <f t="shared" si="303"/>
        <v>HL</v>
      </c>
      <c r="S691" s="256" t="str">
        <f t="shared" si="304"/>
        <v>HL</v>
      </c>
      <c r="T691" s="256" t="str">
        <f t="shared" si="305"/>
        <v>HL</v>
      </c>
      <c r="U691" s="256" t="str">
        <f t="shared" si="306"/>
        <v>U</v>
      </c>
      <c r="V691" s="256" t="str">
        <f t="shared" si="307"/>
        <v>U</v>
      </c>
      <c r="W691" s="256" t="str">
        <f t="shared" si="308"/>
        <v>U</v>
      </c>
      <c r="X691" s="256" t="str">
        <f t="shared" si="309"/>
        <v>U</v>
      </c>
      <c r="Y691" s="256"/>
      <c r="Z691">
        <v>54.5</v>
      </c>
      <c r="AA691" s="256" t="str">
        <f t="shared" si="299"/>
        <v>ORL/LAC</v>
      </c>
    </row>
    <row r="692" spans="1:27" x14ac:dyDescent="0.3">
      <c r="A692" s="230">
        <v>200127</v>
      </c>
      <c r="B692" s="231">
        <v>0.33333333333333331</v>
      </c>
      <c r="C692" s="230" t="s">
        <v>406</v>
      </c>
      <c r="D692" s="230" t="s">
        <v>404</v>
      </c>
      <c r="E692">
        <v>30</v>
      </c>
      <c r="F692">
        <v>26</v>
      </c>
      <c r="G692">
        <v>25</v>
      </c>
      <c r="H692">
        <v>33</v>
      </c>
      <c r="J692">
        <v>18</v>
      </c>
      <c r="K692">
        <v>27</v>
      </c>
      <c r="L692">
        <v>33</v>
      </c>
      <c r="M692">
        <v>31</v>
      </c>
      <c r="O692" s="256">
        <f t="shared" si="300"/>
        <v>114</v>
      </c>
      <c r="P692" s="256">
        <f t="shared" si="301"/>
        <v>109</v>
      </c>
      <c r="Q692" s="256" t="str">
        <f t="shared" si="302"/>
        <v>HW</v>
      </c>
      <c r="R692" s="256" t="str">
        <f t="shared" si="303"/>
        <v>HL</v>
      </c>
      <c r="S692" s="256" t="str">
        <f t="shared" si="304"/>
        <v>HL</v>
      </c>
      <c r="T692" s="256" t="str">
        <f t="shared" si="305"/>
        <v>HW</v>
      </c>
      <c r="U692" s="256" t="str">
        <f t="shared" si="306"/>
        <v>U</v>
      </c>
      <c r="V692" s="256" t="str">
        <f t="shared" si="307"/>
        <v>U</v>
      </c>
      <c r="W692" s="256" t="str">
        <f t="shared" si="308"/>
        <v>O</v>
      </c>
      <c r="X692" s="256" t="str">
        <f t="shared" si="309"/>
        <v>O</v>
      </c>
      <c r="Y692" s="256"/>
      <c r="Z692">
        <v>57</v>
      </c>
      <c r="AA692" s="256" t="str">
        <f t="shared" si="299"/>
        <v>MEM/PHO</v>
      </c>
    </row>
    <row r="693" spans="1:27" x14ac:dyDescent="0.3">
      <c r="A693" s="230">
        <v>200127</v>
      </c>
      <c r="B693" s="231">
        <v>0.45833333333333331</v>
      </c>
      <c r="C693" s="230" t="s">
        <v>417</v>
      </c>
      <c r="D693" s="230" t="s">
        <v>400</v>
      </c>
      <c r="E693">
        <v>36</v>
      </c>
      <c r="F693">
        <v>30</v>
      </c>
      <c r="G693">
        <v>40</v>
      </c>
      <c r="H693">
        <v>33</v>
      </c>
      <c r="J693">
        <v>27</v>
      </c>
      <c r="K693">
        <v>29</v>
      </c>
      <c r="L693">
        <v>37</v>
      </c>
      <c r="M693">
        <v>36</v>
      </c>
      <c r="O693" s="256">
        <f t="shared" si="300"/>
        <v>139</v>
      </c>
      <c r="P693" s="256">
        <f t="shared" si="301"/>
        <v>129</v>
      </c>
      <c r="Q693" s="256" t="str">
        <f t="shared" si="302"/>
        <v>HW</v>
      </c>
      <c r="R693" s="256" t="str">
        <f t="shared" si="303"/>
        <v>HW</v>
      </c>
      <c r="S693" s="256" t="str">
        <f t="shared" si="304"/>
        <v>HW</v>
      </c>
      <c r="T693" s="256" t="str">
        <f t="shared" si="305"/>
        <v>HL</v>
      </c>
      <c r="U693" s="256" t="str">
        <f t="shared" si="306"/>
        <v>O</v>
      </c>
      <c r="V693" s="256" t="str">
        <f t="shared" si="307"/>
        <v>O</v>
      </c>
      <c r="W693" s="256" t="str">
        <f t="shared" si="308"/>
        <v>O</v>
      </c>
      <c r="X693" s="256" t="str">
        <f t="shared" si="309"/>
        <v>O</v>
      </c>
      <c r="Y693" s="256"/>
      <c r="Z693">
        <v>55</v>
      </c>
      <c r="AA693" s="256" t="str">
        <f t="shared" si="299"/>
        <v>POR/IND</v>
      </c>
    </row>
    <row r="694" spans="1:27" x14ac:dyDescent="0.3">
      <c r="A694" s="230">
        <v>200128</v>
      </c>
      <c r="B694" s="233">
        <v>0.375</v>
      </c>
      <c r="C694" s="232" t="s">
        <v>422</v>
      </c>
      <c r="D694" s="232" t="s">
        <v>402</v>
      </c>
      <c r="E694">
        <v>23</v>
      </c>
      <c r="F694">
        <v>22</v>
      </c>
      <c r="G694">
        <v>27</v>
      </c>
      <c r="H694">
        <v>28</v>
      </c>
      <c r="J694">
        <v>24</v>
      </c>
      <c r="K694">
        <v>29</v>
      </c>
      <c r="L694">
        <v>36</v>
      </c>
      <c r="M694">
        <v>26</v>
      </c>
      <c r="O694" s="256">
        <f t="shared" si="300"/>
        <v>100</v>
      </c>
      <c r="P694" s="256">
        <f t="shared" si="301"/>
        <v>115</v>
      </c>
      <c r="Q694" s="256" t="str">
        <f t="shared" si="302"/>
        <v>HL</v>
      </c>
      <c r="R694" s="256" t="str">
        <f t="shared" si="303"/>
        <v>HL</v>
      </c>
      <c r="S694" s="256" t="str">
        <f t="shared" si="304"/>
        <v>HL</v>
      </c>
      <c r="T694" s="256" t="str">
        <f t="shared" si="305"/>
        <v>HW</v>
      </c>
      <c r="U694" s="256" t="str">
        <f t="shared" si="306"/>
        <v>U</v>
      </c>
      <c r="V694" s="256" t="str">
        <f t="shared" si="307"/>
        <v>U</v>
      </c>
      <c r="W694" s="256" t="str">
        <f t="shared" si="308"/>
        <v>O</v>
      </c>
      <c r="X694" s="256" t="str">
        <f t="shared" si="309"/>
        <v>O</v>
      </c>
      <c r="Y694" s="256"/>
      <c r="Z694">
        <v>52.5</v>
      </c>
      <c r="AA694" s="256" t="str">
        <f t="shared" si="299"/>
        <v>DET/CLE</v>
      </c>
    </row>
    <row r="695" spans="1:27" x14ac:dyDescent="0.3">
      <c r="A695" s="232">
        <v>200128</v>
      </c>
      <c r="B695" s="233">
        <v>0.39583333333333331</v>
      </c>
      <c r="C695" s="232" t="s">
        <v>411</v>
      </c>
      <c r="D695" s="232" t="s">
        <v>424</v>
      </c>
      <c r="E695">
        <v>31</v>
      </c>
      <c r="F695">
        <v>23</v>
      </c>
      <c r="G695">
        <v>31</v>
      </c>
      <c r="H695">
        <v>28</v>
      </c>
      <c r="J695">
        <v>21</v>
      </c>
      <c r="K695">
        <v>27</v>
      </c>
      <c r="L695">
        <v>23</v>
      </c>
      <c r="M695">
        <v>21</v>
      </c>
      <c r="O695" s="256">
        <f t="shared" si="300"/>
        <v>113</v>
      </c>
      <c r="P695" s="256">
        <f t="shared" si="301"/>
        <v>92</v>
      </c>
      <c r="Q695" s="256" t="str">
        <f t="shared" si="302"/>
        <v>HW</v>
      </c>
      <c r="R695" s="256" t="str">
        <f t="shared" si="303"/>
        <v>HL</v>
      </c>
      <c r="S695" s="256" t="str">
        <f t="shared" si="304"/>
        <v>HW</v>
      </c>
      <c r="T695" s="256" t="str">
        <f t="shared" si="305"/>
        <v>HW</v>
      </c>
      <c r="U695" s="256" t="str">
        <f t="shared" si="306"/>
        <v>U</v>
      </c>
      <c r="V695" s="256" t="str">
        <f t="shared" si="307"/>
        <v>U</v>
      </c>
      <c r="W695" s="256" t="str">
        <f t="shared" si="308"/>
        <v>O</v>
      </c>
      <c r="X695" s="256" t="str">
        <f t="shared" si="309"/>
        <v>U</v>
      </c>
      <c r="Y695" s="256"/>
      <c r="Z695">
        <v>53</v>
      </c>
      <c r="AA695" s="256" t="str">
        <f t="shared" si="299"/>
        <v>MIA/ORL</v>
      </c>
    </row>
    <row r="696" spans="1:27" x14ac:dyDescent="0.3">
      <c r="A696" s="232">
        <v>200128</v>
      </c>
      <c r="B696" s="233">
        <v>0.41666666666666669</v>
      </c>
      <c r="C696" s="232" t="s">
        <v>412</v>
      </c>
      <c r="D696" s="232" t="s">
        <v>426</v>
      </c>
      <c r="E696">
        <v>21</v>
      </c>
      <c r="F696">
        <v>29</v>
      </c>
      <c r="G696">
        <v>25</v>
      </c>
      <c r="H696">
        <v>35</v>
      </c>
      <c r="J696">
        <v>28</v>
      </c>
      <c r="K696">
        <v>20</v>
      </c>
      <c r="L696">
        <v>37</v>
      </c>
      <c r="M696">
        <v>24</v>
      </c>
      <c r="O696" s="256">
        <f t="shared" si="300"/>
        <v>110</v>
      </c>
      <c r="P696" s="256">
        <f t="shared" si="301"/>
        <v>109</v>
      </c>
      <c r="Q696" s="256" t="str">
        <f t="shared" si="302"/>
        <v>HL</v>
      </c>
      <c r="R696" s="256" t="str">
        <f t="shared" si="303"/>
        <v>HW</v>
      </c>
      <c r="S696" s="256" t="str">
        <f t="shared" si="304"/>
        <v>HL</v>
      </c>
      <c r="T696" s="256" t="str">
        <f t="shared" si="305"/>
        <v>HW</v>
      </c>
      <c r="U696" s="256" t="str">
        <f t="shared" si="306"/>
        <v>U</v>
      </c>
      <c r="V696" s="256" t="str">
        <f t="shared" si="307"/>
        <v>U</v>
      </c>
      <c r="W696" s="256" t="str">
        <f t="shared" si="308"/>
        <v>O</v>
      </c>
      <c r="X696" s="256" t="str">
        <f t="shared" si="309"/>
        <v>O</v>
      </c>
      <c r="Y696" s="256"/>
      <c r="Z696">
        <v>51.5</v>
      </c>
      <c r="AA696" s="256" t="str">
        <f t="shared" si="299"/>
        <v>CHI/SAS</v>
      </c>
    </row>
    <row r="697" spans="1:27" x14ac:dyDescent="0.3">
      <c r="A697" s="232">
        <v>200128</v>
      </c>
      <c r="B697" s="233">
        <v>0.41666666666666669</v>
      </c>
      <c r="C697" s="232" t="s">
        <v>420</v>
      </c>
      <c r="D697" s="232" t="s">
        <v>416</v>
      </c>
      <c r="E697">
        <v>37</v>
      </c>
      <c r="F697">
        <v>31</v>
      </c>
      <c r="G697">
        <v>29</v>
      </c>
      <c r="H697">
        <v>22</v>
      </c>
      <c r="I697">
        <v>10</v>
      </c>
      <c r="J697">
        <v>24</v>
      </c>
      <c r="K697">
        <v>26</v>
      </c>
      <c r="L697">
        <v>28</v>
      </c>
      <c r="M697">
        <v>41</v>
      </c>
      <c r="N697" s="2">
        <v>14</v>
      </c>
      <c r="O697" s="256">
        <f t="shared" si="300"/>
        <v>129</v>
      </c>
      <c r="P697" s="256">
        <f t="shared" si="301"/>
        <v>133</v>
      </c>
      <c r="Q697" s="256" t="str">
        <f t="shared" si="302"/>
        <v>HW</v>
      </c>
      <c r="R697" s="256" t="str">
        <f t="shared" si="303"/>
        <v>HW</v>
      </c>
      <c r="S697" s="256" t="str">
        <f t="shared" si="304"/>
        <v>HW</v>
      </c>
      <c r="T697" s="256" t="str">
        <f t="shared" si="305"/>
        <v>HL</v>
      </c>
      <c r="U697" s="256" t="str">
        <f t="shared" si="306"/>
        <v>O</v>
      </c>
      <c r="V697" s="256" t="str">
        <f t="shared" si="307"/>
        <v>O</v>
      </c>
      <c r="W697" s="256" t="str">
        <f t="shared" si="308"/>
        <v>O</v>
      </c>
      <c r="X697" s="256" t="str">
        <f t="shared" si="309"/>
        <v>O</v>
      </c>
      <c r="Y697" s="256"/>
      <c r="Z697">
        <v>56.5</v>
      </c>
      <c r="AA697" s="256" t="str">
        <f t="shared" si="299"/>
        <v>MIN/SAC</v>
      </c>
    </row>
    <row r="698" spans="1:27" x14ac:dyDescent="0.3">
      <c r="A698" s="232">
        <v>200128</v>
      </c>
      <c r="B698" s="233">
        <v>0.41666666666666669</v>
      </c>
      <c r="C698" s="232" t="s">
        <v>418</v>
      </c>
      <c r="D698" s="232" t="s">
        <v>397</v>
      </c>
      <c r="E698">
        <v>22</v>
      </c>
      <c r="F698">
        <v>25</v>
      </c>
      <c r="G698">
        <v>30</v>
      </c>
      <c r="H698">
        <v>20</v>
      </c>
      <c r="J698">
        <v>25</v>
      </c>
      <c r="K698">
        <v>34</v>
      </c>
      <c r="L698">
        <v>29</v>
      </c>
      <c r="M698">
        <v>19</v>
      </c>
      <c r="O698" s="256">
        <f t="shared" si="300"/>
        <v>97</v>
      </c>
      <c r="P698" s="256">
        <f t="shared" si="301"/>
        <v>107</v>
      </c>
      <c r="Q698" s="256" t="str">
        <f t="shared" si="302"/>
        <v>HL</v>
      </c>
      <c r="R698" s="256" t="str">
        <f t="shared" si="303"/>
        <v>HL</v>
      </c>
      <c r="S698" s="256" t="str">
        <f t="shared" si="304"/>
        <v>HW</v>
      </c>
      <c r="T698" s="256" t="str">
        <f t="shared" si="305"/>
        <v>HW</v>
      </c>
      <c r="U698" s="256" t="str">
        <f t="shared" si="306"/>
        <v>U</v>
      </c>
      <c r="V698" s="256" t="str">
        <f t="shared" si="307"/>
        <v>O</v>
      </c>
      <c r="W698" s="256" t="str">
        <f t="shared" si="308"/>
        <v>O</v>
      </c>
      <c r="X698" s="256" t="str">
        <f t="shared" si="309"/>
        <v>U</v>
      </c>
      <c r="Y698" s="256"/>
      <c r="Z698">
        <v>56.5</v>
      </c>
      <c r="AA698" s="256" t="str">
        <f t="shared" si="299"/>
        <v>OKC/DAL</v>
      </c>
    </row>
    <row r="699" spans="1:27" x14ac:dyDescent="0.3">
      <c r="A699" s="232">
        <v>200128</v>
      </c>
      <c r="B699" s="233">
        <v>0.45833333333333331</v>
      </c>
      <c r="C699" s="232" t="s">
        <v>405</v>
      </c>
      <c r="D699" s="232" t="s">
        <v>403</v>
      </c>
      <c r="E699">
        <v>20</v>
      </c>
      <c r="F699">
        <v>26</v>
      </c>
      <c r="G699">
        <v>29</v>
      </c>
      <c r="H699">
        <v>42</v>
      </c>
      <c r="J699">
        <v>28</v>
      </c>
      <c r="K699">
        <v>31</v>
      </c>
      <c r="L699">
        <v>28</v>
      </c>
      <c r="M699">
        <v>39</v>
      </c>
      <c r="O699" s="256">
        <f t="shared" si="300"/>
        <v>117</v>
      </c>
      <c r="P699" s="256">
        <f t="shared" si="301"/>
        <v>126</v>
      </c>
      <c r="Q699" s="256" t="str">
        <f t="shared" si="302"/>
        <v>HL</v>
      </c>
      <c r="R699" s="256" t="str">
        <f t="shared" si="303"/>
        <v>HL</v>
      </c>
      <c r="S699" s="256" t="str">
        <f t="shared" si="304"/>
        <v>HW</v>
      </c>
      <c r="T699" s="256" t="str">
        <f t="shared" si="305"/>
        <v>HW</v>
      </c>
      <c r="U699" s="256" t="str">
        <f t="shared" si="306"/>
        <v>U</v>
      </c>
      <c r="V699" s="256" t="str">
        <f t="shared" si="307"/>
        <v>O</v>
      </c>
      <c r="W699" s="256" t="str">
        <f t="shared" si="308"/>
        <v>O</v>
      </c>
      <c r="X699" s="256" t="str">
        <f t="shared" si="309"/>
        <v>O</v>
      </c>
      <c r="Y699" s="256"/>
      <c r="Z699">
        <v>55.5</v>
      </c>
      <c r="AA699" s="256" t="str">
        <f t="shared" si="299"/>
        <v>UTA/HOU</v>
      </c>
    </row>
    <row r="700" spans="1:27" x14ac:dyDescent="0.3">
      <c r="A700" s="232">
        <v>200129</v>
      </c>
      <c r="B700" s="235">
        <v>0.375</v>
      </c>
      <c r="C700" s="234" t="s">
        <v>401</v>
      </c>
      <c r="D700" s="234" t="s">
        <v>425</v>
      </c>
      <c r="E700">
        <v>26</v>
      </c>
      <c r="F700">
        <v>33</v>
      </c>
      <c r="G700">
        <v>27</v>
      </c>
      <c r="H700">
        <v>29</v>
      </c>
      <c r="J700">
        <v>27</v>
      </c>
      <c r="K700">
        <v>27</v>
      </c>
      <c r="L700">
        <v>28</v>
      </c>
      <c r="M700">
        <v>22</v>
      </c>
      <c r="O700" s="256">
        <f t="shared" si="300"/>
        <v>115</v>
      </c>
      <c r="P700" s="256">
        <f t="shared" si="301"/>
        <v>104</v>
      </c>
      <c r="Q700" s="256" t="str">
        <f t="shared" si="302"/>
        <v>HL</v>
      </c>
      <c r="R700" s="256" t="str">
        <f t="shared" si="303"/>
        <v>HW</v>
      </c>
      <c r="S700" s="256" t="str">
        <f t="shared" si="304"/>
        <v>HL</v>
      </c>
      <c r="T700" s="256" t="str">
        <f t="shared" si="305"/>
        <v>HW</v>
      </c>
      <c r="U700" s="256" t="str">
        <f t="shared" si="306"/>
        <v>U</v>
      </c>
      <c r="V700" s="256" t="str">
        <f t="shared" si="307"/>
        <v>O</v>
      </c>
      <c r="W700" s="256" t="str">
        <f t="shared" si="308"/>
        <v>O</v>
      </c>
      <c r="X700" s="256" t="str">
        <f t="shared" si="309"/>
        <v>U</v>
      </c>
      <c r="Y700" s="256"/>
      <c r="Z700">
        <v>54.5</v>
      </c>
      <c r="AA700" s="256" t="str">
        <f t="shared" si="299"/>
        <v>PHI/GS</v>
      </c>
    </row>
    <row r="701" spans="1:27" x14ac:dyDescent="0.3">
      <c r="A701" s="234">
        <v>200129</v>
      </c>
      <c r="B701" s="235">
        <v>0.375</v>
      </c>
      <c r="C701" s="234" t="s">
        <v>438</v>
      </c>
      <c r="D701" s="234" t="s">
        <v>399</v>
      </c>
      <c r="E701">
        <v>15</v>
      </c>
      <c r="F701">
        <v>32</v>
      </c>
      <c r="G701">
        <v>21</v>
      </c>
      <c r="H701">
        <v>29</v>
      </c>
      <c r="J701">
        <v>26</v>
      </c>
      <c r="K701">
        <v>24</v>
      </c>
      <c r="L701">
        <v>16</v>
      </c>
      <c r="M701">
        <v>26</v>
      </c>
      <c r="O701" s="256">
        <f t="shared" si="300"/>
        <v>97</v>
      </c>
      <c r="P701" s="256">
        <f t="shared" si="301"/>
        <v>92</v>
      </c>
      <c r="Q701" s="256" t="str">
        <f t="shared" si="302"/>
        <v>HL</v>
      </c>
      <c r="R701" s="256" t="str">
        <f t="shared" si="303"/>
        <v>HW</v>
      </c>
      <c r="S701" s="256" t="str">
        <f t="shared" si="304"/>
        <v>HW</v>
      </c>
      <c r="T701" s="256" t="str">
        <f t="shared" si="305"/>
        <v>HW</v>
      </c>
      <c r="U701" s="256" t="str">
        <f t="shared" si="306"/>
        <v>U</v>
      </c>
      <c r="V701" s="256" t="str">
        <f t="shared" si="307"/>
        <v>O</v>
      </c>
      <c r="W701" s="256" t="str">
        <f t="shared" si="308"/>
        <v>U</v>
      </c>
      <c r="X701" s="256" t="str">
        <f t="shared" si="309"/>
        <v>O</v>
      </c>
      <c r="Y701" s="256"/>
      <c r="Z701">
        <v>53</v>
      </c>
      <c r="AA701" s="256" t="str">
        <f t="shared" si="299"/>
        <v>CHA/NYK</v>
      </c>
    </row>
    <row r="702" spans="1:27" x14ac:dyDescent="0.3">
      <c r="A702" s="234">
        <v>200129</v>
      </c>
      <c r="B702" s="235">
        <v>0.39583333333333331</v>
      </c>
      <c r="C702" s="234" t="s">
        <v>402</v>
      </c>
      <c r="D702" s="234" t="s">
        <v>398</v>
      </c>
      <c r="E702">
        <v>34</v>
      </c>
      <c r="F702">
        <v>31</v>
      </c>
      <c r="G702">
        <v>25</v>
      </c>
      <c r="H702">
        <v>21</v>
      </c>
      <c r="J702">
        <v>40</v>
      </c>
      <c r="K702">
        <v>34</v>
      </c>
      <c r="L702">
        <v>30</v>
      </c>
      <c r="M702">
        <v>21</v>
      </c>
      <c r="O702" s="256">
        <f t="shared" si="300"/>
        <v>111</v>
      </c>
      <c r="P702" s="256">
        <f t="shared" si="301"/>
        <v>125</v>
      </c>
      <c r="Q702" s="256" t="str">
        <f t="shared" si="302"/>
        <v>HL</v>
      </c>
      <c r="R702" s="256" t="str">
        <f t="shared" si="303"/>
        <v>HL</v>
      </c>
      <c r="S702" s="256" t="str">
        <f t="shared" si="304"/>
        <v>HL</v>
      </c>
      <c r="T702" s="256" t="str">
        <f t="shared" si="305"/>
        <v>TT</v>
      </c>
      <c r="U702" s="256" t="str">
        <f t="shared" si="306"/>
        <v>O</v>
      </c>
      <c r="V702" s="256" t="str">
        <f t="shared" si="307"/>
        <v>O</v>
      </c>
      <c r="W702" s="256" t="str">
        <f t="shared" si="308"/>
        <v>U</v>
      </c>
      <c r="X702" s="256" t="str">
        <f t="shared" si="309"/>
        <v>U</v>
      </c>
      <c r="Y702" s="256"/>
      <c r="Z702">
        <v>59</v>
      </c>
      <c r="AA702" s="256" t="str">
        <f t="shared" si="299"/>
        <v>CLE/NO</v>
      </c>
    </row>
    <row r="703" spans="1:27" x14ac:dyDescent="0.3">
      <c r="A703" s="234">
        <v>200129</v>
      </c>
      <c r="B703" s="235">
        <v>0.39583333333333331</v>
      </c>
      <c r="C703" s="234" t="s">
        <v>413</v>
      </c>
      <c r="D703" s="234" t="s">
        <v>410</v>
      </c>
      <c r="E703">
        <v>33</v>
      </c>
      <c r="F703">
        <v>35</v>
      </c>
      <c r="G703">
        <v>29</v>
      </c>
      <c r="H703">
        <v>33</v>
      </c>
      <c r="J703">
        <v>23</v>
      </c>
      <c r="K703">
        <v>33</v>
      </c>
      <c r="L703">
        <v>27</v>
      </c>
      <c r="M703">
        <v>31</v>
      </c>
      <c r="O703" s="256">
        <f t="shared" si="300"/>
        <v>130</v>
      </c>
      <c r="P703" s="256">
        <f t="shared" si="301"/>
        <v>114</v>
      </c>
      <c r="Q703" s="256" t="str">
        <f t="shared" si="302"/>
        <v>HW</v>
      </c>
      <c r="R703" s="256" t="str">
        <f t="shared" si="303"/>
        <v>HW</v>
      </c>
      <c r="S703" s="256" t="str">
        <f t="shared" si="304"/>
        <v>HW</v>
      </c>
      <c r="T703" s="256" t="str">
        <f t="shared" si="305"/>
        <v>HW</v>
      </c>
      <c r="U703" s="256" t="str">
        <f t="shared" si="306"/>
        <v>U</v>
      </c>
      <c r="V703" s="256" t="str">
        <f t="shared" si="307"/>
        <v>O</v>
      </c>
      <c r="W703" s="256" t="str">
        <f t="shared" si="308"/>
        <v>U</v>
      </c>
      <c r="X703" s="256" t="str">
        <f t="shared" si="309"/>
        <v>O</v>
      </c>
      <c r="Y703" s="256"/>
      <c r="Z703">
        <v>60</v>
      </c>
      <c r="AA703" s="256" t="str">
        <f t="shared" si="299"/>
        <v>TOR/ATL</v>
      </c>
    </row>
    <row r="704" spans="1:27" x14ac:dyDescent="0.3">
      <c r="A704" s="234">
        <v>200129</v>
      </c>
      <c r="B704" s="235">
        <v>0.41666666666666669</v>
      </c>
      <c r="C704" s="234" t="s">
        <v>411</v>
      </c>
      <c r="D704" s="234" t="s">
        <v>421</v>
      </c>
      <c r="E704">
        <v>28</v>
      </c>
      <c r="F704">
        <v>20</v>
      </c>
      <c r="G704">
        <v>28</v>
      </c>
      <c r="H704">
        <v>25</v>
      </c>
      <c r="J704">
        <v>36</v>
      </c>
      <c r="K704">
        <v>17</v>
      </c>
      <c r="L704">
        <v>27</v>
      </c>
      <c r="M704">
        <v>29</v>
      </c>
      <c r="O704" s="256">
        <f t="shared" si="300"/>
        <v>101</v>
      </c>
      <c r="P704" s="256">
        <f t="shared" si="301"/>
        <v>109</v>
      </c>
      <c r="Q704" s="256" t="str">
        <f t="shared" si="302"/>
        <v>HL</v>
      </c>
      <c r="R704" s="256" t="str">
        <f t="shared" si="303"/>
        <v>HW</v>
      </c>
      <c r="S704" s="256" t="str">
        <f t="shared" si="304"/>
        <v>HW</v>
      </c>
      <c r="T704" s="256" t="str">
        <f t="shared" si="305"/>
        <v>HL</v>
      </c>
      <c r="U704" s="256" t="str">
        <f t="shared" si="306"/>
        <v>O</v>
      </c>
      <c r="V704" s="256" t="str">
        <f t="shared" si="307"/>
        <v>U</v>
      </c>
      <c r="W704" s="256" t="str">
        <f t="shared" si="308"/>
        <v>O</v>
      </c>
      <c r="X704" s="256" t="str">
        <f t="shared" si="309"/>
        <v>O</v>
      </c>
      <c r="Y704" s="256"/>
      <c r="Z704">
        <v>53.5</v>
      </c>
      <c r="AA704" s="256" t="str">
        <f t="shared" si="299"/>
        <v>MIA/BOS</v>
      </c>
    </row>
    <row r="705" spans="1:27" x14ac:dyDescent="0.3">
      <c r="A705" s="234">
        <v>200129</v>
      </c>
      <c r="B705" s="235">
        <v>0.41666666666666669</v>
      </c>
      <c r="C705" s="234" t="s">
        <v>423</v>
      </c>
      <c r="D705" s="234" t="s">
        <v>414</v>
      </c>
      <c r="E705">
        <v>42</v>
      </c>
      <c r="F705">
        <v>46</v>
      </c>
      <c r="G705">
        <v>29</v>
      </c>
      <c r="H705">
        <v>34</v>
      </c>
      <c r="J705">
        <v>28</v>
      </c>
      <c r="K705">
        <v>35</v>
      </c>
      <c r="L705">
        <v>41</v>
      </c>
      <c r="M705">
        <v>27</v>
      </c>
      <c r="O705" s="256">
        <f t="shared" si="300"/>
        <v>151</v>
      </c>
      <c r="P705" s="256">
        <f t="shared" si="301"/>
        <v>131</v>
      </c>
      <c r="Q705" s="256" t="str">
        <f t="shared" si="302"/>
        <v>HW</v>
      </c>
      <c r="R705" s="256" t="str">
        <f t="shared" si="303"/>
        <v>HW</v>
      </c>
      <c r="S705" s="256" t="str">
        <f t="shared" si="304"/>
        <v>HL</v>
      </c>
      <c r="T705" s="256" t="str">
        <f t="shared" si="305"/>
        <v>HW</v>
      </c>
      <c r="U705" s="256" t="str">
        <f t="shared" si="306"/>
        <v>O</v>
      </c>
      <c r="V705" s="256" t="str">
        <f t="shared" si="307"/>
        <v>O</v>
      </c>
      <c r="W705" s="256" t="str">
        <f t="shared" si="308"/>
        <v>O</v>
      </c>
      <c r="X705" s="256" t="str">
        <f t="shared" si="309"/>
        <v>T</v>
      </c>
      <c r="Y705" s="256"/>
      <c r="Z705">
        <v>61</v>
      </c>
      <c r="AA705" s="256" t="str">
        <f t="shared" si="299"/>
        <v>MIL/WAS</v>
      </c>
    </row>
    <row r="706" spans="1:27" x14ac:dyDescent="0.3">
      <c r="A706" s="234">
        <v>200129</v>
      </c>
      <c r="B706" s="235">
        <v>0.41666666666666669</v>
      </c>
      <c r="C706" s="234" t="s">
        <v>406</v>
      </c>
      <c r="D706" s="234" t="s">
        <v>408</v>
      </c>
      <c r="E706">
        <v>31</v>
      </c>
      <c r="F706">
        <v>32</v>
      </c>
      <c r="G706">
        <v>19</v>
      </c>
      <c r="H706">
        <v>22</v>
      </c>
      <c r="J706">
        <v>18</v>
      </c>
      <c r="K706">
        <v>32</v>
      </c>
      <c r="L706">
        <v>16</v>
      </c>
      <c r="M706">
        <v>30</v>
      </c>
      <c r="O706" s="256">
        <f t="shared" si="300"/>
        <v>104</v>
      </c>
      <c r="P706" s="256">
        <f t="shared" si="301"/>
        <v>96</v>
      </c>
      <c r="Q706" s="256" t="str">
        <f t="shared" si="302"/>
        <v>HW</v>
      </c>
      <c r="R706" s="256" t="str">
        <f t="shared" si="303"/>
        <v>TT</v>
      </c>
      <c r="S706" s="256" t="str">
        <f t="shared" si="304"/>
        <v>HW</v>
      </c>
      <c r="T706" s="256" t="str">
        <f t="shared" si="305"/>
        <v>HL</v>
      </c>
      <c r="U706" s="256" t="str">
        <f t="shared" si="306"/>
        <v>U</v>
      </c>
      <c r="V706" s="256" t="str">
        <f t="shared" si="307"/>
        <v>O</v>
      </c>
      <c r="W706" s="256" t="str">
        <f t="shared" si="308"/>
        <v>U</v>
      </c>
      <c r="X706" s="256" t="str">
        <f t="shared" si="309"/>
        <v>U</v>
      </c>
      <c r="Y706" s="256"/>
      <c r="Z706">
        <v>57</v>
      </c>
      <c r="AA706" s="256" t="str">
        <f t="shared" si="299"/>
        <v>MEM/DEN</v>
      </c>
    </row>
    <row r="707" spans="1:27" x14ac:dyDescent="0.3">
      <c r="A707" s="234">
        <v>200129</v>
      </c>
      <c r="B707" s="235">
        <v>0.4375</v>
      </c>
      <c r="C707" s="234" t="s">
        <v>397</v>
      </c>
      <c r="D707" s="234" t="s">
        <v>404</v>
      </c>
      <c r="E707">
        <v>19</v>
      </c>
      <c r="F707">
        <v>36</v>
      </c>
      <c r="G707">
        <v>22</v>
      </c>
      <c r="H707">
        <v>27</v>
      </c>
      <c r="J707">
        <v>32</v>
      </c>
      <c r="K707">
        <v>28</v>
      </c>
      <c r="L707">
        <v>48</v>
      </c>
      <c r="M707">
        <v>25</v>
      </c>
      <c r="O707" s="256">
        <f t="shared" si="300"/>
        <v>104</v>
      </c>
      <c r="P707" s="256">
        <f t="shared" si="301"/>
        <v>133</v>
      </c>
      <c r="Q707" s="256" t="str">
        <f t="shared" si="302"/>
        <v>HL</v>
      </c>
      <c r="R707" s="256" t="str">
        <f t="shared" si="303"/>
        <v>HW</v>
      </c>
      <c r="S707" s="256" t="str">
        <f t="shared" si="304"/>
        <v>HL</v>
      </c>
      <c r="T707" s="256" t="str">
        <f t="shared" si="305"/>
        <v>HW</v>
      </c>
      <c r="U707" s="256" t="str">
        <f t="shared" si="306"/>
        <v>U</v>
      </c>
      <c r="V707" s="256" t="str">
        <f t="shared" si="307"/>
        <v>O</v>
      </c>
      <c r="W707" s="256" t="str">
        <f t="shared" si="308"/>
        <v>O</v>
      </c>
      <c r="X707" s="256" t="str">
        <f t="shared" si="309"/>
        <v>U</v>
      </c>
      <c r="Y707" s="256"/>
      <c r="Z707">
        <v>55.5</v>
      </c>
      <c r="AA707" s="256" t="str">
        <f t="shared" si="299"/>
        <v>DAL/PHO</v>
      </c>
    </row>
    <row r="708" spans="1:27" x14ac:dyDescent="0.3">
      <c r="A708" s="234">
        <v>200130</v>
      </c>
      <c r="B708" s="237">
        <v>0.375</v>
      </c>
      <c r="C708" s="236" t="s">
        <v>400</v>
      </c>
      <c r="D708" s="236" t="s">
        <v>412</v>
      </c>
      <c r="E708">
        <v>25</v>
      </c>
      <c r="F708">
        <v>30</v>
      </c>
      <c r="G708">
        <v>25</v>
      </c>
      <c r="H708">
        <v>20</v>
      </c>
      <c r="I708">
        <v>15</v>
      </c>
      <c r="J708">
        <v>24</v>
      </c>
      <c r="K708">
        <v>27</v>
      </c>
      <c r="L708">
        <v>29</v>
      </c>
      <c r="M708">
        <v>20</v>
      </c>
      <c r="N708" s="2">
        <v>6</v>
      </c>
      <c r="O708" s="256">
        <f t="shared" si="300"/>
        <v>115</v>
      </c>
      <c r="P708" s="256">
        <f t="shared" si="301"/>
        <v>106</v>
      </c>
      <c r="Q708" s="256" t="str">
        <f t="shared" si="302"/>
        <v>HW</v>
      </c>
      <c r="R708" s="256" t="str">
        <f t="shared" si="303"/>
        <v>HW</v>
      </c>
      <c r="S708" s="256" t="str">
        <f t="shared" si="304"/>
        <v>HL</v>
      </c>
      <c r="T708" s="256" t="str">
        <f t="shared" si="305"/>
        <v>TT</v>
      </c>
      <c r="U708" s="256" t="str">
        <f t="shared" si="306"/>
        <v>U</v>
      </c>
      <c r="V708" s="256" t="str">
        <f t="shared" si="307"/>
        <v>O</v>
      </c>
      <c r="W708" s="256" t="str">
        <f t="shared" si="308"/>
        <v>U</v>
      </c>
      <c r="X708" s="256" t="str">
        <f t="shared" si="309"/>
        <v>U</v>
      </c>
      <c r="Y708" s="256"/>
      <c r="Z708">
        <v>54.5</v>
      </c>
      <c r="AA708" s="256" t="str">
        <f t="shared" si="299"/>
        <v>IND/CHI</v>
      </c>
    </row>
    <row r="709" spans="1:27" x14ac:dyDescent="0.3">
      <c r="A709" s="236">
        <v>200130</v>
      </c>
      <c r="B709" s="237">
        <v>0.39583333333333331</v>
      </c>
      <c r="C709" s="236" t="s">
        <v>407</v>
      </c>
      <c r="D709" s="236" t="s">
        <v>422</v>
      </c>
      <c r="E709">
        <v>32</v>
      </c>
      <c r="F709">
        <v>38</v>
      </c>
      <c r="G709">
        <v>29</v>
      </c>
      <c r="H709">
        <v>26</v>
      </c>
      <c r="J709">
        <v>30</v>
      </c>
      <c r="K709">
        <v>38</v>
      </c>
      <c r="L709">
        <v>25</v>
      </c>
      <c r="M709">
        <v>22</v>
      </c>
      <c r="O709" s="256">
        <f t="shared" si="300"/>
        <v>125</v>
      </c>
      <c r="P709" s="256">
        <f t="shared" si="301"/>
        <v>115</v>
      </c>
      <c r="Q709" s="256" t="str">
        <f t="shared" si="302"/>
        <v>HW</v>
      </c>
      <c r="R709" s="256" t="str">
        <f t="shared" si="303"/>
        <v>TT</v>
      </c>
      <c r="S709" s="256" t="str">
        <f t="shared" si="304"/>
        <v>HW</v>
      </c>
      <c r="T709" s="256" t="str">
        <f t="shared" si="305"/>
        <v>HW</v>
      </c>
      <c r="U709" s="256" t="str">
        <f t="shared" si="306"/>
        <v>O</v>
      </c>
      <c r="V709" s="256" t="str">
        <f t="shared" si="307"/>
        <v>O</v>
      </c>
      <c r="W709" s="256" t="str">
        <f t="shared" si="308"/>
        <v>U</v>
      </c>
      <c r="X709" s="256" t="str">
        <f t="shared" si="309"/>
        <v>U</v>
      </c>
      <c r="Y709" s="256"/>
      <c r="Z709">
        <v>58.5</v>
      </c>
      <c r="AA709" s="256" t="str">
        <f t="shared" si="299"/>
        <v>BKN/DET</v>
      </c>
    </row>
    <row r="710" spans="1:27" x14ac:dyDescent="0.3">
      <c r="A710" s="236">
        <v>200130</v>
      </c>
      <c r="B710" s="237">
        <v>0.39583333333333331</v>
      </c>
      <c r="C710" s="236" t="s">
        <v>399</v>
      </c>
      <c r="D710" s="236" t="s">
        <v>406</v>
      </c>
      <c r="E710">
        <v>32</v>
      </c>
      <c r="F710">
        <v>20</v>
      </c>
      <c r="G710">
        <v>32</v>
      </c>
      <c r="H710">
        <v>22</v>
      </c>
      <c r="J710">
        <v>32</v>
      </c>
      <c r="K710">
        <v>27</v>
      </c>
      <c r="L710">
        <v>37</v>
      </c>
      <c r="M710">
        <v>31</v>
      </c>
      <c r="O710" s="256">
        <f t="shared" si="300"/>
        <v>106</v>
      </c>
      <c r="P710" s="256">
        <f t="shared" si="301"/>
        <v>127</v>
      </c>
      <c r="Q710" s="256" t="str">
        <f t="shared" si="302"/>
        <v>TT</v>
      </c>
      <c r="R710" s="256" t="str">
        <f t="shared" si="303"/>
        <v>HL</v>
      </c>
      <c r="S710" s="256" t="str">
        <f t="shared" si="304"/>
        <v>HL</v>
      </c>
      <c r="T710" s="256" t="str">
        <f t="shared" si="305"/>
        <v>HL</v>
      </c>
      <c r="U710" s="256" t="str">
        <f t="shared" si="306"/>
        <v>O</v>
      </c>
      <c r="V710" s="256" t="str">
        <f t="shared" si="307"/>
        <v>U</v>
      </c>
      <c r="W710" s="256" t="str">
        <f t="shared" si="308"/>
        <v>O</v>
      </c>
      <c r="X710" s="256" t="str">
        <f t="shared" si="309"/>
        <v>U</v>
      </c>
      <c r="Y710" s="256"/>
      <c r="Z710">
        <v>54.5</v>
      </c>
      <c r="AA710" s="256" t="str">
        <f t="shared" si="299"/>
        <v>NYK/MEM</v>
      </c>
    </row>
    <row r="711" spans="1:27" x14ac:dyDescent="0.3">
      <c r="A711" s="236">
        <v>200130</v>
      </c>
      <c r="B711" s="237">
        <v>0.4375</v>
      </c>
      <c r="C711" s="236" t="s">
        <v>426</v>
      </c>
      <c r="D711" s="236" t="s">
        <v>405</v>
      </c>
      <c r="E711">
        <v>37</v>
      </c>
      <c r="F711">
        <v>33</v>
      </c>
      <c r="G711">
        <v>28</v>
      </c>
      <c r="H711">
        <v>29</v>
      </c>
      <c r="J711">
        <v>29</v>
      </c>
      <c r="K711">
        <v>33</v>
      </c>
      <c r="L711">
        <v>32</v>
      </c>
      <c r="M711">
        <v>26</v>
      </c>
      <c r="O711" s="256">
        <f t="shared" si="300"/>
        <v>127</v>
      </c>
      <c r="P711" s="256">
        <f t="shared" si="301"/>
        <v>120</v>
      </c>
      <c r="Q711" s="256" t="str">
        <f t="shared" si="302"/>
        <v>HW</v>
      </c>
      <c r="R711" s="256" t="str">
        <f t="shared" si="303"/>
        <v>TT</v>
      </c>
      <c r="S711" s="256" t="str">
        <f t="shared" si="304"/>
        <v>HL</v>
      </c>
      <c r="T711" s="256" t="str">
        <f t="shared" si="305"/>
        <v>HW</v>
      </c>
      <c r="U711" s="256" t="str">
        <f t="shared" si="306"/>
        <v>O</v>
      </c>
      <c r="V711" s="256" t="str">
        <f t="shared" si="307"/>
        <v>O</v>
      </c>
      <c r="W711" s="256" t="str">
        <f t="shared" si="308"/>
        <v>O</v>
      </c>
      <c r="X711" s="256" t="str">
        <f t="shared" si="309"/>
        <v>O</v>
      </c>
      <c r="Y711" s="256"/>
      <c r="Z711">
        <v>53.5</v>
      </c>
      <c r="AA711" s="256" t="str">
        <f t="shared" si="299"/>
        <v>SAS/UTA</v>
      </c>
    </row>
    <row r="712" spans="1:27" x14ac:dyDescent="0.3">
      <c r="A712" s="236">
        <v>200130</v>
      </c>
      <c r="B712" s="237">
        <v>0.5</v>
      </c>
      <c r="C712" s="236" t="s">
        <v>417</v>
      </c>
      <c r="D712" s="236" t="s">
        <v>403</v>
      </c>
      <c r="E712">
        <v>30</v>
      </c>
      <c r="F712">
        <v>41</v>
      </c>
      <c r="G712">
        <v>26</v>
      </c>
      <c r="H712">
        <v>28</v>
      </c>
      <c r="J712">
        <v>36</v>
      </c>
      <c r="K712">
        <v>24</v>
      </c>
      <c r="L712">
        <v>22</v>
      </c>
      <c r="M712">
        <v>30</v>
      </c>
      <c r="O712" s="256">
        <f t="shared" si="300"/>
        <v>125</v>
      </c>
      <c r="P712" s="256">
        <f t="shared" si="301"/>
        <v>112</v>
      </c>
      <c r="Q712" s="256" t="str">
        <f t="shared" si="302"/>
        <v>HL</v>
      </c>
      <c r="R712" s="256" t="str">
        <f t="shared" si="303"/>
        <v>HW</v>
      </c>
      <c r="S712" s="256" t="str">
        <f t="shared" si="304"/>
        <v>HW</v>
      </c>
      <c r="T712" s="256" t="str">
        <f t="shared" si="305"/>
        <v>HL</v>
      </c>
      <c r="U712" s="256" t="str">
        <f t="shared" si="306"/>
        <v>O</v>
      </c>
      <c r="V712" s="256" t="str">
        <f t="shared" si="307"/>
        <v>O</v>
      </c>
      <c r="W712" s="256" t="str">
        <f t="shared" si="308"/>
        <v>U</v>
      </c>
      <c r="X712" s="256" t="str">
        <f t="shared" si="309"/>
        <v>U</v>
      </c>
      <c r="Y712" s="256"/>
      <c r="Z712">
        <v>62</v>
      </c>
      <c r="AA712" s="256" t="str">
        <f t="shared" si="299"/>
        <v>POR/HOU</v>
      </c>
    </row>
    <row r="713" spans="1:27" x14ac:dyDescent="0.3">
      <c r="A713" s="236">
        <v>200130</v>
      </c>
      <c r="B713" s="237">
        <v>0.5</v>
      </c>
      <c r="C713" s="236" t="s">
        <v>416</v>
      </c>
      <c r="D713" s="236" t="s">
        <v>418</v>
      </c>
      <c r="E713">
        <v>16</v>
      </c>
      <c r="F713">
        <v>31</v>
      </c>
      <c r="G713">
        <v>29</v>
      </c>
      <c r="H713">
        <v>24</v>
      </c>
      <c r="J713">
        <v>23</v>
      </c>
      <c r="K713">
        <v>36</v>
      </c>
      <c r="L713">
        <v>37</v>
      </c>
      <c r="M713">
        <v>24</v>
      </c>
      <c r="O713" s="256">
        <f t="shared" si="300"/>
        <v>100</v>
      </c>
      <c r="P713" s="256">
        <f t="shared" si="301"/>
        <v>120</v>
      </c>
      <c r="Q713" s="256" t="str">
        <f t="shared" si="302"/>
        <v>HL</v>
      </c>
      <c r="R713" s="256" t="str">
        <f t="shared" si="303"/>
        <v>HL</v>
      </c>
      <c r="S713" s="256" t="str">
        <f t="shared" si="304"/>
        <v>HL</v>
      </c>
      <c r="T713" s="256" t="str">
        <f t="shared" si="305"/>
        <v>TT</v>
      </c>
      <c r="U713" s="256" t="str">
        <f t="shared" si="306"/>
        <v>U</v>
      </c>
      <c r="V713" s="256" t="str">
        <f t="shared" si="307"/>
        <v>O</v>
      </c>
      <c r="W713" s="256" t="str">
        <f t="shared" si="308"/>
        <v>O</v>
      </c>
      <c r="X713" s="256" t="str">
        <f t="shared" si="309"/>
        <v>U</v>
      </c>
      <c r="Y713" s="256"/>
      <c r="Z713">
        <v>55.5</v>
      </c>
      <c r="AA713" s="256" t="str">
        <f t="shared" si="299"/>
        <v>SAC/OKC</v>
      </c>
    </row>
    <row r="714" spans="1:27" x14ac:dyDescent="0.3">
      <c r="A714" s="236">
        <v>200131</v>
      </c>
      <c r="B714" s="239">
        <v>0.375</v>
      </c>
      <c r="C714" s="238" t="s">
        <v>402</v>
      </c>
      <c r="D714" s="238" t="s">
        <v>413</v>
      </c>
      <c r="E714">
        <v>26</v>
      </c>
      <c r="F714">
        <v>26</v>
      </c>
      <c r="G714">
        <v>24</v>
      </c>
      <c r="H714">
        <v>33</v>
      </c>
      <c r="J714">
        <v>31</v>
      </c>
      <c r="K714">
        <v>25</v>
      </c>
      <c r="L714">
        <v>32</v>
      </c>
      <c r="M714">
        <v>27</v>
      </c>
      <c r="O714" s="256">
        <f t="shared" si="300"/>
        <v>109</v>
      </c>
      <c r="P714" s="256">
        <f t="shared" si="301"/>
        <v>115</v>
      </c>
      <c r="Q714" s="256" t="str">
        <f t="shared" si="302"/>
        <v>HL</v>
      </c>
      <c r="R714" s="256" t="str">
        <f t="shared" si="303"/>
        <v>HW</v>
      </c>
      <c r="S714" s="256" t="str">
        <f t="shared" si="304"/>
        <v>HL</v>
      </c>
      <c r="T714" s="256" t="str">
        <f t="shared" si="305"/>
        <v>HW</v>
      </c>
      <c r="U714" s="256" t="str">
        <f t="shared" si="306"/>
        <v>T</v>
      </c>
      <c r="V714" s="256" t="str">
        <f t="shared" si="307"/>
        <v>U</v>
      </c>
      <c r="W714" s="256" t="str">
        <f t="shared" si="308"/>
        <v>U</v>
      </c>
      <c r="X714" s="256" t="str">
        <f t="shared" si="309"/>
        <v>O</v>
      </c>
      <c r="Y714" s="256"/>
      <c r="Z714">
        <v>57</v>
      </c>
      <c r="AA714" s="256" t="str">
        <f t="shared" si="299"/>
        <v>CLE/TOR</v>
      </c>
    </row>
    <row r="715" spans="1:27" x14ac:dyDescent="0.3">
      <c r="A715" s="238">
        <v>200131</v>
      </c>
      <c r="B715" s="239">
        <v>0.375</v>
      </c>
      <c r="C715" s="238" t="s">
        <v>414</v>
      </c>
      <c r="D715" s="238" t="s">
        <v>409</v>
      </c>
      <c r="E715">
        <v>26</v>
      </c>
      <c r="F715">
        <v>29</v>
      </c>
      <c r="G715">
        <v>31</v>
      </c>
      <c r="H715">
        <v>35</v>
      </c>
      <c r="J715">
        <v>33</v>
      </c>
      <c r="K715">
        <v>27</v>
      </c>
      <c r="L715">
        <v>19</v>
      </c>
      <c r="M715">
        <v>28</v>
      </c>
      <c r="O715" s="256">
        <f t="shared" si="300"/>
        <v>121</v>
      </c>
      <c r="P715" s="256">
        <f t="shared" si="301"/>
        <v>107</v>
      </c>
      <c r="Q715" s="256" t="str">
        <f t="shared" si="302"/>
        <v>HL</v>
      </c>
      <c r="R715" s="256" t="str">
        <f t="shared" si="303"/>
        <v>HW</v>
      </c>
      <c r="S715" s="256" t="str">
        <f t="shared" si="304"/>
        <v>HW</v>
      </c>
      <c r="T715" s="256" t="str">
        <f t="shared" si="305"/>
        <v>HW</v>
      </c>
      <c r="U715" s="256" t="str">
        <f t="shared" si="306"/>
        <v>O</v>
      </c>
      <c r="V715" s="256" t="str">
        <f t="shared" si="307"/>
        <v>U</v>
      </c>
      <c r="W715" s="256" t="str">
        <f t="shared" si="308"/>
        <v>U</v>
      </c>
      <c r="X715" s="256" t="str">
        <f t="shared" si="309"/>
        <v>O</v>
      </c>
      <c r="Y715" s="256"/>
      <c r="Z715">
        <v>58</v>
      </c>
      <c r="AA715" s="256" t="str">
        <f t="shared" si="299"/>
        <v>WAS/CHA</v>
      </c>
    </row>
    <row r="716" spans="1:27" x14ac:dyDescent="0.3">
      <c r="A716" s="238">
        <v>200131</v>
      </c>
      <c r="B716" s="239">
        <v>0.39583333333333331</v>
      </c>
      <c r="C716" s="238" t="s">
        <v>410</v>
      </c>
      <c r="D716" s="238" t="s">
        <v>401</v>
      </c>
      <c r="E716">
        <v>39</v>
      </c>
      <c r="F716">
        <v>35</v>
      </c>
      <c r="G716">
        <v>25</v>
      </c>
      <c r="H716">
        <v>28</v>
      </c>
      <c r="J716">
        <v>31</v>
      </c>
      <c r="K716">
        <v>36</v>
      </c>
      <c r="L716">
        <v>25</v>
      </c>
      <c r="M716">
        <v>25</v>
      </c>
      <c r="O716" s="256">
        <f t="shared" si="300"/>
        <v>127</v>
      </c>
      <c r="P716" s="256">
        <f t="shared" si="301"/>
        <v>117</v>
      </c>
      <c r="Q716" s="256" t="str">
        <f t="shared" si="302"/>
        <v>HW</v>
      </c>
      <c r="R716" s="256" t="str">
        <f t="shared" si="303"/>
        <v>HL</v>
      </c>
      <c r="S716" s="256" t="str">
        <f t="shared" si="304"/>
        <v>TT</v>
      </c>
      <c r="T716" s="256" t="str">
        <f t="shared" si="305"/>
        <v>HW</v>
      </c>
      <c r="U716" s="256" t="str">
        <f t="shared" si="306"/>
        <v>O</v>
      </c>
      <c r="V716" s="256" t="str">
        <f t="shared" si="307"/>
        <v>O</v>
      </c>
      <c r="W716" s="256" t="str">
        <f t="shared" si="308"/>
        <v>U</v>
      </c>
      <c r="X716" s="256" t="str">
        <f t="shared" si="309"/>
        <v>U</v>
      </c>
      <c r="Y716" s="256"/>
      <c r="Z716">
        <v>58</v>
      </c>
      <c r="AA716" s="256" t="str">
        <f t="shared" ref="AA716:AA726" si="310">C716&amp;"/"&amp;D716</f>
        <v>ATL/PHI</v>
      </c>
    </row>
    <row r="717" spans="1:27" x14ac:dyDescent="0.3">
      <c r="A717" s="238">
        <v>200131</v>
      </c>
      <c r="B717" s="239">
        <v>0.41666666666666669</v>
      </c>
      <c r="C717" s="238" t="s">
        <v>421</v>
      </c>
      <c r="D717" s="238" t="s">
        <v>425</v>
      </c>
      <c r="E717">
        <v>29</v>
      </c>
      <c r="F717">
        <v>31</v>
      </c>
      <c r="G717">
        <v>31</v>
      </c>
      <c r="H717">
        <v>28</v>
      </c>
      <c r="J717">
        <v>22</v>
      </c>
      <c r="K717">
        <v>28</v>
      </c>
      <c r="L717">
        <v>29</v>
      </c>
      <c r="M717">
        <v>25</v>
      </c>
      <c r="O717" s="256">
        <f t="shared" si="300"/>
        <v>119</v>
      </c>
      <c r="P717" s="256">
        <f t="shared" si="301"/>
        <v>104</v>
      </c>
      <c r="Q717" s="256" t="str">
        <f t="shared" si="302"/>
        <v>HW</v>
      </c>
      <c r="R717" s="256" t="str">
        <f t="shared" si="303"/>
        <v>HW</v>
      </c>
      <c r="S717" s="256" t="str">
        <f t="shared" si="304"/>
        <v>HW</v>
      </c>
      <c r="T717" s="256" t="str">
        <f t="shared" si="305"/>
        <v>HW</v>
      </c>
      <c r="U717" s="256" t="str">
        <f t="shared" si="306"/>
        <v>U</v>
      </c>
      <c r="V717" s="256" t="str">
        <f t="shared" si="307"/>
        <v>O</v>
      </c>
      <c r="W717" s="256" t="str">
        <f t="shared" si="308"/>
        <v>O</v>
      </c>
      <c r="X717" s="256" t="str">
        <f t="shared" si="309"/>
        <v>U</v>
      </c>
      <c r="Y717" s="256"/>
      <c r="Z717">
        <v>57</v>
      </c>
      <c r="AA717" s="256" t="str">
        <f t="shared" si="310"/>
        <v>BOS/GS</v>
      </c>
    </row>
    <row r="718" spans="1:27" x14ac:dyDescent="0.3">
      <c r="A718" s="238">
        <v>200131</v>
      </c>
      <c r="B718" s="239">
        <v>0.52083333333333337</v>
      </c>
      <c r="C718" s="238" t="s">
        <v>408</v>
      </c>
      <c r="D718" s="238" t="s">
        <v>405</v>
      </c>
      <c r="E718">
        <v>21</v>
      </c>
      <c r="F718">
        <v>22</v>
      </c>
      <c r="G718">
        <v>33</v>
      </c>
      <c r="H718">
        <v>30</v>
      </c>
      <c r="J718">
        <v>23</v>
      </c>
      <c r="K718">
        <v>25</v>
      </c>
      <c r="L718">
        <v>22</v>
      </c>
      <c r="M718">
        <v>30</v>
      </c>
      <c r="O718" s="256">
        <f t="shared" si="300"/>
        <v>106</v>
      </c>
      <c r="P718" s="256">
        <f t="shared" si="301"/>
        <v>100</v>
      </c>
      <c r="Q718" s="256" t="str">
        <f t="shared" si="302"/>
        <v>HL</v>
      </c>
      <c r="R718" s="256" t="str">
        <f t="shared" si="303"/>
        <v>HL</v>
      </c>
      <c r="S718" s="256" t="str">
        <f t="shared" si="304"/>
        <v>HW</v>
      </c>
      <c r="T718" s="256" t="str">
        <f t="shared" si="305"/>
        <v>TT</v>
      </c>
      <c r="U718" s="256" t="str">
        <f t="shared" si="306"/>
        <v>U</v>
      </c>
      <c r="V718" s="256" t="str">
        <f t="shared" si="307"/>
        <v>U</v>
      </c>
      <c r="W718" s="256" t="str">
        <f t="shared" si="308"/>
        <v>O</v>
      </c>
      <c r="X718" s="256" t="str">
        <f t="shared" si="309"/>
        <v>O</v>
      </c>
      <c r="Y718" s="256"/>
      <c r="Z718">
        <v>52.5</v>
      </c>
      <c r="AA718" s="256" t="str">
        <f t="shared" si="310"/>
        <v>DEN/UTA</v>
      </c>
    </row>
    <row r="719" spans="1:27" x14ac:dyDescent="0.3">
      <c r="A719" s="238">
        <v>200131</v>
      </c>
      <c r="B719" s="239">
        <v>0.52083333333333337</v>
      </c>
      <c r="C719" s="238" t="s">
        <v>415</v>
      </c>
      <c r="D719" s="238" t="s">
        <v>416</v>
      </c>
      <c r="E719">
        <v>33</v>
      </c>
      <c r="F719">
        <v>14</v>
      </c>
      <c r="G719">
        <v>24</v>
      </c>
      <c r="H719">
        <v>32</v>
      </c>
      <c r="J719">
        <v>28</v>
      </c>
      <c r="K719">
        <v>36</v>
      </c>
      <c r="L719">
        <v>21</v>
      </c>
      <c r="M719">
        <v>39</v>
      </c>
      <c r="O719" s="256">
        <f t="shared" si="300"/>
        <v>103</v>
      </c>
      <c r="P719" s="256">
        <f t="shared" si="301"/>
        <v>124</v>
      </c>
      <c r="Q719" s="256" t="str">
        <f t="shared" si="302"/>
        <v>HW</v>
      </c>
      <c r="R719" s="256" t="str">
        <f t="shared" si="303"/>
        <v>HL</v>
      </c>
      <c r="S719" s="256" t="str">
        <f t="shared" si="304"/>
        <v>HW</v>
      </c>
      <c r="T719" s="256" t="str">
        <f t="shared" si="305"/>
        <v>HL</v>
      </c>
      <c r="U719" s="256" t="str">
        <f t="shared" si="306"/>
        <v>O</v>
      </c>
      <c r="V719" s="256" t="str">
        <f t="shared" si="307"/>
        <v>U</v>
      </c>
      <c r="W719" s="256" t="str">
        <f t="shared" si="308"/>
        <v>U</v>
      </c>
      <c r="X719" s="256" t="str">
        <f t="shared" si="309"/>
        <v>O</v>
      </c>
      <c r="Y719" s="256"/>
      <c r="Z719">
        <v>57.5</v>
      </c>
      <c r="AA719" s="256" t="str">
        <f t="shared" si="310"/>
        <v>LAC/SAC</v>
      </c>
    </row>
    <row r="720" spans="1:27" x14ac:dyDescent="0.3">
      <c r="A720" s="238">
        <v>200201</v>
      </c>
      <c r="B720" s="257">
        <v>0.375</v>
      </c>
      <c r="C720" s="256" t="s">
        <v>422</v>
      </c>
      <c r="D720" s="256" t="s">
        <v>413</v>
      </c>
      <c r="E720">
        <v>20</v>
      </c>
      <c r="F720">
        <v>27</v>
      </c>
      <c r="G720">
        <v>22</v>
      </c>
      <c r="H720">
        <v>23</v>
      </c>
      <c r="J720">
        <v>30</v>
      </c>
      <c r="K720">
        <v>30</v>
      </c>
      <c r="L720">
        <v>18</v>
      </c>
      <c r="M720">
        <v>27</v>
      </c>
      <c r="O720" s="256">
        <f t="shared" si="300"/>
        <v>92</v>
      </c>
      <c r="P720" s="256">
        <f t="shared" si="301"/>
        <v>105</v>
      </c>
      <c r="Q720" s="256" t="str">
        <f t="shared" si="302"/>
        <v>HL</v>
      </c>
      <c r="R720" s="256" t="str">
        <f t="shared" si="303"/>
        <v>HL</v>
      </c>
      <c r="S720" s="256" t="str">
        <f t="shared" si="304"/>
        <v>HW</v>
      </c>
      <c r="T720" s="256" t="str">
        <f t="shared" si="305"/>
        <v>HL</v>
      </c>
      <c r="U720" s="256" t="str">
        <f t="shared" si="306"/>
        <v>U</v>
      </c>
      <c r="V720" s="256" t="str">
        <f t="shared" si="307"/>
        <v>T</v>
      </c>
      <c r="W720" s="256" t="str">
        <f t="shared" si="308"/>
        <v>U</v>
      </c>
      <c r="X720" s="256" t="str">
        <f t="shared" si="309"/>
        <v>U</v>
      </c>
      <c r="Y720" s="256"/>
      <c r="Z720">
        <v>57</v>
      </c>
      <c r="AA720" s="256" t="str">
        <f t="shared" si="310"/>
        <v>DET/TOR</v>
      </c>
    </row>
    <row r="721" spans="1:27" x14ac:dyDescent="0.3">
      <c r="A721" s="256">
        <v>200201</v>
      </c>
      <c r="B721" s="257">
        <v>0.39583333333333331</v>
      </c>
      <c r="C721" s="256" t="s">
        <v>403</v>
      </c>
      <c r="D721" s="256" t="s">
        <v>397</v>
      </c>
      <c r="E721">
        <v>35</v>
      </c>
      <c r="F721">
        <v>30</v>
      </c>
      <c r="G721">
        <v>36</v>
      </c>
      <c r="H721">
        <v>27</v>
      </c>
      <c r="J721">
        <v>28</v>
      </c>
      <c r="K721">
        <v>32</v>
      </c>
      <c r="L721">
        <v>25</v>
      </c>
      <c r="M721">
        <v>36</v>
      </c>
      <c r="O721" s="256">
        <f t="shared" si="300"/>
        <v>128</v>
      </c>
      <c r="P721" s="256">
        <f t="shared" si="301"/>
        <v>121</v>
      </c>
      <c r="Q721" s="256" t="str">
        <f t="shared" si="302"/>
        <v>HW</v>
      </c>
      <c r="R721" s="256" t="str">
        <f t="shared" si="303"/>
        <v>HL</v>
      </c>
      <c r="S721" s="256" t="str">
        <f t="shared" si="304"/>
        <v>HW</v>
      </c>
      <c r="T721" s="256" t="str">
        <f t="shared" si="305"/>
        <v>HL</v>
      </c>
      <c r="U721" s="256" t="str">
        <f t="shared" si="306"/>
        <v>O</v>
      </c>
      <c r="V721" s="256" t="str">
        <f t="shared" si="307"/>
        <v>O</v>
      </c>
      <c r="W721" s="256" t="str">
        <f t="shared" si="308"/>
        <v>O</v>
      </c>
      <c r="X721" s="256" t="str">
        <f t="shared" si="309"/>
        <v>O</v>
      </c>
      <c r="Y721" s="256"/>
      <c r="Z721">
        <v>59.5</v>
      </c>
      <c r="AA721" s="256" t="str">
        <f t="shared" si="310"/>
        <v>HOU/DAL</v>
      </c>
    </row>
    <row r="722" spans="1:27" x14ac:dyDescent="0.3">
      <c r="A722" s="256">
        <v>200201</v>
      </c>
      <c r="B722" s="257">
        <v>0.39583333333333331</v>
      </c>
      <c r="C722" s="256" t="s">
        <v>407</v>
      </c>
      <c r="D722" s="256" t="s">
        <v>412</v>
      </c>
      <c r="E722">
        <v>35</v>
      </c>
      <c r="F722">
        <v>38</v>
      </c>
      <c r="G722">
        <v>30</v>
      </c>
      <c r="H722">
        <v>30</v>
      </c>
      <c r="J722">
        <v>23</v>
      </c>
      <c r="K722">
        <v>34</v>
      </c>
      <c r="L722">
        <v>39</v>
      </c>
      <c r="M722">
        <v>22</v>
      </c>
      <c r="O722" s="256">
        <f t="shared" si="300"/>
        <v>133</v>
      </c>
      <c r="P722" s="256">
        <f t="shared" si="301"/>
        <v>118</v>
      </c>
      <c r="Q722" s="256" t="str">
        <f t="shared" si="302"/>
        <v>HW</v>
      </c>
      <c r="R722" s="256" t="str">
        <f t="shared" si="303"/>
        <v>HW</v>
      </c>
      <c r="S722" s="256" t="str">
        <f t="shared" si="304"/>
        <v>HL</v>
      </c>
      <c r="T722" s="256" t="str">
        <f t="shared" si="305"/>
        <v>HW</v>
      </c>
      <c r="U722" s="256" t="str">
        <f t="shared" si="306"/>
        <v>O</v>
      </c>
      <c r="V722" s="256" t="str">
        <f t="shared" si="307"/>
        <v>O</v>
      </c>
      <c r="W722" s="256" t="str">
        <f t="shared" si="308"/>
        <v>O</v>
      </c>
      <c r="X722" s="256" t="str">
        <f t="shared" si="309"/>
        <v>U</v>
      </c>
      <c r="Y722" s="256"/>
      <c r="Z722">
        <v>56.5</v>
      </c>
      <c r="AA722" s="256" t="str">
        <f t="shared" si="310"/>
        <v>BKN/CHI</v>
      </c>
    </row>
    <row r="723" spans="1:27" x14ac:dyDescent="0.3">
      <c r="A723" s="256">
        <v>200201</v>
      </c>
      <c r="B723" s="257">
        <v>0.41666666666666669</v>
      </c>
      <c r="C723" s="256" t="s">
        <v>398</v>
      </c>
      <c r="D723" s="256" t="s">
        <v>406</v>
      </c>
      <c r="E723">
        <v>31</v>
      </c>
      <c r="F723">
        <v>35</v>
      </c>
      <c r="G723">
        <v>44</v>
      </c>
      <c r="H723">
        <v>29</v>
      </c>
      <c r="J723">
        <v>22</v>
      </c>
      <c r="K723">
        <v>37</v>
      </c>
      <c r="L723">
        <v>27</v>
      </c>
      <c r="M723">
        <v>25</v>
      </c>
      <c r="O723" s="256">
        <f t="shared" si="300"/>
        <v>139</v>
      </c>
      <c r="P723" s="256">
        <f t="shared" si="301"/>
        <v>111</v>
      </c>
      <c r="Q723" s="256" t="str">
        <f t="shared" si="302"/>
        <v>HW</v>
      </c>
      <c r="R723" s="256" t="str">
        <f t="shared" si="303"/>
        <v>HL</v>
      </c>
      <c r="S723" s="256" t="str">
        <f t="shared" si="304"/>
        <v>HW</v>
      </c>
      <c r="T723" s="256" t="str">
        <f t="shared" si="305"/>
        <v>HW</v>
      </c>
      <c r="U723" s="256" t="str">
        <f t="shared" si="306"/>
        <v>U</v>
      </c>
      <c r="V723" s="256" t="str">
        <f t="shared" si="307"/>
        <v>O</v>
      </c>
      <c r="W723" s="256" t="str">
        <f t="shared" si="308"/>
        <v>O</v>
      </c>
      <c r="X723" s="256" t="str">
        <f t="shared" si="309"/>
        <v>U</v>
      </c>
      <c r="Y723" s="256"/>
      <c r="Z723">
        <v>59.5</v>
      </c>
      <c r="AA723" s="256" t="str">
        <f t="shared" si="310"/>
        <v>NO/MEM</v>
      </c>
    </row>
    <row r="724" spans="1:27" x14ac:dyDescent="0.3">
      <c r="A724" s="256">
        <v>200201</v>
      </c>
      <c r="B724" s="257">
        <v>0.45833333333333331</v>
      </c>
      <c r="C724" s="256" t="s">
        <v>423</v>
      </c>
      <c r="D724" s="256" t="s">
        <v>408</v>
      </c>
      <c r="E724">
        <v>43</v>
      </c>
      <c r="F724">
        <v>24</v>
      </c>
      <c r="G724">
        <v>24</v>
      </c>
      <c r="H724">
        <v>24</v>
      </c>
      <c r="J724">
        <v>35</v>
      </c>
      <c r="K724">
        <v>25</v>
      </c>
      <c r="L724">
        <v>40</v>
      </c>
      <c r="M724">
        <v>27</v>
      </c>
      <c r="O724" s="256">
        <f t="shared" si="300"/>
        <v>115</v>
      </c>
      <c r="P724" s="256">
        <f t="shared" si="301"/>
        <v>127</v>
      </c>
      <c r="Q724" s="256" t="str">
        <f t="shared" si="302"/>
        <v>HW</v>
      </c>
      <c r="R724" s="256" t="str">
        <f t="shared" si="303"/>
        <v>HL</v>
      </c>
      <c r="S724" s="256" t="str">
        <f t="shared" si="304"/>
        <v>HL</v>
      </c>
      <c r="T724" s="256" t="str">
        <f t="shared" si="305"/>
        <v>HL</v>
      </c>
      <c r="U724" s="256" t="str">
        <f t="shared" si="306"/>
        <v>O</v>
      </c>
      <c r="V724" s="256" t="str">
        <f t="shared" si="307"/>
        <v>U</v>
      </c>
      <c r="W724" s="256" t="str">
        <f t="shared" si="308"/>
        <v>O</v>
      </c>
      <c r="X724" s="256" t="str">
        <f t="shared" si="309"/>
        <v>U</v>
      </c>
      <c r="Y724" s="256"/>
      <c r="Z724">
        <v>57.5</v>
      </c>
      <c r="AA724" s="256" t="str">
        <f t="shared" si="310"/>
        <v>MIL/DEN</v>
      </c>
    </row>
    <row r="725" spans="1:27" x14ac:dyDescent="0.3">
      <c r="A725" s="256">
        <v>200201</v>
      </c>
      <c r="B725" s="257">
        <v>0.45833333333333331</v>
      </c>
      <c r="C725" s="256" t="s">
        <v>404</v>
      </c>
      <c r="D725" s="256" t="s">
        <v>418</v>
      </c>
      <c r="E725">
        <v>27</v>
      </c>
      <c r="F725">
        <v>25</v>
      </c>
      <c r="G725">
        <v>29</v>
      </c>
      <c r="H725">
        <v>26</v>
      </c>
      <c r="J725">
        <v>25</v>
      </c>
      <c r="K725">
        <v>28</v>
      </c>
      <c r="L725">
        <v>26</v>
      </c>
      <c r="M725">
        <v>32</v>
      </c>
      <c r="O725" s="256">
        <f t="shared" si="300"/>
        <v>107</v>
      </c>
      <c r="P725" s="256">
        <f t="shared" si="301"/>
        <v>111</v>
      </c>
      <c r="Q725" s="256" t="str">
        <f t="shared" si="302"/>
        <v>HW</v>
      </c>
      <c r="R725" s="256" t="str">
        <f t="shared" si="303"/>
        <v>HL</v>
      </c>
      <c r="S725" s="256" t="str">
        <f t="shared" si="304"/>
        <v>HW</v>
      </c>
      <c r="T725" s="256" t="str">
        <f t="shared" si="305"/>
        <v>HL</v>
      </c>
      <c r="U725" s="256" t="str">
        <f t="shared" si="306"/>
        <v>U</v>
      </c>
      <c r="V725" s="256" t="str">
        <f t="shared" si="307"/>
        <v>U</v>
      </c>
      <c r="W725" s="256" t="str">
        <f t="shared" si="308"/>
        <v>U</v>
      </c>
      <c r="X725" s="256" t="str">
        <f t="shared" si="309"/>
        <v>O</v>
      </c>
      <c r="Y725" s="256"/>
      <c r="Z725">
        <v>56.5</v>
      </c>
      <c r="AA725" s="256" t="str">
        <f t="shared" si="310"/>
        <v>PHO/OKC</v>
      </c>
    </row>
    <row r="726" spans="1:27" x14ac:dyDescent="0.3">
      <c r="A726" s="256">
        <v>200201</v>
      </c>
      <c r="B726" s="257">
        <v>0.52083333333333337</v>
      </c>
      <c r="C726" s="256" t="s">
        <v>419</v>
      </c>
      <c r="D726" s="256" t="s">
        <v>417</v>
      </c>
      <c r="E726">
        <v>36</v>
      </c>
      <c r="F726">
        <v>26</v>
      </c>
      <c r="G726">
        <v>34</v>
      </c>
      <c r="H726">
        <v>23</v>
      </c>
      <c r="J726">
        <v>38</v>
      </c>
      <c r="K726">
        <v>22</v>
      </c>
      <c r="L726">
        <v>43</v>
      </c>
      <c r="M726">
        <v>24</v>
      </c>
      <c r="O726" s="256">
        <f t="shared" si="300"/>
        <v>119</v>
      </c>
      <c r="P726" s="256">
        <f t="shared" si="301"/>
        <v>127</v>
      </c>
      <c r="Q726" s="256" t="str">
        <f t="shared" si="302"/>
        <v>HL</v>
      </c>
      <c r="R726" s="256" t="str">
        <f t="shared" si="303"/>
        <v>HW</v>
      </c>
      <c r="S726" s="256" t="str">
        <f t="shared" si="304"/>
        <v>HL</v>
      </c>
      <c r="T726" s="256" t="str">
        <f t="shared" si="305"/>
        <v>HL</v>
      </c>
      <c r="U726" s="256" t="str">
        <f t="shared" si="306"/>
        <v>O</v>
      </c>
      <c r="V726" s="256" t="str">
        <f t="shared" si="307"/>
        <v>U</v>
      </c>
      <c r="W726" s="256" t="str">
        <f t="shared" si="308"/>
        <v>O</v>
      </c>
      <c r="X726" s="256" t="str">
        <f t="shared" si="309"/>
        <v>U</v>
      </c>
      <c r="Y726" s="256"/>
      <c r="Z726">
        <v>58.5</v>
      </c>
      <c r="AA726" s="256" t="str">
        <f t="shared" si="310"/>
        <v>LAL/POR</v>
      </c>
    </row>
    <row r="727" spans="1:27" x14ac:dyDescent="0.3">
      <c r="A727" s="256">
        <v>200202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726"/>
  <sheetViews>
    <sheetView zoomScale="85" zoomScaleNormal="85" workbookViewId="0">
      <pane xSplit="1" ySplit="1" topLeftCell="B697" activePane="bottomRight" state="frozen"/>
      <selection pane="topRight" activeCell="B1" sqref="B1"/>
      <selection pane="bottomLeft" activeCell="A2" sqref="A2"/>
      <selection pane="bottomRight" activeCell="AC726" sqref="AC726"/>
    </sheetView>
  </sheetViews>
  <sheetFormatPr defaultColWidth="9" defaultRowHeight="16.5" x14ac:dyDescent="0.3"/>
  <cols>
    <col min="1" max="1" width="7.5" style="3" bestFit="1" customWidth="1"/>
    <col min="2" max="2" width="8.75" style="44" customWidth="1"/>
    <col min="3" max="3" width="6.375" style="3" bestFit="1" customWidth="1"/>
    <col min="4" max="4" width="5.75" style="3" bestFit="1" customWidth="1"/>
    <col min="5" max="8" width="4.75" style="3" bestFit="1" customWidth="1"/>
    <col min="9" max="9" width="4.375" style="3" bestFit="1" customWidth="1"/>
    <col min="10" max="13" width="4.625" style="3" bestFit="1" customWidth="1"/>
    <col min="14" max="14" width="4.625" style="3" customWidth="1"/>
    <col min="15" max="15" width="5" style="3" bestFit="1" customWidth="1"/>
    <col min="16" max="16" width="4.875" style="3" bestFit="1" customWidth="1"/>
    <col min="17" max="20" width="5.5" style="3" bestFit="1" customWidth="1"/>
    <col min="21" max="24" width="5.875" style="3" bestFit="1" customWidth="1"/>
    <col min="25" max="25" width="6.75" style="3" customWidth="1"/>
    <col min="26" max="26" width="8.25" style="3" customWidth="1"/>
    <col min="27" max="27" width="9" style="3"/>
    <col min="28" max="28" width="9.375" style="3" customWidth="1"/>
    <col min="29" max="29" width="4.875" style="3" customWidth="1"/>
    <col min="30" max="30" width="5" style="3" customWidth="1"/>
    <col min="31" max="31" width="5.75" style="3" customWidth="1"/>
    <col min="32" max="33" width="5.125" style="3" bestFit="1" customWidth="1"/>
    <col min="34" max="16384" width="9" style="3"/>
  </cols>
  <sheetData>
    <row r="1" spans="1:33" x14ac:dyDescent="0.45">
      <c r="A1" s="3" t="s">
        <v>0</v>
      </c>
      <c r="B1" s="44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C1" s="3">
        <f>SUBTOTAL(109,AC2:AC726)</f>
        <v>1305</v>
      </c>
      <c r="AD1" s="3">
        <f>SUBTOTAL(109,AD2:AD726)</f>
        <v>1544</v>
      </c>
      <c r="AF1" s="8">
        <f>AC1/(SUM($AC$1:$AD$1))</f>
        <v>0.45805545805545805</v>
      </c>
      <c r="AG1" s="9">
        <f>AD1/(SUM($AC$1:$AD$1))</f>
        <v>0.54194454194454189</v>
      </c>
    </row>
    <row r="2" spans="1:33" x14ac:dyDescent="0.45">
      <c r="A2" s="3">
        <v>191023</v>
      </c>
      <c r="B2" s="44">
        <v>0.375</v>
      </c>
      <c r="C2" s="3" t="s">
        <v>28</v>
      </c>
      <c r="D2" s="3" t="s">
        <v>27</v>
      </c>
      <c r="E2" s="3">
        <v>27</v>
      </c>
      <c r="F2" s="3">
        <v>29</v>
      </c>
      <c r="G2" s="3">
        <v>32</v>
      </c>
      <c r="H2" s="3">
        <v>29</v>
      </c>
      <c r="I2" s="3">
        <v>13</v>
      </c>
      <c r="J2" s="3">
        <v>30</v>
      </c>
      <c r="K2" s="3">
        <v>31</v>
      </c>
      <c r="L2" s="3">
        <v>25</v>
      </c>
      <c r="M2" s="3">
        <v>31</v>
      </c>
      <c r="N2" s="3">
        <v>5</v>
      </c>
      <c r="O2" s="3">
        <f>SUM(E2:I2)</f>
        <v>130</v>
      </c>
      <c r="P2" s="3">
        <f>SUM(J2:N2)</f>
        <v>122</v>
      </c>
      <c r="Q2" s="3" t="str">
        <f>IF(E2=J2,"TT",IF(E2&gt;J2,"HW","HL"))</f>
        <v>HL</v>
      </c>
      <c r="R2" s="3" t="str">
        <f t="shared" ref="R2:T17" si="0">IF(F2=K2,"TT",IF(F2&gt;K2,"HW","HL"))</f>
        <v>HL</v>
      </c>
      <c r="S2" s="3" t="str">
        <f t="shared" si="0"/>
        <v>HW</v>
      </c>
      <c r="T2" s="3" t="str">
        <f t="shared" si="0"/>
        <v>HL</v>
      </c>
      <c r="U2" s="3" t="str">
        <f>IF(SUM(E2,J2)=$Z2,"T",IF(SUM(E2,J2)&gt;$Z2,"O","U"))</f>
        <v>U</v>
      </c>
      <c r="V2" s="3" t="str">
        <f t="shared" ref="V2:X17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 s="3">
        <v>59</v>
      </c>
      <c r="AB2" s="3" t="str">
        <f>C2&amp;"/"&amp;D2</f>
        <v>TOR/NO</v>
      </c>
      <c r="AC2" s="3">
        <f>COUNTIF(U2:X2,"o")</f>
        <v>2</v>
      </c>
      <c r="AD2" s="3">
        <f>COUNTIF(U2:X2,"u")</f>
        <v>2</v>
      </c>
    </row>
    <row r="3" spans="1:33" x14ac:dyDescent="0.45">
      <c r="A3" s="3">
        <v>191023</v>
      </c>
      <c r="B3" s="44">
        <v>0.47916666666666669</v>
      </c>
      <c r="C3" s="3" t="s">
        <v>25</v>
      </c>
      <c r="D3" s="3" t="s">
        <v>26</v>
      </c>
      <c r="E3" s="3">
        <v>22</v>
      </c>
      <c r="F3" s="3">
        <v>40</v>
      </c>
      <c r="G3" s="3">
        <v>23</v>
      </c>
      <c r="H3" s="3">
        <v>27</v>
      </c>
      <c r="J3" s="3">
        <v>25</v>
      </c>
      <c r="K3" s="3">
        <v>29</v>
      </c>
      <c r="L3" s="3">
        <v>31</v>
      </c>
      <c r="M3" s="3">
        <v>17</v>
      </c>
      <c r="O3" s="3">
        <f t="shared" ref="O3:O6" si="2">SUM(E3:I3)</f>
        <v>112</v>
      </c>
      <c r="P3" s="3">
        <f t="shared" ref="P3:P36" si="3">SUM(J3:N3)</f>
        <v>102</v>
      </c>
      <c r="Q3" s="3" t="str">
        <f>IF(E3=J3,"TT",IF(E3&gt;J3,"HW","HL"))</f>
        <v>HL</v>
      </c>
      <c r="R3" s="3" t="str">
        <f t="shared" si="0"/>
        <v>HW</v>
      </c>
      <c r="S3" s="3" t="str">
        <f t="shared" si="0"/>
        <v>HL</v>
      </c>
      <c r="T3" s="3" t="str">
        <f t="shared" si="0"/>
        <v>HW</v>
      </c>
      <c r="U3" s="3" t="str">
        <f>IF(SUM(E3,J3)=$Z3,"T",IF(SUM(E3,J3)&gt;$Z3,"O","U"))</f>
        <v>U</v>
      </c>
      <c r="V3" s="3" t="str">
        <f t="shared" si="1"/>
        <v>O</v>
      </c>
      <c r="W3" s="3" t="str">
        <f t="shared" si="1"/>
        <v>U</v>
      </c>
      <c r="X3" s="3" t="str">
        <f t="shared" si="1"/>
        <v>U</v>
      </c>
      <c r="Z3" s="3">
        <v>57.5</v>
      </c>
      <c r="AB3" s="3" t="str">
        <f>C3&amp;"/"&amp;D3</f>
        <v>LAC/LAL</v>
      </c>
      <c r="AC3" s="3">
        <f t="shared" ref="AC3:AC41" si="4">COUNTIF(U3:X3,"o")</f>
        <v>1</v>
      </c>
      <c r="AD3" s="3">
        <f t="shared" ref="AD3:AD41" si="5">COUNTIF(U3:X3,"u")</f>
        <v>3</v>
      </c>
    </row>
    <row r="4" spans="1:33" x14ac:dyDescent="0.45">
      <c r="A4" s="3">
        <v>191024</v>
      </c>
      <c r="B4" s="44">
        <v>0.33333333333333331</v>
      </c>
      <c r="C4" s="3" t="s">
        <v>30</v>
      </c>
      <c r="D4" s="3" t="s">
        <v>29</v>
      </c>
      <c r="E4" s="3">
        <v>22</v>
      </c>
      <c r="F4" s="3">
        <v>34</v>
      </c>
      <c r="G4" s="3">
        <v>37</v>
      </c>
      <c r="H4" s="3">
        <v>22</v>
      </c>
      <c r="I4" s="3">
        <v>11</v>
      </c>
      <c r="J4" s="3">
        <v>33</v>
      </c>
      <c r="K4" s="3">
        <v>35</v>
      </c>
      <c r="L4" s="3">
        <v>20</v>
      </c>
      <c r="M4" s="3">
        <v>27</v>
      </c>
      <c r="N4" s="3">
        <v>12</v>
      </c>
      <c r="O4" s="3">
        <f t="shared" si="2"/>
        <v>126</v>
      </c>
      <c r="P4" s="3">
        <f t="shared" si="3"/>
        <v>127</v>
      </c>
      <c r="Q4" s="3" t="str">
        <f t="shared" ref="Q4:T19" si="6">IF(E4=J4,"TT",IF(E4&gt;J4,"HW","HL"))</f>
        <v>HL</v>
      </c>
      <c r="R4" s="3" t="str">
        <f t="shared" si="0"/>
        <v>HL</v>
      </c>
      <c r="S4" s="3" t="str">
        <f t="shared" si="0"/>
        <v>HW</v>
      </c>
      <c r="T4" s="3" t="str">
        <f t="shared" si="0"/>
        <v>HL</v>
      </c>
      <c r="U4" s="3" t="str">
        <f t="shared" ref="U4:X19" si="7">IF(SUM(E4,J4)=$Z4,"T",IF(SUM(E4,J4)&gt;$Z4,"O","U"))</f>
        <v>U</v>
      </c>
      <c r="V4" s="3" t="str">
        <f t="shared" si="1"/>
        <v>O</v>
      </c>
      <c r="W4" s="3" t="str">
        <f t="shared" si="1"/>
        <v>U</v>
      </c>
      <c r="X4" s="3" t="str">
        <f t="shared" si="1"/>
        <v>U</v>
      </c>
      <c r="Z4" s="3">
        <v>58.5</v>
      </c>
      <c r="AB4" s="3" t="str">
        <f t="shared" ref="AB4:AB67" si="8">C4&amp;"/"&amp;D4</f>
        <v>BKN/MIN</v>
      </c>
      <c r="AC4" s="3">
        <f t="shared" si="4"/>
        <v>1</v>
      </c>
      <c r="AD4" s="3">
        <f t="shared" si="5"/>
        <v>3</v>
      </c>
    </row>
    <row r="5" spans="1:33" x14ac:dyDescent="0.45">
      <c r="A5" s="3">
        <v>191024</v>
      </c>
      <c r="C5" s="3" t="s">
        <v>31</v>
      </c>
      <c r="D5" s="3" t="s">
        <v>32</v>
      </c>
      <c r="E5" s="3">
        <v>37</v>
      </c>
      <c r="F5" s="3">
        <v>26</v>
      </c>
      <c r="G5" s="3">
        <v>33</v>
      </c>
      <c r="H5" s="3">
        <v>30</v>
      </c>
      <c r="J5" s="3">
        <v>28</v>
      </c>
      <c r="K5" s="3">
        <v>27</v>
      </c>
      <c r="L5" s="3">
        <v>40</v>
      </c>
      <c r="M5" s="3">
        <v>30</v>
      </c>
      <c r="O5" s="3">
        <f t="shared" si="2"/>
        <v>126</v>
      </c>
      <c r="P5" s="3">
        <f t="shared" si="3"/>
        <v>125</v>
      </c>
      <c r="Q5" s="3" t="str">
        <f t="shared" si="6"/>
        <v>HW</v>
      </c>
      <c r="R5" s="3" t="str">
        <f t="shared" si="0"/>
        <v>HL</v>
      </c>
      <c r="S5" s="3" t="str">
        <f t="shared" si="0"/>
        <v>HL</v>
      </c>
      <c r="T5" s="3" t="str">
        <f t="shared" si="0"/>
        <v>TT</v>
      </c>
      <c r="U5" s="3" t="str">
        <f t="shared" si="7"/>
        <v>O</v>
      </c>
      <c r="V5" s="3" t="str">
        <f t="shared" si="1"/>
        <v>T</v>
      </c>
      <c r="W5" s="3" t="str">
        <f t="shared" si="1"/>
        <v>O</v>
      </c>
      <c r="X5" s="3" t="str">
        <f t="shared" si="1"/>
        <v>O</v>
      </c>
      <c r="Z5" s="3">
        <v>53</v>
      </c>
      <c r="AB5" s="3" t="str">
        <f t="shared" si="8"/>
        <v>CHA/CHI</v>
      </c>
      <c r="AC5" s="3">
        <f t="shared" si="4"/>
        <v>3</v>
      </c>
      <c r="AD5" s="3">
        <f t="shared" si="5"/>
        <v>0</v>
      </c>
    </row>
    <row r="6" spans="1:33" x14ac:dyDescent="0.45">
      <c r="A6" s="3">
        <v>191024</v>
      </c>
      <c r="C6" s="3" t="s">
        <v>33</v>
      </c>
      <c r="D6" s="3" t="s">
        <v>34</v>
      </c>
      <c r="E6" s="3">
        <v>24</v>
      </c>
      <c r="F6" s="3">
        <v>38</v>
      </c>
      <c r="G6" s="3">
        <v>29</v>
      </c>
      <c r="H6" s="3">
        <v>17</v>
      </c>
      <c r="J6" s="3">
        <v>25</v>
      </c>
      <c r="K6" s="3">
        <v>23</v>
      </c>
      <c r="L6" s="3">
        <v>20</v>
      </c>
      <c r="M6" s="3">
        <v>32</v>
      </c>
      <c r="O6" s="3">
        <f t="shared" si="2"/>
        <v>108</v>
      </c>
      <c r="P6" s="3">
        <f t="shared" si="3"/>
        <v>100</v>
      </c>
      <c r="Q6" s="3" t="str">
        <f t="shared" si="6"/>
        <v>HL</v>
      </c>
      <c r="R6" s="3" t="str">
        <f t="shared" si="0"/>
        <v>HW</v>
      </c>
      <c r="S6" s="3" t="str">
        <f t="shared" si="0"/>
        <v>HW</v>
      </c>
      <c r="T6" s="3" t="str">
        <f t="shared" si="0"/>
        <v>HL</v>
      </c>
      <c r="U6" s="3" t="str">
        <f t="shared" si="7"/>
        <v>U</v>
      </c>
      <c r="V6" s="3" t="str">
        <f t="shared" si="1"/>
        <v>O</v>
      </c>
      <c r="W6" s="3" t="str">
        <f t="shared" si="1"/>
        <v>U</v>
      </c>
      <c r="X6" s="3" t="str">
        <f t="shared" si="1"/>
        <v>U</v>
      </c>
      <c r="Z6" s="3">
        <v>57.5</v>
      </c>
      <c r="AB6" s="3" t="str">
        <f t="shared" si="8"/>
        <v>DAL/WAS</v>
      </c>
      <c r="AC6" s="3">
        <f t="shared" si="4"/>
        <v>1</v>
      </c>
      <c r="AD6" s="3">
        <f t="shared" si="5"/>
        <v>3</v>
      </c>
    </row>
    <row r="7" spans="1:33" x14ac:dyDescent="0.45">
      <c r="A7" s="3">
        <v>191024</v>
      </c>
      <c r="B7" s="44">
        <v>0.33333333333333331</v>
      </c>
      <c r="C7" s="3" t="s">
        <v>35</v>
      </c>
      <c r="D7" s="3" t="s">
        <v>36</v>
      </c>
      <c r="E7" s="3">
        <v>24</v>
      </c>
      <c r="F7" s="3">
        <v>31</v>
      </c>
      <c r="G7" s="3">
        <v>31</v>
      </c>
      <c r="H7" s="3">
        <v>24</v>
      </c>
      <c r="J7" s="3">
        <v>27</v>
      </c>
      <c r="K7" s="3">
        <v>27</v>
      </c>
      <c r="L7" s="3">
        <v>29</v>
      </c>
      <c r="M7" s="3">
        <v>36</v>
      </c>
      <c r="O7" s="3">
        <f t="shared" ref="O7:O14" si="9">SUM(E7:I7)</f>
        <v>110</v>
      </c>
      <c r="P7" s="3">
        <f t="shared" si="3"/>
        <v>119</v>
      </c>
      <c r="Q7" s="3" t="str">
        <f t="shared" si="6"/>
        <v>HL</v>
      </c>
      <c r="R7" s="3" t="str">
        <f t="shared" si="0"/>
        <v>HW</v>
      </c>
      <c r="S7" s="3" t="str">
        <f t="shared" si="0"/>
        <v>HW</v>
      </c>
      <c r="T7" s="3" t="str">
        <f t="shared" si="0"/>
        <v>HL</v>
      </c>
      <c r="U7" s="3" t="str">
        <f t="shared" si="7"/>
        <v>U</v>
      </c>
      <c r="V7" s="3" t="str">
        <f t="shared" si="1"/>
        <v>O</v>
      </c>
      <c r="W7" s="3" t="str">
        <f t="shared" si="1"/>
        <v>O</v>
      </c>
      <c r="X7" s="3" t="str">
        <f t="shared" si="1"/>
        <v>O</v>
      </c>
      <c r="Z7" s="3">
        <v>54</v>
      </c>
      <c r="AB7" s="3" t="str">
        <f t="shared" si="8"/>
        <v>IND/DET</v>
      </c>
      <c r="AC7" s="3">
        <f t="shared" si="4"/>
        <v>3</v>
      </c>
      <c r="AD7" s="3">
        <f t="shared" si="5"/>
        <v>1</v>
      </c>
    </row>
    <row r="8" spans="1:33" x14ac:dyDescent="0.45">
      <c r="A8" s="3">
        <v>191024</v>
      </c>
      <c r="C8" s="3" t="s">
        <v>37</v>
      </c>
      <c r="D8" s="3" t="s">
        <v>38</v>
      </c>
      <c r="E8" s="3">
        <v>24</v>
      </c>
      <c r="F8" s="3">
        <v>30</v>
      </c>
      <c r="G8" s="3">
        <v>29</v>
      </c>
      <c r="H8" s="3">
        <v>37</v>
      </c>
      <c r="J8" s="3">
        <v>32</v>
      </c>
      <c r="K8" s="3">
        <v>28</v>
      </c>
      <c r="L8" s="3">
        <v>24</v>
      </c>
      <c r="M8" s="3">
        <v>17</v>
      </c>
      <c r="O8" s="3">
        <f t="shared" si="9"/>
        <v>120</v>
      </c>
      <c r="P8" s="3">
        <f t="shared" si="3"/>
        <v>101</v>
      </c>
      <c r="Q8" s="3" t="str">
        <f t="shared" si="6"/>
        <v>HL</v>
      </c>
      <c r="R8" s="3" t="str">
        <f t="shared" si="0"/>
        <v>HW</v>
      </c>
      <c r="S8" s="3" t="str">
        <f t="shared" si="0"/>
        <v>HW</v>
      </c>
      <c r="T8" s="3" t="str">
        <f t="shared" si="0"/>
        <v>HW</v>
      </c>
      <c r="U8" s="3" t="str">
        <f t="shared" si="7"/>
        <v>O</v>
      </c>
      <c r="V8" s="3" t="str">
        <f t="shared" si="1"/>
        <v>O</v>
      </c>
      <c r="W8" s="3" t="str">
        <f t="shared" si="1"/>
        <v>U</v>
      </c>
      <c r="X8" s="3" t="str">
        <f t="shared" si="1"/>
        <v>U</v>
      </c>
      <c r="Z8" s="3">
        <v>54.5</v>
      </c>
      <c r="AB8" s="3" t="str">
        <f t="shared" si="8"/>
        <v>MIA/MEM</v>
      </c>
      <c r="AC8" s="3">
        <f t="shared" si="4"/>
        <v>2</v>
      </c>
      <c r="AD8" s="3">
        <f t="shared" si="5"/>
        <v>2</v>
      </c>
    </row>
    <row r="9" spans="1:33" x14ac:dyDescent="0.45">
      <c r="A9" s="3">
        <v>191024</v>
      </c>
      <c r="C9" s="3" t="s">
        <v>39</v>
      </c>
      <c r="D9" s="3" t="s">
        <v>40</v>
      </c>
      <c r="E9" s="3">
        <v>28</v>
      </c>
      <c r="F9" s="3">
        <v>27</v>
      </c>
      <c r="G9" s="3">
        <v>16</v>
      </c>
      <c r="H9" s="3">
        <v>23</v>
      </c>
      <c r="J9" s="3">
        <v>24</v>
      </c>
      <c r="K9" s="3">
        <v>17</v>
      </c>
      <c r="L9" s="3">
        <v>24</v>
      </c>
      <c r="M9" s="3">
        <v>20</v>
      </c>
      <c r="O9" s="3">
        <f t="shared" si="9"/>
        <v>94</v>
      </c>
      <c r="P9" s="3">
        <f t="shared" si="3"/>
        <v>85</v>
      </c>
      <c r="Q9" s="3" t="str">
        <f t="shared" si="6"/>
        <v>HW</v>
      </c>
      <c r="R9" s="3" t="str">
        <f t="shared" si="0"/>
        <v>HW</v>
      </c>
      <c r="S9" s="3" t="str">
        <f t="shared" si="0"/>
        <v>HL</v>
      </c>
      <c r="T9" s="3" t="str">
        <f t="shared" si="0"/>
        <v>HW</v>
      </c>
      <c r="U9" s="3" t="str">
        <f t="shared" si="7"/>
        <v>U</v>
      </c>
      <c r="V9" s="3" t="str">
        <f t="shared" si="1"/>
        <v>U</v>
      </c>
      <c r="W9" s="3" t="str">
        <f t="shared" si="1"/>
        <v>U</v>
      </c>
      <c r="X9" s="3" t="str">
        <f t="shared" si="1"/>
        <v>U</v>
      </c>
      <c r="Z9" s="3">
        <v>53</v>
      </c>
      <c r="AB9" s="3" t="str">
        <f t="shared" si="8"/>
        <v>ORL/CLE</v>
      </c>
      <c r="AC9" s="3">
        <f t="shared" si="4"/>
        <v>0</v>
      </c>
      <c r="AD9" s="3">
        <f t="shared" si="5"/>
        <v>4</v>
      </c>
    </row>
    <row r="10" spans="1:33" x14ac:dyDescent="0.45">
      <c r="A10" s="3">
        <v>191024</v>
      </c>
      <c r="C10" s="3" t="s">
        <v>41</v>
      </c>
      <c r="D10" s="3" t="s">
        <v>42</v>
      </c>
      <c r="E10" s="3">
        <v>20</v>
      </c>
      <c r="F10" s="3">
        <v>29</v>
      </c>
      <c r="G10" s="3">
        <v>28</v>
      </c>
      <c r="H10" s="3">
        <v>30</v>
      </c>
      <c r="J10" s="3">
        <v>25</v>
      </c>
      <c r="K10" s="3">
        <v>23</v>
      </c>
      <c r="L10" s="3">
        <v>20</v>
      </c>
      <c r="M10" s="3">
        <v>25</v>
      </c>
      <c r="O10" s="3">
        <f t="shared" si="9"/>
        <v>107</v>
      </c>
      <c r="P10" s="3">
        <f t="shared" si="3"/>
        <v>93</v>
      </c>
      <c r="Q10" s="3" t="str">
        <f t="shared" si="6"/>
        <v>HL</v>
      </c>
      <c r="R10" s="3" t="str">
        <f t="shared" si="0"/>
        <v>HW</v>
      </c>
      <c r="S10" s="3" t="str">
        <f t="shared" si="0"/>
        <v>HW</v>
      </c>
      <c r="T10" s="3" t="str">
        <f t="shared" si="0"/>
        <v>HW</v>
      </c>
      <c r="U10" s="3" t="str">
        <f t="shared" si="7"/>
        <v>U</v>
      </c>
      <c r="V10" s="3" t="str">
        <f t="shared" si="1"/>
        <v>T</v>
      </c>
      <c r="W10" s="3" t="str">
        <f t="shared" si="1"/>
        <v>U</v>
      </c>
      <c r="X10" s="3" t="str">
        <f t="shared" si="1"/>
        <v>O</v>
      </c>
      <c r="Z10" s="3">
        <v>52</v>
      </c>
      <c r="AB10" s="3" t="str">
        <f t="shared" si="8"/>
        <v>PHI/BOS</v>
      </c>
      <c r="AC10" s="3">
        <f t="shared" si="4"/>
        <v>1</v>
      </c>
      <c r="AD10" s="3">
        <f t="shared" si="5"/>
        <v>2</v>
      </c>
    </row>
    <row r="11" spans="1:33" x14ac:dyDescent="0.45">
      <c r="A11" s="3">
        <v>191024</v>
      </c>
      <c r="C11" s="3" t="s">
        <v>43</v>
      </c>
      <c r="D11" s="3" t="s">
        <v>44</v>
      </c>
      <c r="E11" s="3">
        <v>25</v>
      </c>
      <c r="F11" s="3">
        <v>29</v>
      </c>
      <c r="G11" s="3">
        <v>32</v>
      </c>
      <c r="H11" s="3">
        <v>38</v>
      </c>
      <c r="J11" s="3">
        <v>29</v>
      </c>
      <c r="K11" s="3">
        <v>30</v>
      </c>
      <c r="L11" s="3">
        <v>17</v>
      </c>
      <c r="M11" s="3">
        <v>19</v>
      </c>
      <c r="O11" s="3">
        <f t="shared" si="9"/>
        <v>124</v>
      </c>
      <c r="P11" s="3">
        <f t="shared" si="3"/>
        <v>95</v>
      </c>
      <c r="Q11" s="3" t="str">
        <f t="shared" si="6"/>
        <v>HL</v>
      </c>
      <c r="R11" s="3" t="str">
        <f t="shared" si="0"/>
        <v>HL</v>
      </c>
      <c r="S11" s="3" t="str">
        <f t="shared" si="0"/>
        <v>HW</v>
      </c>
      <c r="T11" s="3" t="str">
        <f t="shared" si="0"/>
        <v>HW</v>
      </c>
      <c r="U11" s="3" t="str">
        <f t="shared" si="7"/>
        <v>U</v>
      </c>
      <c r="V11" s="3" t="str">
        <f t="shared" si="1"/>
        <v>U</v>
      </c>
      <c r="W11" s="3" t="str">
        <f t="shared" si="1"/>
        <v>U</v>
      </c>
      <c r="X11" s="3" t="str">
        <f t="shared" si="1"/>
        <v>U</v>
      </c>
      <c r="Z11" s="3">
        <v>59.5</v>
      </c>
      <c r="AB11" s="3" t="str">
        <f t="shared" si="8"/>
        <v>PHO/SAC</v>
      </c>
      <c r="AC11" s="3">
        <f t="shared" si="4"/>
        <v>0</v>
      </c>
      <c r="AD11" s="3">
        <f t="shared" si="5"/>
        <v>4</v>
      </c>
    </row>
    <row r="12" spans="1:33" x14ac:dyDescent="0.45">
      <c r="A12" s="3">
        <v>191024</v>
      </c>
      <c r="C12" s="3" t="s">
        <v>45</v>
      </c>
      <c r="D12" s="3" t="s">
        <v>46</v>
      </c>
      <c r="E12" s="3">
        <v>27</v>
      </c>
      <c r="F12" s="3">
        <v>23</v>
      </c>
      <c r="G12" s="3">
        <v>24</v>
      </c>
      <c r="H12" s="3">
        <v>26</v>
      </c>
      <c r="J12" s="3">
        <v>24</v>
      </c>
      <c r="K12" s="3">
        <v>30</v>
      </c>
      <c r="L12" s="3">
        <v>19</v>
      </c>
      <c r="M12" s="3">
        <v>35</v>
      </c>
      <c r="O12" s="3">
        <f t="shared" si="9"/>
        <v>100</v>
      </c>
      <c r="P12" s="3">
        <f t="shared" si="3"/>
        <v>108</v>
      </c>
      <c r="Q12" s="3" t="str">
        <f t="shared" si="6"/>
        <v>HW</v>
      </c>
      <c r="R12" s="3" t="str">
        <f t="shared" si="0"/>
        <v>HL</v>
      </c>
      <c r="S12" s="3" t="str">
        <f t="shared" si="0"/>
        <v>HW</v>
      </c>
      <c r="T12" s="3" t="str">
        <f t="shared" si="0"/>
        <v>HL</v>
      </c>
      <c r="U12" s="3" t="str">
        <f t="shared" si="7"/>
        <v>U</v>
      </c>
      <c r="V12" s="3" t="str">
        <f t="shared" si="1"/>
        <v>U</v>
      </c>
      <c r="W12" s="3" t="str">
        <f t="shared" si="1"/>
        <v>U</v>
      </c>
      <c r="X12" s="3" t="str">
        <f t="shared" si="1"/>
        <v>O</v>
      </c>
      <c r="Z12" s="3">
        <v>56.5</v>
      </c>
      <c r="AB12" s="3" t="str">
        <f t="shared" si="8"/>
        <v>POR/DEN</v>
      </c>
      <c r="AC12" s="3">
        <f t="shared" si="4"/>
        <v>1</v>
      </c>
      <c r="AD12" s="3">
        <f t="shared" si="5"/>
        <v>3</v>
      </c>
    </row>
    <row r="13" spans="1:33" x14ac:dyDescent="0.45">
      <c r="A13" s="3">
        <v>191024</v>
      </c>
      <c r="C13" s="3" t="s">
        <v>56</v>
      </c>
      <c r="D13" s="3" t="s">
        <v>47</v>
      </c>
      <c r="E13" s="3">
        <v>22</v>
      </c>
      <c r="F13" s="3">
        <v>37</v>
      </c>
      <c r="G13" s="3">
        <v>24</v>
      </c>
      <c r="H13" s="3">
        <v>37</v>
      </c>
      <c r="J13" s="3">
        <v>15</v>
      </c>
      <c r="K13" s="3">
        <v>36</v>
      </c>
      <c r="L13" s="3">
        <v>33</v>
      </c>
      <c r="M13" s="3">
        <v>27</v>
      </c>
      <c r="O13" s="3">
        <f t="shared" si="9"/>
        <v>120</v>
      </c>
      <c r="P13" s="3">
        <f t="shared" si="3"/>
        <v>111</v>
      </c>
      <c r="Q13" s="3" t="str">
        <f t="shared" si="6"/>
        <v>HW</v>
      </c>
      <c r="R13" s="3" t="str">
        <f t="shared" si="0"/>
        <v>HW</v>
      </c>
      <c r="S13" s="3" t="str">
        <f t="shared" si="0"/>
        <v>HL</v>
      </c>
      <c r="T13" s="3" t="str">
        <f t="shared" si="0"/>
        <v>HW</v>
      </c>
      <c r="U13" s="3" t="str">
        <f t="shared" si="7"/>
        <v>U</v>
      </c>
      <c r="V13" s="3" t="str">
        <f t="shared" si="1"/>
        <v>O</v>
      </c>
      <c r="W13" s="3" t="str">
        <f t="shared" si="1"/>
        <v>O</v>
      </c>
      <c r="X13" s="3" t="str">
        <f t="shared" si="1"/>
        <v>O</v>
      </c>
      <c r="Z13" s="3">
        <v>55.5</v>
      </c>
      <c r="AB13" s="3" t="str">
        <f t="shared" si="8"/>
        <v>SAS/NYK</v>
      </c>
      <c r="AC13" s="3">
        <f t="shared" si="4"/>
        <v>3</v>
      </c>
      <c r="AD13" s="3">
        <f t="shared" si="5"/>
        <v>1</v>
      </c>
    </row>
    <row r="14" spans="1:33" x14ac:dyDescent="0.45">
      <c r="A14" s="3">
        <v>191024</v>
      </c>
      <c r="C14" s="3" t="s">
        <v>48</v>
      </c>
      <c r="D14" s="3" t="s">
        <v>49</v>
      </c>
      <c r="E14" s="3">
        <v>23</v>
      </c>
      <c r="F14" s="3">
        <v>26</v>
      </c>
      <c r="G14" s="3">
        <v>19</v>
      </c>
      <c r="H14" s="3">
        <v>32</v>
      </c>
      <c r="J14" s="3">
        <v>12</v>
      </c>
      <c r="K14" s="3">
        <v>34</v>
      </c>
      <c r="L14" s="3">
        <v>28</v>
      </c>
      <c r="M14" s="3">
        <v>21</v>
      </c>
      <c r="O14" s="3">
        <f t="shared" si="9"/>
        <v>100</v>
      </c>
      <c r="P14" s="3">
        <f t="shared" si="3"/>
        <v>95</v>
      </c>
      <c r="Q14" s="3" t="str">
        <f t="shared" si="6"/>
        <v>HW</v>
      </c>
      <c r="R14" s="3" t="str">
        <f t="shared" si="0"/>
        <v>HL</v>
      </c>
      <c r="S14" s="3" t="str">
        <f t="shared" si="0"/>
        <v>HL</v>
      </c>
      <c r="T14" s="3" t="str">
        <f t="shared" si="0"/>
        <v>HW</v>
      </c>
      <c r="U14" s="3" t="str">
        <f t="shared" si="7"/>
        <v>U</v>
      </c>
      <c r="V14" s="3" t="str">
        <f t="shared" si="1"/>
        <v>O</v>
      </c>
      <c r="W14" s="3" t="str">
        <f t="shared" si="1"/>
        <v>U</v>
      </c>
      <c r="X14" s="3" t="str">
        <f t="shared" si="1"/>
        <v>U</v>
      </c>
      <c r="Z14" s="3">
        <v>57.5</v>
      </c>
      <c r="AB14" s="3" t="str">
        <f t="shared" si="8"/>
        <v>UTA/OKC</v>
      </c>
      <c r="AC14" s="3">
        <f t="shared" si="4"/>
        <v>1</v>
      </c>
      <c r="AD14" s="3">
        <f t="shared" si="5"/>
        <v>3</v>
      </c>
    </row>
    <row r="15" spans="1:33" x14ac:dyDescent="0.45">
      <c r="A15" s="3">
        <v>191025</v>
      </c>
      <c r="B15" s="44">
        <v>0.33333333333333331</v>
      </c>
      <c r="C15" s="3" t="s">
        <v>36</v>
      </c>
      <c r="D15" s="3" t="s">
        <v>50</v>
      </c>
      <c r="E15" s="3">
        <v>32</v>
      </c>
      <c r="F15" s="3">
        <v>31</v>
      </c>
      <c r="G15" s="3">
        <v>18</v>
      </c>
      <c r="H15" s="3">
        <v>19</v>
      </c>
      <c r="J15" s="3">
        <v>38</v>
      </c>
      <c r="K15" s="3">
        <v>22</v>
      </c>
      <c r="L15" s="3">
        <v>31</v>
      </c>
      <c r="M15" s="3">
        <v>26</v>
      </c>
      <c r="O15" s="3">
        <f t="shared" ref="O15:O36" si="10">SUM(E15:I15)</f>
        <v>100</v>
      </c>
      <c r="P15" s="3">
        <f t="shared" si="3"/>
        <v>117</v>
      </c>
      <c r="Q15" s="3" t="str">
        <f t="shared" si="6"/>
        <v>HL</v>
      </c>
      <c r="R15" s="3" t="str">
        <f t="shared" si="0"/>
        <v>HW</v>
      </c>
      <c r="S15" s="3" t="str">
        <f t="shared" si="0"/>
        <v>HL</v>
      </c>
      <c r="T15" s="3" t="str">
        <f t="shared" si="0"/>
        <v>HL</v>
      </c>
      <c r="U15" s="3" t="str">
        <f t="shared" si="7"/>
        <v>O</v>
      </c>
      <c r="V15" s="3" t="str">
        <f t="shared" si="1"/>
        <v>U</v>
      </c>
      <c r="W15" s="3" t="str">
        <f t="shared" si="1"/>
        <v>U</v>
      </c>
      <c r="X15" s="3" t="str">
        <f t="shared" si="1"/>
        <v>U</v>
      </c>
      <c r="Z15" s="3">
        <v>57</v>
      </c>
      <c r="AB15" s="3" t="str">
        <f t="shared" si="8"/>
        <v>DET/ATL</v>
      </c>
      <c r="AC15" s="3">
        <f t="shared" si="4"/>
        <v>1</v>
      </c>
      <c r="AD15" s="3">
        <f t="shared" si="5"/>
        <v>3</v>
      </c>
    </row>
    <row r="16" spans="1:33" x14ac:dyDescent="0.45">
      <c r="A16" s="3">
        <v>191025</v>
      </c>
      <c r="B16" s="44">
        <v>0.47916666666666669</v>
      </c>
      <c r="C16" s="3" t="s">
        <v>51</v>
      </c>
      <c r="D16" s="3" t="s">
        <v>25</v>
      </c>
      <c r="E16" s="3">
        <v>29</v>
      </c>
      <c r="F16" s="3">
        <v>25</v>
      </c>
      <c r="G16" s="3">
        <v>33</v>
      </c>
      <c r="H16" s="3">
        <v>35</v>
      </c>
      <c r="J16" s="3">
        <v>35</v>
      </c>
      <c r="K16" s="3">
        <v>30</v>
      </c>
      <c r="L16" s="3">
        <v>46</v>
      </c>
      <c r="M16" s="3">
        <v>30</v>
      </c>
      <c r="O16" s="3">
        <f t="shared" si="10"/>
        <v>122</v>
      </c>
      <c r="P16" s="3">
        <f t="shared" si="3"/>
        <v>141</v>
      </c>
      <c r="Q16" s="3" t="str">
        <f t="shared" si="6"/>
        <v>HL</v>
      </c>
      <c r="R16" s="3" t="str">
        <f t="shared" si="0"/>
        <v>HL</v>
      </c>
      <c r="S16" s="3" t="str">
        <f t="shared" si="0"/>
        <v>HL</v>
      </c>
      <c r="T16" s="3" t="str">
        <f t="shared" si="0"/>
        <v>HW</v>
      </c>
      <c r="U16" s="3" t="str">
        <f t="shared" si="7"/>
        <v>O</v>
      </c>
      <c r="V16" s="3" t="str">
        <f t="shared" si="1"/>
        <v>U</v>
      </c>
      <c r="W16" s="3" t="str">
        <f t="shared" si="1"/>
        <v>O</v>
      </c>
      <c r="X16" s="3" t="str">
        <f t="shared" si="1"/>
        <v>O</v>
      </c>
      <c r="Z16" s="3">
        <v>59.5</v>
      </c>
      <c r="AB16" s="3" t="str">
        <f t="shared" si="8"/>
        <v>GS/LAC</v>
      </c>
      <c r="AC16" s="3">
        <f t="shared" si="4"/>
        <v>3</v>
      </c>
      <c r="AD16" s="3">
        <f t="shared" si="5"/>
        <v>1</v>
      </c>
    </row>
    <row r="17" spans="1:30" x14ac:dyDescent="0.45">
      <c r="A17" s="3">
        <v>191025</v>
      </c>
      <c r="B17" s="44">
        <v>0.375</v>
      </c>
      <c r="C17" s="3" t="s">
        <v>52</v>
      </c>
      <c r="D17" s="3" t="s">
        <v>53</v>
      </c>
      <c r="E17" s="3">
        <v>30</v>
      </c>
      <c r="F17" s="3">
        <v>36</v>
      </c>
      <c r="G17" s="3">
        <v>21</v>
      </c>
      <c r="H17" s="3">
        <v>24</v>
      </c>
      <c r="J17" s="3">
        <v>23</v>
      </c>
      <c r="K17" s="3">
        <v>27</v>
      </c>
      <c r="L17" s="3">
        <v>28</v>
      </c>
      <c r="M17" s="3">
        <v>39</v>
      </c>
      <c r="O17" s="3">
        <f t="shared" si="10"/>
        <v>111</v>
      </c>
      <c r="P17" s="3">
        <f t="shared" si="3"/>
        <v>117</v>
      </c>
      <c r="Q17" s="3" t="str">
        <f t="shared" si="6"/>
        <v>HW</v>
      </c>
      <c r="R17" s="3" t="str">
        <f t="shared" si="0"/>
        <v>HW</v>
      </c>
      <c r="S17" s="3" t="str">
        <f t="shared" si="0"/>
        <v>HL</v>
      </c>
      <c r="T17" s="3" t="str">
        <f t="shared" si="0"/>
        <v>HL</v>
      </c>
      <c r="U17" s="3" t="str">
        <f t="shared" si="7"/>
        <v>U</v>
      </c>
      <c r="V17" s="3" t="str">
        <f t="shared" si="1"/>
        <v>O</v>
      </c>
      <c r="W17" s="3" t="str">
        <f t="shared" si="1"/>
        <v>U</v>
      </c>
      <c r="X17" s="3" t="str">
        <f t="shared" si="1"/>
        <v>O</v>
      </c>
      <c r="Z17" s="3">
        <v>57</v>
      </c>
      <c r="AB17" s="3" t="str">
        <f t="shared" si="8"/>
        <v>HOU/MIL</v>
      </c>
      <c r="AC17" s="3">
        <f t="shared" si="4"/>
        <v>2</v>
      </c>
      <c r="AD17" s="3">
        <f t="shared" si="5"/>
        <v>2</v>
      </c>
    </row>
    <row r="18" spans="1:30" x14ac:dyDescent="0.45">
      <c r="A18" s="3">
        <v>191026</v>
      </c>
      <c r="B18" s="44">
        <v>0.33333333333333331</v>
      </c>
      <c r="C18" s="3" t="s">
        <v>42</v>
      </c>
      <c r="D18" s="3" t="s">
        <v>28</v>
      </c>
      <c r="E18" s="3">
        <v>22</v>
      </c>
      <c r="F18" s="3">
        <v>28</v>
      </c>
      <c r="G18" s="3">
        <v>26</v>
      </c>
      <c r="H18" s="3">
        <v>36</v>
      </c>
      <c r="J18" s="3">
        <v>21</v>
      </c>
      <c r="K18" s="3">
        <v>28</v>
      </c>
      <c r="L18" s="3">
        <v>33</v>
      </c>
      <c r="M18" s="3">
        <v>24</v>
      </c>
      <c r="O18" s="3">
        <f t="shared" si="10"/>
        <v>112</v>
      </c>
      <c r="P18" s="3">
        <f t="shared" si="3"/>
        <v>106</v>
      </c>
      <c r="Q18" s="3" t="str">
        <f t="shared" si="6"/>
        <v>HW</v>
      </c>
      <c r="R18" s="3" t="str">
        <f t="shared" si="6"/>
        <v>TT</v>
      </c>
      <c r="S18" s="3" t="str">
        <f t="shared" si="6"/>
        <v>HL</v>
      </c>
      <c r="T18" s="3" t="str">
        <f t="shared" si="6"/>
        <v>HW</v>
      </c>
      <c r="U18" s="3" t="str">
        <f t="shared" si="7"/>
        <v>U</v>
      </c>
      <c r="V18" s="3" t="str">
        <f t="shared" si="7"/>
        <v>O</v>
      </c>
      <c r="W18" s="3" t="str">
        <f t="shared" si="7"/>
        <v>O</v>
      </c>
      <c r="X18" s="3" t="str">
        <f t="shared" si="7"/>
        <v>O</v>
      </c>
      <c r="Z18" s="3">
        <v>55.5</v>
      </c>
      <c r="AB18" s="3" t="str">
        <f t="shared" si="8"/>
        <v>BOS/TOR</v>
      </c>
      <c r="AC18" s="3">
        <f t="shared" si="4"/>
        <v>3</v>
      </c>
      <c r="AD18" s="3">
        <f t="shared" si="5"/>
        <v>1</v>
      </c>
    </row>
    <row r="19" spans="1:30" x14ac:dyDescent="0.45">
      <c r="A19" s="3">
        <v>191026</v>
      </c>
      <c r="B19" s="44">
        <v>0.35416666666666669</v>
      </c>
      <c r="C19" s="3" t="s">
        <v>54</v>
      </c>
      <c r="D19" s="3" t="s">
        <v>30</v>
      </c>
      <c r="E19" s="3">
        <v>32</v>
      </c>
      <c r="F19" s="3">
        <v>32</v>
      </c>
      <c r="G19" s="3">
        <v>30</v>
      </c>
      <c r="H19" s="3">
        <v>19</v>
      </c>
      <c r="J19" s="3">
        <v>23</v>
      </c>
      <c r="K19" s="3">
        <v>28</v>
      </c>
      <c r="L19" s="3">
        <v>32</v>
      </c>
      <c r="M19" s="3">
        <v>26</v>
      </c>
      <c r="O19" s="3">
        <f t="shared" si="10"/>
        <v>113</v>
      </c>
      <c r="P19" s="3">
        <f t="shared" si="3"/>
        <v>109</v>
      </c>
      <c r="Q19" s="3" t="str">
        <f t="shared" si="6"/>
        <v>HW</v>
      </c>
      <c r="R19" s="3" t="str">
        <f t="shared" si="6"/>
        <v>HW</v>
      </c>
      <c r="S19" s="3" t="str">
        <f t="shared" si="6"/>
        <v>HL</v>
      </c>
      <c r="T19" s="3" t="str">
        <f t="shared" si="6"/>
        <v>HL</v>
      </c>
      <c r="U19" s="3" t="str">
        <f t="shared" si="7"/>
        <v>U</v>
      </c>
      <c r="V19" s="3" t="str">
        <f t="shared" si="7"/>
        <v>O</v>
      </c>
      <c r="W19" s="3" t="str">
        <f t="shared" si="7"/>
        <v>O</v>
      </c>
      <c r="X19" s="3" t="str">
        <f t="shared" si="7"/>
        <v>U</v>
      </c>
      <c r="Z19" s="3">
        <v>58.5</v>
      </c>
      <c r="AB19" s="3" t="str">
        <f t="shared" si="8"/>
        <v>NY/BKN</v>
      </c>
      <c r="AC19" s="3">
        <f t="shared" si="4"/>
        <v>2</v>
      </c>
      <c r="AD19" s="3">
        <f t="shared" si="5"/>
        <v>2</v>
      </c>
    </row>
    <row r="20" spans="1:30" x14ac:dyDescent="0.45">
      <c r="A20" s="3">
        <v>191026</v>
      </c>
      <c r="B20" s="44">
        <v>0.33333333333333331</v>
      </c>
      <c r="C20" s="3" t="s">
        <v>31</v>
      </c>
      <c r="D20" s="3" t="s">
        <v>29</v>
      </c>
      <c r="E20" s="3">
        <v>32</v>
      </c>
      <c r="F20" s="3">
        <v>24</v>
      </c>
      <c r="G20" s="3">
        <v>25</v>
      </c>
      <c r="H20" s="3">
        <v>18</v>
      </c>
      <c r="J20" s="3">
        <v>30</v>
      </c>
      <c r="K20" s="3">
        <v>28</v>
      </c>
      <c r="L20" s="3">
        <v>45</v>
      </c>
      <c r="M20" s="3">
        <v>18</v>
      </c>
      <c r="O20" s="3">
        <f t="shared" si="10"/>
        <v>99</v>
      </c>
      <c r="P20" s="3">
        <f t="shared" si="3"/>
        <v>121</v>
      </c>
      <c r="Q20" s="3" t="str">
        <f t="shared" ref="Q20:T35" si="11">IF(E20=J20,"TT",IF(E20&gt;J20,"HW","HL"))</f>
        <v>HW</v>
      </c>
      <c r="R20" s="3" t="str">
        <f t="shared" si="11"/>
        <v>HL</v>
      </c>
      <c r="S20" s="3" t="str">
        <f t="shared" si="11"/>
        <v>HL</v>
      </c>
      <c r="T20" s="3" t="str">
        <f t="shared" si="11"/>
        <v>TT</v>
      </c>
      <c r="U20" s="3" t="str">
        <f t="shared" ref="U20:X35" si="12">IF(SUM(E20,J20)=$Z20,"T",IF(SUM(E20,J20)&gt;$Z20,"O","U"))</f>
        <v>O</v>
      </c>
      <c r="V20" s="3" t="str">
        <f t="shared" si="12"/>
        <v>U</v>
      </c>
      <c r="W20" s="3" t="str">
        <f t="shared" si="12"/>
        <v>O</v>
      </c>
      <c r="X20" s="3" t="str">
        <f t="shared" si="12"/>
        <v>U</v>
      </c>
      <c r="Z20" s="3">
        <v>58.5</v>
      </c>
      <c r="AB20" s="3" t="str">
        <f t="shared" si="8"/>
        <v>CHA/MIN</v>
      </c>
      <c r="AC20" s="3">
        <f t="shared" si="4"/>
        <v>2</v>
      </c>
      <c r="AD20" s="3">
        <f t="shared" si="5"/>
        <v>2</v>
      </c>
    </row>
    <row r="21" spans="1:30" x14ac:dyDescent="0.45">
      <c r="A21" s="3">
        <v>191026</v>
      </c>
      <c r="B21" s="44">
        <v>0.41666666666666669</v>
      </c>
      <c r="C21" s="3" t="s">
        <v>46</v>
      </c>
      <c r="D21" s="3" t="s">
        <v>43</v>
      </c>
      <c r="E21" s="3">
        <v>15</v>
      </c>
      <c r="F21" s="3">
        <v>24</v>
      </c>
      <c r="G21" s="3">
        <v>25</v>
      </c>
      <c r="H21" s="3">
        <v>31</v>
      </c>
      <c r="I21" s="3">
        <v>13</v>
      </c>
      <c r="J21" s="3">
        <v>21</v>
      </c>
      <c r="K21" s="3">
        <v>24</v>
      </c>
      <c r="L21" s="3">
        <v>17</v>
      </c>
      <c r="M21" s="3">
        <v>33</v>
      </c>
      <c r="N21" s="3">
        <v>12</v>
      </c>
      <c r="O21" s="3">
        <f t="shared" si="10"/>
        <v>108</v>
      </c>
      <c r="P21" s="3">
        <f t="shared" si="3"/>
        <v>107</v>
      </c>
      <c r="Q21" s="3" t="str">
        <f t="shared" si="11"/>
        <v>HL</v>
      </c>
      <c r="R21" s="3" t="str">
        <f t="shared" si="11"/>
        <v>TT</v>
      </c>
      <c r="S21" s="3" t="str">
        <f t="shared" si="11"/>
        <v>HW</v>
      </c>
      <c r="T21" s="3" t="str">
        <f t="shared" si="11"/>
        <v>HL</v>
      </c>
      <c r="U21" s="3" t="str">
        <f t="shared" si="12"/>
        <v>U</v>
      </c>
      <c r="V21" s="3" t="str">
        <f t="shared" si="12"/>
        <v>U</v>
      </c>
      <c r="W21" s="3" t="str">
        <f t="shared" si="12"/>
        <v>U</v>
      </c>
      <c r="X21" s="3" t="str">
        <f t="shared" si="12"/>
        <v>O</v>
      </c>
      <c r="Z21" s="3">
        <v>55</v>
      </c>
      <c r="AB21" s="3" t="str">
        <f t="shared" si="8"/>
        <v>DEN/PHO</v>
      </c>
      <c r="AC21" s="3">
        <f t="shared" si="4"/>
        <v>1</v>
      </c>
      <c r="AD21" s="3">
        <f t="shared" si="5"/>
        <v>3</v>
      </c>
    </row>
    <row r="22" spans="1:30" x14ac:dyDescent="0.45">
      <c r="A22" s="3">
        <v>191026</v>
      </c>
      <c r="B22" s="44">
        <v>0.47916666666666669</v>
      </c>
      <c r="C22" s="3" t="s">
        <v>26</v>
      </c>
      <c r="D22" s="3" t="s">
        <v>48</v>
      </c>
      <c r="E22" s="3">
        <v>24</v>
      </c>
      <c r="F22" s="3">
        <v>19</v>
      </c>
      <c r="G22" s="3">
        <v>31</v>
      </c>
      <c r="H22" s="3">
        <v>21</v>
      </c>
      <c r="J22" s="3">
        <v>17</v>
      </c>
      <c r="K22" s="3">
        <v>20</v>
      </c>
      <c r="L22" s="3">
        <v>18</v>
      </c>
      <c r="M22" s="3">
        <v>31</v>
      </c>
      <c r="O22" s="3">
        <f t="shared" si="10"/>
        <v>95</v>
      </c>
      <c r="P22" s="3">
        <f t="shared" si="3"/>
        <v>86</v>
      </c>
      <c r="Q22" s="3" t="str">
        <f t="shared" si="11"/>
        <v>HW</v>
      </c>
      <c r="R22" s="3" t="str">
        <f t="shared" si="11"/>
        <v>HL</v>
      </c>
      <c r="S22" s="3" t="str">
        <f t="shared" si="11"/>
        <v>HW</v>
      </c>
      <c r="T22" s="3" t="str">
        <f t="shared" si="11"/>
        <v>HL</v>
      </c>
      <c r="U22" s="3" t="str">
        <f t="shared" si="12"/>
        <v>U</v>
      </c>
      <c r="V22" s="3" t="str">
        <f t="shared" si="12"/>
        <v>U</v>
      </c>
      <c r="W22" s="3" t="str">
        <f t="shared" si="12"/>
        <v>U</v>
      </c>
      <c r="X22" s="3" t="str">
        <f t="shared" si="12"/>
        <v>U</v>
      </c>
      <c r="Z22" s="3">
        <v>53.5</v>
      </c>
      <c r="AB22" s="3" t="str">
        <f t="shared" si="8"/>
        <v>LAL/UTA</v>
      </c>
      <c r="AC22" s="3">
        <f t="shared" si="4"/>
        <v>0</v>
      </c>
      <c r="AD22" s="3">
        <f t="shared" si="5"/>
        <v>4</v>
      </c>
    </row>
    <row r="23" spans="1:30" x14ac:dyDescent="0.45">
      <c r="A23" s="3">
        <v>191026</v>
      </c>
      <c r="B23" s="44">
        <v>0.375</v>
      </c>
      <c r="C23" s="3" t="s">
        <v>38</v>
      </c>
      <c r="D23" s="3" t="s">
        <v>32</v>
      </c>
      <c r="E23" s="3">
        <v>29</v>
      </c>
      <c r="F23" s="3">
        <v>31</v>
      </c>
      <c r="G23" s="3">
        <v>21</v>
      </c>
      <c r="H23" s="3">
        <v>21</v>
      </c>
      <c r="J23" s="3">
        <v>25</v>
      </c>
      <c r="K23" s="3">
        <v>22</v>
      </c>
      <c r="L23" s="3">
        <v>32</v>
      </c>
      <c r="M23" s="3">
        <v>31</v>
      </c>
      <c r="O23" s="3">
        <f t="shared" si="10"/>
        <v>102</v>
      </c>
      <c r="P23" s="3">
        <f t="shared" si="3"/>
        <v>110</v>
      </c>
      <c r="Q23" s="3" t="str">
        <f t="shared" si="11"/>
        <v>HW</v>
      </c>
      <c r="R23" s="3" t="str">
        <f t="shared" si="11"/>
        <v>HW</v>
      </c>
      <c r="S23" s="3" t="str">
        <f t="shared" si="11"/>
        <v>HL</v>
      </c>
      <c r="T23" s="3" t="str">
        <f t="shared" si="11"/>
        <v>HL</v>
      </c>
      <c r="U23" s="3" t="str">
        <f t="shared" si="12"/>
        <v>U</v>
      </c>
      <c r="V23" s="3" t="str">
        <f t="shared" si="12"/>
        <v>U</v>
      </c>
      <c r="W23" s="3" t="str">
        <f t="shared" si="12"/>
        <v>U</v>
      </c>
      <c r="X23" s="3" t="str">
        <f t="shared" si="12"/>
        <v>U</v>
      </c>
      <c r="Z23" s="3">
        <v>55.5</v>
      </c>
      <c r="AB23" s="3" t="str">
        <f t="shared" si="8"/>
        <v>MEM/CHI</v>
      </c>
      <c r="AC23" s="3">
        <f t="shared" si="4"/>
        <v>0</v>
      </c>
      <c r="AD23" s="3">
        <f t="shared" si="5"/>
        <v>4</v>
      </c>
    </row>
    <row r="24" spans="1:30" x14ac:dyDescent="0.45">
      <c r="A24" s="3">
        <v>191026</v>
      </c>
      <c r="B24" s="44">
        <v>0.41666666666666669</v>
      </c>
      <c r="C24" s="3" t="s">
        <v>27</v>
      </c>
      <c r="D24" s="3" t="s">
        <v>33</v>
      </c>
      <c r="E24" s="3">
        <v>41</v>
      </c>
      <c r="F24" s="3">
        <v>23</v>
      </c>
      <c r="G24" s="3">
        <v>29</v>
      </c>
      <c r="H24" s="3">
        <v>23</v>
      </c>
      <c r="J24" s="3">
        <v>27</v>
      </c>
      <c r="K24" s="3">
        <v>45</v>
      </c>
      <c r="L24" s="3">
        <v>23</v>
      </c>
      <c r="M24" s="3">
        <v>28</v>
      </c>
      <c r="O24" s="3">
        <f t="shared" si="10"/>
        <v>116</v>
      </c>
      <c r="P24" s="3">
        <f t="shared" si="3"/>
        <v>123</v>
      </c>
      <c r="Q24" s="3" t="str">
        <f t="shared" si="11"/>
        <v>HW</v>
      </c>
      <c r="R24" s="3" t="str">
        <f t="shared" si="11"/>
        <v>HL</v>
      </c>
      <c r="S24" s="3" t="str">
        <f t="shared" si="11"/>
        <v>HW</v>
      </c>
      <c r="T24" s="3" t="str">
        <f t="shared" si="11"/>
        <v>HL</v>
      </c>
      <c r="U24" s="3" t="str">
        <f t="shared" si="12"/>
        <v>O</v>
      </c>
      <c r="V24" s="3" t="str">
        <f t="shared" si="12"/>
        <v>O</v>
      </c>
      <c r="W24" s="3" t="str">
        <f t="shared" si="12"/>
        <v>U</v>
      </c>
      <c r="X24" s="3" t="str">
        <f t="shared" si="12"/>
        <v>U</v>
      </c>
      <c r="Z24" s="3">
        <v>58.5</v>
      </c>
      <c r="AB24" s="3" t="str">
        <f t="shared" si="8"/>
        <v>NO/DAL</v>
      </c>
      <c r="AC24" s="3">
        <f t="shared" si="4"/>
        <v>2</v>
      </c>
      <c r="AD24" s="3">
        <f t="shared" si="5"/>
        <v>2</v>
      </c>
    </row>
    <row r="25" spans="1:30" x14ac:dyDescent="0.45">
      <c r="A25" s="3">
        <v>191026</v>
      </c>
      <c r="B25" s="44">
        <v>0.45833333333333331</v>
      </c>
      <c r="C25" s="3" t="s">
        <v>49</v>
      </c>
      <c r="D25" s="3" t="s">
        <v>34</v>
      </c>
      <c r="E25" s="3">
        <v>24</v>
      </c>
      <c r="F25" s="3">
        <v>22</v>
      </c>
      <c r="G25" s="3">
        <v>24</v>
      </c>
      <c r="H25" s="3">
        <v>15</v>
      </c>
      <c r="J25" s="3">
        <v>28</v>
      </c>
      <c r="K25" s="3">
        <v>24</v>
      </c>
      <c r="L25" s="3">
        <v>26</v>
      </c>
      <c r="M25" s="3">
        <v>19</v>
      </c>
      <c r="O25" s="3">
        <f t="shared" si="10"/>
        <v>85</v>
      </c>
      <c r="P25" s="3">
        <f t="shared" si="3"/>
        <v>97</v>
      </c>
      <c r="Q25" s="3" t="str">
        <f t="shared" si="11"/>
        <v>HL</v>
      </c>
      <c r="R25" s="3" t="str">
        <f t="shared" si="11"/>
        <v>HL</v>
      </c>
      <c r="S25" s="3" t="str">
        <f t="shared" si="11"/>
        <v>HL</v>
      </c>
      <c r="T25" s="3" t="str">
        <f t="shared" si="11"/>
        <v>HL</v>
      </c>
      <c r="U25" s="3" t="str">
        <f t="shared" si="12"/>
        <v>U</v>
      </c>
      <c r="V25" s="3" t="str">
        <f t="shared" si="12"/>
        <v>U</v>
      </c>
      <c r="W25" s="3" t="str">
        <f t="shared" si="12"/>
        <v>U</v>
      </c>
      <c r="X25" s="3" t="str">
        <f t="shared" si="12"/>
        <v>U</v>
      </c>
      <c r="Z25" s="3">
        <v>56.5</v>
      </c>
      <c r="AB25" s="3" t="str">
        <f t="shared" si="8"/>
        <v>OKC/WAS</v>
      </c>
      <c r="AC25" s="3">
        <f t="shared" si="4"/>
        <v>0</v>
      </c>
      <c r="AD25" s="3">
        <f t="shared" si="5"/>
        <v>4</v>
      </c>
    </row>
    <row r="26" spans="1:30" x14ac:dyDescent="0.45">
      <c r="A26" s="3">
        <v>191026</v>
      </c>
      <c r="B26" s="44">
        <v>0.47916666666666669</v>
      </c>
      <c r="C26" s="3" t="s">
        <v>44</v>
      </c>
      <c r="D26" s="3" t="s">
        <v>45</v>
      </c>
      <c r="E26" s="3">
        <v>27</v>
      </c>
      <c r="F26" s="3">
        <v>30</v>
      </c>
      <c r="G26" s="3">
        <v>27</v>
      </c>
      <c r="H26" s="3">
        <v>28</v>
      </c>
      <c r="J26" s="3">
        <v>25</v>
      </c>
      <c r="K26" s="3">
        <v>32</v>
      </c>
      <c r="L26" s="3">
        <v>37</v>
      </c>
      <c r="M26" s="3">
        <v>28</v>
      </c>
      <c r="O26" s="3">
        <f t="shared" si="10"/>
        <v>112</v>
      </c>
      <c r="P26" s="3">
        <f t="shared" si="3"/>
        <v>122</v>
      </c>
      <c r="Q26" s="3" t="str">
        <f t="shared" si="11"/>
        <v>HW</v>
      </c>
      <c r="R26" s="3" t="str">
        <f t="shared" si="11"/>
        <v>HL</v>
      </c>
      <c r="S26" s="3" t="str">
        <f t="shared" si="11"/>
        <v>HL</v>
      </c>
      <c r="T26" s="3" t="str">
        <f t="shared" si="11"/>
        <v>TT</v>
      </c>
      <c r="U26" s="3" t="str">
        <f t="shared" si="12"/>
        <v>U</v>
      </c>
      <c r="V26" s="3" t="str">
        <f t="shared" si="12"/>
        <v>O</v>
      </c>
      <c r="W26" s="3" t="str">
        <f t="shared" si="12"/>
        <v>O</v>
      </c>
      <c r="X26" s="3" t="str">
        <f t="shared" si="12"/>
        <v>O</v>
      </c>
      <c r="Z26" s="3">
        <v>55.5</v>
      </c>
      <c r="AB26" s="3" t="str">
        <f t="shared" si="8"/>
        <v>SAC/POR</v>
      </c>
      <c r="AC26" s="3">
        <f t="shared" si="4"/>
        <v>3</v>
      </c>
      <c r="AD26" s="3">
        <f t="shared" si="5"/>
        <v>1</v>
      </c>
    </row>
    <row r="27" spans="1:30" x14ac:dyDescent="0.45">
      <c r="A27" s="3">
        <v>191027</v>
      </c>
      <c r="B27" s="44">
        <v>0.25</v>
      </c>
      <c r="C27" s="3" t="s">
        <v>53</v>
      </c>
      <c r="D27" s="3" t="s">
        <v>37</v>
      </c>
      <c r="E27" s="3">
        <v>33</v>
      </c>
      <c r="F27" s="3">
        <v>37</v>
      </c>
      <c r="G27" s="3">
        <v>23</v>
      </c>
      <c r="H27" s="3">
        <v>28</v>
      </c>
      <c r="I27" s="3">
        <v>5</v>
      </c>
      <c r="J27" s="3">
        <v>29</v>
      </c>
      <c r="K27" s="3">
        <v>24</v>
      </c>
      <c r="L27" s="3">
        <v>29</v>
      </c>
      <c r="M27" s="3">
        <v>39</v>
      </c>
      <c r="N27" s="3">
        <v>10</v>
      </c>
      <c r="O27" s="3">
        <f t="shared" si="10"/>
        <v>126</v>
      </c>
      <c r="P27" s="3">
        <f t="shared" si="3"/>
        <v>131</v>
      </c>
      <c r="Q27" s="3" t="str">
        <f t="shared" si="11"/>
        <v>HW</v>
      </c>
      <c r="R27" s="3" t="str">
        <f t="shared" si="11"/>
        <v>HW</v>
      </c>
      <c r="S27" s="3" t="str">
        <f t="shared" si="11"/>
        <v>HL</v>
      </c>
      <c r="T27" s="3" t="str">
        <f t="shared" si="11"/>
        <v>HL</v>
      </c>
      <c r="U27" s="3" t="str">
        <f t="shared" si="12"/>
        <v>O</v>
      </c>
      <c r="V27" s="3" t="str">
        <f t="shared" si="12"/>
        <v>O</v>
      </c>
      <c r="W27" s="3" t="str">
        <f t="shared" si="12"/>
        <v>U</v>
      </c>
      <c r="X27" s="3" t="str">
        <f t="shared" si="12"/>
        <v>O</v>
      </c>
      <c r="Z27" s="3">
        <v>57.5</v>
      </c>
      <c r="AB27" s="3" t="str">
        <f t="shared" si="8"/>
        <v>MIL/MIA</v>
      </c>
      <c r="AC27" s="3">
        <f t="shared" si="4"/>
        <v>3</v>
      </c>
      <c r="AD27" s="3">
        <f t="shared" si="5"/>
        <v>1</v>
      </c>
    </row>
    <row r="28" spans="1:30" x14ac:dyDescent="0.45">
      <c r="A28" s="3">
        <v>191027</v>
      </c>
      <c r="B28" s="44">
        <v>0.33333333333333331</v>
      </c>
      <c r="C28" s="3" t="s">
        <v>36</v>
      </c>
      <c r="D28" s="3" t="s">
        <v>41</v>
      </c>
      <c r="E28" s="3">
        <v>29</v>
      </c>
      <c r="F28" s="3">
        <v>28</v>
      </c>
      <c r="G28" s="3">
        <v>26</v>
      </c>
      <c r="H28" s="3">
        <v>28</v>
      </c>
      <c r="J28" s="3">
        <v>28</v>
      </c>
      <c r="K28" s="3">
        <v>26</v>
      </c>
      <c r="L28" s="3">
        <v>29</v>
      </c>
      <c r="M28" s="3">
        <v>34</v>
      </c>
      <c r="O28" s="3">
        <f t="shared" si="10"/>
        <v>111</v>
      </c>
      <c r="P28" s="3">
        <f t="shared" si="3"/>
        <v>117</v>
      </c>
      <c r="Q28" s="3" t="str">
        <f t="shared" si="11"/>
        <v>HW</v>
      </c>
      <c r="R28" s="3" t="str">
        <f t="shared" si="11"/>
        <v>HW</v>
      </c>
      <c r="S28" s="3" t="str">
        <f t="shared" si="11"/>
        <v>HL</v>
      </c>
      <c r="T28" s="3" t="str">
        <f t="shared" si="11"/>
        <v>HL</v>
      </c>
      <c r="U28" s="3" t="str">
        <f t="shared" si="12"/>
        <v>O</v>
      </c>
      <c r="V28" s="3" t="str">
        <f t="shared" si="12"/>
        <v>U</v>
      </c>
      <c r="W28" s="3" t="str">
        <f t="shared" si="12"/>
        <v>T</v>
      </c>
      <c r="X28" s="3" t="str">
        <f t="shared" si="12"/>
        <v>O</v>
      </c>
      <c r="Z28" s="3">
        <v>55</v>
      </c>
      <c r="AB28" s="3" t="str">
        <f t="shared" si="8"/>
        <v>DET/PHI</v>
      </c>
      <c r="AC28" s="3">
        <f t="shared" si="4"/>
        <v>2</v>
      </c>
      <c r="AD28" s="3">
        <f t="shared" si="5"/>
        <v>1</v>
      </c>
    </row>
    <row r="29" spans="1:30" x14ac:dyDescent="0.45">
      <c r="A29" s="3">
        <v>191027</v>
      </c>
      <c r="B29" s="45">
        <v>0.35416666666666669</v>
      </c>
      <c r="C29" s="5" t="s">
        <v>50</v>
      </c>
      <c r="D29" s="5" t="s">
        <v>39</v>
      </c>
      <c r="E29" s="3">
        <v>23</v>
      </c>
      <c r="F29" s="3">
        <v>29</v>
      </c>
      <c r="G29" s="3">
        <v>25</v>
      </c>
      <c r="H29" s="3">
        <v>26</v>
      </c>
      <c r="J29" s="3">
        <v>26</v>
      </c>
      <c r="K29" s="3">
        <v>24</v>
      </c>
      <c r="L29" s="3">
        <v>25</v>
      </c>
      <c r="M29" s="3">
        <v>24</v>
      </c>
      <c r="O29" s="3">
        <f t="shared" si="10"/>
        <v>103</v>
      </c>
      <c r="P29" s="3">
        <f t="shared" si="3"/>
        <v>99</v>
      </c>
      <c r="Q29" s="3" t="str">
        <f t="shared" si="11"/>
        <v>HL</v>
      </c>
      <c r="R29" s="3" t="str">
        <f t="shared" si="11"/>
        <v>HW</v>
      </c>
      <c r="S29" s="3" t="str">
        <f t="shared" si="11"/>
        <v>TT</v>
      </c>
      <c r="T29" s="3" t="str">
        <f t="shared" si="11"/>
        <v>HW</v>
      </c>
      <c r="U29" s="3" t="str">
        <f t="shared" si="12"/>
        <v>U</v>
      </c>
      <c r="V29" s="3" t="str">
        <f t="shared" si="12"/>
        <v>U</v>
      </c>
      <c r="W29" s="3" t="str">
        <f t="shared" si="12"/>
        <v>U</v>
      </c>
      <c r="X29" s="3" t="str">
        <f t="shared" si="12"/>
        <v>U</v>
      </c>
      <c r="Z29" s="3">
        <v>56</v>
      </c>
      <c r="AB29" s="3" t="str">
        <f t="shared" si="8"/>
        <v>ATL/ORL</v>
      </c>
      <c r="AC29" s="3">
        <f t="shared" si="4"/>
        <v>0</v>
      </c>
      <c r="AD29" s="3">
        <f t="shared" si="5"/>
        <v>4</v>
      </c>
    </row>
    <row r="30" spans="1:30" x14ac:dyDescent="0.45">
      <c r="A30" s="3">
        <v>191027</v>
      </c>
      <c r="B30" s="44">
        <v>0.375</v>
      </c>
      <c r="C30" s="3" t="s">
        <v>54</v>
      </c>
      <c r="D30" s="3" t="s">
        <v>42</v>
      </c>
      <c r="E30" s="3">
        <v>24</v>
      </c>
      <c r="F30" s="3">
        <v>27</v>
      </c>
      <c r="G30" s="3">
        <v>25</v>
      </c>
      <c r="H30" s="3">
        <v>19</v>
      </c>
      <c r="J30" s="3">
        <v>22</v>
      </c>
      <c r="K30" s="3">
        <v>24</v>
      </c>
      <c r="L30" s="3">
        <v>36</v>
      </c>
      <c r="M30" s="3">
        <v>36</v>
      </c>
      <c r="O30" s="3">
        <f t="shared" si="10"/>
        <v>95</v>
      </c>
      <c r="P30" s="3">
        <f t="shared" si="3"/>
        <v>118</v>
      </c>
      <c r="Q30" s="3" t="str">
        <f t="shared" si="11"/>
        <v>HW</v>
      </c>
      <c r="R30" s="3" t="str">
        <f t="shared" si="11"/>
        <v>HW</v>
      </c>
      <c r="S30" s="3" t="str">
        <f t="shared" si="11"/>
        <v>HL</v>
      </c>
      <c r="T30" s="3" t="str">
        <f t="shared" si="11"/>
        <v>HL</v>
      </c>
      <c r="U30" s="3" t="str">
        <f t="shared" si="12"/>
        <v>U</v>
      </c>
      <c r="V30" s="3" t="str">
        <f t="shared" si="12"/>
        <v>U</v>
      </c>
      <c r="W30" s="3" t="str">
        <f t="shared" si="12"/>
        <v>O</v>
      </c>
      <c r="X30" s="3" t="str">
        <f t="shared" si="12"/>
        <v>O</v>
      </c>
      <c r="Z30" s="3">
        <v>53.5</v>
      </c>
      <c r="AB30" s="3" t="str">
        <f t="shared" si="8"/>
        <v>NY/BOS</v>
      </c>
      <c r="AC30" s="3">
        <f t="shared" si="4"/>
        <v>2</v>
      </c>
      <c r="AD30" s="3">
        <f t="shared" si="5"/>
        <v>2</v>
      </c>
    </row>
    <row r="31" spans="1:30" x14ac:dyDescent="0.45">
      <c r="A31" s="3">
        <v>191027</v>
      </c>
      <c r="B31" s="44">
        <v>0.375</v>
      </c>
      <c r="C31" s="3" t="s">
        <v>32</v>
      </c>
      <c r="D31" s="3" t="s">
        <v>28</v>
      </c>
      <c r="E31" s="3">
        <v>23</v>
      </c>
      <c r="F31" s="3">
        <v>17</v>
      </c>
      <c r="G31" s="3">
        <v>22</v>
      </c>
      <c r="H31" s="3">
        <v>22</v>
      </c>
      <c r="J31" s="3">
        <v>24</v>
      </c>
      <c r="K31" s="3">
        <v>24</v>
      </c>
      <c r="L31" s="3">
        <v>36</v>
      </c>
      <c r="M31" s="3">
        <v>24</v>
      </c>
      <c r="O31" s="3">
        <f t="shared" si="10"/>
        <v>84</v>
      </c>
      <c r="P31" s="3">
        <f t="shared" si="3"/>
        <v>108</v>
      </c>
      <c r="Q31" s="3" t="str">
        <f t="shared" si="11"/>
        <v>HL</v>
      </c>
      <c r="R31" s="3" t="str">
        <f t="shared" si="11"/>
        <v>HL</v>
      </c>
      <c r="S31" s="3" t="str">
        <f t="shared" si="11"/>
        <v>HL</v>
      </c>
      <c r="T31" s="3" t="str">
        <f t="shared" si="11"/>
        <v>HL</v>
      </c>
      <c r="U31" s="3" t="str">
        <f t="shared" si="12"/>
        <v>U</v>
      </c>
      <c r="V31" s="3" t="str">
        <f t="shared" si="12"/>
        <v>U</v>
      </c>
      <c r="W31" s="3" t="str">
        <f t="shared" si="12"/>
        <v>O</v>
      </c>
      <c r="X31" s="3" t="str">
        <f t="shared" si="12"/>
        <v>U</v>
      </c>
      <c r="Z31" s="3">
        <v>57</v>
      </c>
      <c r="AB31" s="3" t="str">
        <f t="shared" si="8"/>
        <v>CHI/TOR</v>
      </c>
      <c r="AC31" s="3">
        <f t="shared" si="4"/>
        <v>1</v>
      </c>
      <c r="AD31" s="3">
        <f t="shared" si="5"/>
        <v>3</v>
      </c>
    </row>
    <row r="32" spans="1:30" x14ac:dyDescent="0.45">
      <c r="A32" s="3">
        <v>191027</v>
      </c>
      <c r="B32" s="44">
        <v>0.375</v>
      </c>
      <c r="C32" s="3" t="s">
        <v>40</v>
      </c>
      <c r="D32" s="3" t="s">
        <v>35</v>
      </c>
      <c r="E32" s="3">
        <v>26</v>
      </c>
      <c r="F32" s="3">
        <v>39</v>
      </c>
      <c r="G32" s="3">
        <v>25</v>
      </c>
      <c r="H32" s="3">
        <v>20</v>
      </c>
      <c r="J32" s="3">
        <v>28</v>
      </c>
      <c r="K32" s="3">
        <v>20</v>
      </c>
      <c r="L32" s="3">
        <v>26</v>
      </c>
      <c r="M32" s="3">
        <v>25</v>
      </c>
      <c r="O32" s="3">
        <f t="shared" si="10"/>
        <v>110</v>
      </c>
      <c r="P32" s="3">
        <f t="shared" si="3"/>
        <v>99</v>
      </c>
      <c r="Q32" s="3" t="str">
        <f t="shared" si="11"/>
        <v>HL</v>
      </c>
      <c r="R32" s="3" t="str">
        <f t="shared" si="11"/>
        <v>HW</v>
      </c>
      <c r="S32" s="3" t="str">
        <f t="shared" si="11"/>
        <v>HL</v>
      </c>
      <c r="T32" s="3" t="str">
        <f t="shared" si="11"/>
        <v>HL</v>
      </c>
      <c r="U32" s="3" t="str">
        <f t="shared" si="12"/>
        <v>U</v>
      </c>
      <c r="V32" s="3" t="str">
        <f t="shared" si="12"/>
        <v>O</v>
      </c>
      <c r="W32" s="3" t="str">
        <f t="shared" si="12"/>
        <v>U</v>
      </c>
      <c r="X32" s="3" t="str">
        <f t="shared" si="12"/>
        <v>U</v>
      </c>
      <c r="Z32" s="3">
        <v>55</v>
      </c>
      <c r="AB32" s="3" t="str">
        <f t="shared" si="8"/>
        <v>CLE/IND</v>
      </c>
      <c r="AC32" s="3">
        <f t="shared" si="4"/>
        <v>1</v>
      </c>
      <c r="AD32" s="3">
        <f t="shared" si="5"/>
        <v>3</v>
      </c>
    </row>
    <row r="33" spans="1:30" x14ac:dyDescent="0.45">
      <c r="A33" s="3">
        <v>191027</v>
      </c>
      <c r="B33" s="44">
        <v>0.375</v>
      </c>
      <c r="C33" s="3" t="s">
        <v>52</v>
      </c>
      <c r="D33" s="3" t="s">
        <v>27</v>
      </c>
      <c r="E33" s="3">
        <v>29</v>
      </c>
      <c r="F33" s="3">
        <v>32</v>
      </c>
      <c r="G33" s="3">
        <v>36</v>
      </c>
      <c r="H33" s="3">
        <v>29</v>
      </c>
      <c r="J33" s="3">
        <v>24</v>
      </c>
      <c r="K33" s="3">
        <v>37</v>
      </c>
      <c r="L33" s="3">
        <v>39</v>
      </c>
      <c r="M33" s="3">
        <v>23</v>
      </c>
      <c r="O33" s="3">
        <f t="shared" si="10"/>
        <v>126</v>
      </c>
      <c r="P33" s="3">
        <f t="shared" si="3"/>
        <v>123</v>
      </c>
      <c r="Q33" s="3" t="str">
        <f t="shared" si="11"/>
        <v>HW</v>
      </c>
      <c r="R33" s="3" t="str">
        <f t="shared" si="11"/>
        <v>HL</v>
      </c>
      <c r="S33" s="3" t="str">
        <f t="shared" si="11"/>
        <v>HL</v>
      </c>
      <c r="T33" s="3" t="str">
        <f t="shared" si="11"/>
        <v>HW</v>
      </c>
      <c r="U33" s="3" t="str">
        <f t="shared" si="12"/>
        <v>U</v>
      </c>
      <c r="V33" s="3" t="str">
        <f t="shared" si="12"/>
        <v>O</v>
      </c>
      <c r="W33" s="3" t="str">
        <f t="shared" si="12"/>
        <v>O</v>
      </c>
      <c r="X33" s="3" t="str">
        <f t="shared" si="12"/>
        <v>U</v>
      </c>
      <c r="Z33" s="3">
        <v>61</v>
      </c>
      <c r="AB33" s="3" t="str">
        <f t="shared" si="8"/>
        <v>HOU/NO</v>
      </c>
      <c r="AC33" s="3">
        <f t="shared" si="4"/>
        <v>2</v>
      </c>
      <c r="AD33" s="3">
        <f t="shared" si="5"/>
        <v>2</v>
      </c>
    </row>
    <row r="34" spans="1:30" x14ac:dyDescent="0.45">
      <c r="A34" s="3">
        <v>191027</v>
      </c>
      <c r="B34" s="44">
        <v>0.39583333333333331</v>
      </c>
      <c r="C34" s="3" t="s">
        <v>56</v>
      </c>
      <c r="D34" s="3" t="s">
        <v>34</v>
      </c>
      <c r="E34" s="3">
        <v>30</v>
      </c>
      <c r="F34" s="3">
        <v>30</v>
      </c>
      <c r="G34" s="3">
        <v>32</v>
      </c>
      <c r="H34" s="3">
        <v>32</v>
      </c>
      <c r="J34" s="3">
        <v>26</v>
      </c>
      <c r="K34" s="3">
        <v>34</v>
      </c>
      <c r="L34" s="3">
        <v>30</v>
      </c>
      <c r="M34" s="3">
        <v>32</v>
      </c>
      <c r="O34" s="3">
        <f t="shared" si="10"/>
        <v>124</v>
      </c>
      <c r="P34" s="3">
        <f t="shared" si="3"/>
        <v>122</v>
      </c>
      <c r="Q34" s="3" t="str">
        <f t="shared" si="11"/>
        <v>HW</v>
      </c>
      <c r="R34" s="3" t="str">
        <f t="shared" si="11"/>
        <v>HL</v>
      </c>
      <c r="S34" s="3" t="str">
        <f t="shared" si="11"/>
        <v>HW</v>
      </c>
      <c r="T34" s="3" t="str">
        <f t="shared" si="11"/>
        <v>TT</v>
      </c>
      <c r="U34" s="3" t="str">
        <f t="shared" si="12"/>
        <v>U</v>
      </c>
      <c r="V34" s="3" t="str">
        <f t="shared" si="12"/>
        <v>O</v>
      </c>
      <c r="W34" s="3" t="str">
        <f t="shared" si="12"/>
        <v>O</v>
      </c>
      <c r="X34" s="3" t="str">
        <f t="shared" si="12"/>
        <v>O</v>
      </c>
      <c r="Z34" s="3">
        <v>56.5</v>
      </c>
      <c r="AB34" s="3" t="str">
        <f t="shared" si="8"/>
        <v>SAS/WAS</v>
      </c>
      <c r="AC34" s="3">
        <f t="shared" si="4"/>
        <v>3</v>
      </c>
      <c r="AD34" s="3">
        <f t="shared" si="5"/>
        <v>1</v>
      </c>
    </row>
    <row r="35" spans="1:30" x14ac:dyDescent="0.45">
      <c r="A35" s="3">
        <v>191027</v>
      </c>
      <c r="B35" s="45">
        <v>0.41666666666666669</v>
      </c>
      <c r="C35" s="5" t="s">
        <v>48</v>
      </c>
      <c r="D35" s="5" t="s">
        <v>44</v>
      </c>
      <c r="E35" s="3">
        <v>35</v>
      </c>
      <c r="F35" s="3">
        <v>31</v>
      </c>
      <c r="G35" s="3">
        <v>27</v>
      </c>
      <c r="H35" s="3">
        <v>20</v>
      </c>
      <c r="J35" s="3">
        <v>25</v>
      </c>
      <c r="K35" s="3">
        <v>16</v>
      </c>
      <c r="L35" s="3">
        <v>17</v>
      </c>
      <c r="M35" s="3">
        <v>23</v>
      </c>
      <c r="O35" s="3">
        <f t="shared" si="10"/>
        <v>113</v>
      </c>
      <c r="P35" s="3">
        <f t="shared" si="3"/>
        <v>81</v>
      </c>
      <c r="Q35" s="3" t="str">
        <f t="shared" si="11"/>
        <v>HW</v>
      </c>
      <c r="R35" s="3" t="str">
        <f t="shared" si="11"/>
        <v>HW</v>
      </c>
      <c r="S35" s="3" t="str">
        <f t="shared" si="11"/>
        <v>HW</v>
      </c>
      <c r="T35" s="3" t="str">
        <f t="shared" si="11"/>
        <v>HL</v>
      </c>
      <c r="U35" s="3" t="str">
        <f t="shared" si="12"/>
        <v>O</v>
      </c>
      <c r="V35" s="3" t="str">
        <f t="shared" si="12"/>
        <v>U</v>
      </c>
      <c r="W35" s="3" t="str">
        <f t="shared" si="12"/>
        <v>U</v>
      </c>
      <c r="X35" s="3" t="str">
        <f t="shared" si="12"/>
        <v>U</v>
      </c>
      <c r="Z35" s="3">
        <v>57</v>
      </c>
      <c r="AB35" s="3" t="str">
        <f t="shared" si="8"/>
        <v>UTA/SAC</v>
      </c>
      <c r="AC35" s="3">
        <f t="shared" si="4"/>
        <v>1</v>
      </c>
      <c r="AD35" s="3">
        <f t="shared" si="5"/>
        <v>3</v>
      </c>
    </row>
    <row r="36" spans="1:30" x14ac:dyDescent="0.45">
      <c r="A36" s="3">
        <v>191027</v>
      </c>
      <c r="B36" s="45">
        <v>0.45833333333333331</v>
      </c>
      <c r="C36" s="5" t="s">
        <v>43</v>
      </c>
      <c r="D36" s="5" t="s">
        <v>25</v>
      </c>
      <c r="E36" s="3">
        <v>26</v>
      </c>
      <c r="F36" s="3">
        <v>29</v>
      </c>
      <c r="G36" s="3">
        <v>36</v>
      </c>
      <c r="H36" s="3">
        <v>39</v>
      </c>
      <c r="J36" s="3">
        <v>22</v>
      </c>
      <c r="K36" s="3">
        <v>33</v>
      </c>
      <c r="L36" s="3">
        <v>30</v>
      </c>
      <c r="M36" s="3">
        <v>37</v>
      </c>
      <c r="O36" s="3">
        <f t="shared" si="10"/>
        <v>130</v>
      </c>
      <c r="P36" s="3">
        <f t="shared" si="3"/>
        <v>122</v>
      </c>
      <c r="Q36" s="3" t="str">
        <f t="shared" ref="Q36:T36" si="13">IF(E36=J36,"TT",IF(E36&gt;J36,"HW","HL"))</f>
        <v>HW</v>
      </c>
      <c r="R36" s="3" t="str">
        <f t="shared" si="13"/>
        <v>HL</v>
      </c>
      <c r="S36" s="3" t="str">
        <f t="shared" si="13"/>
        <v>HW</v>
      </c>
      <c r="T36" s="3" t="str">
        <f t="shared" si="13"/>
        <v>HW</v>
      </c>
      <c r="U36" s="3" t="str">
        <f t="shared" ref="U36:X36" si="14">IF(SUM(E36,J36)=$Z36,"T",IF(SUM(E36,J36)&gt;$Z36,"O","U"))</f>
        <v>U</v>
      </c>
      <c r="V36" s="3" t="str">
        <f t="shared" si="14"/>
        <v>O</v>
      </c>
      <c r="W36" s="3" t="str">
        <f t="shared" si="14"/>
        <v>O</v>
      </c>
      <c r="X36" s="3" t="str">
        <f t="shared" si="14"/>
        <v>O</v>
      </c>
      <c r="Z36" s="3">
        <v>58.5</v>
      </c>
      <c r="AB36" s="3" t="str">
        <f t="shared" si="8"/>
        <v>PHO/LAC</v>
      </c>
      <c r="AC36" s="3">
        <f t="shared" si="4"/>
        <v>3</v>
      </c>
      <c r="AD36" s="3">
        <f t="shared" si="5"/>
        <v>1</v>
      </c>
    </row>
    <row r="37" spans="1:30" x14ac:dyDescent="0.45">
      <c r="A37" s="3">
        <v>191028</v>
      </c>
      <c r="B37" s="46">
        <v>0.1875</v>
      </c>
      <c r="C37" s="3" t="s">
        <v>57</v>
      </c>
      <c r="D37" s="3" t="s">
        <v>58</v>
      </c>
      <c r="E37" s="3">
        <v>35</v>
      </c>
      <c r="F37" s="3">
        <v>35</v>
      </c>
      <c r="G37" s="3">
        <v>35</v>
      </c>
      <c r="H37" s="3">
        <v>15</v>
      </c>
      <c r="J37" s="3">
        <v>20</v>
      </c>
      <c r="K37" s="3">
        <v>17</v>
      </c>
      <c r="L37" s="3">
        <v>31</v>
      </c>
      <c r="M37" s="3">
        <v>24</v>
      </c>
      <c r="O37" s="3">
        <f t="shared" ref="O37:O41" si="15">SUM(E37:I37)</f>
        <v>120</v>
      </c>
      <c r="P37" s="3">
        <f t="shared" ref="P37:P41" si="16">SUM(J37:N37)</f>
        <v>92</v>
      </c>
      <c r="Q37" s="3" t="str">
        <f t="shared" ref="Q37:Q41" si="17">IF(E37=J37,"TT",IF(E37&gt;J37,"HW","HL"))</f>
        <v>HW</v>
      </c>
      <c r="R37" s="3" t="str">
        <f t="shared" ref="R37:R41" si="18">IF(F37=K37,"TT",IF(F37&gt;K37,"HW","HL"))</f>
        <v>HW</v>
      </c>
      <c r="S37" s="3" t="str">
        <f t="shared" ref="S37:S41" si="19">IF(G37=L37,"TT",IF(G37&gt;L37,"HW","HL"))</f>
        <v>HW</v>
      </c>
      <c r="T37" s="3" t="str">
        <f t="shared" ref="T37:T41" si="20">IF(H37=M37,"TT",IF(H37&gt;M37,"HW","HL"))</f>
        <v>HL</v>
      </c>
      <c r="U37" s="3" t="str">
        <f t="shared" ref="U37:U41" si="21">IF(SUM(E37,J37)=$Z37,"T",IF(SUM(E37,J37)&gt;$Z37,"O","U"))</f>
        <v>U</v>
      </c>
      <c r="V37" s="3" t="str">
        <f t="shared" ref="V37:V41" si="22">IF(SUM(F37,K37)=$Z37,"T",IF(SUM(F37,K37)&gt;$Z37,"O","U"))</f>
        <v>U</v>
      </c>
      <c r="W37" s="3" t="str">
        <f t="shared" ref="W37:W41" si="23">IF(SUM(G37,L37)=$Z37,"T",IF(SUM(G37,L37)&gt;$Z37,"O","U"))</f>
        <v>O</v>
      </c>
      <c r="X37" s="3" t="str">
        <f t="shared" ref="X37:X41" si="24">IF(SUM(H37,M37)=$Z37,"T",IF(SUM(H37,M37)&gt;$Z37,"O","U"))</f>
        <v>U</v>
      </c>
      <c r="Z37" s="3">
        <v>57.5</v>
      </c>
      <c r="AB37" s="3" t="str">
        <f t="shared" si="8"/>
        <v>OKC/GS</v>
      </c>
      <c r="AC37" s="3">
        <f t="shared" si="4"/>
        <v>1</v>
      </c>
      <c r="AD37" s="3">
        <f t="shared" si="5"/>
        <v>3</v>
      </c>
    </row>
    <row r="38" spans="1:30" x14ac:dyDescent="0.45">
      <c r="A38" s="3">
        <v>191028</v>
      </c>
      <c r="B38" s="45">
        <v>0.29166666666666669</v>
      </c>
      <c r="C38" s="3" t="s">
        <v>59</v>
      </c>
      <c r="D38" s="3" t="s">
        <v>60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15"/>
        <v>134</v>
      </c>
      <c r="P38" s="3">
        <f t="shared" si="16"/>
        <v>133</v>
      </c>
      <c r="Q38" s="3" t="str">
        <f t="shared" si="17"/>
        <v>HW</v>
      </c>
      <c r="R38" s="3" t="str">
        <f t="shared" si="18"/>
        <v>HL</v>
      </c>
      <c r="S38" s="3" t="str">
        <f t="shared" si="19"/>
        <v>HL</v>
      </c>
      <c r="T38" s="3" t="str">
        <f t="shared" si="20"/>
        <v>HW</v>
      </c>
      <c r="U38" s="3" t="str">
        <f t="shared" si="21"/>
        <v>O</v>
      </c>
      <c r="V38" s="3" t="str">
        <f t="shared" si="22"/>
        <v>U</v>
      </c>
      <c r="W38" s="3" t="str">
        <f t="shared" si="23"/>
        <v>O</v>
      </c>
      <c r="X38" s="3" t="str">
        <f t="shared" si="24"/>
        <v>U</v>
      </c>
      <c r="Z38" s="3">
        <v>54.5</v>
      </c>
      <c r="AB38" s="3" t="str">
        <f t="shared" si="8"/>
        <v>MEM/BKN</v>
      </c>
      <c r="AC38" s="3">
        <f t="shared" si="4"/>
        <v>2</v>
      </c>
      <c r="AD38" s="3">
        <f t="shared" si="5"/>
        <v>2</v>
      </c>
    </row>
    <row r="39" spans="1:30" x14ac:dyDescent="0.45">
      <c r="A39" s="3">
        <v>191028</v>
      </c>
      <c r="B39" s="44">
        <v>0.33333333333333331</v>
      </c>
      <c r="C39" s="3" t="s">
        <v>61</v>
      </c>
      <c r="D39" s="3" t="s">
        <v>62</v>
      </c>
      <c r="E39" s="3">
        <v>40</v>
      </c>
      <c r="F39" s="3">
        <v>31</v>
      </c>
      <c r="G39" s="3">
        <v>24</v>
      </c>
      <c r="H39" s="3">
        <v>24</v>
      </c>
      <c r="J39" s="3">
        <v>25</v>
      </c>
      <c r="K39" s="3">
        <v>34</v>
      </c>
      <c r="L39" s="3">
        <v>36</v>
      </c>
      <c r="M39" s="3">
        <v>26</v>
      </c>
      <c r="O39" s="3">
        <f t="shared" si="15"/>
        <v>119</v>
      </c>
      <c r="P39" s="3">
        <f t="shared" si="16"/>
        <v>121</v>
      </c>
      <c r="Q39" s="3" t="str">
        <f t="shared" si="17"/>
        <v>HW</v>
      </c>
      <c r="R39" s="3" t="str">
        <f t="shared" si="18"/>
        <v>HL</v>
      </c>
      <c r="S39" s="3" t="str">
        <f t="shared" si="19"/>
        <v>HL</v>
      </c>
      <c r="T39" s="3" t="str">
        <f t="shared" si="20"/>
        <v>HL</v>
      </c>
      <c r="U39" s="3" t="str">
        <f t="shared" si="21"/>
        <v>O</v>
      </c>
      <c r="V39" s="3" t="str">
        <f t="shared" si="22"/>
        <v>O</v>
      </c>
      <c r="W39" s="3" t="str">
        <f t="shared" si="23"/>
        <v>O</v>
      </c>
      <c r="X39" s="3" t="str">
        <f t="shared" si="24"/>
        <v>U</v>
      </c>
      <c r="Z39" s="3">
        <v>54</v>
      </c>
      <c r="AB39" s="3" t="str">
        <f t="shared" si="8"/>
        <v>DAL/POR</v>
      </c>
      <c r="AC39" s="3">
        <f t="shared" si="4"/>
        <v>3</v>
      </c>
      <c r="AD39" s="3">
        <f t="shared" si="5"/>
        <v>1</v>
      </c>
    </row>
    <row r="40" spans="1:30" x14ac:dyDescent="0.45">
      <c r="A40" s="3">
        <v>191028</v>
      </c>
      <c r="B40" s="44">
        <v>0.33333333333333331</v>
      </c>
      <c r="C40" s="3" t="s">
        <v>63</v>
      </c>
      <c r="D40" s="6" t="s">
        <v>64</v>
      </c>
      <c r="E40" s="3">
        <v>36</v>
      </c>
      <c r="F40" s="3">
        <v>19</v>
      </c>
      <c r="G40" s="3">
        <v>22</v>
      </c>
      <c r="H40" s="3">
        <v>39</v>
      </c>
      <c r="J40" s="3">
        <v>23</v>
      </c>
      <c r="K40" s="3">
        <v>34</v>
      </c>
      <c r="L40" s="3">
        <v>27</v>
      </c>
      <c r="M40" s="3">
        <v>25</v>
      </c>
      <c r="O40" s="3">
        <f t="shared" si="15"/>
        <v>116</v>
      </c>
      <c r="P40" s="3">
        <f t="shared" si="16"/>
        <v>109</v>
      </c>
      <c r="Q40" s="3" t="str">
        <f t="shared" si="17"/>
        <v>HW</v>
      </c>
      <c r="R40" s="3" t="str">
        <f t="shared" si="18"/>
        <v>HL</v>
      </c>
      <c r="S40" s="3" t="str">
        <f t="shared" si="19"/>
        <v>HL</v>
      </c>
      <c r="T40" s="3" t="str">
        <f t="shared" si="20"/>
        <v>HW</v>
      </c>
      <c r="U40" s="3" t="str">
        <f t="shared" si="21"/>
        <v>O</v>
      </c>
      <c r="V40" s="3" t="str">
        <f t="shared" si="22"/>
        <v>U</v>
      </c>
      <c r="W40" s="3" t="str">
        <f t="shared" si="23"/>
        <v>U</v>
      </c>
      <c r="X40" s="3" t="str">
        <f t="shared" si="24"/>
        <v>O</v>
      </c>
      <c r="Z40" s="3">
        <v>54</v>
      </c>
      <c r="AB40" s="3" t="str">
        <f t="shared" si="8"/>
        <v>MIN/MIA</v>
      </c>
      <c r="AC40" s="3">
        <f t="shared" si="4"/>
        <v>2</v>
      </c>
      <c r="AD40" s="3">
        <f t="shared" si="5"/>
        <v>2</v>
      </c>
    </row>
    <row r="41" spans="1:30" x14ac:dyDescent="0.45">
      <c r="A41" s="3">
        <v>191028</v>
      </c>
      <c r="B41" s="45">
        <v>0.4375</v>
      </c>
      <c r="C41" s="3" t="s">
        <v>65</v>
      </c>
      <c r="D41" s="3" t="s">
        <v>66</v>
      </c>
      <c r="E41" s="3">
        <v>30</v>
      </c>
      <c r="F41" s="3">
        <v>33</v>
      </c>
      <c r="G41" s="3">
        <v>24</v>
      </c>
      <c r="H41" s="3">
        <v>33</v>
      </c>
      <c r="J41" s="3">
        <v>28</v>
      </c>
      <c r="K41" s="3">
        <v>34</v>
      </c>
      <c r="L41" s="3">
        <v>18</v>
      </c>
      <c r="M41" s="3">
        <v>21</v>
      </c>
      <c r="O41" s="3">
        <f t="shared" si="15"/>
        <v>120</v>
      </c>
      <c r="P41" s="3">
        <f t="shared" si="16"/>
        <v>101</v>
      </c>
      <c r="Q41" s="3" t="str">
        <f t="shared" si="17"/>
        <v>HW</v>
      </c>
      <c r="R41" s="3" t="str">
        <f t="shared" si="18"/>
        <v>HL</v>
      </c>
      <c r="S41" s="3" t="str">
        <f t="shared" si="19"/>
        <v>HW</v>
      </c>
      <c r="T41" s="3" t="str">
        <f t="shared" si="20"/>
        <v>HW</v>
      </c>
      <c r="U41" s="3" t="str">
        <f t="shared" si="21"/>
        <v>O</v>
      </c>
      <c r="V41" s="3" t="str">
        <f t="shared" si="22"/>
        <v>O</v>
      </c>
      <c r="W41" s="3" t="str">
        <f t="shared" si="23"/>
        <v>U</v>
      </c>
      <c r="X41" s="3" t="str">
        <f t="shared" si="24"/>
        <v>U</v>
      </c>
      <c r="Z41" s="3">
        <v>56</v>
      </c>
      <c r="AB41" s="3" t="str">
        <f t="shared" si="8"/>
        <v>LAL/CHA</v>
      </c>
      <c r="AC41" s="3">
        <f t="shared" si="4"/>
        <v>2</v>
      </c>
      <c r="AD41" s="3">
        <f t="shared" si="5"/>
        <v>2</v>
      </c>
    </row>
    <row r="42" spans="1:30" x14ac:dyDescent="0.45">
      <c r="A42" s="3">
        <v>191029</v>
      </c>
      <c r="B42" s="44">
        <v>0.33333333333333331</v>
      </c>
      <c r="C42" s="3" t="s">
        <v>68</v>
      </c>
      <c r="D42" s="3" t="s">
        <v>69</v>
      </c>
      <c r="E42" s="3">
        <v>33</v>
      </c>
      <c r="F42" s="3">
        <v>26</v>
      </c>
      <c r="G42" s="3">
        <v>19</v>
      </c>
      <c r="H42" s="3">
        <v>18</v>
      </c>
      <c r="J42" s="3">
        <v>25</v>
      </c>
      <c r="K42" s="3">
        <v>28</v>
      </c>
      <c r="L42" s="3">
        <v>18</v>
      </c>
      <c r="M42" s="3">
        <v>23</v>
      </c>
      <c r="O42" s="3">
        <f t="shared" ref="O42:O52" si="25">SUM(E42:I42)</f>
        <v>96</v>
      </c>
      <c r="P42" s="3">
        <f t="shared" ref="P42:P52" si="26">SUM(J42:N42)</f>
        <v>94</v>
      </c>
      <c r="Q42" s="3" t="str">
        <f t="shared" ref="Q42:Q52" si="27">IF(E42=J42,"TT",IF(E42&gt;J42,"HW","HL"))</f>
        <v>HW</v>
      </c>
      <c r="R42" s="3" t="str">
        <f t="shared" ref="R42:R52" si="28">IF(F42=K42,"TT",IF(F42&gt;K42,"HW","HL"))</f>
        <v>HL</v>
      </c>
      <c r="S42" s="3" t="str">
        <f t="shared" ref="S42:S52" si="29">IF(G42=L42,"TT",IF(G42&gt;L42,"HW","HL"))</f>
        <v>HW</v>
      </c>
      <c r="T42" s="3" t="str">
        <f t="shared" ref="T42:T52" si="30">IF(H42=M42,"TT",IF(H42&gt;M42,"HW","HL"))</f>
        <v>HL</v>
      </c>
      <c r="U42" s="3" t="str">
        <f t="shared" ref="U42:U52" si="31">IF(SUM(E42,J42)=$Z42,"T",IF(SUM(E42,J42)&gt;$Z42,"O","U"))</f>
        <v>O</v>
      </c>
      <c r="V42" s="3" t="str">
        <f t="shared" ref="V42:V52" si="32">IF(SUM(F42,K42)=$Z42,"T",IF(SUM(F42,K42)&gt;$Z42,"O","U"))</f>
        <v>U</v>
      </c>
      <c r="W42" s="3" t="str">
        <f t="shared" ref="W42:W52" si="33">IF(SUM(G42,L42)=$Z42,"T",IF(SUM(G42,L42)&gt;$Z42,"O","U"))</f>
        <v>U</v>
      </c>
      <c r="X42" s="3" t="str">
        <f t="shared" ref="X42:X52" si="34">IF(SUM(H42,M42)=$Z42,"T",IF(SUM(H42,M42)&gt;$Z42,"O","U"))</f>
        <v>U</v>
      </c>
      <c r="Z42" s="3">
        <v>54.5</v>
      </c>
      <c r="AB42" s="3" t="str">
        <f t="shared" si="8"/>
        <v>DET/IND</v>
      </c>
      <c r="AC42" s="3">
        <f t="shared" ref="AC42:AC105" si="35">COUNTIF(U42:X42,"o")</f>
        <v>1</v>
      </c>
      <c r="AD42" s="3">
        <f t="shared" ref="AD42:AD105" si="36">COUNTIF(U42:X42,"u")</f>
        <v>3</v>
      </c>
    </row>
    <row r="43" spans="1:30" x14ac:dyDescent="0.45">
      <c r="A43" s="3">
        <v>191029</v>
      </c>
      <c r="B43" s="44">
        <v>0.33333333333333331</v>
      </c>
      <c r="C43" s="3" t="s">
        <v>70</v>
      </c>
      <c r="D43" s="3" t="s">
        <v>71</v>
      </c>
      <c r="E43" s="3">
        <v>15</v>
      </c>
      <c r="F43" s="3">
        <v>27</v>
      </c>
      <c r="G43" s="3">
        <v>30</v>
      </c>
      <c r="H43" s="3">
        <v>33</v>
      </c>
      <c r="J43" s="3">
        <v>33</v>
      </c>
      <c r="K43" s="3">
        <v>19</v>
      </c>
      <c r="L43" s="3">
        <v>28</v>
      </c>
      <c r="M43" s="3">
        <v>18</v>
      </c>
      <c r="O43" s="3">
        <f t="shared" si="25"/>
        <v>105</v>
      </c>
      <c r="P43" s="3">
        <f t="shared" si="26"/>
        <v>98</v>
      </c>
      <c r="Q43" s="3" t="str">
        <f t="shared" si="27"/>
        <v>HL</v>
      </c>
      <c r="R43" s="3" t="str">
        <f t="shared" si="28"/>
        <v>HW</v>
      </c>
      <c r="S43" s="3" t="str">
        <f t="shared" si="29"/>
        <v>HW</v>
      </c>
      <c r="T43" s="3" t="str">
        <f t="shared" si="30"/>
        <v>HW</v>
      </c>
      <c r="U43" s="3" t="str">
        <f t="shared" si="31"/>
        <v>U</v>
      </c>
      <c r="V43" s="3" t="str">
        <f t="shared" si="32"/>
        <v>U</v>
      </c>
      <c r="W43" s="3" t="str">
        <f t="shared" si="33"/>
        <v>O</v>
      </c>
      <c r="X43" s="3" t="str">
        <f t="shared" si="34"/>
        <v>U</v>
      </c>
      <c r="Z43" s="3">
        <v>54.5</v>
      </c>
      <c r="AB43" s="3" t="str">
        <f t="shared" si="8"/>
        <v>NY/CHI</v>
      </c>
      <c r="AC43" s="3">
        <f t="shared" si="35"/>
        <v>1</v>
      </c>
      <c r="AD43" s="3">
        <f t="shared" si="36"/>
        <v>3</v>
      </c>
    </row>
    <row r="44" spans="1:30" x14ac:dyDescent="0.45">
      <c r="A44" s="3">
        <v>191029</v>
      </c>
      <c r="B44" s="44">
        <v>0.35416666666666669</v>
      </c>
      <c r="C44" s="3" t="s">
        <v>73</v>
      </c>
      <c r="D44" s="3" t="s">
        <v>72</v>
      </c>
      <c r="E44" s="3">
        <v>40</v>
      </c>
      <c r="F44" s="3">
        <v>25</v>
      </c>
      <c r="G44" s="3">
        <v>18</v>
      </c>
      <c r="H44" s="3">
        <v>20</v>
      </c>
      <c r="J44" s="3">
        <v>31</v>
      </c>
      <c r="K44" s="3">
        <v>32</v>
      </c>
      <c r="L44" s="3">
        <v>19</v>
      </c>
      <c r="M44" s="3">
        <v>23</v>
      </c>
      <c r="O44" s="3">
        <f t="shared" si="25"/>
        <v>103</v>
      </c>
      <c r="P44" s="3">
        <f t="shared" si="26"/>
        <v>105</v>
      </c>
      <c r="Q44" s="3" t="str">
        <f t="shared" si="27"/>
        <v>HW</v>
      </c>
      <c r="R44" s="3" t="str">
        <f t="shared" si="28"/>
        <v>HL</v>
      </c>
      <c r="S44" s="3" t="str">
        <f t="shared" si="29"/>
        <v>HL</v>
      </c>
      <c r="T44" s="3" t="str">
        <f t="shared" si="30"/>
        <v>HL</v>
      </c>
      <c r="U44" s="3" t="str">
        <f t="shared" si="31"/>
        <v>O</v>
      </c>
      <c r="V44" s="3" t="str">
        <f t="shared" si="32"/>
        <v>U</v>
      </c>
      <c r="W44" s="3" t="str">
        <f t="shared" si="33"/>
        <v>U</v>
      </c>
      <c r="X44" s="3" t="str">
        <f t="shared" si="34"/>
        <v>U</v>
      </c>
      <c r="Z44" s="3">
        <v>57.5</v>
      </c>
      <c r="AB44" s="3" t="str">
        <f t="shared" si="8"/>
        <v>ATL/PHI</v>
      </c>
      <c r="AC44" s="3">
        <f t="shared" si="35"/>
        <v>1</v>
      </c>
      <c r="AD44" s="3">
        <f t="shared" si="36"/>
        <v>3</v>
      </c>
    </row>
    <row r="45" spans="1:30" x14ac:dyDescent="0.45">
      <c r="A45" s="3">
        <v>191029</v>
      </c>
      <c r="B45" s="44">
        <v>0.35416666666666669</v>
      </c>
      <c r="C45" s="3" t="s">
        <v>74</v>
      </c>
      <c r="D45" s="3" t="s">
        <v>75</v>
      </c>
      <c r="E45" s="3">
        <v>31</v>
      </c>
      <c r="F45" s="3">
        <v>20</v>
      </c>
      <c r="G45" s="3">
        <v>27</v>
      </c>
      <c r="H45" s="3">
        <v>26</v>
      </c>
      <c r="J45" s="3">
        <v>22</v>
      </c>
      <c r="K45" s="3">
        <v>24</v>
      </c>
      <c r="L45" s="3">
        <v>21</v>
      </c>
      <c r="M45" s="3">
        <v>28</v>
      </c>
      <c r="O45" s="3">
        <f t="shared" si="25"/>
        <v>104</v>
      </c>
      <c r="P45" s="3">
        <f t="shared" si="26"/>
        <v>95</v>
      </c>
      <c r="Q45" s="3" t="str">
        <f t="shared" si="27"/>
        <v>HW</v>
      </c>
      <c r="R45" s="3" t="str">
        <f t="shared" si="28"/>
        <v>HL</v>
      </c>
      <c r="S45" s="3" t="str">
        <f t="shared" si="29"/>
        <v>HW</v>
      </c>
      <c r="T45" s="3" t="str">
        <f t="shared" si="30"/>
        <v>HL</v>
      </c>
      <c r="U45" s="3" t="str">
        <f t="shared" si="31"/>
        <v>U</v>
      </c>
      <c r="V45" s="3" t="str">
        <f t="shared" si="32"/>
        <v>U</v>
      </c>
      <c r="W45" s="3" t="str">
        <f t="shared" si="33"/>
        <v>U</v>
      </c>
      <c r="X45" s="3" t="str">
        <f t="shared" si="34"/>
        <v>T</v>
      </c>
      <c r="Z45" s="3">
        <v>54</v>
      </c>
      <c r="AB45" s="3" t="str">
        <f t="shared" si="8"/>
        <v>TOR/ORL</v>
      </c>
      <c r="AC45" s="3">
        <f t="shared" si="35"/>
        <v>0</v>
      </c>
      <c r="AD45" s="3">
        <f t="shared" si="36"/>
        <v>3</v>
      </c>
    </row>
    <row r="46" spans="1:30" x14ac:dyDescent="0.45">
      <c r="A46" s="3">
        <v>191029</v>
      </c>
      <c r="B46" s="44">
        <v>0.375</v>
      </c>
      <c r="C46" s="3" t="s">
        <v>76</v>
      </c>
      <c r="D46" s="6" t="s">
        <v>77</v>
      </c>
      <c r="E46" s="3">
        <v>23</v>
      </c>
      <c r="F46" s="3">
        <v>32</v>
      </c>
      <c r="G46" s="3">
        <v>24</v>
      </c>
      <c r="H46" s="3">
        <v>44</v>
      </c>
      <c r="J46" s="3">
        <v>27</v>
      </c>
      <c r="K46" s="3">
        <v>45</v>
      </c>
      <c r="L46" s="3">
        <v>31</v>
      </c>
      <c r="M46" s="3">
        <v>31</v>
      </c>
      <c r="O46" s="3">
        <f t="shared" si="25"/>
        <v>123</v>
      </c>
      <c r="P46" s="3">
        <f t="shared" si="26"/>
        <v>134</v>
      </c>
      <c r="Q46" s="3" t="str">
        <f t="shared" si="27"/>
        <v>HL</v>
      </c>
      <c r="R46" s="3" t="str">
        <f t="shared" si="28"/>
        <v>HL</v>
      </c>
      <c r="S46" s="3" t="str">
        <f t="shared" si="29"/>
        <v>HL</v>
      </c>
      <c r="T46" s="3" t="str">
        <f t="shared" si="30"/>
        <v>HW</v>
      </c>
      <c r="U46" s="3" t="str">
        <f t="shared" si="31"/>
        <v>U</v>
      </c>
      <c r="V46" s="3" t="str">
        <f t="shared" si="32"/>
        <v>O</v>
      </c>
      <c r="W46" s="3" t="str">
        <f t="shared" si="33"/>
        <v>U</v>
      </c>
      <c r="X46" s="3" t="str">
        <f t="shared" si="34"/>
        <v>O</v>
      </c>
      <c r="Z46" s="3">
        <v>61</v>
      </c>
      <c r="AB46" s="3" t="str">
        <f t="shared" si="8"/>
        <v>NO/GS</v>
      </c>
      <c r="AC46" s="3">
        <f t="shared" si="35"/>
        <v>2</v>
      </c>
      <c r="AD46" s="3">
        <f t="shared" si="36"/>
        <v>2</v>
      </c>
    </row>
    <row r="47" spans="1:30" x14ac:dyDescent="0.45">
      <c r="A47" s="3">
        <v>191029</v>
      </c>
      <c r="B47" s="44">
        <v>0.375</v>
      </c>
      <c r="C47" s="3" t="s">
        <v>78</v>
      </c>
      <c r="D47" s="6" t="s">
        <v>79</v>
      </c>
      <c r="E47" s="3">
        <v>22</v>
      </c>
      <c r="F47" s="3">
        <v>30</v>
      </c>
      <c r="G47" s="3">
        <v>39</v>
      </c>
      <c r="H47" s="3">
        <v>25</v>
      </c>
      <c r="J47" s="3">
        <v>35</v>
      </c>
      <c r="K47" s="3">
        <v>27</v>
      </c>
      <c r="L47" s="3">
        <v>18</v>
      </c>
      <c r="M47" s="3">
        <v>32</v>
      </c>
      <c r="O47" s="3">
        <f t="shared" si="25"/>
        <v>116</v>
      </c>
      <c r="P47" s="3">
        <f t="shared" si="26"/>
        <v>112</v>
      </c>
      <c r="Q47" s="3" t="str">
        <f t="shared" si="27"/>
        <v>HL</v>
      </c>
      <c r="R47" s="3" t="str">
        <f t="shared" si="28"/>
        <v>HW</v>
      </c>
      <c r="S47" s="3" t="str">
        <f t="shared" si="29"/>
        <v>HW</v>
      </c>
      <c r="T47" s="3" t="str">
        <f t="shared" si="30"/>
        <v>HL</v>
      </c>
      <c r="U47" s="3" t="str">
        <f t="shared" si="31"/>
        <v>U</v>
      </c>
      <c r="V47" s="3" t="str">
        <f t="shared" si="32"/>
        <v>U</v>
      </c>
      <c r="W47" s="3" t="str">
        <f t="shared" si="33"/>
        <v>U</v>
      </c>
      <c r="X47" s="3" t="str">
        <f t="shared" si="34"/>
        <v>U</v>
      </c>
      <c r="Z47" s="3">
        <v>58.5</v>
      </c>
      <c r="AB47" s="3" t="str">
        <f t="shared" si="8"/>
        <v>HOU/OKC</v>
      </c>
      <c r="AC47" s="3">
        <f t="shared" si="35"/>
        <v>0</v>
      </c>
      <c r="AD47" s="3">
        <f t="shared" si="36"/>
        <v>4</v>
      </c>
    </row>
    <row r="48" spans="1:30" x14ac:dyDescent="0.45">
      <c r="A48" s="3">
        <v>191029</v>
      </c>
      <c r="B48" s="44">
        <v>0.375</v>
      </c>
      <c r="C48" s="3" t="s">
        <v>80</v>
      </c>
      <c r="D48" s="3" t="s">
        <v>81</v>
      </c>
      <c r="E48" s="3">
        <v>30</v>
      </c>
      <c r="F48" s="3">
        <v>29</v>
      </c>
      <c r="G48" s="3">
        <v>32</v>
      </c>
      <c r="H48" s="3">
        <v>38</v>
      </c>
      <c r="J48" s="3">
        <v>31</v>
      </c>
      <c r="K48" s="3">
        <v>21</v>
      </c>
      <c r="L48" s="3">
        <v>28</v>
      </c>
      <c r="M48" s="3">
        <v>32</v>
      </c>
      <c r="O48" s="3">
        <f t="shared" si="25"/>
        <v>129</v>
      </c>
      <c r="P48" s="3">
        <f t="shared" si="26"/>
        <v>112</v>
      </c>
      <c r="Q48" s="3" t="str">
        <f t="shared" si="27"/>
        <v>HL</v>
      </c>
      <c r="R48" s="3" t="str">
        <f t="shared" si="28"/>
        <v>HW</v>
      </c>
      <c r="S48" s="3" t="str">
        <f t="shared" si="29"/>
        <v>HW</v>
      </c>
      <c r="T48" s="3" t="str">
        <f t="shared" si="30"/>
        <v>HW</v>
      </c>
      <c r="U48" s="3" t="str">
        <f t="shared" si="31"/>
        <v>O</v>
      </c>
      <c r="V48" s="3" t="str">
        <f t="shared" si="32"/>
        <v>U</v>
      </c>
      <c r="W48" s="3" t="str">
        <f t="shared" si="33"/>
        <v>O</v>
      </c>
      <c r="X48" s="3" t="str">
        <f t="shared" si="34"/>
        <v>O</v>
      </c>
      <c r="Z48" s="3">
        <v>55</v>
      </c>
      <c r="AB48" s="3" t="str">
        <f t="shared" si="8"/>
        <v>MIL/CLE</v>
      </c>
      <c r="AC48" s="3">
        <f t="shared" si="35"/>
        <v>3</v>
      </c>
      <c r="AD48" s="3">
        <f t="shared" si="36"/>
        <v>1</v>
      </c>
    </row>
    <row r="49" spans="1:30" x14ac:dyDescent="0.45">
      <c r="A49" s="3">
        <v>191029</v>
      </c>
      <c r="B49" s="44">
        <v>0.39583333333333331</v>
      </c>
      <c r="C49" s="3" t="s">
        <v>82</v>
      </c>
      <c r="D49" s="6" t="s">
        <v>83</v>
      </c>
      <c r="E49" s="3">
        <v>19</v>
      </c>
      <c r="F49" s="3">
        <v>26</v>
      </c>
      <c r="G49" s="3">
        <v>37</v>
      </c>
      <c r="H49" s="3">
        <v>31</v>
      </c>
      <c r="J49" s="3">
        <v>33</v>
      </c>
      <c r="K49" s="3">
        <v>18</v>
      </c>
      <c r="L49" s="3">
        <v>20</v>
      </c>
      <c r="M49" s="3">
        <v>39</v>
      </c>
      <c r="O49" s="3">
        <f t="shared" si="25"/>
        <v>113</v>
      </c>
      <c r="P49" s="3">
        <f t="shared" si="26"/>
        <v>110</v>
      </c>
      <c r="Q49" s="3" t="str">
        <f t="shared" si="27"/>
        <v>HL</v>
      </c>
      <c r="R49" s="3" t="str">
        <f t="shared" si="28"/>
        <v>HW</v>
      </c>
      <c r="S49" s="3" t="str">
        <f t="shared" si="29"/>
        <v>HW</v>
      </c>
      <c r="T49" s="3" t="str">
        <f t="shared" si="30"/>
        <v>HL</v>
      </c>
      <c r="U49" s="3" t="str">
        <f t="shared" si="31"/>
        <v>U</v>
      </c>
      <c r="V49" s="3" t="str">
        <f t="shared" si="32"/>
        <v>U</v>
      </c>
      <c r="W49" s="3" t="str">
        <f t="shared" si="33"/>
        <v>O</v>
      </c>
      <c r="X49" s="3" t="str">
        <f t="shared" si="34"/>
        <v>O</v>
      </c>
      <c r="Z49" s="3">
        <v>54</v>
      </c>
      <c r="AB49" s="3" t="str">
        <f t="shared" si="8"/>
        <v>SAS/POR</v>
      </c>
      <c r="AC49" s="3">
        <f t="shared" si="35"/>
        <v>2</v>
      </c>
      <c r="AD49" s="3">
        <f t="shared" si="36"/>
        <v>2</v>
      </c>
    </row>
    <row r="50" spans="1:30" x14ac:dyDescent="0.45">
      <c r="A50" s="3">
        <v>191029</v>
      </c>
      <c r="B50" s="47">
        <v>0.45833333333333331</v>
      </c>
      <c r="C50" s="3" t="s">
        <v>84</v>
      </c>
      <c r="D50" s="3" t="s">
        <v>85</v>
      </c>
      <c r="E50" s="3">
        <v>21</v>
      </c>
      <c r="F50" s="3">
        <v>18</v>
      </c>
      <c r="G50" s="3">
        <v>31</v>
      </c>
      <c r="H50" s="3">
        <v>25</v>
      </c>
      <c r="J50" s="3">
        <v>28</v>
      </c>
      <c r="K50" s="3">
        <v>18</v>
      </c>
      <c r="L50" s="3">
        <v>24</v>
      </c>
      <c r="M50" s="3">
        <v>26</v>
      </c>
      <c r="O50" s="3">
        <f t="shared" si="25"/>
        <v>95</v>
      </c>
      <c r="P50" s="3">
        <f t="shared" si="26"/>
        <v>96</v>
      </c>
      <c r="Q50" s="3" t="str">
        <f t="shared" si="27"/>
        <v>HL</v>
      </c>
      <c r="R50" s="3" t="str">
        <f t="shared" si="28"/>
        <v>TT</v>
      </c>
      <c r="S50" s="3" t="str">
        <f t="shared" si="29"/>
        <v>HW</v>
      </c>
      <c r="T50" s="3" t="str">
        <f t="shared" si="30"/>
        <v>HL</v>
      </c>
      <c r="U50" s="3" t="str">
        <f t="shared" si="31"/>
        <v>U</v>
      </c>
      <c r="V50" s="3" t="str">
        <f t="shared" si="32"/>
        <v>U</v>
      </c>
      <c r="W50" s="3" t="str">
        <f t="shared" si="33"/>
        <v>O</v>
      </c>
      <c r="X50" s="3" t="str">
        <f t="shared" si="34"/>
        <v>U</v>
      </c>
      <c r="Z50" s="3">
        <v>52</v>
      </c>
      <c r="AB50" s="3" t="str">
        <f t="shared" si="8"/>
        <v>PHO/UTA</v>
      </c>
      <c r="AC50" s="3">
        <f t="shared" si="35"/>
        <v>1</v>
      </c>
      <c r="AD50" s="3">
        <f t="shared" si="36"/>
        <v>3</v>
      </c>
    </row>
    <row r="51" spans="1:30" x14ac:dyDescent="0.45">
      <c r="A51" s="3">
        <v>191029</v>
      </c>
      <c r="B51" s="45">
        <v>0.45833333333333331</v>
      </c>
      <c r="C51" s="3" t="s">
        <v>86</v>
      </c>
      <c r="D51" s="3" t="s">
        <v>87</v>
      </c>
      <c r="E51" s="3">
        <v>28</v>
      </c>
      <c r="F51" s="3">
        <v>25</v>
      </c>
      <c r="G51" s="3">
        <v>17</v>
      </c>
      <c r="H51" s="3">
        <v>24</v>
      </c>
      <c r="J51" s="3">
        <v>21</v>
      </c>
      <c r="K51" s="3">
        <v>26</v>
      </c>
      <c r="L51" s="3">
        <v>30</v>
      </c>
      <c r="M51" s="3">
        <v>24</v>
      </c>
      <c r="O51" s="3">
        <f t="shared" si="25"/>
        <v>94</v>
      </c>
      <c r="P51" s="3">
        <f t="shared" si="26"/>
        <v>101</v>
      </c>
      <c r="Q51" s="3" t="str">
        <f t="shared" si="27"/>
        <v>HW</v>
      </c>
      <c r="R51" s="3" t="str">
        <f t="shared" si="28"/>
        <v>HL</v>
      </c>
      <c r="S51" s="3" t="str">
        <f t="shared" si="29"/>
        <v>HL</v>
      </c>
      <c r="T51" s="3" t="str">
        <f t="shared" si="30"/>
        <v>TT</v>
      </c>
      <c r="U51" s="3" t="str">
        <f t="shared" si="31"/>
        <v>U</v>
      </c>
      <c r="V51" s="3" t="str">
        <f t="shared" si="32"/>
        <v>U</v>
      </c>
      <c r="W51" s="3" t="str">
        <f t="shared" si="33"/>
        <v>U</v>
      </c>
      <c r="X51" s="3" t="str">
        <f t="shared" si="34"/>
        <v>U</v>
      </c>
      <c r="Z51" s="3">
        <v>56</v>
      </c>
      <c r="AB51" s="3" t="str">
        <f t="shared" si="8"/>
        <v>SAC/DEN</v>
      </c>
      <c r="AC51" s="3">
        <f t="shared" si="35"/>
        <v>0</v>
      </c>
      <c r="AD51" s="3">
        <f t="shared" si="36"/>
        <v>4</v>
      </c>
    </row>
    <row r="52" spans="1:30" x14ac:dyDescent="0.45">
      <c r="A52" s="3">
        <v>191029</v>
      </c>
      <c r="B52" s="44">
        <v>0.47916666666666669</v>
      </c>
      <c r="C52" s="3" t="s">
        <v>88</v>
      </c>
      <c r="D52" s="6" t="s">
        <v>89</v>
      </c>
      <c r="E52" s="3">
        <v>29</v>
      </c>
      <c r="F52" s="3">
        <v>28</v>
      </c>
      <c r="G52" s="3">
        <v>29</v>
      </c>
      <c r="H52" s="3">
        <v>25</v>
      </c>
      <c r="J52" s="3">
        <v>28</v>
      </c>
      <c r="K52" s="3">
        <v>26</v>
      </c>
      <c r="L52" s="3">
        <v>20</v>
      </c>
      <c r="M52" s="3">
        <v>22</v>
      </c>
      <c r="O52" s="3">
        <f t="shared" si="25"/>
        <v>111</v>
      </c>
      <c r="P52" s="3">
        <f t="shared" si="26"/>
        <v>96</v>
      </c>
      <c r="Q52" s="3" t="str">
        <f t="shared" si="27"/>
        <v>HW</v>
      </c>
      <c r="R52" s="3" t="str">
        <f t="shared" si="28"/>
        <v>HW</v>
      </c>
      <c r="S52" s="3" t="str">
        <f t="shared" si="29"/>
        <v>HW</v>
      </c>
      <c r="T52" s="3" t="str">
        <f t="shared" si="30"/>
        <v>HW</v>
      </c>
      <c r="U52" s="3" t="str">
        <f t="shared" si="31"/>
        <v>U</v>
      </c>
      <c r="V52" s="3" t="str">
        <f t="shared" si="32"/>
        <v>U</v>
      </c>
      <c r="W52" s="3" t="str">
        <f t="shared" si="33"/>
        <v>U</v>
      </c>
      <c r="X52" s="3" t="str">
        <f t="shared" si="34"/>
        <v>U</v>
      </c>
      <c r="Z52" s="3">
        <v>58.5</v>
      </c>
      <c r="AB52" s="3" t="str">
        <f t="shared" si="8"/>
        <v>LAC/CHA</v>
      </c>
      <c r="AC52" s="3">
        <f t="shared" si="35"/>
        <v>0</v>
      </c>
      <c r="AD52" s="3">
        <f t="shared" si="36"/>
        <v>4</v>
      </c>
    </row>
    <row r="53" spans="1:30" x14ac:dyDescent="0.45">
      <c r="A53" s="3">
        <v>191030</v>
      </c>
      <c r="B53" s="44">
        <v>0.35416666666666669</v>
      </c>
      <c r="C53" s="3" t="s">
        <v>37</v>
      </c>
      <c r="D53" s="3" t="s">
        <v>50</v>
      </c>
      <c r="E53" s="3">
        <v>29</v>
      </c>
      <c r="F53" s="3">
        <v>30</v>
      </c>
      <c r="G53" s="3">
        <v>29</v>
      </c>
      <c r="H53" s="3">
        <v>24</v>
      </c>
      <c r="J53" s="3">
        <v>26</v>
      </c>
      <c r="K53" s="3">
        <v>23</v>
      </c>
      <c r="L53" s="3">
        <v>21</v>
      </c>
      <c r="M53" s="3">
        <v>27</v>
      </c>
      <c r="O53" s="3">
        <f t="shared" ref="O53:O116" si="37">SUM(E53:I53)</f>
        <v>112</v>
      </c>
      <c r="P53" s="3">
        <f t="shared" ref="P53:P116" si="38">SUM(J53:N53)</f>
        <v>97</v>
      </c>
      <c r="Q53" s="3" t="str">
        <f t="shared" ref="Q53:Q116" si="39">IF(E53=J53,"TT",IF(E53&gt;J53,"HW","HL"))</f>
        <v>HW</v>
      </c>
      <c r="R53" s="3" t="str">
        <f t="shared" ref="R53:R116" si="40">IF(F53=K53,"TT",IF(F53&gt;K53,"HW","HL"))</f>
        <v>HW</v>
      </c>
      <c r="S53" s="3" t="str">
        <f t="shared" ref="S53:S116" si="41">IF(G53=L53,"TT",IF(G53&gt;L53,"HW","HL"))</f>
        <v>HW</v>
      </c>
      <c r="T53" s="3" t="str">
        <f t="shared" ref="T53:T116" si="42">IF(H53=M53,"TT",IF(H53&gt;M53,"HW","HL"))</f>
        <v>HL</v>
      </c>
      <c r="U53" s="3" t="str">
        <f t="shared" ref="U53:U116" si="43">IF(SUM(E53,J53)=$Z53,"T",IF(SUM(E53,J53)&gt;$Z53,"O","U"))</f>
        <v>U</v>
      </c>
      <c r="V53" s="3" t="str">
        <f t="shared" ref="V53:V116" si="44">IF(SUM(F53,K53)=$Z53,"T",IF(SUM(F53,K53)&gt;$Z53,"O","U"))</f>
        <v>U</v>
      </c>
      <c r="W53" s="3" t="str">
        <f t="shared" ref="W53:W116" si="45">IF(SUM(G53,L53)=$Z53,"T",IF(SUM(G53,L53)&gt;$Z53,"O","U"))</f>
        <v>U</v>
      </c>
      <c r="X53" s="3" t="str">
        <f t="shared" ref="X53:X116" si="46">IF(SUM(H53,M53)=$Z53,"T",IF(SUM(H53,M53)&gt;$Z53,"O","U"))</f>
        <v>U</v>
      </c>
      <c r="Z53" s="3">
        <v>57.5</v>
      </c>
      <c r="AB53" s="3" t="str">
        <f t="shared" si="8"/>
        <v>MIA/ATL</v>
      </c>
      <c r="AC53" s="3">
        <f t="shared" si="35"/>
        <v>0</v>
      </c>
      <c r="AD53" s="3">
        <f t="shared" si="36"/>
        <v>4</v>
      </c>
    </row>
    <row r="54" spans="1:30" x14ac:dyDescent="0.45">
      <c r="A54" s="3">
        <v>191030</v>
      </c>
      <c r="B54" s="44">
        <v>0.41666666666666669</v>
      </c>
      <c r="C54" s="3" t="s">
        <v>46</v>
      </c>
      <c r="D54" s="3" t="s">
        <v>33</v>
      </c>
      <c r="E54" s="3">
        <v>31</v>
      </c>
      <c r="F54" s="3">
        <v>30</v>
      </c>
      <c r="G54" s="3">
        <v>27</v>
      </c>
      <c r="H54" s="3">
        <v>18</v>
      </c>
      <c r="J54" s="3">
        <v>27</v>
      </c>
      <c r="K54" s="3">
        <v>33</v>
      </c>
      <c r="L54" s="3">
        <v>23</v>
      </c>
      <c r="M54" s="3">
        <v>26</v>
      </c>
      <c r="O54" s="3">
        <f t="shared" si="37"/>
        <v>106</v>
      </c>
      <c r="P54" s="3">
        <f t="shared" si="38"/>
        <v>109</v>
      </c>
      <c r="Q54" s="3" t="str">
        <f t="shared" si="39"/>
        <v>HW</v>
      </c>
      <c r="R54" s="3" t="str">
        <f t="shared" si="40"/>
        <v>HL</v>
      </c>
      <c r="S54" s="3" t="str">
        <f t="shared" si="41"/>
        <v>HW</v>
      </c>
      <c r="T54" s="3" t="str">
        <f t="shared" si="42"/>
        <v>HL</v>
      </c>
      <c r="U54" s="3" t="str">
        <f t="shared" si="43"/>
        <v>O</v>
      </c>
      <c r="V54" s="3" t="str">
        <f t="shared" si="44"/>
        <v>O</v>
      </c>
      <c r="W54" s="3" t="str">
        <f t="shared" si="45"/>
        <v>U</v>
      </c>
      <c r="X54" s="3" t="str">
        <f t="shared" si="46"/>
        <v>U</v>
      </c>
      <c r="Z54" s="3">
        <v>55</v>
      </c>
      <c r="AB54" s="3" t="str">
        <f t="shared" si="8"/>
        <v>DEN/DAL</v>
      </c>
      <c r="AC54" s="3">
        <f t="shared" si="35"/>
        <v>2</v>
      </c>
      <c r="AD54" s="3">
        <f t="shared" si="36"/>
        <v>2</v>
      </c>
    </row>
    <row r="55" spans="1:30" x14ac:dyDescent="0.45">
      <c r="A55" s="3">
        <v>191030</v>
      </c>
      <c r="B55" s="47">
        <v>0.47916666666666669</v>
      </c>
      <c r="C55" s="3" t="s">
        <v>26</v>
      </c>
      <c r="D55" s="3" t="s">
        <v>38</v>
      </c>
      <c r="E55" s="3">
        <v>27</v>
      </c>
      <c r="F55" s="3">
        <v>22</v>
      </c>
      <c r="G55" s="3">
        <v>39</v>
      </c>
      <c r="H55" s="3">
        <v>32</v>
      </c>
      <c r="J55" s="3">
        <v>32</v>
      </c>
      <c r="K55" s="3">
        <v>15</v>
      </c>
      <c r="L55" s="3">
        <v>20</v>
      </c>
      <c r="M55" s="3">
        <v>24</v>
      </c>
      <c r="O55" s="3">
        <f t="shared" si="37"/>
        <v>120</v>
      </c>
      <c r="P55" s="3">
        <f t="shared" si="38"/>
        <v>91</v>
      </c>
      <c r="Q55" s="3" t="str">
        <f t="shared" si="39"/>
        <v>HL</v>
      </c>
      <c r="R55" s="3" t="str">
        <f t="shared" si="40"/>
        <v>HW</v>
      </c>
      <c r="S55" s="3" t="str">
        <f t="shared" si="41"/>
        <v>HW</v>
      </c>
      <c r="T55" s="3" t="str">
        <f t="shared" si="42"/>
        <v>HW</v>
      </c>
      <c r="U55" s="3" t="str">
        <f t="shared" si="43"/>
        <v>O</v>
      </c>
      <c r="V55" s="3" t="str">
        <f t="shared" si="44"/>
        <v>U</v>
      </c>
      <c r="W55" s="3" t="str">
        <f t="shared" si="45"/>
        <v>O</v>
      </c>
      <c r="X55" s="3" t="str">
        <f t="shared" si="46"/>
        <v>O</v>
      </c>
      <c r="Z55" s="3">
        <v>55</v>
      </c>
      <c r="AB55" s="3" t="str">
        <f t="shared" si="8"/>
        <v>LAL/MEM</v>
      </c>
      <c r="AC55" s="3">
        <f t="shared" si="35"/>
        <v>3</v>
      </c>
      <c r="AD55" s="3">
        <f t="shared" si="36"/>
        <v>1</v>
      </c>
    </row>
    <row r="56" spans="1:30" x14ac:dyDescent="0.45">
      <c r="A56" s="3">
        <v>191031</v>
      </c>
      <c r="B56" s="44">
        <v>0.33333333333333331</v>
      </c>
      <c r="C56" s="3" t="s">
        <v>40</v>
      </c>
      <c r="D56" s="3" t="s">
        <v>32</v>
      </c>
      <c r="E56" s="3">
        <v>25</v>
      </c>
      <c r="F56" s="3">
        <v>25</v>
      </c>
      <c r="G56" s="3">
        <v>30</v>
      </c>
      <c r="H56" s="3">
        <v>37</v>
      </c>
      <c r="J56" s="3">
        <v>26</v>
      </c>
      <c r="K56" s="3">
        <v>27</v>
      </c>
      <c r="L56" s="3">
        <v>29</v>
      </c>
      <c r="M56" s="3">
        <v>29</v>
      </c>
      <c r="O56" s="3">
        <f t="shared" si="37"/>
        <v>117</v>
      </c>
      <c r="P56" s="3">
        <f t="shared" si="38"/>
        <v>111</v>
      </c>
      <c r="Q56" s="3" t="str">
        <f t="shared" si="39"/>
        <v>HL</v>
      </c>
      <c r="R56" s="3" t="str">
        <f t="shared" si="40"/>
        <v>HL</v>
      </c>
      <c r="S56" s="3" t="str">
        <f t="shared" si="41"/>
        <v>HW</v>
      </c>
      <c r="T56" s="3" t="str">
        <f t="shared" si="42"/>
        <v>HW</v>
      </c>
      <c r="U56" s="3" t="str">
        <f t="shared" si="43"/>
        <v>U</v>
      </c>
      <c r="V56" s="3" t="str">
        <f t="shared" si="44"/>
        <v>U</v>
      </c>
      <c r="W56" s="3" t="str">
        <f t="shared" si="45"/>
        <v>O</v>
      </c>
      <c r="X56" s="3" t="str">
        <f t="shared" si="46"/>
        <v>O</v>
      </c>
      <c r="Z56" s="3">
        <v>53.5</v>
      </c>
      <c r="AB56" s="3" t="str">
        <f t="shared" si="8"/>
        <v>CLE/CHI</v>
      </c>
      <c r="AC56" s="3">
        <f t="shared" si="35"/>
        <v>2</v>
      </c>
      <c r="AD56" s="3">
        <f t="shared" si="36"/>
        <v>2</v>
      </c>
    </row>
    <row r="57" spans="1:30" x14ac:dyDescent="0.45">
      <c r="A57" s="3">
        <v>191031</v>
      </c>
      <c r="B57" s="44">
        <v>0.33333333333333331</v>
      </c>
      <c r="C57" s="3" t="s">
        <v>39</v>
      </c>
      <c r="D57" s="3" t="s">
        <v>47</v>
      </c>
      <c r="E57" s="3">
        <v>22</v>
      </c>
      <c r="F57" s="3">
        <v>20</v>
      </c>
      <c r="G57" s="3">
        <v>30</v>
      </c>
      <c r="H57" s="3">
        <v>23</v>
      </c>
      <c r="J57" s="3">
        <v>25</v>
      </c>
      <c r="K57" s="3">
        <v>19</v>
      </c>
      <c r="L57" s="3">
        <v>23</v>
      </c>
      <c r="M57" s="3">
        <v>16</v>
      </c>
      <c r="O57" s="3">
        <f t="shared" si="37"/>
        <v>95</v>
      </c>
      <c r="P57" s="3">
        <f t="shared" si="38"/>
        <v>83</v>
      </c>
      <c r="Q57" s="3" t="str">
        <f t="shared" si="39"/>
        <v>HL</v>
      </c>
      <c r="R57" s="3" t="str">
        <f t="shared" si="40"/>
        <v>HW</v>
      </c>
      <c r="S57" s="3" t="str">
        <f t="shared" si="41"/>
        <v>HW</v>
      </c>
      <c r="T57" s="3" t="str">
        <f t="shared" si="42"/>
        <v>HW</v>
      </c>
      <c r="U57" s="3" t="str">
        <f t="shared" si="43"/>
        <v>U</v>
      </c>
      <c r="V57" s="3" t="str">
        <f t="shared" si="44"/>
        <v>U</v>
      </c>
      <c r="W57" s="3" t="str">
        <f t="shared" si="45"/>
        <v>U</v>
      </c>
      <c r="X57" s="3" t="str">
        <f t="shared" si="46"/>
        <v>U</v>
      </c>
      <c r="Z57" s="3">
        <v>54.5</v>
      </c>
      <c r="AB57" s="3" t="str">
        <f t="shared" si="8"/>
        <v>ORL/NYK</v>
      </c>
      <c r="AC57" s="3">
        <f t="shared" si="35"/>
        <v>0</v>
      </c>
      <c r="AD57" s="3">
        <f t="shared" si="36"/>
        <v>4</v>
      </c>
    </row>
    <row r="58" spans="1:30" x14ac:dyDescent="0.45">
      <c r="A58" s="3">
        <v>191031</v>
      </c>
      <c r="B58" s="44">
        <v>0.33333333333333331</v>
      </c>
      <c r="C58" s="3" t="s">
        <v>41</v>
      </c>
      <c r="D58" s="3" t="s">
        <v>29</v>
      </c>
      <c r="E58" s="3">
        <v>32</v>
      </c>
      <c r="F58" s="3">
        <v>30</v>
      </c>
      <c r="G58" s="3">
        <v>30</v>
      </c>
      <c r="H58" s="3">
        <v>25</v>
      </c>
      <c r="J58" s="3">
        <v>24</v>
      </c>
      <c r="K58" s="3">
        <v>19</v>
      </c>
      <c r="L58" s="3">
        <v>35</v>
      </c>
      <c r="M58" s="3">
        <v>17</v>
      </c>
      <c r="O58" s="3">
        <f t="shared" si="37"/>
        <v>117</v>
      </c>
      <c r="P58" s="3">
        <f t="shared" si="38"/>
        <v>95</v>
      </c>
      <c r="Q58" s="3" t="str">
        <f t="shared" si="39"/>
        <v>HW</v>
      </c>
      <c r="R58" s="3" t="str">
        <f t="shared" si="40"/>
        <v>HW</v>
      </c>
      <c r="S58" s="3" t="str">
        <f t="shared" si="41"/>
        <v>HL</v>
      </c>
      <c r="T58" s="3" t="str">
        <f t="shared" si="42"/>
        <v>HW</v>
      </c>
      <c r="U58" s="3" t="str">
        <f t="shared" si="43"/>
        <v>U</v>
      </c>
      <c r="V58" s="3" t="str">
        <f t="shared" si="44"/>
        <v>U</v>
      </c>
      <c r="W58" s="3" t="str">
        <f t="shared" si="45"/>
        <v>O</v>
      </c>
      <c r="X58" s="3" t="str">
        <f t="shared" si="46"/>
        <v>U</v>
      </c>
      <c r="Z58" s="3">
        <v>57</v>
      </c>
      <c r="AB58" s="3" t="str">
        <f t="shared" si="8"/>
        <v>PHI/MIN</v>
      </c>
      <c r="AC58" s="3">
        <f t="shared" si="35"/>
        <v>1</v>
      </c>
      <c r="AD58" s="3">
        <f t="shared" si="36"/>
        <v>3</v>
      </c>
    </row>
    <row r="59" spans="1:30" x14ac:dyDescent="0.45">
      <c r="A59" s="3">
        <v>191031</v>
      </c>
      <c r="B59" s="44">
        <v>0.35416666666666669</v>
      </c>
      <c r="C59" s="3" t="s">
        <v>42</v>
      </c>
      <c r="D59" s="3" t="s">
        <v>53</v>
      </c>
      <c r="E59" s="3">
        <v>19</v>
      </c>
      <c r="F59" s="3">
        <v>23</v>
      </c>
      <c r="G59" s="3">
        <v>38</v>
      </c>
      <c r="H59" s="3">
        <v>36</v>
      </c>
      <c r="J59" s="3">
        <v>34</v>
      </c>
      <c r="K59" s="3">
        <v>24</v>
      </c>
      <c r="L59" s="3">
        <v>18</v>
      </c>
      <c r="M59" s="3">
        <v>29</v>
      </c>
      <c r="O59" s="3">
        <f t="shared" si="37"/>
        <v>116</v>
      </c>
      <c r="P59" s="3">
        <f t="shared" si="38"/>
        <v>105</v>
      </c>
      <c r="Q59" s="3" t="str">
        <f t="shared" si="39"/>
        <v>HL</v>
      </c>
      <c r="R59" s="3" t="str">
        <f t="shared" si="40"/>
        <v>HL</v>
      </c>
      <c r="S59" s="3" t="str">
        <f t="shared" si="41"/>
        <v>HW</v>
      </c>
      <c r="T59" s="3" t="str">
        <f t="shared" si="42"/>
        <v>HW</v>
      </c>
      <c r="U59" s="3" t="str">
        <f t="shared" si="43"/>
        <v>U</v>
      </c>
      <c r="V59" s="3" t="str">
        <f t="shared" si="44"/>
        <v>U</v>
      </c>
      <c r="W59" s="3" t="str">
        <f t="shared" si="45"/>
        <v>O</v>
      </c>
      <c r="X59" s="3" t="str">
        <f t="shared" si="46"/>
        <v>O</v>
      </c>
      <c r="Z59" s="3">
        <v>55</v>
      </c>
      <c r="AB59" s="3" t="str">
        <f t="shared" si="8"/>
        <v>BOS/MIL</v>
      </c>
      <c r="AC59" s="3">
        <f t="shared" si="35"/>
        <v>2</v>
      </c>
      <c r="AD59" s="3">
        <f t="shared" si="36"/>
        <v>2</v>
      </c>
    </row>
    <row r="60" spans="1:30" x14ac:dyDescent="0.45">
      <c r="A60" s="3">
        <v>191031</v>
      </c>
      <c r="B60" s="44">
        <v>0.35416666666666669</v>
      </c>
      <c r="C60" s="3" t="s">
        <v>30</v>
      </c>
      <c r="D60" s="3" t="s">
        <v>35</v>
      </c>
      <c r="E60" s="3">
        <v>31</v>
      </c>
      <c r="F60" s="3">
        <v>32</v>
      </c>
      <c r="G60" s="3">
        <v>20</v>
      </c>
      <c r="H60" s="3">
        <v>25</v>
      </c>
      <c r="J60" s="3">
        <v>31</v>
      </c>
      <c r="K60" s="3">
        <v>29</v>
      </c>
      <c r="L60" s="3">
        <v>30</v>
      </c>
      <c r="M60" s="3">
        <v>28</v>
      </c>
      <c r="O60" s="3">
        <f t="shared" si="37"/>
        <v>108</v>
      </c>
      <c r="P60" s="3">
        <f t="shared" si="38"/>
        <v>118</v>
      </c>
      <c r="Q60" s="3" t="str">
        <f t="shared" si="39"/>
        <v>TT</v>
      </c>
      <c r="R60" s="3" t="str">
        <f t="shared" si="40"/>
        <v>HW</v>
      </c>
      <c r="S60" s="3" t="str">
        <f t="shared" si="41"/>
        <v>HL</v>
      </c>
      <c r="T60" s="3" t="str">
        <f t="shared" si="42"/>
        <v>HL</v>
      </c>
      <c r="U60" s="3" t="str">
        <f t="shared" si="43"/>
        <v>O</v>
      </c>
      <c r="V60" s="3" t="str">
        <f t="shared" si="44"/>
        <v>O</v>
      </c>
      <c r="W60" s="3" t="str">
        <f t="shared" si="45"/>
        <v>U</v>
      </c>
      <c r="X60" s="3" t="str">
        <f t="shared" si="46"/>
        <v>U</v>
      </c>
      <c r="Z60" s="3">
        <v>57</v>
      </c>
      <c r="AB60" s="3" t="str">
        <f t="shared" si="8"/>
        <v>BKN/IND</v>
      </c>
      <c r="AC60" s="3">
        <f t="shared" si="35"/>
        <v>2</v>
      </c>
      <c r="AD60" s="3">
        <f t="shared" si="36"/>
        <v>2</v>
      </c>
    </row>
    <row r="61" spans="1:30" x14ac:dyDescent="0.45">
      <c r="A61" s="3">
        <v>191031</v>
      </c>
      <c r="B61" s="44">
        <v>0.35416666666666669</v>
      </c>
      <c r="C61" s="3" t="s">
        <v>28</v>
      </c>
      <c r="D61" s="3" t="s">
        <v>36</v>
      </c>
      <c r="E61" s="3">
        <v>37</v>
      </c>
      <c r="F61" s="3">
        <v>27</v>
      </c>
      <c r="G61" s="3">
        <v>37</v>
      </c>
      <c r="H61" s="3">
        <v>24</v>
      </c>
      <c r="J61" s="3">
        <v>28</v>
      </c>
      <c r="K61" s="3">
        <v>30</v>
      </c>
      <c r="L61" s="3">
        <v>27</v>
      </c>
      <c r="M61" s="3">
        <v>28</v>
      </c>
      <c r="O61" s="3">
        <f t="shared" si="37"/>
        <v>125</v>
      </c>
      <c r="P61" s="3">
        <f t="shared" si="38"/>
        <v>113</v>
      </c>
      <c r="Q61" s="3" t="str">
        <f t="shared" si="39"/>
        <v>HW</v>
      </c>
      <c r="R61" s="3" t="str">
        <f t="shared" si="40"/>
        <v>HL</v>
      </c>
      <c r="S61" s="3" t="str">
        <f t="shared" si="41"/>
        <v>HW</v>
      </c>
      <c r="T61" s="3" t="str">
        <f t="shared" si="42"/>
        <v>HL</v>
      </c>
      <c r="U61" s="3" t="str">
        <f t="shared" si="43"/>
        <v>O</v>
      </c>
      <c r="V61" s="3" t="str">
        <f t="shared" si="44"/>
        <v>O</v>
      </c>
      <c r="W61" s="3" t="str">
        <f t="shared" si="45"/>
        <v>O</v>
      </c>
      <c r="X61" s="3" t="str">
        <f t="shared" si="46"/>
        <v>U</v>
      </c>
      <c r="Z61" s="3">
        <v>55</v>
      </c>
      <c r="AB61" s="3" t="str">
        <f t="shared" si="8"/>
        <v>TOR/DET</v>
      </c>
      <c r="AC61" s="3">
        <f t="shared" si="35"/>
        <v>3</v>
      </c>
      <c r="AD61" s="3">
        <f t="shared" si="36"/>
        <v>1</v>
      </c>
    </row>
    <row r="62" spans="1:30" x14ac:dyDescent="0.45">
      <c r="A62" s="3">
        <v>191031</v>
      </c>
      <c r="B62" s="44">
        <v>0.375</v>
      </c>
      <c r="C62" s="3" t="s">
        <v>49</v>
      </c>
      <c r="D62" s="3" t="s">
        <v>45</v>
      </c>
      <c r="E62" s="3">
        <v>17</v>
      </c>
      <c r="F62" s="3">
        <v>27</v>
      </c>
      <c r="G62" s="3">
        <v>25</v>
      </c>
      <c r="H62" s="3">
        <v>30</v>
      </c>
      <c r="J62" s="3">
        <v>24</v>
      </c>
      <c r="K62" s="3">
        <v>25</v>
      </c>
      <c r="L62" s="3">
        <v>19</v>
      </c>
      <c r="M62" s="3">
        <v>34</v>
      </c>
      <c r="O62" s="3">
        <f t="shared" si="37"/>
        <v>99</v>
      </c>
      <c r="P62" s="3">
        <f t="shared" si="38"/>
        <v>102</v>
      </c>
      <c r="Q62" s="3" t="str">
        <f t="shared" si="39"/>
        <v>HL</v>
      </c>
      <c r="R62" s="3" t="str">
        <f t="shared" si="40"/>
        <v>HW</v>
      </c>
      <c r="S62" s="3" t="str">
        <f t="shared" si="41"/>
        <v>HW</v>
      </c>
      <c r="T62" s="3" t="str">
        <f t="shared" si="42"/>
        <v>HL</v>
      </c>
      <c r="U62" s="3" t="str">
        <f t="shared" si="43"/>
        <v>U</v>
      </c>
      <c r="V62" s="3" t="str">
        <f t="shared" si="44"/>
        <v>U</v>
      </c>
      <c r="W62" s="3" t="str">
        <f t="shared" si="45"/>
        <v>U</v>
      </c>
      <c r="X62" s="3" t="str">
        <f t="shared" si="46"/>
        <v>O</v>
      </c>
      <c r="Z62" s="3">
        <v>54</v>
      </c>
      <c r="AB62" s="3" t="str">
        <f t="shared" si="8"/>
        <v>OKC/POR</v>
      </c>
      <c r="AC62" s="3">
        <f t="shared" si="35"/>
        <v>1</v>
      </c>
      <c r="AD62" s="3">
        <f t="shared" si="36"/>
        <v>3</v>
      </c>
    </row>
    <row r="63" spans="1:30" x14ac:dyDescent="0.45">
      <c r="A63" s="3">
        <v>191031</v>
      </c>
      <c r="B63" s="44">
        <v>0.375</v>
      </c>
      <c r="C63" s="3" t="s">
        <v>34</v>
      </c>
      <c r="D63" s="3" t="s">
        <v>52</v>
      </c>
      <c r="E63" s="3">
        <v>34</v>
      </c>
      <c r="F63" s="3">
        <v>43</v>
      </c>
      <c r="G63" s="3">
        <v>40</v>
      </c>
      <c r="H63" s="3">
        <v>41</v>
      </c>
      <c r="J63" s="3">
        <v>35</v>
      </c>
      <c r="K63" s="3">
        <v>41</v>
      </c>
      <c r="L63" s="3">
        <v>35</v>
      </c>
      <c r="M63" s="3">
        <v>48</v>
      </c>
      <c r="O63" s="3">
        <f t="shared" si="37"/>
        <v>158</v>
      </c>
      <c r="P63" s="3">
        <f t="shared" si="38"/>
        <v>159</v>
      </c>
      <c r="Q63" s="3" t="str">
        <f t="shared" si="39"/>
        <v>HL</v>
      </c>
      <c r="R63" s="3" t="str">
        <f t="shared" si="40"/>
        <v>HW</v>
      </c>
      <c r="S63" s="3" t="str">
        <f t="shared" si="41"/>
        <v>HW</v>
      </c>
      <c r="T63" s="3" t="str">
        <f t="shared" si="42"/>
        <v>HL</v>
      </c>
      <c r="U63" s="3" t="str">
        <f t="shared" si="43"/>
        <v>O</v>
      </c>
      <c r="V63" s="3" t="str">
        <f t="shared" si="44"/>
        <v>O</v>
      </c>
      <c r="W63" s="3" t="str">
        <f t="shared" si="45"/>
        <v>O</v>
      </c>
      <c r="X63" s="3" t="str">
        <f t="shared" si="46"/>
        <v>O</v>
      </c>
      <c r="Z63" s="3">
        <v>60.5</v>
      </c>
      <c r="AB63" s="3" t="str">
        <f t="shared" si="8"/>
        <v>WAS/HOU</v>
      </c>
      <c r="AC63" s="3">
        <f t="shared" si="35"/>
        <v>4</v>
      </c>
      <c r="AD63" s="3">
        <f t="shared" si="36"/>
        <v>0</v>
      </c>
    </row>
    <row r="64" spans="1:30" x14ac:dyDescent="0.45">
      <c r="A64" s="3">
        <v>191031</v>
      </c>
      <c r="B64" s="44">
        <v>0.45833333333333331</v>
      </c>
      <c r="C64" s="11" t="s">
        <v>44</v>
      </c>
      <c r="D64" s="11" t="s">
        <v>31</v>
      </c>
      <c r="E64" s="3">
        <v>33</v>
      </c>
      <c r="F64" s="3">
        <v>33</v>
      </c>
      <c r="G64" s="3">
        <v>18</v>
      </c>
      <c r="H64" s="3">
        <v>27</v>
      </c>
      <c r="J64" s="3">
        <v>30</v>
      </c>
      <c r="K64" s="3">
        <v>31</v>
      </c>
      <c r="L64" s="3">
        <v>32</v>
      </c>
      <c r="M64" s="3">
        <v>25</v>
      </c>
      <c r="O64" s="3">
        <f t="shared" si="37"/>
        <v>111</v>
      </c>
      <c r="P64" s="3">
        <f t="shared" si="38"/>
        <v>118</v>
      </c>
      <c r="Q64" s="3" t="str">
        <f t="shared" si="39"/>
        <v>HW</v>
      </c>
      <c r="R64" s="3" t="str">
        <f t="shared" si="40"/>
        <v>HW</v>
      </c>
      <c r="S64" s="3" t="str">
        <f t="shared" si="41"/>
        <v>HL</v>
      </c>
      <c r="T64" s="3" t="str">
        <f t="shared" si="42"/>
        <v>HW</v>
      </c>
      <c r="U64" s="3" t="str">
        <f t="shared" si="43"/>
        <v>O</v>
      </c>
      <c r="V64" s="3" t="str">
        <f t="shared" si="44"/>
        <v>O</v>
      </c>
      <c r="W64" s="3" t="str">
        <f t="shared" si="45"/>
        <v>U</v>
      </c>
      <c r="X64" s="3" t="str">
        <f t="shared" si="46"/>
        <v>U</v>
      </c>
      <c r="Z64" s="3">
        <v>57.5</v>
      </c>
      <c r="AB64" s="3" t="str">
        <f t="shared" si="8"/>
        <v>SAC/CHA</v>
      </c>
      <c r="AC64" s="3">
        <f t="shared" si="35"/>
        <v>2</v>
      </c>
      <c r="AD64" s="3">
        <f t="shared" si="36"/>
        <v>2</v>
      </c>
    </row>
    <row r="65" spans="1:30" x14ac:dyDescent="0.45">
      <c r="A65" s="3">
        <v>191031</v>
      </c>
      <c r="B65" s="44">
        <v>0.45833333333333331</v>
      </c>
      <c r="C65" s="3" t="s">
        <v>48</v>
      </c>
      <c r="D65" s="3" t="s">
        <v>25</v>
      </c>
      <c r="E65" s="3">
        <v>33</v>
      </c>
      <c r="F65" s="3">
        <v>19</v>
      </c>
      <c r="G65" s="3">
        <v>38</v>
      </c>
      <c r="H65" s="3">
        <v>20</v>
      </c>
      <c r="J65" s="3">
        <v>23</v>
      </c>
      <c r="K65" s="3">
        <v>28</v>
      </c>
      <c r="L65" s="3">
        <v>20</v>
      </c>
      <c r="M65" s="3">
        <v>25</v>
      </c>
      <c r="O65" s="3">
        <f t="shared" si="37"/>
        <v>110</v>
      </c>
      <c r="P65" s="3">
        <f t="shared" si="38"/>
        <v>96</v>
      </c>
      <c r="Q65" s="3" t="str">
        <f t="shared" si="39"/>
        <v>HW</v>
      </c>
      <c r="R65" s="3" t="str">
        <f t="shared" si="40"/>
        <v>HL</v>
      </c>
      <c r="S65" s="3" t="str">
        <f t="shared" si="41"/>
        <v>HW</v>
      </c>
      <c r="T65" s="3" t="str">
        <f t="shared" si="42"/>
        <v>HL</v>
      </c>
      <c r="U65" s="3" t="str">
        <f t="shared" si="43"/>
        <v>O</v>
      </c>
      <c r="V65" s="3" t="str">
        <f t="shared" si="44"/>
        <v>U</v>
      </c>
      <c r="W65" s="3" t="str">
        <f t="shared" si="45"/>
        <v>O</v>
      </c>
      <c r="X65" s="3" t="str">
        <f t="shared" si="46"/>
        <v>U</v>
      </c>
      <c r="Z65" s="3">
        <v>54.5</v>
      </c>
      <c r="AB65" s="3" t="str">
        <f t="shared" si="8"/>
        <v>UTA/LAC</v>
      </c>
      <c r="AC65" s="3">
        <f t="shared" si="35"/>
        <v>2</v>
      </c>
      <c r="AD65" s="3">
        <f t="shared" si="36"/>
        <v>2</v>
      </c>
    </row>
    <row r="66" spans="1:30" x14ac:dyDescent="0.45">
      <c r="A66" s="3">
        <v>191031</v>
      </c>
      <c r="B66" s="44">
        <v>0.47916666666666669</v>
      </c>
      <c r="C66" s="3" t="s">
        <v>51</v>
      </c>
      <c r="D66" s="3" t="s">
        <v>43</v>
      </c>
      <c r="E66" s="3">
        <v>14</v>
      </c>
      <c r="F66" s="3">
        <v>32</v>
      </c>
      <c r="G66" s="3">
        <v>21</v>
      </c>
      <c r="H66" s="3">
        <v>43</v>
      </c>
      <c r="J66" s="3">
        <v>43</v>
      </c>
      <c r="K66" s="3">
        <v>29</v>
      </c>
      <c r="L66" s="3">
        <v>23</v>
      </c>
      <c r="M66" s="3">
        <v>26</v>
      </c>
      <c r="O66" s="3">
        <f t="shared" si="37"/>
        <v>110</v>
      </c>
      <c r="P66" s="3">
        <f t="shared" si="38"/>
        <v>121</v>
      </c>
      <c r="Q66" s="3" t="str">
        <f t="shared" si="39"/>
        <v>HL</v>
      </c>
      <c r="R66" s="3" t="str">
        <f t="shared" si="40"/>
        <v>HW</v>
      </c>
      <c r="S66" s="3" t="str">
        <f t="shared" si="41"/>
        <v>HL</v>
      </c>
      <c r="T66" s="3" t="str">
        <f t="shared" si="42"/>
        <v>HW</v>
      </c>
      <c r="U66" s="3" t="str">
        <f t="shared" si="43"/>
        <v>T</v>
      </c>
      <c r="V66" s="3" t="str">
        <f t="shared" si="44"/>
        <v>O</v>
      </c>
      <c r="W66" s="3" t="str">
        <f t="shared" si="45"/>
        <v>U</v>
      </c>
      <c r="X66" s="3" t="str">
        <f t="shared" si="46"/>
        <v>O</v>
      </c>
      <c r="Z66" s="3">
        <v>57</v>
      </c>
      <c r="AB66" s="3" t="str">
        <f t="shared" si="8"/>
        <v>GS/PHO</v>
      </c>
      <c r="AC66" s="3">
        <f t="shared" si="35"/>
        <v>2</v>
      </c>
      <c r="AD66" s="3">
        <f t="shared" si="36"/>
        <v>1</v>
      </c>
    </row>
    <row r="67" spans="1:30" x14ac:dyDescent="0.45">
      <c r="A67" s="3">
        <v>191101</v>
      </c>
      <c r="B67" s="44">
        <v>0.33333333333333331</v>
      </c>
      <c r="C67" s="3" t="s">
        <v>122</v>
      </c>
      <c r="D67" s="3" t="s">
        <v>123</v>
      </c>
      <c r="E67" s="3">
        <v>26</v>
      </c>
      <c r="F67" s="3">
        <v>20</v>
      </c>
      <c r="G67" s="3">
        <v>29</v>
      </c>
      <c r="H67" s="3">
        <v>22</v>
      </c>
      <c r="J67" s="3">
        <v>30</v>
      </c>
      <c r="K67" s="3">
        <v>22</v>
      </c>
      <c r="L67" s="3">
        <v>33</v>
      </c>
      <c r="M67" s="3">
        <v>21</v>
      </c>
      <c r="O67" s="3">
        <f t="shared" si="37"/>
        <v>97</v>
      </c>
      <c r="P67" s="3">
        <f t="shared" si="38"/>
        <v>106</v>
      </c>
      <c r="Q67" s="3" t="str">
        <f t="shared" si="39"/>
        <v>HL</v>
      </c>
      <c r="R67" s="3" t="str">
        <f t="shared" si="40"/>
        <v>HL</v>
      </c>
      <c r="S67" s="3" t="str">
        <f t="shared" si="41"/>
        <v>HL</v>
      </c>
      <c r="T67" s="3" t="str">
        <f t="shared" si="42"/>
        <v>HW</v>
      </c>
      <c r="U67" s="3" t="str">
        <f t="shared" si="43"/>
        <v>O</v>
      </c>
      <c r="V67" s="3" t="str">
        <f t="shared" si="44"/>
        <v>U</v>
      </c>
      <c r="W67" s="3" t="str">
        <f t="shared" si="45"/>
        <v>O</v>
      </c>
      <c r="X67" s="3" t="str">
        <f t="shared" si="46"/>
        <v>U</v>
      </c>
      <c r="Z67" s="3">
        <v>55.5</v>
      </c>
      <c r="AB67" s="3" t="str">
        <f t="shared" si="8"/>
        <v>ATL/MIA</v>
      </c>
      <c r="AC67" s="3">
        <f t="shared" si="35"/>
        <v>2</v>
      </c>
      <c r="AD67" s="3">
        <f t="shared" si="36"/>
        <v>2</v>
      </c>
    </row>
    <row r="68" spans="1:30" x14ac:dyDescent="0.45">
      <c r="A68" s="3">
        <v>191101</v>
      </c>
      <c r="B68" s="44">
        <v>0.4375</v>
      </c>
      <c r="C68" s="3" t="s">
        <v>124</v>
      </c>
      <c r="D68" s="3" t="s">
        <v>125</v>
      </c>
      <c r="E68" s="3">
        <v>32</v>
      </c>
      <c r="F68" s="3">
        <v>24</v>
      </c>
      <c r="G68" s="3">
        <v>30</v>
      </c>
      <c r="H68" s="3">
        <v>36</v>
      </c>
      <c r="J68" s="3">
        <v>30</v>
      </c>
      <c r="K68" s="3">
        <v>22</v>
      </c>
      <c r="L68" s="3">
        <v>23</v>
      </c>
      <c r="M68" s="3">
        <v>32</v>
      </c>
      <c r="O68" s="3">
        <f t="shared" si="37"/>
        <v>122</v>
      </c>
      <c r="P68" s="3">
        <f t="shared" si="38"/>
        <v>107</v>
      </c>
      <c r="Q68" s="3" t="str">
        <f t="shared" si="39"/>
        <v>HW</v>
      </c>
      <c r="R68" s="3" t="str">
        <f t="shared" si="40"/>
        <v>HW</v>
      </c>
      <c r="S68" s="3" t="str">
        <f t="shared" si="41"/>
        <v>HW</v>
      </c>
      <c r="T68" s="3" t="str">
        <f t="shared" si="42"/>
        <v>HW</v>
      </c>
      <c r="U68" s="3" t="str">
        <f t="shared" si="43"/>
        <v>O</v>
      </c>
      <c r="V68" s="3" t="str">
        <f t="shared" si="44"/>
        <v>U</v>
      </c>
      <c r="W68" s="3" t="str">
        <f t="shared" si="45"/>
        <v>U</v>
      </c>
      <c r="X68" s="3" t="str">
        <f t="shared" si="46"/>
        <v>O</v>
      </c>
      <c r="Z68" s="3">
        <v>57.5</v>
      </c>
      <c r="AB68" s="3" t="str">
        <f t="shared" ref="AB68:AB116" si="47">C68&amp;"/"&amp;D68</f>
        <v>NO/DEN</v>
      </c>
      <c r="AC68" s="3">
        <f t="shared" si="35"/>
        <v>2</v>
      </c>
      <c r="AD68" s="3">
        <f t="shared" si="36"/>
        <v>2</v>
      </c>
    </row>
    <row r="69" spans="1:30" x14ac:dyDescent="0.45">
      <c r="A69" s="3">
        <v>191101</v>
      </c>
      <c r="B69" s="44">
        <v>0.47916666666666669</v>
      </c>
      <c r="C69" s="3" t="s">
        <v>126</v>
      </c>
      <c r="D69" s="3" t="s">
        <v>127</v>
      </c>
      <c r="E69" s="3">
        <v>23</v>
      </c>
      <c r="F69" s="3">
        <v>27</v>
      </c>
      <c r="G69" s="3">
        <v>30</v>
      </c>
      <c r="H69" s="3">
        <v>23</v>
      </c>
      <c r="J69" s="3">
        <v>24</v>
      </c>
      <c r="K69" s="3">
        <v>24</v>
      </c>
      <c r="L69" s="3">
        <v>27</v>
      </c>
      <c r="M69" s="3">
        <v>22</v>
      </c>
      <c r="O69" s="3">
        <f t="shared" si="37"/>
        <v>103</v>
      </c>
      <c r="P69" s="3">
        <f t="shared" si="38"/>
        <v>97</v>
      </c>
      <c r="Q69" s="3" t="str">
        <f t="shared" si="39"/>
        <v>HL</v>
      </c>
      <c r="R69" s="3" t="str">
        <f t="shared" si="40"/>
        <v>HW</v>
      </c>
      <c r="S69" s="3" t="str">
        <f t="shared" si="41"/>
        <v>HW</v>
      </c>
      <c r="T69" s="3" t="str">
        <f t="shared" si="42"/>
        <v>HW</v>
      </c>
      <c r="U69" s="3" t="str">
        <f t="shared" si="43"/>
        <v>U</v>
      </c>
      <c r="V69" s="3" t="str">
        <f t="shared" si="44"/>
        <v>U</v>
      </c>
      <c r="W69" s="3" t="str">
        <f t="shared" si="45"/>
        <v>O</v>
      </c>
      <c r="X69" s="3" t="str">
        <f t="shared" si="46"/>
        <v>U</v>
      </c>
      <c r="Z69" s="3">
        <v>56.5</v>
      </c>
      <c r="AB69" s="3" t="str">
        <f t="shared" si="47"/>
        <v>LAC/SAS</v>
      </c>
      <c r="AC69" s="3">
        <f t="shared" si="35"/>
        <v>1</v>
      </c>
      <c r="AD69" s="3">
        <f t="shared" si="36"/>
        <v>3</v>
      </c>
    </row>
    <row r="70" spans="1:30" x14ac:dyDescent="0.45">
      <c r="A70" s="3">
        <v>191102</v>
      </c>
      <c r="B70" s="44">
        <v>0.33333333333333331</v>
      </c>
      <c r="C70" s="3" t="s">
        <v>128</v>
      </c>
      <c r="D70" s="3" t="s">
        <v>129</v>
      </c>
      <c r="E70" s="3">
        <v>19</v>
      </c>
      <c r="F70" s="3">
        <v>23</v>
      </c>
      <c r="G70" s="3">
        <v>26</v>
      </c>
      <c r="H70" s="3">
        <v>34</v>
      </c>
      <c r="J70" s="3">
        <v>26</v>
      </c>
      <c r="K70" s="3">
        <v>11</v>
      </c>
      <c r="L70" s="3">
        <v>24</v>
      </c>
      <c r="M70" s="3">
        <v>34</v>
      </c>
      <c r="O70" s="3">
        <f t="shared" si="37"/>
        <v>102</v>
      </c>
      <c r="P70" s="3">
        <f t="shared" si="38"/>
        <v>95</v>
      </c>
      <c r="Q70" s="3" t="str">
        <f t="shared" si="39"/>
        <v>HL</v>
      </c>
      <c r="R70" s="3" t="str">
        <f t="shared" si="40"/>
        <v>HW</v>
      </c>
      <c r="S70" s="3" t="str">
        <f t="shared" si="41"/>
        <v>HW</v>
      </c>
      <c r="T70" s="3" t="str">
        <f t="shared" si="42"/>
        <v>TT</v>
      </c>
      <c r="U70" s="3" t="str">
        <f t="shared" si="43"/>
        <v>U</v>
      </c>
      <c r="V70" s="3" t="str">
        <f t="shared" si="44"/>
        <v>U</v>
      </c>
      <c r="W70" s="3" t="str">
        <f t="shared" si="45"/>
        <v>U</v>
      </c>
      <c r="X70" s="3" t="str">
        <f t="shared" si="46"/>
        <v>O</v>
      </c>
      <c r="Z70" s="3">
        <v>52</v>
      </c>
      <c r="AB70" s="3" t="str">
        <f t="shared" si="47"/>
        <v>IND/CLE</v>
      </c>
      <c r="AC70" s="3">
        <f t="shared" si="35"/>
        <v>1</v>
      </c>
      <c r="AD70" s="3">
        <f t="shared" si="36"/>
        <v>3</v>
      </c>
    </row>
    <row r="71" spans="1:30" x14ac:dyDescent="0.45">
      <c r="A71" s="3">
        <v>191102</v>
      </c>
      <c r="B71" s="44">
        <v>0.33333333333333331</v>
      </c>
      <c r="C71" s="3" t="s">
        <v>30</v>
      </c>
      <c r="D71" s="3" t="s">
        <v>52</v>
      </c>
      <c r="E71" s="3">
        <v>24</v>
      </c>
      <c r="F71" s="3">
        <v>37</v>
      </c>
      <c r="G71" s="3">
        <v>34</v>
      </c>
      <c r="H71" s="3">
        <v>28</v>
      </c>
      <c r="J71" s="3">
        <v>33</v>
      </c>
      <c r="K71" s="3">
        <v>26</v>
      </c>
      <c r="L71" s="3">
        <v>24</v>
      </c>
      <c r="M71" s="3">
        <v>33</v>
      </c>
      <c r="O71" s="3">
        <f t="shared" si="37"/>
        <v>123</v>
      </c>
      <c r="P71" s="3">
        <f t="shared" si="38"/>
        <v>116</v>
      </c>
      <c r="Q71" s="3" t="str">
        <f t="shared" si="39"/>
        <v>HL</v>
      </c>
      <c r="R71" s="3" t="str">
        <f t="shared" si="40"/>
        <v>HW</v>
      </c>
      <c r="S71" s="3" t="str">
        <f t="shared" si="41"/>
        <v>HW</v>
      </c>
      <c r="T71" s="3" t="str">
        <f t="shared" si="42"/>
        <v>HL</v>
      </c>
      <c r="U71" s="3" t="str">
        <f t="shared" si="43"/>
        <v>U</v>
      </c>
      <c r="V71" s="3" t="str">
        <f t="shared" si="44"/>
        <v>O</v>
      </c>
      <c r="W71" s="3" t="str">
        <f t="shared" si="45"/>
        <v>U</v>
      </c>
      <c r="X71" s="3" t="str">
        <f t="shared" si="46"/>
        <v>U</v>
      </c>
      <c r="Z71" s="3">
        <v>62.5</v>
      </c>
      <c r="AB71" s="3" t="str">
        <f t="shared" si="47"/>
        <v>BKN/HOU</v>
      </c>
      <c r="AC71" s="3">
        <f t="shared" si="35"/>
        <v>1</v>
      </c>
      <c r="AD71" s="3">
        <f t="shared" si="36"/>
        <v>3</v>
      </c>
    </row>
    <row r="72" spans="1:30" x14ac:dyDescent="0.45">
      <c r="A72" s="3">
        <v>191102</v>
      </c>
      <c r="B72" s="44">
        <v>0.33333333333333331</v>
      </c>
      <c r="C72" s="3" t="s">
        <v>130</v>
      </c>
      <c r="D72" s="3" t="s">
        <v>131</v>
      </c>
      <c r="E72" s="3">
        <v>27</v>
      </c>
      <c r="F72" s="3">
        <v>14</v>
      </c>
      <c r="G72" s="3">
        <v>30</v>
      </c>
      <c r="H72" s="3">
        <v>20</v>
      </c>
      <c r="J72" s="3">
        <v>31</v>
      </c>
      <c r="K72" s="3">
        <v>31</v>
      </c>
      <c r="L72" s="3">
        <v>26</v>
      </c>
      <c r="M72" s="3">
        <v>35</v>
      </c>
      <c r="O72" s="3">
        <f t="shared" si="37"/>
        <v>91</v>
      </c>
      <c r="P72" s="3">
        <f t="shared" si="38"/>
        <v>123</v>
      </c>
      <c r="Q72" s="3" t="str">
        <f t="shared" si="39"/>
        <v>HL</v>
      </c>
      <c r="R72" s="3" t="str">
        <f t="shared" si="40"/>
        <v>HL</v>
      </c>
      <c r="S72" s="3" t="str">
        <f t="shared" si="41"/>
        <v>HW</v>
      </c>
      <c r="T72" s="3" t="str">
        <f t="shared" si="42"/>
        <v>HL</v>
      </c>
      <c r="U72" s="3" t="str">
        <f t="shared" si="43"/>
        <v>O</v>
      </c>
      <c r="V72" s="3" t="str">
        <f t="shared" si="44"/>
        <v>U</v>
      </c>
      <c r="W72" s="3" t="str">
        <f t="shared" si="45"/>
        <v>O</v>
      </c>
      <c r="X72" s="3" t="str">
        <f t="shared" si="46"/>
        <v>O</v>
      </c>
      <c r="Z72" s="3">
        <v>52</v>
      </c>
      <c r="AB72" s="3" t="str">
        <f t="shared" si="47"/>
        <v>ORL/MIL</v>
      </c>
      <c r="AC72" s="3">
        <f t="shared" si="35"/>
        <v>3</v>
      </c>
      <c r="AD72" s="3">
        <f t="shared" si="36"/>
        <v>1</v>
      </c>
    </row>
    <row r="73" spans="1:30" x14ac:dyDescent="0.45">
      <c r="A73" s="3">
        <v>191102</v>
      </c>
      <c r="B73" s="44">
        <v>0.35416666666666669</v>
      </c>
      <c r="C73" s="3" t="s">
        <v>132</v>
      </c>
      <c r="D73" s="3" t="s">
        <v>133</v>
      </c>
      <c r="E73" s="3">
        <v>22</v>
      </c>
      <c r="F73" s="3">
        <v>27</v>
      </c>
      <c r="G73" s="3">
        <v>26</v>
      </c>
      <c r="H73" s="3">
        <v>29</v>
      </c>
      <c r="J73" s="3">
        <v>23</v>
      </c>
      <c r="K73" s="3">
        <v>27</v>
      </c>
      <c r="L73" s="3">
        <v>24</v>
      </c>
      <c r="M73" s="3">
        <v>28</v>
      </c>
      <c r="O73" s="3">
        <f t="shared" si="37"/>
        <v>104</v>
      </c>
      <c r="P73" s="3">
        <f t="shared" si="38"/>
        <v>102</v>
      </c>
      <c r="Q73" s="3" t="str">
        <f t="shared" si="39"/>
        <v>HL</v>
      </c>
      <c r="R73" s="3" t="str">
        <f t="shared" si="40"/>
        <v>TT</v>
      </c>
      <c r="S73" s="3" t="str">
        <f t="shared" si="41"/>
        <v>HW</v>
      </c>
      <c r="T73" s="3" t="str">
        <f t="shared" si="42"/>
        <v>HW</v>
      </c>
      <c r="U73" s="3" t="str">
        <f t="shared" si="43"/>
        <v>U</v>
      </c>
      <c r="V73" s="3" t="str">
        <f t="shared" si="44"/>
        <v>T</v>
      </c>
      <c r="W73" s="3" t="str">
        <f t="shared" si="45"/>
        <v>U</v>
      </c>
      <c r="X73" s="3" t="str">
        <f t="shared" si="46"/>
        <v>O</v>
      </c>
      <c r="Z73" s="3">
        <v>54</v>
      </c>
      <c r="AB73" s="3" t="str">
        <f t="shared" si="47"/>
        <v>BOS/NYK</v>
      </c>
      <c r="AC73" s="3">
        <f t="shared" si="35"/>
        <v>1</v>
      </c>
      <c r="AD73" s="3">
        <f t="shared" si="36"/>
        <v>2</v>
      </c>
    </row>
    <row r="74" spans="1:30" x14ac:dyDescent="0.45">
      <c r="A74" s="3">
        <v>191102</v>
      </c>
      <c r="B74" s="44">
        <v>0.375</v>
      </c>
      <c r="C74" s="3" t="s">
        <v>134</v>
      </c>
      <c r="D74" s="3" t="s">
        <v>135</v>
      </c>
      <c r="E74" s="3">
        <v>30</v>
      </c>
      <c r="F74" s="3">
        <v>27</v>
      </c>
      <c r="G74" s="3">
        <v>29</v>
      </c>
      <c r="H74" s="3">
        <v>26</v>
      </c>
      <c r="J74" s="3">
        <v>23</v>
      </c>
      <c r="K74" s="3">
        <v>29</v>
      </c>
      <c r="L74" s="3">
        <v>28</v>
      </c>
      <c r="M74" s="3">
        <v>26</v>
      </c>
      <c r="O74" s="3">
        <f t="shared" si="37"/>
        <v>112</v>
      </c>
      <c r="P74" s="3">
        <f t="shared" si="38"/>
        <v>106</v>
      </c>
      <c r="Q74" s="3" t="str">
        <f t="shared" si="39"/>
        <v>HW</v>
      </c>
      <c r="R74" s="3" t="str">
        <f t="shared" si="40"/>
        <v>HL</v>
      </c>
      <c r="S74" s="3" t="str">
        <f t="shared" si="41"/>
        <v>HW</v>
      </c>
      <c r="T74" s="3" t="str">
        <f t="shared" si="42"/>
        <v>TT</v>
      </c>
      <c r="U74" s="3" t="str">
        <f t="shared" si="43"/>
        <v>U</v>
      </c>
      <c r="V74" s="3" t="str">
        <f t="shared" si="44"/>
        <v>O</v>
      </c>
      <c r="W74" s="3" t="str">
        <f t="shared" si="45"/>
        <v>O</v>
      </c>
      <c r="X74" s="3" t="str">
        <f t="shared" si="46"/>
        <v>U</v>
      </c>
      <c r="Z74" s="3">
        <v>55.5</v>
      </c>
      <c r="AB74" s="3" t="str">
        <f t="shared" si="47"/>
        <v>CHI/DET</v>
      </c>
      <c r="AC74" s="3">
        <f t="shared" si="35"/>
        <v>2</v>
      </c>
      <c r="AD74" s="3">
        <f t="shared" si="36"/>
        <v>2</v>
      </c>
    </row>
    <row r="75" spans="1:30" x14ac:dyDescent="0.45">
      <c r="A75" s="3">
        <v>191102</v>
      </c>
      <c r="B75" s="44">
        <v>0.4375</v>
      </c>
      <c r="C75" s="3" t="s">
        <v>136</v>
      </c>
      <c r="D75" s="3" t="s">
        <v>137</v>
      </c>
      <c r="E75" s="3">
        <v>25</v>
      </c>
      <c r="F75" s="3">
        <v>33</v>
      </c>
      <c r="G75" s="3">
        <v>27</v>
      </c>
      <c r="H75" s="3">
        <v>18</v>
      </c>
      <c r="I75" s="3">
        <v>7</v>
      </c>
      <c r="J75" s="3">
        <v>20</v>
      </c>
      <c r="K75" s="3">
        <v>28</v>
      </c>
      <c r="L75" s="3">
        <v>28</v>
      </c>
      <c r="M75" s="3">
        <v>27</v>
      </c>
      <c r="O75" s="3">
        <f t="shared" si="37"/>
        <v>110</v>
      </c>
      <c r="P75" s="3">
        <f t="shared" si="38"/>
        <v>103</v>
      </c>
      <c r="Q75" s="3" t="str">
        <f t="shared" si="39"/>
        <v>HW</v>
      </c>
      <c r="R75" s="3" t="str">
        <f t="shared" si="40"/>
        <v>HW</v>
      </c>
      <c r="S75" s="3" t="str">
        <f t="shared" si="41"/>
        <v>HL</v>
      </c>
      <c r="T75" s="3" t="str">
        <f t="shared" si="42"/>
        <v>HL</v>
      </c>
      <c r="U75" s="3" t="str">
        <f t="shared" si="43"/>
        <v>U</v>
      </c>
      <c r="V75" s="3" t="str">
        <f t="shared" si="44"/>
        <v>O</v>
      </c>
      <c r="W75" s="3" t="str">
        <f t="shared" si="45"/>
        <v>U</v>
      </c>
      <c r="X75" s="3" t="str">
        <f t="shared" si="46"/>
        <v>U</v>
      </c>
      <c r="Z75" s="3">
        <v>56</v>
      </c>
      <c r="AB75" s="3" t="str">
        <f t="shared" si="47"/>
        <v>DAL/LAL</v>
      </c>
      <c r="AC75" s="3">
        <f t="shared" si="35"/>
        <v>1</v>
      </c>
      <c r="AD75" s="3">
        <f t="shared" si="36"/>
        <v>3</v>
      </c>
    </row>
    <row r="76" spans="1:30" x14ac:dyDescent="0.45">
      <c r="A76" s="3">
        <v>191102</v>
      </c>
      <c r="B76" s="44">
        <v>0.45833333333333331</v>
      </c>
      <c r="C76" s="3" t="s">
        <v>138</v>
      </c>
      <c r="D76" s="3" t="s">
        <v>139</v>
      </c>
      <c r="E76" s="3">
        <v>28</v>
      </c>
      <c r="F76" s="3">
        <v>23</v>
      </c>
      <c r="G76" s="3">
        <v>30</v>
      </c>
      <c r="H76" s="3">
        <v>21</v>
      </c>
      <c r="J76" s="3">
        <v>18</v>
      </c>
      <c r="K76" s="3">
        <v>30</v>
      </c>
      <c r="L76" s="3">
        <v>32</v>
      </c>
      <c r="M76" s="3">
        <v>21</v>
      </c>
      <c r="O76" s="3">
        <f t="shared" si="37"/>
        <v>102</v>
      </c>
      <c r="P76" s="3">
        <f t="shared" si="38"/>
        <v>101</v>
      </c>
      <c r="Q76" s="3" t="str">
        <f t="shared" si="39"/>
        <v>HW</v>
      </c>
      <c r="R76" s="3" t="str">
        <f t="shared" si="40"/>
        <v>HL</v>
      </c>
      <c r="S76" s="3" t="str">
        <f t="shared" si="41"/>
        <v>HL</v>
      </c>
      <c r="T76" s="3" t="str">
        <f t="shared" si="42"/>
        <v>TT</v>
      </c>
      <c r="U76" s="3" t="str">
        <f t="shared" si="43"/>
        <v>U</v>
      </c>
      <c r="V76" s="3" t="str">
        <f t="shared" si="44"/>
        <v>O</v>
      </c>
      <c r="W76" s="3" t="str">
        <f t="shared" si="45"/>
        <v>O</v>
      </c>
      <c r="X76" s="3" t="str">
        <f t="shared" si="46"/>
        <v>U</v>
      </c>
      <c r="Z76" s="3">
        <v>52</v>
      </c>
      <c r="AB76" s="3" t="str">
        <f t="shared" si="47"/>
        <v>SAC/UTA</v>
      </c>
      <c r="AC76" s="3">
        <f t="shared" si="35"/>
        <v>2</v>
      </c>
      <c r="AD76" s="3">
        <f t="shared" si="36"/>
        <v>2</v>
      </c>
    </row>
    <row r="77" spans="1:30" x14ac:dyDescent="0.45">
      <c r="A77" s="3">
        <v>191102</v>
      </c>
      <c r="B77" s="44">
        <v>0.47916666666666669</v>
      </c>
      <c r="C77" s="3" t="s">
        <v>140</v>
      </c>
      <c r="D77" s="3" t="s">
        <v>127</v>
      </c>
      <c r="E77" s="3">
        <v>28</v>
      </c>
      <c r="F77" s="3">
        <v>27</v>
      </c>
      <c r="G77" s="3">
        <v>31</v>
      </c>
      <c r="H77" s="3">
        <v>24</v>
      </c>
      <c r="J77" s="3">
        <v>29</v>
      </c>
      <c r="K77" s="3">
        <v>28</v>
      </c>
      <c r="L77" s="3">
        <v>40</v>
      </c>
      <c r="M77" s="3">
        <v>30</v>
      </c>
      <c r="O77" s="3">
        <f t="shared" si="37"/>
        <v>110</v>
      </c>
      <c r="P77" s="3">
        <f t="shared" si="38"/>
        <v>127</v>
      </c>
      <c r="Q77" s="3" t="str">
        <f t="shared" si="39"/>
        <v>HL</v>
      </c>
      <c r="R77" s="3" t="str">
        <f t="shared" si="40"/>
        <v>HL</v>
      </c>
      <c r="S77" s="3" t="str">
        <f t="shared" si="41"/>
        <v>HL</v>
      </c>
      <c r="T77" s="3" t="str">
        <f t="shared" si="42"/>
        <v>HL</v>
      </c>
      <c r="U77" s="3" t="str">
        <f t="shared" si="43"/>
        <v>O</v>
      </c>
      <c r="V77" s="3" t="str">
        <f t="shared" si="44"/>
        <v>O</v>
      </c>
      <c r="W77" s="3" t="str">
        <f t="shared" si="45"/>
        <v>O</v>
      </c>
      <c r="X77" s="3" t="str">
        <f t="shared" si="46"/>
        <v>U</v>
      </c>
      <c r="Z77" s="3">
        <v>54.5</v>
      </c>
      <c r="AB77" s="3" t="str">
        <f t="shared" si="47"/>
        <v>GS/SAS</v>
      </c>
      <c r="AC77" s="3">
        <f t="shared" si="35"/>
        <v>3</v>
      </c>
      <c r="AD77" s="3">
        <f t="shared" si="36"/>
        <v>1</v>
      </c>
    </row>
    <row r="78" spans="1:30" x14ac:dyDescent="0.45">
      <c r="A78" s="3">
        <v>191103</v>
      </c>
      <c r="B78" s="44">
        <v>0.25</v>
      </c>
      <c r="C78" s="3" t="s">
        <v>141</v>
      </c>
      <c r="D78" s="3" t="s">
        <v>124</v>
      </c>
      <c r="E78" s="3">
        <v>33</v>
      </c>
      <c r="F78" s="3">
        <v>32</v>
      </c>
      <c r="G78" s="3">
        <v>29</v>
      </c>
      <c r="H78" s="3">
        <v>21</v>
      </c>
      <c r="J78" s="3">
        <v>26</v>
      </c>
      <c r="K78" s="3">
        <v>34</v>
      </c>
      <c r="L78" s="3">
        <v>26</v>
      </c>
      <c r="M78" s="3">
        <v>18</v>
      </c>
      <c r="O78" s="3">
        <f t="shared" si="37"/>
        <v>115</v>
      </c>
      <c r="P78" s="3">
        <f t="shared" si="38"/>
        <v>104</v>
      </c>
      <c r="Q78" s="3" t="str">
        <f t="shared" si="39"/>
        <v>HW</v>
      </c>
      <c r="R78" s="3" t="str">
        <f t="shared" si="40"/>
        <v>HL</v>
      </c>
      <c r="S78" s="3" t="str">
        <f t="shared" si="41"/>
        <v>HW</v>
      </c>
      <c r="T78" s="3" t="str">
        <f t="shared" si="42"/>
        <v>HW</v>
      </c>
      <c r="U78" s="3" t="str">
        <f t="shared" si="43"/>
        <v>O</v>
      </c>
      <c r="V78" s="3" t="str">
        <f t="shared" si="44"/>
        <v>O</v>
      </c>
      <c r="W78" s="3" t="str">
        <f t="shared" si="45"/>
        <v>U</v>
      </c>
      <c r="X78" s="3" t="str">
        <f t="shared" si="46"/>
        <v>U</v>
      </c>
      <c r="Z78" s="3">
        <v>57.5</v>
      </c>
      <c r="AB78" s="3" t="str">
        <f t="shared" si="47"/>
        <v>OKC/NO</v>
      </c>
      <c r="AC78" s="3">
        <f t="shared" si="35"/>
        <v>2</v>
      </c>
      <c r="AD78" s="3">
        <f t="shared" si="36"/>
        <v>2</v>
      </c>
    </row>
    <row r="79" spans="1:30" x14ac:dyDescent="0.45">
      <c r="A79" s="3">
        <v>191103</v>
      </c>
      <c r="B79" s="44">
        <v>0.33333333333333331</v>
      </c>
      <c r="C79" s="3" t="s">
        <v>135</v>
      </c>
      <c r="D79" s="3" t="s">
        <v>142</v>
      </c>
      <c r="E79" s="3">
        <v>33</v>
      </c>
      <c r="F79" s="3">
        <v>13</v>
      </c>
      <c r="G79" s="3">
        <v>32</v>
      </c>
      <c r="H79" s="3">
        <v>35</v>
      </c>
      <c r="J79" s="3">
        <v>26</v>
      </c>
      <c r="K79" s="3">
        <v>28</v>
      </c>
      <c r="L79" s="3">
        <v>18</v>
      </c>
      <c r="M79" s="3">
        <v>37</v>
      </c>
      <c r="O79" s="3">
        <f t="shared" si="37"/>
        <v>113</v>
      </c>
      <c r="P79" s="3">
        <f t="shared" si="38"/>
        <v>109</v>
      </c>
      <c r="Q79" s="3" t="str">
        <f t="shared" si="39"/>
        <v>HW</v>
      </c>
      <c r="R79" s="3" t="str">
        <f t="shared" si="40"/>
        <v>HL</v>
      </c>
      <c r="S79" s="3" t="str">
        <f t="shared" si="41"/>
        <v>HW</v>
      </c>
      <c r="T79" s="3" t="str">
        <f t="shared" si="42"/>
        <v>HL</v>
      </c>
      <c r="U79" s="3" t="str">
        <f t="shared" si="43"/>
        <v>O</v>
      </c>
      <c r="V79" s="3" t="str">
        <f t="shared" si="44"/>
        <v>U</v>
      </c>
      <c r="W79" s="3" t="str">
        <f t="shared" si="45"/>
        <v>U</v>
      </c>
      <c r="X79" s="3" t="str">
        <f t="shared" si="46"/>
        <v>O</v>
      </c>
      <c r="Z79" s="3">
        <v>54.5</v>
      </c>
      <c r="AB79" s="3" t="str">
        <f t="shared" si="47"/>
        <v>DET/BKN</v>
      </c>
      <c r="AC79" s="3">
        <f t="shared" si="35"/>
        <v>2</v>
      </c>
      <c r="AD79" s="3">
        <f t="shared" si="36"/>
        <v>2</v>
      </c>
    </row>
    <row r="80" spans="1:30" x14ac:dyDescent="0.45">
      <c r="A80" s="3">
        <v>191103</v>
      </c>
      <c r="B80" s="44">
        <v>0.33333333333333331</v>
      </c>
      <c r="C80" s="3" t="s">
        <v>130</v>
      </c>
      <c r="D80" s="3" t="s">
        <v>125</v>
      </c>
      <c r="E80" s="3">
        <v>26</v>
      </c>
      <c r="F80" s="3">
        <v>19</v>
      </c>
      <c r="G80" s="3">
        <v>18</v>
      </c>
      <c r="H80" s="3">
        <v>24</v>
      </c>
      <c r="J80" s="3">
        <v>17</v>
      </c>
      <c r="K80" s="3">
        <v>23</v>
      </c>
      <c r="L80" s="3">
        <v>29</v>
      </c>
      <c r="M80" s="3">
        <v>22</v>
      </c>
      <c r="O80" s="3">
        <f t="shared" si="37"/>
        <v>87</v>
      </c>
      <c r="P80" s="3">
        <f t="shared" si="38"/>
        <v>91</v>
      </c>
      <c r="Q80" s="3" t="str">
        <f t="shared" si="39"/>
        <v>HW</v>
      </c>
      <c r="R80" s="3" t="str">
        <f t="shared" si="40"/>
        <v>HL</v>
      </c>
      <c r="S80" s="3" t="str">
        <f t="shared" si="41"/>
        <v>HL</v>
      </c>
      <c r="T80" s="3" t="str">
        <f t="shared" si="42"/>
        <v>HW</v>
      </c>
      <c r="U80" s="3" t="str">
        <f t="shared" si="43"/>
        <v>U</v>
      </c>
      <c r="V80" s="3" t="str">
        <f t="shared" si="44"/>
        <v>U</v>
      </c>
      <c r="W80" s="3" t="str">
        <f t="shared" si="45"/>
        <v>U</v>
      </c>
      <c r="X80" s="3" t="str">
        <f t="shared" si="46"/>
        <v>U</v>
      </c>
      <c r="Z80" s="3">
        <v>52.5</v>
      </c>
      <c r="AB80" s="3" t="str">
        <f t="shared" si="47"/>
        <v>ORL/DEN</v>
      </c>
      <c r="AC80" s="3">
        <f t="shared" si="35"/>
        <v>0</v>
      </c>
      <c r="AD80" s="3">
        <f t="shared" si="36"/>
        <v>4</v>
      </c>
    </row>
    <row r="81" spans="1:30" x14ac:dyDescent="0.45">
      <c r="A81" s="3">
        <v>191103</v>
      </c>
      <c r="B81" s="44">
        <v>0.375</v>
      </c>
      <c r="C81" s="3" t="s">
        <v>131</v>
      </c>
      <c r="D81" s="3" t="s">
        <v>143</v>
      </c>
      <c r="E81" s="3">
        <v>36</v>
      </c>
      <c r="F81" s="3">
        <v>30</v>
      </c>
      <c r="G81" s="3">
        <v>29</v>
      </c>
      <c r="H81" s="3">
        <v>20</v>
      </c>
      <c r="J81" s="3">
        <v>17</v>
      </c>
      <c r="K81" s="3">
        <v>33</v>
      </c>
      <c r="L81" s="3">
        <v>40</v>
      </c>
      <c r="M81" s="3">
        <v>15</v>
      </c>
      <c r="O81" s="3">
        <f t="shared" si="37"/>
        <v>115</v>
      </c>
      <c r="P81" s="3">
        <f t="shared" si="38"/>
        <v>105</v>
      </c>
      <c r="Q81" s="3" t="str">
        <f t="shared" si="39"/>
        <v>HW</v>
      </c>
      <c r="R81" s="3" t="str">
        <f t="shared" si="40"/>
        <v>HL</v>
      </c>
      <c r="S81" s="3" t="str">
        <f t="shared" si="41"/>
        <v>HL</v>
      </c>
      <c r="T81" s="3" t="str">
        <f t="shared" si="42"/>
        <v>HW</v>
      </c>
      <c r="U81" s="3" t="str">
        <f t="shared" si="43"/>
        <v>U</v>
      </c>
      <c r="V81" s="3" t="str">
        <f t="shared" si="44"/>
        <v>O</v>
      </c>
      <c r="W81" s="3" t="str">
        <f t="shared" si="45"/>
        <v>O</v>
      </c>
      <c r="X81" s="3" t="str">
        <f t="shared" si="46"/>
        <v>U</v>
      </c>
      <c r="Z81" s="3">
        <v>58</v>
      </c>
      <c r="AB81" s="3" t="str">
        <f t="shared" si="47"/>
        <v>MIL/TOR</v>
      </c>
      <c r="AC81" s="3">
        <f t="shared" si="35"/>
        <v>2</v>
      </c>
      <c r="AD81" s="3">
        <f t="shared" si="36"/>
        <v>2</v>
      </c>
    </row>
    <row r="82" spans="1:30" x14ac:dyDescent="0.45">
      <c r="A82" s="3">
        <v>191103</v>
      </c>
      <c r="B82" s="44">
        <v>0.375</v>
      </c>
      <c r="C82" s="3" t="s">
        <v>144</v>
      </c>
      <c r="D82" s="3" t="s">
        <v>145</v>
      </c>
      <c r="E82" s="3">
        <v>34</v>
      </c>
      <c r="F82" s="3">
        <v>22</v>
      </c>
      <c r="G82" s="3">
        <v>16</v>
      </c>
      <c r="H82" s="3">
        <v>37</v>
      </c>
      <c r="J82" s="3">
        <v>42</v>
      </c>
      <c r="K82" s="3">
        <v>28</v>
      </c>
      <c r="L82" s="3">
        <v>36</v>
      </c>
      <c r="M82" s="3">
        <v>25</v>
      </c>
      <c r="O82" s="3">
        <f t="shared" si="37"/>
        <v>109</v>
      </c>
      <c r="P82" s="3">
        <f t="shared" si="38"/>
        <v>131</v>
      </c>
      <c r="Q82" s="3" t="str">
        <f t="shared" si="39"/>
        <v>HL</v>
      </c>
      <c r="R82" s="3" t="str">
        <f t="shared" si="40"/>
        <v>HL</v>
      </c>
      <c r="S82" s="3" t="str">
        <f t="shared" si="41"/>
        <v>HL</v>
      </c>
      <c r="T82" s="3" t="str">
        <f t="shared" si="42"/>
        <v>HW</v>
      </c>
      <c r="U82" s="3" t="str">
        <f t="shared" si="43"/>
        <v>O</v>
      </c>
      <c r="V82" s="3" t="str">
        <f t="shared" si="44"/>
        <v>U</v>
      </c>
      <c r="W82" s="3" t="str">
        <f t="shared" si="45"/>
        <v>U</v>
      </c>
      <c r="X82" s="3" t="str">
        <f t="shared" si="46"/>
        <v>O</v>
      </c>
      <c r="Z82" s="3">
        <v>58.5</v>
      </c>
      <c r="AB82" s="3" t="str">
        <f t="shared" si="47"/>
        <v>WAS/MIN</v>
      </c>
      <c r="AC82" s="3">
        <f t="shared" si="35"/>
        <v>2</v>
      </c>
      <c r="AD82" s="3">
        <f t="shared" si="36"/>
        <v>2</v>
      </c>
    </row>
    <row r="83" spans="1:30" x14ac:dyDescent="0.45">
      <c r="A83" s="3">
        <v>191103</v>
      </c>
      <c r="B83" s="44">
        <v>0.375</v>
      </c>
      <c r="C83" s="3" t="s">
        <v>146</v>
      </c>
      <c r="D83" s="3" t="s">
        <v>147</v>
      </c>
      <c r="E83" s="3">
        <v>24</v>
      </c>
      <c r="F83" s="3">
        <v>23</v>
      </c>
      <c r="G83" s="3">
        <v>22</v>
      </c>
      <c r="H83" s="3">
        <v>36</v>
      </c>
      <c r="J83" s="3">
        <v>31</v>
      </c>
      <c r="K83" s="3">
        <v>14</v>
      </c>
      <c r="L83" s="3">
        <v>37</v>
      </c>
      <c r="M83" s="3">
        <v>32</v>
      </c>
      <c r="O83" s="3">
        <f t="shared" si="37"/>
        <v>105</v>
      </c>
      <c r="P83" s="3">
        <f t="shared" si="38"/>
        <v>114</v>
      </c>
      <c r="Q83" s="3" t="str">
        <f t="shared" si="39"/>
        <v>HL</v>
      </c>
      <c r="R83" s="3" t="str">
        <f t="shared" si="40"/>
        <v>HW</v>
      </c>
      <c r="S83" s="3" t="str">
        <f t="shared" si="41"/>
        <v>HL</v>
      </c>
      <c r="T83" s="3" t="str">
        <f t="shared" si="42"/>
        <v>HW</v>
      </c>
      <c r="U83" s="3" t="str">
        <f t="shared" si="43"/>
        <v>O</v>
      </c>
      <c r="V83" s="3" t="str">
        <f t="shared" si="44"/>
        <v>U</v>
      </c>
      <c r="W83" s="3" t="str">
        <f t="shared" si="45"/>
        <v>O</v>
      </c>
      <c r="X83" s="3" t="str">
        <f t="shared" si="46"/>
        <v>O</v>
      </c>
      <c r="Z83" s="3">
        <v>54</v>
      </c>
      <c r="AB83" s="3" t="str">
        <f t="shared" si="47"/>
        <v>MEM/PHO</v>
      </c>
      <c r="AC83" s="3">
        <f t="shared" si="35"/>
        <v>3</v>
      </c>
      <c r="AD83" s="3">
        <f t="shared" si="36"/>
        <v>1</v>
      </c>
    </row>
    <row r="84" spans="1:30" x14ac:dyDescent="0.45">
      <c r="A84" s="3">
        <v>191103</v>
      </c>
      <c r="B84" s="44">
        <v>0.39583333333333331</v>
      </c>
      <c r="C84" s="3" t="s">
        <v>140</v>
      </c>
      <c r="D84" s="3" t="s">
        <v>148</v>
      </c>
      <c r="E84" s="3">
        <v>30</v>
      </c>
      <c r="F84" s="3">
        <v>25</v>
      </c>
      <c r="G84" s="3">
        <v>16</v>
      </c>
      <c r="H84" s="3">
        <v>16</v>
      </c>
      <c r="J84" s="3">
        <v>25</v>
      </c>
      <c r="K84" s="3">
        <v>25</v>
      </c>
      <c r="L84" s="3">
        <v>18</v>
      </c>
      <c r="M84" s="3">
        <v>25</v>
      </c>
      <c r="O84" s="3">
        <f t="shared" si="37"/>
        <v>87</v>
      </c>
      <c r="P84" s="3">
        <f t="shared" si="38"/>
        <v>93</v>
      </c>
      <c r="Q84" s="3" t="str">
        <f t="shared" si="39"/>
        <v>HW</v>
      </c>
      <c r="R84" s="3" t="str">
        <f t="shared" si="40"/>
        <v>TT</v>
      </c>
      <c r="S84" s="3" t="str">
        <f t="shared" si="41"/>
        <v>HL</v>
      </c>
      <c r="T84" s="3" t="str">
        <f t="shared" si="42"/>
        <v>HL</v>
      </c>
      <c r="U84" s="3" t="str">
        <f t="shared" si="43"/>
        <v>U</v>
      </c>
      <c r="V84" s="3" t="str">
        <f t="shared" si="44"/>
        <v>U</v>
      </c>
      <c r="W84" s="3" t="str">
        <f t="shared" si="45"/>
        <v>U</v>
      </c>
      <c r="X84" s="3" t="str">
        <f t="shared" si="46"/>
        <v>U</v>
      </c>
      <c r="Z84" s="3">
        <v>56.5</v>
      </c>
      <c r="AB84" s="3" t="str">
        <f t="shared" si="47"/>
        <v>GS/CHA</v>
      </c>
      <c r="AC84" s="3">
        <f t="shared" si="35"/>
        <v>0</v>
      </c>
      <c r="AD84" s="3">
        <f t="shared" si="36"/>
        <v>4</v>
      </c>
    </row>
    <row r="85" spans="1:30" x14ac:dyDescent="0.45">
      <c r="A85" s="3">
        <v>191103</v>
      </c>
      <c r="B85" s="44">
        <v>0.45833333333333331</v>
      </c>
      <c r="C85" s="3" t="s">
        <v>149</v>
      </c>
      <c r="D85" s="3" t="s">
        <v>150</v>
      </c>
      <c r="E85" s="3">
        <v>32</v>
      </c>
      <c r="F85" s="3">
        <v>36</v>
      </c>
      <c r="G85" s="3">
        <v>34</v>
      </c>
      <c r="H85" s="3">
        <v>26</v>
      </c>
      <c r="J85" s="3">
        <v>27</v>
      </c>
      <c r="K85" s="3">
        <v>30</v>
      </c>
      <c r="L85" s="3">
        <v>35</v>
      </c>
      <c r="M85" s="3">
        <v>37</v>
      </c>
      <c r="O85" s="3">
        <f t="shared" si="37"/>
        <v>128</v>
      </c>
      <c r="P85" s="3">
        <f t="shared" si="38"/>
        <v>129</v>
      </c>
      <c r="Q85" s="3" t="str">
        <f t="shared" si="39"/>
        <v>HW</v>
      </c>
      <c r="R85" s="3" t="str">
        <f t="shared" si="40"/>
        <v>HW</v>
      </c>
      <c r="S85" s="3" t="str">
        <f t="shared" si="41"/>
        <v>HL</v>
      </c>
      <c r="T85" s="3" t="str">
        <f t="shared" si="42"/>
        <v>HL</v>
      </c>
      <c r="U85" s="3" t="str">
        <f t="shared" si="43"/>
        <v>O</v>
      </c>
      <c r="V85" s="3" t="str">
        <f t="shared" si="44"/>
        <v>O</v>
      </c>
      <c r="W85" s="3" t="str">
        <f t="shared" si="45"/>
        <v>O</v>
      </c>
      <c r="X85" s="3" t="str">
        <f t="shared" si="46"/>
        <v>O</v>
      </c>
      <c r="Z85" s="3">
        <v>57.5</v>
      </c>
      <c r="AB85" s="3" t="str">
        <f t="shared" si="47"/>
        <v>POR/PHI</v>
      </c>
      <c r="AC85" s="3">
        <f t="shared" si="35"/>
        <v>4</v>
      </c>
      <c r="AD85" s="3">
        <f t="shared" si="36"/>
        <v>0</v>
      </c>
    </row>
    <row r="86" spans="1:30" x14ac:dyDescent="0.45">
      <c r="A86" s="3">
        <v>191104</v>
      </c>
      <c r="B86" s="44">
        <v>0.29166666666666669</v>
      </c>
      <c r="C86" s="3" t="s">
        <v>128</v>
      </c>
      <c r="D86" s="3" t="s">
        <v>134</v>
      </c>
      <c r="E86" s="3">
        <v>24</v>
      </c>
      <c r="F86" s="3">
        <v>31</v>
      </c>
      <c r="G86" s="3">
        <v>31</v>
      </c>
      <c r="H86" s="3">
        <v>22</v>
      </c>
      <c r="J86" s="3">
        <v>18</v>
      </c>
      <c r="K86" s="3">
        <v>24</v>
      </c>
      <c r="L86" s="3">
        <v>32</v>
      </c>
      <c r="M86" s="3">
        <v>21</v>
      </c>
      <c r="O86" s="3">
        <f t="shared" si="37"/>
        <v>108</v>
      </c>
      <c r="P86" s="3">
        <f t="shared" si="38"/>
        <v>95</v>
      </c>
      <c r="Q86" s="3" t="str">
        <f t="shared" si="39"/>
        <v>HW</v>
      </c>
      <c r="R86" s="3" t="str">
        <f t="shared" si="40"/>
        <v>HW</v>
      </c>
      <c r="S86" s="3" t="str">
        <f t="shared" si="41"/>
        <v>HL</v>
      </c>
      <c r="T86" s="3" t="str">
        <f t="shared" si="42"/>
        <v>HW</v>
      </c>
      <c r="U86" s="3" t="str">
        <f t="shared" si="43"/>
        <v>U</v>
      </c>
      <c r="V86" s="3" t="str">
        <f t="shared" si="44"/>
        <v>O</v>
      </c>
      <c r="W86" s="3" t="str">
        <f t="shared" si="45"/>
        <v>O</v>
      </c>
      <c r="X86" s="3" t="str">
        <f t="shared" si="46"/>
        <v>U</v>
      </c>
      <c r="Z86" s="3">
        <v>52.5</v>
      </c>
      <c r="AB86" s="3" t="str">
        <f t="shared" si="47"/>
        <v>IND/CHI</v>
      </c>
      <c r="AC86" s="3">
        <f t="shared" si="35"/>
        <v>2</v>
      </c>
      <c r="AD86" s="3">
        <f t="shared" si="36"/>
        <v>2</v>
      </c>
    </row>
    <row r="87" spans="1:30" x14ac:dyDescent="0.45">
      <c r="A87" s="3">
        <v>191104</v>
      </c>
      <c r="B87" s="44">
        <v>0.33333333333333331</v>
      </c>
      <c r="C87" s="3" t="s">
        <v>123</v>
      </c>
      <c r="D87" s="3" t="s">
        <v>151</v>
      </c>
      <c r="E87" s="3">
        <v>46</v>
      </c>
      <c r="F87" s="3">
        <v>25</v>
      </c>
      <c r="G87" s="3">
        <v>28</v>
      </c>
      <c r="H87" s="3">
        <v>30</v>
      </c>
      <c r="J87" s="3">
        <v>14</v>
      </c>
      <c r="K87" s="3">
        <v>32</v>
      </c>
      <c r="L87" s="3">
        <v>25</v>
      </c>
      <c r="M87" s="3">
        <v>29</v>
      </c>
      <c r="O87" s="3">
        <f t="shared" si="37"/>
        <v>129</v>
      </c>
      <c r="P87" s="3">
        <f t="shared" si="38"/>
        <v>100</v>
      </c>
      <c r="Q87" s="3" t="str">
        <f t="shared" si="39"/>
        <v>HW</v>
      </c>
      <c r="R87" s="3" t="str">
        <f t="shared" si="40"/>
        <v>HL</v>
      </c>
      <c r="S87" s="3" t="str">
        <f t="shared" si="41"/>
        <v>HW</v>
      </c>
      <c r="T87" s="3" t="str">
        <f t="shared" si="42"/>
        <v>HW</v>
      </c>
      <c r="U87" s="3" t="str">
        <f t="shared" si="43"/>
        <v>O</v>
      </c>
      <c r="V87" s="3" t="str">
        <f t="shared" si="44"/>
        <v>U</v>
      </c>
      <c r="W87" s="3" t="str">
        <f t="shared" si="45"/>
        <v>U</v>
      </c>
      <c r="X87" s="3" t="str">
        <f t="shared" si="46"/>
        <v>U</v>
      </c>
      <c r="Z87" s="3">
        <v>59.5</v>
      </c>
      <c r="AB87" s="3" t="str">
        <f t="shared" si="47"/>
        <v>MIA/HOU</v>
      </c>
      <c r="AC87" s="3">
        <f t="shared" si="35"/>
        <v>1</v>
      </c>
      <c r="AD87" s="3">
        <f t="shared" si="36"/>
        <v>3</v>
      </c>
    </row>
    <row r="88" spans="1:30" x14ac:dyDescent="0.45">
      <c r="A88" s="3">
        <v>191104</v>
      </c>
      <c r="B88" s="44">
        <v>0.33333333333333331</v>
      </c>
      <c r="C88" s="3" t="s">
        <v>133</v>
      </c>
      <c r="D88" s="3" t="s">
        <v>138</v>
      </c>
      <c r="E88" s="3">
        <v>23</v>
      </c>
      <c r="F88" s="3">
        <v>18</v>
      </c>
      <c r="G88" s="3">
        <v>23</v>
      </c>
      <c r="H88" s="3">
        <v>28</v>
      </c>
      <c r="J88" s="3">
        <v>32</v>
      </c>
      <c r="K88" s="3">
        <v>29</v>
      </c>
      <c r="L88" s="3">
        <v>29</v>
      </c>
      <c r="M88" s="3">
        <v>23</v>
      </c>
      <c r="O88" s="3">
        <f t="shared" si="37"/>
        <v>92</v>
      </c>
      <c r="P88" s="3">
        <f t="shared" si="38"/>
        <v>113</v>
      </c>
      <c r="Q88" s="3" t="str">
        <f t="shared" si="39"/>
        <v>HL</v>
      </c>
      <c r="R88" s="3" t="str">
        <f t="shared" si="40"/>
        <v>HL</v>
      </c>
      <c r="S88" s="3" t="str">
        <f t="shared" si="41"/>
        <v>HL</v>
      </c>
      <c r="T88" s="3" t="str">
        <f t="shared" si="42"/>
        <v>HW</v>
      </c>
      <c r="U88" s="3" t="str">
        <f t="shared" si="43"/>
        <v>O</v>
      </c>
      <c r="V88" s="3" t="str">
        <f t="shared" si="44"/>
        <v>U</v>
      </c>
      <c r="W88" s="3" t="str">
        <f t="shared" si="45"/>
        <v>U</v>
      </c>
      <c r="X88" s="3" t="str">
        <f t="shared" si="46"/>
        <v>U</v>
      </c>
      <c r="Z88" s="3">
        <v>54</v>
      </c>
      <c r="AB88" s="3" t="str">
        <f t="shared" si="47"/>
        <v>NYK/SAC</v>
      </c>
      <c r="AC88" s="3">
        <f t="shared" si="35"/>
        <v>1</v>
      </c>
      <c r="AD88" s="3">
        <f t="shared" si="36"/>
        <v>3</v>
      </c>
    </row>
    <row r="89" spans="1:30" x14ac:dyDescent="0.45">
      <c r="A89" s="3">
        <v>191104</v>
      </c>
      <c r="B89" s="44">
        <v>0.375</v>
      </c>
      <c r="C89" s="3" t="s">
        <v>127</v>
      </c>
      <c r="D89" s="3" t="s">
        <v>137</v>
      </c>
      <c r="E89" s="3">
        <v>25</v>
      </c>
      <c r="F89" s="3">
        <v>18</v>
      </c>
      <c r="G89" s="3">
        <v>29</v>
      </c>
      <c r="H89" s="3">
        <v>24</v>
      </c>
      <c r="J89" s="3">
        <v>26</v>
      </c>
      <c r="K89" s="3">
        <v>30</v>
      </c>
      <c r="L89" s="3">
        <v>21</v>
      </c>
      <c r="M89" s="3">
        <v>26</v>
      </c>
      <c r="O89" s="3">
        <f t="shared" si="37"/>
        <v>96</v>
      </c>
      <c r="P89" s="3">
        <f t="shared" si="38"/>
        <v>103</v>
      </c>
      <c r="Q89" s="3" t="str">
        <f t="shared" si="39"/>
        <v>HL</v>
      </c>
      <c r="R89" s="3" t="str">
        <f t="shared" si="40"/>
        <v>HL</v>
      </c>
      <c r="S89" s="3" t="str">
        <f t="shared" si="41"/>
        <v>HW</v>
      </c>
      <c r="T89" s="3" t="str">
        <f t="shared" si="42"/>
        <v>HL</v>
      </c>
      <c r="U89" s="3" t="str">
        <f t="shared" si="43"/>
        <v>U</v>
      </c>
      <c r="V89" s="3" t="str">
        <f t="shared" si="44"/>
        <v>U</v>
      </c>
      <c r="W89" s="3" t="str">
        <f t="shared" si="45"/>
        <v>U</v>
      </c>
      <c r="X89" s="3" t="str">
        <f t="shared" si="46"/>
        <v>U</v>
      </c>
      <c r="Z89" s="3">
        <v>55.5</v>
      </c>
      <c r="AB89" s="3" t="str">
        <f t="shared" si="47"/>
        <v>SAS/LAL</v>
      </c>
      <c r="AC89" s="3">
        <f t="shared" si="35"/>
        <v>0</v>
      </c>
      <c r="AD89" s="3">
        <f t="shared" si="36"/>
        <v>4</v>
      </c>
    </row>
    <row r="90" spans="1:30" x14ac:dyDescent="0.45">
      <c r="A90" s="3">
        <v>191104</v>
      </c>
      <c r="B90" s="44">
        <v>0.39583333333333331</v>
      </c>
      <c r="C90" s="3" t="s">
        <v>129</v>
      </c>
      <c r="D90" s="3" t="s">
        <v>136</v>
      </c>
      <c r="E90" s="3">
        <v>28</v>
      </c>
      <c r="F90" s="3">
        <v>25</v>
      </c>
      <c r="G90" s="3">
        <v>33</v>
      </c>
      <c r="H90" s="3">
        <v>25</v>
      </c>
      <c r="J90" s="3">
        <v>31</v>
      </c>
      <c r="K90" s="3">
        <v>27</v>
      </c>
      <c r="L90" s="3">
        <v>32</v>
      </c>
      <c r="M90" s="3">
        <v>41</v>
      </c>
      <c r="O90" s="3">
        <f t="shared" si="37"/>
        <v>111</v>
      </c>
      <c r="P90" s="3">
        <f t="shared" si="38"/>
        <v>131</v>
      </c>
      <c r="Q90" s="3" t="str">
        <f t="shared" si="39"/>
        <v>HL</v>
      </c>
      <c r="R90" s="3" t="str">
        <f t="shared" si="40"/>
        <v>HL</v>
      </c>
      <c r="S90" s="3" t="str">
        <f t="shared" si="41"/>
        <v>HW</v>
      </c>
      <c r="T90" s="3" t="str">
        <f t="shared" si="42"/>
        <v>HL</v>
      </c>
      <c r="U90" s="3" t="str">
        <f t="shared" si="43"/>
        <v>O</v>
      </c>
      <c r="V90" s="3" t="str">
        <f t="shared" si="44"/>
        <v>U</v>
      </c>
      <c r="W90" s="3" t="str">
        <f t="shared" si="45"/>
        <v>O</v>
      </c>
      <c r="X90" s="3" t="str">
        <f t="shared" si="46"/>
        <v>O</v>
      </c>
      <c r="Z90" s="3">
        <v>55.5</v>
      </c>
      <c r="AB90" s="3" t="str">
        <f t="shared" si="47"/>
        <v>CLE/DAL</v>
      </c>
      <c r="AC90" s="3">
        <f t="shared" si="35"/>
        <v>3</v>
      </c>
      <c r="AD90" s="3">
        <f t="shared" si="36"/>
        <v>1</v>
      </c>
    </row>
    <row r="91" spans="1:30" x14ac:dyDescent="0.45">
      <c r="A91" s="3">
        <v>191104</v>
      </c>
      <c r="B91" s="44">
        <v>0.45833333333333331</v>
      </c>
      <c r="C91" s="3" t="s">
        <v>126</v>
      </c>
      <c r="D91" s="3" t="s">
        <v>139</v>
      </c>
      <c r="E91" s="3">
        <v>16</v>
      </c>
      <c r="F91" s="3">
        <v>23</v>
      </c>
      <c r="G91" s="3">
        <v>26</v>
      </c>
      <c r="H91" s="3">
        <v>40</v>
      </c>
      <c r="J91" s="3">
        <v>20</v>
      </c>
      <c r="K91" s="3">
        <v>21</v>
      </c>
      <c r="L91" s="3">
        <v>28</v>
      </c>
      <c r="M91" s="3">
        <v>25</v>
      </c>
      <c r="O91" s="3">
        <f t="shared" si="37"/>
        <v>105</v>
      </c>
      <c r="P91" s="3">
        <f t="shared" si="38"/>
        <v>94</v>
      </c>
      <c r="Q91" s="3" t="str">
        <f t="shared" si="39"/>
        <v>HL</v>
      </c>
      <c r="R91" s="3" t="str">
        <f t="shared" si="40"/>
        <v>HW</v>
      </c>
      <c r="S91" s="3" t="str">
        <f t="shared" si="41"/>
        <v>HL</v>
      </c>
      <c r="T91" s="3" t="str">
        <f t="shared" si="42"/>
        <v>HW</v>
      </c>
      <c r="U91" s="3" t="str">
        <f t="shared" si="43"/>
        <v>U</v>
      </c>
      <c r="V91" s="3" t="str">
        <f t="shared" si="44"/>
        <v>U</v>
      </c>
      <c r="W91" s="3" t="str">
        <f t="shared" si="45"/>
        <v>O</v>
      </c>
      <c r="X91" s="3" t="str">
        <f t="shared" si="46"/>
        <v>O</v>
      </c>
      <c r="Z91" s="3">
        <v>51.5</v>
      </c>
      <c r="AB91" s="3" t="str">
        <f t="shared" si="47"/>
        <v>LAC/UTA</v>
      </c>
      <c r="AC91" s="3">
        <f t="shared" si="35"/>
        <v>2</v>
      </c>
      <c r="AD91" s="3">
        <f t="shared" si="36"/>
        <v>2</v>
      </c>
    </row>
    <row r="92" spans="1:30" x14ac:dyDescent="0.45">
      <c r="A92" s="3">
        <v>191105</v>
      </c>
      <c r="B92" s="44">
        <v>0.375</v>
      </c>
      <c r="C92" s="3" t="s">
        <v>144</v>
      </c>
      <c r="D92" s="3" t="s">
        <v>135</v>
      </c>
      <c r="E92" s="3">
        <v>31</v>
      </c>
      <c r="F92" s="3">
        <v>32</v>
      </c>
      <c r="G92" s="3">
        <v>30</v>
      </c>
      <c r="H92" s="3">
        <v>22</v>
      </c>
      <c r="J92" s="3">
        <v>30</v>
      </c>
      <c r="K92" s="3">
        <v>31</v>
      </c>
      <c r="L92" s="3">
        <v>17</v>
      </c>
      <c r="M92" s="3">
        <v>21</v>
      </c>
      <c r="O92" s="3">
        <f t="shared" si="37"/>
        <v>115</v>
      </c>
      <c r="P92" s="3">
        <f t="shared" si="38"/>
        <v>99</v>
      </c>
      <c r="Q92" s="3" t="str">
        <f t="shared" si="39"/>
        <v>HW</v>
      </c>
      <c r="R92" s="3" t="str">
        <f t="shared" si="40"/>
        <v>HW</v>
      </c>
      <c r="S92" s="3" t="str">
        <f t="shared" si="41"/>
        <v>HW</v>
      </c>
      <c r="T92" s="3" t="str">
        <f t="shared" si="42"/>
        <v>HW</v>
      </c>
      <c r="U92" s="3" t="str">
        <f t="shared" si="43"/>
        <v>O</v>
      </c>
      <c r="V92" s="3" t="str">
        <f t="shared" si="44"/>
        <v>O</v>
      </c>
      <c r="W92" s="3" t="str">
        <f t="shared" si="45"/>
        <v>U</v>
      </c>
      <c r="X92" s="3" t="str">
        <f t="shared" si="46"/>
        <v>U</v>
      </c>
      <c r="Z92" s="3">
        <v>58</v>
      </c>
      <c r="AB92" s="3" t="str">
        <f t="shared" si="47"/>
        <v>WAS/DET</v>
      </c>
      <c r="AC92" s="3">
        <f t="shared" si="35"/>
        <v>2</v>
      </c>
      <c r="AD92" s="3">
        <f t="shared" si="36"/>
        <v>2</v>
      </c>
    </row>
    <row r="93" spans="1:30" x14ac:dyDescent="0.45">
      <c r="A93" s="3">
        <v>191105</v>
      </c>
      <c r="B93" s="44">
        <v>0.39583333333333331</v>
      </c>
      <c r="C93" s="3" t="s">
        <v>142</v>
      </c>
      <c r="D93" s="3" t="s">
        <v>124</v>
      </c>
      <c r="E93" s="3">
        <v>33</v>
      </c>
      <c r="F93" s="3">
        <v>34</v>
      </c>
      <c r="G93" s="3">
        <v>37</v>
      </c>
      <c r="H93" s="3">
        <v>31</v>
      </c>
      <c r="J93" s="3">
        <v>27</v>
      </c>
      <c r="K93" s="3">
        <v>23</v>
      </c>
      <c r="L93" s="3">
        <v>48</v>
      </c>
      <c r="M93" s="3">
        <v>27</v>
      </c>
      <c r="O93" s="3">
        <f t="shared" si="37"/>
        <v>135</v>
      </c>
      <c r="P93" s="3">
        <f t="shared" si="38"/>
        <v>125</v>
      </c>
      <c r="Q93" s="3" t="str">
        <f t="shared" si="39"/>
        <v>HW</v>
      </c>
      <c r="R93" s="3" t="str">
        <f t="shared" si="40"/>
        <v>HW</v>
      </c>
      <c r="S93" s="3" t="str">
        <f t="shared" si="41"/>
        <v>HL</v>
      </c>
      <c r="T93" s="3" t="str">
        <f t="shared" si="42"/>
        <v>HW</v>
      </c>
      <c r="U93" s="3" t="str">
        <f t="shared" si="43"/>
        <v>U</v>
      </c>
      <c r="V93" s="3" t="str">
        <f t="shared" si="44"/>
        <v>U</v>
      </c>
      <c r="W93" s="3" t="str">
        <f t="shared" si="45"/>
        <v>O</v>
      </c>
      <c r="X93" s="3" t="str">
        <f t="shared" si="46"/>
        <v>U</v>
      </c>
      <c r="Z93" s="3">
        <v>61.5</v>
      </c>
      <c r="AB93" s="3" t="str">
        <f t="shared" si="47"/>
        <v>BKN/NO</v>
      </c>
      <c r="AC93" s="3">
        <f t="shared" si="35"/>
        <v>1</v>
      </c>
      <c r="AD93" s="3">
        <f t="shared" si="36"/>
        <v>3</v>
      </c>
    </row>
    <row r="94" spans="1:30" x14ac:dyDescent="0.45">
      <c r="A94" s="3">
        <v>191105</v>
      </c>
      <c r="B94" s="44">
        <v>0.41666666666666669</v>
      </c>
      <c r="C94" s="3" t="s">
        <v>145</v>
      </c>
      <c r="D94" s="3" t="s">
        <v>131</v>
      </c>
      <c r="E94" s="3">
        <v>27</v>
      </c>
      <c r="F94" s="3">
        <v>30</v>
      </c>
      <c r="G94" s="3">
        <v>25</v>
      </c>
      <c r="H94" s="3">
        <v>24</v>
      </c>
      <c r="J94" s="3">
        <v>31</v>
      </c>
      <c r="K94" s="3">
        <v>33</v>
      </c>
      <c r="L94" s="3">
        <v>38</v>
      </c>
      <c r="M94" s="3">
        <v>32</v>
      </c>
      <c r="O94" s="3">
        <f t="shared" si="37"/>
        <v>106</v>
      </c>
      <c r="P94" s="3">
        <f t="shared" si="38"/>
        <v>134</v>
      </c>
      <c r="Q94" s="3" t="str">
        <f t="shared" si="39"/>
        <v>HL</v>
      </c>
      <c r="R94" s="3" t="str">
        <f t="shared" si="40"/>
        <v>HL</v>
      </c>
      <c r="S94" s="3" t="str">
        <f t="shared" si="41"/>
        <v>HL</v>
      </c>
      <c r="T94" s="3" t="str">
        <f t="shared" si="42"/>
        <v>HL</v>
      </c>
      <c r="U94" s="3" t="str">
        <f t="shared" si="43"/>
        <v>O</v>
      </c>
      <c r="V94" s="3" t="str">
        <f t="shared" si="44"/>
        <v>O</v>
      </c>
      <c r="W94" s="3" t="str">
        <f t="shared" si="45"/>
        <v>O</v>
      </c>
      <c r="X94" s="3" t="str">
        <f t="shared" si="46"/>
        <v>O</v>
      </c>
      <c r="Z94" s="3">
        <v>55.5</v>
      </c>
      <c r="AB94" s="3" t="str">
        <f t="shared" si="47"/>
        <v>MIN/MIL</v>
      </c>
      <c r="AC94" s="3">
        <f t="shared" si="35"/>
        <v>4</v>
      </c>
      <c r="AD94" s="3">
        <f t="shared" si="36"/>
        <v>0</v>
      </c>
    </row>
    <row r="95" spans="1:30" x14ac:dyDescent="0.45">
      <c r="A95" s="3">
        <v>191105</v>
      </c>
      <c r="B95" s="44">
        <v>0.41666666666666669</v>
      </c>
      <c r="C95" s="3" t="s">
        <v>146</v>
      </c>
      <c r="D95" s="3" t="s">
        <v>151</v>
      </c>
      <c r="E95" s="3">
        <v>28</v>
      </c>
      <c r="F95" s="3">
        <v>32</v>
      </c>
      <c r="G95" s="3">
        <v>16</v>
      </c>
      <c r="H95" s="3">
        <v>24</v>
      </c>
      <c r="J95" s="3">
        <v>33</v>
      </c>
      <c r="K95" s="3">
        <v>29</v>
      </c>
      <c r="L95" s="3">
        <v>22</v>
      </c>
      <c r="M95" s="3">
        <v>23</v>
      </c>
      <c r="O95" s="3">
        <f t="shared" si="37"/>
        <v>100</v>
      </c>
      <c r="P95" s="3">
        <f t="shared" si="38"/>
        <v>107</v>
      </c>
      <c r="Q95" s="3" t="str">
        <f t="shared" si="39"/>
        <v>HL</v>
      </c>
      <c r="R95" s="3" t="str">
        <f t="shared" si="40"/>
        <v>HW</v>
      </c>
      <c r="S95" s="3" t="str">
        <f t="shared" si="41"/>
        <v>HL</v>
      </c>
      <c r="T95" s="3" t="str">
        <f t="shared" si="42"/>
        <v>HW</v>
      </c>
      <c r="U95" s="3" t="str">
        <f t="shared" si="43"/>
        <v>O</v>
      </c>
      <c r="V95" s="3" t="str">
        <f t="shared" si="44"/>
        <v>O</v>
      </c>
      <c r="W95" s="3" t="str">
        <f t="shared" si="45"/>
        <v>U</v>
      </c>
      <c r="X95" s="3" t="str">
        <f t="shared" si="46"/>
        <v>U</v>
      </c>
      <c r="Z95" s="3">
        <v>59</v>
      </c>
      <c r="AB95" s="3" t="str">
        <f t="shared" si="47"/>
        <v>MEM/HOU</v>
      </c>
      <c r="AC95" s="3">
        <f t="shared" si="35"/>
        <v>2</v>
      </c>
      <c r="AD95" s="3">
        <f t="shared" si="36"/>
        <v>2</v>
      </c>
    </row>
    <row r="96" spans="1:30" x14ac:dyDescent="0.45">
      <c r="A96" s="3">
        <v>191105</v>
      </c>
      <c r="B96" s="44">
        <v>0.45833333333333331</v>
      </c>
      <c r="C96" s="3" t="s">
        <v>147</v>
      </c>
      <c r="D96" s="3" t="s">
        <v>150</v>
      </c>
      <c r="E96" s="3">
        <v>29</v>
      </c>
      <c r="F96" s="3">
        <v>26</v>
      </c>
      <c r="G96" s="3">
        <v>26</v>
      </c>
      <c r="H96" s="3">
        <v>33</v>
      </c>
      <c r="J96" s="3">
        <v>31</v>
      </c>
      <c r="K96" s="3">
        <v>30</v>
      </c>
      <c r="L96" s="3">
        <v>21</v>
      </c>
      <c r="M96" s="3">
        <v>27</v>
      </c>
      <c r="O96" s="3">
        <f t="shared" si="37"/>
        <v>114</v>
      </c>
      <c r="P96" s="3">
        <f t="shared" si="38"/>
        <v>109</v>
      </c>
      <c r="Q96" s="3" t="str">
        <f t="shared" si="39"/>
        <v>HL</v>
      </c>
      <c r="R96" s="3" t="str">
        <f t="shared" si="40"/>
        <v>HL</v>
      </c>
      <c r="S96" s="3" t="str">
        <f t="shared" si="41"/>
        <v>HW</v>
      </c>
      <c r="T96" s="3" t="str">
        <f t="shared" si="42"/>
        <v>HW</v>
      </c>
      <c r="U96" s="3" t="str">
        <f t="shared" si="43"/>
        <v>O</v>
      </c>
      <c r="V96" s="3" t="str">
        <f t="shared" si="44"/>
        <v>U</v>
      </c>
      <c r="W96" s="3" t="str">
        <f t="shared" si="45"/>
        <v>U</v>
      </c>
      <c r="X96" s="3" t="str">
        <f t="shared" si="46"/>
        <v>O</v>
      </c>
      <c r="Z96" s="3">
        <v>57.5</v>
      </c>
      <c r="AB96" s="3" t="str">
        <f t="shared" si="47"/>
        <v>PHO/PHI</v>
      </c>
      <c r="AC96" s="3">
        <f t="shared" si="35"/>
        <v>2</v>
      </c>
      <c r="AD96" s="3">
        <f t="shared" si="36"/>
        <v>2</v>
      </c>
    </row>
    <row r="97" spans="1:30" x14ac:dyDescent="0.45">
      <c r="A97" s="3">
        <v>191105</v>
      </c>
      <c r="B97" s="44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37"/>
        <v>127</v>
      </c>
      <c r="P97" s="3">
        <f t="shared" si="38"/>
        <v>118</v>
      </c>
      <c r="Q97" s="3" t="str">
        <f t="shared" si="39"/>
        <v>HW</v>
      </c>
      <c r="R97" s="3" t="str">
        <f t="shared" si="40"/>
        <v>HL</v>
      </c>
      <c r="S97" s="3" t="str">
        <f t="shared" si="41"/>
        <v>HW</v>
      </c>
      <c r="T97" s="3" t="str">
        <f t="shared" si="42"/>
        <v>HW</v>
      </c>
      <c r="U97" s="3" t="str">
        <f t="shared" si="43"/>
        <v>O</v>
      </c>
      <c r="V97" s="3" t="str">
        <f t="shared" si="44"/>
        <v>O</v>
      </c>
      <c r="W97" s="3" t="str">
        <f t="shared" si="45"/>
        <v>U</v>
      </c>
      <c r="X97" s="3" t="str">
        <f t="shared" si="46"/>
        <v>O</v>
      </c>
      <c r="Z97" s="3">
        <v>53.5</v>
      </c>
      <c r="AB97" s="3" t="str">
        <f t="shared" si="47"/>
        <v>GS/POR</v>
      </c>
      <c r="AC97" s="3">
        <f t="shared" si="35"/>
        <v>3</v>
      </c>
      <c r="AD97" s="3">
        <f t="shared" si="36"/>
        <v>1</v>
      </c>
    </row>
    <row r="98" spans="1:30" x14ac:dyDescent="0.45">
      <c r="A98" s="3">
        <v>191106</v>
      </c>
      <c r="B98" s="44">
        <v>0.375</v>
      </c>
      <c r="C98" s="3" t="s">
        <v>129</v>
      </c>
      <c r="D98" s="3" t="s">
        <v>132</v>
      </c>
      <c r="E98" s="3">
        <v>24</v>
      </c>
      <c r="F98" s="3">
        <v>28</v>
      </c>
      <c r="G98" s="3">
        <v>31</v>
      </c>
      <c r="H98" s="3">
        <v>30</v>
      </c>
      <c r="J98" s="3">
        <v>32</v>
      </c>
      <c r="K98" s="3">
        <v>29</v>
      </c>
      <c r="L98" s="3">
        <v>28</v>
      </c>
      <c r="M98" s="3">
        <v>30</v>
      </c>
      <c r="O98" s="3">
        <f t="shared" si="37"/>
        <v>113</v>
      </c>
      <c r="P98" s="3">
        <f t="shared" si="38"/>
        <v>119</v>
      </c>
      <c r="Q98" s="3" t="str">
        <f t="shared" si="39"/>
        <v>HL</v>
      </c>
      <c r="R98" s="3" t="str">
        <f t="shared" si="40"/>
        <v>HL</v>
      </c>
      <c r="S98" s="3" t="str">
        <f t="shared" si="41"/>
        <v>HW</v>
      </c>
      <c r="T98" s="3" t="str">
        <f t="shared" si="42"/>
        <v>TT</v>
      </c>
      <c r="U98" s="3" t="str">
        <f t="shared" si="43"/>
        <v>O</v>
      </c>
      <c r="V98" s="3" t="str">
        <f t="shared" si="44"/>
        <v>O</v>
      </c>
      <c r="W98" s="3" t="str">
        <f t="shared" si="45"/>
        <v>O</v>
      </c>
      <c r="X98" s="3" t="str">
        <f t="shared" si="46"/>
        <v>O</v>
      </c>
      <c r="Z98" s="3">
        <v>52</v>
      </c>
      <c r="AB98" s="3" t="str">
        <f t="shared" si="47"/>
        <v>CLE/BOS</v>
      </c>
      <c r="AC98" s="3">
        <f t="shared" si="35"/>
        <v>4</v>
      </c>
      <c r="AD98" s="3">
        <f t="shared" si="36"/>
        <v>0</v>
      </c>
    </row>
    <row r="99" spans="1:30" x14ac:dyDescent="0.45">
      <c r="A99" s="3">
        <v>191106</v>
      </c>
      <c r="B99" s="44">
        <v>0.375</v>
      </c>
      <c r="C99" s="3" t="s">
        <v>148</v>
      </c>
      <c r="D99" s="3" t="s">
        <v>128</v>
      </c>
      <c r="E99" s="3">
        <v>20</v>
      </c>
      <c r="F99" s="3">
        <v>37</v>
      </c>
      <c r="G99" s="3">
        <v>21</v>
      </c>
      <c r="H99" s="3">
        <v>35</v>
      </c>
      <c r="I99" s="3">
        <v>9</v>
      </c>
      <c r="J99" s="3">
        <v>35</v>
      </c>
      <c r="K99" s="3">
        <v>29</v>
      </c>
      <c r="L99" s="3">
        <v>28</v>
      </c>
      <c r="M99" s="3">
        <v>21</v>
      </c>
      <c r="O99" s="3">
        <f t="shared" si="37"/>
        <v>122</v>
      </c>
      <c r="P99" s="3">
        <f t="shared" si="38"/>
        <v>113</v>
      </c>
      <c r="Q99" s="3" t="str">
        <f t="shared" si="39"/>
        <v>HL</v>
      </c>
      <c r="R99" s="3" t="str">
        <f t="shared" si="40"/>
        <v>HW</v>
      </c>
      <c r="S99" s="3" t="str">
        <f t="shared" si="41"/>
        <v>HL</v>
      </c>
      <c r="T99" s="3" t="str">
        <f t="shared" si="42"/>
        <v>HW</v>
      </c>
      <c r="U99" s="3" t="str">
        <f t="shared" si="43"/>
        <v>O</v>
      </c>
      <c r="V99" s="3" t="str">
        <f t="shared" si="44"/>
        <v>O</v>
      </c>
      <c r="W99" s="3" t="str">
        <f t="shared" si="45"/>
        <v>U</v>
      </c>
      <c r="X99" s="3" t="str">
        <f t="shared" si="46"/>
        <v>O</v>
      </c>
      <c r="Z99" s="3">
        <v>54.5</v>
      </c>
      <c r="AB99" s="3" t="str">
        <f t="shared" si="47"/>
        <v>CHA/IND</v>
      </c>
      <c r="AC99" s="3">
        <f t="shared" si="35"/>
        <v>3</v>
      </c>
      <c r="AD99" s="3">
        <f t="shared" si="36"/>
        <v>1</v>
      </c>
    </row>
    <row r="100" spans="1:30" x14ac:dyDescent="0.45">
      <c r="A100" s="3">
        <v>191106</v>
      </c>
      <c r="B100" s="44">
        <v>0.39583333333333331</v>
      </c>
      <c r="C100" s="3" t="s">
        <v>122</v>
      </c>
      <c r="D100" s="3" t="s">
        <v>127</v>
      </c>
      <c r="E100" s="3">
        <v>22</v>
      </c>
      <c r="F100" s="3">
        <v>22</v>
      </c>
      <c r="G100" s="3">
        <v>26</v>
      </c>
      <c r="H100" s="3">
        <v>38</v>
      </c>
      <c r="J100" s="3">
        <v>21</v>
      </c>
      <c r="K100" s="3">
        <v>24</v>
      </c>
      <c r="L100" s="3">
        <v>33</v>
      </c>
      <c r="M100" s="3">
        <v>22</v>
      </c>
      <c r="O100" s="3">
        <f t="shared" si="37"/>
        <v>108</v>
      </c>
      <c r="P100" s="3">
        <f t="shared" si="38"/>
        <v>100</v>
      </c>
      <c r="Q100" s="3" t="str">
        <f t="shared" si="39"/>
        <v>HW</v>
      </c>
      <c r="R100" s="3" t="str">
        <f t="shared" si="40"/>
        <v>HL</v>
      </c>
      <c r="S100" s="3" t="str">
        <f t="shared" si="41"/>
        <v>HL</v>
      </c>
      <c r="T100" s="3" t="str">
        <f t="shared" si="42"/>
        <v>HW</v>
      </c>
      <c r="U100" s="3" t="str">
        <f t="shared" si="43"/>
        <v>U</v>
      </c>
      <c r="V100" s="3" t="str">
        <f t="shared" si="44"/>
        <v>U</v>
      </c>
      <c r="W100" s="3" t="str">
        <f t="shared" si="45"/>
        <v>O</v>
      </c>
      <c r="X100" s="3" t="str">
        <f t="shared" si="46"/>
        <v>O</v>
      </c>
      <c r="Z100" s="3">
        <v>53.5</v>
      </c>
      <c r="AB100" s="3" t="str">
        <f t="shared" si="47"/>
        <v>ATL/SAS</v>
      </c>
      <c r="AC100" s="3">
        <f t="shared" si="35"/>
        <v>2</v>
      </c>
      <c r="AD100" s="3">
        <f t="shared" si="36"/>
        <v>2</v>
      </c>
    </row>
    <row r="101" spans="1:30" x14ac:dyDescent="0.45">
      <c r="A101" s="3">
        <v>191106</v>
      </c>
      <c r="B101" s="44">
        <v>0.41666666666666669</v>
      </c>
      <c r="C101" s="3" t="s">
        <v>134</v>
      </c>
      <c r="D101" s="3" t="s">
        <v>137</v>
      </c>
      <c r="E101" s="3">
        <v>29</v>
      </c>
      <c r="F101" s="3">
        <v>36</v>
      </c>
      <c r="G101" s="3">
        <v>28</v>
      </c>
      <c r="H101" s="3">
        <v>19</v>
      </c>
      <c r="J101" s="3">
        <v>24</v>
      </c>
      <c r="K101" s="3">
        <v>24</v>
      </c>
      <c r="L101" s="3">
        <v>32</v>
      </c>
      <c r="M101" s="3">
        <v>38</v>
      </c>
      <c r="O101" s="3">
        <f t="shared" si="37"/>
        <v>112</v>
      </c>
      <c r="P101" s="3">
        <f t="shared" si="38"/>
        <v>118</v>
      </c>
      <c r="Q101" s="3" t="str">
        <f t="shared" si="39"/>
        <v>HW</v>
      </c>
      <c r="R101" s="3" t="str">
        <f t="shared" si="40"/>
        <v>HW</v>
      </c>
      <c r="S101" s="3" t="str">
        <f t="shared" si="41"/>
        <v>HL</v>
      </c>
      <c r="T101" s="3" t="str">
        <f t="shared" si="42"/>
        <v>HL</v>
      </c>
      <c r="U101" s="3" t="str">
        <f t="shared" si="43"/>
        <v>U</v>
      </c>
      <c r="V101" s="3" t="str">
        <f t="shared" si="44"/>
        <v>O</v>
      </c>
      <c r="W101" s="3" t="str">
        <f t="shared" si="45"/>
        <v>O</v>
      </c>
      <c r="X101" s="3" t="str">
        <f t="shared" si="46"/>
        <v>O</v>
      </c>
      <c r="Z101" s="3">
        <v>55.5</v>
      </c>
      <c r="AB101" s="3" t="str">
        <f t="shared" si="47"/>
        <v>CHI/LAL</v>
      </c>
      <c r="AC101" s="3">
        <f t="shared" si="35"/>
        <v>3</v>
      </c>
      <c r="AD101" s="3">
        <f t="shared" si="36"/>
        <v>1</v>
      </c>
    </row>
    <row r="102" spans="1:30" x14ac:dyDescent="0.45">
      <c r="A102" s="3">
        <v>191106</v>
      </c>
      <c r="B102" s="44">
        <v>0.41666666666666669</v>
      </c>
      <c r="C102" s="3" t="s">
        <v>49</v>
      </c>
      <c r="D102" s="3" t="s">
        <v>130</v>
      </c>
      <c r="E102" s="3">
        <v>31</v>
      </c>
      <c r="F102" s="3">
        <v>27</v>
      </c>
      <c r="G102" s="3">
        <v>23</v>
      </c>
      <c r="H102" s="3">
        <v>21</v>
      </c>
      <c r="J102" s="3">
        <v>26</v>
      </c>
      <c r="K102" s="3">
        <v>27</v>
      </c>
      <c r="L102" s="3">
        <v>26</v>
      </c>
      <c r="M102" s="3">
        <v>15</v>
      </c>
      <c r="O102" s="3">
        <f t="shared" si="37"/>
        <v>102</v>
      </c>
      <c r="P102" s="3">
        <f t="shared" si="38"/>
        <v>94</v>
      </c>
      <c r="Q102" s="3" t="str">
        <f t="shared" si="39"/>
        <v>HW</v>
      </c>
      <c r="R102" s="3" t="str">
        <f t="shared" si="40"/>
        <v>TT</v>
      </c>
      <c r="S102" s="3" t="str">
        <f t="shared" si="41"/>
        <v>HL</v>
      </c>
      <c r="T102" s="3" t="str">
        <f t="shared" si="42"/>
        <v>HW</v>
      </c>
      <c r="U102" s="3" t="str">
        <f t="shared" si="43"/>
        <v>O</v>
      </c>
      <c r="V102" s="3" t="str">
        <f t="shared" si="44"/>
        <v>O</v>
      </c>
      <c r="W102" s="3" t="str">
        <f t="shared" si="45"/>
        <v>U</v>
      </c>
      <c r="X102" s="3" t="str">
        <f t="shared" si="46"/>
        <v>U</v>
      </c>
      <c r="Z102" s="3">
        <v>52</v>
      </c>
      <c r="AB102" s="3" t="str">
        <f t="shared" si="47"/>
        <v>OKC/ORL</v>
      </c>
      <c r="AC102" s="3">
        <f t="shared" si="35"/>
        <v>2</v>
      </c>
      <c r="AD102" s="3">
        <f t="shared" si="36"/>
        <v>2</v>
      </c>
    </row>
    <row r="103" spans="1:30" x14ac:dyDescent="0.45">
      <c r="A103" s="3">
        <v>191106</v>
      </c>
      <c r="B103" s="44">
        <v>0.45833333333333331</v>
      </c>
      <c r="C103" s="3" t="s">
        <v>125</v>
      </c>
      <c r="D103" s="3" t="s">
        <v>123</v>
      </c>
      <c r="E103" s="3">
        <v>29</v>
      </c>
      <c r="F103" s="3">
        <v>29</v>
      </c>
      <c r="G103" s="3">
        <v>31</v>
      </c>
      <c r="H103" s="3">
        <v>20</v>
      </c>
      <c r="J103" s="3">
        <v>28</v>
      </c>
      <c r="K103" s="3">
        <v>20</v>
      </c>
      <c r="L103" s="3">
        <v>21</v>
      </c>
      <c r="M103" s="3">
        <v>20</v>
      </c>
      <c r="O103" s="3">
        <f t="shared" si="37"/>
        <v>109</v>
      </c>
      <c r="P103" s="3">
        <f t="shared" si="38"/>
        <v>89</v>
      </c>
      <c r="Q103" s="3" t="str">
        <f t="shared" si="39"/>
        <v>HW</v>
      </c>
      <c r="R103" s="3" t="str">
        <f t="shared" si="40"/>
        <v>HW</v>
      </c>
      <c r="S103" s="3" t="str">
        <f t="shared" si="41"/>
        <v>HW</v>
      </c>
      <c r="T103" s="3" t="str">
        <f t="shared" si="42"/>
        <v>TT</v>
      </c>
      <c r="U103" s="3" t="str">
        <f t="shared" si="43"/>
        <v>O</v>
      </c>
      <c r="V103" s="3" t="str">
        <f t="shared" si="44"/>
        <v>U</v>
      </c>
      <c r="W103" s="3" t="str">
        <f t="shared" si="45"/>
        <v>U</v>
      </c>
      <c r="X103" s="3" t="str">
        <f t="shared" si="46"/>
        <v>U</v>
      </c>
      <c r="Z103" s="3">
        <v>54</v>
      </c>
      <c r="AB103" s="3" t="str">
        <f t="shared" si="47"/>
        <v>DEN/MIA</v>
      </c>
      <c r="AC103" s="3">
        <f t="shared" si="35"/>
        <v>1</v>
      </c>
      <c r="AD103" s="3">
        <f t="shared" si="36"/>
        <v>3</v>
      </c>
    </row>
    <row r="104" spans="1:30" x14ac:dyDescent="0.45">
      <c r="A104" s="3">
        <v>191107</v>
      </c>
      <c r="B104" s="44">
        <v>0.375</v>
      </c>
      <c r="C104" s="3" t="s">
        <v>135</v>
      </c>
      <c r="D104" s="3" t="s">
        <v>133</v>
      </c>
      <c r="E104" s="3">
        <v>33</v>
      </c>
      <c r="F104" s="3">
        <v>31</v>
      </c>
      <c r="G104" s="3">
        <v>32</v>
      </c>
      <c r="H104" s="3">
        <v>26</v>
      </c>
      <c r="J104" s="3">
        <v>25</v>
      </c>
      <c r="K104" s="3">
        <v>34</v>
      </c>
      <c r="L104" s="3">
        <v>26</v>
      </c>
      <c r="M104" s="3">
        <v>17</v>
      </c>
      <c r="O104" s="3">
        <f t="shared" si="37"/>
        <v>122</v>
      </c>
      <c r="P104" s="3">
        <f t="shared" si="38"/>
        <v>102</v>
      </c>
      <c r="Q104" s="3" t="str">
        <f t="shared" si="39"/>
        <v>HW</v>
      </c>
      <c r="R104" s="3" t="str">
        <f t="shared" si="40"/>
        <v>HL</v>
      </c>
      <c r="S104" s="3" t="str">
        <f t="shared" si="41"/>
        <v>HW</v>
      </c>
      <c r="T104" s="3" t="str">
        <f t="shared" si="42"/>
        <v>HW</v>
      </c>
      <c r="U104" s="3" t="str">
        <f t="shared" si="43"/>
        <v>O</v>
      </c>
      <c r="V104" s="3" t="str">
        <f t="shared" si="44"/>
        <v>O</v>
      </c>
      <c r="W104" s="3" t="str">
        <f t="shared" si="45"/>
        <v>O</v>
      </c>
      <c r="X104" s="3" t="str">
        <f t="shared" si="46"/>
        <v>U</v>
      </c>
      <c r="Z104" s="3">
        <v>53</v>
      </c>
      <c r="AB104" s="3" t="str">
        <f t="shared" si="47"/>
        <v>DET/NYK</v>
      </c>
      <c r="AC104" s="3">
        <f t="shared" si="35"/>
        <v>3</v>
      </c>
      <c r="AD104" s="3">
        <f t="shared" si="36"/>
        <v>1</v>
      </c>
    </row>
    <row r="105" spans="1:30" x14ac:dyDescent="0.45">
      <c r="A105" s="3">
        <v>191107</v>
      </c>
      <c r="B105" s="44">
        <v>0.375</v>
      </c>
      <c r="C105" s="3" t="s">
        <v>128</v>
      </c>
      <c r="D105" s="3" t="s">
        <v>34</v>
      </c>
      <c r="E105" s="3">
        <v>26</v>
      </c>
      <c r="F105" s="3">
        <v>44</v>
      </c>
      <c r="G105" s="3">
        <v>24</v>
      </c>
      <c r="H105" s="3">
        <v>27</v>
      </c>
      <c r="J105" s="3">
        <v>26</v>
      </c>
      <c r="K105" s="3">
        <v>36</v>
      </c>
      <c r="L105" s="3">
        <v>18</v>
      </c>
      <c r="M105" s="3">
        <v>26</v>
      </c>
      <c r="O105" s="3">
        <f t="shared" si="37"/>
        <v>121</v>
      </c>
      <c r="P105" s="3">
        <f t="shared" si="38"/>
        <v>106</v>
      </c>
      <c r="Q105" s="3" t="str">
        <f t="shared" si="39"/>
        <v>TT</v>
      </c>
      <c r="R105" s="3" t="str">
        <f t="shared" si="40"/>
        <v>HW</v>
      </c>
      <c r="S105" s="3" t="str">
        <f t="shared" si="41"/>
        <v>HW</v>
      </c>
      <c r="T105" s="3" t="str">
        <f t="shared" si="42"/>
        <v>HW</v>
      </c>
      <c r="U105" s="3" t="str">
        <f t="shared" si="43"/>
        <v>U</v>
      </c>
      <c r="V105" s="3" t="str">
        <f t="shared" si="44"/>
        <v>O</v>
      </c>
      <c r="W105" s="3" t="str">
        <f t="shared" si="45"/>
        <v>U</v>
      </c>
      <c r="X105" s="3" t="str">
        <f t="shared" si="46"/>
        <v>U</v>
      </c>
      <c r="Z105" s="3">
        <v>58</v>
      </c>
      <c r="AB105" s="3" t="str">
        <f t="shared" si="47"/>
        <v>IND/WAS</v>
      </c>
      <c r="AC105" s="3">
        <f t="shared" si="35"/>
        <v>1</v>
      </c>
      <c r="AD105" s="3">
        <f t="shared" si="36"/>
        <v>3</v>
      </c>
    </row>
    <row r="106" spans="1:30" x14ac:dyDescent="0.45">
      <c r="A106" s="3">
        <v>191107</v>
      </c>
      <c r="B106" s="44">
        <v>0.39583333333333331</v>
      </c>
      <c r="C106" s="3" t="s">
        <v>122</v>
      </c>
      <c r="D106" s="3" t="s">
        <v>134</v>
      </c>
      <c r="E106" s="3">
        <v>19</v>
      </c>
      <c r="F106" s="3">
        <v>22</v>
      </c>
      <c r="G106" s="3">
        <v>24</v>
      </c>
      <c r="H106" s="3">
        <v>28</v>
      </c>
      <c r="J106" s="3">
        <v>33</v>
      </c>
      <c r="K106" s="3">
        <v>23</v>
      </c>
      <c r="L106" s="3">
        <v>35</v>
      </c>
      <c r="M106" s="3">
        <v>22</v>
      </c>
      <c r="O106" s="3">
        <f t="shared" si="37"/>
        <v>93</v>
      </c>
      <c r="P106" s="3">
        <f t="shared" si="38"/>
        <v>113</v>
      </c>
      <c r="Q106" s="3" t="str">
        <f t="shared" si="39"/>
        <v>HL</v>
      </c>
      <c r="R106" s="3" t="str">
        <f t="shared" si="40"/>
        <v>HL</v>
      </c>
      <c r="S106" s="3" t="str">
        <f t="shared" si="41"/>
        <v>HL</v>
      </c>
      <c r="T106" s="3" t="str">
        <f t="shared" si="42"/>
        <v>HW</v>
      </c>
      <c r="U106" s="3" t="str">
        <f t="shared" si="43"/>
        <v>U</v>
      </c>
      <c r="V106" s="3" t="str">
        <f t="shared" si="44"/>
        <v>U</v>
      </c>
      <c r="W106" s="3" t="str">
        <f t="shared" si="45"/>
        <v>O</v>
      </c>
      <c r="X106" s="3" t="str">
        <f t="shared" si="46"/>
        <v>U</v>
      </c>
      <c r="Z106" s="3">
        <v>53.5</v>
      </c>
      <c r="AB106" s="3" t="str">
        <f t="shared" si="47"/>
        <v>ATL/CHI</v>
      </c>
      <c r="AC106" s="3">
        <f t="shared" ref="AC106:AC116" si="48">COUNTIF(U106:X106,"o")</f>
        <v>1</v>
      </c>
      <c r="AD106" s="3">
        <f t="shared" ref="AD106:AD116" si="49">COUNTIF(U106:X106,"u")</f>
        <v>3</v>
      </c>
    </row>
    <row r="107" spans="1:30" x14ac:dyDescent="0.45">
      <c r="A107" s="3">
        <v>191107</v>
      </c>
      <c r="B107" s="44">
        <v>0.39583333333333331</v>
      </c>
      <c r="C107" s="3" t="s">
        <v>151</v>
      </c>
      <c r="D107" s="3" t="s">
        <v>140</v>
      </c>
      <c r="E107" s="3">
        <v>30</v>
      </c>
      <c r="F107" s="3">
        <v>33</v>
      </c>
      <c r="G107" s="3">
        <v>35</v>
      </c>
      <c r="H107" s="3">
        <v>31</v>
      </c>
      <c r="J107" s="3">
        <v>29</v>
      </c>
      <c r="K107" s="3">
        <v>23</v>
      </c>
      <c r="L107" s="3">
        <v>31</v>
      </c>
      <c r="M107" s="3">
        <v>29</v>
      </c>
      <c r="O107" s="3">
        <f t="shared" si="37"/>
        <v>129</v>
      </c>
      <c r="P107" s="3">
        <f t="shared" si="38"/>
        <v>112</v>
      </c>
      <c r="Q107" s="3" t="str">
        <f t="shared" si="39"/>
        <v>HW</v>
      </c>
      <c r="R107" s="3" t="str">
        <f t="shared" si="40"/>
        <v>HW</v>
      </c>
      <c r="S107" s="3" t="str">
        <f t="shared" si="41"/>
        <v>HW</v>
      </c>
      <c r="T107" s="3" t="str">
        <f t="shared" si="42"/>
        <v>HW</v>
      </c>
      <c r="U107" s="3" t="str">
        <f t="shared" si="43"/>
        <v>U</v>
      </c>
      <c r="V107" s="3" t="str">
        <f t="shared" si="44"/>
        <v>U</v>
      </c>
      <c r="W107" s="3" t="str">
        <f t="shared" si="45"/>
        <v>O</v>
      </c>
      <c r="X107" s="3" t="str">
        <f t="shared" si="46"/>
        <v>O</v>
      </c>
      <c r="Z107" s="3">
        <v>59.5</v>
      </c>
      <c r="AB107" s="3" t="str">
        <f t="shared" si="47"/>
        <v>HOU/GS</v>
      </c>
      <c r="AC107" s="3">
        <f t="shared" si="48"/>
        <v>2</v>
      </c>
      <c r="AD107" s="3">
        <f t="shared" si="49"/>
        <v>2</v>
      </c>
    </row>
    <row r="108" spans="1:30" x14ac:dyDescent="0.45">
      <c r="A108" s="3">
        <v>191107</v>
      </c>
      <c r="B108" s="44">
        <v>0.39583333333333331</v>
      </c>
      <c r="C108" s="3" t="s">
        <v>143</v>
      </c>
      <c r="D108" s="3" t="s">
        <v>138</v>
      </c>
      <c r="E108" s="3">
        <v>36</v>
      </c>
      <c r="F108" s="3">
        <v>30</v>
      </c>
      <c r="G108" s="3">
        <v>29</v>
      </c>
      <c r="H108" s="3">
        <v>29</v>
      </c>
      <c r="J108" s="3">
        <v>23</v>
      </c>
      <c r="K108" s="3">
        <v>35</v>
      </c>
      <c r="L108" s="3">
        <v>30</v>
      </c>
      <c r="M108" s="3">
        <v>32</v>
      </c>
      <c r="O108" s="3">
        <f t="shared" si="37"/>
        <v>124</v>
      </c>
      <c r="P108" s="3">
        <f t="shared" si="38"/>
        <v>120</v>
      </c>
      <c r="Q108" s="3" t="str">
        <f t="shared" si="39"/>
        <v>HW</v>
      </c>
      <c r="R108" s="3" t="str">
        <f t="shared" si="40"/>
        <v>HL</v>
      </c>
      <c r="S108" s="3" t="str">
        <f t="shared" si="41"/>
        <v>HL</v>
      </c>
      <c r="T108" s="3" t="str">
        <f t="shared" si="42"/>
        <v>HL</v>
      </c>
      <c r="U108" s="3" t="str">
        <f t="shared" si="43"/>
        <v>O</v>
      </c>
      <c r="V108" s="3" t="str">
        <f t="shared" si="44"/>
        <v>O</v>
      </c>
      <c r="W108" s="3" t="str">
        <f t="shared" si="45"/>
        <v>O</v>
      </c>
      <c r="X108" s="3" t="str">
        <f t="shared" si="46"/>
        <v>O</v>
      </c>
      <c r="Z108" s="3">
        <v>56</v>
      </c>
      <c r="AB108" s="3" t="str">
        <f t="shared" si="47"/>
        <v>TOR/SAC</v>
      </c>
      <c r="AC108" s="3">
        <f t="shared" si="48"/>
        <v>4</v>
      </c>
      <c r="AD108" s="3">
        <f t="shared" si="49"/>
        <v>0</v>
      </c>
    </row>
    <row r="109" spans="1:30" x14ac:dyDescent="0.45">
      <c r="A109" s="3">
        <v>191107</v>
      </c>
      <c r="B109" s="44">
        <v>0.41666666666666669</v>
      </c>
      <c r="C109" s="3" t="s">
        <v>146</v>
      </c>
      <c r="D109" s="3" t="s">
        <v>145</v>
      </c>
      <c r="E109" s="3">
        <v>37</v>
      </c>
      <c r="F109" s="3">
        <v>35</v>
      </c>
      <c r="G109" s="3">
        <v>29</v>
      </c>
      <c r="H109" s="3">
        <v>36</v>
      </c>
      <c r="J109" s="3">
        <v>26</v>
      </c>
      <c r="K109" s="3">
        <v>38</v>
      </c>
      <c r="L109" s="3">
        <v>32</v>
      </c>
      <c r="M109" s="3">
        <v>25</v>
      </c>
      <c r="O109" s="3">
        <f t="shared" si="37"/>
        <v>137</v>
      </c>
      <c r="P109" s="3">
        <f t="shared" si="38"/>
        <v>121</v>
      </c>
      <c r="Q109" s="3" t="str">
        <f t="shared" si="39"/>
        <v>HW</v>
      </c>
      <c r="R109" s="3" t="str">
        <f t="shared" si="40"/>
        <v>HL</v>
      </c>
      <c r="S109" s="3" t="str">
        <f t="shared" si="41"/>
        <v>HL</v>
      </c>
      <c r="T109" s="3" t="str">
        <f t="shared" si="42"/>
        <v>HW</v>
      </c>
      <c r="U109" s="3" t="str">
        <f t="shared" si="43"/>
        <v>O</v>
      </c>
      <c r="V109" s="3" t="str">
        <f t="shared" si="44"/>
        <v>O</v>
      </c>
      <c r="W109" s="3" t="str">
        <f t="shared" si="45"/>
        <v>O</v>
      </c>
      <c r="X109" s="3" t="str">
        <f t="shared" si="46"/>
        <v>O</v>
      </c>
      <c r="Z109" s="3">
        <v>58</v>
      </c>
      <c r="AB109" s="3" t="str">
        <f t="shared" si="47"/>
        <v>MEM/MIN</v>
      </c>
      <c r="AC109" s="3">
        <f t="shared" si="48"/>
        <v>4</v>
      </c>
      <c r="AD109" s="3">
        <f t="shared" si="49"/>
        <v>0</v>
      </c>
    </row>
    <row r="110" spans="1:30" x14ac:dyDescent="0.45">
      <c r="A110" s="3">
        <v>191107</v>
      </c>
      <c r="B110" s="44">
        <v>0.4375</v>
      </c>
      <c r="C110" s="3" t="s">
        <v>136</v>
      </c>
      <c r="D110" s="3" t="s">
        <v>130</v>
      </c>
      <c r="E110" s="3">
        <v>25</v>
      </c>
      <c r="F110" s="3">
        <v>29</v>
      </c>
      <c r="G110" s="3">
        <v>32</v>
      </c>
      <c r="H110" s="3">
        <v>21</v>
      </c>
      <c r="J110" s="3">
        <v>28</v>
      </c>
      <c r="K110" s="3">
        <v>28</v>
      </c>
      <c r="L110" s="3">
        <v>23</v>
      </c>
      <c r="M110" s="3">
        <v>27</v>
      </c>
      <c r="O110" s="3">
        <f t="shared" si="37"/>
        <v>107</v>
      </c>
      <c r="P110" s="3">
        <f t="shared" si="38"/>
        <v>106</v>
      </c>
      <c r="Q110" s="3" t="str">
        <f t="shared" si="39"/>
        <v>HL</v>
      </c>
      <c r="R110" s="3" t="str">
        <f t="shared" si="40"/>
        <v>HW</v>
      </c>
      <c r="S110" s="3" t="str">
        <f t="shared" si="41"/>
        <v>HW</v>
      </c>
      <c r="T110" s="3" t="str">
        <f t="shared" si="42"/>
        <v>HL</v>
      </c>
      <c r="U110" s="3" t="str">
        <f t="shared" si="43"/>
        <v>U</v>
      </c>
      <c r="V110" s="3" t="str">
        <f t="shared" si="44"/>
        <v>O</v>
      </c>
      <c r="W110" s="3" t="str">
        <f t="shared" si="45"/>
        <v>O</v>
      </c>
      <c r="X110" s="3" t="str">
        <f t="shared" si="46"/>
        <v>U</v>
      </c>
      <c r="Z110" s="3">
        <v>53.5</v>
      </c>
      <c r="AB110" s="3" t="str">
        <f t="shared" si="47"/>
        <v>DAL/ORL</v>
      </c>
      <c r="AC110" s="3">
        <f t="shared" si="48"/>
        <v>2</v>
      </c>
      <c r="AD110" s="3">
        <f t="shared" si="49"/>
        <v>2</v>
      </c>
    </row>
    <row r="111" spans="1:30" x14ac:dyDescent="0.45">
      <c r="A111" s="3">
        <v>191107</v>
      </c>
      <c r="B111" s="44">
        <v>0.45833333333333331</v>
      </c>
      <c r="C111" s="3" t="s">
        <v>139</v>
      </c>
      <c r="D111" s="3" t="s">
        <v>150</v>
      </c>
      <c r="E111" s="3">
        <v>26</v>
      </c>
      <c r="F111" s="3">
        <v>32</v>
      </c>
      <c r="G111" s="3">
        <v>26</v>
      </c>
      <c r="H111" s="3">
        <v>22</v>
      </c>
      <c r="J111" s="3">
        <v>29</v>
      </c>
      <c r="K111" s="3">
        <v>27</v>
      </c>
      <c r="L111" s="3">
        <v>17</v>
      </c>
      <c r="M111" s="3">
        <v>31</v>
      </c>
      <c r="O111" s="3">
        <f t="shared" si="37"/>
        <v>106</v>
      </c>
      <c r="P111" s="3">
        <f t="shared" si="38"/>
        <v>104</v>
      </c>
      <c r="Q111" s="3" t="str">
        <f t="shared" si="39"/>
        <v>HL</v>
      </c>
      <c r="R111" s="3" t="str">
        <f t="shared" si="40"/>
        <v>HW</v>
      </c>
      <c r="S111" s="3" t="str">
        <f t="shared" si="41"/>
        <v>HW</v>
      </c>
      <c r="T111" s="3" t="str">
        <f t="shared" si="42"/>
        <v>HL</v>
      </c>
      <c r="U111" s="3" t="str">
        <f t="shared" si="43"/>
        <v>O</v>
      </c>
      <c r="V111" s="3" t="str">
        <f t="shared" si="44"/>
        <v>O</v>
      </c>
      <c r="W111" s="3" t="str">
        <f t="shared" si="45"/>
        <v>U</v>
      </c>
      <c r="X111" s="3" t="str">
        <f t="shared" si="46"/>
        <v>U</v>
      </c>
      <c r="Z111" s="3">
        <v>54</v>
      </c>
      <c r="AB111" s="3" t="str">
        <f t="shared" si="47"/>
        <v>UTA/PHI</v>
      </c>
      <c r="AC111" s="3">
        <f t="shared" si="48"/>
        <v>2</v>
      </c>
      <c r="AD111" s="3">
        <f t="shared" si="49"/>
        <v>2</v>
      </c>
    </row>
    <row r="112" spans="1:30" x14ac:dyDescent="0.45">
      <c r="A112" s="3">
        <v>191107</v>
      </c>
      <c r="B112" s="44">
        <v>0.5</v>
      </c>
      <c r="C112" s="3" t="s">
        <v>126</v>
      </c>
      <c r="D112" s="3" t="s">
        <v>131</v>
      </c>
      <c r="E112" s="3">
        <v>30</v>
      </c>
      <c r="F112" s="3">
        <v>29</v>
      </c>
      <c r="G112" s="3">
        <v>30</v>
      </c>
      <c r="H112" s="3">
        <v>35</v>
      </c>
      <c r="J112" s="3">
        <v>28</v>
      </c>
      <c r="K112" s="3">
        <v>42</v>
      </c>
      <c r="L112" s="3">
        <v>28</v>
      </c>
      <c r="M112" s="3">
        <v>31</v>
      </c>
      <c r="O112" s="3">
        <f t="shared" si="37"/>
        <v>124</v>
      </c>
      <c r="P112" s="3">
        <f t="shared" si="38"/>
        <v>129</v>
      </c>
      <c r="Q112" s="3" t="str">
        <f t="shared" si="39"/>
        <v>HW</v>
      </c>
      <c r="R112" s="3" t="str">
        <f t="shared" si="40"/>
        <v>HL</v>
      </c>
      <c r="S112" s="3" t="str">
        <f t="shared" si="41"/>
        <v>HW</v>
      </c>
      <c r="T112" s="3" t="str">
        <f t="shared" si="42"/>
        <v>HW</v>
      </c>
      <c r="U112" s="3" t="str">
        <f t="shared" si="43"/>
        <v>O</v>
      </c>
      <c r="V112" s="3" t="str">
        <f t="shared" si="44"/>
        <v>O</v>
      </c>
      <c r="W112" s="3" t="str">
        <f t="shared" si="45"/>
        <v>O</v>
      </c>
      <c r="X112" s="3" t="str">
        <f t="shared" si="46"/>
        <v>O</v>
      </c>
      <c r="Z112" s="3">
        <v>55.5</v>
      </c>
      <c r="AB112" s="3" t="str">
        <f t="shared" si="47"/>
        <v>LAC/MIL</v>
      </c>
      <c r="AC112" s="3">
        <f t="shared" si="48"/>
        <v>4</v>
      </c>
      <c r="AD112" s="3">
        <f t="shared" si="49"/>
        <v>0</v>
      </c>
    </row>
    <row r="113" spans="1:30" x14ac:dyDescent="0.45">
      <c r="A113" s="3">
        <v>191108</v>
      </c>
      <c r="B113" s="44">
        <v>0.41666666666666669</v>
      </c>
      <c r="C113" s="3" t="s">
        <v>148</v>
      </c>
      <c r="D113" s="3" t="s">
        <v>132</v>
      </c>
      <c r="E113" s="3">
        <v>20</v>
      </c>
      <c r="F113" s="3">
        <v>23</v>
      </c>
      <c r="G113" s="3">
        <v>24</v>
      </c>
      <c r="H113" s="3">
        <v>20</v>
      </c>
      <c r="J113" s="3">
        <v>30</v>
      </c>
      <c r="K113" s="3">
        <v>22</v>
      </c>
      <c r="L113" s="3">
        <v>33</v>
      </c>
      <c r="M113" s="3">
        <v>23</v>
      </c>
      <c r="O113" s="3">
        <f t="shared" si="37"/>
        <v>87</v>
      </c>
      <c r="P113" s="3">
        <f t="shared" si="38"/>
        <v>108</v>
      </c>
      <c r="Q113" s="3" t="str">
        <f t="shared" si="39"/>
        <v>HL</v>
      </c>
      <c r="R113" s="3" t="str">
        <f t="shared" si="40"/>
        <v>HW</v>
      </c>
      <c r="S113" s="3" t="str">
        <f t="shared" si="41"/>
        <v>HL</v>
      </c>
      <c r="T113" s="3" t="str">
        <f t="shared" si="42"/>
        <v>HL</v>
      </c>
      <c r="U113" s="3" t="str">
        <f t="shared" si="43"/>
        <v>U</v>
      </c>
      <c r="V113" s="3" t="str">
        <f t="shared" si="44"/>
        <v>U</v>
      </c>
      <c r="W113" s="3" t="str">
        <f t="shared" si="45"/>
        <v>O</v>
      </c>
      <c r="X113" s="3" t="str">
        <f t="shared" si="46"/>
        <v>U</v>
      </c>
      <c r="Z113" s="3">
        <v>53.5</v>
      </c>
      <c r="AB113" s="3" t="str">
        <f t="shared" si="47"/>
        <v>CHA/BOS</v>
      </c>
      <c r="AC113" s="3">
        <f t="shared" si="48"/>
        <v>1</v>
      </c>
      <c r="AD113" s="3">
        <f t="shared" si="49"/>
        <v>3</v>
      </c>
    </row>
    <row r="114" spans="1:30" x14ac:dyDescent="0.45">
      <c r="A114" s="3">
        <v>191108</v>
      </c>
      <c r="B114" s="44">
        <v>0.4375</v>
      </c>
      <c r="C114" s="3" t="s">
        <v>127</v>
      </c>
      <c r="D114" s="3" t="s">
        <v>141</v>
      </c>
      <c r="E114" s="3">
        <v>33</v>
      </c>
      <c r="F114" s="3">
        <v>23</v>
      </c>
      <c r="G114" s="3">
        <v>36</v>
      </c>
      <c r="H114" s="3">
        <v>29</v>
      </c>
      <c r="J114" s="3">
        <v>30</v>
      </c>
      <c r="K114" s="3">
        <v>27</v>
      </c>
      <c r="L114" s="3">
        <v>27</v>
      </c>
      <c r="M114" s="3">
        <v>28</v>
      </c>
      <c r="O114" s="3">
        <f t="shared" si="37"/>
        <v>121</v>
      </c>
      <c r="P114" s="3">
        <f t="shared" si="38"/>
        <v>112</v>
      </c>
      <c r="Q114" s="3" t="str">
        <f t="shared" si="39"/>
        <v>HW</v>
      </c>
      <c r="R114" s="3" t="str">
        <f t="shared" si="40"/>
        <v>HL</v>
      </c>
      <c r="S114" s="3" t="str">
        <f t="shared" si="41"/>
        <v>HW</v>
      </c>
      <c r="T114" s="3" t="str">
        <f t="shared" si="42"/>
        <v>HW</v>
      </c>
      <c r="U114" s="3" t="str">
        <f t="shared" si="43"/>
        <v>O</v>
      </c>
      <c r="V114" s="3" t="str">
        <f t="shared" si="44"/>
        <v>U</v>
      </c>
      <c r="W114" s="3" t="str">
        <f t="shared" si="45"/>
        <v>O</v>
      </c>
      <c r="X114" s="3" t="str">
        <f t="shared" si="46"/>
        <v>O</v>
      </c>
      <c r="Z114" s="3">
        <v>55</v>
      </c>
      <c r="AB114" s="3" t="str">
        <f t="shared" si="47"/>
        <v>SAS/OKC</v>
      </c>
      <c r="AC114" s="3">
        <f t="shared" si="48"/>
        <v>3</v>
      </c>
      <c r="AD114" s="3">
        <f t="shared" si="49"/>
        <v>1</v>
      </c>
    </row>
    <row r="115" spans="1:30" x14ac:dyDescent="0.45">
      <c r="A115" s="3">
        <v>191108</v>
      </c>
      <c r="B115" s="44">
        <v>0.45833333333333331</v>
      </c>
      <c r="C115" s="3" t="s">
        <v>147</v>
      </c>
      <c r="D115" s="3" t="s">
        <v>123</v>
      </c>
      <c r="E115" s="3">
        <v>30</v>
      </c>
      <c r="F115" s="3">
        <v>27</v>
      </c>
      <c r="G115" s="3">
        <v>29</v>
      </c>
      <c r="H115" s="3">
        <v>22</v>
      </c>
      <c r="J115" s="3">
        <v>31</v>
      </c>
      <c r="K115" s="3">
        <v>33</v>
      </c>
      <c r="L115" s="3">
        <v>29</v>
      </c>
      <c r="M115" s="3">
        <v>31</v>
      </c>
      <c r="O115" s="3">
        <f t="shared" si="37"/>
        <v>108</v>
      </c>
      <c r="P115" s="3">
        <f t="shared" si="38"/>
        <v>124</v>
      </c>
      <c r="Q115" s="3" t="str">
        <f t="shared" si="39"/>
        <v>HL</v>
      </c>
      <c r="R115" s="3" t="str">
        <f t="shared" si="40"/>
        <v>HL</v>
      </c>
      <c r="S115" s="3" t="str">
        <f t="shared" si="41"/>
        <v>TT</v>
      </c>
      <c r="T115" s="3" t="str">
        <f t="shared" si="42"/>
        <v>HL</v>
      </c>
      <c r="U115" s="3" t="str">
        <f t="shared" si="43"/>
        <v>O</v>
      </c>
      <c r="V115" s="3" t="str">
        <f t="shared" si="44"/>
        <v>O</v>
      </c>
      <c r="W115" s="3" t="str">
        <f t="shared" si="45"/>
        <v>O</v>
      </c>
      <c r="X115" s="3" t="str">
        <f t="shared" si="46"/>
        <v>U</v>
      </c>
      <c r="Z115" s="3">
        <v>56</v>
      </c>
      <c r="AB115" s="3" t="str">
        <f t="shared" si="47"/>
        <v>PHO/MIA</v>
      </c>
      <c r="AC115" s="3">
        <f t="shared" si="48"/>
        <v>3</v>
      </c>
      <c r="AD115" s="3">
        <f t="shared" si="49"/>
        <v>1</v>
      </c>
    </row>
    <row r="116" spans="1:30" x14ac:dyDescent="0.45">
      <c r="A116" s="3">
        <v>191108</v>
      </c>
      <c r="B116" s="44">
        <v>0.52083333333333337</v>
      </c>
      <c r="C116" s="3" t="s">
        <v>126</v>
      </c>
      <c r="D116" s="3" t="s">
        <v>149</v>
      </c>
      <c r="E116" s="3">
        <v>26</v>
      </c>
      <c r="F116" s="3">
        <v>21</v>
      </c>
      <c r="G116" s="3">
        <v>23</v>
      </c>
      <c r="H116" s="3">
        <v>37</v>
      </c>
      <c r="J116" s="3">
        <v>22</v>
      </c>
      <c r="K116" s="3">
        <v>18</v>
      </c>
      <c r="L116" s="3">
        <v>36</v>
      </c>
      <c r="M116" s="3">
        <v>25</v>
      </c>
      <c r="O116" s="3">
        <f t="shared" si="37"/>
        <v>107</v>
      </c>
      <c r="P116" s="3">
        <f t="shared" si="38"/>
        <v>101</v>
      </c>
      <c r="Q116" s="3" t="str">
        <f t="shared" si="39"/>
        <v>HW</v>
      </c>
      <c r="R116" s="3" t="str">
        <f t="shared" si="40"/>
        <v>HW</v>
      </c>
      <c r="S116" s="3" t="str">
        <f t="shared" si="41"/>
        <v>HL</v>
      </c>
      <c r="T116" s="3" t="str">
        <f t="shared" si="42"/>
        <v>HW</v>
      </c>
      <c r="U116" s="3" t="str">
        <f t="shared" si="43"/>
        <v>U</v>
      </c>
      <c r="V116" s="3" t="str">
        <f t="shared" si="44"/>
        <v>U</v>
      </c>
      <c r="W116" s="3" t="str">
        <f t="shared" si="45"/>
        <v>O</v>
      </c>
      <c r="X116" s="3" t="str">
        <f t="shared" si="46"/>
        <v>O</v>
      </c>
      <c r="Z116" s="3">
        <v>56.5</v>
      </c>
      <c r="AB116" s="3" t="str">
        <f t="shared" si="47"/>
        <v>LAC/POR</v>
      </c>
      <c r="AC116" s="3">
        <f t="shared" si="48"/>
        <v>2</v>
      </c>
      <c r="AD116" s="3">
        <f t="shared" si="49"/>
        <v>2</v>
      </c>
    </row>
    <row r="117" spans="1:30" x14ac:dyDescent="0.45">
      <c r="A117" s="3">
        <v>191109</v>
      </c>
      <c r="B117" s="44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J117" s="3">
        <v>35</v>
      </c>
      <c r="K117" s="3">
        <v>18</v>
      </c>
      <c r="L117" s="3">
        <v>19</v>
      </c>
      <c r="M117" s="3">
        <v>34</v>
      </c>
      <c r="O117" s="3">
        <f t="shared" ref="O117:O161" si="50">SUM(E117:I117)</f>
        <v>112</v>
      </c>
      <c r="P117" s="3">
        <f t="shared" ref="P117:P161" si="51">SUM(J117:N117)</f>
        <v>106</v>
      </c>
      <c r="Q117" s="3" t="str">
        <f t="shared" ref="Q117:Q161" si="52">IF(E117=J117,"TT",IF(E117&gt;J117,"HW","HL"))</f>
        <v>HL</v>
      </c>
      <c r="R117" s="3" t="str">
        <f t="shared" ref="R117:R161" si="53">IF(F117=K117,"TT",IF(F117&gt;K117,"HW","HL"))</f>
        <v>HW</v>
      </c>
      <c r="S117" s="3" t="str">
        <f t="shared" ref="S117:S161" si="54">IF(G117=L117,"TT",IF(G117&gt;L117,"HW","HL"))</f>
        <v>HW</v>
      </c>
      <c r="T117" s="3" t="str">
        <f t="shared" ref="T117:T161" si="55">IF(H117=M117,"TT",IF(H117&gt;M117,"HW","HL"))</f>
        <v>HL</v>
      </c>
      <c r="U117" s="3" t="str">
        <f t="shared" ref="U117:U161" si="56">IF(SUM(E117,J117)=$Z117,"T",IF(SUM(E117,J117)&gt;$Z117,"O","U"))</f>
        <v>O</v>
      </c>
      <c r="V117" s="3" t="str">
        <f t="shared" ref="V117:V161" si="57">IF(SUM(F117,K117)=$Z117,"T",IF(SUM(F117,K117)&gt;$Z117,"O","U"))</f>
        <v>U</v>
      </c>
      <c r="W117" s="3" t="str">
        <f t="shared" ref="W117:W161" si="58">IF(SUM(G117,L117)=$Z117,"T",IF(SUM(G117,L117)&gt;$Z117,"O","U"))</f>
        <v>U</v>
      </c>
      <c r="X117" s="3" t="str">
        <f t="shared" ref="X117:X161" si="59">IF(SUM(H117,M117)=$Z117,"T",IF(SUM(H117,M117)&gt;$Z117,"O","U"))</f>
        <v>O</v>
      </c>
      <c r="Z117" s="3">
        <v>54.5</v>
      </c>
      <c r="AB117" s="3" t="str">
        <f t="shared" ref="AB117:AB146" si="60">C117&amp;"/"&amp;D117</f>
        <v>IND/DET</v>
      </c>
      <c r="AC117" s="3">
        <f t="shared" ref="AC117:AC146" si="61">COUNTIF(U117:X117,"o")</f>
        <v>2</v>
      </c>
      <c r="AD117" s="3">
        <f t="shared" ref="AD117:AD146" si="62">COUNTIF(U117:X117,"u")</f>
        <v>2</v>
      </c>
    </row>
    <row r="118" spans="1:30" x14ac:dyDescent="0.45">
      <c r="A118" s="3">
        <v>191109</v>
      </c>
      <c r="B118" s="44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J118" s="3">
        <v>15</v>
      </c>
      <c r="K118" s="3">
        <v>33</v>
      </c>
      <c r="L118" s="3">
        <v>30</v>
      </c>
      <c r="M118" s="3">
        <v>8</v>
      </c>
      <c r="O118" s="3">
        <f t="shared" si="50"/>
        <v>118</v>
      </c>
      <c r="P118" s="3">
        <f t="shared" si="51"/>
        <v>86</v>
      </c>
      <c r="Q118" s="3" t="str">
        <f t="shared" si="52"/>
        <v>HW</v>
      </c>
      <c r="R118" s="3" t="str">
        <f t="shared" si="53"/>
        <v>HL</v>
      </c>
      <c r="S118" s="3" t="str">
        <f t="shared" si="54"/>
        <v>HW</v>
      </c>
      <c r="T118" s="3" t="str">
        <f t="shared" si="55"/>
        <v>HW</v>
      </c>
      <c r="U118" s="3" t="str">
        <f t="shared" si="56"/>
        <v>U</v>
      </c>
      <c r="V118" s="3" t="str">
        <f t="shared" si="57"/>
        <v>O</v>
      </c>
      <c r="W118" s="3" t="str">
        <f t="shared" si="58"/>
        <v>O</v>
      </c>
      <c r="X118" s="3" t="str">
        <f t="shared" si="59"/>
        <v>U</v>
      </c>
      <c r="Z118" s="3">
        <v>52</v>
      </c>
      <c r="AB118" s="3" t="str">
        <f t="shared" si="60"/>
        <v>ORL/MEM</v>
      </c>
      <c r="AC118" s="3">
        <f t="shared" si="61"/>
        <v>2</v>
      </c>
      <c r="AD118" s="3">
        <f t="shared" si="62"/>
        <v>2</v>
      </c>
    </row>
    <row r="119" spans="1:30" x14ac:dyDescent="0.45">
      <c r="A119" s="3">
        <v>191109</v>
      </c>
      <c r="B119" s="44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J119" s="3">
        <v>30</v>
      </c>
      <c r="K119" s="3">
        <v>37</v>
      </c>
      <c r="L119" s="3">
        <v>21</v>
      </c>
      <c r="M119" s="3">
        <v>25</v>
      </c>
      <c r="O119" s="3">
        <f t="shared" si="50"/>
        <v>100</v>
      </c>
      <c r="P119" s="3">
        <f t="shared" si="51"/>
        <v>113</v>
      </c>
      <c r="Q119" s="3" t="str">
        <f t="shared" si="52"/>
        <v>HL</v>
      </c>
      <c r="R119" s="3" t="str">
        <f t="shared" si="53"/>
        <v>HL</v>
      </c>
      <c r="S119" s="3" t="str">
        <f t="shared" si="54"/>
        <v>HW</v>
      </c>
      <c r="T119" s="3" t="str">
        <f t="shared" si="55"/>
        <v>HL</v>
      </c>
      <c r="U119" s="3" t="str">
        <f t="shared" si="56"/>
        <v>U</v>
      </c>
      <c r="V119" s="3" t="str">
        <f t="shared" si="57"/>
        <v>O</v>
      </c>
      <c r="W119" s="3" t="str">
        <f t="shared" si="58"/>
        <v>U</v>
      </c>
      <c r="X119" s="3" t="str">
        <f t="shared" si="59"/>
        <v>U</v>
      </c>
      <c r="Z119" s="3">
        <v>57</v>
      </c>
      <c r="AB119" s="3" t="str">
        <f t="shared" si="60"/>
        <v>WAS/CLE</v>
      </c>
      <c r="AC119" s="3">
        <f t="shared" si="61"/>
        <v>1</v>
      </c>
      <c r="AD119" s="3">
        <f t="shared" si="62"/>
        <v>3</v>
      </c>
    </row>
    <row r="120" spans="1:30" x14ac:dyDescent="0.45">
      <c r="A120" s="3">
        <v>191109</v>
      </c>
      <c r="B120" s="44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J120" s="3">
        <v>31</v>
      </c>
      <c r="K120" s="3">
        <v>32</v>
      </c>
      <c r="L120" s="3">
        <v>28</v>
      </c>
      <c r="M120" s="3">
        <v>30</v>
      </c>
      <c r="O120" s="3">
        <f t="shared" si="50"/>
        <v>109</v>
      </c>
      <c r="P120" s="3">
        <f t="shared" si="51"/>
        <v>121</v>
      </c>
      <c r="Q120" s="3" t="str">
        <f t="shared" si="52"/>
        <v>HL</v>
      </c>
      <c r="R120" s="3" t="str">
        <f t="shared" si="53"/>
        <v>HL</v>
      </c>
      <c r="S120" s="3" t="str">
        <f t="shared" si="54"/>
        <v>HW</v>
      </c>
      <c r="T120" s="3" t="str">
        <f t="shared" si="55"/>
        <v>HL</v>
      </c>
      <c r="U120" s="3" t="str">
        <f t="shared" si="56"/>
        <v>U</v>
      </c>
      <c r="V120" s="3" t="str">
        <f t="shared" si="57"/>
        <v>U</v>
      </c>
      <c r="W120" s="3" t="str">
        <f t="shared" si="58"/>
        <v>O</v>
      </c>
      <c r="X120" s="3" t="str">
        <f t="shared" si="59"/>
        <v>U</v>
      </c>
      <c r="Z120" s="3">
        <v>58</v>
      </c>
      <c r="AB120" s="3" t="str">
        <f t="shared" si="60"/>
        <v>ATL/SAC</v>
      </c>
      <c r="AC120" s="3">
        <f t="shared" si="61"/>
        <v>1</v>
      </c>
      <c r="AD120" s="3">
        <f t="shared" si="62"/>
        <v>3</v>
      </c>
    </row>
    <row r="121" spans="1:30" x14ac:dyDescent="0.45">
      <c r="A121" s="3">
        <v>191109</v>
      </c>
      <c r="B121" s="44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J121" s="3">
        <v>30</v>
      </c>
      <c r="K121" s="3">
        <v>45</v>
      </c>
      <c r="L121" s="3">
        <v>22</v>
      </c>
      <c r="M121" s="3">
        <v>25</v>
      </c>
      <c r="O121" s="3">
        <f t="shared" si="50"/>
        <v>104</v>
      </c>
      <c r="P121" s="3">
        <f t="shared" si="51"/>
        <v>122</v>
      </c>
      <c r="Q121" s="3" t="str">
        <f t="shared" si="52"/>
        <v>TT</v>
      </c>
      <c r="R121" s="3" t="str">
        <f t="shared" si="53"/>
        <v>HL</v>
      </c>
      <c r="S121" s="3" t="str">
        <f t="shared" si="54"/>
        <v>TT</v>
      </c>
      <c r="T121" s="3" t="str">
        <f t="shared" si="55"/>
        <v>HW</v>
      </c>
      <c r="U121" s="3" t="str">
        <f t="shared" si="56"/>
        <v>T</v>
      </c>
      <c r="V121" s="3" t="str">
        <f t="shared" si="57"/>
        <v>O</v>
      </c>
      <c r="W121" s="3" t="str">
        <f t="shared" si="58"/>
        <v>U</v>
      </c>
      <c r="X121" s="3" t="str">
        <f t="shared" si="59"/>
        <v>U</v>
      </c>
      <c r="Z121" s="3">
        <v>60</v>
      </c>
      <c r="AB121" s="3" t="str">
        <f t="shared" si="60"/>
        <v>NO/TOR</v>
      </c>
      <c r="AC121" s="3">
        <f t="shared" si="61"/>
        <v>1</v>
      </c>
      <c r="AD121" s="3">
        <f t="shared" si="62"/>
        <v>2</v>
      </c>
    </row>
    <row r="122" spans="1:30" x14ac:dyDescent="0.45">
      <c r="A122" s="3">
        <v>191109</v>
      </c>
      <c r="B122" s="44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50"/>
        <v>125</v>
      </c>
      <c r="P122" s="3">
        <f t="shared" si="51"/>
        <v>119</v>
      </c>
      <c r="Q122" s="3" t="str">
        <f t="shared" si="52"/>
        <v>HL</v>
      </c>
      <c r="R122" s="3" t="str">
        <f t="shared" si="53"/>
        <v>HW</v>
      </c>
      <c r="S122" s="3" t="str">
        <f t="shared" si="54"/>
        <v>HL</v>
      </c>
      <c r="T122" s="3" t="str">
        <f t="shared" si="55"/>
        <v>HW</v>
      </c>
      <c r="U122" s="3" t="str">
        <f t="shared" si="56"/>
        <v>O</v>
      </c>
      <c r="V122" s="3" t="str">
        <f t="shared" si="57"/>
        <v>O</v>
      </c>
      <c r="W122" s="3" t="str">
        <f t="shared" si="58"/>
        <v>U</v>
      </c>
      <c r="X122" s="3" t="str">
        <f t="shared" si="59"/>
        <v>U</v>
      </c>
      <c r="Z122" s="3">
        <v>59.5</v>
      </c>
      <c r="AB122" s="3" t="str">
        <f t="shared" si="60"/>
        <v>MIN/GS</v>
      </c>
      <c r="AC122" s="3">
        <f t="shared" si="61"/>
        <v>2</v>
      </c>
      <c r="AD122" s="3">
        <f t="shared" si="62"/>
        <v>2</v>
      </c>
    </row>
    <row r="123" spans="1:30" x14ac:dyDescent="0.45">
      <c r="A123" s="3">
        <v>191109</v>
      </c>
      <c r="B123" s="44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J123" s="3">
        <v>36</v>
      </c>
      <c r="K123" s="3">
        <v>25</v>
      </c>
      <c r="L123" s="3">
        <v>23</v>
      </c>
      <c r="M123" s="3">
        <v>22</v>
      </c>
      <c r="O123" s="3">
        <f t="shared" si="50"/>
        <v>102</v>
      </c>
      <c r="P123" s="3">
        <f t="shared" si="51"/>
        <v>106</v>
      </c>
      <c r="Q123" s="3" t="str">
        <f t="shared" si="52"/>
        <v>HL</v>
      </c>
      <c r="R123" s="3" t="str">
        <f t="shared" si="53"/>
        <v>HW</v>
      </c>
      <c r="S123" s="3" t="str">
        <f t="shared" si="54"/>
        <v>TT</v>
      </c>
      <c r="T123" s="3" t="str">
        <f t="shared" si="55"/>
        <v>TT</v>
      </c>
      <c r="U123" s="3" t="str">
        <f t="shared" si="56"/>
        <v>O</v>
      </c>
      <c r="V123" s="3" t="str">
        <f t="shared" si="57"/>
        <v>U</v>
      </c>
      <c r="W123" s="3" t="str">
        <f t="shared" si="58"/>
        <v>U</v>
      </c>
      <c r="X123" s="3" t="str">
        <f t="shared" si="59"/>
        <v>U</v>
      </c>
      <c r="Z123" s="3">
        <v>55</v>
      </c>
      <c r="AB123" s="3" t="str">
        <f t="shared" si="60"/>
        <v>DAL/NYK</v>
      </c>
      <c r="AC123" s="3">
        <f t="shared" si="61"/>
        <v>1</v>
      </c>
      <c r="AD123" s="3">
        <f t="shared" si="62"/>
        <v>3</v>
      </c>
    </row>
    <row r="124" spans="1:30" x14ac:dyDescent="0.45">
      <c r="A124" s="3">
        <v>191109</v>
      </c>
      <c r="B124" s="44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J124" s="3">
        <v>24</v>
      </c>
      <c r="K124" s="3">
        <v>33</v>
      </c>
      <c r="L124" s="3">
        <v>27</v>
      </c>
      <c r="M124" s="3">
        <v>13</v>
      </c>
      <c r="O124" s="3">
        <f t="shared" si="50"/>
        <v>100</v>
      </c>
      <c r="P124" s="3">
        <f t="shared" si="51"/>
        <v>97</v>
      </c>
      <c r="Q124" s="3" t="str">
        <f t="shared" si="52"/>
        <v>HL</v>
      </c>
      <c r="R124" s="3" t="str">
        <f t="shared" si="53"/>
        <v>HL</v>
      </c>
      <c r="S124" s="3" t="str">
        <f t="shared" si="54"/>
        <v>HL</v>
      </c>
      <c r="T124" s="3" t="str">
        <f t="shared" si="55"/>
        <v>HW</v>
      </c>
      <c r="U124" s="3" t="str">
        <f t="shared" si="56"/>
        <v>U</v>
      </c>
      <c r="V124" s="3" t="str">
        <f t="shared" si="57"/>
        <v>O</v>
      </c>
      <c r="W124" s="3" t="str">
        <f t="shared" si="58"/>
        <v>U</v>
      </c>
      <c r="X124" s="3" t="str">
        <f t="shared" si="59"/>
        <v>U</v>
      </c>
      <c r="Z124" s="3">
        <v>52.5</v>
      </c>
      <c r="AB124" s="3" t="str">
        <f t="shared" si="60"/>
        <v>DEN/PHI</v>
      </c>
      <c r="AC124" s="3">
        <f t="shared" si="61"/>
        <v>1</v>
      </c>
      <c r="AD124" s="3">
        <f t="shared" si="62"/>
        <v>3</v>
      </c>
    </row>
    <row r="125" spans="1:30" x14ac:dyDescent="0.45">
      <c r="A125" s="3">
        <v>191109</v>
      </c>
      <c r="B125" s="44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J125" s="3">
        <v>16</v>
      </c>
      <c r="K125" s="3">
        <v>19</v>
      </c>
      <c r="L125" s="3">
        <v>39</v>
      </c>
      <c r="M125" s="3">
        <v>26</v>
      </c>
      <c r="O125" s="3">
        <f t="shared" si="50"/>
        <v>103</v>
      </c>
      <c r="P125" s="3">
        <f t="shared" si="51"/>
        <v>100</v>
      </c>
      <c r="Q125" s="3" t="str">
        <f t="shared" si="52"/>
        <v>HW</v>
      </c>
      <c r="R125" s="3" t="str">
        <f t="shared" si="53"/>
        <v>HW</v>
      </c>
      <c r="S125" s="3" t="str">
        <f t="shared" si="54"/>
        <v>HL</v>
      </c>
      <c r="T125" s="3" t="str">
        <f t="shared" si="55"/>
        <v>HL</v>
      </c>
      <c r="U125" s="3" t="str">
        <f t="shared" si="56"/>
        <v>U</v>
      </c>
      <c r="V125" s="3" t="str">
        <f t="shared" si="57"/>
        <v>U</v>
      </c>
      <c r="W125" s="3" t="str">
        <f t="shared" si="58"/>
        <v>O</v>
      </c>
      <c r="X125" s="3" t="str">
        <f t="shared" si="59"/>
        <v>U</v>
      </c>
      <c r="Z125" s="3">
        <v>52.5</v>
      </c>
      <c r="AB125" s="3" t="str">
        <f t="shared" si="60"/>
        <v>UTA/MIL</v>
      </c>
      <c r="AC125" s="3">
        <f t="shared" si="61"/>
        <v>1</v>
      </c>
      <c r="AD125" s="3">
        <f t="shared" si="62"/>
        <v>3</v>
      </c>
    </row>
    <row r="126" spans="1:30" x14ac:dyDescent="0.45">
      <c r="A126" s="3">
        <v>191109</v>
      </c>
      <c r="B126" s="44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J126" s="3">
        <v>26</v>
      </c>
      <c r="K126" s="3">
        <v>28</v>
      </c>
      <c r="L126" s="3">
        <v>35</v>
      </c>
      <c r="M126" s="3">
        <v>30</v>
      </c>
      <c r="O126" s="3">
        <f t="shared" si="50"/>
        <v>115</v>
      </c>
      <c r="P126" s="3">
        <f t="shared" si="51"/>
        <v>119</v>
      </c>
      <c r="Q126" s="3" t="str">
        <f t="shared" si="52"/>
        <v>HL</v>
      </c>
      <c r="R126" s="3" t="str">
        <f t="shared" si="53"/>
        <v>HW</v>
      </c>
      <c r="S126" s="3" t="str">
        <f t="shared" si="54"/>
        <v>HW</v>
      </c>
      <c r="T126" s="3" t="str">
        <f t="shared" si="55"/>
        <v>HL</v>
      </c>
      <c r="U126" s="3" t="str">
        <f t="shared" si="56"/>
        <v>U</v>
      </c>
      <c r="V126" s="3" t="str">
        <f t="shared" si="57"/>
        <v>U</v>
      </c>
      <c r="W126" s="3" t="str">
        <f t="shared" si="58"/>
        <v>O</v>
      </c>
      <c r="X126" s="3" t="str">
        <f t="shared" si="59"/>
        <v>O</v>
      </c>
      <c r="Z126" s="3">
        <v>57.5</v>
      </c>
      <c r="AB126" s="3" t="str">
        <f t="shared" si="60"/>
        <v>POR/BKN</v>
      </c>
      <c r="AC126" s="3">
        <f t="shared" si="61"/>
        <v>2</v>
      </c>
      <c r="AD126" s="3">
        <f t="shared" si="62"/>
        <v>2</v>
      </c>
    </row>
    <row r="127" spans="1:30" x14ac:dyDescent="0.45">
      <c r="A127" s="3">
        <v>191109</v>
      </c>
      <c r="B127" s="44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J127" s="3">
        <v>21</v>
      </c>
      <c r="K127" s="3">
        <v>25</v>
      </c>
      <c r="L127" s="3">
        <v>20</v>
      </c>
      <c r="M127" s="3">
        <v>14</v>
      </c>
      <c r="O127" s="3">
        <f t="shared" si="50"/>
        <v>95</v>
      </c>
      <c r="P127" s="3">
        <f t="shared" si="51"/>
        <v>80</v>
      </c>
      <c r="Q127" s="3" t="str">
        <f t="shared" si="52"/>
        <v>HW</v>
      </c>
      <c r="R127" s="3" t="str">
        <f t="shared" si="53"/>
        <v>HL</v>
      </c>
      <c r="S127" s="3" t="str">
        <f t="shared" si="54"/>
        <v>HW</v>
      </c>
      <c r="T127" s="3" t="str">
        <f t="shared" si="55"/>
        <v>HW</v>
      </c>
      <c r="U127" s="3" t="str">
        <f t="shared" si="56"/>
        <v>U</v>
      </c>
      <c r="V127" s="3" t="str">
        <f t="shared" si="57"/>
        <v>U</v>
      </c>
      <c r="W127" s="3" t="str">
        <f t="shared" si="58"/>
        <v>U</v>
      </c>
      <c r="X127" s="3" t="str">
        <f t="shared" si="59"/>
        <v>U</v>
      </c>
      <c r="Z127" s="3">
        <v>56</v>
      </c>
      <c r="AB127" s="3" t="str">
        <f t="shared" si="60"/>
        <v>LAL/MIA</v>
      </c>
      <c r="AC127" s="3">
        <f t="shared" si="61"/>
        <v>0</v>
      </c>
      <c r="AD127" s="3">
        <f t="shared" si="62"/>
        <v>4</v>
      </c>
    </row>
    <row r="128" spans="1:30" x14ac:dyDescent="0.45">
      <c r="A128" s="3">
        <v>191110</v>
      </c>
      <c r="B128" s="44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J128" s="3">
        <v>39</v>
      </c>
      <c r="K128" s="3">
        <v>33</v>
      </c>
      <c r="L128" s="3">
        <v>32</v>
      </c>
      <c r="M128" s="3">
        <v>31</v>
      </c>
      <c r="O128" s="3">
        <f t="shared" si="50"/>
        <v>115</v>
      </c>
      <c r="P128" s="3">
        <f t="shared" si="51"/>
        <v>135</v>
      </c>
      <c r="Q128" s="3" t="str">
        <f t="shared" si="52"/>
        <v>HL</v>
      </c>
      <c r="R128" s="3" t="str">
        <f t="shared" si="53"/>
        <v>HL</v>
      </c>
      <c r="S128" s="3" t="str">
        <f t="shared" si="54"/>
        <v>HW</v>
      </c>
      <c r="T128" s="3" t="str">
        <f t="shared" si="55"/>
        <v>HL</v>
      </c>
      <c r="U128" s="3" t="str">
        <f t="shared" si="56"/>
        <v>O</v>
      </c>
      <c r="V128" s="3" t="str">
        <f t="shared" si="57"/>
        <v>O</v>
      </c>
      <c r="W128" s="3" t="str">
        <f t="shared" si="58"/>
        <v>O</v>
      </c>
      <c r="X128" s="3" t="str">
        <f t="shared" si="59"/>
        <v>O</v>
      </c>
      <c r="Z128" s="3">
        <v>52.5</v>
      </c>
      <c r="AB128" s="3" t="str">
        <f t="shared" si="60"/>
        <v>SAS/BOS</v>
      </c>
      <c r="AC128" s="3">
        <f t="shared" si="61"/>
        <v>4</v>
      </c>
      <c r="AD128" s="3">
        <f t="shared" si="62"/>
        <v>0</v>
      </c>
    </row>
    <row r="129" spans="1:30" x14ac:dyDescent="0.45">
      <c r="A129" s="3">
        <v>191110</v>
      </c>
      <c r="B129" s="44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J129" s="3">
        <v>33</v>
      </c>
      <c r="K129" s="3">
        <v>22</v>
      </c>
      <c r="L129" s="3">
        <v>26</v>
      </c>
      <c r="M129" s="3">
        <v>34</v>
      </c>
      <c r="O129" s="3">
        <f t="shared" si="50"/>
        <v>110</v>
      </c>
      <c r="P129" s="3">
        <f t="shared" si="51"/>
        <v>115</v>
      </c>
      <c r="Q129" s="3" t="str">
        <f t="shared" si="52"/>
        <v>HL</v>
      </c>
      <c r="R129" s="3" t="str">
        <f t="shared" si="53"/>
        <v>HW</v>
      </c>
      <c r="S129" s="3" t="str">
        <f t="shared" si="54"/>
        <v>HL</v>
      </c>
      <c r="T129" s="3" t="str">
        <f t="shared" si="55"/>
        <v>HL</v>
      </c>
      <c r="U129" s="3" t="str">
        <f t="shared" si="56"/>
        <v>O</v>
      </c>
      <c r="V129" s="3" t="str">
        <f t="shared" si="57"/>
        <v>U</v>
      </c>
      <c r="W129" s="3" t="str">
        <f t="shared" si="58"/>
        <v>U</v>
      </c>
      <c r="X129" s="3" t="str">
        <f t="shared" si="59"/>
        <v>U</v>
      </c>
      <c r="Z129" s="3">
        <v>59.5</v>
      </c>
      <c r="AB129" s="3" t="str">
        <f t="shared" si="60"/>
        <v>CHA/NO</v>
      </c>
      <c r="AC129" s="3">
        <f t="shared" si="61"/>
        <v>1</v>
      </c>
      <c r="AD129" s="3">
        <f t="shared" si="62"/>
        <v>3</v>
      </c>
    </row>
    <row r="130" spans="1:30" x14ac:dyDescent="0.45">
      <c r="A130" s="3">
        <v>191110</v>
      </c>
      <c r="B130" s="44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J130" s="3">
        <v>20</v>
      </c>
      <c r="K130" s="3">
        <v>30</v>
      </c>
      <c r="L130" s="3">
        <v>36</v>
      </c>
      <c r="M130" s="3">
        <v>31</v>
      </c>
      <c r="O130" s="3">
        <f t="shared" si="50"/>
        <v>94</v>
      </c>
      <c r="P130" s="3">
        <f t="shared" si="51"/>
        <v>117</v>
      </c>
      <c r="Q130" s="3" t="str">
        <f t="shared" si="52"/>
        <v>HW</v>
      </c>
      <c r="R130" s="3" t="str">
        <f t="shared" si="53"/>
        <v>HL</v>
      </c>
      <c r="S130" s="3" t="str">
        <f t="shared" si="54"/>
        <v>HL</v>
      </c>
      <c r="T130" s="3" t="str">
        <f t="shared" si="55"/>
        <v>HL</v>
      </c>
      <c r="U130" s="3" t="str">
        <f t="shared" si="56"/>
        <v>U</v>
      </c>
      <c r="V130" s="3" t="str">
        <f t="shared" si="57"/>
        <v>U</v>
      </c>
      <c r="W130" s="3" t="str">
        <f t="shared" si="58"/>
        <v>U</v>
      </c>
      <c r="X130" s="3" t="str">
        <f t="shared" si="59"/>
        <v>U</v>
      </c>
      <c r="Z130" s="3">
        <v>60.5</v>
      </c>
      <c r="AB130" s="3" t="str">
        <f t="shared" si="60"/>
        <v>CHI/HOU</v>
      </c>
      <c r="AC130" s="3">
        <f t="shared" si="61"/>
        <v>0</v>
      </c>
      <c r="AD130" s="3">
        <f t="shared" si="62"/>
        <v>4</v>
      </c>
    </row>
    <row r="131" spans="1:30" x14ac:dyDescent="0.45">
      <c r="A131" s="3">
        <v>191110</v>
      </c>
      <c r="B131" s="44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J131" s="3">
        <v>27</v>
      </c>
      <c r="K131" s="3">
        <v>16</v>
      </c>
      <c r="L131" s="3">
        <v>41</v>
      </c>
      <c r="M131" s="3">
        <v>24</v>
      </c>
      <c r="O131" s="3">
        <f t="shared" si="50"/>
        <v>114</v>
      </c>
      <c r="P131" s="3">
        <f t="shared" si="51"/>
        <v>108</v>
      </c>
      <c r="Q131" s="3" t="str">
        <f t="shared" si="52"/>
        <v>HW</v>
      </c>
      <c r="R131" s="3" t="str">
        <f t="shared" si="53"/>
        <v>HW</v>
      </c>
      <c r="S131" s="3" t="str">
        <f t="shared" si="54"/>
        <v>HL</v>
      </c>
      <c r="T131" s="3" t="str">
        <f t="shared" si="55"/>
        <v>HW</v>
      </c>
      <c r="U131" s="3" t="str">
        <f t="shared" si="56"/>
        <v>O</v>
      </c>
      <c r="V131" s="3" t="str">
        <f t="shared" si="57"/>
        <v>U</v>
      </c>
      <c r="W131" s="3" t="str">
        <f t="shared" si="58"/>
        <v>O</v>
      </c>
      <c r="X131" s="3" t="str">
        <f t="shared" si="59"/>
        <v>U</v>
      </c>
      <c r="Z131" s="3">
        <v>56.5</v>
      </c>
      <c r="AB131" s="3" t="str">
        <f t="shared" si="60"/>
        <v>OKC/GS</v>
      </c>
      <c r="AC131" s="3">
        <f t="shared" si="61"/>
        <v>2</v>
      </c>
      <c r="AD131" s="3">
        <f t="shared" si="62"/>
        <v>2</v>
      </c>
    </row>
    <row r="132" spans="1:30" x14ac:dyDescent="0.45">
      <c r="A132" s="3">
        <v>191110</v>
      </c>
      <c r="B132" s="44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J132" s="3">
        <v>31</v>
      </c>
      <c r="K132" s="3">
        <v>37</v>
      </c>
      <c r="L132" s="3">
        <v>36</v>
      </c>
      <c r="M132" s="3">
        <v>34</v>
      </c>
      <c r="O132" s="3">
        <f t="shared" si="50"/>
        <v>122</v>
      </c>
      <c r="P132" s="3">
        <f t="shared" si="51"/>
        <v>138</v>
      </c>
      <c r="Q132" s="3" t="str">
        <f t="shared" si="52"/>
        <v>HW</v>
      </c>
      <c r="R132" s="3" t="str">
        <f t="shared" si="53"/>
        <v>HL</v>
      </c>
      <c r="S132" s="3" t="str">
        <f t="shared" si="54"/>
        <v>HL</v>
      </c>
      <c r="T132" s="3" t="str">
        <f t="shared" si="55"/>
        <v>HL</v>
      </c>
      <c r="U132" s="3" t="str">
        <f t="shared" si="56"/>
        <v>O</v>
      </c>
      <c r="V132" s="3" t="str">
        <f t="shared" si="57"/>
        <v>O</v>
      </c>
      <c r="W132" s="3" t="str">
        <f t="shared" si="58"/>
        <v>O</v>
      </c>
      <c r="X132" s="3" t="str">
        <f t="shared" si="59"/>
        <v>O</v>
      </c>
      <c r="Z132" s="3">
        <v>56.5</v>
      </c>
      <c r="AB132" s="3" t="str">
        <f t="shared" si="60"/>
        <v>MEM/DAL</v>
      </c>
      <c r="AC132" s="3">
        <f t="shared" si="61"/>
        <v>4</v>
      </c>
      <c r="AD132" s="3">
        <f t="shared" si="62"/>
        <v>0</v>
      </c>
    </row>
    <row r="133" spans="1:30" x14ac:dyDescent="0.45">
      <c r="A133" s="3">
        <v>191111</v>
      </c>
      <c r="B133" s="44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50"/>
        <v>98</v>
      </c>
      <c r="P133" s="3">
        <f t="shared" si="51"/>
        <v>100</v>
      </c>
      <c r="Q133" s="3" t="str">
        <f t="shared" si="52"/>
        <v>TT</v>
      </c>
      <c r="R133" s="3" t="str">
        <f t="shared" si="53"/>
        <v>HW</v>
      </c>
      <c r="S133" s="3" t="str">
        <f t="shared" si="54"/>
        <v>HL</v>
      </c>
      <c r="T133" s="3" t="str">
        <f t="shared" si="55"/>
        <v>HW</v>
      </c>
      <c r="U133" s="3" t="str">
        <f t="shared" si="56"/>
        <v>U</v>
      </c>
      <c r="V133" s="3" t="str">
        <f t="shared" si="57"/>
        <v>U</v>
      </c>
      <c r="W133" s="3" t="str">
        <f t="shared" si="58"/>
        <v>U</v>
      </c>
      <c r="X133" s="3" t="str">
        <f t="shared" si="59"/>
        <v>U</v>
      </c>
      <c r="Z133" s="3">
        <v>56</v>
      </c>
      <c r="AB133" s="3" t="str">
        <f t="shared" si="60"/>
        <v>MIN/DEN</v>
      </c>
      <c r="AC133" s="3">
        <f t="shared" si="61"/>
        <v>0</v>
      </c>
      <c r="AD133" s="3">
        <f t="shared" si="62"/>
        <v>4</v>
      </c>
    </row>
    <row r="134" spans="1:30" x14ac:dyDescent="0.45">
      <c r="A134" s="3">
        <v>191111</v>
      </c>
      <c r="B134" s="44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J134" s="3">
        <v>29</v>
      </c>
      <c r="K134" s="3">
        <v>22</v>
      </c>
      <c r="L134" s="3">
        <v>30</v>
      </c>
      <c r="M134" s="3">
        <v>28</v>
      </c>
      <c r="O134" s="3">
        <f t="shared" si="50"/>
        <v>102</v>
      </c>
      <c r="P134" s="3">
        <f t="shared" si="51"/>
        <v>109</v>
      </c>
      <c r="Q134" s="3" t="str">
        <f t="shared" si="52"/>
        <v>HW</v>
      </c>
      <c r="R134" s="3" t="str">
        <f t="shared" si="53"/>
        <v>HW</v>
      </c>
      <c r="S134" s="3" t="str">
        <f t="shared" si="54"/>
        <v>HL</v>
      </c>
      <c r="T134" s="3" t="str">
        <f t="shared" si="55"/>
        <v>HL</v>
      </c>
      <c r="U134" s="3" t="str">
        <f t="shared" si="56"/>
        <v>O</v>
      </c>
      <c r="V134" s="3" t="str">
        <f t="shared" si="57"/>
        <v>U</v>
      </c>
      <c r="W134" s="3" t="str">
        <f t="shared" si="58"/>
        <v>U</v>
      </c>
      <c r="X134" s="3" t="str">
        <f t="shared" si="59"/>
        <v>O</v>
      </c>
      <c r="Z134" s="3">
        <v>52</v>
      </c>
      <c r="AB134" s="3" t="str">
        <f t="shared" si="60"/>
        <v>ORL/IND</v>
      </c>
      <c r="AC134" s="3">
        <f t="shared" si="61"/>
        <v>2</v>
      </c>
      <c r="AD134" s="3">
        <f t="shared" si="62"/>
        <v>2</v>
      </c>
    </row>
    <row r="135" spans="1:30" x14ac:dyDescent="0.45">
      <c r="A135" s="3">
        <v>191111</v>
      </c>
      <c r="B135" s="44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J135" s="3">
        <v>24</v>
      </c>
      <c r="K135" s="3">
        <v>34</v>
      </c>
      <c r="L135" s="3">
        <v>23</v>
      </c>
      <c r="M135" s="3">
        <v>25</v>
      </c>
      <c r="O135" s="3">
        <f t="shared" si="50"/>
        <v>114</v>
      </c>
      <c r="P135" s="3">
        <f t="shared" si="51"/>
        <v>106</v>
      </c>
      <c r="Q135" s="3" t="str">
        <f t="shared" si="52"/>
        <v>HW</v>
      </c>
      <c r="R135" s="3" t="str">
        <f t="shared" si="53"/>
        <v>HL</v>
      </c>
      <c r="S135" s="3" t="str">
        <f t="shared" si="54"/>
        <v>HW</v>
      </c>
      <c r="T135" s="3" t="str">
        <f t="shared" si="55"/>
        <v>HW</v>
      </c>
      <c r="U135" s="3" t="str">
        <f t="shared" si="56"/>
        <v>O</v>
      </c>
      <c r="V135" s="3" t="str">
        <f t="shared" si="57"/>
        <v>U</v>
      </c>
      <c r="W135" s="3" t="str">
        <f t="shared" si="58"/>
        <v>O</v>
      </c>
      <c r="X135" s="3" t="str">
        <f t="shared" si="59"/>
        <v>U</v>
      </c>
      <c r="Z135" s="3">
        <v>55.5</v>
      </c>
      <c r="AB135" s="3" t="str">
        <f t="shared" si="60"/>
        <v>PHI/CHA</v>
      </c>
      <c r="AC135" s="3">
        <f t="shared" si="61"/>
        <v>2</v>
      </c>
      <c r="AD135" s="3">
        <f t="shared" si="62"/>
        <v>2</v>
      </c>
    </row>
    <row r="136" spans="1:30" x14ac:dyDescent="0.45">
      <c r="A136" s="3">
        <v>191111</v>
      </c>
      <c r="B136" s="44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J136" s="3">
        <v>21</v>
      </c>
      <c r="K136" s="3">
        <v>29</v>
      </c>
      <c r="L136" s="3">
        <v>37</v>
      </c>
      <c r="M136" s="3">
        <v>34</v>
      </c>
      <c r="O136" s="3">
        <f t="shared" si="50"/>
        <v>119</v>
      </c>
      <c r="P136" s="3">
        <f t="shared" si="51"/>
        <v>121</v>
      </c>
      <c r="Q136" s="3" t="str">
        <f t="shared" si="52"/>
        <v>HW</v>
      </c>
      <c r="R136" s="3" t="str">
        <f t="shared" si="53"/>
        <v>HW</v>
      </c>
      <c r="S136" s="3" t="str">
        <f t="shared" si="54"/>
        <v>HL</v>
      </c>
      <c r="T136" s="3" t="str">
        <f t="shared" si="55"/>
        <v>HW</v>
      </c>
      <c r="U136" s="3" t="str">
        <f t="shared" si="56"/>
        <v>U</v>
      </c>
      <c r="V136" s="3" t="str">
        <f t="shared" si="57"/>
        <v>O</v>
      </c>
      <c r="W136" s="3" t="str">
        <f t="shared" si="58"/>
        <v>O</v>
      </c>
      <c r="X136" s="3" t="str">
        <f t="shared" si="59"/>
        <v>O</v>
      </c>
      <c r="Z136" s="3">
        <v>53.5</v>
      </c>
      <c r="AB136" s="3" t="str">
        <f t="shared" si="60"/>
        <v>OKC/MIL</v>
      </c>
      <c r="AC136" s="3">
        <f t="shared" si="61"/>
        <v>3</v>
      </c>
      <c r="AD136" s="3">
        <f t="shared" si="62"/>
        <v>1</v>
      </c>
    </row>
    <row r="137" spans="1:30" x14ac:dyDescent="0.45">
      <c r="A137" s="3">
        <v>191111</v>
      </c>
      <c r="B137" s="44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J137" s="3">
        <v>31</v>
      </c>
      <c r="K137" s="3">
        <v>23</v>
      </c>
      <c r="L137" s="3">
        <v>24</v>
      </c>
      <c r="M137" s="3">
        <v>30</v>
      </c>
      <c r="O137" s="3">
        <f t="shared" si="50"/>
        <v>87</v>
      </c>
      <c r="P137" s="3">
        <f t="shared" si="51"/>
        <v>108</v>
      </c>
      <c r="Q137" s="3" t="str">
        <f t="shared" si="52"/>
        <v>HL</v>
      </c>
      <c r="R137" s="3" t="str">
        <f t="shared" si="53"/>
        <v>HL</v>
      </c>
      <c r="S137" s="3" t="str">
        <f t="shared" si="54"/>
        <v>HW</v>
      </c>
      <c r="T137" s="3" t="str">
        <f t="shared" si="55"/>
        <v>HL</v>
      </c>
      <c r="U137" s="3" t="str">
        <f t="shared" si="56"/>
        <v>U</v>
      </c>
      <c r="V137" s="3" t="str">
        <f t="shared" si="57"/>
        <v>U</v>
      </c>
      <c r="W137" s="3" t="str">
        <f t="shared" si="58"/>
        <v>U</v>
      </c>
      <c r="X137" s="3" t="str">
        <f t="shared" si="59"/>
        <v>O</v>
      </c>
      <c r="Z137" s="3">
        <v>52</v>
      </c>
      <c r="AB137" s="3" t="str">
        <f t="shared" si="60"/>
        <v>NYK/CLE</v>
      </c>
      <c r="AC137" s="3">
        <f t="shared" si="61"/>
        <v>1</v>
      </c>
      <c r="AD137" s="3">
        <f t="shared" si="62"/>
        <v>3</v>
      </c>
    </row>
    <row r="138" spans="1:30" x14ac:dyDescent="0.45">
      <c r="A138" s="3">
        <v>191111</v>
      </c>
      <c r="B138" s="44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J138" s="3">
        <v>30</v>
      </c>
      <c r="K138" s="3">
        <v>20</v>
      </c>
      <c r="L138" s="3">
        <v>30</v>
      </c>
      <c r="M138" s="3">
        <v>32</v>
      </c>
      <c r="O138" s="3">
        <f t="shared" si="50"/>
        <v>138</v>
      </c>
      <c r="P138" s="3">
        <f t="shared" si="51"/>
        <v>112</v>
      </c>
      <c r="Q138" s="3" t="str">
        <f t="shared" si="52"/>
        <v>HW</v>
      </c>
      <c r="R138" s="3" t="str">
        <f t="shared" si="53"/>
        <v>HW</v>
      </c>
      <c r="S138" s="3" t="str">
        <f t="shared" si="54"/>
        <v>HW</v>
      </c>
      <c r="T138" s="3" t="str">
        <f t="shared" si="55"/>
        <v>TT</v>
      </c>
      <c r="U138" s="3" t="str">
        <f t="shared" si="56"/>
        <v>O</v>
      </c>
      <c r="V138" s="3" t="str">
        <f t="shared" si="57"/>
        <v>U</v>
      </c>
      <c r="W138" s="3" t="str">
        <f t="shared" si="58"/>
        <v>O</v>
      </c>
      <c r="X138" s="3" t="str">
        <f t="shared" si="59"/>
        <v>O</v>
      </c>
      <c r="Z138" s="3">
        <v>56.5</v>
      </c>
      <c r="AB138" s="3" t="str">
        <f t="shared" si="60"/>
        <v>PHO/BKN</v>
      </c>
      <c r="AC138" s="3">
        <f t="shared" si="61"/>
        <v>3</v>
      </c>
      <c r="AD138" s="3">
        <f t="shared" si="62"/>
        <v>1</v>
      </c>
    </row>
    <row r="139" spans="1:30" x14ac:dyDescent="0.45">
      <c r="A139" s="3">
        <v>191111</v>
      </c>
      <c r="B139" s="44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50"/>
        <v>124</v>
      </c>
      <c r="P139" s="3">
        <f t="shared" si="51"/>
        <v>113</v>
      </c>
      <c r="Q139" s="3" t="str">
        <f t="shared" si="52"/>
        <v>HL</v>
      </c>
      <c r="R139" s="3" t="str">
        <f t="shared" si="53"/>
        <v>HW</v>
      </c>
      <c r="S139" s="3" t="str">
        <f t="shared" si="54"/>
        <v>HL</v>
      </c>
      <c r="T139" s="3" t="str">
        <f t="shared" si="55"/>
        <v>TT</v>
      </c>
      <c r="U139" s="3" t="str">
        <f t="shared" si="56"/>
        <v>U</v>
      </c>
      <c r="V139" s="3" t="str">
        <f t="shared" si="57"/>
        <v>U</v>
      </c>
      <c r="W139" s="3" t="str">
        <f t="shared" si="58"/>
        <v>O</v>
      </c>
      <c r="X139" s="3" t="str">
        <f t="shared" si="59"/>
        <v>O</v>
      </c>
      <c r="Z139" s="3">
        <v>58</v>
      </c>
      <c r="AB139" s="3" t="str">
        <f t="shared" si="60"/>
        <v>POR/ATL</v>
      </c>
      <c r="AC139" s="3">
        <f t="shared" si="61"/>
        <v>2</v>
      </c>
      <c r="AD139" s="3">
        <f t="shared" si="62"/>
        <v>2</v>
      </c>
    </row>
    <row r="140" spans="1:30" x14ac:dyDescent="0.45">
      <c r="A140" s="3">
        <v>191111</v>
      </c>
      <c r="B140" s="44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J140" s="3">
        <v>29</v>
      </c>
      <c r="K140" s="3">
        <v>23</v>
      </c>
      <c r="L140" s="3">
        <v>26</v>
      </c>
      <c r="M140" s="3">
        <v>35</v>
      </c>
      <c r="O140" s="3">
        <f t="shared" si="50"/>
        <v>104</v>
      </c>
      <c r="P140" s="3">
        <f t="shared" si="51"/>
        <v>113</v>
      </c>
      <c r="Q140" s="3" t="str">
        <f t="shared" si="52"/>
        <v>HW</v>
      </c>
      <c r="R140" s="3" t="str">
        <f t="shared" si="53"/>
        <v>HW</v>
      </c>
      <c r="S140" s="3" t="str">
        <f t="shared" si="54"/>
        <v>HL</v>
      </c>
      <c r="T140" s="3" t="str">
        <f t="shared" si="55"/>
        <v>HL</v>
      </c>
      <c r="U140" s="3" t="str">
        <f t="shared" si="56"/>
        <v>O</v>
      </c>
      <c r="V140" s="3" t="str">
        <f t="shared" si="57"/>
        <v>U</v>
      </c>
      <c r="W140" s="3" t="str">
        <f t="shared" si="58"/>
        <v>U</v>
      </c>
      <c r="X140" s="3" t="str">
        <f t="shared" si="59"/>
        <v>O</v>
      </c>
      <c r="Z140" s="3">
        <v>54.5</v>
      </c>
      <c r="AB140" s="3" t="str">
        <f t="shared" si="60"/>
        <v>LAL/TOR</v>
      </c>
      <c r="AC140" s="3">
        <f t="shared" si="61"/>
        <v>2</v>
      </c>
      <c r="AD140" s="3">
        <f t="shared" si="62"/>
        <v>2</v>
      </c>
    </row>
    <row r="141" spans="1:30" x14ac:dyDescent="0.45">
      <c r="A141" s="3">
        <v>191112</v>
      </c>
      <c r="B141" s="44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J141" s="3">
        <v>41</v>
      </c>
      <c r="K141" s="3">
        <v>25</v>
      </c>
      <c r="L141" s="3">
        <v>26</v>
      </c>
      <c r="M141" s="3">
        <v>28</v>
      </c>
      <c r="O141" s="3">
        <f t="shared" si="50"/>
        <v>114</v>
      </c>
      <c r="P141" s="3">
        <f t="shared" si="51"/>
        <v>120</v>
      </c>
      <c r="Q141" s="3" t="str">
        <f t="shared" si="52"/>
        <v>HL</v>
      </c>
      <c r="R141" s="3" t="str">
        <f t="shared" si="53"/>
        <v>TT</v>
      </c>
      <c r="S141" s="3" t="str">
        <f t="shared" si="54"/>
        <v>HW</v>
      </c>
      <c r="T141" s="3" t="str">
        <f t="shared" si="55"/>
        <v>HW</v>
      </c>
      <c r="U141" s="3" t="str">
        <f t="shared" si="56"/>
        <v>O</v>
      </c>
      <c r="V141" s="3" t="str">
        <f t="shared" si="57"/>
        <v>U</v>
      </c>
      <c r="W141" s="3" t="str">
        <f t="shared" si="58"/>
        <v>U</v>
      </c>
      <c r="X141" s="3" t="str">
        <f t="shared" si="59"/>
        <v>O</v>
      </c>
      <c r="Z141" s="3">
        <v>58</v>
      </c>
      <c r="AB141" s="3" t="str">
        <f t="shared" si="60"/>
        <v>DET/MIN</v>
      </c>
      <c r="AC141" s="3">
        <f t="shared" si="61"/>
        <v>2</v>
      </c>
      <c r="AD141" s="3">
        <f t="shared" si="62"/>
        <v>2</v>
      </c>
    </row>
    <row r="142" spans="1:30" x14ac:dyDescent="0.45">
      <c r="A142" s="3">
        <v>191112</v>
      </c>
      <c r="B142" s="44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J142" s="3">
        <v>21</v>
      </c>
      <c r="K142" s="3">
        <v>33</v>
      </c>
      <c r="L142" s="3">
        <v>25</v>
      </c>
      <c r="M142" s="3">
        <v>27</v>
      </c>
      <c r="O142" s="3">
        <f t="shared" si="50"/>
        <v>116</v>
      </c>
      <c r="P142" s="3">
        <f t="shared" si="51"/>
        <v>106</v>
      </c>
      <c r="Q142" s="3" t="str">
        <f t="shared" si="52"/>
        <v>HW</v>
      </c>
      <c r="R142" s="3" t="str">
        <f t="shared" si="53"/>
        <v>HL</v>
      </c>
      <c r="S142" s="3" t="str">
        <f t="shared" si="54"/>
        <v>HW</v>
      </c>
      <c r="T142" s="3" t="str">
        <f t="shared" si="55"/>
        <v>HW</v>
      </c>
      <c r="U142" s="3" t="str">
        <f t="shared" si="56"/>
        <v>U</v>
      </c>
      <c r="V142" s="3" t="str">
        <f t="shared" si="57"/>
        <v>O</v>
      </c>
      <c r="W142" s="3" t="str">
        <f t="shared" si="58"/>
        <v>U</v>
      </c>
      <c r="X142" s="3" t="str">
        <f t="shared" si="59"/>
        <v>O</v>
      </c>
      <c r="Z142" s="3">
        <v>56</v>
      </c>
      <c r="AB142" s="3" t="str">
        <f t="shared" si="60"/>
        <v>BOS/DAL</v>
      </c>
      <c r="AC142" s="3">
        <f t="shared" si="61"/>
        <v>2</v>
      </c>
      <c r="AD142" s="3">
        <f t="shared" si="62"/>
        <v>2</v>
      </c>
    </row>
    <row r="143" spans="1:30" x14ac:dyDescent="0.45">
      <c r="A143" s="3">
        <v>191112</v>
      </c>
      <c r="B143" s="44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J143" s="3">
        <v>35</v>
      </c>
      <c r="K143" s="3">
        <v>22</v>
      </c>
      <c r="L143" s="3">
        <v>34</v>
      </c>
      <c r="M143" s="3">
        <v>22</v>
      </c>
      <c r="O143" s="3">
        <f t="shared" si="50"/>
        <v>109</v>
      </c>
      <c r="P143" s="3">
        <f t="shared" si="51"/>
        <v>113</v>
      </c>
      <c r="Q143" s="3" t="str">
        <f t="shared" si="52"/>
        <v>HL</v>
      </c>
      <c r="R143" s="3" t="str">
        <f t="shared" si="53"/>
        <v>HW</v>
      </c>
      <c r="S143" s="3" t="str">
        <f t="shared" si="54"/>
        <v>HL</v>
      </c>
      <c r="T143" s="3" t="str">
        <f t="shared" si="55"/>
        <v>HW</v>
      </c>
      <c r="U143" s="3" t="str">
        <f t="shared" si="56"/>
        <v>O</v>
      </c>
      <c r="V143" s="3" t="str">
        <f t="shared" si="57"/>
        <v>U</v>
      </c>
      <c r="W143" s="3" t="str">
        <f t="shared" si="58"/>
        <v>O</v>
      </c>
      <c r="X143" s="3" t="str">
        <f t="shared" si="59"/>
        <v>U</v>
      </c>
      <c r="Z143" s="3">
        <v>55</v>
      </c>
      <c r="AB143" s="3" t="str">
        <f t="shared" si="60"/>
        <v>SAS/MEM</v>
      </c>
      <c r="AC143" s="3">
        <f t="shared" si="61"/>
        <v>2</v>
      </c>
      <c r="AD143" s="3">
        <f t="shared" si="62"/>
        <v>2</v>
      </c>
    </row>
    <row r="144" spans="1:30" x14ac:dyDescent="0.45">
      <c r="A144" s="3">
        <v>191112</v>
      </c>
      <c r="B144" s="44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J144" s="3">
        <v>30</v>
      </c>
      <c r="K144" s="3">
        <v>28</v>
      </c>
      <c r="L144" s="3">
        <v>32</v>
      </c>
      <c r="M144" s="3">
        <v>32</v>
      </c>
      <c r="O144" s="3">
        <f t="shared" si="50"/>
        <v>116</v>
      </c>
      <c r="P144" s="3">
        <f t="shared" si="51"/>
        <v>122</v>
      </c>
      <c r="Q144" s="3" t="str">
        <f t="shared" si="52"/>
        <v>HL</v>
      </c>
      <c r="R144" s="3" t="str">
        <f t="shared" si="53"/>
        <v>HW</v>
      </c>
      <c r="S144" s="3" t="str">
        <f t="shared" si="54"/>
        <v>HL</v>
      </c>
      <c r="T144" s="3" t="str">
        <f t="shared" si="55"/>
        <v>HW</v>
      </c>
      <c r="U144" s="3" t="str">
        <f t="shared" si="56"/>
        <v>U</v>
      </c>
      <c r="V144" s="3" t="str">
        <f t="shared" si="57"/>
        <v>U</v>
      </c>
      <c r="W144" s="3" t="str">
        <f t="shared" si="58"/>
        <v>U</v>
      </c>
      <c r="X144" s="3" t="str">
        <f t="shared" si="59"/>
        <v>O</v>
      </c>
      <c r="Z144" s="3">
        <v>62.5</v>
      </c>
      <c r="AB144" s="3" t="str">
        <f t="shared" si="60"/>
        <v>NO/HOU</v>
      </c>
      <c r="AC144" s="3">
        <f t="shared" si="61"/>
        <v>1</v>
      </c>
      <c r="AD144" s="3">
        <f t="shared" si="62"/>
        <v>3</v>
      </c>
    </row>
    <row r="145" spans="1:30" x14ac:dyDescent="0.45">
      <c r="A145" s="3">
        <v>191112</v>
      </c>
      <c r="B145" s="44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J145" s="3">
        <v>34</v>
      </c>
      <c r="K145" s="3">
        <v>35</v>
      </c>
      <c r="L145" s="3">
        <v>28</v>
      </c>
      <c r="M145" s="3">
        <v>25</v>
      </c>
      <c r="O145" s="3">
        <f t="shared" si="50"/>
        <v>108</v>
      </c>
      <c r="P145" s="3">
        <f t="shared" si="51"/>
        <v>122</v>
      </c>
      <c r="Q145" s="3" t="str">
        <f t="shared" si="52"/>
        <v>HL</v>
      </c>
      <c r="R145" s="3" t="str">
        <f t="shared" si="53"/>
        <v>HL</v>
      </c>
      <c r="S145" s="3" t="str">
        <f t="shared" si="54"/>
        <v>HW</v>
      </c>
      <c r="T145" s="3" t="str">
        <f t="shared" si="55"/>
        <v>HL</v>
      </c>
      <c r="U145" s="3" t="str">
        <f t="shared" si="56"/>
        <v>O</v>
      </c>
      <c r="V145" s="3" t="str">
        <f t="shared" si="57"/>
        <v>O</v>
      </c>
      <c r="W145" s="3" t="str">
        <f t="shared" si="58"/>
        <v>O</v>
      </c>
      <c r="X145" s="3" t="str">
        <f t="shared" si="59"/>
        <v>U</v>
      </c>
      <c r="Z145" s="3">
        <v>51.5</v>
      </c>
      <c r="AB145" s="3" t="str">
        <f t="shared" si="60"/>
        <v>GS/UTA</v>
      </c>
      <c r="AC145" s="3">
        <f t="shared" si="61"/>
        <v>3</v>
      </c>
      <c r="AD145" s="3">
        <f t="shared" si="62"/>
        <v>1</v>
      </c>
    </row>
    <row r="146" spans="1:30" x14ac:dyDescent="0.45">
      <c r="A146" s="3">
        <v>191112</v>
      </c>
      <c r="B146" s="44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J146" s="3">
        <v>23</v>
      </c>
      <c r="K146" s="3">
        <v>23</v>
      </c>
      <c r="L146" s="3">
        <v>32</v>
      </c>
      <c r="M146" s="3">
        <v>10</v>
      </c>
      <c r="O146" s="3">
        <f t="shared" si="50"/>
        <v>98</v>
      </c>
      <c r="P146" s="3">
        <f t="shared" si="51"/>
        <v>88</v>
      </c>
      <c r="Q146" s="3" t="str">
        <f t="shared" si="52"/>
        <v>HL</v>
      </c>
      <c r="R146" s="3" t="str">
        <f t="shared" si="53"/>
        <v>HW</v>
      </c>
      <c r="S146" s="3" t="str">
        <f t="shared" si="54"/>
        <v>HL</v>
      </c>
      <c r="T146" s="3" t="str">
        <f t="shared" si="55"/>
        <v>HW</v>
      </c>
      <c r="U146" s="3" t="str">
        <f t="shared" si="56"/>
        <v>U</v>
      </c>
      <c r="V146" s="3" t="str">
        <f t="shared" si="57"/>
        <v>O</v>
      </c>
      <c r="W146" s="3" t="str">
        <f t="shared" si="58"/>
        <v>U</v>
      </c>
      <c r="X146" s="3" t="str">
        <f t="shared" si="59"/>
        <v>U</v>
      </c>
      <c r="Z146" s="3">
        <v>57</v>
      </c>
      <c r="AB146" s="3" t="str">
        <f t="shared" si="60"/>
        <v>LAC/TOR</v>
      </c>
      <c r="AC146" s="3">
        <f t="shared" si="61"/>
        <v>1</v>
      </c>
      <c r="AD146" s="3">
        <f t="shared" si="62"/>
        <v>3</v>
      </c>
    </row>
    <row r="147" spans="1:30" x14ac:dyDescent="0.45">
      <c r="A147" s="3">
        <v>191113</v>
      </c>
      <c r="B147" s="44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J147" s="3">
        <v>25</v>
      </c>
      <c r="K147" s="3">
        <v>17</v>
      </c>
      <c r="L147" s="3">
        <v>20</v>
      </c>
      <c r="M147" s="3">
        <v>23</v>
      </c>
      <c r="O147" s="3">
        <f t="shared" si="50"/>
        <v>111</v>
      </c>
      <c r="P147" s="3">
        <f t="shared" si="51"/>
        <v>85</v>
      </c>
      <c r="Q147" s="3" t="str">
        <f t="shared" si="52"/>
        <v>HW</v>
      </c>
      <c r="R147" s="3" t="str">
        <f t="shared" si="53"/>
        <v>HW</v>
      </c>
      <c r="S147" s="3" t="str">
        <f t="shared" si="54"/>
        <v>HW</v>
      </c>
      <c r="T147" s="3" t="str">
        <f t="shared" si="55"/>
        <v>HW</v>
      </c>
      <c r="U147" s="3" t="str">
        <f t="shared" si="56"/>
        <v>O</v>
      </c>
      <c r="V147" s="3" t="str">
        <f t="shared" si="57"/>
        <v>U</v>
      </c>
      <c r="W147" s="3" t="str">
        <f t="shared" si="58"/>
        <v>U</v>
      </c>
      <c r="X147" s="3" t="str">
        <f t="shared" si="59"/>
        <v>U</v>
      </c>
      <c r="Z147" s="3">
        <v>54.5</v>
      </c>
      <c r="AB147" s="3" t="str">
        <f t="shared" ref="AB147:AB161" si="63">C147&amp;"/"&amp;D147</f>
        <v>IND/OKC</v>
      </c>
      <c r="AC147" s="3">
        <f t="shared" ref="AC147:AC161" si="64">COUNTIF(U147:X147,"o")</f>
        <v>1</v>
      </c>
      <c r="AD147" s="3">
        <f t="shared" ref="AD147:AD161" si="65">COUNTIF(U147:X147,"u")</f>
        <v>3</v>
      </c>
    </row>
    <row r="148" spans="1:30" x14ac:dyDescent="0.45">
      <c r="A148" s="3">
        <v>191113</v>
      </c>
      <c r="B148" s="44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J148" s="3">
        <v>21</v>
      </c>
      <c r="K148" s="3">
        <v>27</v>
      </c>
      <c r="L148" s="3">
        <v>30</v>
      </c>
      <c r="M148" s="3">
        <v>19</v>
      </c>
      <c r="O148" s="3">
        <f t="shared" si="50"/>
        <v>98</v>
      </c>
      <c r="P148" s="3">
        <f t="shared" si="51"/>
        <v>97</v>
      </c>
      <c r="Q148" s="3" t="str">
        <f t="shared" si="52"/>
        <v>HW</v>
      </c>
      <c r="R148" s="3" t="str">
        <f t="shared" si="53"/>
        <v>HW</v>
      </c>
      <c r="S148" s="3" t="str">
        <f t="shared" si="54"/>
        <v>HL</v>
      </c>
      <c r="T148" s="3" t="str">
        <f t="shared" si="55"/>
        <v>HL</v>
      </c>
      <c r="U148" s="3" t="str">
        <f t="shared" si="56"/>
        <v>U</v>
      </c>
      <c r="V148" s="3" t="str">
        <f t="shared" si="57"/>
        <v>O</v>
      </c>
      <c r="W148" s="3" t="str">
        <f t="shared" si="58"/>
        <v>O</v>
      </c>
      <c r="X148" s="3" t="str">
        <f t="shared" si="59"/>
        <v>U</v>
      </c>
      <c r="Z148" s="3">
        <v>53.5</v>
      </c>
      <c r="AB148" s="3" t="str">
        <f t="shared" si="63"/>
        <v>PHI/CLE</v>
      </c>
      <c r="AC148" s="3">
        <f t="shared" si="64"/>
        <v>2</v>
      </c>
      <c r="AD148" s="3">
        <f t="shared" si="65"/>
        <v>2</v>
      </c>
    </row>
    <row r="149" spans="1:30" x14ac:dyDescent="0.45">
      <c r="A149" s="3">
        <v>191113</v>
      </c>
      <c r="B149" s="44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J149" s="3">
        <v>17</v>
      </c>
      <c r="K149" s="3">
        <v>20</v>
      </c>
      <c r="L149" s="3">
        <v>35</v>
      </c>
      <c r="M149" s="3">
        <v>36</v>
      </c>
      <c r="O149" s="3">
        <f t="shared" si="50"/>
        <v>117</v>
      </c>
      <c r="P149" s="3">
        <f t="shared" si="51"/>
        <v>108</v>
      </c>
      <c r="Q149" s="3" t="str">
        <f t="shared" si="52"/>
        <v>HW</v>
      </c>
      <c r="R149" s="3" t="str">
        <f t="shared" si="53"/>
        <v>HW</v>
      </c>
      <c r="S149" s="3" t="str">
        <f t="shared" si="54"/>
        <v>HL</v>
      </c>
      <c r="T149" s="3" t="str">
        <f t="shared" si="55"/>
        <v>HL</v>
      </c>
      <c r="U149" s="3" t="str">
        <f t="shared" si="56"/>
        <v>U</v>
      </c>
      <c r="V149" s="3" t="str">
        <f t="shared" si="57"/>
        <v>U</v>
      </c>
      <c r="W149" s="3" t="str">
        <f t="shared" si="58"/>
        <v>O</v>
      </c>
      <c r="X149" s="3" t="str">
        <f t="shared" si="59"/>
        <v>O</v>
      </c>
      <c r="Z149" s="3">
        <v>55</v>
      </c>
      <c r="AB149" s="3" t="str">
        <f t="shared" si="63"/>
        <v>MIA/DET</v>
      </c>
      <c r="AC149" s="3">
        <f t="shared" si="64"/>
        <v>2</v>
      </c>
      <c r="AD149" s="3">
        <f t="shared" si="65"/>
        <v>2</v>
      </c>
    </row>
    <row r="150" spans="1:30" x14ac:dyDescent="0.45">
      <c r="A150" s="3">
        <v>191113</v>
      </c>
      <c r="B150" s="44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J150" s="3">
        <v>22</v>
      </c>
      <c r="K150" s="3">
        <v>32</v>
      </c>
      <c r="L150" s="3">
        <v>31</v>
      </c>
      <c r="M150" s="3">
        <v>17</v>
      </c>
      <c r="O150" s="3">
        <f t="shared" si="50"/>
        <v>120</v>
      </c>
      <c r="P150" s="3">
        <f t="shared" si="51"/>
        <v>102</v>
      </c>
      <c r="Q150" s="3" t="str">
        <f t="shared" si="52"/>
        <v>HW</v>
      </c>
      <c r="R150" s="3" t="str">
        <f t="shared" si="53"/>
        <v>HL</v>
      </c>
      <c r="S150" s="3" t="str">
        <f t="shared" si="54"/>
        <v>HL</v>
      </c>
      <c r="T150" s="3" t="str">
        <f t="shared" si="55"/>
        <v>HW</v>
      </c>
      <c r="U150" s="3" t="str">
        <f t="shared" si="56"/>
        <v>U</v>
      </c>
      <c r="V150" s="3" t="str">
        <f t="shared" si="57"/>
        <v>O</v>
      </c>
      <c r="W150" s="3" t="str">
        <f t="shared" si="58"/>
        <v>O</v>
      </c>
      <c r="X150" s="3" t="str">
        <f t="shared" si="59"/>
        <v>U</v>
      </c>
      <c r="Z150" s="3">
        <v>54.5</v>
      </c>
      <c r="AB150" s="3" t="str">
        <f t="shared" si="63"/>
        <v>CHI/NYK</v>
      </c>
      <c r="AC150" s="3">
        <f t="shared" si="64"/>
        <v>2</v>
      </c>
      <c r="AD150" s="3">
        <f t="shared" si="65"/>
        <v>2</v>
      </c>
    </row>
    <row r="151" spans="1:30" x14ac:dyDescent="0.45">
      <c r="A151" s="3">
        <v>191113</v>
      </c>
      <c r="B151" s="44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J151" s="3">
        <v>25</v>
      </c>
      <c r="K151" s="3">
        <v>38</v>
      </c>
      <c r="L151" s="3">
        <v>35</v>
      </c>
      <c r="M151" s="3">
        <v>27</v>
      </c>
      <c r="O151" s="3">
        <f t="shared" si="50"/>
        <v>121</v>
      </c>
      <c r="P151" s="3">
        <f t="shared" si="51"/>
        <v>125</v>
      </c>
      <c r="Q151" s="3" t="str">
        <f t="shared" si="52"/>
        <v>HW</v>
      </c>
      <c r="R151" s="3" t="str">
        <f t="shared" si="53"/>
        <v>HL</v>
      </c>
      <c r="S151" s="3" t="str">
        <f t="shared" si="54"/>
        <v>TT</v>
      </c>
      <c r="T151" s="3" t="str">
        <f t="shared" si="55"/>
        <v>HW</v>
      </c>
      <c r="U151" s="3" t="str">
        <f t="shared" si="56"/>
        <v>O</v>
      </c>
      <c r="V151" s="3" t="str">
        <f t="shared" si="57"/>
        <v>O</v>
      </c>
      <c r="W151" s="3" t="str">
        <f t="shared" si="58"/>
        <v>O</v>
      </c>
      <c r="X151" s="3" t="str">
        <f t="shared" si="59"/>
        <v>O</v>
      </c>
      <c r="Z151" s="3">
        <v>53.5</v>
      </c>
      <c r="AB151" s="3" t="str">
        <f t="shared" si="63"/>
        <v>DEN/ATL</v>
      </c>
      <c r="AC151" s="3">
        <f t="shared" si="64"/>
        <v>4</v>
      </c>
      <c r="AD151" s="3">
        <f t="shared" si="65"/>
        <v>0</v>
      </c>
    </row>
    <row r="152" spans="1:30" x14ac:dyDescent="0.45">
      <c r="A152" s="3">
        <v>191113</v>
      </c>
      <c r="B152" s="44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J152" s="3">
        <v>26</v>
      </c>
      <c r="K152" s="3">
        <v>34</v>
      </c>
      <c r="L152" s="3">
        <v>35</v>
      </c>
      <c r="M152" s="3">
        <v>28</v>
      </c>
      <c r="O152" s="3">
        <f t="shared" si="50"/>
        <v>115</v>
      </c>
      <c r="P152" s="3">
        <f t="shared" si="51"/>
        <v>123</v>
      </c>
      <c r="Q152" s="3" t="str">
        <f t="shared" si="52"/>
        <v>HW</v>
      </c>
      <c r="R152" s="3" t="str">
        <f t="shared" si="53"/>
        <v>HL</v>
      </c>
      <c r="S152" s="3" t="str">
        <f t="shared" si="54"/>
        <v>HL</v>
      </c>
      <c r="T152" s="3" t="str">
        <f t="shared" si="55"/>
        <v>HL</v>
      </c>
      <c r="U152" s="3" t="str">
        <f t="shared" si="56"/>
        <v>U</v>
      </c>
      <c r="V152" s="3" t="str">
        <f t="shared" si="57"/>
        <v>O</v>
      </c>
      <c r="W152" s="3" t="str">
        <f t="shared" si="58"/>
        <v>O</v>
      </c>
      <c r="X152" s="3" t="str">
        <f t="shared" si="59"/>
        <v>U</v>
      </c>
      <c r="Z152" s="3">
        <v>56.5</v>
      </c>
      <c r="AB152" s="3" t="str">
        <f t="shared" si="63"/>
        <v>PHO/LAL</v>
      </c>
      <c r="AC152" s="3">
        <f t="shared" si="64"/>
        <v>2</v>
      </c>
      <c r="AD152" s="3">
        <f t="shared" si="65"/>
        <v>2</v>
      </c>
    </row>
    <row r="153" spans="1:30" x14ac:dyDescent="0.45">
      <c r="A153" s="3">
        <v>191113</v>
      </c>
      <c r="B153" s="44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J153" s="3">
        <v>35</v>
      </c>
      <c r="K153" s="3">
        <v>33</v>
      </c>
      <c r="L153" s="3">
        <v>24</v>
      </c>
      <c r="M153" s="3">
        <v>22</v>
      </c>
      <c r="O153" s="3">
        <f t="shared" si="50"/>
        <v>119</v>
      </c>
      <c r="P153" s="3">
        <f t="shared" si="51"/>
        <v>114</v>
      </c>
      <c r="Q153" s="3" t="str">
        <f t="shared" si="52"/>
        <v>HL</v>
      </c>
      <c r="R153" s="3" t="str">
        <f t="shared" si="53"/>
        <v>HL</v>
      </c>
      <c r="S153" s="3" t="str">
        <f t="shared" si="54"/>
        <v>HW</v>
      </c>
      <c r="T153" s="3" t="str">
        <f t="shared" si="55"/>
        <v>HW</v>
      </c>
      <c r="U153" s="3" t="str">
        <f t="shared" si="56"/>
        <v>O</v>
      </c>
      <c r="V153" s="3" t="str">
        <f t="shared" si="57"/>
        <v>O</v>
      </c>
      <c r="W153" s="3" t="str">
        <f t="shared" si="58"/>
        <v>O</v>
      </c>
      <c r="X153" s="3" t="str">
        <f t="shared" si="59"/>
        <v>O</v>
      </c>
      <c r="Z153" s="3">
        <v>53</v>
      </c>
      <c r="AB153" s="3" t="str">
        <f t="shared" si="63"/>
        <v>UTA/BKN</v>
      </c>
      <c r="AC153" s="3">
        <f t="shared" si="64"/>
        <v>4</v>
      </c>
      <c r="AD153" s="3">
        <f t="shared" si="65"/>
        <v>0</v>
      </c>
    </row>
    <row r="154" spans="1:30" x14ac:dyDescent="0.45">
      <c r="A154" s="3">
        <v>191113</v>
      </c>
      <c r="B154" s="44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J154" s="3">
        <v>24</v>
      </c>
      <c r="K154" s="3">
        <v>25</v>
      </c>
      <c r="L154" s="3">
        <v>21</v>
      </c>
      <c r="M154" s="3">
        <v>29</v>
      </c>
      <c r="O154" s="3">
        <f t="shared" si="50"/>
        <v>107</v>
      </c>
      <c r="P154" s="3">
        <f t="shared" si="51"/>
        <v>99</v>
      </c>
      <c r="Q154" s="3" t="str">
        <f t="shared" si="52"/>
        <v>HL</v>
      </c>
      <c r="R154" s="3" t="str">
        <f t="shared" si="53"/>
        <v>TT</v>
      </c>
      <c r="S154" s="3" t="str">
        <f t="shared" si="54"/>
        <v>HW</v>
      </c>
      <c r="T154" s="3" t="str">
        <f t="shared" si="55"/>
        <v>HL</v>
      </c>
      <c r="U154" s="3" t="str">
        <f t="shared" si="56"/>
        <v>U</v>
      </c>
      <c r="V154" s="3" t="str">
        <f t="shared" si="57"/>
        <v>U</v>
      </c>
      <c r="W154" s="3" t="str">
        <f t="shared" si="58"/>
        <v>O</v>
      </c>
      <c r="X154" s="3" t="str">
        <f t="shared" si="59"/>
        <v>O</v>
      </c>
      <c r="Z154" s="3">
        <v>54.5</v>
      </c>
      <c r="AB154" s="3" t="str">
        <f t="shared" si="63"/>
        <v>SAC/POR</v>
      </c>
      <c r="AC154" s="3">
        <f t="shared" si="64"/>
        <v>2</v>
      </c>
      <c r="AD154" s="3">
        <f t="shared" si="65"/>
        <v>2</v>
      </c>
    </row>
    <row r="155" spans="1:30" x14ac:dyDescent="0.45">
      <c r="A155" s="3">
        <v>191114</v>
      </c>
      <c r="B155" s="44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J155" s="3">
        <v>30</v>
      </c>
      <c r="K155" s="3">
        <v>23</v>
      </c>
      <c r="L155" s="3">
        <v>29</v>
      </c>
      <c r="M155" s="3">
        <v>15</v>
      </c>
      <c r="O155" s="3">
        <f t="shared" si="50"/>
        <v>112</v>
      </c>
      <c r="P155" s="3">
        <f t="shared" si="51"/>
        <v>97</v>
      </c>
      <c r="Q155" s="3" t="str">
        <f t="shared" si="52"/>
        <v>HW</v>
      </c>
      <c r="R155" s="3" t="str">
        <f t="shared" si="53"/>
        <v>HL</v>
      </c>
      <c r="S155" s="3" t="str">
        <f t="shared" si="54"/>
        <v>HL</v>
      </c>
      <c r="T155" s="3" t="str">
        <f t="shared" si="55"/>
        <v>HW</v>
      </c>
      <c r="U155" s="3" t="str">
        <f t="shared" si="56"/>
        <v>O</v>
      </c>
      <c r="V155" s="3" t="str">
        <f t="shared" si="57"/>
        <v>U</v>
      </c>
      <c r="W155" s="3" t="str">
        <f t="shared" si="58"/>
        <v>O</v>
      </c>
      <c r="X155" s="3" t="str">
        <f t="shared" si="59"/>
        <v>U</v>
      </c>
      <c r="Z155" s="3">
        <v>50.5</v>
      </c>
      <c r="AB155" s="3" t="str">
        <f t="shared" si="63"/>
        <v>ORL/PHI</v>
      </c>
      <c r="AC155" s="3">
        <f t="shared" si="64"/>
        <v>2</v>
      </c>
      <c r="AD155" s="3">
        <f t="shared" si="65"/>
        <v>2</v>
      </c>
    </row>
    <row r="156" spans="1:30" x14ac:dyDescent="0.45">
      <c r="A156" s="3">
        <v>191114</v>
      </c>
      <c r="B156" s="44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J156" s="3">
        <v>26</v>
      </c>
      <c r="K156" s="3">
        <v>37</v>
      </c>
      <c r="L156" s="3">
        <v>31</v>
      </c>
      <c r="M156" s="3">
        <v>25</v>
      </c>
      <c r="O156" s="3">
        <f t="shared" si="50"/>
        <v>117</v>
      </c>
      <c r="P156" s="3">
        <f t="shared" si="51"/>
        <v>119</v>
      </c>
      <c r="Q156" s="3" t="str">
        <f t="shared" si="52"/>
        <v>HW</v>
      </c>
      <c r="R156" s="3" t="str">
        <f t="shared" si="53"/>
        <v>HL</v>
      </c>
      <c r="S156" s="3" t="str">
        <f t="shared" si="54"/>
        <v>HW</v>
      </c>
      <c r="T156" s="3" t="str">
        <f t="shared" si="55"/>
        <v>HL</v>
      </c>
      <c r="U156" s="3" t="str">
        <f t="shared" si="56"/>
        <v>O</v>
      </c>
      <c r="V156" s="3" t="str">
        <f t="shared" si="57"/>
        <v>O</v>
      </c>
      <c r="W156" s="3" t="str">
        <f t="shared" si="58"/>
        <v>O</v>
      </c>
      <c r="X156" s="3" t="str">
        <f t="shared" si="59"/>
        <v>U</v>
      </c>
      <c r="Z156" s="3">
        <v>54.5</v>
      </c>
      <c r="AB156" s="3" t="str">
        <f t="shared" si="63"/>
        <v>CHA/MEM</v>
      </c>
      <c r="AC156" s="3">
        <f t="shared" si="64"/>
        <v>3</v>
      </c>
      <c r="AD156" s="3">
        <f t="shared" si="65"/>
        <v>1</v>
      </c>
    </row>
    <row r="157" spans="1:30" x14ac:dyDescent="0.45">
      <c r="A157" s="3">
        <v>191114</v>
      </c>
      <c r="B157" s="44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J157" s="3">
        <v>34</v>
      </c>
      <c r="K157" s="3">
        <v>32</v>
      </c>
      <c r="L157" s="3">
        <v>30</v>
      </c>
      <c r="M157" s="3">
        <v>37</v>
      </c>
      <c r="O157" s="3">
        <f t="shared" si="50"/>
        <v>140</v>
      </c>
      <c r="P157" s="3">
        <f t="shared" si="51"/>
        <v>133</v>
      </c>
      <c r="Q157" s="3" t="str">
        <f t="shared" si="52"/>
        <v>TT</v>
      </c>
      <c r="R157" s="3" t="str">
        <f t="shared" si="53"/>
        <v>HW</v>
      </c>
      <c r="S157" s="3" t="str">
        <f t="shared" si="54"/>
        <v>HW</v>
      </c>
      <c r="T157" s="3" t="str">
        <f t="shared" si="55"/>
        <v>HW</v>
      </c>
      <c r="U157" s="3" t="str">
        <f t="shared" si="56"/>
        <v>O</v>
      </c>
      <c r="V157" s="3" t="str">
        <f t="shared" si="57"/>
        <v>O</v>
      </c>
      <c r="W157" s="3" t="str">
        <f t="shared" si="58"/>
        <v>O</v>
      </c>
      <c r="X157" s="3" t="str">
        <f t="shared" si="59"/>
        <v>O</v>
      </c>
      <c r="Z157" s="3">
        <v>58.5</v>
      </c>
      <c r="AB157" s="3" t="str">
        <f t="shared" si="63"/>
        <v>BOS/WAS</v>
      </c>
      <c r="AC157" s="3">
        <f t="shared" si="64"/>
        <v>4</v>
      </c>
      <c r="AD157" s="3">
        <f t="shared" si="65"/>
        <v>0</v>
      </c>
    </row>
    <row r="158" spans="1:30" x14ac:dyDescent="0.45">
      <c r="A158" s="3">
        <v>191114</v>
      </c>
      <c r="B158" s="44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J158" s="3">
        <v>15</v>
      </c>
      <c r="K158" s="3">
        <v>22</v>
      </c>
      <c r="L158" s="3">
        <v>31</v>
      </c>
      <c r="M158" s="3">
        <v>25</v>
      </c>
      <c r="O158" s="3">
        <f t="shared" si="50"/>
        <v>102</v>
      </c>
      <c r="P158" s="3">
        <f t="shared" si="51"/>
        <v>93</v>
      </c>
      <c r="Q158" s="3" t="str">
        <f t="shared" si="52"/>
        <v>HW</v>
      </c>
      <c r="R158" s="3" t="str">
        <f t="shared" si="53"/>
        <v>HL</v>
      </c>
      <c r="S158" s="3" t="str">
        <f t="shared" si="54"/>
        <v>HL</v>
      </c>
      <c r="T158" s="3" t="str">
        <f t="shared" si="55"/>
        <v>HW</v>
      </c>
      <c r="U158" s="3" t="str">
        <f t="shared" si="56"/>
        <v>U</v>
      </c>
      <c r="V158" s="3" t="str">
        <f t="shared" si="57"/>
        <v>U</v>
      </c>
      <c r="W158" s="3" t="str">
        <f t="shared" si="58"/>
        <v>U</v>
      </c>
      <c r="X158" s="3" t="str">
        <f t="shared" si="59"/>
        <v>U</v>
      </c>
      <c r="Z158" s="3">
        <v>60</v>
      </c>
      <c r="AB158" s="3" t="str">
        <f t="shared" si="63"/>
        <v>HOU/LAC</v>
      </c>
      <c r="AC158" s="3">
        <f t="shared" si="64"/>
        <v>0</v>
      </c>
      <c r="AD158" s="3">
        <f t="shared" si="65"/>
        <v>4</v>
      </c>
    </row>
    <row r="159" spans="1:30" x14ac:dyDescent="0.45">
      <c r="A159" s="3">
        <v>191114</v>
      </c>
      <c r="B159" s="44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J159" s="3">
        <v>24</v>
      </c>
      <c r="K159" s="3">
        <v>35</v>
      </c>
      <c r="L159" s="3">
        <v>36</v>
      </c>
      <c r="M159" s="3">
        <v>19</v>
      </c>
      <c r="O159" s="3">
        <f t="shared" si="50"/>
        <v>129</v>
      </c>
      <c r="P159" s="3">
        <f t="shared" si="51"/>
        <v>114</v>
      </c>
      <c r="Q159" s="3" t="str">
        <f t="shared" si="52"/>
        <v>HW</v>
      </c>
      <c r="R159" s="3" t="str">
        <f t="shared" si="53"/>
        <v>HW</v>
      </c>
      <c r="S159" s="3" t="str">
        <f t="shared" si="54"/>
        <v>HW</v>
      </c>
      <c r="T159" s="3" t="str">
        <f t="shared" si="55"/>
        <v>HW</v>
      </c>
      <c r="U159" s="3" t="str">
        <f t="shared" si="56"/>
        <v>U</v>
      </c>
      <c r="V159" s="3" t="str">
        <f t="shared" si="57"/>
        <v>O</v>
      </c>
      <c r="W159" s="3" t="str">
        <f t="shared" si="58"/>
        <v>O</v>
      </c>
      <c r="X159" s="3" t="str">
        <f t="shared" si="59"/>
        <v>U</v>
      </c>
      <c r="Z159" s="3">
        <v>55.5</v>
      </c>
      <c r="AB159" s="3" t="str">
        <f t="shared" si="63"/>
        <v>MIN/SAS</v>
      </c>
      <c r="AC159" s="3">
        <f t="shared" si="64"/>
        <v>2</v>
      </c>
      <c r="AD159" s="3">
        <f t="shared" si="65"/>
        <v>2</v>
      </c>
    </row>
    <row r="160" spans="1:30" x14ac:dyDescent="0.45">
      <c r="A160" s="3">
        <v>191114</v>
      </c>
      <c r="B160" s="44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J160" s="3">
        <v>26</v>
      </c>
      <c r="K160" s="3">
        <v>29</v>
      </c>
      <c r="L160" s="3">
        <v>27</v>
      </c>
      <c r="M160" s="3">
        <v>12</v>
      </c>
      <c r="O160" s="3">
        <f t="shared" si="50"/>
        <v>120</v>
      </c>
      <c r="P160" s="3">
        <f t="shared" si="51"/>
        <v>94</v>
      </c>
      <c r="Q160" s="3" t="str">
        <f t="shared" si="52"/>
        <v>HW</v>
      </c>
      <c r="R160" s="3" t="str">
        <f t="shared" si="53"/>
        <v>TT</v>
      </c>
      <c r="S160" s="3" t="str">
        <f t="shared" si="54"/>
        <v>HW</v>
      </c>
      <c r="T160" s="3" t="str">
        <f t="shared" si="55"/>
        <v>HW</v>
      </c>
      <c r="U160" s="3" t="str">
        <f t="shared" si="56"/>
        <v>O</v>
      </c>
      <c r="V160" s="3" t="str">
        <f t="shared" si="57"/>
        <v>O</v>
      </c>
      <c r="W160" s="3" t="str">
        <f t="shared" si="58"/>
        <v>O</v>
      </c>
      <c r="X160" s="3" t="str">
        <f t="shared" si="59"/>
        <v>U</v>
      </c>
      <c r="Z160" s="3">
        <v>56</v>
      </c>
      <c r="AB160" s="3" t="str">
        <f t="shared" si="63"/>
        <v>LAL/GS</v>
      </c>
      <c r="AC160" s="3">
        <f t="shared" si="64"/>
        <v>3</v>
      </c>
      <c r="AD160" s="3">
        <f t="shared" si="65"/>
        <v>1</v>
      </c>
    </row>
    <row r="161" spans="1:30" x14ac:dyDescent="0.45">
      <c r="A161" s="3">
        <v>191114</v>
      </c>
      <c r="B161" s="44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J161" s="3">
        <v>23</v>
      </c>
      <c r="K161" s="3">
        <v>31</v>
      </c>
      <c r="L161" s="3">
        <v>33</v>
      </c>
      <c r="M161" s="3">
        <v>27</v>
      </c>
      <c r="O161" s="3">
        <f t="shared" si="50"/>
        <v>106</v>
      </c>
      <c r="P161" s="3">
        <f t="shared" si="51"/>
        <v>114</v>
      </c>
      <c r="Q161" s="3" t="str">
        <f t="shared" si="52"/>
        <v>HW</v>
      </c>
      <c r="R161" s="3" t="str">
        <f t="shared" si="53"/>
        <v>HL</v>
      </c>
      <c r="S161" s="3" t="str">
        <f t="shared" si="54"/>
        <v>HL</v>
      </c>
      <c r="T161" s="3" t="str">
        <f t="shared" si="55"/>
        <v>HW</v>
      </c>
      <c r="U161" s="3" t="str">
        <f t="shared" si="56"/>
        <v>U</v>
      </c>
      <c r="V161" s="3" t="str">
        <f t="shared" si="57"/>
        <v>U</v>
      </c>
      <c r="W161" s="3" t="str">
        <f t="shared" si="58"/>
        <v>O</v>
      </c>
      <c r="X161" s="3" t="str">
        <f t="shared" si="59"/>
        <v>U</v>
      </c>
      <c r="Z161" s="3">
        <v>56.5</v>
      </c>
      <c r="AB161" s="3" t="str">
        <f t="shared" si="63"/>
        <v>POR/TOR</v>
      </c>
      <c r="AC161" s="3">
        <f t="shared" si="64"/>
        <v>1</v>
      </c>
      <c r="AD161" s="3">
        <f t="shared" si="65"/>
        <v>3</v>
      </c>
    </row>
    <row r="162" spans="1:30" x14ac:dyDescent="0.45">
      <c r="A162" s="12">
        <v>191115</v>
      </c>
      <c r="B162" s="44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12">
        <f t="shared" ref="O162:O175" si="66">SUM(E162:I162)</f>
        <v>97</v>
      </c>
      <c r="P162" s="12">
        <f t="shared" ref="P162:P175" si="67">SUM(J162:N162)</f>
        <v>108</v>
      </c>
      <c r="Q162" s="12" t="str">
        <f t="shared" ref="Q162:Q175" si="68">IF(E162=J162,"TT",IF(E162&gt;J162,"HW","HL"))</f>
        <v>HL</v>
      </c>
      <c r="R162" s="12" t="str">
        <f t="shared" ref="R162:R175" si="69">IF(F162=K162,"TT",IF(F162&gt;K162,"HW","HL"))</f>
        <v>HL</v>
      </c>
      <c r="S162" s="12" t="str">
        <f t="shared" ref="S162:S175" si="70">IF(G162=L162,"TT",IF(G162&gt;L162,"HW","HL"))</f>
        <v>HW</v>
      </c>
      <c r="T162" s="12" t="str">
        <f t="shared" ref="T162:T175" si="71">IF(H162=M162,"TT",IF(H162&gt;M162,"HW","HL"))</f>
        <v>HW</v>
      </c>
      <c r="U162" s="12" t="str">
        <f t="shared" ref="U162:U175" si="72">IF(SUM(E162,J162)=$Z162,"T",IF(SUM(E162,J162)&gt;$Z162,"O","U"))</f>
        <v>O</v>
      </c>
      <c r="V162" s="12" t="str">
        <f t="shared" ref="V162:V175" si="73">IF(SUM(F162,K162)=$Z162,"T",IF(SUM(F162,K162)&gt;$Z162,"O","U"))</f>
        <v>O</v>
      </c>
      <c r="W162" s="12" t="str">
        <f t="shared" ref="W162:W175" si="74">IF(SUM(G162,L162)=$Z162,"T",IF(SUM(G162,L162)&gt;$Z162,"O","U"))</f>
        <v>O</v>
      </c>
      <c r="X162" s="12" t="str">
        <f t="shared" ref="X162:X175" si="75">IF(SUM(H162,M162)=$Z162,"T",IF(SUM(H162,M162)&gt;$Z162,"O","U"))</f>
        <v>U</v>
      </c>
      <c r="Y162" s="12"/>
      <c r="Z162" s="12">
        <v>55.5</v>
      </c>
      <c r="AA162" s="12"/>
      <c r="AB162" s="12" t="str">
        <f t="shared" ref="AB162:AB175" si="76">C162&amp;"/"&amp;D162</f>
        <v>CLE/MIA</v>
      </c>
      <c r="AC162" s="12">
        <f t="shared" ref="AC162:AC175" si="77">COUNTIF(U162:X162,"o")</f>
        <v>3</v>
      </c>
      <c r="AD162" s="12">
        <f t="shared" ref="AD162:AD175" si="78">COUNTIF(U162:X162,"u")</f>
        <v>1</v>
      </c>
    </row>
    <row r="163" spans="1:30" x14ac:dyDescent="0.45">
      <c r="A163" s="12">
        <v>191115</v>
      </c>
      <c r="B163" s="44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12">
        <f t="shared" si="66"/>
        <v>132</v>
      </c>
      <c r="P163" s="12">
        <f t="shared" si="67"/>
        <v>127</v>
      </c>
      <c r="Q163" s="12" t="str">
        <f t="shared" si="68"/>
        <v>HL</v>
      </c>
      <c r="R163" s="12" t="str">
        <f t="shared" si="69"/>
        <v>HW</v>
      </c>
      <c r="S163" s="12" t="str">
        <f t="shared" si="70"/>
        <v>HL</v>
      </c>
      <c r="T163" s="12" t="str">
        <f t="shared" si="71"/>
        <v>HW</v>
      </c>
      <c r="U163" s="12" t="str">
        <f t="shared" si="72"/>
        <v>O</v>
      </c>
      <c r="V163" s="12" t="str">
        <f t="shared" si="73"/>
        <v>O</v>
      </c>
      <c r="W163" s="12" t="str">
        <f t="shared" si="74"/>
        <v>O</v>
      </c>
      <c r="X163" s="12" t="str">
        <f t="shared" si="75"/>
        <v>O</v>
      </c>
      <c r="Y163" s="12"/>
      <c r="Z163" s="12">
        <v>60</v>
      </c>
      <c r="AA163" s="12"/>
      <c r="AB163" s="12" t="str">
        <f t="shared" si="76"/>
        <v>NO/LAC</v>
      </c>
      <c r="AC163" s="12">
        <f t="shared" si="77"/>
        <v>4</v>
      </c>
      <c r="AD163" s="12">
        <f t="shared" si="78"/>
        <v>0</v>
      </c>
    </row>
    <row r="164" spans="1:30" x14ac:dyDescent="0.45">
      <c r="A164" s="12">
        <v>191115</v>
      </c>
      <c r="B164" s="44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12">
        <f t="shared" si="66"/>
        <v>124</v>
      </c>
      <c r="P164" s="12">
        <f t="shared" si="67"/>
        <v>115</v>
      </c>
      <c r="Q164" s="12" t="str">
        <f t="shared" si="68"/>
        <v>HL</v>
      </c>
      <c r="R164" s="12" t="str">
        <f t="shared" si="69"/>
        <v>HW</v>
      </c>
      <c r="S164" s="12" t="str">
        <f t="shared" si="70"/>
        <v>HW</v>
      </c>
      <c r="T164" s="12" t="str">
        <f t="shared" si="71"/>
        <v>HL</v>
      </c>
      <c r="U164" s="12" t="str">
        <f t="shared" si="72"/>
        <v>O</v>
      </c>
      <c r="V164" s="12" t="str">
        <f t="shared" si="73"/>
        <v>O</v>
      </c>
      <c r="W164" s="12" t="str">
        <f t="shared" si="74"/>
        <v>U</v>
      </c>
      <c r="X164" s="12" t="str">
        <f t="shared" si="75"/>
        <v>T</v>
      </c>
      <c r="Y164" s="12"/>
      <c r="Z164" s="12">
        <v>56</v>
      </c>
      <c r="AA164" s="12"/>
      <c r="AB164" s="12" t="str">
        <f t="shared" si="76"/>
        <v>MIL/CHI</v>
      </c>
      <c r="AC164" s="12">
        <f t="shared" si="77"/>
        <v>2</v>
      </c>
      <c r="AD164" s="12">
        <f t="shared" si="78"/>
        <v>1</v>
      </c>
    </row>
    <row r="165" spans="1:30" x14ac:dyDescent="0.45">
      <c r="A165" s="12">
        <v>191115</v>
      </c>
      <c r="B165" s="44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12">
        <f t="shared" si="66"/>
        <v>106</v>
      </c>
      <c r="P165" s="12">
        <f t="shared" si="67"/>
        <v>103</v>
      </c>
      <c r="Q165" s="12" t="str">
        <f t="shared" si="68"/>
        <v>HW</v>
      </c>
      <c r="R165" s="12" t="str">
        <f t="shared" si="69"/>
        <v>HW</v>
      </c>
      <c r="S165" s="12" t="str">
        <f t="shared" si="70"/>
        <v>HL</v>
      </c>
      <c r="T165" s="12" t="str">
        <f t="shared" si="71"/>
        <v>HW</v>
      </c>
      <c r="U165" s="12" t="str">
        <f t="shared" si="72"/>
        <v>U</v>
      </c>
      <c r="V165" s="12" t="str">
        <f t="shared" si="73"/>
        <v>O</v>
      </c>
      <c r="W165" s="12" t="str">
        <f t="shared" si="74"/>
        <v>O</v>
      </c>
      <c r="X165" s="12" t="str">
        <f t="shared" si="75"/>
        <v>U</v>
      </c>
      <c r="Y165" s="12"/>
      <c r="Z165" s="12">
        <v>55.5</v>
      </c>
      <c r="AA165" s="12"/>
      <c r="AB165" s="12" t="str">
        <f t="shared" si="76"/>
        <v>NYK/DAL</v>
      </c>
      <c r="AC165" s="12">
        <f t="shared" si="77"/>
        <v>2</v>
      </c>
      <c r="AD165" s="12">
        <f t="shared" si="78"/>
        <v>2</v>
      </c>
    </row>
    <row r="166" spans="1:30" x14ac:dyDescent="0.45">
      <c r="A166" s="12">
        <v>191115</v>
      </c>
      <c r="B166" s="44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12">
        <f t="shared" si="66"/>
        <v>128</v>
      </c>
      <c r="P166" s="12">
        <f t="shared" si="67"/>
        <v>112</v>
      </c>
      <c r="Q166" s="12" t="str">
        <f t="shared" si="68"/>
        <v>HL</v>
      </c>
      <c r="R166" s="12" t="str">
        <f t="shared" si="69"/>
        <v>HW</v>
      </c>
      <c r="S166" s="12" t="str">
        <f t="shared" si="70"/>
        <v>HW</v>
      </c>
      <c r="T166" s="12" t="str">
        <f t="shared" si="71"/>
        <v>HW</v>
      </c>
      <c r="U166" s="12" t="str">
        <f t="shared" si="72"/>
        <v>O</v>
      </c>
      <c r="V166" s="12" t="str">
        <f t="shared" si="73"/>
        <v>O</v>
      </c>
      <c r="W166" s="12" t="str">
        <f t="shared" si="74"/>
        <v>O</v>
      </c>
      <c r="X166" s="12" t="str">
        <f t="shared" si="75"/>
        <v>U</v>
      </c>
      <c r="Y166" s="12"/>
      <c r="Z166" s="12">
        <v>59</v>
      </c>
      <c r="AA166" s="12"/>
      <c r="AB166" s="12" t="str">
        <f t="shared" si="76"/>
        <v>PHO/ATL</v>
      </c>
      <c r="AC166" s="12">
        <f t="shared" si="77"/>
        <v>3</v>
      </c>
      <c r="AD166" s="12">
        <f t="shared" si="78"/>
        <v>1</v>
      </c>
    </row>
    <row r="167" spans="1:30" x14ac:dyDescent="0.45">
      <c r="A167" s="12">
        <v>191115</v>
      </c>
      <c r="B167" s="44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12">
        <f t="shared" si="66"/>
        <v>101</v>
      </c>
      <c r="P167" s="12">
        <f t="shared" si="67"/>
        <v>93</v>
      </c>
      <c r="Q167" s="12" t="str">
        <f t="shared" si="68"/>
        <v>HL</v>
      </c>
      <c r="R167" s="12" t="str">
        <f t="shared" si="69"/>
        <v>HL</v>
      </c>
      <c r="S167" s="12" t="str">
        <f t="shared" si="70"/>
        <v>HW</v>
      </c>
      <c r="T167" s="12" t="str">
        <f t="shared" si="71"/>
        <v>HW</v>
      </c>
      <c r="U167" s="12" t="str">
        <f t="shared" si="72"/>
        <v>O</v>
      </c>
      <c r="V167" s="12" t="str">
        <f t="shared" si="73"/>
        <v>U</v>
      </c>
      <c r="W167" s="12" t="str">
        <f t="shared" si="74"/>
        <v>U</v>
      </c>
      <c r="X167" s="12" t="str">
        <f t="shared" si="75"/>
        <v>U</v>
      </c>
      <c r="Y167" s="12"/>
      <c r="Z167" s="12">
        <v>54.5</v>
      </c>
      <c r="AA167" s="12"/>
      <c r="AB167" s="12" t="str">
        <f t="shared" si="76"/>
        <v>DEN/BKN</v>
      </c>
      <c r="AC167" s="12">
        <f t="shared" si="77"/>
        <v>1</v>
      </c>
      <c r="AD167" s="12">
        <f t="shared" si="78"/>
        <v>3</v>
      </c>
    </row>
    <row r="168" spans="1:30" x14ac:dyDescent="0.45">
      <c r="A168" s="12">
        <v>191116</v>
      </c>
      <c r="B168" s="44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si="66"/>
        <v>111</v>
      </c>
      <c r="P168" s="12">
        <f t="shared" si="67"/>
        <v>109</v>
      </c>
      <c r="Q168" s="12" t="str">
        <f t="shared" si="68"/>
        <v>HL</v>
      </c>
      <c r="R168" s="12" t="str">
        <f t="shared" si="69"/>
        <v>HL</v>
      </c>
      <c r="S168" s="12" t="str">
        <f t="shared" si="70"/>
        <v>HW</v>
      </c>
      <c r="T168" s="12" t="str">
        <f t="shared" si="71"/>
        <v>HW</v>
      </c>
      <c r="U168" s="12" t="str">
        <f t="shared" si="72"/>
        <v>O</v>
      </c>
      <c r="V168" s="12" t="str">
        <f t="shared" si="73"/>
        <v>U</v>
      </c>
      <c r="W168" s="12" t="str">
        <f t="shared" si="74"/>
        <v>O</v>
      </c>
      <c r="X168" s="12" t="str">
        <f t="shared" si="75"/>
        <v>O</v>
      </c>
      <c r="Y168" s="12"/>
      <c r="Z168" s="12">
        <v>52</v>
      </c>
      <c r="AA168" s="12"/>
      <c r="AB168" s="12" t="str">
        <f t="shared" si="76"/>
        <v>ORL/SAS</v>
      </c>
      <c r="AC168" s="12">
        <f t="shared" si="77"/>
        <v>3</v>
      </c>
      <c r="AD168" s="12">
        <f t="shared" si="78"/>
        <v>1</v>
      </c>
    </row>
    <row r="169" spans="1:30" x14ac:dyDescent="0.45">
      <c r="A169" s="12">
        <v>191116</v>
      </c>
      <c r="B169" s="44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66"/>
        <v>109</v>
      </c>
      <c r="P169" s="12">
        <f t="shared" si="67"/>
        <v>106</v>
      </c>
      <c r="Q169" s="12" t="str">
        <f t="shared" si="68"/>
        <v>HL</v>
      </c>
      <c r="R169" s="12" t="str">
        <f t="shared" si="69"/>
        <v>HL</v>
      </c>
      <c r="S169" s="12" t="str">
        <f t="shared" si="70"/>
        <v>HW</v>
      </c>
      <c r="T169" s="12" t="str">
        <f t="shared" si="71"/>
        <v>HW</v>
      </c>
      <c r="U169" s="12" t="str">
        <f t="shared" si="72"/>
        <v>O</v>
      </c>
      <c r="V169" s="12" t="str">
        <f t="shared" si="73"/>
        <v>U</v>
      </c>
      <c r="W169" s="12" t="str">
        <f t="shared" si="74"/>
        <v>U</v>
      </c>
      <c r="X169" s="12" t="str">
        <f t="shared" si="75"/>
        <v>U</v>
      </c>
      <c r="Y169" s="12"/>
      <c r="Z169" s="12">
        <v>56.5</v>
      </c>
      <c r="AA169" s="12"/>
      <c r="AB169" s="12" t="str">
        <f t="shared" si="76"/>
        <v>CHA/DET</v>
      </c>
      <c r="AC169" s="12">
        <f t="shared" si="77"/>
        <v>1</v>
      </c>
      <c r="AD169" s="12">
        <f t="shared" si="78"/>
        <v>3</v>
      </c>
    </row>
    <row r="170" spans="1:30" x14ac:dyDescent="0.45">
      <c r="A170" s="12">
        <v>191116</v>
      </c>
      <c r="B170" s="44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66"/>
        <v>111</v>
      </c>
      <c r="P170" s="12">
        <f t="shared" si="67"/>
        <v>102</v>
      </c>
      <c r="Q170" s="12" t="str">
        <f t="shared" si="68"/>
        <v>HW</v>
      </c>
      <c r="R170" s="12" t="str">
        <f t="shared" si="69"/>
        <v>HW</v>
      </c>
      <c r="S170" s="12" t="str">
        <f t="shared" si="70"/>
        <v>HL</v>
      </c>
      <c r="T170" s="12" t="str">
        <f t="shared" si="71"/>
        <v>HW</v>
      </c>
      <c r="U170" s="12" t="str">
        <f t="shared" si="72"/>
        <v>U</v>
      </c>
      <c r="V170" s="12" t="str">
        <f t="shared" si="73"/>
        <v>U</v>
      </c>
      <c r="W170" s="12" t="str">
        <f t="shared" si="74"/>
        <v>U</v>
      </c>
      <c r="X170" s="12" t="str">
        <f t="shared" si="75"/>
        <v>U</v>
      </c>
      <c r="Y170" s="12"/>
      <c r="Z170" s="12">
        <v>58.5</v>
      </c>
      <c r="AA170" s="12"/>
      <c r="AB170" s="12" t="str">
        <f t="shared" si="76"/>
        <v>HOU/IND</v>
      </c>
      <c r="AC170" s="12">
        <f t="shared" si="77"/>
        <v>0</v>
      </c>
      <c r="AD170" s="12">
        <f t="shared" si="78"/>
        <v>4</v>
      </c>
    </row>
    <row r="171" spans="1:30" x14ac:dyDescent="0.45">
      <c r="A171" s="12">
        <v>191116</v>
      </c>
      <c r="B171" s="44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66"/>
        <v>116</v>
      </c>
      <c r="P171" s="12">
        <f t="shared" si="67"/>
        <v>137</v>
      </c>
      <c r="Q171" s="12" t="str">
        <f t="shared" si="68"/>
        <v>HL</v>
      </c>
      <c r="R171" s="12" t="str">
        <f t="shared" si="69"/>
        <v>HW</v>
      </c>
      <c r="S171" s="12" t="str">
        <f t="shared" si="70"/>
        <v>HL</v>
      </c>
      <c r="T171" s="12" t="str">
        <f t="shared" si="71"/>
        <v>HL</v>
      </c>
      <c r="U171" s="12" t="str">
        <f t="shared" si="72"/>
        <v>O</v>
      </c>
      <c r="V171" s="12" t="str">
        <f t="shared" si="73"/>
        <v>O</v>
      </c>
      <c r="W171" s="12" t="str">
        <f t="shared" si="74"/>
        <v>U</v>
      </c>
      <c r="X171" s="12" t="str">
        <f t="shared" si="75"/>
        <v>U</v>
      </c>
      <c r="Y171" s="12"/>
      <c r="Z171" s="12">
        <v>61.5</v>
      </c>
      <c r="AA171" s="12"/>
      <c r="AB171" s="12" t="str">
        <f t="shared" si="76"/>
        <v>MIN/WAS</v>
      </c>
      <c r="AC171" s="12">
        <f t="shared" si="77"/>
        <v>2</v>
      </c>
      <c r="AD171" s="12">
        <f t="shared" si="78"/>
        <v>2</v>
      </c>
    </row>
    <row r="172" spans="1:30" x14ac:dyDescent="0.45">
      <c r="A172" s="12">
        <v>191116</v>
      </c>
      <c r="B172" s="44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66"/>
        <v>127</v>
      </c>
      <c r="P172" s="12">
        <f t="shared" si="67"/>
        <v>119</v>
      </c>
      <c r="Q172" s="12" t="str">
        <f t="shared" si="68"/>
        <v>HL</v>
      </c>
      <c r="R172" s="12" t="str">
        <f t="shared" si="69"/>
        <v>HW</v>
      </c>
      <c r="S172" s="12" t="str">
        <f t="shared" si="70"/>
        <v>HL</v>
      </c>
      <c r="T172" s="12" t="str">
        <f t="shared" si="71"/>
        <v>HW</v>
      </c>
      <c r="U172" s="12" t="str">
        <f t="shared" si="72"/>
        <v>O</v>
      </c>
      <c r="V172" s="12" t="str">
        <f t="shared" si="73"/>
        <v>U</v>
      </c>
      <c r="W172" s="12" t="str">
        <f t="shared" si="74"/>
        <v>O</v>
      </c>
      <c r="X172" s="12" t="str">
        <f t="shared" si="75"/>
        <v>U</v>
      </c>
      <c r="Y172" s="12"/>
      <c r="Z172" s="12">
        <v>52.5</v>
      </c>
      <c r="AA172" s="12"/>
      <c r="AB172" s="12" t="str">
        <f t="shared" si="76"/>
        <v>OKC/PHI</v>
      </c>
      <c r="AC172" s="12">
        <f t="shared" si="77"/>
        <v>2</v>
      </c>
      <c r="AD172" s="12">
        <f t="shared" si="78"/>
        <v>2</v>
      </c>
    </row>
    <row r="173" spans="1:30" x14ac:dyDescent="0.45">
      <c r="A173" s="12">
        <v>191116</v>
      </c>
      <c r="B173" s="44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66"/>
        <v>107</v>
      </c>
      <c r="P173" s="12">
        <f t="shared" si="67"/>
        <v>106</v>
      </c>
      <c r="Q173" s="12" t="str">
        <f t="shared" si="68"/>
        <v>HL</v>
      </c>
      <c r="R173" s="12" t="str">
        <f t="shared" si="69"/>
        <v>HW</v>
      </c>
      <c r="S173" s="12" t="str">
        <f t="shared" si="70"/>
        <v>HL</v>
      </c>
      <c r="T173" s="12" t="str">
        <f t="shared" si="71"/>
        <v>HW</v>
      </c>
      <c r="U173" s="12" t="str">
        <f t="shared" si="72"/>
        <v>U</v>
      </c>
      <c r="V173" s="12" t="str">
        <f t="shared" si="73"/>
        <v>U</v>
      </c>
      <c r="W173" s="12" t="str">
        <f t="shared" si="74"/>
        <v>O</v>
      </c>
      <c r="X173" s="12" t="str">
        <f t="shared" si="75"/>
        <v>O</v>
      </c>
      <c r="Y173" s="12"/>
      <c r="Z173" s="12">
        <v>53</v>
      </c>
      <c r="AA173" s="12"/>
      <c r="AB173" s="12" t="str">
        <f t="shared" si="76"/>
        <v>MEM/UTA</v>
      </c>
      <c r="AC173" s="12">
        <f t="shared" si="77"/>
        <v>2</v>
      </c>
      <c r="AD173" s="12">
        <f t="shared" si="78"/>
        <v>2</v>
      </c>
    </row>
    <row r="174" spans="1:30" x14ac:dyDescent="0.45">
      <c r="A174" s="12">
        <v>191116</v>
      </c>
      <c r="B174" s="44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66"/>
        <v>100</v>
      </c>
      <c r="P174" s="12">
        <f t="shared" si="67"/>
        <v>105</v>
      </c>
      <c r="Q174" s="12" t="str">
        <f t="shared" si="68"/>
        <v>HW</v>
      </c>
      <c r="R174" s="12" t="str">
        <f t="shared" si="69"/>
        <v>HL</v>
      </c>
      <c r="S174" s="12" t="str">
        <f t="shared" si="70"/>
        <v>HL</v>
      </c>
      <c r="T174" s="12" t="str">
        <f t="shared" si="71"/>
        <v>TT</v>
      </c>
      <c r="U174" s="12" t="str">
        <f t="shared" si="72"/>
        <v>T</v>
      </c>
      <c r="V174" s="12" t="str">
        <f t="shared" si="73"/>
        <v>U</v>
      </c>
      <c r="W174" s="12" t="str">
        <f t="shared" si="74"/>
        <v>U</v>
      </c>
      <c r="X174" s="12" t="str">
        <f t="shared" si="75"/>
        <v>O</v>
      </c>
      <c r="Y174" s="12"/>
      <c r="Z174" s="12">
        <v>55</v>
      </c>
      <c r="AA174" s="12"/>
      <c r="AB174" s="12" t="str">
        <f t="shared" si="76"/>
        <v>GS/BOS</v>
      </c>
      <c r="AC174" s="12">
        <f t="shared" si="77"/>
        <v>1</v>
      </c>
      <c r="AD174" s="12">
        <f t="shared" si="78"/>
        <v>2</v>
      </c>
    </row>
    <row r="175" spans="1:30" x14ac:dyDescent="0.45">
      <c r="A175" s="12">
        <v>191116</v>
      </c>
      <c r="B175" s="44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66"/>
        <v>99</v>
      </c>
      <c r="P175" s="12">
        <f t="shared" si="67"/>
        <v>97</v>
      </c>
      <c r="Q175" s="12" t="str">
        <f t="shared" si="68"/>
        <v>HL</v>
      </c>
      <c r="R175" s="12" t="str">
        <f t="shared" si="69"/>
        <v>HW</v>
      </c>
      <c r="S175" s="12" t="str">
        <f t="shared" si="70"/>
        <v>HW</v>
      </c>
      <c r="T175" s="12" t="str">
        <f t="shared" si="71"/>
        <v>HL</v>
      </c>
      <c r="U175" s="12" t="str">
        <f t="shared" si="72"/>
        <v>U</v>
      </c>
      <c r="V175" s="12" t="str">
        <f t="shared" si="73"/>
        <v>U</v>
      </c>
      <c r="W175" s="12" t="str">
        <f t="shared" si="74"/>
        <v>U</v>
      </c>
      <c r="X175" s="12" t="str">
        <f t="shared" si="75"/>
        <v>U</v>
      </c>
      <c r="Y175" s="12"/>
      <c r="Z175" s="12">
        <v>55.5</v>
      </c>
      <c r="AA175" s="12"/>
      <c r="AB175" s="12" t="str">
        <f t="shared" si="76"/>
        <v>LAL/SAC</v>
      </c>
      <c r="AC175" s="12">
        <f t="shared" si="77"/>
        <v>0</v>
      </c>
      <c r="AD175" s="12">
        <f t="shared" si="78"/>
        <v>4</v>
      </c>
    </row>
    <row r="176" spans="1:30" x14ac:dyDescent="0.45">
      <c r="A176" s="12">
        <v>191117</v>
      </c>
      <c r="B176" s="44">
        <v>0.33333333333333331</v>
      </c>
      <c r="C176" s="12" t="s">
        <v>32</v>
      </c>
      <c r="D176" s="12" t="s">
        <v>30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79">SUM(E176:I176)</f>
        <v>111</v>
      </c>
      <c r="P176" s="12">
        <f t="shared" ref="P176:P202" si="80">SUM(J176:N176)</f>
        <v>117</v>
      </c>
      <c r="Q176" s="12" t="str">
        <f t="shared" ref="Q176:Q202" si="81">IF(E176=J176,"TT",IF(E176&gt;J176,"HW","HL"))</f>
        <v>HL</v>
      </c>
      <c r="R176" s="12" t="str">
        <f t="shared" ref="R176:R202" si="82">IF(F176=K176,"TT",IF(F176&gt;K176,"HW","HL"))</f>
        <v>HW</v>
      </c>
      <c r="S176" s="12" t="str">
        <f t="shared" ref="S176:S202" si="83">IF(G176=L176,"TT",IF(G176&gt;L176,"HW","HL"))</f>
        <v>HL</v>
      </c>
      <c r="T176" s="12" t="str">
        <f t="shared" ref="T176:T202" si="84">IF(H176=M176,"TT",IF(H176&gt;M176,"HW","HL"))</f>
        <v>HL</v>
      </c>
      <c r="U176" s="12" t="str">
        <f t="shared" ref="U176:U201" si="85">IF(SUM(E176,J176)=$Z176,"T",IF(SUM(E176,J176)&gt;$Z176,"O","U"))</f>
        <v>U</v>
      </c>
      <c r="V176" s="12" t="str">
        <f t="shared" ref="V176:V201" si="86">IF(SUM(F176,K176)=$Z176,"T",IF(SUM(F176,K176)&gt;$Z176,"O","U"))</f>
        <v>O</v>
      </c>
      <c r="W176" s="12" t="str">
        <f t="shared" ref="W176:W201" si="87">IF(SUM(G176,L176)=$Z176,"T",IF(SUM(G176,L176)&gt;$Z176,"O","U"))</f>
        <v>U</v>
      </c>
      <c r="X176" s="12" t="str">
        <f t="shared" ref="X176:X201" si="88">IF(SUM(H176,M176)=$Z176,"T",IF(SUM(H176,M176)&gt;$Z176,"O","U"))</f>
        <v>O</v>
      </c>
      <c r="Z176" s="12">
        <v>55</v>
      </c>
      <c r="AB176" s="12" t="str">
        <f t="shared" ref="AB176:AB213" si="89">C176&amp;"/"&amp;D176</f>
        <v>CHI/BKN</v>
      </c>
      <c r="AC176" s="12">
        <f t="shared" ref="AC176:AC202" si="90">COUNTIF(U176:X176,"o")</f>
        <v>2</v>
      </c>
      <c r="AD176" s="12">
        <f t="shared" ref="AD176:AD202" si="91">COUNTIF(U176:X176,"u")</f>
        <v>2</v>
      </c>
    </row>
    <row r="177" spans="1:30" x14ac:dyDescent="0.45">
      <c r="A177" s="12">
        <v>191117</v>
      </c>
      <c r="B177" s="44">
        <v>0.375</v>
      </c>
      <c r="C177" s="12" t="s">
        <v>35</v>
      </c>
      <c r="D177" s="12" t="s">
        <v>53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79"/>
        <v>83</v>
      </c>
      <c r="P177" s="12">
        <f t="shared" si="80"/>
        <v>102</v>
      </c>
      <c r="Q177" s="12" t="str">
        <f t="shared" si="81"/>
        <v>HL</v>
      </c>
      <c r="R177" s="12" t="str">
        <f t="shared" si="82"/>
        <v>HL</v>
      </c>
      <c r="S177" s="12" t="str">
        <f t="shared" si="83"/>
        <v>HW</v>
      </c>
      <c r="T177" s="12" t="str">
        <f t="shared" si="84"/>
        <v>HL</v>
      </c>
      <c r="U177" s="12" t="str">
        <f t="shared" si="85"/>
        <v>U</v>
      </c>
      <c r="V177" s="12" t="str">
        <f t="shared" si="86"/>
        <v>U</v>
      </c>
      <c r="W177" s="12" t="str">
        <f t="shared" si="87"/>
        <v>U</v>
      </c>
      <c r="X177" s="12" t="str">
        <f t="shared" si="88"/>
        <v>U</v>
      </c>
      <c r="Z177" s="12">
        <v>54</v>
      </c>
      <c r="AB177" s="12" t="str">
        <f t="shared" si="89"/>
        <v>IND/MIL</v>
      </c>
      <c r="AC177" s="12">
        <f t="shared" si="90"/>
        <v>0</v>
      </c>
      <c r="AD177" s="12">
        <f t="shared" si="91"/>
        <v>4</v>
      </c>
    </row>
    <row r="178" spans="1:30" x14ac:dyDescent="0.45">
      <c r="A178" s="12">
        <v>191117</v>
      </c>
      <c r="B178" s="44">
        <v>0.39583333333333331</v>
      </c>
      <c r="C178" s="12" t="s">
        <v>47</v>
      </c>
      <c r="D178" s="12" t="s">
        <v>31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79"/>
        <v>102</v>
      </c>
      <c r="P178" s="12">
        <f t="shared" si="80"/>
        <v>103</v>
      </c>
      <c r="Q178" s="12" t="str">
        <f t="shared" si="81"/>
        <v>HW</v>
      </c>
      <c r="R178" s="12" t="str">
        <f t="shared" si="82"/>
        <v>HW</v>
      </c>
      <c r="S178" s="12" t="str">
        <f t="shared" si="83"/>
        <v>HL</v>
      </c>
      <c r="T178" s="12" t="str">
        <f t="shared" si="84"/>
        <v>HL</v>
      </c>
      <c r="U178" s="12" t="str">
        <f t="shared" si="85"/>
        <v>U</v>
      </c>
      <c r="V178" s="12" t="str">
        <f t="shared" si="86"/>
        <v>O</v>
      </c>
      <c r="W178" s="12" t="str">
        <f t="shared" si="87"/>
        <v>U</v>
      </c>
      <c r="X178" s="12" t="str">
        <f t="shared" si="88"/>
        <v>U</v>
      </c>
      <c r="Z178" s="12">
        <v>54.5</v>
      </c>
      <c r="AB178" s="12" t="str">
        <f t="shared" si="89"/>
        <v>NYK/CHA</v>
      </c>
      <c r="AC178" s="12">
        <f t="shared" si="90"/>
        <v>1</v>
      </c>
      <c r="AD178" s="12">
        <f t="shared" si="91"/>
        <v>3</v>
      </c>
    </row>
    <row r="179" spans="1:30" x14ac:dyDescent="0.45">
      <c r="A179" s="12">
        <v>191117</v>
      </c>
      <c r="B179" s="44">
        <v>0.41666666666666669</v>
      </c>
      <c r="C179" s="11" t="s">
        <v>37</v>
      </c>
      <c r="D179" s="12" t="s">
        <v>27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79"/>
        <v>109</v>
      </c>
      <c r="P179" s="12">
        <f t="shared" si="80"/>
        <v>94</v>
      </c>
      <c r="Q179" s="12" t="str">
        <f t="shared" si="81"/>
        <v>HW</v>
      </c>
      <c r="R179" s="12" t="str">
        <f t="shared" si="82"/>
        <v>HL</v>
      </c>
      <c r="S179" s="12" t="str">
        <f t="shared" si="83"/>
        <v>HW</v>
      </c>
      <c r="T179" s="12" t="str">
        <f t="shared" si="84"/>
        <v>HW</v>
      </c>
      <c r="U179" s="12" t="str">
        <f t="shared" si="85"/>
        <v>U</v>
      </c>
      <c r="V179" s="12" t="str">
        <f t="shared" si="86"/>
        <v>U</v>
      </c>
      <c r="W179" s="12" t="str">
        <f t="shared" si="87"/>
        <v>U</v>
      </c>
      <c r="X179" s="12" t="str">
        <f t="shared" si="88"/>
        <v>O</v>
      </c>
      <c r="Z179" s="12">
        <v>58</v>
      </c>
      <c r="AB179" s="12" t="str">
        <f t="shared" si="89"/>
        <v>MIA/NO</v>
      </c>
      <c r="AC179" s="12">
        <f t="shared" si="90"/>
        <v>1</v>
      </c>
      <c r="AD179" s="12">
        <f t="shared" si="91"/>
        <v>3</v>
      </c>
    </row>
    <row r="180" spans="1:30" x14ac:dyDescent="0.45">
      <c r="A180" s="12">
        <v>191117</v>
      </c>
      <c r="B180" s="44">
        <v>0.41666666666666669</v>
      </c>
      <c r="C180" s="12" t="s">
        <v>29</v>
      </c>
      <c r="D180" s="11" t="s">
        <v>52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79"/>
        <v>105</v>
      </c>
      <c r="P180" s="12">
        <f t="shared" si="80"/>
        <v>125</v>
      </c>
      <c r="Q180" s="12" t="str">
        <f t="shared" si="81"/>
        <v>HL</v>
      </c>
      <c r="R180" s="12" t="str">
        <f t="shared" si="82"/>
        <v>HL</v>
      </c>
      <c r="S180" s="12" t="str">
        <f t="shared" si="83"/>
        <v>HL</v>
      </c>
      <c r="T180" s="12" t="str">
        <f t="shared" si="84"/>
        <v>HL</v>
      </c>
      <c r="U180" s="12" t="str">
        <f t="shared" si="85"/>
        <v>O</v>
      </c>
      <c r="V180" s="12" t="str">
        <f t="shared" si="86"/>
        <v>O</v>
      </c>
      <c r="W180" s="12" t="str">
        <f t="shared" si="87"/>
        <v>U</v>
      </c>
      <c r="X180" s="12" t="str">
        <f t="shared" si="88"/>
        <v>U</v>
      </c>
      <c r="Z180" s="12">
        <v>59</v>
      </c>
      <c r="AB180" s="12" t="str">
        <f t="shared" si="89"/>
        <v>MIN/HOU</v>
      </c>
      <c r="AC180" s="12">
        <f t="shared" si="90"/>
        <v>2</v>
      </c>
      <c r="AD180" s="12">
        <f t="shared" si="91"/>
        <v>2</v>
      </c>
    </row>
    <row r="181" spans="1:30" x14ac:dyDescent="0.45">
      <c r="A181" s="12">
        <v>191117</v>
      </c>
      <c r="B181" s="44">
        <v>0.4375</v>
      </c>
      <c r="C181" s="12" t="s">
        <v>33</v>
      </c>
      <c r="D181" s="12" t="s">
        <v>28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79"/>
        <v>110</v>
      </c>
      <c r="P181" s="12">
        <f t="shared" si="80"/>
        <v>102</v>
      </c>
      <c r="Q181" s="12" t="str">
        <f t="shared" si="81"/>
        <v>HW</v>
      </c>
      <c r="R181" s="12" t="str">
        <f t="shared" si="82"/>
        <v>HL</v>
      </c>
      <c r="S181" s="12" t="str">
        <f t="shared" si="83"/>
        <v>HW</v>
      </c>
      <c r="T181" s="12" t="str">
        <f t="shared" si="84"/>
        <v>HW</v>
      </c>
      <c r="U181" s="12" t="str">
        <f t="shared" si="85"/>
        <v>U</v>
      </c>
      <c r="V181" s="12" t="str">
        <f t="shared" si="86"/>
        <v>O</v>
      </c>
      <c r="W181" s="12" t="str">
        <f t="shared" si="87"/>
        <v>U</v>
      </c>
      <c r="X181" s="12" t="str">
        <f t="shared" si="88"/>
        <v>O</v>
      </c>
      <c r="Z181" s="12">
        <v>56</v>
      </c>
      <c r="AB181" s="12" t="str">
        <f t="shared" si="89"/>
        <v>DAL/TOR</v>
      </c>
      <c r="AC181" s="12">
        <f t="shared" si="90"/>
        <v>2</v>
      </c>
      <c r="AD181" s="12">
        <f t="shared" si="91"/>
        <v>2</v>
      </c>
    </row>
    <row r="182" spans="1:30" x14ac:dyDescent="0.45">
      <c r="A182" s="12">
        <v>191117</v>
      </c>
      <c r="B182" s="44">
        <v>0.4375</v>
      </c>
      <c r="C182" s="12" t="s">
        <v>56</v>
      </c>
      <c r="D182" s="12" t="s">
        <v>45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79"/>
        <v>116</v>
      </c>
      <c r="P182" s="12">
        <f t="shared" si="80"/>
        <v>121</v>
      </c>
      <c r="Q182" s="12" t="str">
        <f t="shared" si="81"/>
        <v>HL</v>
      </c>
      <c r="R182" s="12" t="str">
        <f t="shared" si="82"/>
        <v>HW</v>
      </c>
      <c r="S182" s="12" t="str">
        <f t="shared" si="83"/>
        <v>HW</v>
      </c>
      <c r="T182" s="12" t="str">
        <f t="shared" si="84"/>
        <v>HL</v>
      </c>
      <c r="U182" s="12" t="str">
        <f t="shared" si="85"/>
        <v>O</v>
      </c>
      <c r="V182" s="12" t="str">
        <f t="shared" si="86"/>
        <v>O</v>
      </c>
      <c r="W182" s="12" t="str">
        <f t="shared" si="87"/>
        <v>O</v>
      </c>
      <c r="X182" s="12" t="str">
        <f t="shared" si="88"/>
        <v>U</v>
      </c>
      <c r="Z182" s="12">
        <v>55</v>
      </c>
      <c r="AB182" s="12" t="str">
        <f t="shared" si="89"/>
        <v>SAS/POR</v>
      </c>
      <c r="AC182" s="12">
        <f t="shared" si="90"/>
        <v>3</v>
      </c>
      <c r="AD182" s="12">
        <f t="shared" si="91"/>
        <v>1</v>
      </c>
    </row>
    <row r="183" spans="1:30" x14ac:dyDescent="0.45">
      <c r="A183" s="12">
        <v>191117</v>
      </c>
      <c r="B183" s="44">
        <v>0.52083333333333337</v>
      </c>
      <c r="C183" s="12" t="s">
        <v>25</v>
      </c>
      <c r="D183" s="12" t="s">
        <v>50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79"/>
        <v>150</v>
      </c>
      <c r="P183" s="12">
        <f t="shared" si="80"/>
        <v>101</v>
      </c>
      <c r="Q183" s="12" t="str">
        <f t="shared" si="81"/>
        <v>HW</v>
      </c>
      <c r="R183" s="12" t="str">
        <f t="shared" si="82"/>
        <v>HL</v>
      </c>
      <c r="S183" s="12" t="str">
        <f t="shared" si="83"/>
        <v>HW</v>
      </c>
      <c r="T183" s="12" t="str">
        <f t="shared" si="84"/>
        <v>HW</v>
      </c>
      <c r="U183" s="12" t="str">
        <f t="shared" si="85"/>
        <v>O</v>
      </c>
      <c r="V183" s="12" t="str">
        <f t="shared" si="86"/>
        <v>O</v>
      </c>
      <c r="W183" s="12" t="str">
        <f t="shared" si="87"/>
        <v>O</v>
      </c>
      <c r="X183" s="12" t="str">
        <f t="shared" si="88"/>
        <v>U</v>
      </c>
      <c r="Z183" s="12">
        <v>57.5</v>
      </c>
      <c r="AB183" s="12" t="str">
        <f t="shared" si="89"/>
        <v>LAC/ATL</v>
      </c>
      <c r="AC183" s="12">
        <f t="shared" si="90"/>
        <v>3</v>
      </c>
      <c r="AD183" s="12">
        <f t="shared" si="91"/>
        <v>1</v>
      </c>
    </row>
    <row r="184" spans="1:30" x14ac:dyDescent="0.45">
      <c r="A184" s="12">
        <v>191118</v>
      </c>
      <c r="B184" s="44">
        <v>0.20833333333333334</v>
      </c>
      <c r="C184" s="12" t="s">
        <v>224</v>
      </c>
      <c r="D184" s="12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79"/>
        <v>95</v>
      </c>
      <c r="P184" s="12">
        <f t="shared" si="80"/>
        <v>114</v>
      </c>
      <c r="Q184" s="12" t="str">
        <f t="shared" si="81"/>
        <v>HL</v>
      </c>
      <c r="R184" s="12" t="str">
        <f t="shared" si="82"/>
        <v>HL</v>
      </c>
      <c r="S184" s="12" t="str">
        <f t="shared" si="83"/>
        <v>HL</v>
      </c>
      <c r="T184" s="12" t="str">
        <f t="shared" si="84"/>
        <v>HW</v>
      </c>
      <c r="U184" s="12" t="str">
        <f t="shared" si="85"/>
        <v>O</v>
      </c>
      <c r="V184" s="12" t="str">
        <f t="shared" si="86"/>
        <v>O</v>
      </c>
      <c r="W184" s="12" t="str">
        <f t="shared" si="87"/>
        <v>U</v>
      </c>
      <c r="X184" s="12" t="str">
        <f t="shared" si="88"/>
        <v>U</v>
      </c>
      <c r="Z184" s="12">
        <v>53</v>
      </c>
      <c r="AB184" s="12" t="str">
        <f t="shared" si="89"/>
        <v>CLE/PHI</v>
      </c>
      <c r="AC184" s="12">
        <f t="shared" si="90"/>
        <v>2</v>
      </c>
      <c r="AD184" s="12">
        <f t="shared" si="91"/>
        <v>2</v>
      </c>
    </row>
    <row r="185" spans="1:30" x14ac:dyDescent="0.45">
      <c r="A185" s="12">
        <v>191118</v>
      </c>
      <c r="B185" s="44">
        <v>0.22916666666666666</v>
      </c>
      <c r="C185" s="12" t="s">
        <v>226</v>
      </c>
      <c r="D185" s="12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79"/>
        <v>100</v>
      </c>
      <c r="P185" s="12">
        <f t="shared" si="80"/>
        <v>99</v>
      </c>
      <c r="Q185" s="12" t="str">
        <f t="shared" si="81"/>
        <v>HW</v>
      </c>
      <c r="R185" s="12" t="str">
        <f t="shared" si="82"/>
        <v>HL</v>
      </c>
      <c r="S185" s="12" t="str">
        <f t="shared" si="83"/>
        <v>HL</v>
      </c>
      <c r="T185" s="12" t="str">
        <f t="shared" si="84"/>
        <v>HW</v>
      </c>
      <c r="U185" s="12" t="str">
        <f t="shared" si="85"/>
        <v>U</v>
      </c>
      <c r="V185" s="12" t="str">
        <f t="shared" si="86"/>
        <v>U</v>
      </c>
      <c r="W185" s="12" t="str">
        <f t="shared" si="87"/>
        <v>U</v>
      </c>
      <c r="X185" s="12" t="str">
        <f t="shared" si="88"/>
        <v>T</v>
      </c>
      <c r="Z185" s="12">
        <v>53</v>
      </c>
      <c r="AB185" s="12" t="str">
        <f t="shared" si="89"/>
        <v>SAC/BOS</v>
      </c>
      <c r="AC185" s="12">
        <f t="shared" si="90"/>
        <v>0</v>
      </c>
      <c r="AD185" s="12">
        <f t="shared" si="91"/>
        <v>3</v>
      </c>
    </row>
    <row r="186" spans="1:30" x14ac:dyDescent="0.45">
      <c r="A186" s="12">
        <v>191118</v>
      </c>
      <c r="B186" s="44">
        <v>0.33333333333333331</v>
      </c>
      <c r="C186" s="12" t="s">
        <v>228</v>
      </c>
      <c r="D186" s="12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O186" s="12">
        <f t="shared" si="79"/>
        <v>125</v>
      </c>
      <c r="P186" s="12">
        <f t="shared" si="80"/>
        <v>121</v>
      </c>
      <c r="Q186" s="12" t="str">
        <f t="shared" si="81"/>
        <v>HW</v>
      </c>
      <c r="R186" s="12" t="str">
        <f t="shared" si="82"/>
        <v>HW</v>
      </c>
      <c r="S186" s="12" t="str">
        <f t="shared" si="83"/>
        <v>HW</v>
      </c>
      <c r="T186" s="12" t="str">
        <f t="shared" si="84"/>
        <v>HL</v>
      </c>
      <c r="U186" s="12" t="str">
        <f t="shared" si="85"/>
        <v>U</v>
      </c>
      <c r="V186" s="12" t="str">
        <f t="shared" si="86"/>
        <v>O</v>
      </c>
      <c r="W186" s="12" t="str">
        <f t="shared" si="87"/>
        <v>U</v>
      </c>
      <c r="X186" s="12" t="str">
        <f t="shared" si="88"/>
        <v>O</v>
      </c>
      <c r="Z186" s="12">
        <v>57.5</v>
      </c>
      <c r="AB186" s="12" t="str">
        <f t="shared" si="89"/>
        <v>ORL/WAS</v>
      </c>
      <c r="AC186" s="12">
        <f t="shared" si="90"/>
        <v>2</v>
      </c>
      <c r="AD186" s="12">
        <f t="shared" si="91"/>
        <v>2</v>
      </c>
    </row>
    <row r="187" spans="1:30" x14ac:dyDescent="0.45">
      <c r="A187" s="12">
        <v>191118</v>
      </c>
      <c r="B187" s="44">
        <v>0.33333333333333331</v>
      </c>
      <c r="C187" s="12" t="s">
        <v>229</v>
      </c>
      <c r="D187" s="12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79"/>
        <v>114</v>
      </c>
      <c r="P187" s="12">
        <f t="shared" si="80"/>
        <v>131</v>
      </c>
      <c r="Q187" s="12" t="str">
        <f t="shared" si="81"/>
        <v>HW</v>
      </c>
      <c r="R187" s="12" t="str">
        <f t="shared" si="82"/>
        <v>HL</v>
      </c>
      <c r="S187" s="12" t="str">
        <f t="shared" si="83"/>
        <v>HL</v>
      </c>
      <c r="T187" s="12" t="str">
        <f t="shared" si="84"/>
        <v>HW</v>
      </c>
      <c r="U187" s="12" t="str">
        <f t="shared" si="85"/>
        <v>O</v>
      </c>
      <c r="V187" s="12" t="str">
        <f t="shared" si="86"/>
        <v>O</v>
      </c>
      <c r="W187" s="12" t="str">
        <f t="shared" si="87"/>
        <v>O</v>
      </c>
      <c r="X187" s="12" t="str">
        <f t="shared" si="88"/>
        <v>O</v>
      </c>
      <c r="Z187" s="12">
        <v>54.5</v>
      </c>
      <c r="AB187" s="12" t="str">
        <f t="shared" si="89"/>
        <v>MEM/DEN</v>
      </c>
      <c r="AC187" s="12">
        <f t="shared" si="90"/>
        <v>4</v>
      </c>
      <c r="AD187" s="12">
        <f t="shared" si="91"/>
        <v>0</v>
      </c>
    </row>
    <row r="188" spans="1:30" x14ac:dyDescent="0.45">
      <c r="A188" s="12">
        <v>191118</v>
      </c>
      <c r="B188" s="44">
        <v>0.375</v>
      </c>
      <c r="C188" s="12" t="s">
        <v>231</v>
      </c>
      <c r="D188" s="12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79"/>
        <v>108</v>
      </c>
      <c r="P188" s="12">
        <f t="shared" si="80"/>
        <v>100</v>
      </c>
      <c r="Q188" s="12" t="str">
        <f t="shared" si="81"/>
        <v>HW</v>
      </c>
      <c r="R188" s="12" t="str">
        <f t="shared" si="82"/>
        <v>HW</v>
      </c>
      <c r="S188" s="12" t="str">
        <f t="shared" si="83"/>
        <v>HW</v>
      </c>
      <c r="T188" s="12" t="str">
        <f t="shared" si="84"/>
        <v>HW</v>
      </c>
      <c r="U188" s="12" t="str">
        <f t="shared" si="85"/>
        <v>U</v>
      </c>
      <c r="V188" s="12" t="str">
        <f t="shared" si="86"/>
        <v>U</v>
      </c>
      <c r="W188" s="12" t="str">
        <f t="shared" si="87"/>
        <v>U</v>
      </c>
      <c r="X188" s="12" t="str">
        <f t="shared" si="88"/>
        <v>O</v>
      </c>
      <c r="Z188" s="12">
        <v>58.5</v>
      </c>
      <c r="AB188" s="12" t="str">
        <f t="shared" si="89"/>
        <v>NO/GS</v>
      </c>
      <c r="AC188" s="12">
        <f t="shared" si="90"/>
        <v>1</v>
      </c>
      <c r="AD188" s="12">
        <f t="shared" si="91"/>
        <v>3</v>
      </c>
    </row>
    <row r="189" spans="1:30" x14ac:dyDescent="0.45">
      <c r="A189" s="12">
        <v>191118</v>
      </c>
      <c r="B189" s="44">
        <v>0.47916666666666669</v>
      </c>
      <c r="C189" s="12" t="s">
        <v>233</v>
      </c>
      <c r="D189" s="12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79"/>
        <v>122</v>
      </c>
      <c r="P189" s="12">
        <f t="shared" si="80"/>
        <v>101</v>
      </c>
      <c r="Q189" s="12" t="str">
        <f t="shared" si="81"/>
        <v>HW</v>
      </c>
      <c r="R189" s="12" t="str">
        <f t="shared" si="82"/>
        <v>HW</v>
      </c>
      <c r="S189" s="12" t="str">
        <f t="shared" si="83"/>
        <v>HL</v>
      </c>
      <c r="T189" s="12" t="str">
        <f t="shared" si="84"/>
        <v>HW</v>
      </c>
      <c r="U189" s="12" t="str">
        <f t="shared" si="85"/>
        <v>O</v>
      </c>
      <c r="V189" s="12" t="str">
        <f t="shared" si="86"/>
        <v>U</v>
      </c>
      <c r="W189" s="12" t="str">
        <f t="shared" si="87"/>
        <v>O</v>
      </c>
      <c r="X189" s="12" t="str">
        <f t="shared" si="88"/>
        <v>U</v>
      </c>
      <c r="Z189" s="12">
        <v>56.5</v>
      </c>
      <c r="AB189" s="12" t="str">
        <f t="shared" si="89"/>
        <v>LAL/ATL</v>
      </c>
      <c r="AC189" s="12">
        <f t="shared" si="90"/>
        <v>2</v>
      </c>
      <c r="AD189" s="12">
        <f t="shared" si="91"/>
        <v>2</v>
      </c>
    </row>
    <row r="190" spans="1:30" x14ac:dyDescent="0.45">
      <c r="A190" s="12">
        <v>191119</v>
      </c>
      <c r="B190" s="44">
        <v>0.375</v>
      </c>
      <c r="C190" s="12" t="s">
        <v>47</v>
      </c>
      <c r="D190" s="12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79"/>
        <v>123</v>
      </c>
      <c r="P190" s="12">
        <f t="shared" si="80"/>
        <v>105</v>
      </c>
      <c r="Q190" s="12" t="str">
        <f t="shared" si="81"/>
        <v>HW</v>
      </c>
      <c r="R190" s="12" t="str">
        <f t="shared" si="82"/>
        <v>HW</v>
      </c>
      <c r="S190" s="12" t="str">
        <f t="shared" si="83"/>
        <v>HW</v>
      </c>
      <c r="T190" s="12" t="str">
        <f t="shared" si="84"/>
        <v>HL</v>
      </c>
      <c r="U190" s="12" t="str">
        <f t="shared" si="85"/>
        <v>T</v>
      </c>
      <c r="V190" s="12" t="str">
        <f t="shared" si="86"/>
        <v>O</v>
      </c>
      <c r="W190" s="12" t="str">
        <f t="shared" si="87"/>
        <v>U</v>
      </c>
      <c r="X190" s="12" t="str">
        <f t="shared" si="88"/>
        <v>O</v>
      </c>
      <c r="Z190" s="12">
        <v>52</v>
      </c>
      <c r="AB190" s="12" t="str">
        <f t="shared" si="89"/>
        <v>NYK/CLE</v>
      </c>
      <c r="AC190" s="12">
        <f t="shared" si="90"/>
        <v>2</v>
      </c>
      <c r="AD190" s="12">
        <f t="shared" si="91"/>
        <v>1</v>
      </c>
    </row>
    <row r="191" spans="1:30" x14ac:dyDescent="0.45">
      <c r="A191" s="12">
        <v>191119</v>
      </c>
      <c r="B191" s="44">
        <v>0.39583333333333331</v>
      </c>
      <c r="C191" s="12" t="s">
        <v>235</v>
      </c>
      <c r="D191" s="12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79"/>
        <v>86</v>
      </c>
      <c r="P191" s="12">
        <f t="shared" si="80"/>
        <v>115</v>
      </c>
      <c r="Q191" s="12" t="str">
        <f t="shared" si="81"/>
        <v>TT</v>
      </c>
      <c r="R191" s="12" t="str">
        <f t="shared" si="82"/>
        <v>HL</v>
      </c>
      <c r="S191" s="12" t="str">
        <f t="shared" si="83"/>
        <v>HW</v>
      </c>
      <c r="T191" s="12" t="str">
        <f t="shared" si="84"/>
        <v>HL</v>
      </c>
      <c r="U191" s="12" t="str">
        <f t="shared" si="85"/>
        <v>U</v>
      </c>
      <c r="V191" s="12" t="str">
        <f t="shared" si="86"/>
        <v>O</v>
      </c>
      <c r="W191" s="12" t="str">
        <f t="shared" si="87"/>
        <v>O</v>
      </c>
      <c r="X191" s="12" t="str">
        <f t="shared" si="88"/>
        <v>U</v>
      </c>
      <c r="Z191" s="12">
        <v>55</v>
      </c>
      <c r="AB191" s="12" t="str">
        <f t="shared" si="89"/>
        <v>BKN/IND</v>
      </c>
      <c r="AC191" s="12">
        <f t="shared" si="90"/>
        <v>2</v>
      </c>
      <c r="AD191" s="12">
        <f t="shared" si="91"/>
        <v>2</v>
      </c>
    </row>
    <row r="192" spans="1:30" x14ac:dyDescent="0.45">
      <c r="A192" s="12">
        <v>191119</v>
      </c>
      <c r="B192" s="44">
        <v>0.39583333333333331</v>
      </c>
      <c r="C192" s="12" t="s">
        <v>236</v>
      </c>
      <c r="D192" s="1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79"/>
        <v>132</v>
      </c>
      <c r="P192" s="12">
        <f t="shared" si="80"/>
        <v>96</v>
      </c>
      <c r="Q192" s="12" t="str">
        <f t="shared" si="81"/>
        <v>HW</v>
      </c>
      <c r="R192" s="12" t="str">
        <f t="shared" si="82"/>
        <v>HW</v>
      </c>
      <c r="S192" s="12" t="str">
        <f t="shared" si="83"/>
        <v>HW</v>
      </c>
      <c r="T192" s="12" t="str">
        <f t="shared" si="84"/>
        <v>HW</v>
      </c>
      <c r="U192" s="12" t="str">
        <f t="shared" si="85"/>
        <v>U</v>
      </c>
      <c r="V192" s="12" t="str">
        <f t="shared" si="86"/>
        <v>O</v>
      </c>
      <c r="W192" s="12" t="str">
        <f t="shared" si="87"/>
        <v>U</v>
      </c>
      <c r="X192" s="12" t="str">
        <f t="shared" si="88"/>
        <v>O</v>
      </c>
      <c r="Z192" s="12">
        <v>55.5</v>
      </c>
      <c r="AB192" s="12" t="str">
        <f t="shared" si="89"/>
        <v>TOR/CHA</v>
      </c>
      <c r="AC192" s="12">
        <f t="shared" si="90"/>
        <v>2</v>
      </c>
      <c r="AD192" s="12">
        <f t="shared" si="91"/>
        <v>2</v>
      </c>
    </row>
    <row r="193" spans="1:30" x14ac:dyDescent="0.45">
      <c r="A193" s="12">
        <v>191119</v>
      </c>
      <c r="B193" s="44">
        <v>0.41666666666666669</v>
      </c>
      <c r="C193" s="12" t="s">
        <v>238</v>
      </c>
      <c r="D193" s="12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79"/>
        <v>101</v>
      </c>
      <c r="P193" s="12">
        <f t="shared" si="80"/>
        <v>115</v>
      </c>
      <c r="Q193" s="12" t="str">
        <f t="shared" si="81"/>
        <v>HL</v>
      </c>
      <c r="R193" s="12" t="str">
        <f t="shared" si="82"/>
        <v>HL</v>
      </c>
      <c r="S193" s="12" t="str">
        <f t="shared" si="83"/>
        <v>HW</v>
      </c>
      <c r="T193" s="12" t="str">
        <f t="shared" si="84"/>
        <v>HL</v>
      </c>
      <c r="U193" s="12" t="str">
        <f t="shared" si="85"/>
        <v>U</v>
      </c>
      <c r="V193" s="12" t="str">
        <f t="shared" si="86"/>
        <v>O</v>
      </c>
      <c r="W193" s="12" t="str">
        <f t="shared" si="87"/>
        <v>U</v>
      </c>
      <c r="X193" s="12" t="str">
        <f t="shared" si="88"/>
        <v>U</v>
      </c>
      <c r="Z193" s="12">
        <v>56</v>
      </c>
      <c r="AB193" s="12" t="str">
        <f t="shared" si="89"/>
        <v>CHI/MIL</v>
      </c>
      <c r="AC193" s="12">
        <f t="shared" si="90"/>
        <v>1</v>
      </c>
      <c r="AD193" s="12">
        <f t="shared" si="91"/>
        <v>3</v>
      </c>
    </row>
    <row r="194" spans="1:30" x14ac:dyDescent="0.45">
      <c r="A194" s="12">
        <v>191119</v>
      </c>
      <c r="B194" s="44">
        <v>0.41666666666666669</v>
      </c>
      <c r="C194" s="12" t="s">
        <v>240</v>
      </c>
      <c r="D194" s="12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79"/>
        <v>132</v>
      </c>
      <c r="P194" s="12">
        <f t="shared" si="80"/>
        <v>108</v>
      </c>
      <c r="Q194" s="12" t="str">
        <f t="shared" si="81"/>
        <v>HL</v>
      </c>
      <c r="R194" s="12" t="str">
        <f t="shared" si="82"/>
        <v>HW</v>
      </c>
      <c r="S194" s="12" t="str">
        <f t="shared" si="83"/>
        <v>HW</v>
      </c>
      <c r="T194" s="12" t="str">
        <f t="shared" si="84"/>
        <v>HW</v>
      </c>
      <c r="U194" s="12" t="str">
        <f t="shared" si="85"/>
        <v>O</v>
      </c>
      <c r="V194" s="12" t="str">
        <f t="shared" si="86"/>
        <v>U</v>
      </c>
      <c r="W194" s="12" t="str">
        <f t="shared" si="87"/>
        <v>O</v>
      </c>
      <c r="X194" s="12" t="str">
        <f t="shared" si="88"/>
        <v>O</v>
      </c>
      <c r="Z194" s="12">
        <v>56.5</v>
      </c>
      <c r="AB194" s="12" t="str">
        <f t="shared" si="89"/>
        <v>HOU/POR</v>
      </c>
      <c r="AC194" s="12">
        <f t="shared" si="90"/>
        <v>3</v>
      </c>
      <c r="AD194" s="12">
        <f t="shared" si="91"/>
        <v>1</v>
      </c>
    </row>
    <row r="195" spans="1:30" x14ac:dyDescent="0.45">
      <c r="A195" s="12">
        <v>191119</v>
      </c>
      <c r="B195" s="44">
        <v>0.4375</v>
      </c>
      <c r="C195" s="12" t="s">
        <v>33</v>
      </c>
      <c r="D195" s="12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79"/>
        <v>117</v>
      </c>
      <c r="P195" s="12">
        <f t="shared" si="80"/>
        <v>110</v>
      </c>
      <c r="Q195" s="12" t="str">
        <f t="shared" si="81"/>
        <v>HW</v>
      </c>
      <c r="R195" s="12" t="str">
        <f t="shared" si="82"/>
        <v>HL</v>
      </c>
      <c r="S195" s="12" t="str">
        <f t="shared" si="83"/>
        <v>HW</v>
      </c>
      <c r="T195" s="12" t="str">
        <f t="shared" si="84"/>
        <v>HL</v>
      </c>
      <c r="U195" s="12" t="str">
        <f t="shared" si="85"/>
        <v>O</v>
      </c>
      <c r="V195" s="12" t="str">
        <f t="shared" si="86"/>
        <v>U</v>
      </c>
      <c r="W195" s="12" t="str">
        <f t="shared" si="87"/>
        <v>O</v>
      </c>
      <c r="X195" s="12" t="str">
        <f t="shared" si="88"/>
        <v>U</v>
      </c>
      <c r="Z195" s="12">
        <v>55.5</v>
      </c>
      <c r="AB195" s="12" t="str">
        <f t="shared" si="89"/>
        <v>DAL/SAS</v>
      </c>
      <c r="AC195" s="12">
        <f t="shared" si="90"/>
        <v>2</v>
      </c>
      <c r="AD195" s="12">
        <f t="shared" si="91"/>
        <v>2</v>
      </c>
    </row>
    <row r="196" spans="1:30" x14ac:dyDescent="0.45">
      <c r="A196" s="12">
        <v>191119</v>
      </c>
      <c r="B196" s="44">
        <v>0.45833333333333331</v>
      </c>
      <c r="C196" s="12" t="s">
        <v>243</v>
      </c>
      <c r="D196" s="12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79"/>
        <v>85</v>
      </c>
      <c r="P196" s="12">
        <f t="shared" si="80"/>
        <v>99</v>
      </c>
      <c r="Q196" s="12" t="str">
        <f t="shared" si="81"/>
        <v>HL</v>
      </c>
      <c r="R196" s="12" t="str">
        <f t="shared" si="82"/>
        <v>HL</v>
      </c>
      <c r="S196" s="12" t="str">
        <f t="shared" si="83"/>
        <v>TT</v>
      </c>
      <c r="T196" s="12" t="str">
        <f t="shared" si="84"/>
        <v>HW</v>
      </c>
      <c r="U196" s="12" t="str">
        <f t="shared" si="85"/>
        <v>U</v>
      </c>
      <c r="V196" s="12" t="str">
        <f t="shared" si="86"/>
        <v>U</v>
      </c>
      <c r="W196" s="12" t="str">
        <f t="shared" si="87"/>
        <v>U</v>
      </c>
      <c r="X196" s="12" t="str">
        <f t="shared" si="88"/>
        <v>U</v>
      </c>
      <c r="Z196" s="12">
        <v>55.5</v>
      </c>
      <c r="AB196" s="12" t="str">
        <f t="shared" si="89"/>
        <v>PHO/BOS</v>
      </c>
      <c r="AC196" s="12">
        <f t="shared" si="90"/>
        <v>0</v>
      </c>
      <c r="AD196" s="12">
        <f t="shared" si="91"/>
        <v>4</v>
      </c>
    </row>
    <row r="197" spans="1:30" x14ac:dyDescent="0.45">
      <c r="A197" s="12">
        <v>191119</v>
      </c>
      <c r="B197" s="44">
        <v>0.45833333333333331</v>
      </c>
      <c r="C197" s="12" t="s">
        <v>244</v>
      </c>
      <c r="D197" s="12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79"/>
        <v>102</v>
      </c>
      <c r="P197" s="12">
        <f t="shared" si="80"/>
        <v>112</v>
      </c>
      <c r="Q197" s="12" t="str">
        <f t="shared" si="81"/>
        <v>HL</v>
      </c>
      <c r="R197" s="12" t="str">
        <f t="shared" si="82"/>
        <v>HW</v>
      </c>
      <c r="S197" s="12" t="str">
        <f t="shared" si="83"/>
        <v>HW</v>
      </c>
      <c r="T197" s="12" t="str">
        <f t="shared" si="84"/>
        <v>HL</v>
      </c>
      <c r="U197" s="12" t="str">
        <f t="shared" si="85"/>
        <v>O</v>
      </c>
      <c r="V197" s="12" t="str">
        <f t="shared" si="86"/>
        <v>U</v>
      </c>
      <c r="W197" s="12" t="str">
        <f t="shared" si="87"/>
        <v>U</v>
      </c>
      <c r="X197" s="12" t="str">
        <f t="shared" si="88"/>
        <v>O</v>
      </c>
      <c r="Z197" s="12">
        <v>56</v>
      </c>
      <c r="AB197" s="12" t="str">
        <f t="shared" si="89"/>
        <v>UTA/MIN</v>
      </c>
      <c r="AC197" s="12">
        <f t="shared" si="90"/>
        <v>2</v>
      </c>
      <c r="AD197" s="12">
        <f t="shared" si="91"/>
        <v>2</v>
      </c>
    </row>
    <row r="198" spans="1:30" x14ac:dyDescent="0.45">
      <c r="A198" s="12">
        <v>191119</v>
      </c>
      <c r="B198" s="44">
        <v>0.52083333333333337</v>
      </c>
      <c r="C198" s="12" t="s">
        <v>246</v>
      </c>
      <c r="D198" s="12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79"/>
        <v>90</v>
      </c>
      <c r="P198" s="12">
        <f t="shared" si="80"/>
        <v>88</v>
      </c>
      <c r="Q198" s="12" t="str">
        <f t="shared" si="81"/>
        <v>HW</v>
      </c>
      <c r="R198" s="12" t="str">
        <f t="shared" si="82"/>
        <v>HL</v>
      </c>
      <c r="S198" s="12" t="str">
        <f t="shared" si="83"/>
        <v>HW</v>
      </c>
      <c r="T198" s="12" t="str">
        <f t="shared" si="84"/>
        <v>TT</v>
      </c>
      <c r="U198" s="12" t="str">
        <f t="shared" si="85"/>
        <v>U</v>
      </c>
      <c r="V198" s="12" t="str">
        <f t="shared" si="86"/>
        <v>U</v>
      </c>
      <c r="W198" s="12" t="str">
        <f t="shared" si="87"/>
        <v>U</v>
      </c>
      <c r="X198" s="12" t="str">
        <f t="shared" si="88"/>
        <v>U</v>
      </c>
      <c r="Z198" s="12">
        <v>57</v>
      </c>
      <c r="AB198" s="12" t="str">
        <f t="shared" si="89"/>
        <v>LAC/OKC</v>
      </c>
      <c r="AC198" s="12">
        <f t="shared" si="90"/>
        <v>0</v>
      </c>
      <c r="AD198" s="12">
        <f t="shared" si="91"/>
        <v>4</v>
      </c>
    </row>
    <row r="199" spans="1:30" x14ac:dyDescent="0.45">
      <c r="A199" s="12">
        <v>191120</v>
      </c>
      <c r="B199" s="44">
        <v>0.41666666666666669</v>
      </c>
      <c r="C199" s="12" t="s">
        <v>231</v>
      </c>
      <c r="D199" s="12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79"/>
        <v>115</v>
      </c>
      <c r="P199" s="12">
        <f t="shared" si="80"/>
        <v>104</v>
      </c>
      <c r="Q199" s="12" t="str">
        <f t="shared" si="81"/>
        <v>HL</v>
      </c>
      <c r="R199" s="12" t="str">
        <f t="shared" si="82"/>
        <v>TT</v>
      </c>
      <c r="S199" s="12" t="str">
        <f t="shared" si="83"/>
        <v>HW</v>
      </c>
      <c r="T199" s="12" t="str">
        <f t="shared" si="84"/>
        <v>HW</v>
      </c>
      <c r="U199" s="12" t="str">
        <f t="shared" si="85"/>
        <v>U</v>
      </c>
      <c r="V199" s="12" t="str">
        <f t="shared" si="86"/>
        <v>U</v>
      </c>
      <c r="W199" s="12" t="str">
        <f t="shared" si="87"/>
        <v>O</v>
      </c>
      <c r="X199" s="12" t="str">
        <f t="shared" si="88"/>
        <v>U</v>
      </c>
      <c r="Z199" s="12">
        <v>56.5</v>
      </c>
      <c r="AB199" s="12" t="str">
        <f t="shared" si="89"/>
        <v>NO/POR</v>
      </c>
      <c r="AC199" s="12">
        <f t="shared" si="90"/>
        <v>1</v>
      </c>
      <c r="AD199" s="12">
        <f t="shared" si="91"/>
        <v>3</v>
      </c>
    </row>
    <row r="200" spans="1:30" x14ac:dyDescent="0.45">
      <c r="A200" s="12">
        <v>191120</v>
      </c>
      <c r="B200" s="44">
        <v>0.41666666666666669</v>
      </c>
      <c r="C200" s="12" t="s">
        <v>229</v>
      </c>
      <c r="D200" s="12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79"/>
        <v>95</v>
      </c>
      <c r="P200" s="12">
        <f t="shared" si="80"/>
        <v>114</v>
      </c>
      <c r="Q200" s="12" t="str">
        <f t="shared" si="81"/>
        <v>HW</v>
      </c>
      <c r="R200" s="12" t="str">
        <f t="shared" si="82"/>
        <v>HL</v>
      </c>
      <c r="S200" s="12" t="str">
        <f t="shared" si="83"/>
        <v>HW</v>
      </c>
      <c r="T200" s="12" t="str">
        <f t="shared" si="84"/>
        <v>HL</v>
      </c>
      <c r="U200" s="12" t="str">
        <f t="shared" si="85"/>
        <v>O</v>
      </c>
      <c r="V200" s="12" t="str">
        <f t="shared" si="86"/>
        <v>U</v>
      </c>
      <c r="W200" s="12" t="str">
        <f t="shared" si="87"/>
        <v>U</v>
      </c>
      <c r="X200" s="12" t="str">
        <f t="shared" si="88"/>
        <v>U</v>
      </c>
      <c r="Z200" s="12">
        <v>57</v>
      </c>
      <c r="AB200" s="12" t="str">
        <f t="shared" si="89"/>
        <v>MEM/GS</v>
      </c>
      <c r="AC200" s="12">
        <f t="shared" si="90"/>
        <v>1</v>
      </c>
      <c r="AD200" s="12">
        <f t="shared" si="91"/>
        <v>3</v>
      </c>
    </row>
    <row r="201" spans="1:30" x14ac:dyDescent="0.45">
      <c r="A201" s="12">
        <v>191120</v>
      </c>
      <c r="B201" s="44">
        <v>0.5</v>
      </c>
      <c r="C201" s="12" t="s">
        <v>226</v>
      </c>
      <c r="D201" s="12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79"/>
        <v>120</v>
      </c>
      <c r="P201" s="12">
        <f t="shared" si="80"/>
        <v>116</v>
      </c>
      <c r="Q201" s="12" t="str">
        <f t="shared" si="81"/>
        <v>HW</v>
      </c>
      <c r="R201" s="12" t="str">
        <f t="shared" si="82"/>
        <v>HW</v>
      </c>
      <c r="S201" s="12" t="str">
        <f t="shared" si="83"/>
        <v>HL</v>
      </c>
      <c r="T201" s="12" t="str">
        <f t="shared" si="84"/>
        <v>HL</v>
      </c>
      <c r="U201" s="12" t="str">
        <f t="shared" si="85"/>
        <v>U</v>
      </c>
      <c r="V201" s="12" t="str">
        <f t="shared" si="86"/>
        <v>O</v>
      </c>
      <c r="W201" s="12" t="str">
        <f t="shared" si="87"/>
        <v>O</v>
      </c>
      <c r="X201" s="12" t="str">
        <f t="shared" si="88"/>
        <v>O</v>
      </c>
      <c r="Z201" s="12">
        <v>53.5</v>
      </c>
      <c r="AB201" s="12" t="str">
        <f t="shared" si="89"/>
        <v>SAC/PHO</v>
      </c>
      <c r="AC201" s="12">
        <f t="shared" si="90"/>
        <v>3</v>
      </c>
      <c r="AD201" s="12">
        <f t="shared" si="91"/>
        <v>1</v>
      </c>
    </row>
    <row r="202" spans="1:30" x14ac:dyDescent="0.45">
      <c r="A202" s="12">
        <v>191120</v>
      </c>
      <c r="B202" s="44">
        <v>0.52083333333333337</v>
      </c>
      <c r="C202" s="12" t="s">
        <v>233</v>
      </c>
      <c r="D202" s="1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79"/>
        <v>112</v>
      </c>
      <c r="P202" s="12">
        <f t="shared" si="80"/>
        <v>107</v>
      </c>
      <c r="Q202" s="12" t="str">
        <f t="shared" si="81"/>
        <v>HW</v>
      </c>
      <c r="R202" s="12" t="str">
        <f t="shared" si="82"/>
        <v>HW</v>
      </c>
      <c r="S202" s="12" t="str">
        <f t="shared" si="83"/>
        <v>HL</v>
      </c>
      <c r="T202" s="12" t="str">
        <f t="shared" si="84"/>
        <v>HL</v>
      </c>
      <c r="U202" s="12" t="str">
        <f t="shared" ref="U202:X203" si="92">IF(SUM(E202,J202)=$Z202,"T",IF(SUM(E202,J202)&gt;$Z202,"O","U"))</f>
        <v>O</v>
      </c>
      <c r="V202" s="12" t="str">
        <f t="shared" si="92"/>
        <v>O</v>
      </c>
      <c r="W202" s="12" t="str">
        <f t="shared" si="92"/>
        <v>O</v>
      </c>
      <c r="X202" s="12" t="str">
        <f t="shared" si="92"/>
        <v>U</v>
      </c>
      <c r="Z202" s="12">
        <v>54</v>
      </c>
      <c r="AB202" s="12" t="str">
        <f t="shared" si="89"/>
        <v>LAL/OKC</v>
      </c>
      <c r="AC202" s="12">
        <f t="shared" si="90"/>
        <v>3</v>
      </c>
      <c r="AD202" s="12">
        <f t="shared" si="91"/>
        <v>1</v>
      </c>
    </row>
    <row r="203" spans="1:30" x14ac:dyDescent="0.45">
      <c r="A203" s="12">
        <v>191121</v>
      </c>
      <c r="B203" s="44">
        <v>0.375</v>
      </c>
      <c r="C203" s="12" t="s">
        <v>225</v>
      </c>
      <c r="D203" s="12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O203" s="12">
        <f t="shared" ref="O203:O213" si="93">SUM(E203:I203)</f>
        <v>109</v>
      </c>
      <c r="P203" s="12">
        <f t="shared" ref="P203:P213" si="94">SUM(J203:N203)</f>
        <v>104</v>
      </c>
      <c r="Q203" s="12" t="str">
        <f t="shared" ref="Q203:Q213" si="95">IF(E203=J203,"TT",IF(E203&gt;J203,"HW","HL"))</f>
        <v>HW</v>
      </c>
      <c r="R203" s="12" t="str">
        <f t="shared" ref="R203:R213" si="96">IF(F203=K203,"TT",IF(F203&gt;K203,"HW","HL"))</f>
        <v>TT</v>
      </c>
      <c r="S203" s="12" t="str">
        <f t="shared" ref="S203:S213" si="97">IF(G203=L203,"TT",IF(G203&gt;L203,"HW","HL"))</f>
        <v>HL</v>
      </c>
      <c r="T203" s="12" t="str">
        <f t="shared" ref="T203:T213" si="98">IF(H203=M203,"TT",IF(H203&gt;M203,"HW","HL"))</f>
        <v>HW</v>
      </c>
      <c r="U203" s="12" t="str">
        <f t="shared" si="92"/>
        <v>U</v>
      </c>
      <c r="V203" s="12" t="str">
        <f t="shared" si="92"/>
        <v>U</v>
      </c>
      <c r="W203" s="12" t="str">
        <f t="shared" si="92"/>
        <v>U</v>
      </c>
      <c r="X203" s="12" t="str">
        <f t="shared" si="92"/>
        <v>O</v>
      </c>
      <c r="Z203" s="3">
        <v>54.5</v>
      </c>
      <c r="AB203" s="12" t="str">
        <f t="shared" si="89"/>
        <v>PHI/NYK</v>
      </c>
      <c r="AC203" s="12">
        <f t="shared" ref="AC203:AC213" si="99">COUNTIF(U203:X203,"o")</f>
        <v>1</v>
      </c>
      <c r="AD203" s="12">
        <f t="shared" ref="AD203:AD213" si="100">COUNTIF(U203:X203,"u")</f>
        <v>3</v>
      </c>
    </row>
    <row r="204" spans="1:30" x14ac:dyDescent="0.45">
      <c r="A204" s="12">
        <v>191121</v>
      </c>
      <c r="B204" s="44">
        <v>0.375</v>
      </c>
      <c r="C204" s="12" t="s">
        <v>249</v>
      </c>
      <c r="D204" s="12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O204" s="12">
        <f t="shared" si="93"/>
        <v>138</v>
      </c>
      <c r="P204" s="12">
        <f t="shared" si="94"/>
        <v>132</v>
      </c>
      <c r="Q204" s="12" t="str">
        <f t="shared" si="95"/>
        <v>HL</v>
      </c>
      <c r="R204" s="12" t="str">
        <f t="shared" si="96"/>
        <v>HL</v>
      </c>
      <c r="S204" s="12" t="str">
        <f t="shared" si="97"/>
        <v>HW</v>
      </c>
      <c r="T204" s="12" t="str">
        <f t="shared" si="98"/>
        <v>HW</v>
      </c>
      <c r="U204" s="12" t="str">
        <f t="shared" ref="U204:U213" si="101">IF(SUM(E204,J204)=$Z204,"T",IF(SUM(E204,J204)&gt;$Z204,"O","U"))</f>
        <v>O</v>
      </c>
      <c r="V204" s="12" t="str">
        <f t="shared" ref="V204:V213" si="102">IF(SUM(F204,K204)=$Z204,"T",IF(SUM(F204,K204)&gt;$Z204,"O","U"))</f>
        <v>O</v>
      </c>
      <c r="W204" s="12" t="str">
        <f t="shared" ref="W204:W213" si="103">IF(SUM(G204,L204)=$Z204,"T",IF(SUM(G204,L204)&gt;$Z204,"O","U"))</f>
        <v>O</v>
      </c>
      <c r="X204" s="12" t="str">
        <f t="shared" ref="X204:X213" si="104">IF(SUM(H204,M204)=$Z204,"T",IF(SUM(H204,M204)&gt;$Z204,"O","U"))</f>
        <v>O</v>
      </c>
      <c r="Z204" s="3">
        <v>58</v>
      </c>
      <c r="AB204" s="12" t="str">
        <f t="shared" si="89"/>
        <v>WAS/SAS</v>
      </c>
      <c r="AC204" s="12">
        <f t="shared" si="99"/>
        <v>4</v>
      </c>
      <c r="AD204" s="12">
        <f t="shared" si="100"/>
        <v>0</v>
      </c>
    </row>
    <row r="205" spans="1:30" x14ac:dyDescent="0.45">
      <c r="A205" s="12">
        <v>191121</v>
      </c>
      <c r="B205" s="44">
        <v>0.39583333333333331</v>
      </c>
      <c r="C205" s="12" t="s">
        <v>234</v>
      </c>
      <c r="D205" s="12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O205" s="12">
        <f t="shared" si="93"/>
        <v>127</v>
      </c>
      <c r="P205" s="12">
        <f t="shared" si="94"/>
        <v>135</v>
      </c>
      <c r="Q205" s="12" t="str">
        <f t="shared" si="95"/>
        <v>HL</v>
      </c>
      <c r="R205" s="12" t="str">
        <f t="shared" si="96"/>
        <v>HW</v>
      </c>
      <c r="S205" s="12" t="str">
        <f t="shared" si="97"/>
        <v>HL</v>
      </c>
      <c r="T205" s="12" t="str">
        <f t="shared" si="98"/>
        <v>HW</v>
      </c>
      <c r="U205" s="12" t="str">
        <f t="shared" si="101"/>
        <v>O</v>
      </c>
      <c r="V205" s="12" t="str">
        <f t="shared" si="102"/>
        <v>O</v>
      </c>
      <c r="W205" s="12" t="str">
        <f t="shared" si="103"/>
        <v>O</v>
      </c>
      <c r="X205" s="12" t="str">
        <f t="shared" si="104"/>
        <v>O</v>
      </c>
      <c r="Z205" s="3">
        <v>57</v>
      </c>
      <c r="AB205" s="12" t="str">
        <f t="shared" si="89"/>
        <v>ATL/MIL</v>
      </c>
      <c r="AC205" s="12">
        <f t="shared" si="99"/>
        <v>4</v>
      </c>
      <c r="AD205" s="12">
        <f t="shared" si="100"/>
        <v>0</v>
      </c>
    </row>
    <row r="206" spans="1:30" x14ac:dyDescent="0.45">
      <c r="A206" s="12">
        <v>191121</v>
      </c>
      <c r="B206" s="44">
        <v>0.39583333333333331</v>
      </c>
      <c r="C206" s="12" t="s">
        <v>250</v>
      </c>
      <c r="D206" s="12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O206" s="12">
        <f t="shared" si="93"/>
        <v>142</v>
      </c>
      <c r="P206" s="12">
        <f t="shared" si="94"/>
        <v>94</v>
      </c>
      <c r="Q206" s="12" t="str">
        <f t="shared" si="95"/>
        <v>HW</v>
      </c>
      <c r="R206" s="12" t="str">
        <f t="shared" si="96"/>
        <v>HW</v>
      </c>
      <c r="S206" s="12" t="str">
        <f t="shared" si="97"/>
        <v>HW</v>
      </c>
      <c r="T206" s="12" t="str">
        <f t="shared" si="98"/>
        <v>HW</v>
      </c>
      <c r="U206" s="12" t="str">
        <f t="shared" si="101"/>
        <v>O</v>
      </c>
      <c r="V206" s="12" t="str">
        <f t="shared" si="102"/>
        <v>U</v>
      </c>
      <c r="W206" s="12" t="str">
        <f t="shared" si="103"/>
        <v>T</v>
      </c>
      <c r="X206" s="12" t="str">
        <f t="shared" si="104"/>
        <v>O</v>
      </c>
      <c r="Z206" s="3">
        <v>56</v>
      </c>
      <c r="AB206" s="12" t="str">
        <f t="shared" si="89"/>
        <v>DAL/GS</v>
      </c>
      <c r="AC206" s="12">
        <f t="shared" si="99"/>
        <v>2</v>
      </c>
      <c r="AD206" s="12">
        <f t="shared" si="100"/>
        <v>1</v>
      </c>
    </row>
    <row r="207" spans="1:30" x14ac:dyDescent="0.45">
      <c r="A207" s="12">
        <v>191121</v>
      </c>
      <c r="B207" s="44">
        <v>0.39583333333333331</v>
      </c>
      <c r="C207" s="11" t="s">
        <v>251</v>
      </c>
      <c r="D207" s="11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O207" s="12">
        <f t="shared" si="93"/>
        <v>124</v>
      </c>
      <c r="P207" s="12">
        <f t="shared" si="94"/>
        <v>100</v>
      </c>
      <c r="Q207" s="12" t="str">
        <f t="shared" si="95"/>
        <v>HW</v>
      </c>
      <c r="R207" s="12" t="str">
        <f t="shared" si="96"/>
        <v>HW</v>
      </c>
      <c r="S207" s="12" t="str">
        <f t="shared" si="97"/>
        <v>HL</v>
      </c>
      <c r="T207" s="12" t="str">
        <f t="shared" si="98"/>
        <v>HW</v>
      </c>
      <c r="U207" s="12" t="str">
        <f t="shared" si="101"/>
        <v>O</v>
      </c>
      <c r="V207" s="12" t="str">
        <f t="shared" si="102"/>
        <v>O</v>
      </c>
      <c r="W207" s="12" t="str">
        <f t="shared" si="103"/>
        <v>O</v>
      </c>
      <c r="X207" s="12" t="str">
        <f t="shared" si="104"/>
        <v>U</v>
      </c>
      <c r="Z207" s="3">
        <v>52.5</v>
      </c>
      <c r="AB207" s="12" t="str">
        <f t="shared" si="89"/>
        <v>MIA/CLE</v>
      </c>
      <c r="AC207" s="12">
        <f t="shared" si="99"/>
        <v>3</v>
      </c>
      <c r="AD207" s="12">
        <f t="shared" si="100"/>
        <v>1</v>
      </c>
    </row>
    <row r="208" spans="1:30" x14ac:dyDescent="0.45">
      <c r="A208" s="12">
        <v>191121</v>
      </c>
      <c r="B208" s="44">
        <v>0.39583333333333331</v>
      </c>
      <c r="C208" s="12" t="s">
        <v>235</v>
      </c>
      <c r="D208" s="11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O208" s="12">
        <f t="shared" si="93"/>
        <v>101</v>
      </c>
      <c r="P208" s="12">
        <f t="shared" si="94"/>
        <v>91</v>
      </c>
      <c r="Q208" s="12" t="str">
        <f t="shared" si="95"/>
        <v>TT</v>
      </c>
      <c r="R208" s="12" t="str">
        <f t="shared" si="96"/>
        <v>HW</v>
      </c>
      <c r="S208" s="12" t="str">
        <f t="shared" si="97"/>
        <v>HW</v>
      </c>
      <c r="T208" s="12" t="str">
        <f t="shared" si="98"/>
        <v>HW</v>
      </c>
      <c r="U208" s="12" t="str">
        <f t="shared" si="101"/>
        <v>U</v>
      </c>
      <c r="V208" s="12" t="str">
        <f t="shared" si="102"/>
        <v>U</v>
      </c>
      <c r="W208" s="12" t="str">
        <f t="shared" si="103"/>
        <v>U</v>
      </c>
      <c r="X208" s="12" t="str">
        <f t="shared" si="104"/>
        <v>U</v>
      </c>
      <c r="Z208" s="3">
        <v>56</v>
      </c>
      <c r="AB208" s="12" t="str">
        <f t="shared" si="89"/>
        <v>BKN/CHA</v>
      </c>
      <c r="AC208" s="12">
        <f t="shared" si="99"/>
        <v>0</v>
      </c>
      <c r="AD208" s="12">
        <f t="shared" si="100"/>
        <v>4</v>
      </c>
    </row>
    <row r="209" spans="1:30" x14ac:dyDescent="0.45">
      <c r="A209" s="12">
        <v>191121</v>
      </c>
      <c r="B209" s="44">
        <v>0.39583333333333331</v>
      </c>
      <c r="C209" s="12" t="s">
        <v>236</v>
      </c>
      <c r="D209" s="12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O209" s="12">
        <f t="shared" si="93"/>
        <v>113</v>
      </c>
      <c r="P209" s="12">
        <f t="shared" si="94"/>
        <v>97</v>
      </c>
      <c r="Q209" s="12" t="str">
        <f t="shared" si="95"/>
        <v>TT</v>
      </c>
      <c r="R209" s="12" t="str">
        <f t="shared" si="96"/>
        <v>HW</v>
      </c>
      <c r="S209" s="12" t="str">
        <f t="shared" si="97"/>
        <v>HW</v>
      </c>
      <c r="T209" s="12" t="str">
        <f t="shared" si="98"/>
        <v>HW</v>
      </c>
      <c r="U209" s="12" t="str">
        <f t="shared" si="101"/>
        <v>O</v>
      </c>
      <c r="V209" s="12" t="str">
        <f t="shared" si="102"/>
        <v>U</v>
      </c>
      <c r="W209" s="12" t="str">
        <f t="shared" si="103"/>
        <v>U</v>
      </c>
      <c r="X209" s="12" t="str">
        <f t="shared" si="104"/>
        <v>O</v>
      </c>
      <c r="Z209" s="3">
        <v>53.5</v>
      </c>
      <c r="AB209" s="12" t="str">
        <f t="shared" si="89"/>
        <v>TOR/ORL</v>
      </c>
      <c r="AC209" s="12">
        <f t="shared" si="99"/>
        <v>2</v>
      </c>
      <c r="AD209" s="12">
        <f t="shared" si="100"/>
        <v>2</v>
      </c>
    </row>
    <row r="210" spans="1:30" x14ac:dyDescent="0.45">
      <c r="A210" s="12">
        <v>191121</v>
      </c>
      <c r="B210" s="44">
        <v>0.41666666666666669</v>
      </c>
      <c r="C210" s="11" t="s">
        <v>238</v>
      </c>
      <c r="D210" s="12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O210" s="12">
        <f t="shared" si="93"/>
        <v>109</v>
      </c>
      <c r="P210" s="12">
        <f t="shared" si="94"/>
        <v>89</v>
      </c>
      <c r="Q210" s="12" t="str">
        <f t="shared" si="95"/>
        <v>TT</v>
      </c>
      <c r="R210" s="12" t="str">
        <f t="shared" si="96"/>
        <v>HW</v>
      </c>
      <c r="S210" s="12" t="str">
        <f t="shared" si="97"/>
        <v>HW</v>
      </c>
      <c r="T210" s="12" t="str">
        <f t="shared" si="98"/>
        <v>HW</v>
      </c>
      <c r="U210" s="12" t="str">
        <f t="shared" si="101"/>
        <v>O</v>
      </c>
      <c r="V210" s="12" t="str">
        <f t="shared" si="102"/>
        <v>U</v>
      </c>
      <c r="W210" s="12" t="str">
        <f t="shared" si="103"/>
        <v>U</v>
      </c>
      <c r="X210" s="12" t="str">
        <f t="shared" si="104"/>
        <v>U</v>
      </c>
      <c r="Z210" s="3">
        <v>56.5</v>
      </c>
      <c r="AB210" s="12" t="str">
        <f t="shared" si="89"/>
        <v>CHI/DET</v>
      </c>
      <c r="AC210" s="12">
        <f t="shared" si="99"/>
        <v>1</v>
      </c>
      <c r="AD210" s="12">
        <f t="shared" si="100"/>
        <v>3</v>
      </c>
    </row>
    <row r="211" spans="1:30" x14ac:dyDescent="0.45">
      <c r="A211" s="12">
        <v>191121</v>
      </c>
      <c r="B211" s="44">
        <v>0.41666666666666669</v>
      </c>
      <c r="C211" s="12" t="s">
        <v>245</v>
      </c>
      <c r="D211" s="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O211" s="12">
        <f t="shared" si="93"/>
        <v>95</v>
      </c>
      <c r="P211" s="12">
        <f t="shared" si="94"/>
        <v>103</v>
      </c>
      <c r="Q211" s="12" t="str">
        <f t="shared" si="95"/>
        <v>HL</v>
      </c>
      <c r="R211" s="12" t="str">
        <f t="shared" si="96"/>
        <v>HW</v>
      </c>
      <c r="S211" s="12" t="str">
        <f t="shared" si="97"/>
        <v>HL</v>
      </c>
      <c r="T211" s="12" t="str">
        <f t="shared" si="98"/>
        <v>HL</v>
      </c>
      <c r="U211" s="12" t="str">
        <f t="shared" si="101"/>
        <v>U</v>
      </c>
      <c r="V211" s="12" t="str">
        <f t="shared" si="102"/>
        <v>U</v>
      </c>
      <c r="W211" s="12" t="str">
        <f t="shared" si="103"/>
        <v>U</v>
      </c>
      <c r="X211" s="12" t="str">
        <f t="shared" si="104"/>
        <v>O</v>
      </c>
      <c r="Z211" s="3">
        <v>54</v>
      </c>
      <c r="AB211" s="12" t="str">
        <f t="shared" si="89"/>
        <v>MIN/UTA</v>
      </c>
      <c r="AC211" s="12">
        <f t="shared" si="99"/>
        <v>1</v>
      </c>
      <c r="AD211" s="12">
        <f t="shared" si="100"/>
        <v>3</v>
      </c>
    </row>
    <row r="212" spans="1:30" x14ac:dyDescent="0.45">
      <c r="A212" s="12">
        <v>191121</v>
      </c>
      <c r="B212" s="44">
        <v>0.45833333333333331</v>
      </c>
      <c r="C212" s="11" t="s">
        <v>230</v>
      </c>
      <c r="D212" s="11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O212" s="12">
        <f t="shared" si="93"/>
        <v>105</v>
      </c>
      <c r="P212" s="12">
        <f t="shared" si="94"/>
        <v>95</v>
      </c>
      <c r="Q212" s="12" t="str">
        <f t="shared" si="95"/>
        <v>HW</v>
      </c>
      <c r="R212" s="12" t="str">
        <f t="shared" si="96"/>
        <v>HL</v>
      </c>
      <c r="S212" s="12" t="str">
        <f t="shared" si="97"/>
        <v>HW</v>
      </c>
      <c r="T212" s="12" t="str">
        <f t="shared" si="98"/>
        <v>HW</v>
      </c>
      <c r="U212" s="12" t="str">
        <f t="shared" si="101"/>
        <v>U</v>
      </c>
      <c r="V212" s="12" t="str">
        <f t="shared" si="102"/>
        <v>U</v>
      </c>
      <c r="W212" s="12" t="str">
        <f t="shared" si="103"/>
        <v>U</v>
      </c>
      <c r="X212" s="12" t="str">
        <f t="shared" si="104"/>
        <v>U</v>
      </c>
      <c r="Z212" s="3">
        <v>57</v>
      </c>
      <c r="AB212" s="12" t="str">
        <f t="shared" si="89"/>
        <v>DEN/HOU</v>
      </c>
      <c r="AC212" s="12">
        <f t="shared" si="99"/>
        <v>0</v>
      </c>
      <c r="AD212" s="12">
        <f t="shared" si="100"/>
        <v>4</v>
      </c>
    </row>
    <row r="213" spans="1:30" x14ac:dyDescent="0.45">
      <c r="A213" s="12">
        <v>191121</v>
      </c>
      <c r="B213" s="44">
        <v>0.5</v>
      </c>
      <c r="C213" s="12" t="s">
        <v>246</v>
      </c>
      <c r="D213" s="12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93"/>
        <v>107</v>
      </c>
      <c r="P213" s="12">
        <f t="shared" si="94"/>
        <v>104</v>
      </c>
      <c r="Q213" s="12" t="str">
        <f t="shared" si="95"/>
        <v>HW</v>
      </c>
      <c r="R213" s="12" t="str">
        <f t="shared" si="96"/>
        <v>HL</v>
      </c>
      <c r="S213" s="12" t="str">
        <f t="shared" si="97"/>
        <v>HL</v>
      </c>
      <c r="T213" s="12" t="str">
        <f t="shared" si="98"/>
        <v>HW</v>
      </c>
      <c r="U213" s="12" t="str">
        <f t="shared" si="101"/>
        <v>U</v>
      </c>
      <c r="V213" s="12" t="str">
        <f t="shared" si="102"/>
        <v>U</v>
      </c>
      <c r="W213" s="12" t="str">
        <f t="shared" si="103"/>
        <v>O</v>
      </c>
      <c r="X213" s="12" t="str">
        <f t="shared" si="104"/>
        <v>U</v>
      </c>
      <c r="Z213" s="3">
        <v>53</v>
      </c>
      <c r="AB213" s="12" t="str">
        <f t="shared" si="89"/>
        <v>LAC/BOS</v>
      </c>
      <c r="AC213" s="12">
        <f t="shared" si="99"/>
        <v>1</v>
      </c>
      <c r="AD213" s="12">
        <f t="shared" si="100"/>
        <v>3</v>
      </c>
    </row>
    <row r="214" spans="1:30" x14ac:dyDescent="0.45">
      <c r="A214" s="12">
        <v>191122</v>
      </c>
      <c r="B214" s="44">
        <v>0.41666666666666669</v>
      </c>
      <c r="C214" s="12" t="s">
        <v>253</v>
      </c>
      <c r="D214" s="12" t="s">
        <v>254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2" si="105">SUM(E214:I214)</f>
        <v>137</v>
      </c>
      <c r="P214" s="12">
        <f t="shared" ref="P214:P252" si="106">SUM(J214:N214)</f>
        <v>129</v>
      </c>
      <c r="Q214" s="12" t="str">
        <f t="shared" ref="Q214:Q252" si="107">IF(E214=J214,"TT",IF(E214&gt;J214,"HW","HL"))</f>
        <v>HW</v>
      </c>
      <c r="R214" s="12" t="str">
        <f t="shared" ref="R214:R252" si="108">IF(F214=K214,"TT",IF(F214&gt;K214,"HW","HL"))</f>
        <v>HW</v>
      </c>
      <c r="S214" s="12" t="str">
        <f t="shared" ref="S214:S252" si="109">IF(G214=L214,"TT",IF(G214&gt;L214,"HW","HL"))</f>
        <v>HL</v>
      </c>
      <c r="T214" s="12" t="str">
        <f t="shared" ref="T214:T252" si="110">IF(H214=M214,"TT",IF(H214&gt;M214,"HW","HL"))</f>
        <v>HL</v>
      </c>
      <c r="U214" s="12" t="str">
        <f t="shared" ref="U214:U252" si="111">IF(SUM(E214,J214)=$Z214,"T",IF(SUM(E214,J214)&gt;$Z214,"O","U"))</f>
        <v>O</v>
      </c>
      <c r="V214" s="12" t="str">
        <f t="shared" ref="V214:V252" si="112">IF(SUM(F214,K214)=$Z214,"T",IF(SUM(F214,K214)&gt;$Z214,"O","U"))</f>
        <v>O</v>
      </c>
      <c r="W214" s="12" t="str">
        <f t="shared" ref="W214:W252" si="113">IF(SUM(G214,L214)=$Z214,"T",IF(SUM(G214,L214)&gt;$Z214,"O","U"))</f>
        <v>O</v>
      </c>
      <c r="X214" s="12" t="str">
        <f t="shared" ref="X214:X252" si="114">IF(SUM(H214,M214)=$Z214,"T",IF(SUM(H214,M214)&gt;$Z214,"O","U"))</f>
        <v>O</v>
      </c>
      <c r="Z214" s="3">
        <v>55.5</v>
      </c>
      <c r="AB214" s="12" t="str">
        <f t="shared" ref="AB214:AB253" si="115">C214&amp;"/"&amp;D214</f>
        <v>MIL/POR</v>
      </c>
      <c r="AC214" s="12">
        <f t="shared" ref="AC214:AC253" si="116">COUNTIF(U214:X214,"o")</f>
        <v>4</v>
      </c>
      <c r="AD214" s="12">
        <f t="shared" ref="AD214:AD253" si="117">COUNTIF(U214:X214,"u")</f>
        <v>0</v>
      </c>
    </row>
    <row r="215" spans="1:30" x14ac:dyDescent="0.45">
      <c r="A215" s="12">
        <v>191122</v>
      </c>
      <c r="B215" s="44">
        <v>0.52083333333333337</v>
      </c>
      <c r="C215" s="12" t="s">
        <v>255</v>
      </c>
      <c r="D215" s="5" t="s">
        <v>256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N215" s="12"/>
      <c r="O215" s="12">
        <f t="shared" si="105"/>
        <v>121</v>
      </c>
      <c r="P215" s="12">
        <f t="shared" si="106"/>
        <v>124</v>
      </c>
      <c r="Q215" s="12" t="str">
        <f t="shared" si="107"/>
        <v>HL</v>
      </c>
      <c r="R215" s="12" t="str">
        <f t="shared" si="108"/>
        <v>HW</v>
      </c>
      <c r="S215" s="12" t="str">
        <f t="shared" si="109"/>
        <v>HL</v>
      </c>
      <c r="T215" s="12" t="str">
        <f t="shared" si="110"/>
        <v>HL</v>
      </c>
      <c r="U215" s="12" t="str">
        <f t="shared" si="111"/>
        <v>O</v>
      </c>
      <c r="V215" s="12" t="str">
        <f t="shared" si="112"/>
        <v>U</v>
      </c>
      <c r="W215" s="12" t="str">
        <f t="shared" si="113"/>
        <v>O</v>
      </c>
      <c r="X215" s="12" t="str">
        <f t="shared" si="114"/>
        <v>U</v>
      </c>
      <c r="Z215" s="3">
        <v>60</v>
      </c>
      <c r="AB215" s="12" t="str">
        <f t="shared" si="115"/>
        <v>PHO/NO</v>
      </c>
      <c r="AC215" s="12">
        <f t="shared" si="116"/>
        <v>2</v>
      </c>
      <c r="AD215" s="12">
        <f t="shared" si="117"/>
        <v>2</v>
      </c>
    </row>
    <row r="216" spans="1:30" x14ac:dyDescent="0.45">
      <c r="A216" s="12">
        <v>191123</v>
      </c>
      <c r="B216" s="44">
        <v>0.375</v>
      </c>
      <c r="C216" s="3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05"/>
        <v>128</v>
      </c>
      <c r="P216" s="12">
        <f t="shared" si="106"/>
        <v>103</v>
      </c>
      <c r="Q216" s="12" t="str">
        <f t="shared" si="107"/>
        <v>HW</v>
      </c>
      <c r="R216" s="12" t="str">
        <f t="shared" si="108"/>
        <v>HW</v>
      </c>
      <c r="S216" s="12" t="str">
        <f t="shared" si="109"/>
        <v>HW</v>
      </c>
      <c r="T216" s="12" t="str">
        <f t="shared" si="110"/>
        <v>HW</v>
      </c>
      <c r="U216" s="12" t="str">
        <f t="shared" si="111"/>
        <v>U</v>
      </c>
      <c r="V216" s="12" t="str">
        <f t="shared" si="112"/>
        <v>O</v>
      </c>
      <c r="W216" s="12" t="str">
        <f t="shared" si="113"/>
        <v>U</v>
      </c>
      <c r="X216" s="12" t="str">
        <f t="shared" si="114"/>
        <v>U</v>
      </c>
      <c r="Z216" s="3">
        <v>58.5</v>
      </c>
      <c r="AB216" s="12" t="str">
        <f t="shared" si="115"/>
        <v>DET/ATL</v>
      </c>
      <c r="AC216" s="12">
        <f t="shared" si="116"/>
        <v>1</v>
      </c>
      <c r="AD216" s="12">
        <f t="shared" si="117"/>
        <v>3</v>
      </c>
    </row>
    <row r="217" spans="1:30" x14ac:dyDescent="0.45">
      <c r="A217" s="12">
        <v>191123</v>
      </c>
      <c r="B217" s="44">
        <v>0.375</v>
      </c>
      <c r="C217" s="3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05"/>
        <v>125</v>
      </c>
      <c r="P217" s="12">
        <f t="shared" si="106"/>
        <v>118</v>
      </c>
      <c r="Q217" s="12" t="str">
        <f t="shared" si="107"/>
        <v>HL</v>
      </c>
      <c r="R217" s="12" t="str">
        <f t="shared" si="108"/>
        <v>HL</v>
      </c>
      <c r="S217" s="12" t="str">
        <f t="shared" si="109"/>
        <v>TT</v>
      </c>
      <c r="T217" s="12" t="str">
        <f t="shared" si="110"/>
        <v>HW</v>
      </c>
      <c r="U217" s="12" t="str">
        <f t="shared" si="111"/>
        <v>O</v>
      </c>
      <c r="V217" s="12" t="str">
        <f t="shared" si="112"/>
        <v>O</v>
      </c>
      <c r="W217" s="12" t="str">
        <f t="shared" si="113"/>
        <v>U</v>
      </c>
      <c r="X217" s="12" t="str">
        <f t="shared" si="114"/>
        <v>U</v>
      </c>
      <c r="Z217" s="3">
        <v>60.5</v>
      </c>
      <c r="AB217" s="12" t="str">
        <f t="shared" si="115"/>
        <v>WAS/CHA</v>
      </c>
      <c r="AC217" s="12">
        <f t="shared" si="116"/>
        <v>2</v>
      </c>
      <c r="AD217" s="12">
        <f t="shared" si="117"/>
        <v>2</v>
      </c>
    </row>
    <row r="218" spans="1:30" x14ac:dyDescent="0.45">
      <c r="A218" s="12">
        <v>191123</v>
      </c>
      <c r="B218" s="44">
        <v>0.39583333333333331</v>
      </c>
      <c r="C218" s="3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N218" s="12"/>
      <c r="O218" s="12">
        <f t="shared" si="105"/>
        <v>116</v>
      </c>
      <c r="P218" s="12">
        <f t="shared" si="106"/>
        <v>97</v>
      </c>
      <c r="Q218" s="12" t="str">
        <f t="shared" si="107"/>
        <v>HW</v>
      </c>
      <c r="R218" s="12" t="str">
        <f t="shared" si="108"/>
        <v>HW</v>
      </c>
      <c r="S218" s="12" t="str">
        <f t="shared" si="109"/>
        <v>HW</v>
      </c>
      <c r="T218" s="12" t="str">
        <f t="shared" si="110"/>
        <v>HW</v>
      </c>
      <c r="U218" s="12" t="str">
        <f t="shared" si="111"/>
        <v>U</v>
      </c>
      <c r="V218" s="12" t="str">
        <f t="shared" si="112"/>
        <v>O</v>
      </c>
      <c r="W218" s="12" t="str">
        <f t="shared" si="113"/>
        <v>U</v>
      </c>
      <c r="X218" s="12" t="str">
        <f t="shared" si="114"/>
        <v>O</v>
      </c>
      <c r="Z218" s="3">
        <v>54.5</v>
      </c>
      <c r="AB218" s="12" t="str">
        <f t="shared" si="115"/>
        <v>BKN/SAC</v>
      </c>
      <c r="AC218" s="12">
        <f t="shared" si="116"/>
        <v>2</v>
      </c>
      <c r="AD218" s="12">
        <f t="shared" si="117"/>
        <v>2</v>
      </c>
    </row>
    <row r="219" spans="1:30" x14ac:dyDescent="0.45">
      <c r="A219" s="12">
        <v>191123</v>
      </c>
      <c r="B219" s="44">
        <v>0.41666666666666669</v>
      </c>
      <c r="C219" s="3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05"/>
        <v>108</v>
      </c>
      <c r="P219" s="12">
        <f t="shared" si="106"/>
        <v>116</v>
      </c>
      <c r="Q219" s="12" t="str">
        <f t="shared" si="107"/>
        <v>HL</v>
      </c>
      <c r="R219" s="12" t="str">
        <f t="shared" si="108"/>
        <v>HL</v>
      </c>
      <c r="S219" s="12" t="str">
        <f t="shared" si="109"/>
        <v>HW</v>
      </c>
      <c r="T219" s="12" t="str">
        <f t="shared" si="110"/>
        <v>HW</v>
      </c>
      <c r="U219" s="12" t="str">
        <f t="shared" si="111"/>
        <v>U</v>
      </c>
      <c r="V219" s="12" t="str">
        <f t="shared" si="112"/>
        <v>O</v>
      </c>
      <c r="W219" s="12" t="str">
        <f t="shared" si="113"/>
        <v>U</v>
      </c>
      <c r="X219" s="12" t="str">
        <f t="shared" si="114"/>
        <v>O</v>
      </c>
      <c r="Z219" s="3">
        <v>55.5</v>
      </c>
      <c r="AB219" s="12" t="str">
        <f t="shared" si="115"/>
        <v>CHI/MIA</v>
      </c>
      <c r="AC219" s="12">
        <f t="shared" si="116"/>
        <v>2</v>
      </c>
      <c r="AD219" s="12">
        <f t="shared" si="117"/>
        <v>2</v>
      </c>
    </row>
    <row r="220" spans="1:30" x14ac:dyDescent="0.45">
      <c r="A220" s="12">
        <v>191123</v>
      </c>
      <c r="B220" s="44">
        <v>0.41666666666666669</v>
      </c>
      <c r="C220" s="3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05"/>
        <v>115</v>
      </c>
      <c r="P220" s="12">
        <f t="shared" si="106"/>
        <v>104</v>
      </c>
      <c r="Q220" s="12" t="str">
        <f t="shared" si="107"/>
        <v>HW</v>
      </c>
      <c r="R220" s="12" t="str">
        <f t="shared" si="108"/>
        <v>TT</v>
      </c>
      <c r="S220" s="12" t="str">
        <f t="shared" si="109"/>
        <v>TT</v>
      </c>
      <c r="T220" s="12" t="str">
        <f t="shared" si="110"/>
        <v>HW</v>
      </c>
      <c r="U220" s="12" t="str">
        <f t="shared" si="111"/>
        <v>U</v>
      </c>
      <c r="V220" s="12" t="str">
        <f t="shared" si="112"/>
        <v>O</v>
      </c>
      <c r="W220" s="12" t="str">
        <f t="shared" si="113"/>
        <v>O</v>
      </c>
      <c r="X220" s="12" t="str">
        <f t="shared" si="114"/>
        <v>U</v>
      </c>
      <c r="Z220" s="3">
        <v>53.5</v>
      </c>
      <c r="AB220" s="12" t="str">
        <f t="shared" si="115"/>
        <v>PHI/SAS</v>
      </c>
      <c r="AC220" s="12">
        <f t="shared" si="116"/>
        <v>2</v>
      </c>
      <c r="AD220" s="12">
        <f t="shared" si="117"/>
        <v>2</v>
      </c>
    </row>
    <row r="221" spans="1:30" x14ac:dyDescent="0.45">
      <c r="A221" s="12">
        <v>191123</v>
      </c>
      <c r="B221" s="44">
        <v>0.41666666666666669</v>
      </c>
      <c r="C221" s="3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05"/>
        <v>127</v>
      </c>
      <c r="P221" s="12">
        <f t="shared" si="106"/>
        <v>130</v>
      </c>
      <c r="Q221" s="12" t="str">
        <f t="shared" si="107"/>
        <v>HL</v>
      </c>
      <c r="R221" s="12" t="str">
        <f t="shared" si="108"/>
        <v>HW</v>
      </c>
      <c r="S221" s="12" t="str">
        <f t="shared" si="109"/>
        <v>HL</v>
      </c>
      <c r="T221" s="12" t="str">
        <f t="shared" si="110"/>
        <v>TT</v>
      </c>
      <c r="U221" s="12" t="str">
        <f t="shared" si="111"/>
        <v>O</v>
      </c>
      <c r="V221" s="12" t="str">
        <f t="shared" si="112"/>
        <v>O</v>
      </c>
      <c r="W221" s="12" t="str">
        <f t="shared" si="113"/>
        <v>O</v>
      </c>
      <c r="X221" s="12" t="str">
        <f t="shared" si="114"/>
        <v>U</v>
      </c>
      <c r="Z221" s="3">
        <v>54.5</v>
      </c>
      <c r="AB221" s="12" t="str">
        <f t="shared" si="115"/>
        <v>OKC/LAL</v>
      </c>
      <c r="AC221" s="12">
        <f t="shared" si="116"/>
        <v>3</v>
      </c>
      <c r="AD221" s="12">
        <f t="shared" si="117"/>
        <v>1</v>
      </c>
    </row>
    <row r="222" spans="1:30" x14ac:dyDescent="0.45">
      <c r="A222" s="12">
        <v>191123</v>
      </c>
      <c r="B222" s="44">
        <v>0.4375</v>
      </c>
      <c r="C222" s="3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N222" s="12"/>
      <c r="O222" s="12">
        <f t="shared" si="105"/>
        <v>143</v>
      </c>
      <c r="P222" s="12">
        <f t="shared" si="106"/>
        <v>101</v>
      </c>
      <c r="Q222" s="12" t="str">
        <f t="shared" si="107"/>
        <v>HW</v>
      </c>
      <c r="R222" s="12" t="str">
        <f t="shared" si="108"/>
        <v>HW</v>
      </c>
      <c r="S222" s="12" t="str">
        <f t="shared" si="109"/>
        <v>HW</v>
      </c>
      <c r="T222" s="12" t="str">
        <f t="shared" si="110"/>
        <v>HW</v>
      </c>
      <c r="U222" s="12" t="str">
        <f t="shared" si="111"/>
        <v>O</v>
      </c>
      <c r="V222" s="12" t="str">
        <f t="shared" si="112"/>
        <v>U</v>
      </c>
      <c r="W222" s="12" t="str">
        <f t="shared" si="113"/>
        <v>O</v>
      </c>
      <c r="X222" s="12" t="str">
        <f t="shared" si="114"/>
        <v>O</v>
      </c>
      <c r="Z222" s="3">
        <v>54</v>
      </c>
      <c r="AB222" s="12" t="str">
        <f t="shared" si="115"/>
        <v>DAL/CLE</v>
      </c>
      <c r="AC222" s="12">
        <f t="shared" si="116"/>
        <v>3</v>
      </c>
      <c r="AD222" s="12">
        <f t="shared" si="117"/>
        <v>1</v>
      </c>
    </row>
    <row r="223" spans="1:30" x14ac:dyDescent="0.45">
      <c r="A223" s="12">
        <v>191123</v>
      </c>
      <c r="B223" s="44">
        <v>0.45833333333333331</v>
      </c>
      <c r="C223" s="3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05"/>
        <v>96</v>
      </c>
      <c r="P223" s="12">
        <f t="shared" si="106"/>
        <v>92</v>
      </c>
      <c r="Q223" s="12" t="str">
        <f t="shared" si="107"/>
        <v>HW</v>
      </c>
      <c r="R223" s="12" t="str">
        <f t="shared" si="108"/>
        <v>HL</v>
      </c>
      <c r="S223" s="12" t="str">
        <f t="shared" si="109"/>
        <v>HW</v>
      </c>
      <c r="T223" s="12" t="str">
        <f t="shared" si="110"/>
        <v>HL</v>
      </c>
      <c r="U223" s="12" t="str">
        <f t="shared" si="111"/>
        <v>U</v>
      </c>
      <c r="V223" s="12" t="str">
        <f t="shared" si="112"/>
        <v>U</v>
      </c>
      <c r="W223" s="12" t="str">
        <f t="shared" si="113"/>
        <v>U</v>
      </c>
      <c r="X223" s="12" t="str">
        <f t="shared" si="114"/>
        <v>O</v>
      </c>
      <c r="Z223" s="3">
        <v>50</v>
      </c>
      <c r="AB223" s="12" t="str">
        <f t="shared" si="115"/>
        <v>DEN/BOS</v>
      </c>
      <c r="AC223" s="12">
        <f t="shared" si="116"/>
        <v>1</v>
      </c>
      <c r="AD223" s="12">
        <f t="shared" si="117"/>
        <v>3</v>
      </c>
    </row>
    <row r="224" spans="1:30" x14ac:dyDescent="0.45">
      <c r="A224" s="12">
        <v>191123</v>
      </c>
      <c r="B224" s="44">
        <v>0.45833333333333331</v>
      </c>
      <c r="C224" s="3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05"/>
        <v>113</v>
      </c>
      <c r="P224" s="12">
        <f t="shared" si="106"/>
        <v>109</v>
      </c>
      <c r="Q224" s="12" t="str">
        <f t="shared" si="107"/>
        <v>HW</v>
      </c>
      <c r="R224" s="12" t="str">
        <f t="shared" si="108"/>
        <v>HW</v>
      </c>
      <c r="S224" s="12" t="str">
        <f t="shared" si="109"/>
        <v>HW</v>
      </c>
      <c r="T224" s="12" t="str">
        <f t="shared" si="110"/>
        <v>HL</v>
      </c>
      <c r="U224" s="12" t="str">
        <f t="shared" si="111"/>
        <v>O</v>
      </c>
      <c r="V224" s="12" t="str">
        <f t="shared" si="112"/>
        <v>O</v>
      </c>
      <c r="W224" s="12" t="str">
        <f t="shared" si="113"/>
        <v>U</v>
      </c>
      <c r="X224" s="12" t="str">
        <f t="shared" si="114"/>
        <v>O</v>
      </c>
      <c r="Z224" s="3">
        <v>54</v>
      </c>
      <c r="AB224" s="12" t="str">
        <f t="shared" si="115"/>
        <v>UTA/GS</v>
      </c>
      <c r="AC224" s="12">
        <f t="shared" si="116"/>
        <v>3</v>
      </c>
      <c r="AD224" s="12">
        <f t="shared" si="117"/>
        <v>1</v>
      </c>
    </row>
    <row r="225" spans="1:30" x14ac:dyDescent="0.45">
      <c r="A225" s="12">
        <v>191123</v>
      </c>
      <c r="B225" s="44">
        <v>0.52083333333333337</v>
      </c>
      <c r="C225" s="3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05"/>
        <v>122</v>
      </c>
      <c r="P225" s="12">
        <f t="shared" si="106"/>
        <v>119</v>
      </c>
      <c r="Q225" s="12" t="str">
        <f t="shared" si="107"/>
        <v>HW</v>
      </c>
      <c r="R225" s="12" t="str">
        <f t="shared" si="108"/>
        <v>HL</v>
      </c>
      <c r="S225" s="12" t="str">
        <f t="shared" si="109"/>
        <v>HL</v>
      </c>
      <c r="T225" s="12" t="str">
        <f t="shared" si="110"/>
        <v>HW</v>
      </c>
      <c r="U225" s="12" t="str">
        <f t="shared" si="111"/>
        <v>U</v>
      </c>
      <c r="V225" s="12" t="str">
        <f t="shared" si="112"/>
        <v>U</v>
      </c>
      <c r="W225" s="12" t="str">
        <f t="shared" si="113"/>
        <v>T</v>
      </c>
      <c r="X225" s="12" t="str">
        <f t="shared" si="114"/>
        <v>O</v>
      </c>
      <c r="Z225" s="3">
        <v>58</v>
      </c>
      <c r="AB225" s="12" t="str">
        <f t="shared" si="115"/>
        <v>LAC/HOU</v>
      </c>
      <c r="AC225" s="12">
        <f t="shared" si="116"/>
        <v>1</v>
      </c>
      <c r="AD225" s="12">
        <f t="shared" si="117"/>
        <v>2</v>
      </c>
    </row>
    <row r="226" spans="1:30" x14ac:dyDescent="0.45">
      <c r="A226" s="12">
        <v>191124</v>
      </c>
      <c r="B226" s="44">
        <v>0.29166666666666669</v>
      </c>
      <c r="C226" s="3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05"/>
        <v>98</v>
      </c>
      <c r="P226" s="12">
        <f t="shared" si="106"/>
        <v>100</v>
      </c>
      <c r="Q226" s="12" t="str">
        <f t="shared" si="107"/>
        <v>HL</v>
      </c>
      <c r="R226" s="12" t="str">
        <f t="shared" si="108"/>
        <v>TT</v>
      </c>
      <c r="S226" s="12" t="str">
        <f t="shared" si="109"/>
        <v>HL</v>
      </c>
      <c r="T226" s="12" t="str">
        <f t="shared" si="110"/>
        <v>HW</v>
      </c>
      <c r="U226" s="12" t="str">
        <f t="shared" si="111"/>
        <v>U</v>
      </c>
      <c r="V226" s="12" t="str">
        <f t="shared" si="112"/>
        <v>U</v>
      </c>
      <c r="W226" s="12" t="str">
        <f t="shared" si="113"/>
        <v>O</v>
      </c>
      <c r="X226" s="12" t="str">
        <f t="shared" si="114"/>
        <v>U</v>
      </c>
      <c r="Z226" s="3">
        <v>57</v>
      </c>
      <c r="AB226" s="12" t="str">
        <f t="shared" si="115"/>
        <v>MIN/PHO</v>
      </c>
      <c r="AC226" s="12">
        <f t="shared" si="116"/>
        <v>1</v>
      </c>
      <c r="AD226" s="12">
        <f t="shared" si="117"/>
        <v>3</v>
      </c>
    </row>
    <row r="227" spans="1:30" x14ac:dyDescent="0.45">
      <c r="A227" s="12">
        <v>191124</v>
      </c>
      <c r="B227" s="44">
        <v>0.375</v>
      </c>
      <c r="C227" s="3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05"/>
        <v>111</v>
      </c>
      <c r="P227" s="12">
        <f t="shared" si="106"/>
        <v>106</v>
      </c>
      <c r="Q227" s="12" t="str">
        <f t="shared" si="107"/>
        <v>HL</v>
      </c>
      <c r="R227" s="12" t="str">
        <f t="shared" si="108"/>
        <v>HW</v>
      </c>
      <c r="S227" s="12" t="str">
        <f t="shared" si="109"/>
        <v>HL</v>
      </c>
      <c r="T227" s="12" t="str">
        <f t="shared" si="110"/>
        <v>HW</v>
      </c>
      <c r="U227" s="12" t="str">
        <f t="shared" si="111"/>
        <v>U</v>
      </c>
      <c r="V227" s="12" t="str">
        <f t="shared" si="112"/>
        <v>U</v>
      </c>
      <c r="W227" s="12" t="str">
        <f t="shared" si="113"/>
        <v>O</v>
      </c>
      <c r="X227" s="12" t="str">
        <f t="shared" si="114"/>
        <v>U</v>
      </c>
      <c r="Z227" s="3">
        <v>52</v>
      </c>
      <c r="AB227" s="12" t="str">
        <f t="shared" si="115"/>
        <v>IND/ORL</v>
      </c>
      <c r="AC227" s="12">
        <f t="shared" si="116"/>
        <v>1</v>
      </c>
      <c r="AD227" s="12">
        <f t="shared" si="117"/>
        <v>3</v>
      </c>
    </row>
    <row r="228" spans="1:30" x14ac:dyDescent="0.45">
      <c r="A228" s="12">
        <v>191124</v>
      </c>
      <c r="B228" s="44">
        <v>0.375</v>
      </c>
      <c r="C228" s="3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05"/>
        <v>115</v>
      </c>
      <c r="P228" s="12">
        <f t="shared" si="106"/>
        <v>116</v>
      </c>
      <c r="Q228" s="12" t="str">
        <f t="shared" si="107"/>
        <v>HL</v>
      </c>
      <c r="R228" s="12" t="str">
        <f t="shared" si="108"/>
        <v>HW</v>
      </c>
      <c r="S228" s="12" t="str">
        <f t="shared" si="109"/>
        <v>HW</v>
      </c>
      <c r="T228" s="12" t="str">
        <f t="shared" si="110"/>
        <v>HL</v>
      </c>
      <c r="U228" s="12" t="str">
        <f t="shared" si="111"/>
        <v>O</v>
      </c>
      <c r="V228" s="12" t="str">
        <f t="shared" si="112"/>
        <v>U</v>
      </c>
      <c r="W228" s="12" t="str">
        <f t="shared" si="113"/>
        <v>U</v>
      </c>
      <c r="X228" s="12" t="str">
        <f t="shared" si="114"/>
        <v>O</v>
      </c>
      <c r="Z228" s="3">
        <v>54.5</v>
      </c>
      <c r="AB228" s="12" t="str">
        <f t="shared" si="115"/>
        <v>CHA/CHI</v>
      </c>
      <c r="AC228" s="12">
        <f t="shared" si="116"/>
        <v>2</v>
      </c>
      <c r="AD228" s="12">
        <f t="shared" si="117"/>
        <v>2</v>
      </c>
    </row>
    <row r="229" spans="1:30" x14ac:dyDescent="0.45">
      <c r="A229" s="12">
        <v>191124</v>
      </c>
      <c r="B229" s="44">
        <v>0.39583333333333331</v>
      </c>
      <c r="C229" s="3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05"/>
        <v>116</v>
      </c>
      <c r="P229" s="12">
        <f t="shared" si="106"/>
        <v>119</v>
      </c>
      <c r="Q229" s="12" t="str">
        <f t="shared" si="107"/>
        <v>HW</v>
      </c>
      <c r="R229" s="12" t="str">
        <f t="shared" si="108"/>
        <v>HW</v>
      </c>
      <c r="S229" s="12" t="str">
        <f t="shared" si="109"/>
        <v>HL</v>
      </c>
      <c r="T229" s="12" t="str">
        <f t="shared" si="110"/>
        <v>HL</v>
      </c>
      <c r="U229" s="12" t="str">
        <f t="shared" si="111"/>
        <v>U</v>
      </c>
      <c r="V229" s="12" t="str">
        <f t="shared" si="112"/>
        <v>O</v>
      </c>
      <c r="W229" s="12" t="str">
        <f t="shared" si="113"/>
        <v>O</v>
      </c>
      <c r="X229" s="12" t="str">
        <f t="shared" si="114"/>
        <v>O</v>
      </c>
      <c r="Z229" s="3">
        <v>57.5</v>
      </c>
      <c r="AB229" s="12" t="str">
        <f t="shared" si="115"/>
        <v>ATL/TOR</v>
      </c>
      <c r="AC229" s="12">
        <f t="shared" si="116"/>
        <v>3</v>
      </c>
      <c r="AD229" s="12">
        <f t="shared" si="117"/>
        <v>1</v>
      </c>
    </row>
    <row r="230" spans="1:30" x14ac:dyDescent="0.45">
      <c r="A230" s="12">
        <v>191124</v>
      </c>
      <c r="B230" s="44">
        <v>0.39583333333333331</v>
      </c>
      <c r="C230" s="3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05"/>
        <v>104</v>
      </c>
      <c r="P230" s="12">
        <f t="shared" si="106"/>
        <v>111</v>
      </c>
      <c r="Q230" s="12" t="str">
        <f t="shared" si="107"/>
        <v>HL</v>
      </c>
      <c r="R230" s="12" t="str">
        <f t="shared" si="108"/>
        <v>HL</v>
      </c>
      <c r="S230" s="12" t="str">
        <f t="shared" si="109"/>
        <v>HW</v>
      </c>
      <c r="T230" s="12" t="str">
        <f t="shared" si="110"/>
        <v>HW</v>
      </c>
      <c r="U230" s="12" t="str">
        <f t="shared" si="111"/>
        <v>U</v>
      </c>
      <c r="V230" s="12" t="str">
        <f t="shared" si="112"/>
        <v>O</v>
      </c>
      <c r="W230" s="12" t="str">
        <f t="shared" si="113"/>
        <v>U</v>
      </c>
      <c r="X230" s="12" t="str">
        <f t="shared" si="114"/>
        <v>O</v>
      </c>
      <c r="Z230" s="3">
        <v>52.5</v>
      </c>
      <c r="AB230" s="12" t="str">
        <f t="shared" si="115"/>
        <v>NYK/SAS</v>
      </c>
      <c r="AC230" s="12">
        <f t="shared" si="116"/>
        <v>2</v>
      </c>
      <c r="AD230" s="12">
        <f t="shared" si="117"/>
        <v>2</v>
      </c>
    </row>
    <row r="231" spans="1:30" x14ac:dyDescent="0.45">
      <c r="A231" s="12">
        <v>191124</v>
      </c>
      <c r="B231" s="44">
        <v>0.39583333333333331</v>
      </c>
      <c r="C231" s="3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05"/>
        <v>113</v>
      </c>
      <c r="P231" s="12">
        <f t="shared" si="106"/>
        <v>86</v>
      </c>
      <c r="Q231" s="12" t="str">
        <f t="shared" si="107"/>
        <v>HW</v>
      </c>
      <c r="R231" s="12" t="str">
        <f t="shared" si="108"/>
        <v>HW</v>
      </c>
      <c r="S231" s="12" t="str">
        <f t="shared" si="109"/>
        <v>HW</v>
      </c>
      <c r="T231" s="12" t="str">
        <f t="shared" si="110"/>
        <v>HL</v>
      </c>
      <c r="U231" s="12" t="str">
        <f t="shared" si="111"/>
        <v>U</v>
      </c>
      <c r="V231" s="12" t="str">
        <f t="shared" si="112"/>
        <v>U</v>
      </c>
      <c r="W231" s="12" t="str">
        <f t="shared" si="113"/>
        <v>O</v>
      </c>
      <c r="X231" s="12" t="str">
        <f t="shared" si="114"/>
        <v>U</v>
      </c>
      <c r="Z231" s="3">
        <v>54.5</v>
      </c>
      <c r="AB231" s="12" t="str">
        <f t="shared" si="115"/>
        <v>PHI/MIA</v>
      </c>
      <c r="AC231" s="12">
        <f t="shared" si="116"/>
        <v>1</v>
      </c>
      <c r="AD231" s="12">
        <f t="shared" si="117"/>
        <v>3</v>
      </c>
    </row>
    <row r="232" spans="1:30" x14ac:dyDescent="0.45">
      <c r="A232" s="12">
        <v>191124</v>
      </c>
      <c r="B232" s="44">
        <v>0.41666666666666669</v>
      </c>
      <c r="C232" s="3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05"/>
        <v>110</v>
      </c>
      <c r="P232" s="12">
        <f t="shared" si="106"/>
        <v>104</v>
      </c>
      <c r="Q232" s="12" t="str">
        <f t="shared" si="107"/>
        <v>TT</v>
      </c>
      <c r="R232" s="12" t="str">
        <f t="shared" si="108"/>
        <v>HW</v>
      </c>
      <c r="S232" s="12" t="str">
        <f t="shared" si="109"/>
        <v>TT</v>
      </c>
      <c r="T232" s="12" t="str">
        <f t="shared" si="110"/>
        <v>HL</v>
      </c>
      <c r="U232" s="12" t="str">
        <f t="shared" si="111"/>
        <v>U</v>
      </c>
      <c r="V232" s="12" t="str">
        <f t="shared" si="112"/>
        <v>U</v>
      </c>
      <c r="W232" s="12" t="str">
        <f t="shared" si="113"/>
        <v>U</v>
      </c>
      <c r="X232" s="12" t="str">
        <f t="shared" si="114"/>
        <v>O</v>
      </c>
      <c r="Z232" s="3">
        <v>55</v>
      </c>
      <c r="AB232" s="12" t="str">
        <f t="shared" si="115"/>
        <v>CLE/POR</v>
      </c>
      <c r="AC232" s="12">
        <f t="shared" si="116"/>
        <v>1</v>
      </c>
      <c r="AD232" s="12">
        <f t="shared" si="117"/>
        <v>3</v>
      </c>
    </row>
    <row r="233" spans="1:30" x14ac:dyDescent="0.45">
      <c r="A233" s="12">
        <v>191124</v>
      </c>
      <c r="B233" s="44">
        <v>0.41666666666666669</v>
      </c>
      <c r="C233" s="3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05"/>
        <v>108</v>
      </c>
      <c r="P233" s="12">
        <f t="shared" si="106"/>
        <v>109</v>
      </c>
      <c r="Q233" s="12" t="str">
        <f t="shared" si="107"/>
        <v>HW</v>
      </c>
      <c r="R233" s="12" t="str">
        <f t="shared" si="108"/>
        <v>HL</v>
      </c>
      <c r="S233" s="12" t="str">
        <f t="shared" si="109"/>
        <v>HL</v>
      </c>
      <c r="T233" s="12" t="str">
        <f t="shared" si="110"/>
        <v>TT</v>
      </c>
      <c r="U233" s="12" t="str">
        <f t="shared" si="111"/>
        <v>O</v>
      </c>
      <c r="V233" s="12" t="str">
        <f t="shared" si="112"/>
        <v>O</v>
      </c>
      <c r="W233" s="12" t="str">
        <f t="shared" si="113"/>
        <v>U</v>
      </c>
      <c r="X233" s="12" t="str">
        <f t="shared" si="114"/>
        <v>U</v>
      </c>
      <c r="Z233" s="3">
        <v>57.5</v>
      </c>
      <c r="AB233" s="12" t="str">
        <f t="shared" si="115"/>
        <v>MEM/LAL</v>
      </c>
      <c r="AC233" s="12">
        <f t="shared" si="116"/>
        <v>2</v>
      </c>
      <c r="AD233" s="12">
        <f t="shared" si="117"/>
        <v>2</v>
      </c>
    </row>
    <row r="234" spans="1:30" x14ac:dyDescent="0.45">
      <c r="A234" s="12">
        <v>191124</v>
      </c>
      <c r="B234" s="44">
        <v>0.4375</v>
      </c>
      <c r="C234" s="3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05"/>
        <v>104</v>
      </c>
      <c r="P234" s="12">
        <f t="shared" si="106"/>
        <v>90</v>
      </c>
      <c r="Q234" s="12" t="str">
        <f t="shared" si="107"/>
        <v>HW</v>
      </c>
      <c r="R234" s="12" t="str">
        <f t="shared" si="108"/>
        <v>HW</v>
      </c>
      <c r="S234" s="12" t="str">
        <f t="shared" si="109"/>
        <v>HW</v>
      </c>
      <c r="T234" s="12" t="str">
        <f t="shared" si="110"/>
        <v>HW</v>
      </c>
      <c r="U234" s="12" t="str">
        <f t="shared" si="111"/>
        <v>U</v>
      </c>
      <c r="V234" s="12" t="str">
        <f t="shared" si="112"/>
        <v>U</v>
      </c>
      <c r="W234" s="12" t="str">
        <f t="shared" si="113"/>
        <v>U</v>
      </c>
      <c r="X234" s="12" t="str">
        <f t="shared" si="114"/>
        <v>U</v>
      </c>
      <c r="Z234" s="3">
        <v>58</v>
      </c>
      <c r="AB234" s="12" t="str">
        <f t="shared" si="115"/>
        <v>MIL/DET</v>
      </c>
      <c r="AC234" s="12">
        <f t="shared" si="116"/>
        <v>0</v>
      </c>
      <c r="AD234" s="12">
        <f t="shared" si="117"/>
        <v>4</v>
      </c>
    </row>
    <row r="235" spans="1:30" x14ac:dyDescent="0.45">
      <c r="A235" s="12">
        <v>191124</v>
      </c>
      <c r="B235" s="44">
        <v>0.45833333333333331</v>
      </c>
      <c r="C235" s="3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05"/>
        <v>128</v>
      </c>
      <c r="P235" s="12">
        <f t="shared" si="106"/>
        <v>120</v>
      </c>
      <c r="Q235" s="12" t="str">
        <f t="shared" si="107"/>
        <v>HW</v>
      </c>
      <c r="R235" s="12" t="str">
        <f t="shared" si="108"/>
        <v>HW</v>
      </c>
      <c r="S235" s="12" t="str">
        <f t="shared" si="109"/>
        <v>HL</v>
      </c>
      <c r="T235" s="12" t="str">
        <f t="shared" si="110"/>
        <v>HL</v>
      </c>
      <c r="U235" s="12" t="str">
        <f t="shared" si="111"/>
        <v>O</v>
      </c>
      <c r="V235" s="12" t="str">
        <f t="shared" si="112"/>
        <v>U</v>
      </c>
      <c r="W235" s="12" t="str">
        <f t="shared" si="113"/>
        <v>O</v>
      </c>
      <c r="X235" s="12" t="str">
        <f t="shared" si="114"/>
        <v>O</v>
      </c>
      <c r="Z235" s="3">
        <v>57</v>
      </c>
      <c r="AB235" s="12" t="str">
        <f t="shared" si="115"/>
        <v>UTA/NO</v>
      </c>
      <c r="AC235" s="12">
        <f t="shared" si="116"/>
        <v>3</v>
      </c>
      <c r="AD235" s="12">
        <f t="shared" si="117"/>
        <v>1</v>
      </c>
    </row>
    <row r="236" spans="1:30" x14ac:dyDescent="0.45">
      <c r="A236" s="12">
        <v>191125</v>
      </c>
      <c r="B236" s="44">
        <v>0.22916666666666666</v>
      </c>
      <c r="C236" s="3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05"/>
        <v>123</v>
      </c>
      <c r="P236" s="12">
        <f t="shared" si="106"/>
        <v>137</v>
      </c>
      <c r="Q236" s="12" t="str">
        <f t="shared" si="107"/>
        <v>HL</v>
      </c>
      <c r="R236" s="12" t="str">
        <f t="shared" si="108"/>
        <v>HL</v>
      </c>
      <c r="S236" s="12" t="str">
        <f t="shared" si="109"/>
        <v>HW</v>
      </c>
      <c r="T236" s="12" t="str">
        <f t="shared" si="110"/>
        <v>HL</v>
      </c>
      <c r="U236" s="12" t="str">
        <f t="shared" si="111"/>
        <v>O</v>
      </c>
      <c r="V236" s="12" t="str">
        <f t="shared" si="112"/>
        <v>O</v>
      </c>
      <c r="W236" s="12" t="str">
        <f t="shared" si="113"/>
        <v>O</v>
      </c>
      <c r="X236" s="12" t="str">
        <f t="shared" si="114"/>
        <v>O</v>
      </c>
      <c r="Z236" s="3">
        <v>59.5</v>
      </c>
      <c r="AB236" s="12" t="str">
        <f t="shared" si="115"/>
        <v>HOU/DAL</v>
      </c>
      <c r="AC236" s="12">
        <f t="shared" si="116"/>
        <v>4</v>
      </c>
      <c r="AD236" s="12">
        <f t="shared" si="117"/>
        <v>0</v>
      </c>
    </row>
    <row r="237" spans="1:30" x14ac:dyDescent="0.45">
      <c r="A237" s="12">
        <v>191125</v>
      </c>
      <c r="B237" s="44">
        <v>0.33333333333333331</v>
      </c>
      <c r="C237" s="3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05"/>
        <v>101</v>
      </c>
      <c r="P237" s="12">
        <f t="shared" si="106"/>
        <v>103</v>
      </c>
      <c r="Q237" s="12" t="str">
        <f t="shared" si="107"/>
        <v>HL</v>
      </c>
      <c r="R237" s="12" t="str">
        <f t="shared" si="108"/>
        <v>HW</v>
      </c>
      <c r="S237" s="12" t="str">
        <f t="shared" si="109"/>
        <v>HL</v>
      </c>
      <c r="T237" s="12" t="str">
        <f t="shared" si="110"/>
        <v>HW</v>
      </c>
      <c r="U237" s="12" t="str">
        <f t="shared" si="111"/>
        <v>U</v>
      </c>
      <c r="V237" s="12" t="str">
        <f t="shared" si="112"/>
        <v>U</v>
      </c>
      <c r="W237" s="12" t="str">
        <f t="shared" si="113"/>
        <v>O</v>
      </c>
      <c r="X237" s="12" t="str">
        <f t="shared" si="114"/>
        <v>U</v>
      </c>
      <c r="Z237" s="3">
        <v>52</v>
      </c>
      <c r="AB237" s="12" t="str">
        <f t="shared" si="115"/>
        <v>NYK/BKN</v>
      </c>
      <c r="AC237" s="12">
        <f t="shared" si="116"/>
        <v>1</v>
      </c>
      <c r="AD237" s="12">
        <f t="shared" si="117"/>
        <v>3</v>
      </c>
    </row>
    <row r="238" spans="1:30" x14ac:dyDescent="0.45">
      <c r="A238" s="12">
        <v>191125</v>
      </c>
      <c r="B238" s="44">
        <v>0.33333333333333331</v>
      </c>
      <c r="C238" s="3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05"/>
        <v>106</v>
      </c>
      <c r="P238" s="12">
        <f t="shared" si="106"/>
        <v>113</v>
      </c>
      <c r="Q238" s="12" t="str">
        <f t="shared" si="107"/>
        <v>HW</v>
      </c>
      <c r="R238" s="12" t="str">
        <f t="shared" si="108"/>
        <v>HL</v>
      </c>
      <c r="S238" s="12" t="str">
        <f t="shared" si="109"/>
        <v>HL</v>
      </c>
      <c r="T238" s="12" t="str">
        <f t="shared" si="110"/>
        <v>HL</v>
      </c>
      <c r="U238" s="12" t="str">
        <f t="shared" si="111"/>
        <v>U</v>
      </c>
      <c r="V238" s="12" t="str">
        <f t="shared" si="112"/>
        <v>O</v>
      </c>
      <c r="W238" s="12" t="str">
        <f t="shared" si="113"/>
        <v>O</v>
      </c>
      <c r="X238" s="12" t="str">
        <f t="shared" si="114"/>
        <v>U</v>
      </c>
      <c r="Z238" s="3">
        <v>60.5</v>
      </c>
      <c r="AB238" s="12" t="str">
        <f t="shared" si="115"/>
        <v>WAS/SAC</v>
      </c>
      <c r="AC238" s="12">
        <f t="shared" si="116"/>
        <v>2</v>
      </c>
      <c r="AD238" s="12">
        <f t="shared" si="117"/>
        <v>2</v>
      </c>
    </row>
    <row r="239" spans="1:30" x14ac:dyDescent="0.45">
      <c r="A239" s="12">
        <v>191125</v>
      </c>
      <c r="B239" s="44">
        <v>0.41666666666666669</v>
      </c>
      <c r="C239" s="3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05"/>
        <v>116</v>
      </c>
      <c r="P239" s="12">
        <f t="shared" si="106"/>
        <v>104</v>
      </c>
      <c r="Q239" s="12" t="str">
        <f t="shared" si="107"/>
        <v>TT</v>
      </c>
      <c r="R239" s="12" t="str">
        <f t="shared" si="108"/>
        <v>HL</v>
      </c>
      <c r="S239" s="12" t="str">
        <f t="shared" si="109"/>
        <v>HW</v>
      </c>
      <c r="T239" s="12" t="str">
        <f t="shared" si="110"/>
        <v>HW</v>
      </c>
      <c r="U239" s="12" t="str">
        <f t="shared" si="111"/>
        <v>O</v>
      </c>
      <c r="V239" s="12" t="str">
        <f t="shared" si="112"/>
        <v>O</v>
      </c>
      <c r="W239" s="12" t="str">
        <f t="shared" si="113"/>
        <v>U</v>
      </c>
      <c r="X239" s="12" t="str">
        <f t="shared" si="114"/>
        <v>O</v>
      </c>
      <c r="Z239" s="3">
        <v>52</v>
      </c>
      <c r="AB239" s="12" t="str">
        <f t="shared" si="115"/>
        <v>DEN/PHO</v>
      </c>
      <c r="AC239" s="12">
        <f t="shared" si="116"/>
        <v>3</v>
      </c>
      <c r="AD239" s="12">
        <f t="shared" si="117"/>
        <v>1</v>
      </c>
    </row>
    <row r="240" spans="1:30" x14ac:dyDescent="0.45">
      <c r="A240" s="12">
        <v>191125</v>
      </c>
      <c r="B240" s="44">
        <v>0.45833333333333331</v>
      </c>
      <c r="C240" s="3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05"/>
        <v>134</v>
      </c>
      <c r="P240" s="12">
        <f t="shared" si="106"/>
        <v>109</v>
      </c>
      <c r="Q240" s="12" t="str">
        <f t="shared" si="107"/>
        <v>HW</v>
      </c>
      <c r="R240" s="12" t="str">
        <f t="shared" si="108"/>
        <v>HW</v>
      </c>
      <c r="S240" s="12" t="str">
        <f t="shared" si="109"/>
        <v>HL</v>
      </c>
      <c r="T240" s="12" t="str">
        <f t="shared" si="110"/>
        <v>HW</v>
      </c>
      <c r="U240" s="12" t="str">
        <f t="shared" si="111"/>
        <v>O</v>
      </c>
      <c r="V240" s="12" t="str">
        <f t="shared" si="112"/>
        <v>O</v>
      </c>
      <c r="W240" s="12" t="str">
        <f t="shared" si="113"/>
        <v>U</v>
      </c>
      <c r="X240" s="12" t="str">
        <f t="shared" si="114"/>
        <v>U</v>
      </c>
      <c r="Z240" s="3">
        <v>59.5</v>
      </c>
      <c r="AB240" s="12" t="str">
        <f t="shared" si="115"/>
        <v>LAC/NO</v>
      </c>
      <c r="AC240" s="12">
        <f t="shared" si="116"/>
        <v>2</v>
      </c>
      <c r="AD240" s="12">
        <f t="shared" si="117"/>
        <v>2</v>
      </c>
    </row>
    <row r="241" spans="1:30" x14ac:dyDescent="0.45">
      <c r="A241" s="12">
        <v>191126</v>
      </c>
      <c r="B241" s="44">
        <v>0.375</v>
      </c>
      <c r="C241" s="3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05"/>
        <v>106</v>
      </c>
      <c r="P241" s="12">
        <f t="shared" si="106"/>
        <v>108</v>
      </c>
      <c r="Q241" s="12" t="str">
        <f t="shared" si="107"/>
        <v>HW</v>
      </c>
      <c r="R241" s="12" t="str">
        <f t="shared" si="108"/>
        <v>HL</v>
      </c>
      <c r="S241" s="12" t="str">
        <f t="shared" si="109"/>
        <v>HL</v>
      </c>
      <c r="T241" s="12" t="str">
        <f t="shared" si="110"/>
        <v>HW</v>
      </c>
      <c r="U241" s="12" t="str">
        <f t="shared" si="111"/>
        <v>U</v>
      </c>
      <c r="V241" s="12" t="str">
        <f t="shared" si="112"/>
        <v>U</v>
      </c>
      <c r="W241" s="12" t="str">
        <f t="shared" si="113"/>
        <v>T</v>
      </c>
      <c r="X241" s="12" t="str">
        <f t="shared" si="114"/>
        <v>O</v>
      </c>
      <c r="Z241" s="3">
        <v>53</v>
      </c>
      <c r="AB241" s="12" t="str">
        <f t="shared" si="115"/>
        <v>CLE/BKN</v>
      </c>
      <c r="AC241" s="12">
        <f t="shared" si="116"/>
        <v>1</v>
      </c>
      <c r="AD241" s="12">
        <f t="shared" si="117"/>
        <v>2</v>
      </c>
    </row>
    <row r="242" spans="1:30" x14ac:dyDescent="0.45">
      <c r="A242" s="12">
        <v>191126</v>
      </c>
      <c r="B242" s="44">
        <v>0.375</v>
      </c>
      <c r="C242" s="3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05"/>
        <v>103</v>
      </c>
      <c r="P242" s="12">
        <f t="shared" si="106"/>
        <v>88</v>
      </c>
      <c r="Q242" s="12" t="str">
        <f t="shared" si="107"/>
        <v>HL</v>
      </c>
      <c r="R242" s="12" t="str">
        <f t="shared" si="108"/>
        <v>HW</v>
      </c>
      <c r="S242" s="12" t="str">
        <f t="shared" si="109"/>
        <v>HW</v>
      </c>
      <c r="T242" s="12" t="str">
        <f t="shared" si="110"/>
        <v>HW</v>
      </c>
      <c r="U242" s="12" t="str">
        <f t="shared" si="111"/>
        <v>O</v>
      </c>
      <c r="V242" s="12" t="str">
        <f t="shared" si="112"/>
        <v>O</v>
      </c>
      <c r="W242" s="12" t="str">
        <f t="shared" si="113"/>
        <v>U</v>
      </c>
      <c r="X242" s="12" t="str">
        <f t="shared" si="114"/>
        <v>U</v>
      </c>
      <c r="Z242" s="3">
        <v>53.5</v>
      </c>
      <c r="AB242" s="12" t="str">
        <f t="shared" si="115"/>
        <v>DET/ORL</v>
      </c>
      <c r="AC242" s="12">
        <f t="shared" si="116"/>
        <v>2</v>
      </c>
      <c r="AD242" s="12">
        <f t="shared" si="117"/>
        <v>2</v>
      </c>
    </row>
    <row r="243" spans="1:30" x14ac:dyDescent="0.45">
      <c r="A243" s="12">
        <v>191126</v>
      </c>
      <c r="B243" s="44">
        <v>0.375</v>
      </c>
      <c r="C243" s="3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05"/>
        <v>126</v>
      </c>
      <c r="P243" s="12">
        <f t="shared" si="106"/>
        <v>114</v>
      </c>
      <c r="Q243" s="12" t="str">
        <f t="shared" si="107"/>
        <v>HW</v>
      </c>
      <c r="R243" s="12" t="str">
        <f t="shared" si="108"/>
        <v>HW</v>
      </c>
      <c r="S243" s="12" t="str">
        <f t="shared" si="109"/>
        <v>HW</v>
      </c>
      <c r="T243" s="12" t="str">
        <f t="shared" si="110"/>
        <v>HL</v>
      </c>
      <c r="U243" s="12" t="str">
        <f t="shared" si="111"/>
        <v>O</v>
      </c>
      <c r="V243" s="12" t="str">
        <f t="shared" si="112"/>
        <v>O</v>
      </c>
      <c r="W243" s="12" t="str">
        <f t="shared" si="113"/>
        <v>O</v>
      </c>
      <c r="X243" s="12" t="str">
        <f t="shared" si="114"/>
        <v>U</v>
      </c>
      <c r="Z243" s="3">
        <v>53.5</v>
      </c>
      <c r="AB243" s="12" t="str">
        <f t="shared" si="115"/>
        <v>IND/MEM</v>
      </c>
      <c r="AC243" s="12">
        <f t="shared" si="116"/>
        <v>3</v>
      </c>
      <c r="AD243" s="12">
        <f t="shared" si="117"/>
        <v>1</v>
      </c>
    </row>
    <row r="244" spans="1:30" x14ac:dyDescent="0.45">
      <c r="A244" s="12">
        <v>191126</v>
      </c>
      <c r="B244" s="44">
        <v>0.39583333333333331</v>
      </c>
      <c r="C244" s="3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05"/>
        <v>113</v>
      </c>
      <c r="P244" s="12">
        <f t="shared" si="106"/>
        <v>125</v>
      </c>
      <c r="Q244" s="12" t="str">
        <f t="shared" si="107"/>
        <v>HL</v>
      </c>
      <c r="R244" s="12" t="str">
        <f t="shared" si="108"/>
        <v>HW</v>
      </c>
      <c r="S244" s="12" t="str">
        <f t="shared" si="109"/>
        <v>HL</v>
      </c>
      <c r="T244" s="12" t="str">
        <f t="shared" si="110"/>
        <v>HL</v>
      </c>
      <c r="U244" s="12" t="str">
        <f t="shared" si="111"/>
        <v>O</v>
      </c>
      <c r="V244" s="12" t="str">
        <f t="shared" si="112"/>
        <v>U</v>
      </c>
      <c r="W244" s="12" t="str">
        <f t="shared" si="113"/>
        <v>O</v>
      </c>
      <c r="X244" s="12" t="str">
        <f t="shared" si="114"/>
        <v>U</v>
      </c>
      <c r="Z244" s="3">
        <v>60</v>
      </c>
      <c r="AB244" s="12" t="str">
        <f t="shared" si="115"/>
        <v>ATL/MIN</v>
      </c>
      <c r="AC244" s="12">
        <f t="shared" si="116"/>
        <v>2</v>
      </c>
      <c r="AD244" s="12">
        <f t="shared" si="117"/>
        <v>2</v>
      </c>
    </row>
    <row r="245" spans="1:30" x14ac:dyDescent="0.45">
      <c r="A245" s="12">
        <v>191126</v>
      </c>
      <c r="B245" s="44">
        <v>0.39583333333333331</v>
      </c>
      <c r="C245" s="3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05"/>
        <v>103</v>
      </c>
      <c r="P245" s="12">
        <f t="shared" si="106"/>
        <v>102</v>
      </c>
      <c r="Q245" s="12" t="str">
        <f t="shared" si="107"/>
        <v>HL</v>
      </c>
      <c r="R245" s="12" t="str">
        <f t="shared" si="108"/>
        <v>HW</v>
      </c>
      <c r="S245" s="12" t="str">
        <f t="shared" si="109"/>
        <v>HL</v>
      </c>
      <c r="T245" s="12" t="str">
        <f t="shared" si="110"/>
        <v>HW</v>
      </c>
      <c r="U245" s="12" t="str">
        <f t="shared" si="111"/>
        <v>U</v>
      </c>
      <c r="V245" s="12" t="str">
        <f t="shared" si="112"/>
        <v>O</v>
      </c>
      <c r="W245" s="12" t="str">
        <f t="shared" si="113"/>
        <v>U</v>
      </c>
      <c r="X245" s="12" t="str">
        <f t="shared" si="114"/>
        <v>O</v>
      </c>
      <c r="Z245" s="3">
        <v>52.5</v>
      </c>
      <c r="AB245" s="12" t="str">
        <f t="shared" si="115"/>
        <v>BOS/SAC</v>
      </c>
      <c r="AC245" s="12">
        <f t="shared" si="116"/>
        <v>2</v>
      </c>
      <c r="AD245" s="12">
        <f t="shared" si="117"/>
        <v>2</v>
      </c>
    </row>
    <row r="246" spans="1:30" x14ac:dyDescent="0.45">
      <c r="A246" s="12">
        <v>191126</v>
      </c>
      <c r="B246" s="44">
        <v>0.39583333333333331</v>
      </c>
      <c r="C246" s="3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05"/>
        <v>117</v>
      </c>
      <c r="P246" s="12">
        <f t="shared" si="106"/>
        <v>100</v>
      </c>
      <c r="Q246" s="12" t="str">
        <f t="shared" si="107"/>
        <v>HW</v>
      </c>
      <c r="R246" s="12" t="str">
        <f t="shared" si="108"/>
        <v>HW</v>
      </c>
      <c r="S246" s="12" t="str">
        <f t="shared" si="109"/>
        <v>HW</v>
      </c>
      <c r="T246" s="12" t="str">
        <f t="shared" si="110"/>
        <v>HW</v>
      </c>
      <c r="U246" s="12" t="str">
        <f t="shared" si="111"/>
        <v>O</v>
      </c>
      <c r="V246" s="12" t="str">
        <f t="shared" si="112"/>
        <v>O</v>
      </c>
      <c r="W246" s="12" t="str">
        <f t="shared" si="113"/>
        <v>U</v>
      </c>
      <c r="X246" s="12" t="str">
        <f t="shared" si="114"/>
        <v>U</v>
      </c>
      <c r="Z246" s="3">
        <v>55</v>
      </c>
      <c r="AB246" s="12" t="str">
        <f t="shared" si="115"/>
        <v>MIA/CHA</v>
      </c>
      <c r="AC246" s="12">
        <f t="shared" si="116"/>
        <v>2</v>
      </c>
      <c r="AD246" s="12">
        <f t="shared" si="117"/>
        <v>2</v>
      </c>
    </row>
    <row r="247" spans="1:30" x14ac:dyDescent="0.45">
      <c r="A247" s="12">
        <v>191126</v>
      </c>
      <c r="B247" s="44">
        <v>0.39583333333333331</v>
      </c>
      <c r="C247" s="3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05"/>
        <v>101</v>
      </c>
      <c r="P247" s="12">
        <f t="shared" si="106"/>
        <v>96</v>
      </c>
      <c r="Q247" s="12" t="str">
        <f t="shared" si="107"/>
        <v>HL</v>
      </c>
      <c r="R247" s="12" t="str">
        <f t="shared" si="108"/>
        <v>HW</v>
      </c>
      <c r="S247" s="12" t="str">
        <f t="shared" si="109"/>
        <v>HL</v>
      </c>
      <c r="T247" s="12" t="str">
        <f t="shared" si="110"/>
        <v>HW</v>
      </c>
      <c r="U247" s="12" t="str">
        <f t="shared" si="111"/>
        <v>O</v>
      </c>
      <c r="V247" s="12" t="str">
        <f t="shared" si="112"/>
        <v>U</v>
      </c>
      <c r="W247" s="12" t="str">
        <f t="shared" si="113"/>
        <v>O</v>
      </c>
      <c r="X247" s="12" t="str">
        <f t="shared" si="114"/>
        <v>U</v>
      </c>
      <c r="Z247" s="3">
        <v>52</v>
      </c>
      <c r="AB247" s="12" t="str">
        <f t="shared" si="115"/>
        <v>TOR/PHI</v>
      </c>
      <c r="AC247" s="12">
        <f t="shared" si="116"/>
        <v>2</v>
      </c>
      <c r="AD247" s="12">
        <f t="shared" si="117"/>
        <v>2</v>
      </c>
    </row>
    <row r="248" spans="1:30" x14ac:dyDescent="0.45">
      <c r="A248" s="12">
        <v>191126</v>
      </c>
      <c r="B248" s="44">
        <v>0.41666666666666669</v>
      </c>
      <c r="C248" s="3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05"/>
        <v>94</v>
      </c>
      <c r="P248" s="12">
        <f t="shared" si="106"/>
        <v>117</v>
      </c>
      <c r="Q248" s="12" t="str">
        <f t="shared" si="107"/>
        <v>HW</v>
      </c>
      <c r="R248" s="12" t="str">
        <f t="shared" si="108"/>
        <v>HL</v>
      </c>
      <c r="S248" s="12" t="str">
        <f t="shared" si="109"/>
        <v>HL</v>
      </c>
      <c r="T248" s="12" t="str">
        <f t="shared" si="110"/>
        <v>HL</v>
      </c>
      <c r="U248" s="12" t="str">
        <f t="shared" si="111"/>
        <v>T</v>
      </c>
      <c r="V248" s="12" t="str">
        <f t="shared" si="112"/>
        <v>O</v>
      </c>
      <c r="W248" s="12" t="str">
        <f t="shared" si="113"/>
        <v>U</v>
      </c>
      <c r="X248" s="12" t="str">
        <f t="shared" si="114"/>
        <v>U</v>
      </c>
      <c r="Z248" s="3">
        <v>55</v>
      </c>
      <c r="AB248" s="12" t="str">
        <f t="shared" si="115"/>
        <v>CHI/POR</v>
      </c>
      <c r="AC248" s="12">
        <f t="shared" si="116"/>
        <v>1</v>
      </c>
      <c r="AD248" s="12">
        <f t="shared" si="117"/>
        <v>2</v>
      </c>
    </row>
    <row r="249" spans="1:30" x14ac:dyDescent="0.45">
      <c r="A249" s="12">
        <v>191126</v>
      </c>
      <c r="B249" s="44">
        <v>0.41666666666666669</v>
      </c>
      <c r="C249" s="3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05"/>
        <v>122</v>
      </c>
      <c r="P249" s="12">
        <f t="shared" si="106"/>
        <v>118</v>
      </c>
      <c r="Q249" s="12" t="str">
        <f t="shared" si="107"/>
        <v>HL</v>
      </c>
      <c r="R249" s="12" t="str">
        <f t="shared" si="108"/>
        <v>HL</v>
      </c>
      <c r="S249" s="12" t="str">
        <f t="shared" si="109"/>
        <v>HW</v>
      </c>
      <c r="T249" s="12" t="str">
        <f t="shared" si="110"/>
        <v>HL</v>
      </c>
      <c r="U249" s="12" t="str">
        <f t="shared" si="111"/>
        <v>U</v>
      </c>
      <c r="V249" s="12" t="str">
        <f t="shared" si="112"/>
        <v>O</v>
      </c>
      <c r="W249" s="12" t="str">
        <f t="shared" si="113"/>
        <v>O</v>
      </c>
      <c r="X249" s="12" t="str">
        <f t="shared" si="114"/>
        <v>O</v>
      </c>
      <c r="Z249" s="3">
        <v>55.5</v>
      </c>
      <c r="AB249" s="12" t="str">
        <f t="shared" si="115"/>
        <v>MIL/UTA</v>
      </c>
      <c r="AC249" s="12">
        <f t="shared" si="116"/>
        <v>3</v>
      </c>
      <c r="AD249" s="12">
        <f t="shared" si="117"/>
        <v>1</v>
      </c>
    </row>
    <row r="250" spans="1:30" x14ac:dyDescent="0.45">
      <c r="A250" s="12">
        <v>191126</v>
      </c>
      <c r="B250" s="44">
        <v>0.4375</v>
      </c>
      <c r="C250" s="3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05"/>
        <v>104</v>
      </c>
      <c r="P250" s="12">
        <f t="shared" si="106"/>
        <v>114</v>
      </c>
      <c r="Q250" s="12" t="str">
        <f t="shared" si="107"/>
        <v>HL</v>
      </c>
      <c r="R250" s="12" t="str">
        <f t="shared" si="108"/>
        <v>HW</v>
      </c>
      <c r="S250" s="12" t="str">
        <f t="shared" si="109"/>
        <v>HL</v>
      </c>
      <c r="T250" s="12" t="str">
        <f t="shared" si="110"/>
        <v>HL</v>
      </c>
      <c r="U250" s="12" t="str">
        <f t="shared" si="111"/>
        <v>U</v>
      </c>
      <c r="V250" s="12" t="str">
        <f t="shared" si="112"/>
        <v>O</v>
      </c>
      <c r="W250" s="12" t="str">
        <f t="shared" si="113"/>
        <v>O</v>
      </c>
      <c r="X250" s="12" t="str">
        <f t="shared" si="114"/>
        <v>U</v>
      </c>
      <c r="Z250" s="3">
        <v>57.5</v>
      </c>
      <c r="AB250" s="12" t="str">
        <f t="shared" si="115"/>
        <v>SAS/LAL</v>
      </c>
      <c r="AC250" s="12">
        <f t="shared" si="116"/>
        <v>2</v>
      </c>
      <c r="AD250" s="12">
        <f t="shared" si="117"/>
        <v>2</v>
      </c>
    </row>
    <row r="251" spans="1:30" x14ac:dyDescent="0.45">
      <c r="A251" s="12">
        <v>191126</v>
      </c>
      <c r="B251" s="44">
        <v>0.4375</v>
      </c>
      <c r="C251" s="3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05"/>
        <v>97</v>
      </c>
      <c r="P251" s="12">
        <f t="shared" si="106"/>
        <v>100</v>
      </c>
      <c r="Q251" s="12" t="str">
        <f t="shared" si="107"/>
        <v>HW</v>
      </c>
      <c r="R251" s="12" t="str">
        <f t="shared" si="108"/>
        <v>HW</v>
      </c>
      <c r="S251" s="12" t="str">
        <f t="shared" si="109"/>
        <v>HW</v>
      </c>
      <c r="T251" s="12" t="str">
        <f t="shared" si="110"/>
        <v>HL</v>
      </c>
      <c r="U251" s="12" t="str">
        <f t="shared" si="111"/>
        <v>U</v>
      </c>
      <c r="V251" s="12" t="str">
        <f t="shared" si="112"/>
        <v>O</v>
      </c>
      <c r="W251" s="12" t="str">
        <f t="shared" si="113"/>
        <v>U</v>
      </c>
      <c r="X251" s="12" t="str">
        <f t="shared" si="114"/>
        <v>U</v>
      </c>
      <c r="Z251" s="3">
        <v>55.5</v>
      </c>
      <c r="AB251" s="12" t="str">
        <f t="shared" si="115"/>
        <v>GS/OKC</v>
      </c>
      <c r="AC251" s="12">
        <f t="shared" si="116"/>
        <v>1</v>
      </c>
      <c r="AD251" s="12">
        <f t="shared" si="117"/>
        <v>3</v>
      </c>
    </row>
    <row r="252" spans="1:30" x14ac:dyDescent="0.45">
      <c r="A252" s="12">
        <v>191127</v>
      </c>
      <c r="B252" s="44">
        <v>0.4375</v>
      </c>
      <c r="C252" s="3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05"/>
        <v>99</v>
      </c>
      <c r="P252" s="12">
        <f t="shared" si="106"/>
        <v>114</v>
      </c>
      <c r="Q252" s="12" t="str">
        <f t="shared" si="107"/>
        <v>HL</v>
      </c>
      <c r="R252" s="12" t="str">
        <f t="shared" si="108"/>
        <v>HL</v>
      </c>
      <c r="S252" s="12" t="str">
        <f t="shared" si="109"/>
        <v>TT</v>
      </c>
      <c r="T252" s="12" t="str">
        <f t="shared" si="110"/>
        <v>HW</v>
      </c>
      <c r="U252" s="12" t="str">
        <f t="shared" si="111"/>
        <v>O</v>
      </c>
      <c r="V252" s="12" t="str">
        <f t="shared" si="112"/>
        <v>U</v>
      </c>
      <c r="W252" s="12" t="str">
        <f t="shared" si="113"/>
        <v>O</v>
      </c>
      <c r="X252" s="12" t="str">
        <f t="shared" si="114"/>
        <v>U</v>
      </c>
      <c r="Z252" s="3">
        <v>58.5</v>
      </c>
      <c r="AB252" s="12" t="str">
        <f t="shared" si="115"/>
        <v>DAL/LAC</v>
      </c>
      <c r="AC252" s="12">
        <f t="shared" si="116"/>
        <v>2</v>
      </c>
      <c r="AD252" s="12">
        <f t="shared" si="117"/>
        <v>2</v>
      </c>
    </row>
    <row r="253" spans="1:30" x14ac:dyDescent="0.45">
      <c r="A253" s="12">
        <v>191127</v>
      </c>
      <c r="B253" s="44">
        <v>0.45833333333333331</v>
      </c>
      <c r="C253" s="3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ref="O253" si="118">SUM(E253:I253)</f>
        <v>117</v>
      </c>
      <c r="P253" s="12">
        <f t="shared" ref="P253" si="119">SUM(J253:N253)</f>
        <v>104</v>
      </c>
      <c r="Q253" s="12" t="str">
        <f t="shared" ref="Q253" si="120">IF(E253=J253,"TT",IF(E253&gt;J253,"HW","HL"))</f>
        <v>HW</v>
      </c>
      <c r="R253" s="12" t="str">
        <f t="shared" ref="R253" si="121">IF(F253=K253,"TT",IF(F253&gt;K253,"HW","HL"))</f>
        <v>HW</v>
      </c>
      <c r="S253" s="12" t="str">
        <f t="shared" ref="S253" si="122">IF(G253=L253,"TT",IF(G253&gt;L253,"HW","HL"))</f>
        <v>TT</v>
      </c>
      <c r="T253" s="12" t="str">
        <f t="shared" ref="T253" si="123">IF(H253=M253,"TT",IF(H253&gt;M253,"HW","HL"))</f>
        <v>HL</v>
      </c>
      <c r="U253" s="12" t="str">
        <f t="shared" ref="U253" si="124">IF(SUM(E253,J253)=$Z253,"T",IF(SUM(E253,J253)&gt;$Z253,"O","U"))</f>
        <v>U</v>
      </c>
      <c r="V253" s="12" t="str">
        <f t="shared" ref="V253" si="125">IF(SUM(F253,K253)=$Z253,"T",IF(SUM(F253,K253)&gt;$Z253,"O","U"))</f>
        <v>O</v>
      </c>
      <c r="W253" s="12" t="str">
        <f t="shared" ref="W253" si="126">IF(SUM(G253,L253)=$Z253,"T",IF(SUM(G253,L253)&gt;$Z253,"O","U"))</f>
        <v>U</v>
      </c>
      <c r="X253" s="12" t="str">
        <f t="shared" ref="X253" si="127">IF(SUM(H253,M253)=$Z253,"T",IF(SUM(H253,M253)&gt;$Z253,"O","U"))</f>
        <v>O</v>
      </c>
      <c r="Z253" s="42">
        <v>58.5</v>
      </c>
      <c r="AB253" s="12" t="str">
        <f t="shared" si="115"/>
        <v>DEN/WAS</v>
      </c>
      <c r="AC253" s="12">
        <f t="shared" si="116"/>
        <v>2</v>
      </c>
      <c r="AD253" s="12">
        <f t="shared" si="117"/>
        <v>2</v>
      </c>
    </row>
    <row r="254" spans="1:30" x14ac:dyDescent="0.45">
      <c r="A254" s="42">
        <v>191128</v>
      </c>
      <c r="B254" s="44">
        <v>0.375</v>
      </c>
      <c r="C254" s="11" t="s">
        <v>272</v>
      </c>
      <c r="D254" s="13" t="s">
        <v>261</v>
      </c>
      <c r="E254" s="42">
        <v>30</v>
      </c>
      <c r="F254" s="42">
        <v>27</v>
      </c>
      <c r="G254" s="42">
        <v>34</v>
      </c>
      <c r="H254" s="42">
        <v>30</v>
      </c>
      <c r="I254" s="42"/>
      <c r="J254" s="42">
        <v>23</v>
      </c>
      <c r="K254" s="42">
        <v>40</v>
      </c>
      <c r="L254" s="42">
        <v>23</v>
      </c>
      <c r="M254" s="42">
        <v>24</v>
      </c>
      <c r="N254" s="42"/>
      <c r="O254" s="42">
        <f t="shared" ref="O254:O280" si="128">SUM(E254:I254)</f>
        <v>121</v>
      </c>
      <c r="P254" s="42">
        <f t="shared" ref="P254:P280" si="129">SUM(J254:N254)</f>
        <v>110</v>
      </c>
      <c r="Q254" s="42" t="str">
        <f t="shared" ref="Q254:Q280" si="130">IF(E254=J254,"TT",IF(E254&gt;J254,"HW","HL"))</f>
        <v>HW</v>
      </c>
      <c r="R254" s="42" t="str">
        <f t="shared" ref="R254:R280" si="131">IF(F254=K254,"TT",IF(F254&gt;K254,"HW","HL"))</f>
        <v>HL</v>
      </c>
      <c r="S254" s="42" t="str">
        <f t="shared" ref="S254:S280" si="132">IF(G254=L254,"TT",IF(G254&gt;L254,"HW","HL"))</f>
        <v>HW</v>
      </c>
      <c r="T254" s="42" t="str">
        <f t="shared" ref="T254:T280" si="133">IF(H254=M254,"TT",IF(H254&gt;M254,"HW","HL"))</f>
        <v>HW</v>
      </c>
      <c r="U254" s="42" t="str">
        <f t="shared" ref="U254:U280" si="134">IF(SUM(E254,J254)=$Z254,"T",IF(SUM(E254,J254)&gt;$Z254,"O","U"))</f>
        <v>O</v>
      </c>
      <c r="V254" s="42" t="str">
        <f t="shared" ref="V254:V280" si="135">IF(SUM(F254,K254)=$Z254,"T",IF(SUM(F254,K254)&gt;$Z254,"O","U"))</f>
        <v>O</v>
      </c>
      <c r="W254" s="42" t="str">
        <f t="shared" ref="W254:W280" si="136">IF(SUM(G254,L254)=$Z254,"T",IF(SUM(G254,L254)&gt;$Z254,"O","U"))</f>
        <v>O</v>
      </c>
      <c r="X254" s="42" t="str">
        <f t="shared" ref="X254:X280" si="137">IF(SUM(H254,M254)=$Z254,"T",IF(SUM(H254,M254)&gt;$Z254,"O","U"))</f>
        <v>O</v>
      </c>
      <c r="Y254" s="42"/>
      <c r="Z254" s="42">
        <v>52.5</v>
      </c>
      <c r="AA254" s="42"/>
      <c r="AB254" s="42" t="str">
        <f t="shared" ref="AB254:AB280" si="138">C254&amp;"/"&amp;D254</f>
        <v>BOS/BKN</v>
      </c>
      <c r="AC254" s="42">
        <f t="shared" ref="AC254:AC280" si="139">COUNTIF(U254:X254,"o")</f>
        <v>4</v>
      </c>
      <c r="AD254" s="42">
        <f t="shared" ref="AD254:AD280" si="140">COUNTIF(U254:X254,"u")</f>
        <v>0</v>
      </c>
    </row>
    <row r="255" spans="1:30" x14ac:dyDescent="0.45">
      <c r="A255" s="42">
        <v>191128</v>
      </c>
      <c r="B255" s="44">
        <v>0.375</v>
      </c>
      <c r="C255" s="42" t="s">
        <v>270</v>
      </c>
      <c r="D255" s="13" t="s">
        <v>280</v>
      </c>
      <c r="E255" s="42">
        <v>27</v>
      </c>
      <c r="F255" s="42">
        <v>25</v>
      </c>
      <c r="G255" s="42">
        <v>21</v>
      </c>
      <c r="H255" s="42">
        <v>31</v>
      </c>
      <c r="I255" s="42"/>
      <c r="J255" s="42">
        <v>27</v>
      </c>
      <c r="K255" s="42">
        <v>32</v>
      </c>
      <c r="L255" s="42">
        <v>28</v>
      </c>
      <c r="M255" s="42">
        <v>29</v>
      </c>
      <c r="N255" s="42"/>
      <c r="O255" s="42">
        <f t="shared" si="128"/>
        <v>104</v>
      </c>
      <c r="P255" s="42">
        <f t="shared" si="129"/>
        <v>116</v>
      </c>
      <c r="Q255" s="42" t="str">
        <f t="shared" si="130"/>
        <v>TT</v>
      </c>
      <c r="R255" s="42" t="str">
        <f t="shared" si="131"/>
        <v>HL</v>
      </c>
      <c r="S255" s="42" t="str">
        <f t="shared" si="132"/>
        <v>HL</v>
      </c>
      <c r="T255" s="42" t="str">
        <f t="shared" si="133"/>
        <v>HW</v>
      </c>
      <c r="U255" s="42" t="str">
        <f t="shared" si="134"/>
        <v>O</v>
      </c>
      <c r="V255" s="42" t="str">
        <f t="shared" si="135"/>
        <v>O</v>
      </c>
      <c r="W255" s="42" t="str">
        <f t="shared" si="136"/>
        <v>U</v>
      </c>
      <c r="X255" s="42" t="str">
        <f t="shared" si="137"/>
        <v>O</v>
      </c>
      <c r="Y255" s="42"/>
      <c r="Z255" s="42">
        <v>53.5</v>
      </c>
      <c r="AA255" s="42"/>
      <c r="AB255" s="42" t="str">
        <f t="shared" si="138"/>
        <v>CLE/ORL</v>
      </c>
      <c r="AC255" s="42">
        <f t="shared" si="139"/>
        <v>3</v>
      </c>
      <c r="AD255" s="42">
        <f t="shared" si="140"/>
        <v>1</v>
      </c>
    </row>
    <row r="256" spans="1:30" x14ac:dyDescent="0.45">
      <c r="A256" s="42">
        <v>191128</v>
      </c>
      <c r="B256" s="44">
        <v>0.375</v>
      </c>
      <c r="C256" s="13" t="s">
        <v>35</v>
      </c>
      <c r="D256" s="5" t="s">
        <v>273</v>
      </c>
      <c r="E256" s="42">
        <v>21</v>
      </c>
      <c r="F256" s="42">
        <v>32</v>
      </c>
      <c r="G256" s="42">
        <v>36</v>
      </c>
      <c r="H256" s="42">
        <v>32</v>
      </c>
      <c r="I256" s="42"/>
      <c r="J256" s="42">
        <v>20</v>
      </c>
      <c r="K256" s="42">
        <v>23</v>
      </c>
      <c r="L256" s="42">
        <v>37</v>
      </c>
      <c r="M256" s="42">
        <v>22</v>
      </c>
      <c r="N256" s="42"/>
      <c r="O256" s="42">
        <f t="shared" si="128"/>
        <v>121</v>
      </c>
      <c r="P256" s="42">
        <f t="shared" si="129"/>
        <v>102</v>
      </c>
      <c r="Q256" s="42" t="str">
        <f t="shared" si="130"/>
        <v>HW</v>
      </c>
      <c r="R256" s="42" t="str">
        <f t="shared" si="131"/>
        <v>HW</v>
      </c>
      <c r="S256" s="42" t="str">
        <f t="shared" si="132"/>
        <v>HL</v>
      </c>
      <c r="T256" s="42" t="str">
        <f t="shared" si="133"/>
        <v>HW</v>
      </c>
      <c r="U256" s="42" t="str">
        <f t="shared" si="134"/>
        <v>U</v>
      </c>
      <c r="V256" s="42" t="str">
        <f t="shared" si="135"/>
        <v>O</v>
      </c>
      <c r="W256" s="42" t="str">
        <f t="shared" si="136"/>
        <v>O</v>
      </c>
      <c r="X256" s="42" t="str">
        <f t="shared" si="137"/>
        <v>O</v>
      </c>
      <c r="Y256" s="42"/>
      <c r="Z256" s="42">
        <v>51</v>
      </c>
      <c r="AA256" s="42"/>
      <c r="AB256" s="42" t="str">
        <f t="shared" si="138"/>
        <v>IND/UTA</v>
      </c>
      <c r="AC256" s="42">
        <f t="shared" si="139"/>
        <v>3</v>
      </c>
      <c r="AD256" s="42">
        <f t="shared" si="140"/>
        <v>1</v>
      </c>
    </row>
    <row r="257" spans="1:30" x14ac:dyDescent="0.45">
      <c r="A257" s="42">
        <v>191128</v>
      </c>
      <c r="B257" s="44">
        <v>0.375</v>
      </c>
      <c r="C257" s="13" t="s">
        <v>265</v>
      </c>
      <c r="D257" s="13" t="s">
        <v>262</v>
      </c>
      <c r="E257" s="42">
        <v>25</v>
      </c>
      <c r="F257" s="42">
        <v>22</v>
      </c>
      <c r="G257" s="42">
        <v>29</v>
      </c>
      <c r="H257" s="42">
        <v>21</v>
      </c>
      <c r="I257" s="42"/>
      <c r="J257" s="42">
        <v>18</v>
      </c>
      <c r="K257" s="42">
        <v>28</v>
      </c>
      <c r="L257" s="42">
        <v>19</v>
      </c>
      <c r="M257" s="42">
        <v>26</v>
      </c>
      <c r="N257" s="42"/>
      <c r="O257" s="42">
        <f t="shared" si="128"/>
        <v>97</v>
      </c>
      <c r="P257" s="42">
        <f t="shared" si="129"/>
        <v>91</v>
      </c>
      <c r="Q257" s="42" t="str">
        <f t="shared" si="130"/>
        <v>HW</v>
      </c>
      <c r="R257" s="42" t="str">
        <f t="shared" si="131"/>
        <v>HL</v>
      </c>
      <c r="S257" s="42" t="str">
        <f t="shared" si="132"/>
        <v>HW</v>
      </c>
      <c r="T257" s="42" t="str">
        <f t="shared" si="133"/>
        <v>HL</v>
      </c>
      <c r="U257" s="42" t="str">
        <f t="shared" si="134"/>
        <v>U</v>
      </c>
      <c r="V257" s="42" t="str">
        <f t="shared" si="135"/>
        <v>U</v>
      </c>
      <c r="W257" s="42" t="str">
        <f t="shared" si="136"/>
        <v>U</v>
      </c>
      <c r="X257" s="42" t="str">
        <f t="shared" si="137"/>
        <v>U</v>
      </c>
      <c r="Y257" s="42"/>
      <c r="Z257" s="42">
        <v>54</v>
      </c>
      <c r="AA257" s="42"/>
      <c r="AB257" s="42" t="str">
        <f t="shared" si="138"/>
        <v>PHI/SAC</v>
      </c>
      <c r="AC257" s="42">
        <f t="shared" si="139"/>
        <v>0</v>
      </c>
      <c r="AD257" s="42">
        <f t="shared" si="140"/>
        <v>4</v>
      </c>
    </row>
    <row r="258" spans="1:30" x14ac:dyDescent="0.45">
      <c r="A258" s="42">
        <v>191128</v>
      </c>
      <c r="B258" s="44">
        <v>0.375</v>
      </c>
      <c r="C258" s="11" t="s">
        <v>260</v>
      </c>
      <c r="D258" s="11" t="s">
        <v>257</v>
      </c>
      <c r="E258" s="42">
        <v>31</v>
      </c>
      <c r="F258" s="42">
        <v>24</v>
      </c>
      <c r="G258" s="42">
        <v>31</v>
      </c>
      <c r="H258" s="42">
        <v>16</v>
      </c>
      <c r="I258" s="42"/>
      <c r="J258" s="42">
        <v>32</v>
      </c>
      <c r="K258" s="42">
        <v>28</v>
      </c>
      <c r="L258" s="42">
        <v>20</v>
      </c>
      <c r="M258" s="42">
        <v>21</v>
      </c>
      <c r="N258" s="42"/>
      <c r="O258" s="42">
        <f t="shared" si="128"/>
        <v>102</v>
      </c>
      <c r="P258" s="42">
        <f t="shared" si="129"/>
        <v>101</v>
      </c>
      <c r="Q258" s="42" t="str">
        <f t="shared" si="130"/>
        <v>HL</v>
      </c>
      <c r="R258" s="42" t="str">
        <f t="shared" si="131"/>
        <v>HL</v>
      </c>
      <c r="S258" s="42" t="str">
        <f t="shared" si="132"/>
        <v>HW</v>
      </c>
      <c r="T258" s="42" t="str">
        <f t="shared" si="133"/>
        <v>HL</v>
      </c>
      <c r="U258" s="42" t="str">
        <f t="shared" si="134"/>
        <v>O</v>
      </c>
      <c r="V258" s="42" t="str">
        <f t="shared" si="135"/>
        <v>U</v>
      </c>
      <c r="W258" s="42" t="str">
        <f t="shared" si="136"/>
        <v>U</v>
      </c>
      <c r="X258" s="42" t="str">
        <f t="shared" si="137"/>
        <v>U</v>
      </c>
      <c r="Y258" s="42"/>
      <c r="Z258" s="42">
        <v>56</v>
      </c>
      <c r="AA258" s="42"/>
      <c r="AB258" s="42" t="str">
        <f t="shared" si="138"/>
        <v>CHA/DET</v>
      </c>
      <c r="AC258" s="42">
        <f t="shared" si="139"/>
        <v>1</v>
      </c>
      <c r="AD258" s="42">
        <f t="shared" si="140"/>
        <v>3</v>
      </c>
    </row>
    <row r="259" spans="1:30" x14ac:dyDescent="0.45">
      <c r="A259" s="42">
        <v>191128</v>
      </c>
      <c r="B259" s="44">
        <v>0.39583333333333331</v>
      </c>
      <c r="C259" s="42" t="s">
        <v>28</v>
      </c>
      <c r="D259" s="5" t="s">
        <v>282</v>
      </c>
      <c r="E259" s="42">
        <v>21</v>
      </c>
      <c r="F259" s="42">
        <v>37</v>
      </c>
      <c r="G259" s="42">
        <v>31</v>
      </c>
      <c r="H259" s="42">
        <v>37</v>
      </c>
      <c r="I259" s="42"/>
      <c r="J259" s="42">
        <v>29</v>
      </c>
      <c r="K259" s="42">
        <v>17</v>
      </c>
      <c r="L259" s="42">
        <v>23</v>
      </c>
      <c r="M259" s="42">
        <v>29</v>
      </c>
      <c r="N259" s="42"/>
      <c r="O259" s="42">
        <f t="shared" si="128"/>
        <v>126</v>
      </c>
      <c r="P259" s="42">
        <f t="shared" si="129"/>
        <v>98</v>
      </c>
      <c r="Q259" s="42" t="str">
        <f t="shared" si="130"/>
        <v>HL</v>
      </c>
      <c r="R259" s="42" t="str">
        <f t="shared" si="131"/>
        <v>HW</v>
      </c>
      <c r="S259" s="42" t="str">
        <f t="shared" si="132"/>
        <v>HW</v>
      </c>
      <c r="T259" s="42" t="str">
        <f t="shared" si="133"/>
        <v>HW</v>
      </c>
      <c r="U259" s="42" t="str">
        <f t="shared" si="134"/>
        <v>U</v>
      </c>
      <c r="V259" s="42" t="str">
        <f t="shared" si="135"/>
        <v>U</v>
      </c>
      <c r="W259" s="42" t="str">
        <f t="shared" si="136"/>
        <v>U</v>
      </c>
      <c r="X259" s="42" t="str">
        <f t="shared" si="137"/>
        <v>O</v>
      </c>
      <c r="Y259" s="42"/>
      <c r="Z259" s="42">
        <v>55</v>
      </c>
      <c r="AA259" s="42"/>
      <c r="AB259" s="42" t="str">
        <f t="shared" si="138"/>
        <v>TOR/NYK</v>
      </c>
      <c r="AC259" s="42">
        <f t="shared" si="139"/>
        <v>1</v>
      </c>
      <c r="AD259" s="42">
        <f t="shared" si="140"/>
        <v>3</v>
      </c>
    </row>
    <row r="260" spans="1:30" x14ac:dyDescent="0.45">
      <c r="A260" s="42">
        <v>191128</v>
      </c>
      <c r="B260" s="44">
        <v>0.41666666666666669</v>
      </c>
      <c r="C260" s="14" t="s">
        <v>52</v>
      </c>
      <c r="D260" s="14" t="s">
        <v>264</v>
      </c>
      <c r="E260" s="42">
        <v>27</v>
      </c>
      <c r="F260" s="42">
        <v>39</v>
      </c>
      <c r="G260" s="42">
        <v>25</v>
      </c>
      <c r="H260" s="42">
        <v>26</v>
      </c>
      <c r="I260" s="42"/>
      <c r="J260" s="42">
        <v>23</v>
      </c>
      <c r="K260" s="42">
        <v>19</v>
      </c>
      <c r="L260" s="42">
        <v>26</v>
      </c>
      <c r="M260" s="42">
        <v>40</v>
      </c>
      <c r="N260" s="42"/>
      <c r="O260" s="42">
        <f t="shared" si="128"/>
        <v>117</v>
      </c>
      <c r="P260" s="42">
        <f t="shared" si="129"/>
        <v>108</v>
      </c>
      <c r="Q260" s="42" t="str">
        <f t="shared" si="130"/>
        <v>HW</v>
      </c>
      <c r="R260" s="42" t="str">
        <f t="shared" si="131"/>
        <v>HW</v>
      </c>
      <c r="S260" s="42" t="str">
        <f t="shared" si="132"/>
        <v>HL</v>
      </c>
      <c r="T260" s="42" t="str">
        <f t="shared" si="133"/>
        <v>HL</v>
      </c>
      <c r="U260" s="42" t="str">
        <f t="shared" si="134"/>
        <v>U</v>
      </c>
      <c r="V260" s="42" t="str">
        <f t="shared" si="135"/>
        <v>U</v>
      </c>
      <c r="W260" s="42" t="str">
        <f t="shared" si="136"/>
        <v>U</v>
      </c>
      <c r="X260" s="42" t="str">
        <f t="shared" si="137"/>
        <v>O</v>
      </c>
      <c r="Y260" s="42"/>
      <c r="Z260" s="42">
        <v>58.5</v>
      </c>
      <c r="AA260" s="42"/>
      <c r="AB260" s="42" t="str">
        <f t="shared" si="138"/>
        <v>HOU/MIA</v>
      </c>
      <c r="AC260" s="42">
        <f t="shared" si="139"/>
        <v>1</v>
      </c>
      <c r="AD260" s="42">
        <f t="shared" si="140"/>
        <v>3</v>
      </c>
    </row>
    <row r="261" spans="1:30" x14ac:dyDescent="0.45">
      <c r="A261" s="42">
        <v>191128</v>
      </c>
      <c r="B261" s="44">
        <v>0.41666666666666669</v>
      </c>
      <c r="C261" s="42" t="s">
        <v>285</v>
      </c>
      <c r="D261" s="5" t="s">
        <v>258</v>
      </c>
      <c r="E261" s="42">
        <v>33</v>
      </c>
      <c r="F261" s="42">
        <v>27</v>
      </c>
      <c r="G261" s="42">
        <v>21</v>
      </c>
      <c r="H261" s="42">
        <v>30</v>
      </c>
      <c r="I261" s="42"/>
      <c r="J261" s="42">
        <v>17</v>
      </c>
      <c r="K261" s="42">
        <v>42</v>
      </c>
      <c r="L261" s="42">
        <v>23</v>
      </c>
      <c r="M261" s="42">
        <v>20</v>
      </c>
      <c r="N261" s="42"/>
      <c r="O261" s="42">
        <f t="shared" si="128"/>
        <v>111</v>
      </c>
      <c r="P261" s="42">
        <f t="shared" si="129"/>
        <v>102</v>
      </c>
      <c r="Q261" s="42" t="str">
        <f t="shared" si="130"/>
        <v>HW</v>
      </c>
      <c r="R261" s="42" t="str">
        <f t="shared" si="131"/>
        <v>HL</v>
      </c>
      <c r="S261" s="42" t="str">
        <f t="shared" si="132"/>
        <v>HL</v>
      </c>
      <c r="T261" s="42" t="str">
        <f t="shared" si="133"/>
        <v>HW</v>
      </c>
      <c r="U261" s="42" t="str">
        <f t="shared" si="134"/>
        <v>U</v>
      </c>
      <c r="V261" s="42" t="str">
        <f t="shared" si="135"/>
        <v>O</v>
      </c>
      <c r="W261" s="42" t="str">
        <f t="shared" si="136"/>
        <v>U</v>
      </c>
      <c r="X261" s="42" t="str">
        <f t="shared" si="137"/>
        <v>U</v>
      </c>
      <c r="Y261" s="42"/>
      <c r="Z261" s="42">
        <v>61.5</v>
      </c>
      <c r="AA261" s="42"/>
      <c r="AB261" s="42" t="str">
        <f t="shared" si="138"/>
        <v>MIL/ATL</v>
      </c>
      <c r="AC261" s="42">
        <f t="shared" si="139"/>
        <v>1</v>
      </c>
      <c r="AD261" s="42">
        <f t="shared" si="140"/>
        <v>3</v>
      </c>
    </row>
    <row r="262" spans="1:30" x14ac:dyDescent="0.45">
      <c r="A262" s="42">
        <v>191128</v>
      </c>
      <c r="B262" s="44">
        <v>0.41666666666666669</v>
      </c>
      <c r="C262" s="42" t="s">
        <v>38</v>
      </c>
      <c r="D262" s="5" t="s">
        <v>275</v>
      </c>
      <c r="E262" s="42">
        <v>31</v>
      </c>
      <c r="F262" s="42">
        <v>29</v>
      </c>
      <c r="G262" s="42">
        <v>28</v>
      </c>
      <c r="H262" s="42">
        <v>31</v>
      </c>
      <c r="I262" s="42"/>
      <c r="J262" s="42">
        <v>35</v>
      </c>
      <c r="K262" s="42">
        <v>29</v>
      </c>
      <c r="L262" s="42">
        <v>28</v>
      </c>
      <c r="M262" s="42">
        <v>29</v>
      </c>
      <c r="N262" s="42"/>
      <c r="O262" s="42">
        <f t="shared" si="128"/>
        <v>119</v>
      </c>
      <c r="P262" s="42">
        <f t="shared" si="129"/>
        <v>121</v>
      </c>
      <c r="Q262" s="42" t="str">
        <f t="shared" si="130"/>
        <v>HL</v>
      </c>
      <c r="R262" s="42" t="str">
        <f t="shared" si="131"/>
        <v>TT</v>
      </c>
      <c r="S262" s="42" t="str">
        <f t="shared" si="132"/>
        <v>TT</v>
      </c>
      <c r="T262" s="42" t="str">
        <f t="shared" si="133"/>
        <v>HW</v>
      </c>
      <c r="U262" s="42" t="str">
        <f t="shared" si="134"/>
        <v>O</v>
      </c>
      <c r="V262" s="42" t="str">
        <f t="shared" si="135"/>
        <v>T</v>
      </c>
      <c r="W262" s="42" t="str">
        <f t="shared" si="136"/>
        <v>U</v>
      </c>
      <c r="X262" s="42" t="str">
        <f t="shared" si="137"/>
        <v>O</v>
      </c>
      <c r="Y262" s="42"/>
      <c r="Z262" s="42">
        <v>58</v>
      </c>
      <c r="AA262" s="42"/>
      <c r="AB262" s="42" t="str">
        <f t="shared" si="138"/>
        <v>MEM/LAC</v>
      </c>
      <c r="AC262" s="42">
        <f t="shared" si="139"/>
        <v>2</v>
      </c>
      <c r="AD262" s="42">
        <f t="shared" si="140"/>
        <v>1</v>
      </c>
    </row>
    <row r="263" spans="1:30" x14ac:dyDescent="0.45">
      <c r="A263" s="42">
        <v>191128</v>
      </c>
      <c r="B263" s="44">
        <v>0.4375</v>
      </c>
      <c r="C263" s="42" t="s">
        <v>266</v>
      </c>
      <c r="D263" s="5" t="s">
        <v>29</v>
      </c>
      <c r="E263" s="42">
        <v>24</v>
      </c>
      <c r="F263" s="42">
        <v>23</v>
      </c>
      <c r="G263" s="42">
        <v>31</v>
      </c>
      <c r="H263" s="42">
        <v>23</v>
      </c>
      <c r="I263" s="42"/>
      <c r="J263" s="42">
        <v>22</v>
      </c>
      <c r="K263" s="42">
        <v>35</v>
      </c>
      <c r="L263" s="42">
        <v>24</v>
      </c>
      <c r="M263" s="42">
        <v>32</v>
      </c>
      <c r="N263" s="42"/>
      <c r="O263" s="42">
        <f t="shared" si="128"/>
        <v>101</v>
      </c>
      <c r="P263" s="42">
        <f t="shared" si="129"/>
        <v>113</v>
      </c>
      <c r="Q263" s="42" t="str">
        <f t="shared" si="130"/>
        <v>HW</v>
      </c>
      <c r="R263" s="42" t="str">
        <f t="shared" si="131"/>
        <v>HL</v>
      </c>
      <c r="S263" s="42" t="str">
        <f t="shared" si="132"/>
        <v>HW</v>
      </c>
      <c r="T263" s="42" t="str">
        <f t="shared" si="133"/>
        <v>HL</v>
      </c>
      <c r="U263" s="42" t="str">
        <f t="shared" si="134"/>
        <v>U</v>
      </c>
      <c r="V263" s="42" t="str">
        <f t="shared" si="135"/>
        <v>U</v>
      </c>
      <c r="W263" s="42" t="str">
        <f t="shared" si="136"/>
        <v>U</v>
      </c>
      <c r="X263" s="42" t="str">
        <f t="shared" si="137"/>
        <v>U</v>
      </c>
      <c r="Y263" s="42"/>
      <c r="Z263" s="42">
        <v>59</v>
      </c>
      <c r="AA263" s="42"/>
      <c r="AB263" s="42" t="str">
        <f t="shared" si="138"/>
        <v>SAS/MIN</v>
      </c>
      <c r="AC263" s="42">
        <f t="shared" si="139"/>
        <v>0</v>
      </c>
      <c r="AD263" s="42">
        <f t="shared" si="140"/>
        <v>4</v>
      </c>
    </row>
    <row r="264" spans="1:30" x14ac:dyDescent="0.45">
      <c r="A264" s="42">
        <v>191128</v>
      </c>
      <c r="B264" s="44">
        <v>0.45833333333333331</v>
      </c>
      <c r="C264" s="42" t="s">
        <v>43</v>
      </c>
      <c r="D264" s="5" t="s">
        <v>259</v>
      </c>
      <c r="E264" s="42">
        <v>34</v>
      </c>
      <c r="F264" s="42">
        <v>35</v>
      </c>
      <c r="G264" s="42">
        <v>26</v>
      </c>
      <c r="H264" s="42">
        <v>37</v>
      </c>
      <c r="I264" s="42"/>
      <c r="J264" s="42">
        <v>36</v>
      </c>
      <c r="K264" s="42">
        <v>38</v>
      </c>
      <c r="L264" s="42">
        <v>34</v>
      </c>
      <c r="M264" s="42">
        <v>32</v>
      </c>
      <c r="N264" s="42"/>
      <c r="O264" s="42">
        <f t="shared" si="128"/>
        <v>132</v>
      </c>
      <c r="P264" s="42">
        <f t="shared" si="129"/>
        <v>140</v>
      </c>
      <c r="Q264" s="42" t="str">
        <f t="shared" si="130"/>
        <v>HL</v>
      </c>
      <c r="R264" s="42" t="str">
        <f t="shared" si="131"/>
        <v>HL</v>
      </c>
      <c r="S264" s="42" t="str">
        <f t="shared" si="132"/>
        <v>HL</v>
      </c>
      <c r="T264" s="42" t="str">
        <f t="shared" si="133"/>
        <v>HW</v>
      </c>
      <c r="U264" s="42" t="str">
        <f t="shared" si="134"/>
        <v>O</v>
      </c>
      <c r="V264" s="42" t="str">
        <f t="shared" si="135"/>
        <v>O</v>
      </c>
      <c r="W264" s="42" t="str">
        <f t="shared" si="136"/>
        <v>U</v>
      </c>
      <c r="X264" s="42" t="str">
        <f t="shared" si="137"/>
        <v>O</v>
      </c>
      <c r="Y264" s="42"/>
      <c r="Z264" s="42">
        <v>62</v>
      </c>
      <c r="AA264" s="42"/>
      <c r="AB264" s="42" t="str">
        <f t="shared" si="138"/>
        <v>PHO/WAS</v>
      </c>
      <c r="AC264" s="42">
        <f t="shared" si="139"/>
        <v>3</v>
      </c>
      <c r="AD264" s="42">
        <f t="shared" si="140"/>
        <v>1</v>
      </c>
    </row>
    <row r="265" spans="1:30" x14ac:dyDescent="0.45">
      <c r="A265" s="42">
        <v>191128</v>
      </c>
      <c r="B265" s="44">
        <v>0.47916666666666669</v>
      </c>
      <c r="C265" s="15" t="s">
        <v>286</v>
      </c>
      <c r="D265" s="15" t="s">
        <v>268</v>
      </c>
      <c r="E265" s="42">
        <v>38</v>
      </c>
      <c r="F265" s="42">
        <v>26</v>
      </c>
      <c r="G265" s="42">
        <v>25</v>
      </c>
      <c r="H265" s="42">
        <v>21</v>
      </c>
      <c r="I265" s="42"/>
      <c r="J265" s="42">
        <v>25</v>
      </c>
      <c r="K265" s="42">
        <v>29</v>
      </c>
      <c r="L265" s="42">
        <v>25</v>
      </c>
      <c r="M265" s="42">
        <v>35</v>
      </c>
      <c r="N265" s="42"/>
      <c r="O265" s="42">
        <f t="shared" si="128"/>
        <v>110</v>
      </c>
      <c r="P265" s="42">
        <f t="shared" si="129"/>
        <v>114</v>
      </c>
      <c r="Q265" s="42" t="str">
        <f t="shared" si="130"/>
        <v>HW</v>
      </c>
      <c r="R265" s="42" t="str">
        <f t="shared" si="131"/>
        <v>HL</v>
      </c>
      <c r="S265" s="42" t="str">
        <f t="shared" si="132"/>
        <v>TT</v>
      </c>
      <c r="T265" s="42" t="str">
        <f t="shared" si="133"/>
        <v>HL</v>
      </c>
      <c r="U265" s="42" t="str">
        <f t="shared" si="134"/>
        <v>O</v>
      </c>
      <c r="V265" s="42" t="str">
        <f t="shared" si="135"/>
        <v>U</v>
      </c>
      <c r="W265" s="42" t="str">
        <f t="shared" si="136"/>
        <v>U</v>
      </c>
      <c r="X265" s="42" t="str">
        <f t="shared" si="137"/>
        <v>U</v>
      </c>
      <c r="Y265" s="42"/>
      <c r="Z265" s="42">
        <v>59.5</v>
      </c>
      <c r="AA265" s="42"/>
      <c r="AB265" s="42" t="str">
        <f t="shared" si="138"/>
        <v>NO/LAL</v>
      </c>
      <c r="AC265" s="42">
        <f t="shared" si="139"/>
        <v>1</v>
      </c>
      <c r="AD265" s="42">
        <f t="shared" si="140"/>
        <v>3</v>
      </c>
    </row>
    <row r="266" spans="1:30" x14ac:dyDescent="0.45">
      <c r="A266" s="42">
        <v>191128</v>
      </c>
      <c r="B266" s="44">
        <v>0.5</v>
      </c>
      <c r="C266" s="42" t="s">
        <v>283</v>
      </c>
      <c r="D266" s="5" t="s">
        <v>267</v>
      </c>
      <c r="E266" s="42">
        <v>42</v>
      </c>
      <c r="F266" s="42">
        <v>21</v>
      </c>
      <c r="G266" s="42">
        <v>41</v>
      </c>
      <c r="H266" s="42">
        <v>32</v>
      </c>
      <c r="I266" s="42"/>
      <c r="J266" s="42">
        <v>26</v>
      </c>
      <c r="K266" s="42">
        <v>24</v>
      </c>
      <c r="L266" s="42">
        <v>27</v>
      </c>
      <c r="M266" s="42">
        <v>42</v>
      </c>
      <c r="N266" s="42"/>
      <c r="O266" s="42">
        <f t="shared" si="128"/>
        <v>136</v>
      </c>
      <c r="P266" s="42">
        <f t="shared" si="129"/>
        <v>119</v>
      </c>
      <c r="Q266" s="42" t="str">
        <f t="shared" si="130"/>
        <v>HW</v>
      </c>
      <c r="R266" s="42" t="str">
        <f t="shared" si="131"/>
        <v>HL</v>
      </c>
      <c r="S266" s="42" t="str">
        <f t="shared" si="132"/>
        <v>HW</v>
      </c>
      <c r="T266" s="42" t="str">
        <f t="shared" si="133"/>
        <v>HL</v>
      </c>
      <c r="U266" s="42" t="str">
        <f t="shared" si="134"/>
        <v>O</v>
      </c>
      <c r="V266" s="42" t="str">
        <f t="shared" si="135"/>
        <v>U</v>
      </c>
      <c r="W266" s="42" t="str">
        <f t="shared" si="136"/>
        <v>O</v>
      </c>
      <c r="X266" s="42" t="str">
        <f t="shared" si="137"/>
        <v>O</v>
      </c>
      <c r="Y266" s="42"/>
      <c r="Z266" s="42">
        <v>56</v>
      </c>
      <c r="AA266" s="42"/>
      <c r="AB266" s="42" t="str">
        <f t="shared" si="138"/>
        <v>POR/OKC</v>
      </c>
      <c r="AC266" s="42">
        <f t="shared" si="139"/>
        <v>3</v>
      </c>
      <c r="AD266" s="42">
        <f t="shared" si="140"/>
        <v>1</v>
      </c>
    </row>
    <row r="267" spans="1:30" x14ac:dyDescent="0.45">
      <c r="A267" s="42">
        <v>191128</v>
      </c>
      <c r="B267" s="44">
        <v>0.52083333333333337</v>
      </c>
      <c r="C267" s="42" t="s">
        <v>274</v>
      </c>
      <c r="D267" s="5" t="s">
        <v>263</v>
      </c>
      <c r="E267" s="42">
        <v>25</v>
      </c>
      <c r="F267" s="42">
        <v>28</v>
      </c>
      <c r="G267" s="42">
        <v>25</v>
      </c>
      <c r="H267" s="42">
        <v>26</v>
      </c>
      <c r="I267" s="42"/>
      <c r="J267" s="42">
        <v>17</v>
      </c>
      <c r="K267" s="42">
        <v>31</v>
      </c>
      <c r="L267" s="42">
        <v>25</v>
      </c>
      <c r="M267" s="42">
        <v>17</v>
      </c>
      <c r="N267" s="42"/>
      <c r="O267" s="42">
        <f t="shared" si="128"/>
        <v>104</v>
      </c>
      <c r="P267" s="42">
        <f t="shared" si="129"/>
        <v>90</v>
      </c>
      <c r="Q267" s="42" t="str">
        <f t="shared" si="130"/>
        <v>HW</v>
      </c>
      <c r="R267" s="42" t="str">
        <f t="shared" si="131"/>
        <v>HL</v>
      </c>
      <c r="S267" s="42" t="str">
        <f t="shared" si="132"/>
        <v>TT</v>
      </c>
      <c r="T267" s="42" t="str">
        <f t="shared" si="133"/>
        <v>HW</v>
      </c>
      <c r="U267" s="42" t="str">
        <f t="shared" si="134"/>
        <v>U</v>
      </c>
      <c r="V267" s="42" t="str">
        <f t="shared" si="135"/>
        <v>O</v>
      </c>
      <c r="W267" s="42" t="str">
        <f t="shared" si="136"/>
        <v>U</v>
      </c>
      <c r="X267" s="42" t="str">
        <f t="shared" si="137"/>
        <v>U</v>
      </c>
      <c r="Y267" s="42"/>
      <c r="Z267" s="42">
        <v>54</v>
      </c>
      <c r="AA267" s="42"/>
      <c r="AB267" s="42" t="str">
        <f t="shared" si="138"/>
        <v>GS/CHI</v>
      </c>
      <c r="AC267" s="42">
        <f t="shared" si="139"/>
        <v>1</v>
      </c>
      <c r="AD267" s="42">
        <f t="shared" si="140"/>
        <v>3</v>
      </c>
    </row>
    <row r="268" spans="1:30" x14ac:dyDescent="0.45">
      <c r="A268" s="42">
        <v>191130</v>
      </c>
      <c r="B268" s="44">
        <v>8.3333333333333329E-2</v>
      </c>
      <c r="C268" s="42" t="s">
        <v>287</v>
      </c>
      <c r="D268" s="5" t="s">
        <v>288</v>
      </c>
      <c r="E268" s="42">
        <v>31</v>
      </c>
      <c r="F268" s="42">
        <v>27</v>
      </c>
      <c r="G268" s="42">
        <v>29</v>
      </c>
      <c r="H268" s="42">
        <v>25</v>
      </c>
      <c r="I268" s="42"/>
      <c r="J268" s="42">
        <v>24</v>
      </c>
      <c r="K268" s="42">
        <v>31</v>
      </c>
      <c r="L268" s="42">
        <v>26</v>
      </c>
      <c r="M268" s="42">
        <v>26</v>
      </c>
      <c r="N268" s="42"/>
      <c r="O268" s="42">
        <f t="shared" si="128"/>
        <v>112</v>
      </c>
      <c r="P268" s="42">
        <f t="shared" si="129"/>
        <v>107</v>
      </c>
      <c r="Q268" s="42" t="str">
        <f t="shared" si="130"/>
        <v>HW</v>
      </c>
      <c r="R268" s="42" t="str">
        <f t="shared" si="131"/>
        <v>HL</v>
      </c>
      <c r="S268" s="42" t="str">
        <f t="shared" si="132"/>
        <v>HW</v>
      </c>
      <c r="T268" s="42" t="str">
        <f t="shared" si="133"/>
        <v>HL</v>
      </c>
      <c r="U268" s="42" t="str">
        <f t="shared" si="134"/>
        <v>O</v>
      </c>
      <c r="V268" s="42" t="str">
        <f t="shared" si="135"/>
        <v>O</v>
      </c>
      <c r="W268" s="42" t="str">
        <f t="shared" si="136"/>
        <v>O</v>
      </c>
      <c r="X268" s="42" t="str">
        <f t="shared" si="137"/>
        <v>U</v>
      </c>
      <c r="Y268" s="42"/>
      <c r="Z268" s="42">
        <v>52.5</v>
      </c>
      <c r="AA268" s="42"/>
      <c r="AB268" s="42" t="str">
        <f t="shared" si="138"/>
        <v>BKN/BOS</v>
      </c>
      <c r="AC268" s="42">
        <f t="shared" si="139"/>
        <v>3</v>
      </c>
      <c r="AD268" s="42">
        <f t="shared" si="140"/>
        <v>1</v>
      </c>
    </row>
    <row r="269" spans="1:30" x14ac:dyDescent="0.45">
      <c r="A269" s="42">
        <v>191130</v>
      </c>
      <c r="B269" s="44">
        <v>0.375</v>
      </c>
      <c r="C269" s="42" t="s">
        <v>289</v>
      </c>
      <c r="D269" s="5" t="s">
        <v>290</v>
      </c>
      <c r="E269" s="42">
        <v>37</v>
      </c>
      <c r="F269" s="42">
        <v>20</v>
      </c>
      <c r="G269" s="42">
        <v>28</v>
      </c>
      <c r="H269" s="42">
        <v>22</v>
      </c>
      <c r="I269" s="42"/>
      <c r="J269" s="42">
        <v>38</v>
      </c>
      <c r="K269" s="42">
        <v>24</v>
      </c>
      <c r="L269" s="42">
        <v>23</v>
      </c>
      <c r="M269" s="42">
        <v>25</v>
      </c>
      <c r="N269" s="42"/>
      <c r="O269" s="42">
        <f t="shared" si="128"/>
        <v>107</v>
      </c>
      <c r="P269" s="42">
        <f t="shared" si="129"/>
        <v>110</v>
      </c>
      <c r="Q269" s="42" t="str">
        <f t="shared" si="130"/>
        <v>HL</v>
      </c>
      <c r="R269" s="42" t="str">
        <f t="shared" si="131"/>
        <v>HL</v>
      </c>
      <c r="S269" s="42" t="str">
        <f t="shared" si="132"/>
        <v>HW</v>
      </c>
      <c r="T269" s="42" t="str">
        <f t="shared" si="133"/>
        <v>HL</v>
      </c>
      <c r="U269" s="42" t="str">
        <f t="shared" si="134"/>
        <v>O</v>
      </c>
      <c r="V269" s="42" t="str">
        <f t="shared" si="135"/>
        <v>U</v>
      </c>
      <c r="W269" s="42" t="str">
        <f t="shared" si="136"/>
        <v>U</v>
      </c>
      <c r="X269" s="42" t="str">
        <f t="shared" si="137"/>
        <v>U</v>
      </c>
      <c r="Y269" s="42"/>
      <c r="Z269" s="42">
        <v>55.5</v>
      </c>
      <c r="AA269" s="42"/>
      <c r="AB269" s="42" t="str">
        <f t="shared" si="138"/>
        <v>DET/CHA</v>
      </c>
      <c r="AC269" s="42">
        <f t="shared" si="139"/>
        <v>1</v>
      </c>
      <c r="AD269" s="42">
        <f t="shared" si="140"/>
        <v>3</v>
      </c>
    </row>
    <row r="270" spans="1:30" x14ac:dyDescent="0.45">
      <c r="A270" s="42">
        <v>191130</v>
      </c>
      <c r="B270" s="44">
        <v>0.375</v>
      </c>
      <c r="C270" s="42" t="s">
        <v>291</v>
      </c>
      <c r="D270" s="5" t="s">
        <v>292</v>
      </c>
      <c r="E270" s="42">
        <v>23</v>
      </c>
      <c r="F270" s="42">
        <v>24</v>
      </c>
      <c r="G270" s="42">
        <v>12</v>
      </c>
      <c r="H270" s="42">
        <v>24</v>
      </c>
      <c r="I270" s="42"/>
      <c r="J270" s="42">
        <v>20</v>
      </c>
      <c r="K270" s="42">
        <v>20</v>
      </c>
      <c r="L270" s="42">
        <v>26</v>
      </c>
      <c r="M270" s="42">
        <v>24</v>
      </c>
      <c r="N270" s="42"/>
      <c r="O270" s="42">
        <f t="shared" si="128"/>
        <v>83</v>
      </c>
      <c r="P270" s="42">
        <f t="shared" si="129"/>
        <v>90</v>
      </c>
      <c r="Q270" s="42" t="str">
        <f t="shared" si="130"/>
        <v>HW</v>
      </c>
      <c r="R270" s="42" t="str">
        <f t="shared" si="131"/>
        <v>HW</v>
      </c>
      <c r="S270" s="42" t="str">
        <f t="shared" si="132"/>
        <v>HL</v>
      </c>
      <c r="T270" s="42" t="str">
        <f t="shared" si="133"/>
        <v>TT</v>
      </c>
      <c r="U270" s="42" t="str">
        <f t="shared" si="134"/>
        <v>U</v>
      </c>
      <c r="V270" s="42" t="str">
        <f t="shared" si="135"/>
        <v>U</v>
      </c>
      <c r="W270" s="42" t="str">
        <f t="shared" si="136"/>
        <v>U</v>
      </c>
      <c r="X270" s="42" t="str">
        <f t="shared" si="137"/>
        <v>U</v>
      </c>
      <c r="Y270" s="42"/>
      <c r="Z270" s="42">
        <v>54.5</v>
      </c>
      <c r="AA270" s="42"/>
      <c r="AB270" s="42" t="str">
        <f t="shared" si="138"/>
        <v>ORL/TOR</v>
      </c>
      <c r="AC270" s="42">
        <f t="shared" si="139"/>
        <v>0</v>
      </c>
      <c r="AD270" s="42">
        <f t="shared" si="140"/>
        <v>4</v>
      </c>
    </row>
    <row r="271" spans="1:30" x14ac:dyDescent="0.45">
      <c r="A271" s="42">
        <v>191130</v>
      </c>
      <c r="B271" s="44">
        <v>0.39583333333333331</v>
      </c>
      <c r="C271" s="42" t="s">
        <v>293</v>
      </c>
      <c r="D271" s="5" t="s">
        <v>294</v>
      </c>
      <c r="E271" s="42">
        <v>29</v>
      </c>
      <c r="F271" s="42">
        <v>18</v>
      </c>
      <c r="G271" s="42">
        <v>42</v>
      </c>
      <c r="H271" s="42">
        <v>21</v>
      </c>
      <c r="I271" s="42"/>
      <c r="J271" s="42">
        <v>38</v>
      </c>
      <c r="K271" s="42">
        <v>29</v>
      </c>
      <c r="L271" s="42">
        <v>32</v>
      </c>
      <c r="M271" s="42">
        <v>20</v>
      </c>
      <c r="N271" s="42"/>
      <c r="O271" s="42">
        <f t="shared" si="128"/>
        <v>110</v>
      </c>
      <c r="P271" s="42">
        <f t="shared" si="129"/>
        <v>119</v>
      </c>
      <c r="Q271" s="42" t="str">
        <f t="shared" si="130"/>
        <v>HL</v>
      </c>
      <c r="R271" s="42" t="str">
        <f t="shared" si="131"/>
        <v>HL</v>
      </c>
      <c r="S271" s="42" t="str">
        <f t="shared" si="132"/>
        <v>HW</v>
      </c>
      <c r="T271" s="42" t="str">
        <f t="shared" si="133"/>
        <v>HW</v>
      </c>
      <c r="U271" s="42" t="str">
        <f t="shared" si="134"/>
        <v>O</v>
      </c>
      <c r="V271" s="42" t="str">
        <f t="shared" si="135"/>
        <v>U</v>
      </c>
      <c r="W271" s="42" t="str">
        <f t="shared" si="136"/>
        <v>O</v>
      </c>
      <c r="X271" s="42" t="str">
        <f t="shared" si="137"/>
        <v>U</v>
      </c>
      <c r="Y271" s="42"/>
      <c r="Z271" s="42">
        <v>56</v>
      </c>
      <c r="AA271" s="42"/>
      <c r="AB271" s="42" t="str">
        <f t="shared" si="138"/>
        <v>CLE/MIL</v>
      </c>
      <c r="AC271" s="42">
        <f t="shared" si="139"/>
        <v>2</v>
      </c>
      <c r="AD271" s="42">
        <f t="shared" si="140"/>
        <v>2</v>
      </c>
    </row>
    <row r="272" spans="1:30" x14ac:dyDescent="0.45">
      <c r="A272" s="42">
        <v>191130</v>
      </c>
      <c r="B272" s="44">
        <v>0.39583333333333331</v>
      </c>
      <c r="C272" s="42" t="s">
        <v>295</v>
      </c>
      <c r="D272" s="5" t="s">
        <v>296</v>
      </c>
      <c r="E272" s="42">
        <v>31</v>
      </c>
      <c r="F272" s="42">
        <v>20</v>
      </c>
      <c r="G272" s="42">
        <v>17</v>
      </c>
      <c r="H272" s="42">
        <v>27</v>
      </c>
      <c r="I272" s="42"/>
      <c r="J272" s="42">
        <v>18</v>
      </c>
      <c r="K272" s="42">
        <v>21</v>
      </c>
      <c r="L272" s="42">
        <v>31</v>
      </c>
      <c r="M272" s="42">
        <v>31</v>
      </c>
      <c r="N272" s="42"/>
      <c r="O272" s="42">
        <f t="shared" si="128"/>
        <v>95</v>
      </c>
      <c r="P272" s="42">
        <f t="shared" si="129"/>
        <v>101</v>
      </c>
      <c r="Q272" s="42" t="str">
        <f t="shared" si="130"/>
        <v>HW</v>
      </c>
      <c r="R272" s="42" t="str">
        <f t="shared" si="131"/>
        <v>HL</v>
      </c>
      <c r="S272" s="42" t="str">
        <f t="shared" si="132"/>
        <v>HL</v>
      </c>
      <c r="T272" s="42" t="str">
        <f t="shared" si="133"/>
        <v>HL</v>
      </c>
      <c r="U272" s="42" t="str">
        <f t="shared" si="134"/>
        <v>U</v>
      </c>
      <c r="V272" s="42" t="str">
        <f t="shared" si="135"/>
        <v>U</v>
      </c>
      <c r="W272" s="42" t="str">
        <f t="shared" si="136"/>
        <v>U</v>
      </c>
      <c r="X272" s="42" t="str">
        <f t="shared" si="137"/>
        <v>O</v>
      </c>
      <c r="Y272" s="42"/>
      <c r="Z272" s="42">
        <v>51.5</v>
      </c>
      <c r="AA272" s="42"/>
      <c r="AB272" s="42" t="str">
        <f t="shared" si="138"/>
        <v>NYK/PHI</v>
      </c>
      <c r="AC272" s="42">
        <f t="shared" si="139"/>
        <v>1</v>
      </c>
      <c r="AD272" s="42">
        <f t="shared" si="140"/>
        <v>3</v>
      </c>
    </row>
    <row r="273" spans="1:30" x14ac:dyDescent="0.45">
      <c r="A273" s="42">
        <v>191130</v>
      </c>
      <c r="B273" s="44">
        <v>0.41666666666666669</v>
      </c>
      <c r="C273" s="42" t="s">
        <v>297</v>
      </c>
      <c r="D273" s="5" t="s">
        <v>298</v>
      </c>
      <c r="E273" s="42">
        <v>22</v>
      </c>
      <c r="F273" s="42">
        <v>21</v>
      </c>
      <c r="G273" s="42">
        <v>29</v>
      </c>
      <c r="H273" s="42">
        <v>22</v>
      </c>
      <c r="I273" s="42">
        <v>11</v>
      </c>
      <c r="J273" s="42">
        <v>23</v>
      </c>
      <c r="K273" s="42">
        <v>31</v>
      </c>
      <c r="L273" s="42">
        <v>11</v>
      </c>
      <c r="M273" s="42">
        <v>29</v>
      </c>
      <c r="N273" s="42">
        <v>10</v>
      </c>
      <c r="O273" s="42">
        <f t="shared" si="128"/>
        <v>105</v>
      </c>
      <c r="P273" s="42">
        <f t="shared" si="129"/>
        <v>104</v>
      </c>
      <c r="Q273" s="42" t="str">
        <f t="shared" si="130"/>
        <v>HL</v>
      </c>
      <c r="R273" s="42" t="str">
        <f t="shared" si="131"/>
        <v>HL</v>
      </c>
      <c r="S273" s="42" t="str">
        <f t="shared" si="132"/>
        <v>HW</v>
      </c>
      <c r="T273" s="42" t="str">
        <f t="shared" si="133"/>
        <v>HL</v>
      </c>
      <c r="U273" s="42" t="str">
        <f t="shared" si="134"/>
        <v>U</v>
      </c>
      <c r="V273" s="42" t="str">
        <f t="shared" si="135"/>
        <v>U</v>
      </c>
      <c r="W273" s="42" t="str">
        <f t="shared" si="136"/>
        <v>U</v>
      </c>
      <c r="X273" s="42" t="str">
        <f t="shared" si="137"/>
        <v>U</v>
      </c>
      <c r="Y273" s="42"/>
      <c r="Z273" s="42">
        <v>58</v>
      </c>
      <c r="AA273" s="42"/>
      <c r="AB273" s="42" t="str">
        <f t="shared" si="138"/>
        <v>IND/ATL</v>
      </c>
      <c r="AC273" s="42">
        <f t="shared" si="139"/>
        <v>0</v>
      </c>
      <c r="AD273" s="42">
        <f t="shared" si="140"/>
        <v>4</v>
      </c>
    </row>
    <row r="274" spans="1:30" x14ac:dyDescent="0.45">
      <c r="A274" s="42">
        <v>191130</v>
      </c>
      <c r="B274" s="44">
        <v>0.41666666666666669</v>
      </c>
      <c r="C274" s="42" t="s">
        <v>299</v>
      </c>
      <c r="D274" s="5" t="s">
        <v>300</v>
      </c>
      <c r="E274" s="42">
        <v>41</v>
      </c>
      <c r="F274" s="42">
        <v>30</v>
      </c>
      <c r="G274" s="42">
        <v>24</v>
      </c>
      <c r="H274" s="42">
        <v>27</v>
      </c>
      <c r="I274" s="42"/>
      <c r="J274" s="42">
        <v>21</v>
      </c>
      <c r="K274" s="42">
        <v>37</v>
      </c>
      <c r="L274" s="42">
        <v>21</v>
      </c>
      <c r="M274" s="42">
        <v>26</v>
      </c>
      <c r="N274" s="42"/>
      <c r="O274" s="42">
        <f t="shared" si="128"/>
        <v>122</v>
      </c>
      <c r="P274" s="42">
        <f t="shared" si="129"/>
        <v>105</v>
      </c>
      <c r="Q274" s="42" t="str">
        <f t="shared" si="130"/>
        <v>HW</v>
      </c>
      <c r="R274" s="42" t="str">
        <f t="shared" si="131"/>
        <v>HL</v>
      </c>
      <c r="S274" s="42" t="str">
        <f t="shared" si="132"/>
        <v>HW</v>
      </c>
      <c r="T274" s="42" t="str">
        <f t="shared" si="133"/>
        <v>HW</v>
      </c>
      <c r="U274" s="42" t="str">
        <f t="shared" si="134"/>
        <v>O</v>
      </c>
      <c r="V274" s="42" t="str">
        <f t="shared" si="135"/>
        <v>O</v>
      </c>
      <c r="W274" s="42" t="str">
        <f t="shared" si="136"/>
        <v>U</v>
      </c>
      <c r="X274" s="42" t="str">
        <f t="shared" si="137"/>
        <v>U</v>
      </c>
      <c r="Y274" s="42"/>
      <c r="Z274" s="42">
        <v>54.5</v>
      </c>
      <c r="AA274" s="42"/>
      <c r="AB274" s="42" t="str">
        <f t="shared" si="138"/>
        <v>MIA/GS</v>
      </c>
      <c r="AC274" s="42">
        <f t="shared" si="139"/>
        <v>2</v>
      </c>
      <c r="AD274" s="42">
        <f t="shared" si="140"/>
        <v>2</v>
      </c>
    </row>
    <row r="275" spans="1:30" x14ac:dyDescent="0.45">
      <c r="A275" s="42">
        <v>191130</v>
      </c>
      <c r="B275" s="44">
        <v>0.41666666666666669</v>
      </c>
      <c r="C275" s="42" t="s">
        <v>301</v>
      </c>
      <c r="D275" s="5" t="s">
        <v>302</v>
      </c>
      <c r="E275" s="42">
        <v>34</v>
      </c>
      <c r="F275" s="42">
        <v>28</v>
      </c>
      <c r="G275" s="42">
        <v>17</v>
      </c>
      <c r="H275" s="42">
        <v>30</v>
      </c>
      <c r="I275" s="42"/>
      <c r="J275" s="42">
        <v>26</v>
      </c>
      <c r="K275" s="42">
        <v>27</v>
      </c>
      <c r="L275" s="42">
        <v>31</v>
      </c>
      <c r="M275" s="42">
        <v>20</v>
      </c>
      <c r="N275" s="42"/>
      <c r="O275" s="42">
        <f t="shared" si="128"/>
        <v>109</v>
      </c>
      <c r="P275" s="42">
        <f t="shared" si="129"/>
        <v>104</v>
      </c>
      <c r="Q275" s="42" t="str">
        <f t="shared" si="130"/>
        <v>HW</v>
      </c>
      <c r="R275" s="42" t="str">
        <f t="shared" si="131"/>
        <v>HW</v>
      </c>
      <c r="S275" s="42" t="str">
        <f t="shared" si="132"/>
        <v>HL</v>
      </c>
      <c r="T275" s="42" t="str">
        <f t="shared" si="133"/>
        <v>HW</v>
      </c>
      <c r="U275" s="42" t="str">
        <f t="shared" si="134"/>
        <v>O</v>
      </c>
      <c r="V275" s="42" t="str">
        <f t="shared" si="135"/>
        <v>U</v>
      </c>
      <c r="W275" s="42" t="str">
        <f t="shared" si="136"/>
        <v>U</v>
      </c>
      <c r="X275" s="42" t="str">
        <f t="shared" si="137"/>
        <v>U</v>
      </c>
      <c r="Y275" s="42"/>
      <c r="Z275" s="42">
        <v>59</v>
      </c>
      <c r="AA275" s="42"/>
      <c r="AB275" s="42" t="str">
        <f t="shared" si="138"/>
        <v>OKC/NO</v>
      </c>
      <c r="AC275" s="42">
        <f t="shared" si="139"/>
        <v>1</v>
      </c>
      <c r="AD275" s="42">
        <f t="shared" si="140"/>
        <v>3</v>
      </c>
    </row>
    <row r="276" spans="1:30" x14ac:dyDescent="0.45">
      <c r="A276" s="42">
        <v>191130</v>
      </c>
      <c r="B276" s="44">
        <v>0.41666666666666669</v>
      </c>
      <c r="C276" s="42" t="s">
        <v>303</v>
      </c>
      <c r="D276" s="5" t="s">
        <v>304</v>
      </c>
      <c r="E276" s="42">
        <v>24</v>
      </c>
      <c r="F276" s="42">
        <v>31</v>
      </c>
      <c r="G276" s="42">
        <v>18</v>
      </c>
      <c r="H276" s="42">
        <v>21</v>
      </c>
      <c r="I276" s="42"/>
      <c r="J276" s="42">
        <v>22</v>
      </c>
      <c r="K276" s="42">
        <v>18</v>
      </c>
      <c r="L276" s="42">
        <v>35</v>
      </c>
      <c r="M276" s="42">
        <v>28</v>
      </c>
      <c r="N276" s="42"/>
      <c r="O276" s="42">
        <f t="shared" si="128"/>
        <v>94</v>
      </c>
      <c r="P276" s="42">
        <f t="shared" si="129"/>
        <v>103</v>
      </c>
      <c r="Q276" s="42" t="str">
        <f t="shared" si="130"/>
        <v>HW</v>
      </c>
      <c r="R276" s="42" t="str">
        <f t="shared" si="131"/>
        <v>HW</v>
      </c>
      <c r="S276" s="42" t="str">
        <f t="shared" si="132"/>
        <v>HL</v>
      </c>
      <c r="T276" s="42" t="str">
        <f t="shared" si="133"/>
        <v>HL</v>
      </c>
      <c r="U276" s="42" t="str">
        <f t="shared" si="134"/>
        <v>U</v>
      </c>
      <c r="V276" s="42" t="str">
        <f t="shared" si="135"/>
        <v>U</v>
      </c>
      <c r="W276" s="42" t="str">
        <f t="shared" si="136"/>
        <v>U</v>
      </c>
      <c r="X276" s="42" t="str">
        <f t="shared" si="137"/>
        <v>U</v>
      </c>
      <c r="Y276" s="42"/>
      <c r="Z276" s="42">
        <v>54</v>
      </c>
      <c r="AA276" s="42"/>
      <c r="AB276" s="42" t="str">
        <f t="shared" si="138"/>
        <v>MEM/UTA</v>
      </c>
      <c r="AC276" s="42">
        <f t="shared" si="139"/>
        <v>0</v>
      </c>
      <c r="AD276" s="42">
        <f t="shared" si="140"/>
        <v>4</v>
      </c>
    </row>
    <row r="277" spans="1:30" x14ac:dyDescent="0.45">
      <c r="A277" s="42">
        <v>191130</v>
      </c>
      <c r="B277" s="44">
        <v>0.4375</v>
      </c>
      <c r="C277" s="42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N277" s="42"/>
      <c r="O277" s="42">
        <f t="shared" si="128"/>
        <v>107</v>
      </c>
      <c r="P277" s="42">
        <f t="shared" si="129"/>
        <v>97</v>
      </c>
      <c r="Q277" s="42" t="str">
        <f t="shared" si="130"/>
        <v>HL</v>
      </c>
      <c r="R277" s="42" t="str">
        <f t="shared" si="131"/>
        <v>HW</v>
      </c>
      <c r="S277" s="42" t="str">
        <f t="shared" si="132"/>
        <v>HW</v>
      </c>
      <c r="T277" s="42" t="str">
        <f t="shared" si="133"/>
        <v>HL</v>
      </c>
      <c r="U277" s="42" t="str">
        <f t="shared" si="134"/>
        <v>U</v>
      </c>
      <c r="V277" s="42" t="str">
        <f t="shared" si="135"/>
        <v>U</v>
      </c>
      <c r="W277" s="42" t="str">
        <f t="shared" si="136"/>
        <v>U</v>
      </c>
      <c r="X277" s="42" t="str">
        <f t="shared" si="137"/>
        <v>U</v>
      </c>
      <c r="Y277" s="42"/>
      <c r="Z277" s="42">
        <v>58</v>
      </c>
      <c r="AA277" s="42"/>
      <c r="AB277" s="42" t="str">
        <f t="shared" si="138"/>
        <v>SAS/LAC</v>
      </c>
      <c r="AC277" s="42">
        <f t="shared" si="139"/>
        <v>0</v>
      </c>
      <c r="AD277" s="42">
        <f t="shared" si="140"/>
        <v>4</v>
      </c>
    </row>
    <row r="278" spans="1:30" x14ac:dyDescent="0.45">
      <c r="A278" s="42">
        <v>191130</v>
      </c>
      <c r="B278" s="44">
        <v>0.45833333333333331</v>
      </c>
      <c r="C278" s="42" t="s">
        <v>307</v>
      </c>
      <c r="D278" s="5" t="s">
        <v>308</v>
      </c>
      <c r="E278" s="42">
        <v>25</v>
      </c>
      <c r="F278" s="42">
        <v>25</v>
      </c>
      <c r="G278" s="42">
        <v>39</v>
      </c>
      <c r="H278" s="42">
        <v>24</v>
      </c>
      <c r="I278" s="42"/>
      <c r="J278" s="42">
        <v>31</v>
      </c>
      <c r="K278" s="42">
        <v>22</v>
      </c>
      <c r="L278" s="42">
        <v>36</v>
      </c>
      <c r="M278" s="42">
        <v>31</v>
      </c>
      <c r="N278" s="42"/>
      <c r="O278" s="42">
        <f t="shared" si="128"/>
        <v>113</v>
      </c>
      <c r="P278" s="42">
        <f t="shared" si="129"/>
        <v>120</v>
      </c>
      <c r="Q278" s="42" t="str">
        <f t="shared" si="130"/>
        <v>HL</v>
      </c>
      <c r="R278" s="42" t="str">
        <f t="shared" si="131"/>
        <v>HW</v>
      </c>
      <c r="S278" s="42" t="str">
        <f t="shared" si="132"/>
        <v>HW</v>
      </c>
      <c r="T278" s="42" t="str">
        <f t="shared" si="133"/>
        <v>HL</v>
      </c>
      <c r="U278" s="42" t="str">
        <f t="shared" si="134"/>
        <v>U</v>
      </c>
      <c r="V278" s="42" t="str">
        <f t="shared" si="135"/>
        <v>U</v>
      </c>
      <c r="W278" s="42" t="str">
        <f t="shared" si="136"/>
        <v>O</v>
      </c>
      <c r="X278" s="42" t="str">
        <f t="shared" si="137"/>
        <v>U</v>
      </c>
      <c r="Y278" s="42"/>
      <c r="Z278" s="42">
        <v>60</v>
      </c>
      <c r="AA278" s="42"/>
      <c r="AB278" s="42" t="str">
        <f t="shared" si="138"/>
        <v>PHO/DAL</v>
      </c>
      <c r="AC278" s="42">
        <f t="shared" si="139"/>
        <v>1</v>
      </c>
      <c r="AD278" s="42">
        <f t="shared" si="140"/>
        <v>3</v>
      </c>
    </row>
    <row r="279" spans="1:30" x14ac:dyDescent="0.45">
      <c r="A279" s="42">
        <v>191130</v>
      </c>
      <c r="B279" s="44">
        <v>0.5</v>
      </c>
      <c r="C279" s="42" t="s">
        <v>309</v>
      </c>
      <c r="D279" s="5" t="s">
        <v>310</v>
      </c>
      <c r="E279" s="42">
        <v>25</v>
      </c>
      <c r="F279" s="42">
        <v>28</v>
      </c>
      <c r="G279" s="42">
        <v>28</v>
      </c>
      <c r="H279" s="42">
        <v>26</v>
      </c>
      <c r="I279" s="42"/>
      <c r="J279" s="42">
        <v>28</v>
      </c>
      <c r="K279" s="42">
        <v>19</v>
      </c>
      <c r="L279" s="42">
        <v>31</v>
      </c>
      <c r="M279" s="42">
        <v>25</v>
      </c>
      <c r="N279" s="42"/>
      <c r="O279" s="42">
        <f t="shared" si="128"/>
        <v>107</v>
      </c>
      <c r="P279" s="42">
        <f t="shared" si="129"/>
        <v>103</v>
      </c>
      <c r="Q279" s="42" t="str">
        <f t="shared" si="130"/>
        <v>HL</v>
      </c>
      <c r="R279" s="42" t="str">
        <f t="shared" si="131"/>
        <v>HW</v>
      </c>
      <c r="S279" s="42" t="str">
        <f t="shared" si="132"/>
        <v>HL</v>
      </c>
      <c r="T279" s="42" t="str">
        <f t="shared" si="133"/>
        <v>HW</v>
      </c>
      <c r="U279" s="42" t="str">
        <f t="shared" si="134"/>
        <v>U</v>
      </c>
      <c r="V279" s="42" t="str">
        <f t="shared" si="135"/>
        <v>U</v>
      </c>
      <c r="W279" s="42" t="str">
        <f t="shared" si="136"/>
        <v>O</v>
      </c>
      <c r="X279" s="42" t="str">
        <f t="shared" si="137"/>
        <v>U</v>
      </c>
      <c r="Y279" s="42"/>
      <c r="Z279" s="42">
        <v>57.5</v>
      </c>
      <c r="AA279" s="42"/>
      <c r="AB279" s="42" t="str">
        <f t="shared" si="138"/>
        <v>POR/CHI</v>
      </c>
      <c r="AC279" s="42">
        <f t="shared" si="139"/>
        <v>1</v>
      </c>
      <c r="AD279" s="42">
        <f t="shared" si="140"/>
        <v>3</v>
      </c>
    </row>
    <row r="280" spans="1:30" x14ac:dyDescent="0.45">
      <c r="A280" s="42">
        <v>191130</v>
      </c>
      <c r="B280" s="44">
        <v>0.52083333333333337</v>
      </c>
      <c r="C280" s="42" t="s">
        <v>311</v>
      </c>
      <c r="D280" s="5" t="s">
        <v>312</v>
      </c>
      <c r="E280" s="42">
        <v>37</v>
      </c>
      <c r="F280" s="42">
        <v>33</v>
      </c>
      <c r="G280" s="42">
        <v>35</v>
      </c>
      <c r="H280" s="42">
        <v>20</v>
      </c>
      <c r="I280" s="42"/>
      <c r="J280" s="42">
        <v>23</v>
      </c>
      <c r="K280" s="42">
        <v>26</v>
      </c>
      <c r="L280" s="42">
        <v>30</v>
      </c>
      <c r="M280" s="42">
        <v>24</v>
      </c>
      <c r="N280" s="42"/>
      <c r="O280" s="42">
        <f t="shared" si="128"/>
        <v>125</v>
      </c>
      <c r="P280" s="42">
        <f t="shared" si="129"/>
        <v>103</v>
      </c>
      <c r="Q280" s="42" t="str">
        <f t="shared" si="130"/>
        <v>HW</v>
      </c>
      <c r="R280" s="42" t="str">
        <f t="shared" si="131"/>
        <v>HW</v>
      </c>
      <c r="S280" s="42" t="str">
        <f t="shared" si="132"/>
        <v>HW</v>
      </c>
      <c r="T280" s="42" t="str">
        <f t="shared" si="133"/>
        <v>HL</v>
      </c>
      <c r="U280" s="42" t="str">
        <f t="shared" si="134"/>
        <v>T</v>
      </c>
      <c r="V280" s="42" t="str">
        <f t="shared" si="135"/>
        <v>U</v>
      </c>
      <c r="W280" s="42" t="str">
        <f t="shared" si="136"/>
        <v>O</v>
      </c>
      <c r="X280" s="42" t="str">
        <f t="shared" si="137"/>
        <v>U</v>
      </c>
      <c r="Y280" s="42"/>
      <c r="Z280" s="42">
        <v>60</v>
      </c>
      <c r="AA280" s="42"/>
      <c r="AB280" s="42" t="str">
        <f t="shared" si="138"/>
        <v>LAL/WAS</v>
      </c>
      <c r="AC280" s="42">
        <f t="shared" si="139"/>
        <v>1</v>
      </c>
      <c r="AD280" s="42">
        <f t="shared" si="140"/>
        <v>2</v>
      </c>
    </row>
    <row r="281" spans="1:30" x14ac:dyDescent="0.45">
      <c r="A281" s="42">
        <v>191201</v>
      </c>
      <c r="B281" s="44">
        <v>0.29166666666666669</v>
      </c>
      <c r="C281" s="15" t="s">
        <v>313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41">SUM(E281:I281)</f>
        <v>100</v>
      </c>
      <c r="P281" s="42">
        <f t="shared" ref="P281:P299" si="142">SUM(J281:N281)</f>
        <v>97</v>
      </c>
      <c r="Q281" s="42" t="str">
        <f t="shared" ref="Q281:Q299" si="143">IF(E281=J281,"TT",IF(E281&gt;J281,"HW","HL"))</f>
        <v>HL</v>
      </c>
      <c r="R281" s="42" t="str">
        <f t="shared" ref="R281:R299" si="144">IF(F281=K281,"TT",IF(F281&gt;K281,"HW","HL"))</f>
        <v>HL</v>
      </c>
      <c r="S281" s="42" t="str">
        <f t="shared" ref="S281:S299" si="145">IF(G281=L281,"TT",IF(G281&gt;L281,"HW","HL"))</f>
        <v>HW</v>
      </c>
      <c r="T281" s="42" t="str">
        <f t="shared" ref="T281:T299" si="146">IF(H281=M281,"TT",IF(H281&gt;M281,"HW","HL"))</f>
        <v>HW</v>
      </c>
      <c r="U281" s="42" t="str">
        <f t="shared" ref="U281:U299" si="147">IF(SUM(E281,J281)=$Z281,"T",IF(SUM(E281,J281)&gt;$Z281,"O","U"))</f>
        <v>U</v>
      </c>
      <c r="V281" s="42" t="str">
        <f t="shared" ref="V281:V299" si="148">IF(SUM(F281,K281)=$Z281,"T",IF(SUM(F281,K281)&gt;$Z281,"O","U"))</f>
        <v>U</v>
      </c>
      <c r="W281" s="42" t="str">
        <f t="shared" ref="W281:W299" si="149">IF(SUM(G281,L281)=$Z281,"T",IF(SUM(G281,L281)&gt;$Z281,"O","U"))</f>
        <v>U</v>
      </c>
      <c r="X281" s="42" t="str">
        <f t="shared" ref="X281:X299" si="150">IF(SUM(H281,M281)=$Z281,"T",IF(SUM(H281,M281)&gt;$Z281,"O","U"))</f>
        <v>U</v>
      </c>
      <c r="Z281" s="42">
        <v>53.5</v>
      </c>
      <c r="AB281" s="42" t="str">
        <f t="shared" ref="AB281" si="151">C281&amp;"/"&amp;D281</f>
        <v>SAC/DEN</v>
      </c>
      <c r="AC281" s="42">
        <f t="shared" ref="AC281" si="152">COUNTIF(U281:X281,"o")</f>
        <v>0</v>
      </c>
      <c r="AD281" s="42">
        <f t="shared" ref="AD281" si="153">COUNTIF(U281:X281,"u")</f>
        <v>4</v>
      </c>
    </row>
    <row r="282" spans="1:30" x14ac:dyDescent="0.45">
      <c r="A282" s="42">
        <v>191201</v>
      </c>
      <c r="B282" s="44">
        <v>0.375</v>
      </c>
      <c r="C282" s="11" t="s">
        <v>315</v>
      </c>
      <c r="D282" s="11" t="s">
        <v>316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N282" s="42"/>
      <c r="O282" s="42">
        <f t="shared" si="141"/>
        <v>119</v>
      </c>
      <c r="P282" s="42">
        <f t="shared" si="142"/>
        <v>116</v>
      </c>
      <c r="Q282" s="42" t="str">
        <f t="shared" si="143"/>
        <v>HW</v>
      </c>
      <c r="R282" s="42" t="str">
        <f t="shared" si="144"/>
        <v>HL</v>
      </c>
      <c r="S282" s="42" t="str">
        <f t="shared" si="145"/>
        <v>TT</v>
      </c>
      <c r="T282" s="42" t="str">
        <f t="shared" si="146"/>
        <v>HW</v>
      </c>
      <c r="U282" s="42" t="str">
        <f t="shared" si="147"/>
        <v>O</v>
      </c>
      <c r="V282" s="42" t="str">
        <f t="shared" si="148"/>
        <v>O</v>
      </c>
      <c r="W282" s="42" t="str">
        <f t="shared" si="149"/>
        <v>O</v>
      </c>
      <c r="X282" s="42" t="str">
        <f t="shared" si="150"/>
        <v>U</v>
      </c>
      <c r="Z282" s="42">
        <v>53.5</v>
      </c>
      <c r="AB282" s="42" t="str">
        <f t="shared" ref="AB282:AB299" si="154">C282&amp;"/"&amp;D282</f>
        <v>PHI/IND</v>
      </c>
      <c r="AC282" s="42">
        <f t="shared" ref="AC282:AC299" si="155">COUNTIF(U282:X282,"o")</f>
        <v>3</v>
      </c>
      <c r="AD282" s="42">
        <f t="shared" ref="AD282:AD299" si="156">COUNTIF(U282:X282,"u")</f>
        <v>1</v>
      </c>
    </row>
    <row r="283" spans="1:30" x14ac:dyDescent="0.45">
      <c r="A283" s="42">
        <v>191201</v>
      </c>
      <c r="B283" s="44">
        <v>0.41666666666666669</v>
      </c>
      <c r="C283" s="15" t="s">
        <v>317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N283" s="42"/>
      <c r="O283" s="42">
        <f t="shared" si="141"/>
        <v>158</v>
      </c>
      <c r="P283" s="42">
        <f t="shared" si="142"/>
        <v>111</v>
      </c>
      <c r="Q283" s="42" t="str">
        <f t="shared" si="143"/>
        <v>HW</v>
      </c>
      <c r="R283" s="42" t="str">
        <f t="shared" si="144"/>
        <v>HW</v>
      </c>
      <c r="S283" s="42" t="str">
        <f t="shared" si="145"/>
        <v>HW</v>
      </c>
      <c r="T283" s="42" t="str">
        <f t="shared" si="146"/>
        <v>HL</v>
      </c>
      <c r="U283" s="42" t="str">
        <f t="shared" si="147"/>
        <v>U</v>
      </c>
      <c r="V283" s="42" t="str">
        <f t="shared" si="148"/>
        <v>O</v>
      </c>
      <c r="W283" s="42" t="str">
        <f t="shared" si="149"/>
        <v>O</v>
      </c>
      <c r="X283" s="42" t="str">
        <f t="shared" si="150"/>
        <v>O</v>
      </c>
      <c r="Z283" s="42">
        <v>60.5</v>
      </c>
      <c r="AB283" s="42" t="str">
        <f t="shared" si="154"/>
        <v>HOU/ATL</v>
      </c>
      <c r="AC283" s="42">
        <f t="shared" si="155"/>
        <v>3</v>
      </c>
      <c r="AD283" s="42">
        <f t="shared" si="156"/>
        <v>1</v>
      </c>
    </row>
    <row r="284" spans="1:30" x14ac:dyDescent="0.45">
      <c r="A284" s="42">
        <v>191201</v>
      </c>
      <c r="B284" s="44">
        <v>0.41666666666666669</v>
      </c>
      <c r="C284" s="42" t="s">
        <v>319</v>
      </c>
      <c r="D284" s="11" t="s">
        <v>320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N284" s="42"/>
      <c r="O284" s="42">
        <f t="shared" si="141"/>
        <v>137</v>
      </c>
      <c r="P284" s="42">
        <f t="shared" si="142"/>
        <v>96</v>
      </c>
      <c r="Q284" s="42" t="str">
        <f t="shared" si="143"/>
        <v>HW</v>
      </c>
      <c r="R284" s="42" t="str">
        <f t="shared" si="144"/>
        <v>HW</v>
      </c>
      <c r="S284" s="42" t="str">
        <f t="shared" si="145"/>
        <v>HW</v>
      </c>
      <c r="T284" s="42" t="str">
        <f t="shared" si="146"/>
        <v>HW</v>
      </c>
      <c r="U284" s="42" t="str">
        <f t="shared" si="147"/>
        <v>U</v>
      </c>
      <c r="V284" s="42" t="str">
        <f t="shared" si="148"/>
        <v>T</v>
      </c>
      <c r="W284" s="42" t="str">
        <f t="shared" si="149"/>
        <v>O</v>
      </c>
      <c r="X284" s="42" t="str">
        <f t="shared" si="150"/>
        <v>U</v>
      </c>
      <c r="Z284" s="42">
        <v>58</v>
      </c>
      <c r="AB284" s="42" t="str">
        <f t="shared" si="154"/>
        <v>MIL/CHA</v>
      </c>
      <c r="AC284" s="42">
        <f t="shared" si="155"/>
        <v>1</v>
      </c>
      <c r="AD284" s="42">
        <f t="shared" si="156"/>
        <v>2</v>
      </c>
    </row>
    <row r="285" spans="1:30" x14ac:dyDescent="0.45">
      <c r="A285" s="42">
        <v>191202</v>
      </c>
      <c r="B285" s="44">
        <v>0.20833333333333334</v>
      </c>
      <c r="C285" s="42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N285" s="42"/>
      <c r="O285" s="42">
        <f t="shared" si="141"/>
        <v>106</v>
      </c>
      <c r="P285" s="42">
        <f t="shared" si="142"/>
        <v>109</v>
      </c>
      <c r="Q285" s="42" t="str">
        <f t="shared" si="143"/>
        <v>HL</v>
      </c>
      <c r="R285" s="42" t="str">
        <f t="shared" si="144"/>
        <v>HW</v>
      </c>
      <c r="S285" s="42" t="str">
        <f t="shared" si="145"/>
        <v>HL</v>
      </c>
      <c r="T285" s="42" t="str">
        <f t="shared" si="146"/>
        <v>HL</v>
      </c>
      <c r="U285" s="42" t="str">
        <f t="shared" si="147"/>
        <v>O</v>
      </c>
      <c r="V285" s="42" t="str">
        <f t="shared" si="148"/>
        <v>O</v>
      </c>
      <c r="W285" s="42" t="str">
        <f t="shared" si="149"/>
        <v>U</v>
      </c>
      <c r="X285" s="42" t="str">
        <f t="shared" si="150"/>
        <v>U</v>
      </c>
      <c r="Z285" s="42">
        <v>55.5</v>
      </c>
      <c r="AB285" s="42" t="str">
        <f t="shared" si="154"/>
        <v>BKN/MIA</v>
      </c>
      <c r="AC285" s="42">
        <f t="shared" si="155"/>
        <v>2</v>
      </c>
      <c r="AD285" s="42">
        <f t="shared" si="156"/>
        <v>2</v>
      </c>
    </row>
    <row r="286" spans="1:30" x14ac:dyDescent="0.45">
      <c r="A286" s="42">
        <v>191202</v>
      </c>
      <c r="B286" s="44">
        <v>0.22916666666666666</v>
      </c>
      <c r="C286" s="42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N286" s="42"/>
      <c r="O286" s="42">
        <f t="shared" si="141"/>
        <v>107</v>
      </c>
      <c r="P286" s="42">
        <f t="shared" si="142"/>
        <v>115</v>
      </c>
      <c r="Q286" s="42" t="str">
        <f t="shared" si="143"/>
        <v>HL</v>
      </c>
      <c r="R286" s="42" t="str">
        <f t="shared" si="144"/>
        <v>HW</v>
      </c>
      <c r="S286" s="42" t="str">
        <f t="shared" si="145"/>
        <v>HL</v>
      </c>
      <c r="T286" s="42" t="str">
        <f t="shared" si="146"/>
        <v>HL</v>
      </c>
      <c r="U286" s="42" t="str">
        <f t="shared" si="147"/>
        <v>U</v>
      </c>
      <c r="V286" s="42" t="str">
        <f t="shared" si="148"/>
        <v>U</v>
      </c>
      <c r="W286" s="42" t="str">
        <f t="shared" si="149"/>
        <v>O</v>
      </c>
      <c r="X286" s="42" t="str">
        <f t="shared" si="150"/>
        <v>O</v>
      </c>
      <c r="Z286" s="42">
        <v>56.5</v>
      </c>
      <c r="AB286" s="42" t="str">
        <f t="shared" si="154"/>
        <v>MIN/MEM</v>
      </c>
      <c r="AC286" s="42">
        <f t="shared" si="155"/>
        <v>2</v>
      </c>
      <c r="AD286" s="42">
        <f t="shared" si="156"/>
        <v>2</v>
      </c>
    </row>
    <row r="287" spans="1:30" x14ac:dyDescent="0.45">
      <c r="A287" s="42">
        <v>191202</v>
      </c>
      <c r="B287" s="44">
        <v>0.22916666666666666</v>
      </c>
      <c r="C287" s="42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N287" s="42"/>
      <c r="O287" s="42">
        <f t="shared" si="141"/>
        <v>104</v>
      </c>
      <c r="P287" s="42">
        <f t="shared" si="142"/>
        <v>113</v>
      </c>
      <c r="Q287" s="42" t="str">
        <f t="shared" si="143"/>
        <v>HL</v>
      </c>
      <c r="R287" s="42" t="str">
        <f t="shared" si="144"/>
        <v>HW</v>
      </c>
      <c r="S287" s="42" t="str">
        <f t="shared" si="145"/>
        <v>HW</v>
      </c>
      <c r="T287" s="42" t="str">
        <f t="shared" si="146"/>
        <v>HL</v>
      </c>
      <c r="U287" s="42" t="str">
        <f t="shared" si="147"/>
        <v>O</v>
      </c>
      <c r="V287" s="42" t="str">
        <f t="shared" si="148"/>
        <v>O</v>
      </c>
      <c r="W287" s="42" t="str">
        <f t="shared" si="149"/>
        <v>U</v>
      </c>
      <c r="X287" s="42" t="str">
        <f t="shared" si="150"/>
        <v>T</v>
      </c>
      <c r="Z287" s="42">
        <v>51</v>
      </c>
      <c r="AB287" s="42" t="str">
        <f t="shared" si="154"/>
        <v>NYK/BOS</v>
      </c>
      <c r="AC287" s="42">
        <f t="shared" si="155"/>
        <v>2</v>
      </c>
      <c r="AD287" s="42">
        <f t="shared" si="156"/>
        <v>1</v>
      </c>
    </row>
    <row r="288" spans="1:30" x14ac:dyDescent="0.45">
      <c r="A288" s="42">
        <v>191202</v>
      </c>
      <c r="B288" s="44">
        <v>0.25</v>
      </c>
      <c r="C288" s="42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N288" s="42"/>
      <c r="O288" s="42">
        <f t="shared" si="141"/>
        <v>100</v>
      </c>
      <c r="P288" s="42">
        <f t="shared" si="142"/>
        <v>114</v>
      </c>
      <c r="Q288" s="42" t="str">
        <f t="shared" si="143"/>
        <v>HW</v>
      </c>
      <c r="R288" s="42" t="str">
        <f t="shared" si="144"/>
        <v>HL</v>
      </c>
      <c r="S288" s="42" t="str">
        <f t="shared" si="145"/>
        <v>HL</v>
      </c>
      <c r="T288" s="42" t="str">
        <f t="shared" si="146"/>
        <v>HW</v>
      </c>
      <c r="U288" s="42" t="str">
        <f t="shared" si="147"/>
        <v>U</v>
      </c>
      <c r="V288" s="42" t="str">
        <f t="shared" si="148"/>
        <v>O</v>
      </c>
      <c r="W288" s="42" t="str">
        <f t="shared" si="149"/>
        <v>U</v>
      </c>
      <c r="X288" s="42" t="str">
        <f t="shared" si="150"/>
        <v>U</v>
      </c>
      <c r="Z288" s="42">
        <v>57.5</v>
      </c>
      <c r="AB288" s="42" t="str">
        <f t="shared" si="154"/>
        <v>LAL/DAL</v>
      </c>
      <c r="AC288" s="42">
        <f t="shared" si="155"/>
        <v>1</v>
      </c>
      <c r="AD288" s="42">
        <f t="shared" si="156"/>
        <v>3</v>
      </c>
    </row>
    <row r="289" spans="1:30" x14ac:dyDescent="0.45">
      <c r="A289" s="42">
        <v>191202</v>
      </c>
      <c r="B289" s="44">
        <v>0.29166666666666669</v>
      </c>
      <c r="C289" s="42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N289" s="42"/>
      <c r="O289" s="42">
        <f t="shared" si="141"/>
        <v>104</v>
      </c>
      <c r="P289" s="42">
        <f t="shared" si="142"/>
        <v>107</v>
      </c>
      <c r="Q289" s="42" t="str">
        <f t="shared" si="143"/>
        <v>HL</v>
      </c>
      <c r="R289" s="42" t="str">
        <f t="shared" si="144"/>
        <v>HW</v>
      </c>
      <c r="S289" s="42" t="str">
        <f t="shared" si="145"/>
        <v>HL</v>
      </c>
      <c r="T289" s="42" t="str">
        <f t="shared" si="146"/>
        <v>HW</v>
      </c>
      <c r="U289" s="42" t="str">
        <f t="shared" si="147"/>
        <v>O</v>
      </c>
      <c r="V289" s="42" t="str">
        <f t="shared" si="148"/>
        <v>U</v>
      </c>
      <c r="W289" s="42" t="str">
        <f t="shared" si="149"/>
        <v>U</v>
      </c>
      <c r="X289" s="42" t="str">
        <f t="shared" si="150"/>
        <v>U</v>
      </c>
      <c r="Z289" s="42">
        <v>58.5</v>
      </c>
      <c r="AB289" s="42" t="str">
        <f t="shared" si="154"/>
        <v>NO/OKC</v>
      </c>
      <c r="AC289" s="42">
        <f t="shared" si="155"/>
        <v>1</v>
      </c>
      <c r="AD289" s="42">
        <f t="shared" si="156"/>
        <v>3</v>
      </c>
    </row>
    <row r="290" spans="1:30" x14ac:dyDescent="0.45">
      <c r="A290" s="42">
        <v>191202</v>
      </c>
      <c r="B290" s="44">
        <v>0.29166666666666669</v>
      </c>
      <c r="C290" s="42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N290" s="42"/>
      <c r="O290" s="42">
        <f t="shared" si="141"/>
        <v>132</v>
      </c>
      <c r="P290" s="42">
        <f t="shared" si="142"/>
        <v>98</v>
      </c>
      <c r="Q290" s="42" t="str">
        <f t="shared" si="143"/>
        <v>HW</v>
      </c>
      <c r="R290" s="42" t="str">
        <f t="shared" si="144"/>
        <v>HW</v>
      </c>
      <c r="S290" s="42" t="str">
        <f t="shared" si="145"/>
        <v>HW</v>
      </c>
      <c r="T290" s="42" t="str">
        <f t="shared" si="146"/>
        <v>HW</v>
      </c>
      <c r="U290" s="42" t="str">
        <f t="shared" si="147"/>
        <v>O</v>
      </c>
      <c r="V290" s="42" t="str">
        <f t="shared" si="148"/>
        <v>U</v>
      </c>
      <c r="W290" s="42" t="str">
        <f t="shared" si="149"/>
        <v>O</v>
      </c>
      <c r="X290" s="42" t="str">
        <f t="shared" si="150"/>
        <v>O</v>
      </c>
      <c r="Z290" s="42">
        <v>53</v>
      </c>
      <c r="AB290" s="42" t="str">
        <f t="shared" si="154"/>
        <v>DET/SAS</v>
      </c>
      <c r="AC290" s="42">
        <f t="shared" si="155"/>
        <v>3</v>
      </c>
      <c r="AD290" s="42">
        <f t="shared" si="156"/>
        <v>1</v>
      </c>
    </row>
    <row r="291" spans="1:30" x14ac:dyDescent="0.45">
      <c r="A291" s="42">
        <v>191202</v>
      </c>
      <c r="B291" s="44">
        <v>0.33333333333333331</v>
      </c>
      <c r="C291" s="42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N291" s="42"/>
      <c r="O291" s="42">
        <f t="shared" si="141"/>
        <v>100</v>
      </c>
      <c r="P291" s="42">
        <f t="shared" si="142"/>
        <v>96</v>
      </c>
      <c r="Q291" s="42" t="str">
        <f t="shared" si="143"/>
        <v>HW</v>
      </c>
      <c r="R291" s="42" t="str">
        <f t="shared" si="144"/>
        <v>HL</v>
      </c>
      <c r="S291" s="42" t="str">
        <f t="shared" si="145"/>
        <v>HW</v>
      </c>
      <c r="T291" s="42" t="str">
        <f t="shared" si="146"/>
        <v>HW</v>
      </c>
      <c r="U291" s="42" t="str">
        <f t="shared" si="147"/>
        <v>U</v>
      </c>
      <c r="V291" s="42" t="str">
        <f t="shared" si="148"/>
        <v>O</v>
      </c>
      <c r="W291" s="42" t="str">
        <f t="shared" si="149"/>
        <v>U</v>
      </c>
      <c r="X291" s="42" t="str">
        <f t="shared" si="150"/>
        <v>T</v>
      </c>
      <c r="Z291" s="42">
        <v>53</v>
      </c>
      <c r="AB291" s="42" t="str">
        <f t="shared" si="154"/>
        <v>ORL/GS</v>
      </c>
      <c r="AC291" s="42">
        <f t="shared" si="155"/>
        <v>1</v>
      </c>
      <c r="AD291" s="42">
        <f t="shared" si="156"/>
        <v>2</v>
      </c>
    </row>
    <row r="292" spans="1:30" x14ac:dyDescent="0.45">
      <c r="A292" s="42">
        <v>191202</v>
      </c>
      <c r="B292" s="44">
        <v>0.33333333333333331</v>
      </c>
      <c r="C292" s="4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N292" s="42"/>
      <c r="O292" s="42">
        <f t="shared" si="141"/>
        <v>130</v>
      </c>
      <c r="P292" s="42">
        <f t="shared" si="142"/>
        <v>110</v>
      </c>
      <c r="Q292" s="42" t="str">
        <f t="shared" si="143"/>
        <v>HW</v>
      </c>
      <c r="R292" s="42" t="str">
        <f t="shared" si="144"/>
        <v>HW</v>
      </c>
      <c r="S292" s="42" t="str">
        <f t="shared" si="145"/>
        <v>HL</v>
      </c>
      <c r="T292" s="42" t="str">
        <f t="shared" si="146"/>
        <v>HL</v>
      </c>
      <c r="U292" s="42" t="str">
        <f t="shared" si="147"/>
        <v>O</v>
      </c>
      <c r="V292" s="42" t="str">
        <f t="shared" si="148"/>
        <v>O</v>
      </c>
      <c r="W292" s="42" t="str">
        <f t="shared" si="149"/>
        <v>O</v>
      </c>
      <c r="X292" s="42" t="str">
        <f t="shared" si="150"/>
        <v>U</v>
      </c>
      <c r="Z292" s="42">
        <v>51.5</v>
      </c>
      <c r="AB292" s="42" t="str">
        <f t="shared" si="154"/>
        <v>TOR/UTA</v>
      </c>
      <c r="AC292" s="42">
        <f t="shared" si="155"/>
        <v>3</v>
      </c>
      <c r="AD292" s="42">
        <f t="shared" si="156"/>
        <v>1</v>
      </c>
    </row>
    <row r="293" spans="1:30" x14ac:dyDescent="0.45">
      <c r="A293" s="42">
        <v>191202</v>
      </c>
      <c r="B293" s="44">
        <v>0.52083333333333337</v>
      </c>
      <c r="C293" s="42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N293" s="42"/>
      <c r="O293" s="42">
        <f t="shared" si="141"/>
        <v>150</v>
      </c>
      <c r="P293" s="42">
        <f t="shared" si="142"/>
        <v>125</v>
      </c>
      <c r="Q293" s="42" t="str">
        <f t="shared" si="143"/>
        <v>HW</v>
      </c>
      <c r="R293" s="42" t="str">
        <f t="shared" si="144"/>
        <v>HW</v>
      </c>
      <c r="S293" s="42" t="str">
        <f t="shared" si="145"/>
        <v>HL</v>
      </c>
      <c r="T293" s="42" t="str">
        <f t="shared" si="146"/>
        <v>HW</v>
      </c>
      <c r="U293" s="42" t="str">
        <f t="shared" si="147"/>
        <v>O</v>
      </c>
      <c r="V293" s="42" t="str">
        <f t="shared" si="148"/>
        <v>O</v>
      </c>
      <c r="W293" s="42" t="str">
        <f t="shared" si="149"/>
        <v>O</v>
      </c>
      <c r="X293" s="42" t="str">
        <f t="shared" si="150"/>
        <v>U</v>
      </c>
      <c r="Z293" s="42">
        <v>61.5</v>
      </c>
      <c r="AB293" s="42" t="str">
        <f t="shared" si="154"/>
        <v>LAC/WAS</v>
      </c>
      <c r="AC293" s="42">
        <f t="shared" si="155"/>
        <v>3</v>
      </c>
      <c r="AD293" s="42">
        <f t="shared" si="156"/>
        <v>1</v>
      </c>
    </row>
    <row r="294" spans="1:30" x14ac:dyDescent="0.45">
      <c r="A294" s="42">
        <v>191203</v>
      </c>
      <c r="B294" s="44">
        <v>0.375</v>
      </c>
      <c r="C294" s="42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N294" s="42"/>
      <c r="O294" s="42">
        <f t="shared" si="141"/>
        <v>103</v>
      </c>
      <c r="P294" s="42">
        <f t="shared" si="142"/>
        <v>94</v>
      </c>
      <c r="Q294" s="42" t="str">
        <f t="shared" si="143"/>
        <v>HW</v>
      </c>
      <c r="R294" s="42" t="str">
        <f t="shared" si="144"/>
        <v>HW</v>
      </c>
      <c r="S294" s="42" t="str">
        <f t="shared" si="145"/>
        <v>HW</v>
      </c>
      <c r="T294" s="42" t="str">
        <f t="shared" si="146"/>
        <v>HL</v>
      </c>
      <c r="U294" s="42" t="str">
        <f t="shared" si="147"/>
        <v>O</v>
      </c>
      <c r="V294" s="42" t="str">
        <f t="shared" si="148"/>
        <v>U</v>
      </c>
      <c r="W294" s="42" t="str">
        <f t="shared" si="149"/>
        <v>U</v>
      </c>
      <c r="X294" s="42" t="str">
        <f t="shared" si="150"/>
        <v>U</v>
      </c>
      <c r="Z294" s="42">
        <v>51</v>
      </c>
      <c r="AB294" s="42" t="str">
        <f t="shared" si="154"/>
        <v>PHI/UTA</v>
      </c>
      <c r="AC294" s="42">
        <f t="shared" si="155"/>
        <v>1</v>
      </c>
      <c r="AD294" s="42">
        <f t="shared" si="156"/>
        <v>3</v>
      </c>
    </row>
    <row r="295" spans="1:30" x14ac:dyDescent="0.45">
      <c r="A295" s="42">
        <v>191203</v>
      </c>
      <c r="B295" s="44">
        <v>0.375</v>
      </c>
      <c r="C295" s="42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N295" s="42"/>
      <c r="O295" s="42">
        <f t="shared" si="141"/>
        <v>104</v>
      </c>
      <c r="P295" s="42">
        <f t="shared" si="142"/>
        <v>109</v>
      </c>
      <c r="Q295" s="42" t="str">
        <f t="shared" si="143"/>
        <v>HL</v>
      </c>
      <c r="R295" s="42" t="str">
        <f t="shared" si="144"/>
        <v>HL</v>
      </c>
      <c r="S295" s="42" t="str">
        <f t="shared" si="145"/>
        <v>HW</v>
      </c>
      <c r="T295" s="42" t="str">
        <f t="shared" si="146"/>
        <v>HW</v>
      </c>
      <c r="U295" s="42" t="str">
        <f t="shared" si="147"/>
        <v>U</v>
      </c>
      <c r="V295" s="42" t="str">
        <f t="shared" si="148"/>
        <v>U</v>
      </c>
      <c r="W295" s="42" t="str">
        <f t="shared" si="149"/>
        <v>O</v>
      </c>
      <c r="X295" s="42" t="str">
        <f t="shared" si="150"/>
        <v>O</v>
      </c>
      <c r="Z295" s="42">
        <v>54.5</v>
      </c>
      <c r="AB295" s="42" t="str">
        <f t="shared" si="154"/>
        <v>CHA/PHO</v>
      </c>
      <c r="AC295" s="42">
        <f t="shared" si="155"/>
        <v>2</v>
      </c>
      <c r="AD295" s="42">
        <f t="shared" si="156"/>
        <v>2</v>
      </c>
    </row>
    <row r="296" spans="1:30" x14ac:dyDescent="0.45">
      <c r="A296" s="42">
        <v>191203</v>
      </c>
      <c r="B296" s="44">
        <v>0.39583333333333331</v>
      </c>
      <c r="C296" s="42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N296" s="42"/>
      <c r="O296" s="42">
        <f t="shared" si="141"/>
        <v>104</v>
      </c>
      <c r="P296" s="42">
        <f t="shared" si="142"/>
        <v>79</v>
      </c>
      <c r="Q296" s="42" t="str">
        <f t="shared" si="143"/>
        <v>HL</v>
      </c>
      <c r="R296" s="42" t="str">
        <f t="shared" si="144"/>
        <v>HW</v>
      </c>
      <c r="S296" s="42" t="str">
        <f t="shared" si="145"/>
        <v>HW</v>
      </c>
      <c r="T296" s="42" t="str">
        <f t="shared" si="146"/>
        <v>HW</v>
      </c>
      <c r="U296" s="42" t="str">
        <f t="shared" si="147"/>
        <v>U</v>
      </c>
      <c r="V296" s="42" t="str">
        <f t="shared" si="148"/>
        <v>U</v>
      </c>
      <c r="W296" s="42" t="str">
        <f t="shared" si="149"/>
        <v>U</v>
      </c>
      <c r="X296" s="42" t="str">
        <f t="shared" si="150"/>
        <v>U</v>
      </c>
      <c r="Z296" s="42">
        <v>57</v>
      </c>
      <c r="AB296" s="42" t="str">
        <f t="shared" si="154"/>
        <v>ATL/GS</v>
      </c>
      <c r="AC296" s="42">
        <f t="shared" si="155"/>
        <v>0</v>
      </c>
      <c r="AD296" s="42">
        <f t="shared" si="156"/>
        <v>4</v>
      </c>
    </row>
    <row r="297" spans="1:30" x14ac:dyDescent="0.45">
      <c r="A297" s="42">
        <v>191203</v>
      </c>
      <c r="B297" s="44">
        <v>0.41666666666666669</v>
      </c>
      <c r="C297" s="42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N297" s="42"/>
      <c r="O297" s="42">
        <f t="shared" si="141"/>
        <v>132</v>
      </c>
      <c r="P297" s="42">
        <f t="shared" si="142"/>
        <v>88</v>
      </c>
      <c r="Q297" s="42" t="str">
        <f t="shared" si="143"/>
        <v>HW</v>
      </c>
      <c r="R297" s="42" t="str">
        <f t="shared" si="144"/>
        <v>HW</v>
      </c>
      <c r="S297" s="42" t="str">
        <f t="shared" si="145"/>
        <v>HW</v>
      </c>
      <c r="T297" s="42" t="str">
        <f t="shared" si="146"/>
        <v>HW</v>
      </c>
      <c r="U297" s="42" t="str">
        <f t="shared" si="147"/>
        <v>U</v>
      </c>
      <c r="V297" s="42" t="str">
        <f t="shared" si="148"/>
        <v>O</v>
      </c>
      <c r="W297" s="42" t="str">
        <f t="shared" si="149"/>
        <v>U</v>
      </c>
      <c r="X297" s="42" t="str">
        <f t="shared" si="150"/>
        <v>O</v>
      </c>
      <c r="Z297" s="42">
        <v>57</v>
      </c>
      <c r="AB297" s="42" t="str">
        <f t="shared" si="154"/>
        <v>MIL/NYK</v>
      </c>
      <c r="AC297" s="42">
        <f t="shared" si="155"/>
        <v>2</v>
      </c>
      <c r="AD297" s="42">
        <f t="shared" si="156"/>
        <v>2</v>
      </c>
    </row>
    <row r="298" spans="1:30" x14ac:dyDescent="0.45">
      <c r="A298" s="42">
        <v>191203</v>
      </c>
      <c r="B298" s="44">
        <v>0.41666666666666669</v>
      </c>
      <c r="C298" s="42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N298" s="42"/>
      <c r="O298" s="42">
        <f t="shared" si="141"/>
        <v>104</v>
      </c>
      <c r="P298" s="42">
        <f t="shared" si="142"/>
        <v>117</v>
      </c>
      <c r="Q298" s="42" t="str">
        <f t="shared" si="143"/>
        <v>HL</v>
      </c>
      <c r="R298" s="42" t="str">
        <f t="shared" si="144"/>
        <v>HL</v>
      </c>
      <c r="S298" s="42" t="str">
        <f t="shared" si="145"/>
        <v>HL</v>
      </c>
      <c r="T298" s="42" t="str">
        <f t="shared" si="146"/>
        <v>HL</v>
      </c>
      <c r="U298" s="42" t="str">
        <f t="shared" si="147"/>
        <v>U</v>
      </c>
      <c r="V298" s="42" t="str">
        <f t="shared" si="148"/>
        <v>O</v>
      </c>
      <c r="W298" s="42" t="str">
        <f t="shared" si="149"/>
        <v>U</v>
      </c>
      <c r="X298" s="42" t="str">
        <f t="shared" si="150"/>
        <v>O</v>
      </c>
      <c r="Z298" s="42">
        <v>56</v>
      </c>
      <c r="AB298" s="42" t="str">
        <f t="shared" si="154"/>
        <v>MEM/IND</v>
      </c>
      <c r="AC298" s="42">
        <f t="shared" si="155"/>
        <v>2</v>
      </c>
      <c r="AD298" s="42">
        <f t="shared" si="156"/>
        <v>2</v>
      </c>
    </row>
    <row r="299" spans="1:30" x14ac:dyDescent="0.45">
      <c r="A299" s="42">
        <v>191203</v>
      </c>
      <c r="B299" s="44">
        <v>0.5</v>
      </c>
      <c r="C299" s="42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N299" s="42"/>
      <c r="O299" s="42">
        <f t="shared" si="141"/>
        <v>106</v>
      </c>
      <c r="P299" s="42">
        <f t="shared" si="142"/>
        <v>113</v>
      </c>
      <c r="Q299" s="42" t="str">
        <f t="shared" si="143"/>
        <v>HW</v>
      </c>
      <c r="R299" s="42" t="str">
        <f t="shared" si="144"/>
        <v>HL</v>
      </c>
      <c r="S299" s="42" t="str">
        <f t="shared" si="145"/>
        <v>HW</v>
      </c>
      <c r="T299" s="42" t="str">
        <f t="shared" si="146"/>
        <v>HW</v>
      </c>
      <c r="U299" s="42" t="str">
        <f t="shared" si="147"/>
        <v>U</v>
      </c>
      <c r="V299" s="42" t="str">
        <f t="shared" si="148"/>
        <v>U</v>
      </c>
      <c r="W299" s="42" t="str">
        <f t="shared" si="149"/>
        <v>O</v>
      </c>
      <c r="X299" s="42" t="str">
        <f t="shared" si="150"/>
        <v>O</v>
      </c>
      <c r="Z299" s="42">
        <v>54.5</v>
      </c>
      <c r="AB299" s="42" t="str">
        <f t="shared" si="154"/>
        <v>SAC/CHI</v>
      </c>
      <c r="AC299" s="42">
        <f t="shared" si="155"/>
        <v>2</v>
      </c>
      <c r="AD299" s="42">
        <f t="shared" si="156"/>
        <v>2</v>
      </c>
    </row>
    <row r="300" spans="1:30" x14ac:dyDescent="0.45">
      <c r="A300" s="42">
        <v>191204</v>
      </c>
      <c r="B300" s="44">
        <v>0.375</v>
      </c>
      <c r="C300" s="42" t="s">
        <v>347</v>
      </c>
      <c r="D300" s="5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N300" s="42"/>
      <c r="O300" s="42">
        <f t="shared" ref="O300:O306" si="157">SUM(E300:I300)</f>
        <v>94</v>
      </c>
      <c r="P300" s="42">
        <f t="shared" ref="P300:P306" si="158">SUM(J300:N300)</f>
        <v>127</v>
      </c>
      <c r="Q300" s="42" t="str">
        <f t="shared" ref="Q300:Q306" si="159">IF(E300=J300,"TT",IF(E300&gt;J300,"HW","HL"))</f>
        <v>HL</v>
      </c>
      <c r="R300" s="42" t="str">
        <f t="shared" ref="R300:R306" si="160">IF(F300=K300,"TT",IF(F300&gt;K300,"HW","HL"))</f>
        <v>HL</v>
      </c>
      <c r="S300" s="42" t="str">
        <f t="shared" ref="S300:S306" si="161">IF(G300=L300,"TT",IF(G300&gt;L300,"HW","HL"))</f>
        <v>HL</v>
      </c>
      <c r="T300" s="42" t="str">
        <f t="shared" ref="T300:T306" si="162">IF(H300=M300,"TT",IF(H300&gt;M300,"HW","HL"))</f>
        <v>HL</v>
      </c>
      <c r="U300" s="42" t="str">
        <f t="shared" ref="U300:U306" si="163">IF(SUM(E300,J300)=$Z300,"T",IF(SUM(E300,J300)&gt;$Z300,"O","U"))</f>
        <v>O</v>
      </c>
      <c r="V300" s="42" t="str">
        <f t="shared" ref="V300:V306" si="164">IF(SUM(F300,K300)=$Z300,"T",IF(SUM(F300,K300)&gt;$Z300,"O","U"))</f>
        <v>U</v>
      </c>
      <c r="W300" s="42" t="str">
        <f t="shared" ref="W300:W306" si="165">IF(SUM(G300,L300)=$Z300,"T",IF(SUM(G300,L300)&gt;$Z300,"O","U"))</f>
        <v>O</v>
      </c>
      <c r="X300" s="42" t="str">
        <f t="shared" ref="X300:X306" si="166">IF(SUM(H300,M300)=$Z300,"T",IF(SUM(H300,M300)&gt;$Z300,"O","U"))</f>
        <v>T</v>
      </c>
      <c r="Y300" s="42"/>
      <c r="Z300" s="42">
        <v>56</v>
      </c>
      <c r="AB300" s="42" t="str">
        <f t="shared" ref="AB300:AB306" si="167">C300&amp;"/"&amp;D300</f>
        <v>CLE/DET</v>
      </c>
      <c r="AC300" s="42">
        <f t="shared" ref="AC300:AC306" si="168">COUNTIF(U300:X300,"o")</f>
        <v>2</v>
      </c>
      <c r="AD300" s="42">
        <f t="shared" ref="AD300:AD306" si="169">COUNTIF(U300:X300,"u")</f>
        <v>1</v>
      </c>
    </row>
    <row r="301" spans="1:30" x14ac:dyDescent="0.45">
      <c r="A301" s="42">
        <v>191204</v>
      </c>
      <c r="B301" s="44">
        <v>0.375</v>
      </c>
      <c r="C301" s="42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N301" s="42"/>
      <c r="O301" s="42">
        <f t="shared" si="157"/>
        <v>120</v>
      </c>
      <c r="P301" s="42">
        <f t="shared" si="158"/>
        <v>127</v>
      </c>
      <c r="Q301" s="42" t="str">
        <f t="shared" si="159"/>
        <v>HL</v>
      </c>
      <c r="R301" s="42" t="str">
        <f t="shared" si="160"/>
        <v>HL</v>
      </c>
      <c r="S301" s="42" t="str">
        <f t="shared" si="161"/>
        <v>HW</v>
      </c>
      <c r="T301" s="42" t="str">
        <f t="shared" si="162"/>
        <v>HW</v>
      </c>
      <c r="U301" s="42" t="str">
        <f t="shared" si="163"/>
        <v>U</v>
      </c>
      <c r="V301" s="42" t="str">
        <f t="shared" si="164"/>
        <v>O</v>
      </c>
      <c r="W301" s="42" t="str">
        <f t="shared" si="165"/>
        <v>O</v>
      </c>
      <c r="X301" s="42" t="str">
        <f t="shared" si="166"/>
        <v>O</v>
      </c>
      <c r="Y301" s="42"/>
      <c r="Z301" s="42">
        <v>58.5</v>
      </c>
      <c r="AB301" s="42" t="str">
        <f t="shared" si="167"/>
        <v>WAS/ORL</v>
      </c>
      <c r="AC301" s="42">
        <f t="shared" si="168"/>
        <v>3</v>
      </c>
      <c r="AD301" s="42">
        <f t="shared" si="169"/>
        <v>1</v>
      </c>
    </row>
    <row r="302" spans="1:30" x14ac:dyDescent="0.45">
      <c r="A302" s="42">
        <v>191204</v>
      </c>
      <c r="B302" s="44">
        <v>0.39583333333333331</v>
      </c>
      <c r="C302" s="4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N302" s="42"/>
      <c r="O302" s="42">
        <f t="shared" si="157"/>
        <v>97</v>
      </c>
      <c r="P302" s="42">
        <f t="shared" si="158"/>
        <v>118</v>
      </c>
      <c r="Q302" s="42" t="str">
        <f t="shared" si="159"/>
        <v>TT</v>
      </c>
      <c r="R302" s="42" t="str">
        <f t="shared" si="160"/>
        <v>HL</v>
      </c>
      <c r="S302" s="42" t="str">
        <f t="shared" si="161"/>
        <v>HL</v>
      </c>
      <c r="T302" s="42" t="str">
        <f t="shared" si="162"/>
        <v>HL</v>
      </c>
      <c r="U302" s="42" t="str">
        <f t="shared" si="163"/>
        <v>U</v>
      </c>
      <c r="V302" s="42" t="str">
        <f t="shared" si="164"/>
        <v>O</v>
      </c>
      <c r="W302" s="42" t="str">
        <f t="shared" si="165"/>
        <v>U</v>
      </c>
      <c r="X302" s="42" t="str">
        <f t="shared" si="166"/>
        <v>U</v>
      </c>
      <c r="Y302" s="42"/>
      <c r="Z302" s="42">
        <v>60.5</v>
      </c>
      <c r="AB302" s="42" t="str">
        <f t="shared" si="167"/>
        <v>NO/DAL</v>
      </c>
      <c r="AC302" s="42">
        <f t="shared" si="168"/>
        <v>1</v>
      </c>
      <c r="AD302" s="42">
        <f t="shared" si="169"/>
        <v>3</v>
      </c>
    </row>
    <row r="303" spans="1:30" x14ac:dyDescent="0.45">
      <c r="A303" s="42">
        <v>191204</v>
      </c>
      <c r="B303" s="44">
        <v>0.39583333333333331</v>
      </c>
      <c r="C303" s="42" t="s">
        <v>335</v>
      </c>
      <c r="D303" s="5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N303" s="42"/>
      <c r="O303" s="42">
        <f t="shared" si="157"/>
        <v>108</v>
      </c>
      <c r="P303" s="42">
        <f t="shared" si="158"/>
        <v>108</v>
      </c>
      <c r="Q303" s="42" t="str">
        <f t="shared" si="159"/>
        <v>HL</v>
      </c>
      <c r="R303" s="42" t="str">
        <f t="shared" si="160"/>
        <v>HW</v>
      </c>
      <c r="S303" s="42" t="str">
        <f t="shared" si="161"/>
        <v>HW</v>
      </c>
      <c r="T303" s="42" t="str">
        <f t="shared" si="162"/>
        <v>HW</v>
      </c>
      <c r="U303" s="42" t="str">
        <f t="shared" si="163"/>
        <v>T</v>
      </c>
      <c r="V303" s="42" t="str">
        <f t="shared" si="164"/>
        <v>O</v>
      </c>
      <c r="W303" s="42" t="str">
        <f t="shared" si="165"/>
        <v>U</v>
      </c>
      <c r="X303" s="42" t="str">
        <f t="shared" si="166"/>
        <v>U</v>
      </c>
      <c r="Y303" s="42"/>
      <c r="Z303" s="42">
        <v>55</v>
      </c>
      <c r="AB303" s="42" t="str">
        <f t="shared" si="167"/>
        <v>TOR/MIA</v>
      </c>
      <c r="AC303" s="42">
        <f t="shared" si="168"/>
        <v>1</v>
      </c>
      <c r="AD303" s="42">
        <f t="shared" si="169"/>
        <v>2</v>
      </c>
    </row>
    <row r="304" spans="1:30" x14ac:dyDescent="0.45">
      <c r="A304" s="42">
        <v>191204</v>
      </c>
      <c r="B304" s="44">
        <v>0.4375</v>
      </c>
      <c r="C304" s="42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57"/>
        <v>135</v>
      </c>
      <c r="P304" s="42">
        <f t="shared" si="158"/>
        <v>133</v>
      </c>
      <c r="Q304" s="42" t="str">
        <f t="shared" si="159"/>
        <v>HW</v>
      </c>
      <c r="R304" s="42" t="str">
        <f t="shared" si="160"/>
        <v>HL</v>
      </c>
      <c r="S304" s="42" t="str">
        <f t="shared" si="161"/>
        <v>HL</v>
      </c>
      <c r="T304" s="42" t="str">
        <f t="shared" si="162"/>
        <v>HW</v>
      </c>
      <c r="U304" s="42" t="str">
        <f t="shared" si="163"/>
        <v>U</v>
      </c>
      <c r="V304" s="42" t="str">
        <f t="shared" si="164"/>
        <v>O</v>
      </c>
      <c r="W304" s="42" t="str">
        <f t="shared" si="165"/>
        <v>U</v>
      </c>
      <c r="X304" s="42" t="str">
        <f t="shared" si="166"/>
        <v>U</v>
      </c>
      <c r="Y304" s="42"/>
      <c r="Z304" s="42">
        <v>60</v>
      </c>
      <c r="AB304" s="42" t="str">
        <f t="shared" si="167"/>
        <v>SAS/HOU</v>
      </c>
      <c r="AC304" s="42">
        <f t="shared" si="168"/>
        <v>1</v>
      </c>
      <c r="AD304" s="42">
        <f t="shared" si="169"/>
        <v>3</v>
      </c>
    </row>
    <row r="305" spans="1:30" x14ac:dyDescent="0.45">
      <c r="A305" s="42">
        <v>191204</v>
      </c>
      <c r="B305" s="44">
        <v>0.45833333333333331</v>
      </c>
      <c r="C305" s="42" t="s">
        <v>349</v>
      </c>
      <c r="D305" s="5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N305" s="42"/>
      <c r="O305" s="42">
        <f t="shared" si="157"/>
        <v>96</v>
      </c>
      <c r="P305" s="42">
        <f t="shared" si="158"/>
        <v>105</v>
      </c>
      <c r="Q305" s="42" t="str">
        <f t="shared" si="159"/>
        <v>HL</v>
      </c>
      <c r="R305" s="42" t="str">
        <f t="shared" si="160"/>
        <v>HL</v>
      </c>
      <c r="S305" s="42" t="str">
        <f t="shared" si="161"/>
        <v>HW</v>
      </c>
      <c r="T305" s="42" t="str">
        <f t="shared" si="162"/>
        <v>HL</v>
      </c>
      <c r="U305" s="42" t="str">
        <f t="shared" si="163"/>
        <v>U</v>
      </c>
      <c r="V305" s="42" t="str">
        <f t="shared" si="164"/>
        <v>O</v>
      </c>
      <c r="W305" s="42" t="str">
        <f t="shared" si="165"/>
        <v>U</v>
      </c>
      <c r="X305" s="42" t="str">
        <f t="shared" si="166"/>
        <v>U</v>
      </c>
      <c r="Y305" s="42"/>
      <c r="Z305" s="42">
        <v>54</v>
      </c>
      <c r="AB305" s="42" t="str">
        <f t="shared" si="167"/>
        <v>DEN/LAL</v>
      </c>
      <c r="AC305" s="42">
        <f t="shared" si="168"/>
        <v>1</v>
      </c>
      <c r="AD305" s="42">
        <f t="shared" si="169"/>
        <v>3</v>
      </c>
    </row>
    <row r="306" spans="1:30" x14ac:dyDescent="0.45">
      <c r="A306" s="42">
        <v>191204</v>
      </c>
      <c r="B306" s="44">
        <v>0.5</v>
      </c>
      <c r="C306" s="42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N306" s="42"/>
      <c r="O306" s="42">
        <f t="shared" si="157"/>
        <v>117</v>
      </c>
      <c r="P306" s="42">
        <f t="shared" si="158"/>
        <v>97</v>
      </c>
      <c r="Q306" s="42" t="str">
        <f t="shared" si="159"/>
        <v>HL</v>
      </c>
      <c r="R306" s="42" t="str">
        <f t="shared" si="160"/>
        <v>HW</v>
      </c>
      <c r="S306" s="42" t="str">
        <f t="shared" si="161"/>
        <v>HW</v>
      </c>
      <c r="T306" s="42" t="str">
        <f t="shared" si="162"/>
        <v>HW</v>
      </c>
      <c r="U306" s="42" t="str">
        <f t="shared" si="163"/>
        <v>O</v>
      </c>
      <c r="V306" s="42" t="str">
        <f t="shared" si="164"/>
        <v>O</v>
      </c>
      <c r="W306" s="42" t="str">
        <f t="shared" si="165"/>
        <v>U</v>
      </c>
      <c r="X306" s="42" t="str">
        <f t="shared" si="166"/>
        <v>U</v>
      </c>
      <c r="Y306" s="42"/>
      <c r="Z306" s="42">
        <v>58.5</v>
      </c>
      <c r="AB306" s="42" t="str">
        <f t="shared" si="167"/>
        <v>LAC/POR</v>
      </c>
      <c r="AC306" s="42">
        <f t="shared" si="168"/>
        <v>2</v>
      </c>
      <c r="AD306" s="42">
        <f t="shared" si="169"/>
        <v>2</v>
      </c>
    </row>
    <row r="307" spans="1:30" x14ac:dyDescent="0.45">
      <c r="A307" s="42">
        <v>191205</v>
      </c>
      <c r="B307" s="44">
        <v>0.375</v>
      </c>
      <c r="C307" s="42" t="s">
        <v>351</v>
      </c>
      <c r="D307" s="5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N307" s="42"/>
      <c r="O307" s="42">
        <f t="shared" ref="O307:O320" si="170">SUM(E307:I307)</f>
        <v>103</v>
      </c>
      <c r="P307" s="42">
        <f t="shared" ref="P307:P320" si="171">SUM(J307:N307)</f>
        <v>127</v>
      </c>
      <c r="Q307" s="42" t="str">
        <f t="shared" ref="Q307:Q320" si="172">IF(E307=J307,"TT",IF(E307&gt;J307,"HW","HL"))</f>
        <v>HW</v>
      </c>
      <c r="R307" s="42" t="str">
        <f t="shared" ref="R307:R320" si="173">IF(F307=K307,"TT",IF(F307&gt;K307,"HW","HL"))</f>
        <v>HL</v>
      </c>
      <c r="S307" s="42" t="str">
        <f t="shared" ref="S307:S320" si="174">IF(G307=L307,"TT",IF(G307&gt;L307,"HW","HL"))</f>
        <v>HL</v>
      </c>
      <c r="T307" s="42" t="str">
        <f t="shared" ref="T307:T320" si="175">IF(H307=M307,"TT",IF(H307&gt;M307,"HW","HL"))</f>
        <v>HL</v>
      </c>
      <c r="U307" s="42" t="str">
        <f t="shared" ref="U307:U320" si="176">IF(SUM(E307,J307)=$Z307,"T",IF(SUM(E307,J307)&gt;$Z307,"O","U"))</f>
        <v>U</v>
      </c>
      <c r="V307" s="42" t="str">
        <f t="shared" ref="V307:V320" si="177">IF(SUM(F307,K307)=$Z307,"T",IF(SUM(F307,K307)&gt;$Z307,"O","U"))</f>
        <v>O</v>
      </c>
      <c r="W307" s="42" t="str">
        <f t="shared" ref="W307:W320" si="178">IF(SUM(G307,L307)=$Z307,"T",IF(SUM(G307,L307)&gt;$Z307,"O","U"))</f>
        <v>O</v>
      </c>
      <c r="X307" s="42" t="str">
        <f t="shared" ref="X307:X320" si="179">IF(SUM(H307,M307)=$Z307,"T",IF(SUM(H307,M307)&gt;$Z307,"O","U"))</f>
        <v>O</v>
      </c>
      <c r="Z307" s="42">
        <v>54.5</v>
      </c>
      <c r="AB307" s="42" t="str">
        <f t="shared" ref="AB307:AB320" si="180">C307&amp;"/"&amp;D307</f>
        <v>DET/MIL</v>
      </c>
      <c r="AC307" s="42">
        <f t="shared" ref="AC307:AC320" si="181">COUNTIF(U307:X307,"o")</f>
        <v>3</v>
      </c>
      <c r="AD307" s="42">
        <f t="shared" ref="AD307:AD320" si="182">COUNTIF(U307:X307,"u")</f>
        <v>1</v>
      </c>
    </row>
    <row r="308" spans="1:30" x14ac:dyDescent="0.45">
      <c r="A308" s="42">
        <v>191205</v>
      </c>
      <c r="B308" s="44">
        <v>0.375</v>
      </c>
      <c r="C308" s="42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N308" s="42"/>
      <c r="O308" s="42">
        <f t="shared" si="170"/>
        <v>128</v>
      </c>
      <c r="P308" s="42">
        <f t="shared" si="171"/>
        <v>114</v>
      </c>
      <c r="Q308" s="42" t="str">
        <f t="shared" si="172"/>
        <v>HL</v>
      </c>
      <c r="R308" s="42" t="str">
        <f t="shared" si="173"/>
        <v>HW</v>
      </c>
      <c r="S308" s="42" t="str">
        <f t="shared" si="174"/>
        <v>HW</v>
      </c>
      <c r="T308" s="42" t="str">
        <f t="shared" si="175"/>
        <v>HL</v>
      </c>
      <c r="U308" s="42" t="str">
        <f t="shared" si="176"/>
        <v>O</v>
      </c>
      <c r="V308" s="42" t="str">
        <f t="shared" si="177"/>
        <v>O</v>
      </c>
      <c r="W308" s="42" t="str">
        <f t="shared" si="178"/>
        <v>O</v>
      </c>
      <c r="X308" s="42" t="str">
        <f t="shared" si="179"/>
        <v>O</v>
      </c>
      <c r="Z308" s="42">
        <v>52</v>
      </c>
      <c r="AB308" s="42" t="str">
        <f t="shared" si="180"/>
        <v>ORL/PHO</v>
      </c>
      <c r="AC308" s="42">
        <f t="shared" si="181"/>
        <v>4</v>
      </c>
      <c r="AD308" s="42">
        <f t="shared" si="182"/>
        <v>0</v>
      </c>
    </row>
    <row r="309" spans="1:30" x14ac:dyDescent="0.45">
      <c r="A309" s="42">
        <v>191205</v>
      </c>
      <c r="B309" s="44">
        <v>0.375</v>
      </c>
      <c r="C309" s="42" t="s">
        <v>355</v>
      </c>
      <c r="D309" s="5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N309" s="42"/>
      <c r="O309" s="42">
        <f t="shared" si="170"/>
        <v>106</v>
      </c>
      <c r="P309" s="42">
        <f t="shared" si="171"/>
        <v>91</v>
      </c>
      <c r="Q309" s="42" t="str">
        <f t="shared" si="172"/>
        <v>HW</v>
      </c>
      <c r="R309" s="42" t="str">
        <f t="shared" si="173"/>
        <v>HL</v>
      </c>
      <c r="S309" s="42" t="str">
        <f t="shared" si="174"/>
        <v>HW</v>
      </c>
      <c r="T309" s="42" t="str">
        <f t="shared" si="175"/>
        <v>HW</v>
      </c>
      <c r="U309" s="42" t="str">
        <f t="shared" si="176"/>
        <v>U</v>
      </c>
      <c r="V309" s="42" t="str">
        <f t="shared" si="177"/>
        <v>O</v>
      </c>
      <c r="W309" s="42" t="str">
        <f t="shared" si="178"/>
        <v>U</v>
      </c>
      <c r="X309" s="42" t="str">
        <f t="shared" si="179"/>
        <v>U</v>
      </c>
      <c r="Z309" s="42">
        <v>55</v>
      </c>
      <c r="AB309" s="42" t="str">
        <f t="shared" si="180"/>
        <v>CHA/GS</v>
      </c>
      <c r="AC309" s="42">
        <f t="shared" si="181"/>
        <v>1</v>
      </c>
      <c r="AD309" s="42">
        <f t="shared" si="182"/>
        <v>3</v>
      </c>
    </row>
    <row r="310" spans="1:30" x14ac:dyDescent="0.45">
      <c r="A310" s="42">
        <v>191205</v>
      </c>
      <c r="B310" s="44">
        <v>0.39583333333333331</v>
      </c>
      <c r="C310" s="42" t="s">
        <v>357</v>
      </c>
      <c r="D310" s="5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N310" s="42"/>
      <c r="O310" s="42">
        <f t="shared" si="170"/>
        <v>118</v>
      </c>
      <c r="P310" s="42">
        <f t="shared" si="171"/>
        <v>130</v>
      </c>
      <c r="Q310" s="42" t="str">
        <f t="shared" si="172"/>
        <v>HW</v>
      </c>
      <c r="R310" s="42" t="str">
        <f t="shared" si="173"/>
        <v>HL</v>
      </c>
      <c r="S310" s="42" t="str">
        <f t="shared" si="174"/>
        <v>TT</v>
      </c>
      <c r="T310" s="42" t="str">
        <f t="shared" si="175"/>
        <v>HL</v>
      </c>
      <c r="U310" s="42" t="str">
        <f t="shared" si="176"/>
        <v>U</v>
      </c>
      <c r="V310" s="42" t="str">
        <f t="shared" si="177"/>
        <v>U</v>
      </c>
      <c r="W310" s="42" t="str">
        <f t="shared" si="178"/>
        <v>O</v>
      </c>
      <c r="X310" s="42" t="str">
        <f t="shared" si="179"/>
        <v>O</v>
      </c>
      <c r="Z310" s="42">
        <v>55.5</v>
      </c>
      <c r="AB310" s="42" t="str">
        <f t="shared" si="180"/>
        <v>ATL/BKN</v>
      </c>
      <c r="AC310" s="42">
        <f t="shared" si="181"/>
        <v>2</v>
      </c>
      <c r="AD310" s="42">
        <f t="shared" si="182"/>
        <v>2</v>
      </c>
    </row>
    <row r="311" spans="1:30" x14ac:dyDescent="0.45">
      <c r="A311" s="42">
        <v>191205</v>
      </c>
      <c r="B311" s="44">
        <v>0.39583333333333331</v>
      </c>
      <c r="C311" s="42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N311" s="42"/>
      <c r="O311" s="42">
        <f t="shared" si="170"/>
        <v>112</v>
      </c>
      <c r="P311" s="42">
        <f t="shared" si="171"/>
        <v>93</v>
      </c>
      <c r="Q311" s="42" t="str">
        <f t="shared" si="172"/>
        <v>HL</v>
      </c>
      <c r="R311" s="42" t="str">
        <f t="shared" si="173"/>
        <v>HW</v>
      </c>
      <c r="S311" s="42" t="str">
        <f t="shared" si="174"/>
        <v>HW</v>
      </c>
      <c r="T311" s="42" t="str">
        <f t="shared" si="175"/>
        <v>HW</v>
      </c>
      <c r="U311" s="42" t="str">
        <f t="shared" si="176"/>
        <v>U</v>
      </c>
      <c r="V311" s="42" t="str">
        <f t="shared" si="177"/>
        <v>U</v>
      </c>
      <c r="W311" s="42" t="str">
        <f t="shared" si="178"/>
        <v>O</v>
      </c>
      <c r="X311" s="42" t="str">
        <f t="shared" si="179"/>
        <v>T</v>
      </c>
      <c r="Z311" s="42">
        <v>54</v>
      </c>
      <c r="AB311" s="42" t="str">
        <f t="shared" si="180"/>
        <v>BOS/MIA</v>
      </c>
      <c r="AC311" s="42">
        <f t="shared" si="181"/>
        <v>1</v>
      </c>
      <c r="AD311" s="42">
        <f t="shared" si="182"/>
        <v>2</v>
      </c>
    </row>
    <row r="312" spans="1:30" x14ac:dyDescent="0.45">
      <c r="A312" s="42">
        <v>191205</v>
      </c>
      <c r="B312" s="44">
        <v>0.41666666666666669</v>
      </c>
      <c r="C312" s="42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N312" s="42"/>
      <c r="O312" s="42">
        <f t="shared" si="170"/>
        <v>106</v>
      </c>
      <c r="P312" s="42">
        <f t="shared" si="171"/>
        <v>99</v>
      </c>
      <c r="Q312" s="42" t="str">
        <f t="shared" si="172"/>
        <v>HW</v>
      </c>
      <c r="R312" s="42" t="str">
        <f t="shared" si="173"/>
        <v>HW</v>
      </c>
      <c r="S312" s="42" t="str">
        <f t="shared" si="174"/>
        <v>HL</v>
      </c>
      <c r="T312" s="42" t="str">
        <f t="shared" si="175"/>
        <v>HL</v>
      </c>
      <c r="U312" s="42" t="str">
        <f t="shared" si="176"/>
        <v>U</v>
      </c>
      <c r="V312" s="42" t="str">
        <f t="shared" si="177"/>
        <v>U</v>
      </c>
      <c r="W312" s="42" t="str">
        <f t="shared" si="178"/>
        <v>O</v>
      </c>
      <c r="X312" s="42" t="str">
        <f t="shared" si="179"/>
        <v>O</v>
      </c>
      <c r="Z312" s="42">
        <v>54</v>
      </c>
      <c r="AB312" s="42" t="str">
        <f t="shared" si="180"/>
        <v>CHI/MEM</v>
      </c>
      <c r="AC312" s="42">
        <f t="shared" si="181"/>
        <v>2</v>
      </c>
      <c r="AD312" s="42">
        <f t="shared" si="182"/>
        <v>2</v>
      </c>
    </row>
    <row r="313" spans="1:30" x14ac:dyDescent="0.45">
      <c r="A313" s="42">
        <v>191205</v>
      </c>
      <c r="B313" s="44">
        <v>0.41666666666666669</v>
      </c>
      <c r="C313" s="42" t="s">
        <v>363</v>
      </c>
      <c r="D313" s="5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N313" s="42"/>
      <c r="O313" s="42">
        <f t="shared" si="170"/>
        <v>100</v>
      </c>
      <c r="P313" s="42">
        <f t="shared" si="171"/>
        <v>107</v>
      </c>
      <c r="Q313" s="42" t="str">
        <f t="shared" si="172"/>
        <v>HW</v>
      </c>
      <c r="R313" s="42" t="str">
        <f t="shared" si="173"/>
        <v>HL</v>
      </c>
      <c r="S313" s="42" t="str">
        <f t="shared" si="174"/>
        <v>HL</v>
      </c>
      <c r="T313" s="42" t="str">
        <f t="shared" si="175"/>
        <v>HL</v>
      </c>
      <c r="U313" s="42" t="str">
        <f t="shared" si="176"/>
        <v>O</v>
      </c>
      <c r="V313" s="42" t="str">
        <f t="shared" si="177"/>
        <v>U</v>
      </c>
      <c r="W313" s="42" t="str">
        <f t="shared" si="178"/>
        <v>O</v>
      </c>
      <c r="X313" s="42" t="str">
        <f t="shared" si="179"/>
        <v>U</v>
      </c>
      <c r="Z313" s="42">
        <v>54</v>
      </c>
      <c r="AB313" s="42" t="str">
        <f t="shared" si="180"/>
        <v>OKC/IND</v>
      </c>
      <c r="AC313" s="42">
        <f t="shared" si="181"/>
        <v>2</v>
      </c>
      <c r="AD313" s="42">
        <f t="shared" si="182"/>
        <v>2</v>
      </c>
    </row>
    <row r="314" spans="1:30" x14ac:dyDescent="0.45">
      <c r="A314" s="42">
        <v>191205</v>
      </c>
      <c r="B314" s="44">
        <v>0.4375</v>
      </c>
      <c r="C314" s="42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N314" s="42"/>
      <c r="O314" s="42">
        <f t="shared" si="170"/>
        <v>121</v>
      </c>
      <c r="P314" s="42">
        <f t="shared" si="171"/>
        <v>114</v>
      </c>
      <c r="Q314" s="42" t="str">
        <f t="shared" si="172"/>
        <v>HW</v>
      </c>
      <c r="R314" s="42" t="str">
        <f t="shared" si="173"/>
        <v>HL</v>
      </c>
      <c r="S314" s="42" t="str">
        <f t="shared" si="174"/>
        <v>HL</v>
      </c>
      <c r="T314" s="42" t="str">
        <f t="shared" si="175"/>
        <v>HW</v>
      </c>
      <c r="U314" s="42" t="str">
        <f t="shared" si="176"/>
        <v>U</v>
      </c>
      <c r="V314" s="42" t="str">
        <f t="shared" si="177"/>
        <v>U</v>
      </c>
      <c r="W314" s="42" t="str">
        <f t="shared" si="178"/>
        <v>U</v>
      </c>
      <c r="X314" s="42" t="str">
        <f t="shared" si="179"/>
        <v>O</v>
      </c>
      <c r="Z314" s="42">
        <v>59</v>
      </c>
      <c r="AB314" s="42" t="str">
        <f t="shared" si="180"/>
        <v>DAL/MIN</v>
      </c>
      <c r="AC314" s="42">
        <f t="shared" si="181"/>
        <v>1</v>
      </c>
      <c r="AD314" s="42">
        <f t="shared" si="182"/>
        <v>3</v>
      </c>
    </row>
    <row r="315" spans="1:30" x14ac:dyDescent="0.45">
      <c r="A315" s="42">
        <v>191205</v>
      </c>
      <c r="B315" s="44">
        <v>0.45833333333333331</v>
      </c>
      <c r="C315" s="42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N315" s="42"/>
      <c r="O315" s="42">
        <f t="shared" si="170"/>
        <v>96</v>
      </c>
      <c r="P315" s="42">
        <f t="shared" si="171"/>
        <v>121</v>
      </c>
      <c r="Q315" s="42" t="str">
        <f t="shared" si="172"/>
        <v>HL</v>
      </c>
      <c r="R315" s="42" t="str">
        <f t="shared" si="173"/>
        <v>HL</v>
      </c>
      <c r="S315" s="42" t="str">
        <f t="shared" si="174"/>
        <v>HL</v>
      </c>
      <c r="T315" s="42" t="str">
        <f t="shared" si="175"/>
        <v>HL</v>
      </c>
      <c r="U315" s="42" t="str">
        <f t="shared" si="176"/>
        <v>O</v>
      </c>
      <c r="V315" s="42" t="str">
        <f t="shared" si="177"/>
        <v>U</v>
      </c>
      <c r="W315" s="42" t="str">
        <f t="shared" si="178"/>
        <v>O</v>
      </c>
      <c r="X315" s="42" t="str">
        <f t="shared" si="179"/>
        <v>U</v>
      </c>
      <c r="Z315" s="42">
        <v>54.5</v>
      </c>
      <c r="AB315" s="42" t="str">
        <f t="shared" si="180"/>
        <v>UTA/LAL</v>
      </c>
      <c r="AC315" s="42">
        <f t="shared" si="181"/>
        <v>2</v>
      </c>
      <c r="AD315" s="42">
        <f t="shared" si="182"/>
        <v>2</v>
      </c>
    </row>
    <row r="316" spans="1:30" x14ac:dyDescent="0.45">
      <c r="A316" s="42">
        <v>191205</v>
      </c>
      <c r="B316" s="44">
        <v>0.5</v>
      </c>
      <c r="C316" s="42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N316" s="42"/>
      <c r="O316" s="42">
        <f t="shared" si="170"/>
        <v>127</v>
      </c>
      <c r="P316" s="42">
        <f t="shared" si="171"/>
        <v>116</v>
      </c>
      <c r="Q316" s="42" t="str">
        <f t="shared" si="172"/>
        <v>HL</v>
      </c>
      <c r="R316" s="42" t="str">
        <f t="shared" si="173"/>
        <v>HW</v>
      </c>
      <c r="S316" s="42" t="str">
        <f t="shared" si="174"/>
        <v>HW</v>
      </c>
      <c r="T316" s="42" t="str">
        <f t="shared" si="175"/>
        <v>HW</v>
      </c>
      <c r="U316" s="42" t="str">
        <f t="shared" si="176"/>
        <v>O</v>
      </c>
      <c r="V316" s="42" t="str">
        <f t="shared" si="177"/>
        <v>O</v>
      </c>
      <c r="W316" s="42" t="str">
        <f t="shared" si="178"/>
        <v>O</v>
      </c>
      <c r="X316" s="42" t="str">
        <f t="shared" si="179"/>
        <v>U</v>
      </c>
      <c r="Z316" s="42">
        <v>55.5</v>
      </c>
      <c r="AB316" s="42" t="str">
        <f t="shared" si="180"/>
        <v>POR/SAC</v>
      </c>
      <c r="AC316" s="42">
        <f t="shared" si="181"/>
        <v>3</v>
      </c>
      <c r="AD316" s="42">
        <f t="shared" si="182"/>
        <v>1</v>
      </c>
    </row>
    <row r="317" spans="1:30" x14ac:dyDescent="0.45">
      <c r="A317" s="42">
        <v>191206</v>
      </c>
      <c r="B317" s="1">
        <v>0.375</v>
      </c>
      <c r="C317" s="42" t="s">
        <v>34</v>
      </c>
      <c r="D317" s="5" t="s">
        <v>41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N317" s="42"/>
      <c r="O317" s="42">
        <f t="shared" si="170"/>
        <v>119</v>
      </c>
      <c r="P317" s="42">
        <f t="shared" si="171"/>
        <v>113</v>
      </c>
      <c r="Q317" s="42" t="str">
        <f t="shared" si="172"/>
        <v>HL</v>
      </c>
      <c r="R317" s="42" t="str">
        <f t="shared" si="173"/>
        <v>HW</v>
      </c>
      <c r="S317" s="42" t="str">
        <f t="shared" si="174"/>
        <v>TT</v>
      </c>
      <c r="T317" s="42" t="str">
        <f t="shared" si="175"/>
        <v>HL</v>
      </c>
      <c r="U317" s="42" t="str">
        <f t="shared" si="176"/>
        <v>O</v>
      </c>
      <c r="V317" s="42" t="str">
        <f t="shared" si="177"/>
        <v>O</v>
      </c>
      <c r="W317" s="42" t="str">
        <f t="shared" si="178"/>
        <v>U</v>
      </c>
      <c r="X317" s="42" t="str">
        <f t="shared" si="179"/>
        <v>O</v>
      </c>
      <c r="Z317" s="42">
        <v>57.5</v>
      </c>
      <c r="AB317" s="42" t="str">
        <f t="shared" si="180"/>
        <v>WAS/PHI</v>
      </c>
      <c r="AC317" s="42">
        <f t="shared" si="181"/>
        <v>3</v>
      </c>
      <c r="AD317" s="42">
        <f t="shared" si="182"/>
        <v>1</v>
      </c>
    </row>
    <row r="318" spans="1:30" x14ac:dyDescent="0.45">
      <c r="A318" s="42">
        <v>191206</v>
      </c>
      <c r="B318" s="1">
        <v>0.39583333333333331</v>
      </c>
      <c r="C318" s="42" t="s">
        <v>47</v>
      </c>
      <c r="D318" s="5" t="s">
        <v>46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N318" s="42"/>
      <c r="O318" s="42">
        <f t="shared" si="170"/>
        <v>92</v>
      </c>
      <c r="P318" s="42">
        <f t="shared" si="171"/>
        <v>129</v>
      </c>
      <c r="Q318" s="42" t="str">
        <f t="shared" si="172"/>
        <v>HL</v>
      </c>
      <c r="R318" s="42" t="str">
        <f t="shared" si="173"/>
        <v>HL</v>
      </c>
      <c r="S318" s="42" t="str">
        <f t="shared" si="174"/>
        <v>HL</v>
      </c>
      <c r="T318" s="42" t="str">
        <f t="shared" si="175"/>
        <v>HL</v>
      </c>
      <c r="U318" s="42" t="str">
        <f t="shared" si="176"/>
        <v>O</v>
      </c>
      <c r="V318" s="42" t="str">
        <f t="shared" si="177"/>
        <v>U</v>
      </c>
      <c r="W318" s="42" t="str">
        <f t="shared" si="178"/>
        <v>O</v>
      </c>
      <c r="X318" s="42" t="str">
        <f t="shared" si="179"/>
        <v>U</v>
      </c>
      <c r="Z318" s="42">
        <v>52.5</v>
      </c>
      <c r="AB318" s="42" t="str">
        <f t="shared" si="180"/>
        <v>NYK/DEN</v>
      </c>
      <c r="AC318" s="42">
        <f t="shared" si="181"/>
        <v>2</v>
      </c>
      <c r="AD318" s="42">
        <f t="shared" si="182"/>
        <v>2</v>
      </c>
    </row>
    <row r="319" spans="1:30" x14ac:dyDescent="0.45">
      <c r="A319" s="42">
        <v>191206</v>
      </c>
      <c r="B319" s="1">
        <v>0.39583333333333331</v>
      </c>
      <c r="C319" s="42" t="s">
        <v>28</v>
      </c>
      <c r="D319" s="5" t="s">
        <v>52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N319" s="42"/>
      <c r="O319" s="42">
        <f t="shared" si="170"/>
        <v>109</v>
      </c>
      <c r="P319" s="42">
        <f t="shared" si="171"/>
        <v>119</v>
      </c>
      <c r="Q319" s="42" t="str">
        <f t="shared" si="172"/>
        <v>HL</v>
      </c>
      <c r="R319" s="42" t="str">
        <f t="shared" si="173"/>
        <v>HL</v>
      </c>
      <c r="S319" s="42" t="str">
        <f t="shared" si="174"/>
        <v>HW</v>
      </c>
      <c r="T319" s="42" t="str">
        <f t="shared" si="175"/>
        <v>HL</v>
      </c>
      <c r="U319" s="42" t="str">
        <f t="shared" si="176"/>
        <v>O</v>
      </c>
      <c r="V319" s="42" t="str">
        <f t="shared" si="177"/>
        <v>U</v>
      </c>
      <c r="W319" s="42" t="str">
        <f t="shared" si="178"/>
        <v>O</v>
      </c>
      <c r="X319" s="42" t="str">
        <f t="shared" si="179"/>
        <v>U</v>
      </c>
      <c r="Z319" s="42">
        <v>59</v>
      </c>
      <c r="AB319" s="42" t="str">
        <f t="shared" si="180"/>
        <v>TOR/HOU</v>
      </c>
      <c r="AC319" s="42">
        <f t="shared" si="181"/>
        <v>2</v>
      </c>
      <c r="AD319" s="42">
        <f t="shared" si="182"/>
        <v>2</v>
      </c>
    </row>
    <row r="320" spans="1:30" x14ac:dyDescent="0.45">
      <c r="A320" s="42">
        <v>191206</v>
      </c>
      <c r="B320" s="1">
        <v>0.41666666666666669</v>
      </c>
      <c r="C320" s="42" t="s">
        <v>27</v>
      </c>
      <c r="D320" s="5" t="s">
        <v>43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70"/>
        <v>132</v>
      </c>
      <c r="P320" s="42">
        <f t="shared" si="171"/>
        <v>139</v>
      </c>
      <c r="Q320" s="42" t="str">
        <f t="shared" si="172"/>
        <v>HW</v>
      </c>
      <c r="R320" s="42" t="str">
        <f t="shared" si="173"/>
        <v>HL</v>
      </c>
      <c r="S320" s="42" t="str">
        <f t="shared" si="174"/>
        <v>HL</v>
      </c>
      <c r="T320" s="42" t="str">
        <f t="shared" si="175"/>
        <v>HW</v>
      </c>
      <c r="U320" s="42" t="str">
        <f t="shared" si="176"/>
        <v>O</v>
      </c>
      <c r="V320" s="42" t="str">
        <f t="shared" si="177"/>
        <v>O</v>
      </c>
      <c r="W320" s="42" t="str">
        <f t="shared" si="178"/>
        <v>U</v>
      </c>
      <c r="X320" s="42" t="str">
        <f t="shared" si="179"/>
        <v>U</v>
      </c>
      <c r="Z320" s="42">
        <v>57.5</v>
      </c>
      <c r="AB320" s="42" t="str">
        <f t="shared" si="180"/>
        <v>NO/PHO</v>
      </c>
      <c r="AC320" s="42">
        <f t="shared" si="181"/>
        <v>2</v>
      </c>
      <c r="AD320" s="42">
        <f t="shared" si="182"/>
        <v>2</v>
      </c>
    </row>
    <row r="321" spans="1:30" x14ac:dyDescent="0.45">
      <c r="A321" s="42">
        <v>191207</v>
      </c>
      <c r="B321" s="1">
        <v>0.375</v>
      </c>
      <c r="C321" s="42" t="s">
        <v>40</v>
      </c>
      <c r="D321" s="5" t="s">
        <v>39</v>
      </c>
      <c r="E321" s="42">
        <v>25</v>
      </c>
      <c r="F321" s="42">
        <v>22</v>
      </c>
      <c r="G321" s="42">
        <v>23</v>
      </c>
      <c r="H321" s="42">
        <v>17</v>
      </c>
      <c r="I321" s="42"/>
      <c r="J321" s="42">
        <v>24</v>
      </c>
      <c r="K321" s="42">
        <v>28</v>
      </c>
      <c r="L321" s="42">
        <v>16</v>
      </c>
      <c r="M321" s="42">
        <v>25</v>
      </c>
      <c r="N321" s="42" t="s">
        <v>427</v>
      </c>
      <c r="O321" s="42">
        <f t="shared" ref="O321:O384" si="183">SUM(E321:I321)</f>
        <v>87</v>
      </c>
      <c r="P321" s="42">
        <f t="shared" ref="P321:P384" si="184">SUM(J321:N321)</f>
        <v>93</v>
      </c>
      <c r="Q321" s="42" t="str">
        <f t="shared" ref="Q321:Q384" si="185">IF(E321=J321,"TT",IF(E321&gt;J321,"HW","HL"))</f>
        <v>HW</v>
      </c>
      <c r="R321" s="42" t="str">
        <f t="shared" ref="R321:R384" si="186">IF(F321=K321,"TT",IF(F321&gt;K321,"HW","HL"))</f>
        <v>HL</v>
      </c>
      <c r="S321" s="42" t="str">
        <f t="shared" ref="S321:S384" si="187">IF(G321=L321,"TT",IF(G321&gt;L321,"HW","HL"))</f>
        <v>HW</v>
      </c>
      <c r="T321" s="42" t="str">
        <f t="shared" ref="T321:T384" si="188">IF(H321=M321,"TT",IF(H321&gt;M321,"HW","HL"))</f>
        <v>HL</v>
      </c>
      <c r="U321" s="42" t="str">
        <f t="shared" ref="U321:U384" si="189">IF(SUM(E321,J321)=$Z321,"T",IF(SUM(E321,J321)&gt;$Z321,"O","U"))</f>
        <v>U</v>
      </c>
      <c r="V321" s="42" t="str">
        <f t="shared" ref="V321:V384" si="190">IF(SUM(F321,K321)=$Z321,"T",IF(SUM(F321,K321)&gt;$Z321,"O","U"))</f>
        <v>U</v>
      </c>
      <c r="W321" s="42" t="str">
        <f t="shared" ref="W321:W384" si="191">IF(SUM(G321,L321)=$Z321,"T",IF(SUM(G321,L321)&gt;$Z321,"O","U"))</f>
        <v>U</v>
      </c>
      <c r="X321" s="42" t="str">
        <f t="shared" ref="X321:X384" si="192">IF(SUM(H321,M321)=$Z321,"T",IF(SUM(H321,M321)&gt;$Z321,"O","U"))</f>
        <v>U</v>
      </c>
      <c r="Z321" s="42">
        <v>54</v>
      </c>
      <c r="AB321" s="42" t="str">
        <f t="shared" ref="AB321:AB384" si="193">C321&amp;"/"&amp;D321</f>
        <v>CLE/ORL</v>
      </c>
      <c r="AC321" s="42">
        <f t="shared" ref="AC321:AC384" si="194">COUNTIF(U321:X321,"o")</f>
        <v>0</v>
      </c>
      <c r="AD321" s="42">
        <f t="shared" ref="AD321:AD384" si="195">COUNTIF(U321:X321,"u")</f>
        <v>4</v>
      </c>
    </row>
    <row r="322" spans="1:30" x14ac:dyDescent="0.45">
      <c r="A322" s="42">
        <v>191207</v>
      </c>
      <c r="B322" s="1">
        <v>0.375</v>
      </c>
      <c r="C322" s="42" t="s">
        <v>36</v>
      </c>
      <c r="D322" s="5" t="s">
        <v>35</v>
      </c>
      <c r="E322" s="42">
        <v>32</v>
      </c>
      <c r="F322" s="42">
        <v>23</v>
      </c>
      <c r="G322" s="42">
        <v>16</v>
      </c>
      <c r="H322" s="42">
        <v>37</v>
      </c>
      <c r="I322" s="42"/>
      <c r="J322" s="42">
        <v>19</v>
      </c>
      <c r="K322" s="42">
        <v>25</v>
      </c>
      <c r="L322" s="42">
        <v>31</v>
      </c>
      <c r="M322" s="42">
        <v>26</v>
      </c>
      <c r="N322" s="42" t="s">
        <v>427</v>
      </c>
      <c r="O322" s="42">
        <f t="shared" si="183"/>
        <v>108</v>
      </c>
      <c r="P322" s="42">
        <f t="shared" si="184"/>
        <v>101</v>
      </c>
      <c r="Q322" s="42" t="str">
        <f t="shared" si="185"/>
        <v>HW</v>
      </c>
      <c r="R322" s="42" t="str">
        <f t="shared" si="186"/>
        <v>HL</v>
      </c>
      <c r="S322" s="42" t="str">
        <f t="shared" si="187"/>
        <v>HL</v>
      </c>
      <c r="T322" s="42" t="str">
        <f t="shared" si="188"/>
        <v>HW</v>
      </c>
      <c r="U322" s="42" t="str">
        <f t="shared" si="189"/>
        <v>U</v>
      </c>
      <c r="V322" s="42" t="str">
        <f t="shared" si="190"/>
        <v>U</v>
      </c>
      <c r="W322" s="42" t="str">
        <f t="shared" si="191"/>
        <v>U</v>
      </c>
      <c r="X322" s="42" t="str">
        <f t="shared" si="192"/>
        <v>O</v>
      </c>
      <c r="Z322" s="42">
        <v>54.5</v>
      </c>
      <c r="AB322" s="42" t="str">
        <f t="shared" si="193"/>
        <v>DET/IND</v>
      </c>
      <c r="AC322" s="42">
        <f t="shared" si="194"/>
        <v>1</v>
      </c>
      <c r="AD322" s="42">
        <f t="shared" si="195"/>
        <v>3</v>
      </c>
    </row>
    <row r="323" spans="1:30" x14ac:dyDescent="0.45">
      <c r="A323" s="42">
        <v>191207</v>
      </c>
      <c r="B323" s="1">
        <v>0.375</v>
      </c>
      <c r="C323" s="42" t="s">
        <v>31</v>
      </c>
      <c r="D323" s="5" t="s">
        <v>30</v>
      </c>
      <c r="E323" s="42">
        <v>32</v>
      </c>
      <c r="F323" s="42">
        <v>25</v>
      </c>
      <c r="G323" s="42">
        <v>27</v>
      </c>
      <c r="H323" s="42">
        <v>20</v>
      </c>
      <c r="I323" s="42"/>
      <c r="J323" s="42">
        <v>29</v>
      </c>
      <c r="K323" s="42">
        <v>26</v>
      </c>
      <c r="L323" s="42">
        <v>31</v>
      </c>
      <c r="M323" s="42">
        <v>25</v>
      </c>
      <c r="N323" s="42" t="s">
        <v>427</v>
      </c>
      <c r="O323" s="42">
        <f t="shared" si="183"/>
        <v>104</v>
      </c>
      <c r="P323" s="42">
        <f t="shared" si="184"/>
        <v>111</v>
      </c>
      <c r="Q323" s="42" t="str">
        <f t="shared" si="185"/>
        <v>HW</v>
      </c>
      <c r="R323" s="42" t="str">
        <f t="shared" si="186"/>
        <v>HL</v>
      </c>
      <c r="S323" s="42" t="str">
        <f t="shared" si="187"/>
        <v>HL</v>
      </c>
      <c r="T323" s="42" t="str">
        <f t="shared" si="188"/>
        <v>HL</v>
      </c>
      <c r="U323" s="42" t="str">
        <f t="shared" si="189"/>
        <v>O</v>
      </c>
      <c r="V323" s="42" t="str">
        <f t="shared" si="190"/>
        <v>U</v>
      </c>
      <c r="W323" s="42" t="str">
        <f t="shared" si="191"/>
        <v>O</v>
      </c>
      <c r="X323" s="42" t="str">
        <f t="shared" si="192"/>
        <v>U</v>
      </c>
      <c r="Z323" s="42">
        <v>53.5</v>
      </c>
      <c r="AB323" s="42" t="str">
        <f t="shared" si="193"/>
        <v>CHA/BKN</v>
      </c>
      <c r="AC323" s="42">
        <f t="shared" si="194"/>
        <v>2</v>
      </c>
      <c r="AD323" s="42">
        <f t="shared" si="195"/>
        <v>2</v>
      </c>
    </row>
    <row r="324" spans="1:30" x14ac:dyDescent="0.45">
      <c r="A324" s="42">
        <v>191207</v>
      </c>
      <c r="B324" s="1">
        <v>0.41666666666666669</v>
      </c>
      <c r="C324" s="42" t="s">
        <v>42</v>
      </c>
      <c r="D324" s="5" t="s">
        <v>46</v>
      </c>
      <c r="E324" s="42">
        <v>33</v>
      </c>
      <c r="F324" s="42">
        <v>20</v>
      </c>
      <c r="G324" s="42">
        <v>32</v>
      </c>
      <c r="H324" s="42">
        <v>23</v>
      </c>
      <c r="I324" s="42"/>
      <c r="J324" s="42">
        <v>26</v>
      </c>
      <c r="K324" s="42">
        <v>19</v>
      </c>
      <c r="L324" s="42">
        <v>19</v>
      </c>
      <c r="M324" s="42">
        <v>31</v>
      </c>
      <c r="N324" s="42" t="s">
        <v>427</v>
      </c>
      <c r="O324" s="42">
        <f t="shared" si="183"/>
        <v>108</v>
      </c>
      <c r="P324" s="42">
        <f t="shared" si="184"/>
        <v>95</v>
      </c>
      <c r="Q324" s="42" t="str">
        <f t="shared" si="185"/>
        <v>HW</v>
      </c>
      <c r="R324" s="42" t="str">
        <f t="shared" si="186"/>
        <v>HW</v>
      </c>
      <c r="S324" s="42" t="str">
        <f t="shared" si="187"/>
        <v>HW</v>
      </c>
      <c r="T324" s="42" t="str">
        <f t="shared" si="188"/>
        <v>HL</v>
      </c>
      <c r="U324" s="42" t="str">
        <f t="shared" si="189"/>
        <v>O</v>
      </c>
      <c r="V324" s="42" t="str">
        <f t="shared" si="190"/>
        <v>U</v>
      </c>
      <c r="W324" s="42" t="str">
        <f t="shared" si="191"/>
        <v>U</v>
      </c>
      <c r="X324" s="42" t="str">
        <f t="shared" si="192"/>
        <v>O</v>
      </c>
      <c r="Z324" s="42">
        <v>52.5</v>
      </c>
      <c r="AB324" s="42" t="str">
        <f t="shared" si="193"/>
        <v>BOS/DEN</v>
      </c>
      <c r="AC324" s="42">
        <f t="shared" si="194"/>
        <v>2</v>
      </c>
      <c r="AD324" s="42">
        <f t="shared" si="195"/>
        <v>2</v>
      </c>
    </row>
    <row r="325" spans="1:30" x14ac:dyDescent="0.45">
      <c r="A325" s="42">
        <v>191207</v>
      </c>
      <c r="B325" s="1">
        <v>0.41666666666666669</v>
      </c>
      <c r="C325" s="42" t="s">
        <v>32</v>
      </c>
      <c r="D325" s="5" t="s">
        <v>51</v>
      </c>
      <c r="E325" s="42">
        <v>28</v>
      </c>
      <c r="F325" s="42">
        <v>23</v>
      </c>
      <c r="G325" s="42">
        <v>32</v>
      </c>
      <c r="H325" s="42">
        <v>15</v>
      </c>
      <c r="I325" s="42"/>
      <c r="J325" s="42">
        <v>23</v>
      </c>
      <c r="K325" s="42">
        <v>27</v>
      </c>
      <c r="L325" s="42">
        <v>27</v>
      </c>
      <c r="M325" s="42">
        <v>23</v>
      </c>
      <c r="N325" s="42" t="s">
        <v>427</v>
      </c>
      <c r="O325" s="42">
        <f t="shared" si="183"/>
        <v>98</v>
      </c>
      <c r="P325" s="42">
        <f t="shared" si="184"/>
        <v>100</v>
      </c>
      <c r="Q325" s="42" t="str">
        <f t="shared" si="185"/>
        <v>HW</v>
      </c>
      <c r="R325" s="42" t="str">
        <f t="shared" si="186"/>
        <v>HL</v>
      </c>
      <c r="S325" s="42" t="str">
        <f t="shared" si="187"/>
        <v>HW</v>
      </c>
      <c r="T325" s="42" t="str">
        <f t="shared" si="188"/>
        <v>HL</v>
      </c>
      <c r="U325" s="42" t="str">
        <f t="shared" si="189"/>
        <v>U</v>
      </c>
      <c r="V325" s="42" t="str">
        <f t="shared" si="190"/>
        <v>U</v>
      </c>
      <c r="W325" s="42" t="str">
        <f t="shared" si="191"/>
        <v>O</v>
      </c>
      <c r="X325" s="42" t="str">
        <f t="shared" si="192"/>
        <v>U</v>
      </c>
      <c r="Z325" s="42">
        <v>54.5</v>
      </c>
      <c r="AB325" s="42" t="str">
        <f t="shared" si="193"/>
        <v>CHI/GS</v>
      </c>
      <c r="AC325" s="42">
        <f t="shared" si="194"/>
        <v>1</v>
      </c>
      <c r="AD325" s="42">
        <f t="shared" si="195"/>
        <v>3</v>
      </c>
    </row>
    <row r="326" spans="1:30" x14ac:dyDescent="0.45">
      <c r="A326" s="42">
        <v>191207</v>
      </c>
      <c r="B326" s="1">
        <v>0.41666666666666669</v>
      </c>
      <c r="C326" s="42" t="s">
        <v>37</v>
      </c>
      <c r="D326" s="5" t="s">
        <v>34</v>
      </c>
      <c r="E326" s="42">
        <v>27</v>
      </c>
      <c r="F326" s="42">
        <v>34</v>
      </c>
      <c r="G326" s="42">
        <v>25</v>
      </c>
      <c r="H326" s="42">
        <v>26</v>
      </c>
      <c r="I326" s="42"/>
      <c r="J326" s="42">
        <v>28</v>
      </c>
      <c r="K326" s="42">
        <v>37</v>
      </c>
      <c r="L326" s="42">
        <v>20</v>
      </c>
      <c r="M326" s="42">
        <v>18</v>
      </c>
      <c r="N326" s="42" t="s">
        <v>427</v>
      </c>
      <c r="O326" s="42">
        <f t="shared" si="183"/>
        <v>112</v>
      </c>
      <c r="P326" s="42">
        <f t="shared" si="184"/>
        <v>103</v>
      </c>
      <c r="Q326" s="42" t="str">
        <f t="shared" si="185"/>
        <v>HL</v>
      </c>
      <c r="R326" s="42" t="str">
        <f t="shared" si="186"/>
        <v>HL</v>
      </c>
      <c r="S326" s="42" t="str">
        <f t="shared" si="187"/>
        <v>HW</v>
      </c>
      <c r="T326" s="42" t="str">
        <f t="shared" si="188"/>
        <v>HW</v>
      </c>
      <c r="U326" s="42" t="str">
        <f t="shared" si="189"/>
        <v>U</v>
      </c>
      <c r="V326" s="42" t="str">
        <f t="shared" si="190"/>
        <v>O</v>
      </c>
      <c r="W326" s="42" t="str">
        <f t="shared" si="191"/>
        <v>U</v>
      </c>
      <c r="X326" s="42" t="str">
        <f t="shared" si="192"/>
        <v>U</v>
      </c>
      <c r="Z326" s="42">
        <v>59.5</v>
      </c>
      <c r="AB326" s="42" t="str">
        <f t="shared" si="193"/>
        <v>MIA/WAS</v>
      </c>
      <c r="AC326" s="42">
        <f t="shared" si="194"/>
        <v>1</v>
      </c>
      <c r="AD326" s="42">
        <f t="shared" si="195"/>
        <v>3</v>
      </c>
    </row>
    <row r="327" spans="1:30" x14ac:dyDescent="0.45">
      <c r="A327" s="42">
        <v>191207</v>
      </c>
      <c r="B327" s="1">
        <v>0.41666666666666669</v>
      </c>
      <c r="C327" s="42" t="s">
        <v>49</v>
      </c>
      <c r="D327" s="5" t="s">
        <v>29</v>
      </c>
      <c r="E327" s="42">
        <v>30</v>
      </c>
      <c r="F327" s="42">
        <v>23</v>
      </c>
      <c r="G327" s="42">
        <v>41</v>
      </c>
      <c r="H327" s="42">
        <v>28</v>
      </c>
      <c r="I327" s="42">
        <v>17</v>
      </c>
      <c r="J327" s="42">
        <v>27</v>
      </c>
      <c r="K327" s="42">
        <v>31</v>
      </c>
      <c r="L327" s="42">
        <v>39</v>
      </c>
      <c r="M327" s="42">
        <v>25</v>
      </c>
      <c r="N327" s="42">
        <v>5</v>
      </c>
      <c r="O327" s="42">
        <f t="shared" si="183"/>
        <v>139</v>
      </c>
      <c r="P327" s="42">
        <f t="shared" si="184"/>
        <v>127</v>
      </c>
      <c r="Q327" s="42" t="str">
        <f t="shared" si="185"/>
        <v>HW</v>
      </c>
      <c r="R327" s="42" t="str">
        <f t="shared" si="186"/>
        <v>HL</v>
      </c>
      <c r="S327" s="42" t="str">
        <f t="shared" si="187"/>
        <v>HW</v>
      </c>
      <c r="T327" s="42" t="str">
        <f t="shared" si="188"/>
        <v>HW</v>
      </c>
      <c r="U327" s="42" t="str">
        <f t="shared" si="189"/>
        <v>O</v>
      </c>
      <c r="V327" s="42" t="str">
        <f t="shared" si="190"/>
        <v>U</v>
      </c>
      <c r="W327" s="42" t="str">
        <f t="shared" si="191"/>
        <v>O</v>
      </c>
      <c r="X327" s="42" t="str">
        <f t="shared" si="192"/>
        <v>U</v>
      </c>
      <c r="Z327" s="42">
        <v>56.5</v>
      </c>
      <c r="AB327" s="42" t="str">
        <f t="shared" si="193"/>
        <v>OKC/MIN</v>
      </c>
      <c r="AC327" s="42">
        <f t="shared" si="194"/>
        <v>2</v>
      </c>
      <c r="AD327" s="42">
        <f t="shared" si="195"/>
        <v>2</v>
      </c>
    </row>
    <row r="328" spans="1:30" x14ac:dyDescent="0.45">
      <c r="A328" s="42">
        <v>191207</v>
      </c>
      <c r="B328" s="1">
        <v>0.4375</v>
      </c>
      <c r="C328" s="42" t="s">
        <v>53</v>
      </c>
      <c r="D328" s="5" t="s">
        <v>25</v>
      </c>
      <c r="E328" s="42">
        <v>30</v>
      </c>
      <c r="F328" s="42">
        <v>22</v>
      </c>
      <c r="G328" s="42">
        <v>35</v>
      </c>
      <c r="H328" s="42">
        <v>32</v>
      </c>
      <c r="I328" s="42"/>
      <c r="J328" s="42">
        <v>15</v>
      </c>
      <c r="K328" s="42">
        <v>28</v>
      </c>
      <c r="L328" s="42">
        <v>19</v>
      </c>
      <c r="M328" s="42">
        <v>29</v>
      </c>
      <c r="N328" s="42" t="s">
        <v>427</v>
      </c>
      <c r="O328" s="42">
        <f t="shared" si="183"/>
        <v>119</v>
      </c>
      <c r="P328" s="42">
        <f t="shared" si="184"/>
        <v>91</v>
      </c>
      <c r="Q328" s="42" t="str">
        <f t="shared" si="185"/>
        <v>HW</v>
      </c>
      <c r="R328" s="42" t="str">
        <f t="shared" si="186"/>
        <v>HL</v>
      </c>
      <c r="S328" s="42" t="str">
        <f t="shared" si="187"/>
        <v>HW</v>
      </c>
      <c r="T328" s="42" t="str">
        <f t="shared" si="188"/>
        <v>HW</v>
      </c>
      <c r="U328" s="42" t="str">
        <f t="shared" si="189"/>
        <v>U</v>
      </c>
      <c r="V328" s="42" t="str">
        <f t="shared" si="190"/>
        <v>U</v>
      </c>
      <c r="W328" s="42" t="str">
        <f t="shared" si="191"/>
        <v>U</v>
      </c>
      <c r="X328" s="42" t="str">
        <f t="shared" si="192"/>
        <v>O</v>
      </c>
      <c r="Z328" s="42">
        <v>60</v>
      </c>
      <c r="AB328" s="42" t="str">
        <f t="shared" si="193"/>
        <v>MIL/LAC</v>
      </c>
      <c r="AC328" s="42">
        <f t="shared" si="194"/>
        <v>1</v>
      </c>
      <c r="AD328" s="42">
        <f t="shared" si="195"/>
        <v>3</v>
      </c>
    </row>
    <row r="329" spans="1:30" x14ac:dyDescent="0.45">
      <c r="A329" s="42">
        <v>191207</v>
      </c>
      <c r="B329" s="1">
        <v>0.4375</v>
      </c>
      <c r="C329" s="42" t="s">
        <v>56</v>
      </c>
      <c r="D329" s="5" t="s">
        <v>44</v>
      </c>
      <c r="E329" s="42">
        <v>21</v>
      </c>
      <c r="F329" s="42">
        <v>31</v>
      </c>
      <c r="G329" s="42">
        <v>17</v>
      </c>
      <c r="H329" s="42">
        <v>31</v>
      </c>
      <c r="I329" s="42">
        <v>5</v>
      </c>
      <c r="J329" s="42">
        <v>17</v>
      </c>
      <c r="K329" s="42">
        <v>25</v>
      </c>
      <c r="L329" s="42">
        <v>30</v>
      </c>
      <c r="M329" s="42">
        <v>28</v>
      </c>
      <c r="N329" s="42">
        <v>4</v>
      </c>
      <c r="O329" s="42">
        <f t="shared" si="183"/>
        <v>105</v>
      </c>
      <c r="P329" s="42">
        <f t="shared" si="184"/>
        <v>104</v>
      </c>
      <c r="Q329" s="42" t="str">
        <f t="shared" si="185"/>
        <v>HW</v>
      </c>
      <c r="R329" s="42" t="str">
        <f t="shared" si="186"/>
        <v>HW</v>
      </c>
      <c r="S329" s="42" t="str">
        <f t="shared" si="187"/>
        <v>HL</v>
      </c>
      <c r="T329" s="42" t="str">
        <f t="shared" si="188"/>
        <v>HW</v>
      </c>
      <c r="U329" s="42" t="str">
        <f t="shared" si="189"/>
        <v>U</v>
      </c>
      <c r="V329" s="42" t="str">
        <f t="shared" si="190"/>
        <v>O</v>
      </c>
      <c r="W329" s="42" t="str">
        <f t="shared" si="191"/>
        <v>U</v>
      </c>
      <c r="X329" s="42" t="str">
        <f t="shared" si="192"/>
        <v>O</v>
      </c>
      <c r="Z329" s="42">
        <v>55.5</v>
      </c>
      <c r="AB329" s="42" t="str">
        <f t="shared" si="193"/>
        <v>SAS/SAC</v>
      </c>
      <c r="AC329" s="42">
        <f t="shared" si="194"/>
        <v>2</v>
      </c>
      <c r="AD329" s="42">
        <f t="shared" si="195"/>
        <v>2</v>
      </c>
    </row>
    <row r="330" spans="1:30" x14ac:dyDescent="0.45">
      <c r="A330" s="42">
        <v>191207</v>
      </c>
      <c r="B330" s="1">
        <v>0.52083333333333337</v>
      </c>
      <c r="C330" s="42" t="s">
        <v>45</v>
      </c>
      <c r="D330" s="5" t="s">
        <v>26</v>
      </c>
      <c r="E330" s="42">
        <v>34</v>
      </c>
      <c r="F330" s="42">
        <v>28</v>
      </c>
      <c r="G330" s="42">
        <v>31</v>
      </c>
      <c r="H330" s="42">
        <v>20</v>
      </c>
      <c r="I330" s="42"/>
      <c r="J330" s="42">
        <v>39</v>
      </c>
      <c r="K330" s="42">
        <v>38</v>
      </c>
      <c r="L330" s="42">
        <v>33</v>
      </c>
      <c r="M330" s="42">
        <v>26</v>
      </c>
      <c r="N330" s="42" t="s">
        <v>427</v>
      </c>
      <c r="O330" s="42">
        <f t="shared" si="183"/>
        <v>113</v>
      </c>
      <c r="P330" s="42">
        <f t="shared" si="184"/>
        <v>136</v>
      </c>
      <c r="Q330" s="42" t="str">
        <f t="shared" si="185"/>
        <v>HL</v>
      </c>
      <c r="R330" s="42" t="str">
        <f t="shared" si="186"/>
        <v>HL</v>
      </c>
      <c r="S330" s="42" t="str">
        <f t="shared" si="187"/>
        <v>HL</v>
      </c>
      <c r="T330" s="42" t="str">
        <f t="shared" si="188"/>
        <v>HL</v>
      </c>
      <c r="U330" s="42" t="str">
        <f t="shared" si="189"/>
        <v>O</v>
      </c>
      <c r="V330" s="42" t="str">
        <f t="shared" si="190"/>
        <v>O</v>
      </c>
      <c r="W330" s="42" t="str">
        <f t="shared" si="191"/>
        <v>O</v>
      </c>
      <c r="X330" s="42" t="str">
        <f t="shared" si="192"/>
        <v>U</v>
      </c>
      <c r="Z330" s="42">
        <v>58</v>
      </c>
      <c r="AB330" s="42" t="str">
        <f t="shared" si="193"/>
        <v>POR/LAL</v>
      </c>
      <c r="AC330" s="42">
        <f t="shared" si="194"/>
        <v>3</v>
      </c>
      <c r="AD330" s="42">
        <f t="shared" si="195"/>
        <v>1</v>
      </c>
    </row>
    <row r="331" spans="1:30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 s="42">
        <v>31</v>
      </c>
      <c r="F331" s="42">
        <v>33</v>
      </c>
      <c r="G331" s="42">
        <v>40</v>
      </c>
      <c r="H331" s="42">
        <v>26</v>
      </c>
      <c r="I331" s="42"/>
      <c r="J331" s="42">
        <v>28</v>
      </c>
      <c r="K331" s="42">
        <v>24</v>
      </c>
      <c r="L331" s="42">
        <v>14</v>
      </c>
      <c r="M331" s="42">
        <v>18</v>
      </c>
      <c r="N331" s="42" t="s">
        <v>427</v>
      </c>
      <c r="O331" s="42">
        <f t="shared" si="183"/>
        <v>130</v>
      </c>
      <c r="P331" s="42">
        <f t="shared" si="184"/>
        <v>84</v>
      </c>
      <c r="Q331" s="42" t="str">
        <f t="shared" si="185"/>
        <v>HW</v>
      </c>
      <c r="R331" s="42" t="str">
        <f t="shared" si="186"/>
        <v>HW</v>
      </c>
      <c r="S331" s="42" t="str">
        <f t="shared" si="187"/>
        <v>HW</v>
      </c>
      <c r="T331" s="42" t="str">
        <f t="shared" si="188"/>
        <v>HW</v>
      </c>
      <c r="U331" s="42" t="str">
        <f t="shared" si="189"/>
        <v>U</v>
      </c>
      <c r="V331" s="42" t="str">
        <f t="shared" si="190"/>
        <v>U</v>
      </c>
      <c r="W331" s="42" t="str">
        <f t="shared" si="191"/>
        <v>U</v>
      </c>
      <c r="X331" s="42" t="str">
        <f t="shared" si="192"/>
        <v>U</v>
      </c>
      <c r="Z331" s="42">
        <v>59.5</v>
      </c>
      <c r="AB331" s="42" t="str">
        <f t="shared" si="193"/>
        <v>DAL/NO</v>
      </c>
      <c r="AC331" s="42">
        <f t="shared" si="194"/>
        <v>0</v>
      </c>
      <c r="AD331" s="42">
        <f t="shared" si="195"/>
        <v>4</v>
      </c>
    </row>
    <row r="332" spans="1:30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 s="42">
        <v>27</v>
      </c>
      <c r="F332" s="42">
        <v>33</v>
      </c>
      <c r="G332" s="42">
        <v>21</v>
      </c>
      <c r="H332" s="42">
        <v>22</v>
      </c>
      <c r="I332" s="42"/>
      <c r="J332" s="42">
        <v>32</v>
      </c>
      <c r="K332" s="42">
        <v>34</v>
      </c>
      <c r="L332" s="42">
        <v>23</v>
      </c>
      <c r="M332" s="42">
        <v>15</v>
      </c>
      <c r="N332" s="42" t="s">
        <v>427</v>
      </c>
      <c r="O332" s="42">
        <f t="shared" si="183"/>
        <v>103</v>
      </c>
      <c r="P332" s="42">
        <f t="shared" si="184"/>
        <v>104</v>
      </c>
      <c r="Q332" s="42" t="str">
        <f t="shared" si="185"/>
        <v>HL</v>
      </c>
      <c r="R332" s="42" t="str">
        <f t="shared" si="186"/>
        <v>HL</v>
      </c>
      <c r="S332" s="42" t="str">
        <f t="shared" si="187"/>
        <v>HL</v>
      </c>
      <c r="T332" s="42" t="str">
        <f t="shared" si="188"/>
        <v>HW</v>
      </c>
      <c r="U332" s="42" t="str">
        <f t="shared" si="189"/>
        <v>O</v>
      </c>
      <c r="V332" s="42" t="str">
        <f t="shared" si="190"/>
        <v>O</v>
      </c>
      <c r="W332" s="42" t="str">
        <f t="shared" si="191"/>
        <v>U</v>
      </c>
      <c r="X332" s="42" t="str">
        <f t="shared" si="192"/>
        <v>U</v>
      </c>
      <c r="Z332" s="42">
        <v>54</v>
      </c>
      <c r="AB332" s="42" t="str">
        <f t="shared" si="193"/>
        <v>NYK/IND</v>
      </c>
      <c r="AC332" s="42">
        <f t="shared" si="194"/>
        <v>2</v>
      </c>
      <c r="AD332" s="42">
        <f t="shared" si="195"/>
        <v>2</v>
      </c>
    </row>
    <row r="333" spans="1:30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 s="42">
        <v>36</v>
      </c>
      <c r="F333" s="42">
        <v>41</v>
      </c>
      <c r="G333" s="42">
        <v>31</v>
      </c>
      <c r="H333" s="42">
        <v>33</v>
      </c>
      <c r="I333" s="42"/>
      <c r="J333" s="42">
        <v>18</v>
      </c>
      <c r="K333" s="42">
        <v>18</v>
      </c>
      <c r="L333" s="42">
        <v>26</v>
      </c>
      <c r="M333" s="42">
        <v>32</v>
      </c>
      <c r="N333" s="42" t="s">
        <v>427</v>
      </c>
      <c r="O333" s="42">
        <f t="shared" si="183"/>
        <v>141</v>
      </c>
      <c r="P333" s="42">
        <f t="shared" si="184"/>
        <v>94</v>
      </c>
      <c r="Q333" s="42" t="str">
        <f t="shared" si="185"/>
        <v>HW</v>
      </c>
      <c r="R333" s="42" t="str">
        <f t="shared" si="186"/>
        <v>HW</v>
      </c>
      <c r="S333" s="42" t="str">
        <f t="shared" si="187"/>
        <v>HW</v>
      </c>
      <c r="T333" s="42" t="str">
        <f t="shared" si="188"/>
        <v>HW</v>
      </c>
      <c r="U333" s="42" t="str">
        <f t="shared" si="189"/>
        <v>O</v>
      </c>
      <c r="V333" s="42" t="str">
        <f t="shared" si="190"/>
        <v>O</v>
      </c>
      <c r="W333" s="42" t="str">
        <f t="shared" si="191"/>
        <v>O</v>
      </c>
      <c r="X333" s="42" t="str">
        <f t="shared" si="192"/>
        <v>O</v>
      </c>
      <c r="Z333" s="42">
        <v>53</v>
      </c>
      <c r="AB333" s="42" t="str">
        <f t="shared" si="193"/>
        <v>PHI/CLE</v>
      </c>
      <c r="AC333" s="42">
        <f t="shared" si="194"/>
        <v>4</v>
      </c>
      <c r="AD333" s="42">
        <f t="shared" si="195"/>
        <v>0</v>
      </c>
    </row>
    <row r="334" spans="1:30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 s="42">
        <v>23</v>
      </c>
      <c r="F334" s="42">
        <v>37</v>
      </c>
      <c r="G334" s="42">
        <v>23</v>
      </c>
      <c r="H334" s="42">
        <v>32</v>
      </c>
      <c r="I334" s="42"/>
      <c r="J334" s="42">
        <v>31</v>
      </c>
      <c r="K334" s="42">
        <v>21</v>
      </c>
      <c r="L334" s="42">
        <v>26</v>
      </c>
      <c r="M334" s="42">
        <v>31</v>
      </c>
      <c r="N334" s="42" t="s">
        <v>427</v>
      </c>
      <c r="O334" s="42">
        <f t="shared" si="183"/>
        <v>115</v>
      </c>
      <c r="P334" s="42">
        <f t="shared" si="184"/>
        <v>109</v>
      </c>
      <c r="Q334" s="42" t="str">
        <f t="shared" si="185"/>
        <v>HL</v>
      </c>
      <c r="R334" s="42" t="str">
        <f t="shared" si="186"/>
        <v>HW</v>
      </c>
      <c r="S334" s="42" t="str">
        <f t="shared" si="187"/>
        <v>HL</v>
      </c>
      <c r="T334" s="42" t="str">
        <f t="shared" si="188"/>
        <v>HW</v>
      </c>
      <c r="U334" s="42" t="str">
        <f t="shared" si="189"/>
        <v>U</v>
      </c>
      <c r="V334" s="42" t="str">
        <f t="shared" si="190"/>
        <v>U</v>
      </c>
      <c r="W334" s="42" t="str">
        <f t="shared" si="191"/>
        <v>U</v>
      </c>
      <c r="X334" s="42" t="str">
        <f t="shared" si="192"/>
        <v>O</v>
      </c>
      <c r="Z334" s="42">
        <v>58.5</v>
      </c>
      <c r="AB334" s="42" t="str">
        <f t="shared" si="193"/>
        <v>HOU/PHO</v>
      </c>
      <c r="AC334" s="42">
        <f t="shared" si="194"/>
        <v>1</v>
      </c>
      <c r="AD334" s="42">
        <f t="shared" si="195"/>
        <v>3</v>
      </c>
    </row>
    <row r="335" spans="1:30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 s="42">
        <v>32</v>
      </c>
      <c r="F335" s="42">
        <v>37</v>
      </c>
      <c r="G335" s="42">
        <v>28</v>
      </c>
      <c r="H335" s="42">
        <v>29</v>
      </c>
      <c r="I335" s="42"/>
      <c r="J335" s="42">
        <v>36</v>
      </c>
      <c r="K335" s="42">
        <v>18</v>
      </c>
      <c r="L335" s="42">
        <v>30</v>
      </c>
      <c r="M335" s="42">
        <v>28</v>
      </c>
      <c r="N335" s="42" t="s">
        <v>427</v>
      </c>
      <c r="O335" s="42">
        <f t="shared" si="183"/>
        <v>126</v>
      </c>
      <c r="P335" s="42">
        <f t="shared" si="184"/>
        <v>112</v>
      </c>
      <c r="Q335" s="42" t="str">
        <f t="shared" si="185"/>
        <v>HL</v>
      </c>
      <c r="R335" s="42" t="str">
        <f t="shared" si="186"/>
        <v>HW</v>
      </c>
      <c r="S335" s="42" t="str">
        <f t="shared" si="187"/>
        <v>HL</v>
      </c>
      <c r="T335" s="42" t="str">
        <f t="shared" si="188"/>
        <v>HW</v>
      </c>
      <c r="U335" s="42" t="str">
        <f t="shared" si="189"/>
        <v>O</v>
      </c>
      <c r="V335" s="42" t="str">
        <f t="shared" si="190"/>
        <v>O</v>
      </c>
      <c r="W335" s="42" t="str">
        <f t="shared" si="191"/>
        <v>O</v>
      </c>
      <c r="X335" s="42" t="str">
        <f t="shared" si="192"/>
        <v>O</v>
      </c>
      <c r="Z335" s="42">
        <v>53</v>
      </c>
      <c r="AB335" s="42" t="str">
        <f t="shared" si="193"/>
        <v>UTA/MEM</v>
      </c>
      <c r="AC335" s="42">
        <f t="shared" si="194"/>
        <v>4</v>
      </c>
      <c r="AD335" s="42">
        <f t="shared" si="195"/>
        <v>0</v>
      </c>
    </row>
    <row r="336" spans="1:30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 s="42">
        <v>25</v>
      </c>
      <c r="F336" s="42">
        <v>28</v>
      </c>
      <c r="G336" s="42">
        <v>29</v>
      </c>
      <c r="H336" s="42">
        <v>23</v>
      </c>
      <c r="I336" s="42"/>
      <c r="J336" s="42">
        <v>21</v>
      </c>
      <c r="K336" s="42">
        <v>33</v>
      </c>
      <c r="L336" s="42">
        <v>23</v>
      </c>
      <c r="M336" s="42">
        <v>25</v>
      </c>
      <c r="N336" s="42" t="s">
        <v>427</v>
      </c>
      <c r="O336" s="42">
        <f t="shared" si="183"/>
        <v>105</v>
      </c>
      <c r="P336" s="42">
        <f t="shared" si="184"/>
        <v>102</v>
      </c>
      <c r="Q336" s="42" t="str">
        <f t="shared" si="185"/>
        <v>HW</v>
      </c>
      <c r="R336" s="42" t="str">
        <f t="shared" si="186"/>
        <v>HL</v>
      </c>
      <c r="S336" s="42" t="str">
        <f t="shared" si="187"/>
        <v>HW</v>
      </c>
      <c r="T336" s="42" t="str">
        <f t="shared" si="188"/>
        <v>HL</v>
      </c>
      <c r="U336" s="42" t="str">
        <f t="shared" si="189"/>
        <v>U</v>
      </c>
      <c r="V336" s="42" t="str">
        <f t="shared" si="190"/>
        <v>O</v>
      </c>
      <c r="W336" s="42" t="str">
        <f t="shared" si="191"/>
        <v>U</v>
      </c>
      <c r="X336" s="42" t="str">
        <f t="shared" si="192"/>
        <v>U</v>
      </c>
      <c r="Z336" s="42">
        <v>54.5</v>
      </c>
      <c r="AB336" s="42" t="str">
        <f t="shared" si="193"/>
        <v>BKN/DEN</v>
      </c>
      <c r="AC336" s="42">
        <f t="shared" si="194"/>
        <v>1</v>
      </c>
      <c r="AD336" s="42">
        <f t="shared" si="195"/>
        <v>3</v>
      </c>
    </row>
    <row r="337" spans="1:30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 s="42">
        <v>27</v>
      </c>
      <c r="F337" s="42">
        <v>26</v>
      </c>
      <c r="G337" s="42">
        <v>30</v>
      </c>
      <c r="H337" s="42">
        <v>24</v>
      </c>
      <c r="I337" s="42"/>
      <c r="J337" s="42">
        <v>24</v>
      </c>
      <c r="K337" s="42">
        <v>27</v>
      </c>
      <c r="L337" s="42">
        <v>37</v>
      </c>
      <c r="M337" s="42">
        <v>34</v>
      </c>
      <c r="N337" s="42" t="s">
        <v>427</v>
      </c>
      <c r="O337" s="42">
        <f t="shared" si="183"/>
        <v>107</v>
      </c>
      <c r="P337" s="42">
        <f t="shared" si="184"/>
        <v>122</v>
      </c>
      <c r="Q337" s="42" t="str">
        <f t="shared" si="185"/>
        <v>HW</v>
      </c>
      <c r="R337" s="42" t="str">
        <f t="shared" si="186"/>
        <v>HL</v>
      </c>
      <c r="S337" s="42" t="str">
        <f t="shared" si="187"/>
        <v>HL</v>
      </c>
      <c r="T337" s="42" t="str">
        <f t="shared" si="188"/>
        <v>HL</v>
      </c>
      <c r="U337" s="42" t="str">
        <f t="shared" si="189"/>
        <v>U</v>
      </c>
      <c r="V337" s="42" t="str">
        <f t="shared" si="190"/>
        <v>U</v>
      </c>
      <c r="W337" s="42" t="str">
        <f t="shared" si="191"/>
        <v>O</v>
      </c>
      <c r="X337" s="42" t="str">
        <f t="shared" si="192"/>
        <v>O</v>
      </c>
      <c r="Z337" s="42">
        <v>57</v>
      </c>
      <c r="AB337" s="42" t="str">
        <f t="shared" si="193"/>
        <v>CHA/ATL</v>
      </c>
      <c r="AC337" s="42">
        <f t="shared" si="194"/>
        <v>2</v>
      </c>
      <c r="AD337" s="42">
        <f t="shared" si="195"/>
        <v>2</v>
      </c>
    </row>
    <row r="338" spans="1:30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 s="42">
        <v>16</v>
      </c>
      <c r="F338" s="42">
        <v>31</v>
      </c>
      <c r="G338" s="42">
        <v>27</v>
      </c>
      <c r="H338" s="42">
        <v>23</v>
      </c>
      <c r="I338" s="42">
        <v>13</v>
      </c>
      <c r="J338" s="42">
        <v>25</v>
      </c>
      <c r="K338" s="42">
        <v>24</v>
      </c>
      <c r="L338" s="42">
        <v>24</v>
      </c>
      <c r="M338" s="42">
        <v>24</v>
      </c>
      <c r="N338" s="42">
        <v>8</v>
      </c>
      <c r="O338" s="42">
        <f t="shared" si="183"/>
        <v>110</v>
      </c>
      <c r="P338" s="42">
        <f t="shared" si="184"/>
        <v>105</v>
      </c>
      <c r="Q338" s="42" t="str">
        <f t="shared" si="185"/>
        <v>HL</v>
      </c>
      <c r="R338" s="42" t="str">
        <f t="shared" si="186"/>
        <v>HW</v>
      </c>
      <c r="S338" s="42" t="str">
        <f t="shared" si="187"/>
        <v>HW</v>
      </c>
      <c r="T338" s="42" t="str">
        <f t="shared" si="188"/>
        <v>HL</v>
      </c>
      <c r="U338" s="42" t="str">
        <f t="shared" si="189"/>
        <v>U</v>
      </c>
      <c r="V338" s="42" t="str">
        <f t="shared" si="190"/>
        <v>O</v>
      </c>
      <c r="W338" s="42" t="str">
        <f t="shared" si="191"/>
        <v>U</v>
      </c>
      <c r="X338" s="42" t="str">
        <f t="shared" si="192"/>
        <v>U</v>
      </c>
      <c r="Z338" s="42">
        <v>54</v>
      </c>
      <c r="AB338" s="42" t="str">
        <f t="shared" si="193"/>
        <v>MIA/CHI</v>
      </c>
      <c r="AC338" s="42">
        <f t="shared" si="194"/>
        <v>1</v>
      </c>
      <c r="AD338" s="42">
        <f t="shared" si="195"/>
        <v>3</v>
      </c>
    </row>
    <row r="339" spans="1:30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 s="42">
        <v>27</v>
      </c>
      <c r="F339" s="42">
        <v>30</v>
      </c>
      <c r="G339" s="42">
        <v>29</v>
      </c>
      <c r="H339" s="42">
        <v>24</v>
      </c>
      <c r="I339" s="42"/>
      <c r="J339" s="42">
        <v>22</v>
      </c>
      <c r="K339" s="42">
        <v>20</v>
      </c>
      <c r="L339" s="42">
        <v>26</v>
      </c>
      <c r="M339" s="42">
        <v>36</v>
      </c>
      <c r="N339" s="42" t="s">
        <v>427</v>
      </c>
      <c r="O339" s="42">
        <f t="shared" si="183"/>
        <v>110</v>
      </c>
      <c r="P339" s="42">
        <f t="shared" si="184"/>
        <v>104</v>
      </c>
      <c r="Q339" s="42" t="str">
        <f t="shared" si="185"/>
        <v>HW</v>
      </c>
      <c r="R339" s="42" t="str">
        <f t="shared" si="186"/>
        <v>HW</v>
      </c>
      <c r="S339" s="42" t="str">
        <f t="shared" si="187"/>
        <v>HW</v>
      </c>
      <c r="T339" s="42" t="str">
        <f t="shared" si="188"/>
        <v>HL</v>
      </c>
      <c r="U339" s="42" t="str">
        <f t="shared" si="189"/>
        <v>U</v>
      </c>
      <c r="V339" s="42" t="str">
        <f t="shared" si="190"/>
        <v>U</v>
      </c>
      <c r="W339" s="42" t="str">
        <f t="shared" si="191"/>
        <v>O</v>
      </c>
      <c r="X339" s="42" t="str">
        <f t="shared" si="192"/>
        <v>O</v>
      </c>
      <c r="Z339" s="42">
        <v>54.5</v>
      </c>
      <c r="AB339" s="42" t="str">
        <f t="shared" si="193"/>
        <v>PHI/TOR</v>
      </c>
      <c r="AC339" s="42">
        <f t="shared" si="194"/>
        <v>2</v>
      </c>
      <c r="AD339" s="42">
        <f t="shared" si="195"/>
        <v>2</v>
      </c>
    </row>
    <row r="340" spans="1:30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 s="42">
        <v>25</v>
      </c>
      <c r="F340" s="42">
        <v>39</v>
      </c>
      <c r="G340" s="42">
        <v>29</v>
      </c>
      <c r="H340" s="42">
        <v>26</v>
      </c>
      <c r="I340" s="42"/>
      <c r="J340" s="42">
        <v>35</v>
      </c>
      <c r="K340" s="42">
        <v>30</v>
      </c>
      <c r="L340" s="42">
        <v>35</v>
      </c>
      <c r="M340" s="42">
        <v>35</v>
      </c>
      <c r="N340" s="42" t="s">
        <v>427</v>
      </c>
      <c r="O340" s="42">
        <f t="shared" si="183"/>
        <v>119</v>
      </c>
      <c r="P340" s="42">
        <f t="shared" si="184"/>
        <v>135</v>
      </c>
      <c r="Q340" s="42" t="str">
        <f t="shared" si="185"/>
        <v>HL</v>
      </c>
      <c r="R340" s="42" t="str">
        <f t="shared" si="186"/>
        <v>HW</v>
      </c>
      <c r="S340" s="42" t="str">
        <f t="shared" si="187"/>
        <v>HL</v>
      </c>
      <c r="T340" s="42" t="str">
        <f t="shared" si="188"/>
        <v>HL</v>
      </c>
      <c r="U340" s="42" t="str">
        <f t="shared" si="189"/>
        <v>U</v>
      </c>
      <c r="V340" s="42" t="str">
        <f t="shared" si="190"/>
        <v>O</v>
      </c>
      <c r="W340" s="42" t="str">
        <f t="shared" si="191"/>
        <v>O</v>
      </c>
      <c r="X340" s="42" t="str">
        <f t="shared" si="192"/>
        <v>O</v>
      </c>
      <c r="Z340" s="42">
        <v>60.5</v>
      </c>
      <c r="AB340" s="42" t="str">
        <f t="shared" si="193"/>
        <v>WAS/LAC</v>
      </c>
      <c r="AC340" s="42">
        <f t="shared" si="194"/>
        <v>3</v>
      </c>
      <c r="AD340" s="42">
        <f t="shared" si="195"/>
        <v>1</v>
      </c>
    </row>
    <row r="341" spans="1:30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 s="42">
        <v>27</v>
      </c>
      <c r="F341" s="42">
        <v>19</v>
      </c>
      <c r="G341" s="42">
        <v>32</v>
      </c>
      <c r="H341" s="42">
        <v>28</v>
      </c>
      <c r="I341" s="42"/>
      <c r="J341" s="42">
        <v>36</v>
      </c>
      <c r="K341" s="42">
        <v>30</v>
      </c>
      <c r="L341" s="42">
        <v>26</v>
      </c>
      <c r="M341" s="42">
        <v>18</v>
      </c>
      <c r="N341" s="42" t="s">
        <v>427</v>
      </c>
      <c r="O341" s="42">
        <f t="shared" si="183"/>
        <v>106</v>
      </c>
      <c r="P341" s="42">
        <f t="shared" si="184"/>
        <v>110</v>
      </c>
      <c r="Q341" s="42" t="str">
        <f t="shared" si="185"/>
        <v>HL</v>
      </c>
      <c r="R341" s="42" t="str">
        <f t="shared" si="186"/>
        <v>HL</v>
      </c>
      <c r="S341" s="42" t="str">
        <f t="shared" si="187"/>
        <v>HW</v>
      </c>
      <c r="T341" s="42" t="str">
        <f t="shared" si="188"/>
        <v>HW</v>
      </c>
      <c r="U341" s="42" t="str">
        <f t="shared" si="189"/>
        <v>O</v>
      </c>
      <c r="V341" s="42" t="str">
        <f t="shared" si="190"/>
        <v>U</v>
      </c>
      <c r="W341" s="42" t="str">
        <f t="shared" si="191"/>
        <v>O</v>
      </c>
      <c r="X341" s="42" t="str">
        <f t="shared" si="192"/>
        <v>U</v>
      </c>
      <c r="Z341" s="42">
        <v>55.5</v>
      </c>
      <c r="AB341" s="42" t="str">
        <f t="shared" si="193"/>
        <v>DAL/SAC</v>
      </c>
      <c r="AC341" s="42">
        <f t="shared" si="194"/>
        <v>2</v>
      </c>
      <c r="AD341" s="42">
        <f t="shared" si="195"/>
        <v>2</v>
      </c>
    </row>
    <row r="342" spans="1:30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 s="42">
        <v>20</v>
      </c>
      <c r="F342" s="42">
        <v>27</v>
      </c>
      <c r="G342" s="42">
        <v>31</v>
      </c>
      <c r="H342" s="42">
        <v>18</v>
      </c>
      <c r="I342" s="42"/>
      <c r="J342" s="42">
        <v>21</v>
      </c>
      <c r="K342" s="42">
        <v>34</v>
      </c>
      <c r="L342" s="42">
        <v>27</v>
      </c>
      <c r="M342" s="42">
        <v>26</v>
      </c>
      <c r="N342" s="42" t="s">
        <v>427</v>
      </c>
      <c r="O342" s="42">
        <f t="shared" si="183"/>
        <v>96</v>
      </c>
      <c r="P342" s="42">
        <f t="shared" si="184"/>
        <v>108</v>
      </c>
      <c r="Q342" s="42" t="str">
        <f t="shared" si="185"/>
        <v>HL</v>
      </c>
      <c r="R342" s="42" t="str">
        <f t="shared" si="186"/>
        <v>HL</v>
      </c>
      <c r="S342" s="42" t="str">
        <f t="shared" si="187"/>
        <v>HW</v>
      </c>
      <c r="T342" s="42" t="str">
        <f t="shared" si="188"/>
        <v>HL</v>
      </c>
      <c r="U342" s="42" t="str">
        <f t="shared" si="189"/>
        <v>U</v>
      </c>
      <c r="V342" s="42" t="str">
        <f t="shared" si="190"/>
        <v>O</v>
      </c>
      <c r="W342" s="42" t="str">
        <f t="shared" si="191"/>
        <v>O</v>
      </c>
      <c r="X342" s="42" t="str">
        <f t="shared" si="192"/>
        <v>U</v>
      </c>
      <c r="Z342" s="42">
        <v>57.5</v>
      </c>
      <c r="AB342" s="42" t="str">
        <f t="shared" si="193"/>
        <v>POR/OKC</v>
      </c>
      <c r="AC342" s="42">
        <f t="shared" si="194"/>
        <v>2</v>
      </c>
      <c r="AD342" s="42">
        <f t="shared" si="195"/>
        <v>2</v>
      </c>
    </row>
    <row r="343" spans="1:30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 s="42">
        <v>39</v>
      </c>
      <c r="F343" s="42">
        <v>34</v>
      </c>
      <c r="G343" s="42">
        <v>37</v>
      </c>
      <c r="H343" s="42">
        <v>32</v>
      </c>
      <c r="I343" s="42"/>
      <c r="J343" s="42">
        <v>31</v>
      </c>
      <c r="K343" s="42">
        <v>34</v>
      </c>
      <c r="L343" s="42">
        <v>38</v>
      </c>
      <c r="M343" s="42">
        <v>22</v>
      </c>
      <c r="N343" s="42" t="s">
        <v>427</v>
      </c>
      <c r="O343" s="42">
        <f t="shared" si="183"/>
        <v>142</v>
      </c>
      <c r="P343" s="42">
        <f t="shared" si="184"/>
        <v>125</v>
      </c>
      <c r="Q343" s="42" t="str">
        <f t="shared" si="185"/>
        <v>HW</v>
      </c>
      <c r="R343" s="42" t="str">
        <f t="shared" si="186"/>
        <v>TT</v>
      </c>
      <c r="S343" s="42" t="str">
        <f t="shared" si="187"/>
        <v>HL</v>
      </c>
      <c r="T343" s="42" t="str">
        <f t="shared" si="188"/>
        <v>HW</v>
      </c>
      <c r="U343" s="42" t="str">
        <f t="shared" si="189"/>
        <v>O</v>
      </c>
      <c r="V343" s="42" t="str">
        <f t="shared" si="190"/>
        <v>O</v>
      </c>
      <c r="W343" s="42" t="str">
        <f t="shared" si="191"/>
        <v>O</v>
      </c>
      <c r="X343" s="42" t="str">
        <f t="shared" si="192"/>
        <v>U</v>
      </c>
      <c r="Z343" s="42">
        <v>58.5</v>
      </c>
      <c r="AB343" s="42" t="str">
        <f t="shared" si="193"/>
        <v>LAL/MIN</v>
      </c>
      <c r="AC343" s="42">
        <f t="shared" si="194"/>
        <v>3</v>
      </c>
      <c r="AD343" s="42">
        <f t="shared" si="195"/>
        <v>1</v>
      </c>
    </row>
    <row r="344" spans="1:30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 s="42">
        <v>19</v>
      </c>
      <c r="F344" s="42">
        <v>29</v>
      </c>
      <c r="G344" s="42">
        <v>25</v>
      </c>
      <c r="H344" s="42">
        <v>26</v>
      </c>
      <c r="I344" s="42"/>
      <c r="J344" s="42">
        <v>24</v>
      </c>
      <c r="K344" s="42">
        <v>36</v>
      </c>
      <c r="L344" s="42">
        <v>31</v>
      </c>
      <c r="M344" s="42">
        <v>19</v>
      </c>
      <c r="N344" s="42" t="s">
        <v>427</v>
      </c>
      <c r="O344" s="42">
        <f t="shared" si="183"/>
        <v>99</v>
      </c>
      <c r="P344" s="42">
        <f t="shared" si="184"/>
        <v>110</v>
      </c>
      <c r="Q344" s="42" t="str">
        <f t="shared" si="185"/>
        <v>HL</v>
      </c>
      <c r="R344" s="42" t="str">
        <f t="shared" si="186"/>
        <v>HL</v>
      </c>
      <c r="S344" s="42" t="str">
        <f t="shared" si="187"/>
        <v>HL</v>
      </c>
      <c r="T344" s="42" t="str">
        <f t="shared" si="188"/>
        <v>HW</v>
      </c>
      <c r="U344" s="42" t="str">
        <f t="shared" si="189"/>
        <v>U</v>
      </c>
      <c r="V344" s="42" t="str">
        <f t="shared" si="190"/>
        <v>O</v>
      </c>
      <c r="W344" s="42" t="str">
        <f t="shared" si="191"/>
        <v>T</v>
      </c>
      <c r="X344" s="42" t="str">
        <f t="shared" si="192"/>
        <v>U</v>
      </c>
      <c r="Z344" s="42">
        <v>56</v>
      </c>
      <c r="AB344" s="42" t="str">
        <f t="shared" si="193"/>
        <v>IND/LAC</v>
      </c>
      <c r="AC344" s="42">
        <f t="shared" si="194"/>
        <v>1</v>
      </c>
      <c r="AD344" s="42">
        <f t="shared" si="195"/>
        <v>2</v>
      </c>
    </row>
    <row r="345" spans="1:30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 s="42">
        <v>29</v>
      </c>
      <c r="F345" s="42">
        <v>24</v>
      </c>
      <c r="G345" s="42">
        <v>30</v>
      </c>
      <c r="H345" s="42">
        <v>27</v>
      </c>
      <c r="I345" s="42"/>
      <c r="J345" s="42">
        <v>18</v>
      </c>
      <c r="K345" s="42">
        <v>22</v>
      </c>
      <c r="L345" s="42">
        <v>26</v>
      </c>
      <c r="M345" s="42">
        <v>22</v>
      </c>
      <c r="N345" s="42" t="s">
        <v>427</v>
      </c>
      <c r="O345" s="42">
        <f t="shared" si="183"/>
        <v>110</v>
      </c>
      <c r="P345" s="42">
        <f t="shared" si="184"/>
        <v>88</v>
      </c>
      <c r="Q345" s="42" t="str">
        <f t="shared" si="185"/>
        <v>HW</v>
      </c>
      <c r="R345" s="42" t="str">
        <f t="shared" si="186"/>
        <v>HW</v>
      </c>
      <c r="S345" s="42" t="str">
        <f t="shared" si="187"/>
        <v>HW</v>
      </c>
      <c r="T345" s="42" t="str">
        <f t="shared" si="188"/>
        <v>HW</v>
      </c>
      <c r="U345" s="42" t="str">
        <f t="shared" si="189"/>
        <v>U</v>
      </c>
      <c r="V345" s="42" t="str">
        <f t="shared" si="190"/>
        <v>U</v>
      </c>
      <c r="W345" s="42" t="str">
        <f t="shared" si="191"/>
        <v>O</v>
      </c>
      <c r="X345" s="42" t="str">
        <f t="shared" si="192"/>
        <v>U</v>
      </c>
      <c r="Z345" s="42">
        <v>52.5</v>
      </c>
      <c r="AB345" s="42" t="str">
        <f t="shared" si="193"/>
        <v>BOS/CLE</v>
      </c>
      <c r="AC345" s="42">
        <f t="shared" si="194"/>
        <v>1</v>
      </c>
      <c r="AD345" s="42">
        <f t="shared" si="195"/>
        <v>3</v>
      </c>
    </row>
    <row r="346" spans="1:30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 s="42">
        <v>29</v>
      </c>
      <c r="F346" s="42">
        <v>24</v>
      </c>
      <c r="G346" s="42">
        <v>21</v>
      </c>
      <c r="H346" s="42">
        <v>29</v>
      </c>
      <c r="I346" s="42"/>
      <c r="J346" s="42">
        <v>25</v>
      </c>
      <c r="K346" s="42">
        <v>22</v>
      </c>
      <c r="L346" s="42">
        <v>34</v>
      </c>
      <c r="M346" s="42">
        <v>24</v>
      </c>
      <c r="N346" s="42" t="s">
        <v>427</v>
      </c>
      <c r="O346" s="42">
        <f t="shared" si="183"/>
        <v>103</v>
      </c>
      <c r="P346" s="42">
        <f t="shared" si="184"/>
        <v>105</v>
      </c>
      <c r="Q346" s="42" t="str">
        <f t="shared" si="185"/>
        <v>HW</v>
      </c>
      <c r="R346" s="42" t="str">
        <f t="shared" si="186"/>
        <v>HW</v>
      </c>
      <c r="S346" s="42" t="str">
        <f t="shared" si="187"/>
        <v>HL</v>
      </c>
      <c r="T346" s="42" t="str">
        <f t="shared" si="188"/>
        <v>HW</v>
      </c>
      <c r="U346" s="42" t="str">
        <f t="shared" si="189"/>
        <v>U</v>
      </c>
      <c r="V346" s="42" t="str">
        <f t="shared" si="190"/>
        <v>U</v>
      </c>
      <c r="W346" s="42" t="str">
        <f t="shared" si="191"/>
        <v>U</v>
      </c>
      <c r="X346" s="42" t="str">
        <f t="shared" si="192"/>
        <v>U</v>
      </c>
      <c r="Z346" s="42">
        <v>58</v>
      </c>
      <c r="AB346" s="42" t="str">
        <f t="shared" si="193"/>
        <v>NO/DET</v>
      </c>
      <c r="AC346" s="42">
        <f t="shared" si="194"/>
        <v>0</v>
      </c>
      <c r="AD346" s="42">
        <f t="shared" si="195"/>
        <v>4</v>
      </c>
    </row>
    <row r="347" spans="1:30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 s="42">
        <v>30</v>
      </c>
      <c r="F347" s="42">
        <v>21</v>
      </c>
      <c r="G347" s="42">
        <v>20</v>
      </c>
      <c r="H347" s="42">
        <v>21</v>
      </c>
      <c r="I347" s="42"/>
      <c r="J347" s="42">
        <v>30</v>
      </c>
      <c r="K347" s="42">
        <v>19</v>
      </c>
      <c r="L347" s="42">
        <v>22</v>
      </c>
      <c r="M347" s="42">
        <v>22</v>
      </c>
      <c r="N347" s="42" t="s">
        <v>427</v>
      </c>
      <c r="O347" s="42">
        <f t="shared" si="183"/>
        <v>92</v>
      </c>
      <c r="P347" s="42">
        <f t="shared" si="184"/>
        <v>93</v>
      </c>
      <c r="Q347" s="42" t="str">
        <f t="shared" si="185"/>
        <v>TT</v>
      </c>
      <c r="R347" s="42" t="str">
        <f t="shared" si="186"/>
        <v>HW</v>
      </c>
      <c r="S347" s="42" t="str">
        <f t="shared" si="187"/>
        <v>HL</v>
      </c>
      <c r="T347" s="42" t="str">
        <f t="shared" si="188"/>
        <v>HL</v>
      </c>
      <c r="U347" s="42" t="str">
        <f t="shared" si="189"/>
        <v>O</v>
      </c>
      <c r="V347" s="42" t="str">
        <f t="shared" si="190"/>
        <v>U</v>
      </c>
      <c r="W347" s="42" t="str">
        <f t="shared" si="191"/>
        <v>U</v>
      </c>
      <c r="X347" s="42" t="str">
        <f t="shared" si="192"/>
        <v>U</v>
      </c>
      <c r="Z347" s="42">
        <v>55</v>
      </c>
      <c r="AB347" s="42" t="str">
        <f t="shared" si="193"/>
        <v>CHI/TOR</v>
      </c>
      <c r="AC347" s="42">
        <f t="shared" si="194"/>
        <v>1</v>
      </c>
      <c r="AD347" s="42">
        <f t="shared" si="195"/>
        <v>3</v>
      </c>
    </row>
    <row r="348" spans="1:30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 s="42">
        <v>28</v>
      </c>
      <c r="F348" s="42">
        <v>36</v>
      </c>
      <c r="G348" s="42">
        <v>29</v>
      </c>
      <c r="H348" s="42">
        <v>25</v>
      </c>
      <c r="I348" s="42"/>
      <c r="J348" s="42">
        <v>32</v>
      </c>
      <c r="K348" s="42">
        <v>27</v>
      </c>
      <c r="L348" s="42">
        <v>35</v>
      </c>
      <c r="M348" s="42">
        <v>25</v>
      </c>
      <c r="N348" s="42" t="s">
        <v>427</v>
      </c>
      <c r="O348" s="42">
        <f t="shared" si="183"/>
        <v>118</v>
      </c>
      <c r="P348" s="42">
        <f t="shared" si="184"/>
        <v>119</v>
      </c>
      <c r="Q348" s="42" t="str">
        <f t="shared" si="185"/>
        <v>HL</v>
      </c>
      <c r="R348" s="42" t="str">
        <f t="shared" si="186"/>
        <v>HW</v>
      </c>
      <c r="S348" s="42" t="str">
        <f t="shared" si="187"/>
        <v>HL</v>
      </c>
      <c r="T348" s="42" t="str">
        <f t="shared" si="188"/>
        <v>TT</v>
      </c>
      <c r="U348" s="42" t="str">
        <f t="shared" si="189"/>
        <v>O</v>
      </c>
      <c r="V348" s="42" t="str">
        <f t="shared" si="190"/>
        <v>O</v>
      </c>
      <c r="W348" s="42" t="str">
        <f t="shared" si="191"/>
        <v>O</v>
      </c>
      <c r="X348" s="42" t="str">
        <f t="shared" si="192"/>
        <v>U</v>
      </c>
      <c r="Z348" s="42">
        <v>58</v>
      </c>
      <c r="AB348" s="42" t="str">
        <f t="shared" si="193"/>
        <v>HOU/SAC</v>
      </c>
      <c r="AC348" s="42">
        <f t="shared" si="194"/>
        <v>3</v>
      </c>
      <c r="AD348" s="42">
        <f t="shared" si="195"/>
        <v>1</v>
      </c>
    </row>
    <row r="349" spans="1:30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 s="42">
        <v>31</v>
      </c>
      <c r="F349" s="42">
        <v>21</v>
      </c>
      <c r="G349" s="42">
        <v>28</v>
      </c>
      <c r="H349" s="42">
        <v>30</v>
      </c>
      <c r="I349" s="42"/>
      <c r="J349" s="42">
        <v>20</v>
      </c>
      <c r="K349" s="42">
        <v>20</v>
      </c>
      <c r="L349" s="42">
        <v>33</v>
      </c>
      <c r="M349" s="42">
        <v>28</v>
      </c>
      <c r="N349" s="42" t="s">
        <v>427</v>
      </c>
      <c r="O349" s="42">
        <f t="shared" si="183"/>
        <v>110</v>
      </c>
      <c r="P349" s="42">
        <f t="shared" si="184"/>
        <v>101</v>
      </c>
      <c r="Q349" s="42" t="str">
        <f t="shared" si="185"/>
        <v>HW</v>
      </c>
      <c r="R349" s="42" t="str">
        <f t="shared" si="186"/>
        <v>HW</v>
      </c>
      <c r="S349" s="42" t="str">
        <f t="shared" si="187"/>
        <v>HL</v>
      </c>
      <c r="T349" s="42" t="str">
        <f t="shared" si="188"/>
        <v>HW</v>
      </c>
      <c r="U349" s="42" t="str">
        <f t="shared" si="189"/>
        <v>U</v>
      </c>
      <c r="V349" s="42" t="str">
        <f t="shared" si="190"/>
        <v>U</v>
      </c>
      <c r="W349" s="42" t="str">
        <f t="shared" si="191"/>
        <v>O</v>
      </c>
      <c r="X349" s="42" t="str">
        <f t="shared" si="192"/>
        <v>O</v>
      </c>
      <c r="Z349" s="42">
        <v>56.5</v>
      </c>
      <c r="AB349" s="42" t="str">
        <f t="shared" si="193"/>
        <v>MIL/ORL</v>
      </c>
      <c r="AC349" s="42">
        <f t="shared" si="194"/>
        <v>2</v>
      </c>
      <c r="AD349" s="42">
        <f t="shared" si="195"/>
        <v>2</v>
      </c>
    </row>
    <row r="350" spans="1:30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 s="42">
        <v>33</v>
      </c>
      <c r="F350" s="42">
        <v>28</v>
      </c>
      <c r="G350" s="42">
        <v>33</v>
      </c>
      <c r="H350" s="42">
        <v>31</v>
      </c>
      <c r="I350" s="42"/>
      <c r="J350" s="42">
        <v>31</v>
      </c>
      <c r="K350" s="42">
        <v>33</v>
      </c>
      <c r="L350" s="42">
        <v>21</v>
      </c>
      <c r="M350" s="42">
        <v>24</v>
      </c>
      <c r="N350" s="42" t="s">
        <v>427</v>
      </c>
      <c r="O350" s="42">
        <f t="shared" si="183"/>
        <v>125</v>
      </c>
      <c r="P350" s="42">
        <f t="shared" si="184"/>
        <v>109</v>
      </c>
      <c r="Q350" s="42" t="str">
        <f t="shared" si="185"/>
        <v>HW</v>
      </c>
      <c r="R350" s="42" t="str">
        <f t="shared" si="186"/>
        <v>HL</v>
      </c>
      <c r="S350" s="42" t="str">
        <f t="shared" si="187"/>
        <v>HW</v>
      </c>
      <c r="T350" s="42" t="str">
        <f t="shared" si="188"/>
        <v>HW</v>
      </c>
      <c r="U350" s="42" t="str">
        <f t="shared" si="189"/>
        <v>O</v>
      </c>
      <c r="V350" s="42" t="str">
        <f t="shared" si="190"/>
        <v>O</v>
      </c>
      <c r="W350" s="42" t="str">
        <f t="shared" si="191"/>
        <v>U</v>
      </c>
      <c r="X350" s="42" t="str">
        <f t="shared" si="192"/>
        <v>U</v>
      </c>
      <c r="Z350" s="42">
        <v>60</v>
      </c>
      <c r="AB350" s="42" t="str">
        <f t="shared" si="193"/>
        <v>PHO/MIN</v>
      </c>
      <c r="AC350" s="42">
        <f t="shared" si="194"/>
        <v>2</v>
      </c>
      <c r="AD350" s="42">
        <f t="shared" si="195"/>
        <v>2</v>
      </c>
    </row>
    <row r="351" spans="1:30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 s="42">
        <v>24</v>
      </c>
      <c r="F351" s="42">
        <v>23</v>
      </c>
      <c r="G351" s="42">
        <v>21</v>
      </c>
      <c r="H351" s="42">
        <v>22</v>
      </c>
      <c r="I351" s="42"/>
      <c r="J351" s="42">
        <v>25</v>
      </c>
      <c r="K351" s="42">
        <v>26</v>
      </c>
      <c r="L351" s="42">
        <v>34</v>
      </c>
      <c r="M351" s="42">
        <v>19</v>
      </c>
      <c r="N351" s="42" t="s">
        <v>427</v>
      </c>
      <c r="O351" s="42">
        <f t="shared" si="183"/>
        <v>90</v>
      </c>
      <c r="P351" s="42">
        <f t="shared" si="184"/>
        <v>104</v>
      </c>
      <c r="Q351" s="42" t="str">
        <f t="shared" si="185"/>
        <v>HL</v>
      </c>
      <c r="R351" s="42" t="str">
        <f t="shared" si="186"/>
        <v>HL</v>
      </c>
      <c r="S351" s="42" t="str">
        <f t="shared" si="187"/>
        <v>HL</v>
      </c>
      <c r="T351" s="42" t="str">
        <f t="shared" si="188"/>
        <v>HW</v>
      </c>
      <c r="U351" s="42" t="str">
        <f t="shared" si="189"/>
        <v>U</v>
      </c>
      <c r="V351" s="42" t="str">
        <f t="shared" si="190"/>
        <v>U</v>
      </c>
      <c r="W351" s="42" t="str">
        <f t="shared" si="191"/>
        <v>O</v>
      </c>
      <c r="X351" s="42" t="str">
        <f t="shared" si="192"/>
        <v>U</v>
      </c>
      <c r="Z351" s="42">
        <v>53.5</v>
      </c>
      <c r="AB351" s="42" t="str">
        <f t="shared" si="193"/>
        <v>UTA/OKC</v>
      </c>
      <c r="AC351" s="42">
        <f t="shared" si="194"/>
        <v>1</v>
      </c>
      <c r="AD351" s="42">
        <f t="shared" si="195"/>
        <v>3</v>
      </c>
    </row>
    <row r="352" spans="1:30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 s="42">
        <v>20</v>
      </c>
      <c r="F352" s="42">
        <v>27</v>
      </c>
      <c r="G352" s="42">
        <v>32</v>
      </c>
      <c r="H352" s="42">
        <v>23</v>
      </c>
      <c r="I352" s="42"/>
      <c r="J352" s="42">
        <v>29</v>
      </c>
      <c r="K352" s="42">
        <v>25</v>
      </c>
      <c r="L352" s="42">
        <v>34</v>
      </c>
      <c r="M352" s="42">
        <v>22</v>
      </c>
      <c r="N352" s="42" t="s">
        <v>427</v>
      </c>
      <c r="O352" s="42">
        <f t="shared" si="183"/>
        <v>102</v>
      </c>
      <c r="P352" s="42">
        <f t="shared" si="184"/>
        <v>110</v>
      </c>
      <c r="Q352" s="42" t="str">
        <f t="shared" si="185"/>
        <v>HL</v>
      </c>
      <c r="R352" s="42" t="str">
        <f t="shared" si="186"/>
        <v>HW</v>
      </c>
      <c r="S352" s="42" t="str">
        <f t="shared" si="187"/>
        <v>HL</v>
      </c>
      <c r="T352" s="42" t="str">
        <f t="shared" si="188"/>
        <v>HW</v>
      </c>
      <c r="U352" s="42" t="str">
        <f t="shared" si="189"/>
        <v>U</v>
      </c>
      <c r="V352" s="42" t="str">
        <f t="shared" si="190"/>
        <v>U</v>
      </c>
      <c r="W352" s="42" t="str">
        <f t="shared" si="191"/>
        <v>O</v>
      </c>
      <c r="X352" s="42" t="str">
        <f t="shared" si="192"/>
        <v>U</v>
      </c>
      <c r="Z352" s="42">
        <v>54</v>
      </c>
      <c r="AB352" s="42" t="str">
        <f t="shared" si="193"/>
        <v>GS/MEM</v>
      </c>
      <c r="AC352" s="42">
        <f t="shared" si="194"/>
        <v>1</v>
      </c>
      <c r="AD352" s="42">
        <f t="shared" si="195"/>
        <v>3</v>
      </c>
    </row>
    <row r="353" spans="1:30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 s="42">
        <v>28</v>
      </c>
      <c r="F353" s="42">
        <v>25</v>
      </c>
      <c r="G353" s="42">
        <v>29</v>
      </c>
      <c r="H353" s="42">
        <v>32</v>
      </c>
      <c r="I353" s="42"/>
      <c r="J353" s="42">
        <v>20</v>
      </c>
      <c r="K353" s="42">
        <v>28</v>
      </c>
      <c r="L353" s="42">
        <v>27</v>
      </c>
      <c r="M353" s="42">
        <v>32</v>
      </c>
      <c r="N353" s="42" t="s">
        <v>427</v>
      </c>
      <c r="O353" s="42">
        <f t="shared" si="183"/>
        <v>114</v>
      </c>
      <c r="P353" s="42">
        <f t="shared" si="184"/>
        <v>107</v>
      </c>
      <c r="Q353" s="42" t="str">
        <f t="shared" si="185"/>
        <v>HW</v>
      </c>
      <c r="R353" s="42" t="str">
        <f t="shared" si="186"/>
        <v>HL</v>
      </c>
      <c r="S353" s="42" t="str">
        <f t="shared" si="187"/>
        <v>HW</v>
      </c>
      <c r="T353" s="42" t="str">
        <f t="shared" si="188"/>
        <v>TT</v>
      </c>
      <c r="U353" s="42" t="str">
        <f t="shared" si="189"/>
        <v>U</v>
      </c>
      <c r="V353" s="42" t="str">
        <f t="shared" si="190"/>
        <v>U</v>
      </c>
      <c r="W353" s="42" t="str">
        <f t="shared" si="191"/>
        <v>U</v>
      </c>
      <c r="X353" s="42" t="str">
        <f t="shared" si="192"/>
        <v>O</v>
      </c>
      <c r="Z353" s="42">
        <v>59</v>
      </c>
      <c r="AB353" s="42" t="str">
        <f t="shared" si="193"/>
        <v>CHA/WAS</v>
      </c>
      <c r="AC353" s="42">
        <f t="shared" si="194"/>
        <v>1</v>
      </c>
      <c r="AD353" s="42">
        <f t="shared" si="195"/>
        <v>3</v>
      </c>
    </row>
    <row r="354" spans="1:30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 s="42">
        <v>36</v>
      </c>
      <c r="F354" s="42">
        <v>30</v>
      </c>
      <c r="G354" s="42">
        <v>27</v>
      </c>
      <c r="H354" s="42">
        <v>24</v>
      </c>
      <c r="I354" s="42">
        <v>18</v>
      </c>
      <c r="J354" s="42">
        <v>30</v>
      </c>
      <c r="K354" s="42">
        <v>34</v>
      </c>
      <c r="L354" s="42">
        <v>32</v>
      </c>
      <c r="M354" s="42">
        <v>21</v>
      </c>
      <c r="N354" s="42">
        <v>4</v>
      </c>
      <c r="O354" s="42">
        <f t="shared" si="183"/>
        <v>135</v>
      </c>
      <c r="P354" s="42">
        <f t="shared" si="184"/>
        <v>121</v>
      </c>
      <c r="Q354" s="42" t="str">
        <f t="shared" si="185"/>
        <v>HW</v>
      </c>
      <c r="R354" s="42" t="str">
        <f t="shared" si="186"/>
        <v>HL</v>
      </c>
      <c r="S354" s="42" t="str">
        <f t="shared" si="187"/>
        <v>HL</v>
      </c>
      <c r="T354" s="42" t="str">
        <f t="shared" si="188"/>
        <v>HW</v>
      </c>
      <c r="U354" s="42" t="str">
        <f t="shared" si="189"/>
        <v>O</v>
      </c>
      <c r="V354" s="42" t="str">
        <f t="shared" si="190"/>
        <v>O</v>
      </c>
      <c r="W354" s="42" t="str">
        <f t="shared" si="191"/>
        <v>O</v>
      </c>
      <c r="X354" s="42" t="str">
        <f t="shared" si="192"/>
        <v>U</v>
      </c>
      <c r="Z354" s="42">
        <v>56.5</v>
      </c>
      <c r="AB354" s="42" t="str">
        <f t="shared" si="193"/>
        <v>MIA/ATL</v>
      </c>
      <c r="AC354" s="42">
        <f t="shared" si="194"/>
        <v>3</v>
      </c>
      <c r="AD354" s="42">
        <f t="shared" si="195"/>
        <v>1</v>
      </c>
    </row>
    <row r="355" spans="1:30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 s="42">
        <v>26</v>
      </c>
      <c r="F355" s="42">
        <v>29</v>
      </c>
      <c r="G355" s="42">
        <v>28</v>
      </c>
      <c r="H355" s="42">
        <v>14</v>
      </c>
      <c r="I355" s="42"/>
      <c r="J355" s="42">
        <v>27</v>
      </c>
      <c r="K355" s="42">
        <v>23</v>
      </c>
      <c r="L355" s="42">
        <v>26</v>
      </c>
      <c r="M355" s="42">
        <v>16</v>
      </c>
      <c r="N355" s="42" t="s">
        <v>427</v>
      </c>
      <c r="O355" s="42">
        <f t="shared" si="183"/>
        <v>97</v>
      </c>
      <c r="P355" s="42">
        <f t="shared" si="184"/>
        <v>92</v>
      </c>
      <c r="Q355" s="42" t="str">
        <f t="shared" si="185"/>
        <v>HL</v>
      </c>
      <c r="R355" s="42" t="str">
        <f t="shared" si="186"/>
        <v>HW</v>
      </c>
      <c r="S355" s="42" t="str">
        <f t="shared" si="187"/>
        <v>HW</v>
      </c>
      <c r="T355" s="42" t="str">
        <f t="shared" si="188"/>
        <v>HL</v>
      </c>
      <c r="U355" s="42" t="str">
        <f t="shared" si="189"/>
        <v>U</v>
      </c>
      <c r="V355" s="42" t="str">
        <f t="shared" si="190"/>
        <v>U</v>
      </c>
      <c r="W355" s="42" t="str">
        <f t="shared" si="191"/>
        <v>O</v>
      </c>
      <c r="X355" s="42" t="str">
        <f t="shared" si="192"/>
        <v>U</v>
      </c>
      <c r="Z355" s="42">
        <v>53.5</v>
      </c>
      <c r="AB355" s="42" t="str">
        <f t="shared" si="193"/>
        <v>PHI/DEN</v>
      </c>
      <c r="AC355" s="42">
        <f t="shared" si="194"/>
        <v>1</v>
      </c>
      <c r="AD355" s="42">
        <f t="shared" si="195"/>
        <v>3</v>
      </c>
    </row>
    <row r="356" spans="1:30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 s="42">
        <v>32</v>
      </c>
      <c r="F356" s="42">
        <v>28</v>
      </c>
      <c r="G356" s="42">
        <v>26</v>
      </c>
      <c r="H356" s="42">
        <v>29</v>
      </c>
      <c r="I356" s="42"/>
      <c r="J356" s="42">
        <v>22</v>
      </c>
      <c r="K356" s="42">
        <v>19</v>
      </c>
      <c r="L356" s="42">
        <v>18</v>
      </c>
      <c r="M356" s="42">
        <v>28</v>
      </c>
      <c r="N356" s="42" t="s">
        <v>427</v>
      </c>
      <c r="O356" s="42">
        <f t="shared" si="183"/>
        <v>115</v>
      </c>
      <c r="P356" s="42">
        <f t="shared" si="184"/>
        <v>87</v>
      </c>
      <c r="Q356" s="42" t="str">
        <f t="shared" si="185"/>
        <v>HW</v>
      </c>
      <c r="R356" s="42" t="str">
        <f t="shared" si="186"/>
        <v>HW</v>
      </c>
      <c r="S356" s="42" t="str">
        <f t="shared" si="187"/>
        <v>HW</v>
      </c>
      <c r="T356" s="42" t="str">
        <f t="shared" si="188"/>
        <v>HW</v>
      </c>
      <c r="U356" s="42" t="str">
        <f t="shared" si="189"/>
        <v>U</v>
      </c>
      <c r="V356" s="42" t="str">
        <f t="shared" si="190"/>
        <v>U</v>
      </c>
      <c r="W356" s="42" t="str">
        <f t="shared" si="191"/>
        <v>U</v>
      </c>
      <c r="X356" s="42" t="str">
        <f t="shared" si="192"/>
        <v>T</v>
      </c>
      <c r="Z356" s="42">
        <v>57</v>
      </c>
      <c r="AB356" s="42" t="str">
        <f t="shared" si="193"/>
        <v>POR/NYK</v>
      </c>
      <c r="AC356" s="42">
        <f t="shared" si="194"/>
        <v>0</v>
      </c>
      <c r="AD356" s="42">
        <f t="shared" si="195"/>
        <v>3</v>
      </c>
    </row>
    <row r="357" spans="1:30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 s="42">
        <v>29</v>
      </c>
      <c r="F357" s="42">
        <v>28</v>
      </c>
      <c r="G357" s="42">
        <v>25</v>
      </c>
      <c r="H357" s="42">
        <v>28</v>
      </c>
      <c r="I357" s="42"/>
      <c r="J357" s="42">
        <v>35</v>
      </c>
      <c r="K357" s="42">
        <v>29</v>
      </c>
      <c r="L357" s="42">
        <v>24</v>
      </c>
      <c r="M357" s="42">
        <v>28</v>
      </c>
      <c r="N357" s="42" t="s">
        <v>427</v>
      </c>
      <c r="O357" s="42">
        <f t="shared" si="183"/>
        <v>110</v>
      </c>
      <c r="P357" s="42">
        <f t="shared" si="184"/>
        <v>116</v>
      </c>
      <c r="Q357" s="42" t="str">
        <f t="shared" si="185"/>
        <v>HL</v>
      </c>
      <c r="R357" s="42" t="str">
        <f t="shared" si="186"/>
        <v>HL</v>
      </c>
      <c r="S357" s="42" t="str">
        <f t="shared" si="187"/>
        <v>HW</v>
      </c>
      <c r="T357" s="42" t="str">
        <f t="shared" si="188"/>
        <v>TT</v>
      </c>
      <c r="U357" s="42" t="str">
        <f t="shared" si="189"/>
        <v>O</v>
      </c>
      <c r="V357" s="42" t="str">
        <f t="shared" si="190"/>
        <v>U</v>
      </c>
      <c r="W357" s="42" t="str">
        <f t="shared" si="191"/>
        <v>U</v>
      </c>
      <c r="X357" s="42" t="str">
        <f t="shared" si="192"/>
        <v>U</v>
      </c>
      <c r="Z357" s="42">
        <v>59</v>
      </c>
      <c r="AB357" s="42" t="str">
        <f t="shared" si="193"/>
        <v>CLE/HOU</v>
      </c>
      <c r="AC357" s="42">
        <f t="shared" si="194"/>
        <v>1</v>
      </c>
      <c r="AD357" s="42">
        <f t="shared" si="195"/>
        <v>3</v>
      </c>
    </row>
    <row r="358" spans="1:30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 s="42">
        <v>30</v>
      </c>
      <c r="F358" s="42">
        <v>31</v>
      </c>
      <c r="G358" s="42">
        <v>23</v>
      </c>
      <c r="H358" s="42">
        <v>38</v>
      </c>
      <c r="I358" s="42"/>
      <c r="J358" s="42">
        <v>32</v>
      </c>
      <c r="K358" s="42">
        <v>25</v>
      </c>
      <c r="L358" s="42">
        <v>37</v>
      </c>
      <c r="M358" s="42">
        <v>23</v>
      </c>
      <c r="N358" s="42" t="s">
        <v>427</v>
      </c>
      <c r="O358" s="42">
        <f t="shared" si="183"/>
        <v>122</v>
      </c>
      <c r="P358" s="42">
        <f t="shared" si="184"/>
        <v>117</v>
      </c>
      <c r="Q358" s="42" t="str">
        <f t="shared" si="185"/>
        <v>HL</v>
      </c>
      <c r="R358" s="42" t="str">
        <f t="shared" si="186"/>
        <v>HW</v>
      </c>
      <c r="S358" s="42" t="str">
        <f t="shared" si="187"/>
        <v>HL</v>
      </c>
      <c r="T358" s="42" t="str">
        <f t="shared" si="188"/>
        <v>HW</v>
      </c>
      <c r="U358" s="42" t="str">
        <f t="shared" si="189"/>
        <v>O</v>
      </c>
      <c r="V358" s="42" t="str">
        <f t="shared" si="190"/>
        <v>O</v>
      </c>
      <c r="W358" s="42" t="str">
        <f t="shared" si="191"/>
        <v>O</v>
      </c>
      <c r="X358" s="42" t="str">
        <f t="shared" si="192"/>
        <v>O</v>
      </c>
      <c r="Z358" s="42">
        <v>51.5</v>
      </c>
      <c r="AB358" s="42" t="str">
        <f t="shared" si="193"/>
        <v>IND/BOS</v>
      </c>
      <c r="AC358" s="42">
        <f t="shared" si="194"/>
        <v>4</v>
      </c>
      <c r="AD358" s="42">
        <f t="shared" si="195"/>
        <v>0</v>
      </c>
    </row>
    <row r="359" spans="1:30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 s="42">
        <v>9</v>
      </c>
      <c r="F359" s="42">
        <v>29</v>
      </c>
      <c r="G359" s="42">
        <v>27</v>
      </c>
      <c r="H359" s="42">
        <v>22</v>
      </c>
      <c r="I359" s="42"/>
      <c r="J359" s="42">
        <v>26</v>
      </c>
      <c r="K359" s="42">
        <v>25</v>
      </c>
      <c r="L359" s="42">
        <v>18</v>
      </c>
      <c r="M359" s="42">
        <v>27</v>
      </c>
      <c r="N359" s="42" t="s">
        <v>427</v>
      </c>
      <c r="O359" s="42">
        <f t="shared" si="183"/>
        <v>87</v>
      </c>
      <c r="P359" s="42">
        <f t="shared" si="184"/>
        <v>96</v>
      </c>
      <c r="Q359" s="42" t="str">
        <f t="shared" si="185"/>
        <v>HL</v>
      </c>
      <c r="R359" s="42" t="str">
        <f t="shared" si="186"/>
        <v>HW</v>
      </c>
      <c r="S359" s="42" t="str">
        <f t="shared" si="187"/>
        <v>HW</v>
      </c>
      <c r="T359" s="42" t="str">
        <f t="shared" si="188"/>
        <v>HL</v>
      </c>
      <c r="U359" s="42" t="str">
        <f t="shared" si="189"/>
        <v>U</v>
      </c>
      <c r="V359" s="42" t="str">
        <f t="shared" si="190"/>
        <v>U</v>
      </c>
      <c r="W359" s="42" t="str">
        <f t="shared" si="191"/>
        <v>U</v>
      </c>
      <c r="X359" s="42" t="str">
        <f t="shared" si="192"/>
        <v>U</v>
      </c>
      <c r="Z359" s="42">
        <v>55</v>
      </c>
      <c r="AB359" s="42" t="str">
        <f t="shared" si="193"/>
        <v>ORL/LAL</v>
      </c>
      <c r="AC359" s="42">
        <f t="shared" si="194"/>
        <v>0</v>
      </c>
      <c r="AD359" s="42">
        <f t="shared" si="195"/>
        <v>4</v>
      </c>
    </row>
    <row r="360" spans="1:30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 s="42">
        <v>32</v>
      </c>
      <c r="F360" s="42">
        <v>14</v>
      </c>
      <c r="G360" s="42">
        <v>25</v>
      </c>
      <c r="H360" s="42">
        <v>21</v>
      </c>
      <c r="I360" s="42"/>
      <c r="J360" s="42">
        <v>27</v>
      </c>
      <c r="K360" s="42">
        <v>37</v>
      </c>
      <c r="L360" s="42">
        <v>24</v>
      </c>
      <c r="M360" s="42">
        <v>24</v>
      </c>
      <c r="N360" s="42" t="s">
        <v>427</v>
      </c>
      <c r="O360" s="42">
        <f t="shared" si="183"/>
        <v>92</v>
      </c>
      <c r="P360" s="42">
        <f t="shared" si="184"/>
        <v>112</v>
      </c>
      <c r="Q360" s="42" t="str">
        <f t="shared" si="185"/>
        <v>HW</v>
      </c>
      <c r="R360" s="42" t="str">
        <f t="shared" si="186"/>
        <v>HL</v>
      </c>
      <c r="S360" s="42" t="str">
        <f t="shared" si="187"/>
        <v>HW</v>
      </c>
      <c r="T360" s="42" t="str">
        <f t="shared" si="188"/>
        <v>HL</v>
      </c>
      <c r="U360" s="42" t="str">
        <f t="shared" si="189"/>
        <v>O</v>
      </c>
      <c r="V360" s="42" t="str">
        <f t="shared" si="190"/>
        <v>U</v>
      </c>
      <c r="W360" s="42" t="str">
        <f t="shared" si="191"/>
        <v>U</v>
      </c>
      <c r="X360" s="42" t="str">
        <f t="shared" si="192"/>
        <v>U</v>
      </c>
      <c r="Z360" s="42">
        <v>57</v>
      </c>
      <c r="AB360" s="42" t="str">
        <f t="shared" si="193"/>
        <v>TOR/LAC</v>
      </c>
      <c r="AC360" s="42">
        <f t="shared" si="194"/>
        <v>1</v>
      </c>
      <c r="AD360" s="42">
        <f t="shared" si="195"/>
        <v>3</v>
      </c>
    </row>
    <row r="361" spans="1:30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 s="42">
        <v>34</v>
      </c>
      <c r="F361" s="42">
        <v>30</v>
      </c>
      <c r="G361" s="42">
        <v>22</v>
      </c>
      <c r="H361" s="42">
        <v>22</v>
      </c>
      <c r="I361" s="42"/>
      <c r="J361" s="42">
        <v>26</v>
      </c>
      <c r="K361" s="42">
        <v>27</v>
      </c>
      <c r="L361" s="42">
        <v>31</v>
      </c>
      <c r="M361" s="42">
        <v>29</v>
      </c>
      <c r="N361" s="42" t="s">
        <v>427</v>
      </c>
      <c r="O361" s="42">
        <f t="shared" si="183"/>
        <v>108</v>
      </c>
      <c r="P361" s="42">
        <f t="shared" si="184"/>
        <v>113</v>
      </c>
      <c r="Q361" s="42" t="str">
        <f t="shared" si="185"/>
        <v>HW</v>
      </c>
      <c r="R361" s="42" t="str">
        <f t="shared" si="186"/>
        <v>HW</v>
      </c>
      <c r="S361" s="42" t="str">
        <f t="shared" si="187"/>
        <v>HL</v>
      </c>
      <c r="T361" s="42" t="str">
        <f t="shared" si="188"/>
        <v>HL</v>
      </c>
      <c r="U361" s="42" t="str">
        <f t="shared" si="189"/>
        <v>O</v>
      </c>
      <c r="V361" s="42" t="str">
        <f t="shared" si="190"/>
        <v>O</v>
      </c>
      <c r="W361" s="42" t="str">
        <f t="shared" si="191"/>
        <v>U</v>
      </c>
      <c r="X361" s="42" t="str">
        <f t="shared" si="192"/>
        <v>U</v>
      </c>
      <c r="Z361" s="42">
        <v>55.5</v>
      </c>
      <c r="AB361" s="42" t="str">
        <f t="shared" si="193"/>
        <v>BKN/CHA</v>
      </c>
      <c r="AC361" s="42">
        <f t="shared" si="194"/>
        <v>2</v>
      </c>
      <c r="AD361" s="42">
        <f t="shared" si="195"/>
        <v>2</v>
      </c>
    </row>
    <row r="362" spans="1:30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 s="42">
        <v>37</v>
      </c>
      <c r="F362" s="42">
        <v>29</v>
      </c>
      <c r="G362" s="42">
        <v>40</v>
      </c>
      <c r="H362" s="42">
        <v>30</v>
      </c>
      <c r="I362" s="42"/>
      <c r="J362" s="42">
        <v>33</v>
      </c>
      <c r="K362" s="42">
        <v>19</v>
      </c>
      <c r="L362" s="42">
        <v>35</v>
      </c>
      <c r="M362" s="42">
        <v>15</v>
      </c>
      <c r="N362" s="42" t="s">
        <v>427</v>
      </c>
      <c r="O362" s="42">
        <f t="shared" si="183"/>
        <v>136</v>
      </c>
      <c r="P362" s="42">
        <f t="shared" si="184"/>
        <v>102</v>
      </c>
      <c r="Q362" s="42" t="str">
        <f t="shared" si="185"/>
        <v>HW</v>
      </c>
      <c r="R362" s="42" t="str">
        <f t="shared" si="186"/>
        <v>HW</v>
      </c>
      <c r="S362" s="42" t="str">
        <f t="shared" si="187"/>
        <v>HW</v>
      </c>
      <c r="T362" s="42" t="str">
        <f t="shared" si="188"/>
        <v>HW</v>
      </c>
      <c r="U362" s="42" t="str">
        <f t="shared" si="189"/>
        <v>O</v>
      </c>
      <c r="V362" s="42" t="str">
        <f t="shared" si="190"/>
        <v>U</v>
      </c>
      <c r="W362" s="42" t="str">
        <f t="shared" si="191"/>
        <v>O</v>
      </c>
      <c r="X362" s="42" t="str">
        <f t="shared" si="192"/>
        <v>U</v>
      </c>
      <c r="Z362" s="42">
        <v>57</v>
      </c>
      <c r="AB362" s="42" t="str">
        <f t="shared" si="193"/>
        <v>CHI/ATL</v>
      </c>
      <c r="AC362" s="42">
        <f t="shared" si="194"/>
        <v>2</v>
      </c>
      <c r="AD362" s="42">
        <f t="shared" si="195"/>
        <v>2</v>
      </c>
    </row>
    <row r="363" spans="1:30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 s="42">
        <v>23</v>
      </c>
      <c r="F363" s="42">
        <v>36</v>
      </c>
      <c r="G363" s="42">
        <v>24</v>
      </c>
      <c r="H363" s="42">
        <v>33</v>
      </c>
      <c r="I363" s="42"/>
      <c r="J363" s="42">
        <v>25</v>
      </c>
      <c r="K363" s="42">
        <v>34</v>
      </c>
      <c r="L363" s="42">
        <v>38</v>
      </c>
      <c r="M363" s="42">
        <v>30</v>
      </c>
      <c r="N363" s="42" t="s">
        <v>427</v>
      </c>
      <c r="O363" s="42">
        <f t="shared" si="183"/>
        <v>116</v>
      </c>
      <c r="P363" s="42">
        <f t="shared" si="184"/>
        <v>127</v>
      </c>
      <c r="Q363" s="42" t="str">
        <f t="shared" si="185"/>
        <v>HL</v>
      </c>
      <c r="R363" s="42" t="str">
        <f t="shared" si="186"/>
        <v>HW</v>
      </c>
      <c r="S363" s="42" t="str">
        <f t="shared" si="187"/>
        <v>HL</v>
      </c>
      <c r="T363" s="42" t="str">
        <f t="shared" si="188"/>
        <v>HW</v>
      </c>
      <c r="U363" s="42" t="str">
        <f t="shared" si="189"/>
        <v>U</v>
      </c>
      <c r="V363" s="42" t="str">
        <f t="shared" si="190"/>
        <v>O</v>
      </c>
      <c r="W363" s="42" t="str">
        <f t="shared" si="191"/>
        <v>O</v>
      </c>
      <c r="X363" s="42" t="str">
        <f t="shared" si="192"/>
        <v>O</v>
      </c>
      <c r="Z363" s="42">
        <v>54</v>
      </c>
      <c r="AB363" s="42" t="str">
        <f t="shared" si="193"/>
        <v>MIN/UTA</v>
      </c>
      <c r="AC363" s="42">
        <f t="shared" si="194"/>
        <v>3</v>
      </c>
      <c r="AD363" s="42">
        <f t="shared" si="195"/>
        <v>1</v>
      </c>
    </row>
    <row r="364" spans="1:30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 s="42">
        <v>19</v>
      </c>
      <c r="F364" s="42">
        <v>32</v>
      </c>
      <c r="G364" s="42">
        <v>28</v>
      </c>
      <c r="H364" s="42">
        <v>29</v>
      </c>
      <c r="I364" s="42"/>
      <c r="J364" s="42">
        <v>27</v>
      </c>
      <c r="K364" s="42">
        <v>24</v>
      </c>
      <c r="L364" s="42">
        <v>33</v>
      </c>
      <c r="M364" s="42">
        <v>31</v>
      </c>
      <c r="N364" s="42" t="s">
        <v>427</v>
      </c>
      <c r="O364" s="42">
        <f t="shared" si="183"/>
        <v>108</v>
      </c>
      <c r="P364" s="42">
        <f t="shared" si="184"/>
        <v>115</v>
      </c>
      <c r="Q364" s="42" t="str">
        <f t="shared" si="185"/>
        <v>HL</v>
      </c>
      <c r="R364" s="42" t="str">
        <f t="shared" si="186"/>
        <v>HW</v>
      </c>
      <c r="S364" s="42" t="str">
        <f t="shared" si="187"/>
        <v>HL</v>
      </c>
      <c r="T364" s="42" t="str">
        <f t="shared" si="188"/>
        <v>HL</v>
      </c>
      <c r="U364" s="42" t="str">
        <f t="shared" si="189"/>
        <v>U</v>
      </c>
      <c r="V364" s="42" t="str">
        <f t="shared" si="190"/>
        <v>U</v>
      </c>
      <c r="W364" s="42" t="str">
        <f t="shared" si="191"/>
        <v>O</v>
      </c>
      <c r="X364" s="42" t="str">
        <f t="shared" si="192"/>
        <v>O</v>
      </c>
      <c r="Z364" s="42">
        <v>57</v>
      </c>
      <c r="AB364" s="42" t="str">
        <f t="shared" si="193"/>
        <v>PHO/MEM</v>
      </c>
      <c r="AC364" s="42">
        <f t="shared" si="194"/>
        <v>2</v>
      </c>
      <c r="AD364" s="42">
        <f t="shared" si="195"/>
        <v>2</v>
      </c>
    </row>
    <row r="365" spans="1:30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 s="42">
        <v>35</v>
      </c>
      <c r="F365" s="42">
        <v>34</v>
      </c>
      <c r="G365" s="42">
        <v>36</v>
      </c>
      <c r="H365" s="42">
        <v>22</v>
      </c>
      <c r="I365" s="42"/>
      <c r="J365" s="42">
        <v>20</v>
      </c>
      <c r="K365" s="42">
        <v>26</v>
      </c>
      <c r="L365" s="42">
        <v>40</v>
      </c>
      <c r="M365" s="42">
        <v>26</v>
      </c>
      <c r="N365" s="42" t="s">
        <v>427</v>
      </c>
      <c r="O365" s="42">
        <f t="shared" si="183"/>
        <v>127</v>
      </c>
      <c r="P365" s="42">
        <f t="shared" si="184"/>
        <v>112</v>
      </c>
      <c r="Q365" s="42" t="str">
        <f t="shared" si="185"/>
        <v>HW</v>
      </c>
      <c r="R365" s="42" t="str">
        <f t="shared" si="186"/>
        <v>HW</v>
      </c>
      <c r="S365" s="42" t="str">
        <f t="shared" si="187"/>
        <v>HL</v>
      </c>
      <c r="T365" s="42" t="str">
        <f t="shared" si="188"/>
        <v>HL</v>
      </c>
      <c r="U365" s="42" t="str">
        <f t="shared" si="189"/>
        <v>U</v>
      </c>
      <c r="V365" s="42" t="str">
        <f t="shared" si="190"/>
        <v>T</v>
      </c>
      <c r="W365" s="42" t="str">
        <f t="shared" si="191"/>
        <v>O</v>
      </c>
      <c r="X365" s="42" t="str">
        <f t="shared" si="192"/>
        <v>U</v>
      </c>
      <c r="Z365" s="42">
        <v>60</v>
      </c>
      <c r="AB365" s="42" t="str">
        <f t="shared" si="193"/>
        <v>MIL/NO</v>
      </c>
      <c r="AC365" s="42">
        <f t="shared" si="194"/>
        <v>1</v>
      </c>
      <c r="AD365" s="42">
        <f t="shared" si="195"/>
        <v>2</v>
      </c>
    </row>
    <row r="366" spans="1:30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 s="42">
        <v>23</v>
      </c>
      <c r="F366" s="42">
        <v>15</v>
      </c>
      <c r="G366" s="42">
        <v>31</v>
      </c>
      <c r="H366" s="42">
        <v>25</v>
      </c>
      <c r="I366" s="42"/>
      <c r="J366" s="42">
        <v>18</v>
      </c>
      <c r="K366" s="42">
        <v>29</v>
      </c>
      <c r="L366" s="42">
        <v>24</v>
      </c>
      <c r="M366" s="42">
        <v>22</v>
      </c>
      <c r="N366" s="42" t="s">
        <v>427</v>
      </c>
      <c r="O366" s="42">
        <f t="shared" si="183"/>
        <v>94</v>
      </c>
      <c r="P366" s="42">
        <f t="shared" si="184"/>
        <v>93</v>
      </c>
      <c r="Q366" s="42" t="str">
        <f t="shared" si="185"/>
        <v>HW</v>
      </c>
      <c r="R366" s="42" t="str">
        <f t="shared" si="186"/>
        <v>HL</v>
      </c>
      <c r="S366" s="42" t="str">
        <f t="shared" si="187"/>
        <v>HW</v>
      </c>
      <c r="T366" s="42" t="str">
        <f t="shared" si="188"/>
        <v>HW</v>
      </c>
      <c r="U366" s="42" t="str">
        <f t="shared" si="189"/>
        <v>U</v>
      </c>
      <c r="V366" s="42" t="str">
        <f t="shared" si="190"/>
        <v>U</v>
      </c>
      <c r="W366" s="42" t="str">
        <f t="shared" si="191"/>
        <v>O</v>
      </c>
      <c r="X366" s="42" t="str">
        <f t="shared" si="192"/>
        <v>U</v>
      </c>
      <c r="Z366" s="42">
        <v>53.5</v>
      </c>
      <c r="AB366" s="42" t="str">
        <f t="shared" si="193"/>
        <v>SAC/OKC</v>
      </c>
      <c r="AC366" s="42">
        <f t="shared" si="194"/>
        <v>1</v>
      </c>
      <c r="AD366" s="42">
        <f t="shared" si="195"/>
        <v>3</v>
      </c>
    </row>
    <row r="367" spans="1:30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 s="42">
        <v>20</v>
      </c>
      <c r="F367" s="42">
        <v>30</v>
      </c>
      <c r="G367" s="42">
        <v>30</v>
      </c>
      <c r="H367" s="42">
        <v>32</v>
      </c>
      <c r="I367" s="42">
        <v>10</v>
      </c>
      <c r="J367" s="42">
        <v>30</v>
      </c>
      <c r="K367" s="42">
        <v>38</v>
      </c>
      <c r="L367" s="42">
        <v>19</v>
      </c>
      <c r="M367" s="42">
        <v>25</v>
      </c>
      <c r="N367" s="42">
        <v>12</v>
      </c>
      <c r="O367" s="42">
        <f t="shared" si="183"/>
        <v>122</v>
      </c>
      <c r="P367" s="42">
        <f t="shared" si="184"/>
        <v>124</v>
      </c>
      <c r="Q367" s="42" t="str">
        <f t="shared" si="185"/>
        <v>HL</v>
      </c>
      <c r="R367" s="42" t="str">
        <f t="shared" si="186"/>
        <v>HL</v>
      </c>
      <c r="S367" s="42" t="str">
        <f t="shared" si="187"/>
        <v>HW</v>
      </c>
      <c r="T367" s="42" t="str">
        <f t="shared" si="188"/>
        <v>HW</v>
      </c>
      <c r="U367" s="42" t="str">
        <f t="shared" si="189"/>
        <v>U</v>
      </c>
      <c r="V367" s="42" t="str">
        <f t="shared" si="190"/>
        <v>O</v>
      </c>
      <c r="W367" s="42" t="str">
        <f t="shared" si="191"/>
        <v>U</v>
      </c>
      <c r="X367" s="42" t="str">
        <f t="shared" si="192"/>
        <v>O</v>
      </c>
      <c r="Z367" s="42">
        <v>54</v>
      </c>
      <c r="AB367" s="42" t="str">
        <f t="shared" si="193"/>
        <v>GS/NYK</v>
      </c>
      <c r="AC367" s="42">
        <f t="shared" si="194"/>
        <v>2</v>
      </c>
      <c r="AD367" s="42">
        <f t="shared" si="195"/>
        <v>2</v>
      </c>
    </row>
    <row r="368" spans="1:30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 s="42">
        <v>34</v>
      </c>
      <c r="F368" s="42">
        <v>25</v>
      </c>
      <c r="G368" s="42">
        <v>21</v>
      </c>
      <c r="H368" s="42">
        <v>29</v>
      </c>
      <c r="I368" s="42"/>
      <c r="J368" s="42">
        <v>28</v>
      </c>
      <c r="K368" s="42">
        <v>28</v>
      </c>
      <c r="L368" s="42">
        <v>25</v>
      </c>
      <c r="M368" s="42">
        <v>34</v>
      </c>
      <c r="N368" s="42" t="s">
        <v>427</v>
      </c>
      <c r="O368" s="42">
        <f t="shared" si="183"/>
        <v>109</v>
      </c>
      <c r="P368" s="42">
        <f t="shared" si="184"/>
        <v>115</v>
      </c>
      <c r="Q368" s="42" t="str">
        <f t="shared" si="185"/>
        <v>HW</v>
      </c>
      <c r="R368" s="42" t="str">
        <f t="shared" si="186"/>
        <v>HL</v>
      </c>
      <c r="S368" s="42" t="str">
        <f t="shared" si="187"/>
        <v>HL</v>
      </c>
      <c r="T368" s="42" t="str">
        <f t="shared" si="188"/>
        <v>HL</v>
      </c>
      <c r="U368" s="42" t="str">
        <f t="shared" si="189"/>
        <v>O</v>
      </c>
      <c r="V368" s="42" t="str">
        <f t="shared" si="190"/>
        <v>O</v>
      </c>
      <c r="W368" s="42" t="str">
        <f t="shared" si="191"/>
        <v>U</v>
      </c>
      <c r="X368" s="42" t="str">
        <f t="shared" si="192"/>
        <v>O</v>
      </c>
      <c r="Z368" s="42">
        <v>52</v>
      </c>
      <c r="AB368" s="42" t="str">
        <f t="shared" si="193"/>
        <v>BOS/PHI</v>
      </c>
      <c r="AC368" s="42">
        <f t="shared" si="194"/>
        <v>3</v>
      </c>
      <c r="AD368" s="42">
        <f t="shared" si="195"/>
        <v>1</v>
      </c>
    </row>
    <row r="369" spans="1:30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 s="42">
        <v>19</v>
      </c>
      <c r="F369" s="42">
        <v>24</v>
      </c>
      <c r="G369" s="42">
        <v>25</v>
      </c>
      <c r="H369" s="42">
        <v>35</v>
      </c>
      <c r="I369" s="42">
        <v>6</v>
      </c>
      <c r="J369" s="42">
        <v>28</v>
      </c>
      <c r="K369" s="42">
        <v>25</v>
      </c>
      <c r="L369" s="42">
        <v>25</v>
      </c>
      <c r="M369" s="42">
        <v>25</v>
      </c>
      <c r="N369" s="42">
        <v>14</v>
      </c>
      <c r="O369" s="42">
        <f t="shared" si="183"/>
        <v>109</v>
      </c>
      <c r="P369" s="42">
        <f t="shared" si="184"/>
        <v>117</v>
      </c>
      <c r="Q369" s="42" t="str">
        <f t="shared" si="185"/>
        <v>HL</v>
      </c>
      <c r="R369" s="42" t="str">
        <f t="shared" si="186"/>
        <v>HL</v>
      </c>
      <c r="S369" s="42" t="str">
        <f t="shared" si="187"/>
        <v>TT</v>
      </c>
      <c r="T369" s="42" t="str">
        <f t="shared" si="188"/>
        <v>HW</v>
      </c>
      <c r="U369" s="42" t="str">
        <f t="shared" si="189"/>
        <v>U</v>
      </c>
      <c r="V369" s="42" t="str">
        <f t="shared" si="190"/>
        <v>U</v>
      </c>
      <c r="W369" s="42" t="str">
        <f t="shared" si="191"/>
        <v>U</v>
      </c>
      <c r="X369" s="42" t="str">
        <f t="shared" si="192"/>
        <v>O</v>
      </c>
      <c r="Z369" s="42">
        <v>54</v>
      </c>
      <c r="AB369" s="42" t="str">
        <f t="shared" si="193"/>
        <v>SAS/CLE</v>
      </c>
      <c r="AC369" s="42">
        <f t="shared" si="194"/>
        <v>1</v>
      </c>
      <c r="AD369" s="42">
        <f t="shared" si="195"/>
        <v>3</v>
      </c>
    </row>
    <row r="370" spans="1:30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 s="42">
        <v>29</v>
      </c>
      <c r="F370" s="42">
        <v>29</v>
      </c>
      <c r="G370" s="42">
        <v>27</v>
      </c>
      <c r="H370" s="42">
        <v>26</v>
      </c>
      <c r="I370" s="42"/>
      <c r="J370" s="42">
        <v>34</v>
      </c>
      <c r="K370" s="42">
        <v>31</v>
      </c>
      <c r="L370" s="42">
        <v>30</v>
      </c>
      <c r="M370" s="42">
        <v>27</v>
      </c>
      <c r="N370" s="42" t="s">
        <v>427</v>
      </c>
      <c r="O370" s="42">
        <f t="shared" si="183"/>
        <v>111</v>
      </c>
      <c r="P370" s="42">
        <f t="shared" si="184"/>
        <v>122</v>
      </c>
      <c r="Q370" s="42" t="str">
        <f t="shared" si="185"/>
        <v>HL</v>
      </c>
      <c r="R370" s="42" t="str">
        <f t="shared" si="186"/>
        <v>HL</v>
      </c>
      <c r="S370" s="42" t="str">
        <f t="shared" si="187"/>
        <v>HL</v>
      </c>
      <c r="T370" s="42" t="str">
        <f t="shared" si="188"/>
        <v>HL</v>
      </c>
      <c r="U370" s="42" t="str">
        <f t="shared" si="189"/>
        <v>O</v>
      </c>
      <c r="V370" s="42" t="str">
        <f t="shared" si="190"/>
        <v>O</v>
      </c>
      <c r="W370" s="42" t="str">
        <f t="shared" si="191"/>
        <v>O</v>
      </c>
      <c r="X370" s="42" t="str">
        <f t="shared" si="192"/>
        <v>U</v>
      </c>
      <c r="Z370" s="42">
        <v>56.5</v>
      </c>
      <c r="AB370" s="42" t="str">
        <f t="shared" si="193"/>
        <v>DET/DAL</v>
      </c>
      <c r="AC370" s="42">
        <f t="shared" si="194"/>
        <v>3</v>
      </c>
      <c r="AD370" s="42">
        <f t="shared" si="195"/>
        <v>1</v>
      </c>
    </row>
    <row r="371" spans="1:30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 s="42">
        <v>33</v>
      </c>
      <c r="F371" s="42">
        <v>29</v>
      </c>
      <c r="G371" s="42">
        <v>27</v>
      </c>
      <c r="H371" s="42">
        <v>25</v>
      </c>
      <c r="I371" s="42"/>
      <c r="J371" s="42">
        <v>26</v>
      </c>
      <c r="K371" s="42">
        <v>27</v>
      </c>
      <c r="L371" s="42">
        <v>25</v>
      </c>
      <c r="M371" s="42">
        <v>21</v>
      </c>
      <c r="N371" s="42" t="s">
        <v>427</v>
      </c>
      <c r="O371" s="42">
        <f t="shared" si="183"/>
        <v>114</v>
      </c>
      <c r="P371" s="42">
        <f t="shared" si="184"/>
        <v>99</v>
      </c>
      <c r="Q371" s="42" t="str">
        <f t="shared" si="185"/>
        <v>HW</v>
      </c>
      <c r="R371" s="42" t="str">
        <f t="shared" si="186"/>
        <v>HW</v>
      </c>
      <c r="S371" s="42" t="str">
        <f t="shared" si="187"/>
        <v>HW</v>
      </c>
      <c r="T371" s="42" t="str">
        <f t="shared" si="188"/>
        <v>HW</v>
      </c>
      <c r="U371" s="42" t="str">
        <f t="shared" si="189"/>
        <v>O</v>
      </c>
      <c r="V371" s="42" t="str">
        <f t="shared" si="190"/>
        <v>O</v>
      </c>
      <c r="W371" s="42" t="str">
        <f t="shared" si="191"/>
        <v>U</v>
      </c>
      <c r="X371" s="42" t="str">
        <f t="shared" si="192"/>
        <v>U</v>
      </c>
      <c r="Z371" s="42">
        <v>54.5</v>
      </c>
      <c r="AB371" s="42" t="str">
        <f t="shared" si="193"/>
        <v>DEN/POR</v>
      </c>
      <c r="AC371" s="42">
        <f t="shared" si="194"/>
        <v>2</v>
      </c>
      <c r="AD371" s="42">
        <f t="shared" si="195"/>
        <v>2</v>
      </c>
    </row>
    <row r="372" spans="1:30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 s="42">
        <v>29</v>
      </c>
      <c r="F372" s="42">
        <v>30</v>
      </c>
      <c r="G372" s="42">
        <v>26</v>
      </c>
      <c r="H372" s="42">
        <v>25</v>
      </c>
      <c r="I372" s="42"/>
      <c r="J372" s="42">
        <v>30</v>
      </c>
      <c r="K372" s="42">
        <v>21</v>
      </c>
      <c r="L372" s="42">
        <v>37</v>
      </c>
      <c r="M372" s="42">
        <v>25</v>
      </c>
      <c r="N372" s="42" t="s">
        <v>427</v>
      </c>
      <c r="O372" s="42">
        <f t="shared" si="183"/>
        <v>110</v>
      </c>
      <c r="P372" s="42">
        <f t="shared" si="184"/>
        <v>113</v>
      </c>
      <c r="Q372" s="42" t="str">
        <f t="shared" si="185"/>
        <v>HL</v>
      </c>
      <c r="R372" s="42" t="str">
        <f t="shared" si="186"/>
        <v>HW</v>
      </c>
      <c r="S372" s="42" t="str">
        <f t="shared" si="187"/>
        <v>HL</v>
      </c>
      <c r="T372" s="42" t="str">
        <f t="shared" si="188"/>
        <v>TT</v>
      </c>
      <c r="U372" s="42" t="str">
        <f t="shared" si="189"/>
        <v>O</v>
      </c>
      <c r="V372" s="42" t="str">
        <f t="shared" si="190"/>
        <v>U</v>
      </c>
      <c r="W372" s="42" t="str">
        <f t="shared" si="191"/>
        <v>O</v>
      </c>
      <c r="X372" s="42" t="str">
        <f t="shared" si="192"/>
        <v>U</v>
      </c>
      <c r="Z372" s="42">
        <v>55</v>
      </c>
      <c r="AB372" s="42" t="str">
        <f t="shared" si="193"/>
        <v>MIA/LAL</v>
      </c>
      <c r="AC372" s="42">
        <f t="shared" si="194"/>
        <v>2</v>
      </c>
      <c r="AD372" s="42">
        <f t="shared" si="195"/>
        <v>2</v>
      </c>
    </row>
    <row r="373" spans="1:30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 s="42">
        <v>22</v>
      </c>
      <c r="F373" s="42">
        <v>33</v>
      </c>
      <c r="G373" s="42">
        <v>23</v>
      </c>
      <c r="H373" s="42">
        <v>29</v>
      </c>
      <c r="I373" s="42"/>
      <c r="J373" s="42">
        <v>28</v>
      </c>
      <c r="K373" s="42">
        <v>34</v>
      </c>
      <c r="L373" s="42">
        <v>34</v>
      </c>
      <c r="M373" s="42">
        <v>34</v>
      </c>
      <c r="N373" s="42" t="s">
        <v>427</v>
      </c>
      <c r="O373" s="42">
        <f t="shared" si="183"/>
        <v>107</v>
      </c>
      <c r="P373" s="42">
        <f t="shared" si="184"/>
        <v>130</v>
      </c>
      <c r="Q373" s="42" t="str">
        <f t="shared" si="185"/>
        <v>HL</v>
      </c>
      <c r="R373" s="42" t="str">
        <f t="shared" si="186"/>
        <v>HL</v>
      </c>
      <c r="S373" s="42" t="str">
        <f t="shared" si="187"/>
        <v>HL</v>
      </c>
      <c r="T373" s="42" t="str">
        <f t="shared" si="188"/>
        <v>HL</v>
      </c>
      <c r="U373" s="42" t="str">
        <f t="shared" si="189"/>
        <v>U</v>
      </c>
      <c r="V373" s="42" t="str">
        <f t="shared" si="190"/>
        <v>O</v>
      </c>
      <c r="W373" s="42" t="str">
        <f t="shared" si="191"/>
        <v>T</v>
      </c>
      <c r="X373" s="42" t="str">
        <f t="shared" si="192"/>
        <v>O</v>
      </c>
      <c r="Z373" s="42">
        <v>57</v>
      </c>
      <c r="AB373" s="42" t="str">
        <f t="shared" si="193"/>
        <v>ORL/HOU</v>
      </c>
      <c r="AC373" s="42">
        <f t="shared" si="194"/>
        <v>2</v>
      </c>
      <c r="AD373" s="42">
        <f t="shared" si="195"/>
        <v>1</v>
      </c>
    </row>
    <row r="374" spans="1:30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 s="42">
        <v>39</v>
      </c>
      <c r="F374" s="42">
        <v>23</v>
      </c>
      <c r="G374" s="42">
        <v>30</v>
      </c>
      <c r="H374" s="42">
        <v>24</v>
      </c>
      <c r="I374" s="42"/>
      <c r="J374" s="42">
        <v>25</v>
      </c>
      <c r="K374" s="42">
        <v>32</v>
      </c>
      <c r="L374" s="42">
        <v>25</v>
      </c>
      <c r="M374" s="42">
        <v>27</v>
      </c>
      <c r="N374" s="42" t="s">
        <v>427</v>
      </c>
      <c r="O374" s="42">
        <f t="shared" si="183"/>
        <v>116</v>
      </c>
      <c r="P374" s="42">
        <f t="shared" si="184"/>
        <v>109</v>
      </c>
      <c r="Q374" s="42" t="str">
        <f t="shared" si="185"/>
        <v>HW</v>
      </c>
      <c r="R374" s="42" t="str">
        <f t="shared" si="186"/>
        <v>HL</v>
      </c>
      <c r="S374" s="42" t="str">
        <f t="shared" si="187"/>
        <v>HW</v>
      </c>
      <c r="T374" s="42" t="str">
        <f t="shared" si="188"/>
        <v>HL</v>
      </c>
      <c r="U374" s="42" t="str">
        <f t="shared" si="189"/>
        <v>O</v>
      </c>
      <c r="V374" s="42" t="str">
        <f t="shared" si="190"/>
        <v>U</v>
      </c>
      <c r="W374" s="42" t="str">
        <f t="shared" si="191"/>
        <v>U</v>
      </c>
      <c r="X374" s="42" t="str">
        <f t="shared" si="192"/>
        <v>U</v>
      </c>
      <c r="Z374" s="42">
        <v>57.5</v>
      </c>
      <c r="AB374" s="42" t="str">
        <f t="shared" si="193"/>
        <v>PHI/NO</v>
      </c>
      <c r="AC374" s="42">
        <f t="shared" si="194"/>
        <v>1</v>
      </c>
      <c r="AD374" s="42">
        <f t="shared" si="195"/>
        <v>3</v>
      </c>
    </row>
    <row r="375" spans="1:30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 s="42">
        <v>22</v>
      </c>
      <c r="F375" s="42">
        <v>26</v>
      </c>
      <c r="G375" s="42">
        <v>35</v>
      </c>
      <c r="H375" s="42">
        <v>17</v>
      </c>
      <c r="I375" s="42"/>
      <c r="J375" s="42">
        <v>29</v>
      </c>
      <c r="K375" s="42">
        <v>34</v>
      </c>
      <c r="L375" s="42">
        <v>23</v>
      </c>
      <c r="M375" s="42">
        <v>24</v>
      </c>
      <c r="N375" s="42" t="s">
        <v>427</v>
      </c>
      <c r="O375" s="42">
        <f t="shared" si="183"/>
        <v>100</v>
      </c>
      <c r="P375" s="42">
        <f t="shared" si="184"/>
        <v>110</v>
      </c>
      <c r="Q375" s="42" t="str">
        <f t="shared" si="185"/>
        <v>HL</v>
      </c>
      <c r="R375" s="42" t="str">
        <f t="shared" si="186"/>
        <v>HL</v>
      </c>
      <c r="S375" s="42" t="str">
        <f t="shared" si="187"/>
        <v>HW</v>
      </c>
      <c r="T375" s="42" t="str">
        <f t="shared" si="188"/>
        <v>HL</v>
      </c>
      <c r="U375" s="42" t="str">
        <f t="shared" si="189"/>
        <v>U</v>
      </c>
      <c r="V375" s="42" t="str">
        <f t="shared" si="190"/>
        <v>O</v>
      </c>
      <c r="W375" s="42" t="str">
        <f t="shared" si="191"/>
        <v>O</v>
      </c>
      <c r="X375" s="42" t="str">
        <f t="shared" si="192"/>
        <v>U</v>
      </c>
      <c r="Z375" s="42">
        <v>57.5</v>
      </c>
      <c r="AB375" s="42" t="str">
        <f t="shared" si="193"/>
        <v>ATL/IND</v>
      </c>
      <c r="AC375" s="42">
        <f t="shared" si="194"/>
        <v>2</v>
      </c>
      <c r="AD375" s="42">
        <f t="shared" si="195"/>
        <v>2</v>
      </c>
    </row>
    <row r="376" spans="1:30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 s="42">
        <v>15</v>
      </c>
      <c r="F376" s="42">
        <v>25</v>
      </c>
      <c r="G376" s="42">
        <v>10</v>
      </c>
      <c r="H376" s="42">
        <v>23</v>
      </c>
      <c r="I376" s="42"/>
      <c r="J376" s="42">
        <v>24</v>
      </c>
      <c r="K376" s="42">
        <v>20</v>
      </c>
      <c r="L376" s="42">
        <v>15</v>
      </c>
      <c r="M376" s="42">
        <v>24</v>
      </c>
      <c r="N376" s="42" t="s">
        <v>427</v>
      </c>
      <c r="O376" s="42">
        <f t="shared" si="183"/>
        <v>73</v>
      </c>
      <c r="P376" s="42">
        <f t="shared" si="184"/>
        <v>83</v>
      </c>
      <c r="Q376" s="42" t="str">
        <f t="shared" si="185"/>
        <v>HL</v>
      </c>
      <c r="R376" s="42" t="str">
        <f t="shared" si="186"/>
        <v>HW</v>
      </c>
      <c r="S376" s="42" t="str">
        <f t="shared" si="187"/>
        <v>HL</v>
      </c>
      <c r="T376" s="42" t="str">
        <f t="shared" si="188"/>
        <v>HL</v>
      </c>
      <c r="U376" s="42" t="str">
        <f t="shared" si="189"/>
        <v>U</v>
      </c>
      <c r="V376" s="42" t="str">
        <f t="shared" si="190"/>
        <v>U</v>
      </c>
      <c r="W376" s="42" t="str">
        <f t="shared" si="191"/>
        <v>U</v>
      </c>
      <c r="X376" s="42" t="str">
        <f t="shared" si="192"/>
        <v>U</v>
      </c>
      <c r="Z376" s="42">
        <v>55</v>
      </c>
      <c r="AB376" s="42" t="str">
        <f t="shared" si="193"/>
        <v>CHI/CHA</v>
      </c>
      <c r="AC376" s="42">
        <f t="shared" si="194"/>
        <v>0</v>
      </c>
      <c r="AD376" s="42">
        <f t="shared" si="195"/>
        <v>4</v>
      </c>
    </row>
    <row r="377" spans="1:30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 s="42">
        <v>29</v>
      </c>
      <c r="F377" s="42">
        <v>33</v>
      </c>
      <c r="G377" s="42">
        <v>33</v>
      </c>
      <c r="H377" s="42">
        <v>19</v>
      </c>
      <c r="I377" s="42"/>
      <c r="J377" s="42">
        <v>35</v>
      </c>
      <c r="K377" s="42">
        <v>29</v>
      </c>
      <c r="L377" s="42">
        <v>26</v>
      </c>
      <c r="M377" s="42">
        <v>37</v>
      </c>
      <c r="N377" s="42" t="s">
        <v>427</v>
      </c>
      <c r="O377" s="42">
        <f t="shared" si="183"/>
        <v>114</v>
      </c>
      <c r="P377" s="42">
        <f t="shared" si="184"/>
        <v>127</v>
      </c>
      <c r="Q377" s="42" t="str">
        <f t="shared" si="185"/>
        <v>HL</v>
      </c>
      <c r="R377" s="42" t="str">
        <f t="shared" si="186"/>
        <v>HW</v>
      </c>
      <c r="S377" s="42" t="str">
        <f t="shared" si="187"/>
        <v>HW</v>
      </c>
      <c r="T377" s="42" t="str">
        <f t="shared" si="188"/>
        <v>HL</v>
      </c>
      <c r="U377" s="42" t="str">
        <f t="shared" si="189"/>
        <v>O</v>
      </c>
      <c r="V377" s="42" t="str">
        <f t="shared" si="190"/>
        <v>O</v>
      </c>
      <c r="W377" s="42" t="str">
        <f t="shared" si="191"/>
        <v>O</v>
      </c>
      <c r="X377" s="42" t="str">
        <f t="shared" si="192"/>
        <v>U</v>
      </c>
      <c r="Z377" s="42">
        <v>56.5</v>
      </c>
      <c r="AB377" s="42" t="str">
        <f t="shared" si="193"/>
        <v>MEM/MIL</v>
      </c>
      <c r="AC377" s="42">
        <f t="shared" si="194"/>
        <v>3</v>
      </c>
      <c r="AD377" s="42">
        <f t="shared" si="195"/>
        <v>1</v>
      </c>
    </row>
    <row r="378" spans="1:30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 s="42">
        <v>22</v>
      </c>
      <c r="F378" s="42">
        <v>27</v>
      </c>
      <c r="G378" s="42">
        <v>37</v>
      </c>
      <c r="H378" s="42">
        <v>28</v>
      </c>
      <c r="I378" s="42"/>
      <c r="J378" s="42">
        <v>29</v>
      </c>
      <c r="K378" s="42">
        <v>27</v>
      </c>
      <c r="L378" s="42">
        <v>28</v>
      </c>
      <c r="M378" s="42">
        <v>22</v>
      </c>
      <c r="N378" s="42" t="s">
        <v>427</v>
      </c>
      <c r="O378" s="42">
        <f t="shared" si="183"/>
        <v>114</v>
      </c>
      <c r="P378" s="42">
        <f t="shared" si="184"/>
        <v>106</v>
      </c>
      <c r="Q378" s="42" t="str">
        <f t="shared" si="185"/>
        <v>HL</v>
      </c>
      <c r="R378" s="42" t="str">
        <f t="shared" si="186"/>
        <v>TT</v>
      </c>
      <c r="S378" s="42" t="str">
        <f t="shared" si="187"/>
        <v>HW</v>
      </c>
      <c r="T378" s="42" t="str">
        <f t="shared" si="188"/>
        <v>HW</v>
      </c>
      <c r="U378" s="42" t="str">
        <f t="shared" si="189"/>
        <v>U</v>
      </c>
      <c r="V378" s="42" t="str">
        <f t="shared" si="190"/>
        <v>U</v>
      </c>
      <c r="W378" s="42" t="str">
        <f t="shared" si="191"/>
        <v>O</v>
      </c>
      <c r="X378" s="42" t="str">
        <f t="shared" si="192"/>
        <v>U</v>
      </c>
      <c r="Z378" s="42">
        <v>54.5</v>
      </c>
      <c r="AB378" s="42" t="str">
        <f t="shared" si="193"/>
        <v>UTA/GS</v>
      </c>
      <c r="AC378" s="42">
        <f t="shared" si="194"/>
        <v>1</v>
      </c>
      <c r="AD378" s="42">
        <f t="shared" si="195"/>
        <v>3</v>
      </c>
    </row>
    <row r="379" spans="1:30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 s="42">
        <v>29</v>
      </c>
      <c r="F379" s="42">
        <v>29</v>
      </c>
      <c r="G379" s="42">
        <v>23</v>
      </c>
      <c r="H379" s="42">
        <v>36</v>
      </c>
      <c r="I379" s="42"/>
      <c r="J379" s="42">
        <v>33</v>
      </c>
      <c r="K379" s="42">
        <v>32</v>
      </c>
      <c r="L379" s="42">
        <v>37</v>
      </c>
      <c r="M379" s="42">
        <v>22</v>
      </c>
      <c r="N379" s="42" t="s">
        <v>427</v>
      </c>
      <c r="O379" s="42">
        <f t="shared" si="183"/>
        <v>117</v>
      </c>
      <c r="P379" s="42">
        <f t="shared" si="184"/>
        <v>124</v>
      </c>
      <c r="Q379" s="42" t="str">
        <f t="shared" si="185"/>
        <v>HL</v>
      </c>
      <c r="R379" s="42" t="str">
        <f t="shared" si="186"/>
        <v>HL</v>
      </c>
      <c r="S379" s="42" t="str">
        <f t="shared" si="187"/>
        <v>HL</v>
      </c>
      <c r="T379" s="42" t="str">
        <f t="shared" si="188"/>
        <v>HW</v>
      </c>
      <c r="U379" s="42" t="str">
        <f t="shared" si="189"/>
        <v>O</v>
      </c>
      <c r="V379" s="42" t="str">
        <f t="shared" si="190"/>
        <v>O</v>
      </c>
      <c r="W379" s="42" t="str">
        <f t="shared" si="191"/>
        <v>O</v>
      </c>
      <c r="X379" s="42" t="str">
        <f t="shared" si="192"/>
        <v>U</v>
      </c>
      <c r="Z379" s="42">
        <v>59</v>
      </c>
      <c r="AB379" s="42" t="str">
        <f t="shared" si="193"/>
        <v>MIN/LAC</v>
      </c>
      <c r="AC379" s="42">
        <f t="shared" si="194"/>
        <v>3</v>
      </c>
      <c r="AD379" s="42">
        <f t="shared" si="195"/>
        <v>1</v>
      </c>
    </row>
    <row r="380" spans="1:30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 s="42">
        <v>32</v>
      </c>
      <c r="F380" s="42">
        <v>22</v>
      </c>
      <c r="G380" s="42">
        <v>26</v>
      </c>
      <c r="H380" s="42">
        <v>21</v>
      </c>
      <c r="I380" s="42"/>
      <c r="J380" s="42">
        <v>20</v>
      </c>
      <c r="K380" s="42">
        <v>25</v>
      </c>
      <c r="L380" s="42">
        <v>27</v>
      </c>
      <c r="M380" s="42">
        <v>31</v>
      </c>
      <c r="N380" s="42" t="s">
        <v>427</v>
      </c>
      <c r="O380" s="42">
        <f t="shared" si="183"/>
        <v>101</v>
      </c>
      <c r="P380" s="42">
        <f t="shared" si="184"/>
        <v>103</v>
      </c>
      <c r="Q380" s="42" t="str">
        <f t="shared" si="185"/>
        <v>HW</v>
      </c>
      <c r="R380" s="42" t="str">
        <f t="shared" si="186"/>
        <v>HL</v>
      </c>
      <c r="S380" s="42" t="str">
        <f t="shared" si="187"/>
        <v>HL</v>
      </c>
      <c r="T380" s="42" t="str">
        <f t="shared" si="188"/>
        <v>HL</v>
      </c>
      <c r="U380" s="42" t="str">
        <f t="shared" si="189"/>
        <v>U</v>
      </c>
      <c r="V380" s="42" t="str">
        <f t="shared" si="190"/>
        <v>U</v>
      </c>
      <c r="W380" s="42" t="str">
        <f t="shared" si="191"/>
        <v>U</v>
      </c>
      <c r="X380" s="42" t="str">
        <f t="shared" si="192"/>
        <v>U</v>
      </c>
      <c r="Z380" s="42">
        <v>54</v>
      </c>
      <c r="AB380" s="42" t="str">
        <f t="shared" si="193"/>
        <v>SAC/NYK</v>
      </c>
      <c r="AC380" s="42">
        <f t="shared" si="194"/>
        <v>0</v>
      </c>
      <c r="AD380" s="42">
        <f t="shared" si="195"/>
        <v>4</v>
      </c>
    </row>
    <row r="381" spans="1:30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 s="42">
        <v>18</v>
      </c>
      <c r="F381" s="42">
        <v>30</v>
      </c>
      <c r="G381" s="42">
        <v>32</v>
      </c>
      <c r="H381" s="42">
        <v>29</v>
      </c>
      <c r="I381" s="42">
        <v>10</v>
      </c>
      <c r="J381" s="42">
        <v>28</v>
      </c>
      <c r="K381" s="42">
        <v>16</v>
      </c>
      <c r="L381" s="42">
        <v>34</v>
      </c>
      <c r="M381" s="42">
        <v>31</v>
      </c>
      <c r="N381" s="42">
        <v>12</v>
      </c>
      <c r="O381" s="42">
        <f t="shared" si="183"/>
        <v>119</v>
      </c>
      <c r="P381" s="42">
        <f t="shared" si="184"/>
        <v>121</v>
      </c>
      <c r="Q381" s="42" t="str">
        <f t="shared" si="185"/>
        <v>HL</v>
      </c>
      <c r="R381" s="42" t="str">
        <f t="shared" si="186"/>
        <v>HW</v>
      </c>
      <c r="S381" s="42" t="str">
        <f t="shared" si="187"/>
        <v>HL</v>
      </c>
      <c r="T381" s="42" t="str">
        <f t="shared" si="188"/>
        <v>HL</v>
      </c>
      <c r="U381" s="42" t="str">
        <f t="shared" si="189"/>
        <v>U</v>
      </c>
      <c r="V381" s="42" t="str">
        <f t="shared" si="190"/>
        <v>U</v>
      </c>
      <c r="W381" s="42" t="str">
        <f t="shared" si="191"/>
        <v>O</v>
      </c>
      <c r="X381" s="42" t="str">
        <f t="shared" si="192"/>
        <v>O</v>
      </c>
      <c r="Z381" s="42">
        <v>53.5</v>
      </c>
      <c r="AB381" s="42" t="str">
        <f t="shared" si="193"/>
        <v>PHO/SAS</v>
      </c>
      <c r="AC381" s="42">
        <f t="shared" si="194"/>
        <v>2</v>
      </c>
      <c r="AD381" s="42">
        <f t="shared" si="195"/>
        <v>2</v>
      </c>
    </row>
    <row r="382" spans="1:30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 s="42">
        <v>38</v>
      </c>
      <c r="F382" s="42">
        <v>27</v>
      </c>
      <c r="G382" s="42">
        <v>25</v>
      </c>
      <c r="H382" s="42">
        <v>20</v>
      </c>
      <c r="I382" s="42"/>
      <c r="J382" s="42">
        <v>31</v>
      </c>
      <c r="K382" s="42">
        <v>29</v>
      </c>
      <c r="L382" s="42">
        <v>23</v>
      </c>
      <c r="M382" s="42">
        <v>19</v>
      </c>
      <c r="N382" s="42" t="s">
        <v>427</v>
      </c>
      <c r="O382" s="42">
        <f t="shared" si="183"/>
        <v>110</v>
      </c>
      <c r="P382" s="42">
        <f t="shared" si="184"/>
        <v>102</v>
      </c>
      <c r="Q382" s="42" t="str">
        <f t="shared" si="185"/>
        <v>HW</v>
      </c>
      <c r="R382" s="42" t="str">
        <f t="shared" si="186"/>
        <v>HL</v>
      </c>
      <c r="S382" s="42" t="str">
        <f t="shared" si="187"/>
        <v>HW</v>
      </c>
      <c r="T382" s="42" t="str">
        <f t="shared" si="188"/>
        <v>HW</v>
      </c>
      <c r="U382" s="42" t="str">
        <f t="shared" si="189"/>
        <v>O</v>
      </c>
      <c r="V382" s="42" t="str">
        <f t="shared" si="190"/>
        <v>O</v>
      </c>
      <c r="W382" s="42" t="str">
        <f t="shared" si="191"/>
        <v>U</v>
      </c>
      <c r="X382" s="42" t="str">
        <f t="shared" si="192"/>
        <v>U</v>
      </c>
      <c r="Z382" s="42">
        <v>53.5</v>
      </c>
      <c r="AB382" s="42" t="str">
        <f t="shared" si="193"/>
        <v>TOR/BKN</v>
      </c>
      <c r="AC382" s="42">
        <f t="shared" si="194"/>
        <v>2</v>
      </c>
      <c r="AD382" s="42">
        <f t="shared" si="195"/>
        <v>2</v>
      </c>
    </row>
    <row r="383" spans="1:30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 s="42">
        <v>24</v>
      </c>
      <c r="F383" s="42">
        <v>31</v>
      </c>
      <c r="G383" s="42">
        <v>29</v>
      </c>
      <c r="H383" s="42">
        <v>25</v>
      </c>
      <c r="I383" s="42"/>
      <c r="J383" s="42">
        <v>29</v>
      </c>
      <c r="K383" s="42">
        <v>28</v>
      </c>
      <c r="L383" s="42">
        <v>22</v>
      </c>
      <c r="M383" s="42">
        <v>27</v>
      </c>
      <c r="N383" s="42" t="s">
        <v>427</v>
      </c>
      <c r="O383" s="42">
        <f t="shared" si="183"/>
        <v>109</v>
      </c>
      <c r="P383" s="42">
        <f t="shared" si="184"/>
        <v>106</v>
      </c>
      <c r="Q383" s="42" t="str">
        <f t="shared" si="185"/>
        <v>HL</v>
      </c>
      <c r="R383" s="42" t="str">
        <f t="shared" si="186"/>
        <v>HW</v>
      </c>
      <c r="S383" s="42" t="str">
        <f t="shared" si="187"/>
        <v>HW</v>
      </c>
      <c r="T383" s="42" t="str">
        <f t="shared" si="188"/>
        <v>HL</v>
      </c>
      <c r="U383" s="42" t="str">
        <f t="shared" si="189"/>
        <v>U</v>
      </c>
      <c r="V383" s="42" t="str">
        <f t="shared" si="190"/>
        <v>O</v>
      </c>
      <c r="W383" s="42" t="str">
        <f t="shared" si="191"/>
        <v>U</v>
      </c>
      <c r="X383" s="42" t="str">
        <f t="shared" si="192"/>
        <v>U</v>
      </c>
      <c r="Z383" s="42">
        <v>55</v>
      </c>
      <c r="AB383" s="42" t="str">
        <f t="shared" si="193"/>
        <v>CHI/LAC</v>
      </c>
      <c r="AC383" s="42">
        <f t="shared" si="194"/>
        <v>1</v>
      </c>
      <c r="AD383" s="42">
        <f t="shared" si="195"/>
        <v>3</v>
      </c>
    </row>
    <row r="384" spans="1:30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 s="42">
        <v>35</v>
      </c>
      <c r="F384" s="42">
        <v>34</v>
      </c>
      <c r="G384" s="42">
        <v>35</v>
      </c>
      <c r="H384" s="42">
        <v>24</v>
      </c>
      <c r="I384" s="42"/>
      <c r="J384" s="42">
        <v>30</v>
      </c>
      <c r="K384" s="42">
        <v>24</v>
      </c>
      <c r="L384" s="42">
        <v>30</v>
      </c>
      <c r="M384" s="42">
        <v>27</v>
      </c>
      <c r="N384" s="42" t="s">
        <v>427</v>
      </c>
      <c r="O384" s="42">
        <f t="shared" si="183"/>
        <v>128</v>
      </c>
      <c r="P384" s="42">
        <f t="shared" si="184"/>
        <v>111</v>
      </c>
      <c r="Q384" s="42" t="str">
        <f t="shared" si="185"/>
        <v>HW</v>
      </c>
      <c r="R384" s="42" t="str">
        <f t="shared" si="186"/>
        <v>HW</v>
      </c>
      <c r="S384" s="42" t="str">
        <f t="shared" si="187"/>
        <v>HW</v>
      </c>
      <c r="T384" s="42" t="str">
        <f t="shared" si="188"/>
        <v>HL</v>
      </c>
      <c r="U384" s="42" t="str">
        <f t="shared" si="189"/>
        <v>O</v>
      </c>
      <c r="V384" s="42" t="str">
        <f t="shared" si="190"/>
        <v>U</v>
      </c>
      <c r="W384" s="42" t="str">
        <f t="shared" si="191"/>
        <v>O</v>
      </c>
      <c r="X384" s="42" t="str">
        <f t="shared" si="192"/>
        <v>U</v>
      </c>
      <c r="Z384" s="42">
        <v>60.5</v>
      </c>
      <c r="AB384" s="42" t="str">
        <f t="shared" si="193"/>
        <v>MEM/WAS</v>
      </c>
      <c r="AC384" s="42">
        <f t="shared" si="194"/>
        <v>2</v>
      </c>
      <c r="AD384" s="42">
        <f t="shared" si="195"/>
        <v>2</v>
      </c>
    </row>
    <row r="385" spans="1:30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 s="42">
        <v>23</v>
      </c>
      <c r="F385" s="42">
        <v>27</v>
      </c>
      <c r="G385" s="42">
        <v>31</v>
      </c>
      <c r="H385" s="42">
        <v>31</v>
      </c>
      <c r="I385" s="42">
        <v>6</v>
      </c>
      <c r="J385" s="42">
        <v>37</v>
      </c>
      <c r="K385" s="42">
        <v>36</v>
      </c>
      <c r="L385" s="42">
        <v>18</v>
      </c>
      <c r="M385" s="42">
        <v>21</v>
      </c>
      <c r="N385" s="42">
        <v>10</v>
      </c>
      <c r="O385" s="42">
        <f t="shared" ref="O385:O407" si="196">SUM(E385:I385)</f>
        <v>118</v>
      </c>
      <c r="P385" s="42">
        <f t="shared" ref="P385:P407" si="197">SUM(J385:N385)</f>
        <v>122</v>
      </c>
      <c r="Q385" s="42" t="str">
        <f t="shared" ref="Q385:Q407" si="198">IF(E385=J385,"TT",IF(E385&gt;J385,"HW","HL"))</f>
        <v>HL</v>
      </c>
      <c r="R385" s="42" t="str">
        <f t="shared" ref="R385:R407" si="199">IF(F385=K385,"TT",IF(F385&gt;K385,"HW","HL"))</f>
        <v>HL</v>
      </c>
      <c r="S385" s="42" t="str">
        <f t="shared" ref="S385:S407" si="200">IF(G385=L385,"TT",IF(G385&gt;L385,"HW","HL"))</f>
        <v>HW</v>
      </c>
      <c r="T385" s="42" t="str">
        <f t="shared" ref="T385:T407" si="201">IF(H385=M385,"TT",IF(H385&gt;M385,"HW","HL"))</f>
        <v>HW</v>
      </c>
      <c r="U385" s="42" t="str">
        <f t="shared" ref="U385:U407" si="202">IF(SUM(E385,J385)=$Z385,"T",IF(SUM(E385,J385)&gt;$Z385,"O","U"))</f>
        <v>O</v>
      </c>
      <c r="V385" s="42" t="str">
        <f t="shared" ref="V385:V407" si="203">IF(SUM(F385,K385)=$Z385,"T",IF(SUM(F385,K385)&gt;$Z385,"O","U"))</f>
        <v>O</v>
      </c>
      <c r="W385" s="42" t="str">
        <f t="shared" ref="W385:W407" si="204">IF(SUM(G385,L385)=$Z385,"T",IF(SUM(G385,L385)&gt;$Z385,"O","U"))</f>
        <v>U</v>
      </c>
      <c r="X385" s="42" t="str">
        <f t="shared" ref="X385:X407" si="205">IF(SUM(H385,M385)=$Z385,"T",IF(SUM(H385,M385)&gt;$Z385,"O","U"))</f>
        <v>U</v>
      </c>
      <c r="Z385" s="42">
        <v>56</v>
      </c>
      <c r="AB385" s="42" t="str">
        <f t="shared" ref="AB385:AB407" si="206">C385&amp;"/"&amp;D385</f>
        <v>DAL/MIA</v>
      </c>
      <c r="AC385" s="42">
        <f t="shared" ref="AC385:AC407" si="207">COUNTIF(U385:X385,"o")</f>
        <v>2</v>
      </c>
      <c r="AD385" s="42">
        <f t="shared" ref="AD385:AD407" si="208">COUNTIF(U385:X385,"u")</f>
        <v>2</v>
      </c>
    </row>
    <row r="386" spans="1:30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 s="42">
        <v>26</v>
      </c>
      <c r="F386" s="42">
        <v>43</v>
      </c>
      <c r="G386" s="42">
        <v>33</v>
      </c>
      <c r="H386" s="42">
        <v>23</v>
      </c>
      <c r="I386" s="42"/>
      <c r="J386" s="42">
        <v>20</v>
      </c>
      <c r="K386" s="42">
        <v>31</v>
      </c>
      <c r="L386" s="42">
        <v>28</v>
      </c>
      <c r="M386" s="42">
        <v>29</v>
      </c>
      <c r="N386" s="42" t="s">
        <v>427</v>
      </c>
      <c r="O386" s="42">
        <f t="shared" si="196"/>
        <v>125</v>
      </c>
      <c r="P386" s="42">
        <f t="shared" si="197"/>
        <v>108</v>
      </c>
      <c r="Q386" s="42" t="str">
        <f t="shared" si="198"/>
        <v>HW</v>
      </c>
      <c r="R386" s="42" t="str">
        <f t="shared" si="199"/>
        <v>HW</v>
      </c>
      <c r="S386" s="42" t="str">
        <f t="shared" si="200"/>
        <v>HW</v>
      </c>
      <c r="T386" s="42" t="str">
        <f t="shared" si="201"/>
        <v>HL</v>
      </c>
      <c r="U386" s="42" t="str">
        <f t="shared" si="202"/>
        <v>U</v>
      </c>
      <c r="V386" s="42" t="str">
        <f t="shared" si="203"/>
        <v>O</v>
      </c>
      <c r="W386" s="42" t="str">
        <f t="shared" si="204"/>
        <v>O</v>
      </c>
      <c r="X386" s="42" t="str">
        <f t="shared" si="205"/>
        <v>U</v>
      </c>
      <c r="Z386" s="42">
        <v>54.5</v>
      </c>
      <c r="AB386" s="42" t="str">
        <f t="shared" si="206"/>
        <v>MIL/CLE</v>
      </c>
      <c r="AC386" s="42">
        <f t="shared" si="207"/>
        <v>2</v>
      </c>
      <c r="AD386" s="42">
        <f t="shared" si="208"/>
        <v>2</v>
      </c>
    </row>
    <row r="387" spans="1:30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 s="42">
        <v>27</v>
      </c>
      <c r="F387" s="42">
        <v>25</v>
      </c>
      <c r="G387" s="42">
        <v>30</v>
      </c>
      <c r="H387" s="42">
        <v>28</v>
      </c>
      <c r="I387" s="42"/>
      <c r="J387" s="42">
        <v>20</v>
      </c>
      <c r="K387" s="42">
        <v>29</v>
      </c>
      <c r="L387" s="42">
        <v>19</v>
      </c>
      <c r="M387" s="42">
        <v>34</v>
      </c>
      <c r="N387" s="42" t="s">
        <v>427</v>
      </c>
      <c r="O387" s="42">
        <f t="shared" si="196"/>
        <v>110</v>
      </c>
      <c r="P387" s="42">
        <f t="shared" si="197"/>
        <v>102</v>
      </c>
      <c r="Q387" s="42" t="str">
        <f t="shared" si="198"/>
        <v>HW</v>
      </c>
      <c r="R387" s="42" t="str">
        <f t="shared" si="199"/>
        <v>HL</v>
      </c>
      <c r="S387" s="42" t="str">
        <f t="shared" si="200"/>
        <v>HW</v>
      </c>
      <c r="T387" s="42" t="str">
        <f t="shared" si="201"/>
        <v>HL</v>
      </c>
      <c r="U387" s="42" t="str">
        <f t="shared" si="202"/>
        <v>U</v>
      </c>
      <c r="V387" s="42" t="str">
        <f t="shared" si="203"/>
        <v>O</v>
      </c>
      <c r="W387" s="42" t="str">
        <f t="shared" si="204"/>
        <v>U</v>
      </c>
      <c r="X387" s="42" t="str">
        <f t="shared" si="205"/>
        <v>O</v>
      </c>
      <c r="Z387" s="42">
        <v>53</v>
      </c>
      <c r="AB387" s="42" t="str">
        <f t="shared" si="206"/>
        <v>DEN/OKC</v>
      </c>
      <c r="AC387" s="42">
        <f t="shared" si="207"/>
        <v>2</v>
      </c>
      <c r="AD387" s="42">
        <f t="shared" si="208"/>
        <v>2</v>
      </c>
    </row>
    <row r="388" spans="1:30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 s="42">
        <v>32</v>
      </c>
      <c r="F388" s="42">
        <v>20</v>
      </c>
      <c r="G388" s="42">
        <v>23</v>
      </c>
      <c r="H388" s="42">
        <v>32</v>
      </c>
      <c r="I388" s="42"/>
      <c r="J388" s="42">
        <v>30</v>
      </c>
      <c r="K388" s="42">
        <v>32</v>
      </c>
      <c r="L388" s="42">
        <v>26</v>
      </c>
      <c r="M388" s="42">
        <v>27</v>
      </c>
      <c r="N388" s="42" t="s">
        <v>427</v>
      </c>
      <c r="O388" s="42">
        <f t="shared" si="196"/>
        <v>107</v>
      </c>
      <c r="P388" s="42">
        <f t="shared" si="197"/>
        <v>115</v>
      </c>
      <c r="Q388" s="42" t="str">
        <f t="shared" si="198"/>
        <v>HW</v>
      </c>
      <c r="R388" s="42" t="str">
        <f t="shared" si="199"/>
        <v>HL</v>
      </c>
      <c r="S388" s="42" t="str">
        <f t="shared" si="200"/>
        <v>HL</v>
      </c>
      <c r="T388" s="42" t="str">
        <f t="shared" si="201"/>
        <v>HW</v>
      </c>
      <c r="U388" s="42" t="str">
        <f t="shared" si="202"/>
        <v>O</v>
      </c>
      <c r="V388" s="42" t="str">
        <f t="shared" si="203"/>
        <v>U</v>
      </c>
      <c r="W388" s="42" t="str">
        <f t="shared" si="204"/>
        <v>U</v>
      </c>
      <c r="X388" s="42" t="str">
        <f t="shared" si="205"/>
        <v>O</v>
      </c>
      <c r="Z388" s="42">
        <v>58.5</v>
      </c>
      <c r="AB388" s="42" t="str">
        <f t="shared" si="206"/>
        <v>HOU/DET</v>
      </c>
      <c r="AC388" s="42">
        <f t="shared" si="207"/>
        <v>2</v>
      </c>
      <c r="AD388" s="42">
        <f t="shared" si="208"/>
        <v>2</v>
      </c>
    </row>
    <row r="389" spans="1:30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 s="42">
        <v>30</v>
      </c>
      <c r="F389" s="42">
        <v>27</v>
      </c>
      <c r="G389" s="42">
        <v>27</v>
      </c>
      <c r="H389" s="42">
        <v>35</v>
      </c>
      <c r="I389" s="42"/>
      <c r="J389" s="42">
        <v>24</v>
      </c>
      <c r="K389" s="42">
        <v>34</v>
      </c>
      <c r="L389" s="42">
        <v>41</v>
      </c>
      <c r="M389" s="42">
        <v>31</v>
      </c>
      <c r="N389" s="42" t="s">
        <v>427</v>
      </c>
      <c r="O389" s="42">
        <f t="shared" si="196"/>
        <v>119</v>
      </c>
      <c r="P389" s="42">
        <f t="shared" si="197"/>
        <v>130</v>
      </c>
      <c r="Q389" s="42" t="str">
        <f t="shared" si="198"/>
        <v>HW</v>
      </c>
      <c r="R389" s="42" t="str">
        <f t="shared" si="199"/>
        <v>HL</v>
      </c>
      <c r="S389" s="42" t="str">
        <f t="shared" si="200"/>
        <v>HL</v>
      </c>
      <c r="T389" s="42" t="str">
        <f t="shared" si="201"/>
        <v>HW</v>
      </c>
      <c r="U389" s="42" t="str">
        <f t="shared" si="202"/>
        <v>U</v>
      </c>
      <c r="V389" s="42" t="str">
        <f t="shared" si="203"/>
        <v>O</v>
      </c>
      <c r="W389" s="42" t="str">
        <f t="shared" si="204"/>
        <v>O</v>
      </c>
      <c r="X389" s="42" t="str">
        <f t="shared" si="205"/>
        <v>O</v>
      </c>
      <c r="Z389" s="42">
        <v>56</v>
      </c>
      <c r="AB389" s="42" t="str">
        <f t="shared" si="206"/>
        <v>NO/ORL</v>
      </c>
      <c r="AC389" s="42">
        <f t="shared" si="207"/>
        <v>3</v>
      </c>
      <c r="AD389" s="42">
        <f t="shared" si="208"/>
        <v>1</v>
      </c>
    </row>
    <row r="390" spans="1:30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 s="42">
        <v>33</v>
      </c>
      <c r="F390" s="42">
        <v>26</v>
      </c>
      <c r="G390" s="42">
        <v>13</v>
      </c>
      <c r="H390" s="42">
        <v>35</v>
      </c>
      <c r="I390" s="42"/>
      <c r="J390" s="42">
        <v>20</v>
      </c>
      <c r="K390" s="42">
        <v>24</v>
      </c>
      <c r="L390" s="42">
        <v>22</v>
      </c>
      <c r="M390" s="42">
        <v>19</v>
      </c>
      <c r="N390" s="42" t="s">
        <v>427</v>
      </c>
      <c r="O390" s="42">
        <f t="shared" si="196"/>
        <v>107</v>
      </c>
      <c r="P390" s="42">
        <f t="shared" si="197"/>
        <v>85</v>
      </c>
      <c r="Q390" s="42" t="str">
        <f t="shared" si="198"/>
        <v>HW</v>
      </c>
      <c r="R390" s="42" t="str">
        <f t="shared" si="199"/>
        <v>HW</v>
      </c>
      <c r="S390" s="42" t="str">
        <f t="shared" si="200"/>
        <v>HL</v>
      </c>
      <c r="T390" s="42" t="str">
        <f t="shared" si="201"/>
        <v>HW</v>
      </c>
      <c r="U390" s="42" t="str">
        <f t="shared" si="202"/>
        <v>U</v>
      </c>
      <c r="V390" s="42" t="str">
        <f t="shared" si="203"/>
        <v>U</v>
      </c>
      <c r="W390" s="42" t="str">
        <f t="shared" si="204"/>
        <v>U</v>
      </c>
      <c r="X390" s="42" t="str">
        <f t="shared" si="205"/>
        <v>U</v>
      </c>
      <c r="Z390" s="42">
        <v>54.5</v>
      </c>
      <c r="AB390" s="42" t="str">
        <f t="shared" si="206"/>
        <v>IND/CHA</v>
      </c>
      <c r="AC390" s="42">
        <f t="shared" si="207"/>
        <v>0</v>
      </c>
      <c r="AD390" s="42">
        <f t="shared" si="208"/>
        <v>4</v>
      </c>
    </row>
    <row r="391" spans="1:30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 s="42">
        <v>25</v>
      </c>
      <c r="F391" s="42">
        <v>23</v>
      </c>
      <c r="G391" s="42">
        <v>30</v>
      </c>
      <c r="H391" s="42">
        <v>18</v>
      </c>
      <c r="I391" s="42"/>
      <c r="J391" s="42">
        <v>24</v>
      </c>
      <c r="K391" s="42">
        <v>31</v>
      </c>
      <c r="L391" s="42">
        <v>27</v>
      </c>
      <c r="M391" s="42">
        <v>19</v>
      </c>
      <c r="N391" s="42" t="s">
        <v>427</v>
      </c>
      <c r="O391" s="42">
        <f t="shared" si="196"/>
        <v>96</v>
      </c>
      <c r="P391" s="42">
        <f t="shared" si="197"/>
        <v>101</v>
      </c>
      <c r="Q391" s="42" t="str">
        <f t="shared" si="198"/>
        <v>HW</v>
      </c>
      <c r="R391" s="42" t="str">
        <f t="shared" si="199"/>
        <v>HL</v>
      </c>
      <c r="S391" s="42" t="str">
        <f t="shared" si="200"/>
        <v>HW</v>
      </c>
      <c r="T391" s="42" t="str">
        <f t="shared" si="201"/>
        <v>HL</v>
      </c>
      <c r="U391" s="42" t="str">
        <f t="shared" si="202"/>
        <v>U</v>
      </c>
      <c r="V391" s="42" t="str">
        <f t="shared" si="203"/>
        <v>U</v>
      </c>
      <c r="W391" s="42" t="str">
        <f t="shared" si="204"/>
        <v>U</v>
      </c>
      <c r="X391" s="42" t="str">
        <f t="shared" si="205"/>
        <v>U</v>
      </c>
      <c r="Z391" s="42">
        <v>59</v>
      </c>
      <c r="AB391" s="42" t="str">
        <f t="shared" si="206"/>
        <v>ATL/LAL</v>
      </c>
      <c r="AC391" s="42">
        <f t="shared" si="207"/>
        <v>0</v>
      </c>
      <c r="AD391" s="42">
        <f t="shared" si="208"/>
        <v>4</v>
      </c>
    </row>
    <row r="392" spans="1:30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 s="42">
        <v>28</v>
      </c>
      <c r="F392" s="42">
        <v>29</v>
      </c>
      <c r="G392" s="42">
        <v>26</v>
      </c>
      <c r="H392" s="42">
        <v>26</v>
      </c>
      <c r="I392" s="42"/>
      <c r="J392" s="42">
        <v>23</v>
      </c>
      <c r="K392" s="42">
        <v>20</v>
      </c>
      <c r="L392" s="42">
        <v>23</v>
      </c>
      <c r="M392" s="42">
        <v>23</v>
      </c>
      <c r="N392" s="42" t="s">
        <v>427</v>
      </c>
      <c r="O392" s="42">
        <f t="shared" si="196"/>
        <v>109</v>
      </c>
      <c r="P392" s="42">
        <f t="shared" si="197"/>
        <v>89</v>
      </c>
      <c r="Q392" s="42" t="str">
        <f t="shared" si="198"/>
        <v>HW</v>
      </c>
      <c r="R392" s="42" t="str">
        <f t="shared" si="199"/>
        <v>HW</v>
      </c>
      <c r="S392" s="42" t="str">
        <f t="shared" si="200"/>
        <v>HW</v>
      </c>
      <c r="T392" s="42" t="str">
        <f t="shared" si="201"/>
        <v>HW</v>
      </c>
      <c r="U392" s="42" t="str">
        <f t="shared" si="202"/>
        <v>U</v>
      </c>
      <c r="V392" s="42" t="str">
        <f t="shared" si="203"/>
        <v>U</v>
      </c>
      <c r="W392" s="42" t="str">
        <f t="shared" si="204"/>
        <v>U</v>
      </c>
      <c r="X392" s="42" t="str">
        <f t="shared" si="205"/>
        <v>U</v>
      </c>
      <c r="Z392" s="42">
        <v>53.5</v>
      </c>
      <c r="AB392" s="42" t="str">
        <f t="shared" si="206"/>
        <v>BKN/PHI</v>
      </c>
      <c r="AC392" s="42">
        <f t="shared" si="207"/>
        <v>0</v>
      </c>
      <c r="AD392" s="42">
        <f t="shared" si="208"/>
        <v>4</v>
      </c>
    </row>
    <row r="393" spans="1:30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 s="42">
        <v>33</v>
      </c>
      <c r="F393" s="42">
        <v>34</v>
      </c>
      <c r="G393" s="42">
        <v>20</v>
      </c>
      <c r="H393" s="42">
        <v>24</v>
      </c>
      <c r="I393" s="42"/>
      <c r="J393" s="42">
        <v>22</v>
      </c>
      <c r="K393" s="42">
        <v>29</v>
      </c>
      <c r="L393" s="42">
        <v>33</v>
      </c>
      <c r="M393" s="42">
        <v>21</v>
      </c>
      <c r="N393" s="42" t="s">
        <v>427</v>
      </c>
      <c r="O393" s="42">
        <f t="shared" si="196"/>
        <v>111</v>
      </c>
      <c r="P393" s="42">
        <f t="shared" si="197"/>
        <v>105</v>
      </c>
      <c r="Q393" s="42" t="str">
        <f t="shared" si="198"/>
        <v>HW</v>
      </c>
      <c r="R393" s="42" t="str">
        <f t="shared" si="199"/>
        <v>HW</v>
      </c>
      <c r="S393" s="42" t="str">
        <f t="shared" si="200"/>
        <v>HL</v>
      </c>
      <c r="T393" s="42" t="str">
        <f t="shared" si="201"/>
        <v>HW</v>
      </c>
      <c r="U393" s="42" t="str">
        <f t="shared" si="202"/>
        <v>O</v>
      </c>
      <c r="V393" s="42" t="str">
        <f t="shared" si="203"/>
        <v>O</v>
      </c>
      <c r="W393" s="42" t="str">
        <f t="shared" si="204"/>
        <v>U</v>
      </c>
      <c r="X393" s="42" t="str">
        <f t="shared" si="205"/>
        <v>U</v>
      </c>
      <c r="Z393" s="42">
        <v>53.5</v>
      </c>
      <c r="AB393" s="42" t="str">
        <f t="shared" si="206"/>
        <v>DEN/NYK</v>
      </c>
      <c r="AC393" s="42">
        <f t="shared" si="207"/>
        <v>2</v>
      </c>
      <c r="AD393" s="42">
        <f t="shared" si="208"/>
        <v>2</v>
      </c>
    </row>
    <row r="394" spans="1:30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 s="42">
        <v>18</v>
      </c>
      <c r="F394" s="42">
        <v>24</v>
      </c>
      <c r="G394" s="42">
        <v>17</v>
      </c>
      <c r="H394" s="42">
        <v>20</v>
      </c>
      <c r="I394" s="42"/>
      <c r="J394" s="42">
        <v>26</v>
      </c>
      <c r="K394" s="42">
        <v>25</v>
      </c>
      <c r="L394" s="42">
        <v>28</v>
      </c>
      <c r="M394" s="42">
        <v>21</v>
      </c>
      <c r="N394" s="42" t="s">
        <v>427</v>
      </c>
      <c r="O394" s="42">
        <f t="shared" si="196"/>
        <v>79</v>
      </c>
      <c r="P394" s="42">
        <f t="shared" si="197"/>
        <v>100</v>
      </c>
      <c r="Q394" s="42" t="str">
        <f t="shared" si="198"/>
        <v>HL</v>
      </c>
      <c r="R394" s="42" t="str">
        <f t="shared" si="199"/>
        <v>HL</v>
      </c>
      <c r="S394" s="42" t="str">
        <f t="shared" si="200"/>
        <v>HL</v>
      </c>
      <c r="T394" s="42" t="str">
        <f t="shared" si="201"/>
        <v>HL</v>
      </c>
      <c r="U394" s="42" t="str">
        <f t="shared" si="202"/>
        <v>U</v>
      </c>
      <c r="V394" s="42" t="str">
        <f t="shared" si="203"/>
        <v>U</v>
      </c>
      <c r="W394" s="42" t="str">
        <f t="shared" si="204"/>
        <v>U</v>
      </c>
      <c r="X394" s="42" t="str">
        <f t="shared" si="205"/>
        <v>U</v>
      </c>
      <c r="Z394" s="42">
        <v>54</v>
      </c>
      <c r="AB394" s="42" t="str">
        <f t="shared" si="206"/>
        <v>GS/SAC</v>
      </c>
      <c r="AC394" s="42">
        <f t="shared" si="207"/>
        <v>0</v>
      </c>
      <c r="AD394" s="42">
        <f t="shared" si="208"/>
        <v>4</v>
      </c>
    </row>
    <row r="395" spans="1:30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 s="42">
        <v>31</v>
      </c>
      <c r="F395" s="42">
        <v>30</v>
      </c>
      <c r="G395" s="42">
        <v>30</v>
      </c>
      <c r="H395" s="42">
        <v>28</v>
      </c>
      <c r="I395" s="42"/>
      <c r="J395" s="42">
        <v>43</v>
      </c>
      <c r="K395" s="42">
        <v>24</v>
      </c>
      <c r="L395" s="42">
        <v>29</v>
      </c>
      <c r="M395" s="42">
        <v>37</v>
      </c>
      <c r="N395" s="42" t="s">
        <v>427</v>
      </c>
      <c r="O395" s="42">
        <f t="shared" si="196"/>
        <v>119</v>
      </c>
      <c r="P395" s="42">
        <f t="shared" si="197"/>
        <v>133</v>
      </c>
      <c r="Q395" s="42" t="str">
        <f t="shared" si="198"/>
        <v>HL</v>
      </c>
      <c r="R395" s="42" t="str">
        <f t="shared" si="199"/>
        <v>HW</v>
      </c>
      <c r="S395" s="42" t="str">
        <f t="shared" si="200"/>
        <v>HW</v>
      </c>
      <c r="T395" s="42" t="str">
        <f t="shared" si="201"/>
        <v>HL</v>
      </c>
      <c r="U395" s="42" t="str">
        <f t="shared" si="202"/>
        <v>O</v>
      </c>
      <c r="V395" s="42" t="str">
        <f t="shared" si="203"/>
        <v>U</v>
      </c>
      <c r="W395" s="42" t="str">
        <f t="shared" si="204"/>
        <v>U</v>
      </c>
      <c r="X395" s="42" t="str">
        <f t="shared" si="205"/>
        <v>O</v>
      </c>
      <c r="Z395" s="42">
        <v>59.5</v>
      </c>
      <c r="AB395" s="42" t="str">
        <f t="shared" si="206"/>
        <v>DET/WAS</v>
      </c>
      <c r="AC395" s="42">
        <f t="shared" si="207"/>
        <v>2</v>
      </c>
      <c r="AD395" s="42">
        <f t="shared" si="208"/>
        <v>2</v>
      </c>
    </row>
    <row r="396" spans="1:30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 s="42">
        <v>37</v>
      </c>
      <c r="F396" s="42">
        <v>29</v>
      </c>
      <c r="G396" s="42">
        <v>38</v>
      </c>
      <c r="H396" s="42">
        <v>29</v>
      </c>
      <c r="I396" s="42"/>
      <c r="J396" s="42">
        <v>29</v>
      </c>
      <c r="K396" s="42">
        <v>25</v>
      </c>
      <c r="L396" s="42">
        <v>30</v>
      </c>
      <c r="M396" s="42">
        <v>29</v>
      </c>
      <c r="N396" s="42" t="s">
        <v>427</v>
      </c>
      <c r="O396" s="42">
        <f t="shared" si="196"/>
        <v>133</v>
      </c>
      <c r="P396" s="42">
        <f t="shared" si="197"/>
        <v>113</v>
      </c>
      <c r="Q396" s="42" t="str">
        <f t="shared" si="198"/>
        <v>HW</v>
      </c>
      <c r="R396" s="42" t="str">
        <f t="shared" si="199"/>
        <v>HW</v>
      </c>
      <c r="S396" s="42" t="str">
        <f t="shared" si="200"/>
        <v>HW</v>
      </c>
      <c r="T396" s="42" t="str">
        <f t="shared" si="201"/>
        <v>TT</v>
      </c>
      <c r="U396" s="42" t="str">
        <f t="shared" si="202"/>
        <v>O</v>
      </c>
      <c r="V396" s="42" t="str">
        <f t="shared" si="203"/>
        <v>O</v>
      </c>
      <c r="W396" s="42" t="str">
        <f t="shared" si="204"/>
        <v>O</v>
      </c>
      <c r="X396" s="42" t="str">
        <f t="shared" si="205"/>
        <v>O</v>
      </c>
      <c r="Z396" s="42">
        <v>53.5</v>
      </c>
      <c r="AB396" s="42" t="str">
        <f t="shared" si="206"/>
        <v>TOR/CLE</v>
      </c>
      <c r="AC396" s="42">
        <f t="shared" si="207"/>
        <v>4</v>
      </c>
      <c r="AD396" s="42">
        <f t="shared" si="208"/>
        <v>0</v>
      </c>
    </row>
    <row r="397" spans="1:30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 s="42">
        <v>21</v>
      </c>
      <c r="F397" s="42">
        <v>32</v>
      </c>
      <c r="G397" s="42">
        <v>30</v>
      </c>
      <c r="H397" s="42">
        <v>26</v>
      </c>
      <c r="I397" s="42"/>
      <c r="J397" s="42">
        <v>35</v>
      </c>
      <c r="K397" s="42">
        <v>37</v>
      </c>
      <c r="L397" s="42">
        <v>17</v>
      </c>
      <c r="M397" s="42">
        <v>18</v>
      </c>
      <c r="N397" s="42" t="s">
        <v>427</v>
      </c>
      <c r="O397" s="42">
        <f t="shared" si="196"/>
        <v>109</v>
      </c>
      <c r="P397" s="42">
        <f t="shared" si="197"/>
        <v>107</v>
      </c>
      <c r="Q397" s="42" t="str">
        <f t="shared" si="198"/>
        <v>HL</v>
      </c>
      <c r="R397" s="42" t="str">
        <f t="shared" si="199"/>
        <v>HL</v>
      </c>
      <c r="S397" s="42" t="str">
        <f t="shared" si="200"/>
        <v>HW</v>
      </c>
      <c r="T397" s="42" t="str">
        <f t="shared" si="201"/>
        <v>HW</v>
      </c>
      <c r="U397" s="42" t="str">
        <f t="shared" si="202"/>
        <v>U</v>
      </c>
      <c r="V397" s="42" t="str">
        <f t="shared" si="203"/>
        <v>O</v>
      </c>
      <c r="W397" s="42" t="str">
        <f t="shared" si="204"/>
        <v>U</v>
      </c>
      <c r="X397" s="42" t="str">
        <f t="shared" si="205"/>
        <v>U</v>
      </c>
      <c r="Z397" s="42">
        <v>57</v>
      </c>
      <c r="AB397" s="42" t="str">
        <f t="shared" si="206"/>
        <v>HOU/SAS</v>
      </c>
      <c r="AC397" s="42">
        <f t="shared" si="207"/>
        <v>1</v>
      </c>
      <c r="AD397" s="42">
        <f t="shared" si="208"/>
        <v>3</v>
      </c>
    </row>
    <row r="398" spans="1:30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 s="42">
        <v>22</v>
      </c>
      <c r="F398" s="42">
        <v>34</v>
      </c>
      <c r="G398" s="42">
        <v>20</v>
      </c>
      <c r="H398" s="42">
        <v>40</v>
      </c>
      <c r="I398" s="42"/>
      <c r="J398" s="42">
        <v>36</v>
      </c>
      <c r="K398" s="42">
        <v>23</v>
      </c>
      <c r="L398" s="42">
        <v>27</v>
      </c>
      <c r="M398" s="42">
        <v>34</v>
      </c>
      <c r="N398" s="42" t="s">
        <v>427</v>
      </c>
      <c r="O398" s="42">
        <f t="shared" si="196"/>
        <v>116</v>
      </c>
      <c r="P398" s="42">
        <f t="shared" si="197"/>
        <v>120</v>
      </c>
      <c r="Q398" s="42" t="str">
        <f t="shared" si="198"/>
        <v>HL</v>
      </c>
      <c r="R398" s="42" t="str">
        <f t="shared" si="199"/>
        <v>HW</v>
      </c>
      <c r="S398" s="42" t="str">
        <f t="shared" si="200"/>
        <v>HL</v>
      </c>
      <c r="T398" s="42" t="str">
        <f t="shared" si="201"/>
        <v>HW</v>
      </c>
      <c r="U398" s="42" t="str">
        <f t="shared" si="202"/>
        <v>U</v>
      </c>
      <c r="V398" s="42" t="str">
        <f t="shared" si="203"/>
        <v>U</v>
      </c>
      <c r="W398" s="42" t="str">
        <f t="shared" si="204"/>
        <v>U</v>
      </c>
      <c r="X398" s="42" t="str">
        <f t="shared" si="205"/>
        <v>O</v>
      </c>
      <c r="Z398" s="42">
        <v>58.5</v>
      </c>
      <c r="AB398" s="42" t="str">
        <f t="shared" si="206"/>
        <v>MIL/DAL</v>
      </c>
      <c r="AC398" s="42">
        <f t="shared" si="207"/>
        <v>1</v>
      </c>
      <c r="AD398" s="42">
        <f t="shared" si="208"/>
        <v>3</v>
      </c>
    </row>
    <row r="399" spans="1:30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 s="42">
        <v>16</v>
      </c>
      <c r="F399" s="42">
        <v>33</v>
      </c>
      <c r="G399" s="42">
        <v>33</v>
      </c>
      <c r="H399" s="42">
        <v>27</v>
      </c>
      <c r="I399" s="42"/>
      <c r="J399" s="42">
        <v>37</v>
      </c>
      <c r="K399" s="42">
        <v>31</v>
      </c>
      <c r="L399" s="42">
        <v>22</v>
      </c>
      <c r="M399" s="42">
        <v>16</v>
      </c>
      <c r="N399" s="42" t="s">
        <v>427</v>
      </c>
      <c r="O399" s="42">
        <f t="shared" si="196"/>
        <v>109</v>
      </c>
      <c r="P399" s="42">
        <f t="shared" si="197"/>
        <v>106</v>
      </c>
      <c r="Q399" s="42" t="str">
        <f t="shared" si="198"/>
        <v>HL</v>
      </c>
      <c r="R399" s="42" t="str">
        <f t="shared" si="199"/>
        <v>HW</v>
      </c>
      <c r="S399" s="42" t="str">
        <f t="shared" si="200"/>
        <v>HW</v>
      </c>
      <c r="T399" s="42" t="str">
        <f t="shared" si="201"/>
        <v>HW</v>
      </c>
      <c r="U399" s="42" t="str">
        <f t="shared" si="202"/>
        <v>U</v>
      </c>
      <c r="V399" s="42" t="str">
        <f t="shared" si="203"/>
        <v>O</v>
      </c>
      <c r="W399" s="42" t="str">
        <f t="shared" si="204"/>
        <v>O</v>
      </c>
      <c r="X399" s="42" t="str">
        <f t="shared" si="205"/>
        <v>U</v>
      </c>
      <c r="Z399" s="42">
        <v>53.5</v>
      </c>
      <c r="AB399" s="42" t="str">
        <f t="shared" si="206"/>
        <v>OKC/CHI</v>
      </c>
      <c r="AC399" s="42">
        <f t="shared" si="207"/>
        <v>2</v>
      </c>
      <c r="AD399" s="42">
        <f t="shared" si="208"/>
        <v>2</v>
      </c>
    </row>
    <row r="400" spans="1:30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 s="42">
        <v>36</v>
      </c>
      <c r="F400" s="42">
        <v>37</v>
      </c>
      <c r="G400" s="42">
        <v>22</v>
      </c>
      <c r="H400" s="42">
        <v>23</v>
      </c>
      <c r="I400" s="42"/>
      <c r="J400" s="42">
        <v>32</v>
      </c>
      <c r="K400" s="42">
        <v>26</v>
      </c>
      <c r="L400" s="42">
        <v>28</v>
      </c>
      <c r="M400" s="42">
        <v>25</v>
      </c>
      <c r="N400" s="42" t="s">
        <v>427</v>
      </c>
      <c r="O400" s="42">
        <f t="shared" si="196"/>
        <v>118</v>
      </c>
      <c r="P400" s="42">
        <f t="shared" si="197"/>
        <v>111</v>
      </c>
      <c r="Q400" s="42" t="str">
        <f t="shared" si="198"/>
        <v>HW</v>
      </c>
      <c r="R400" s="42" t="str">
        <f t="shared" si="199"/>
        <v>HW</v>
      </c>
      <c r="S400" s="42" t="str">
        <f t="shared" si="200"/>
        <v>HL</v>
      </c>
      <c r="T400" s="42" t="str">
        <f t="shared" si="201"/>
        <v>HL</v>
      </c>
      <c r="U400" s="42" t="str">
        <f t="shared" si="202"/>
        <v>O</v>
      </c>
      <c r="V400" s="42" t="str">
        <f t="shared" si="203"/>
        <v>O</v>
      </c>
      <c r="W400" s="42" t="str">
        <f t="shared" si="204"/>
        <v>U</v>
      </c>
      <c r="X400" s="42" t="str">
        <f t="shared" si="205"/>
        <v>U</v>
      </c>
      <c r="Z400" s="42">
        <v>56</v>
      </c>
      <c r="AB400" s="42" t="str">
        <f t="shared" si="206"/>
        <v>MEM/MIA</v>
      </c>
      <c r="AC400" s="42">
        <f t="shared" si="207"/>
        <v>2</v>
      </c>
      <c r="AD400" s="42">
        <f t="shared" si="208"/>
        <v>2</v>
      </c>
    </row>
    <row r="401" spans="1:30" x14ac:dyDescent="0.45">
      <c r="A401" s="42">
        <v>191217</v>
      </c>
      <c r="B401" s="44">
        <v>0.45833333333333331</v>
      </c>
      <c r="C401" s="42" t="s">
        <v>404</v>
      </c>
      <c r="D401" s="42" t="s">
        <v>417</v>
      </c>
      <c r="E401" s="42">
        <v>33</v>
      </c>
      <c r="F401" s="42">
        <v>34</v>
      </c>
      <c r="G401" s="42">
        <v>21</v>
      </c>
      <c r="H401" s="42">
        <v>22</v>
      </c>
      <c r="I401" s="42"/>
      <c r="J401" s="42">
        <v>25</v>
      </c>
      <c r="K401" s="42">
        <v>34</v>
      </c>
      <c r="L401" s="42">
        <v>31</v>
      </c>
      <c r="M401" s="42">
        <v>21</v>
      </c>
      <c r="N401" s="42" t="s">
        <v>427</v>
      </c>
      <c r="O401" s="42">
        <f t="shared" si="196"/>
        <v>110</v>
      </c>
      <c r="P401" s="42">
        <f t="shared" si="197"/>
        <v>111</v>
      </c>
      <c r="Q401" s="42" t="str">
        <f t="shared" si="198"/>
        <v>HW</v>
      </c>
      <c r="R401" s="42" t="str">
        <f t="shared" si="199"/>
        <v>TT</v>
      </c>
      <c r="S401" s="42" t="str">
        <f t="shared" si="200"/>
        <v>HL</v>
      </c>
      <c r="T401" s="42" t="str">
        <f t="shared" si="201"/>
        <v>HW</v>
      </c>
      <c r="U401" s="42" t="str">
        <f t="shared" si="202"/>
        <v>T</v>
      </c>
      <c r="V401" s="42" t="str">
        <f t="shared" si="203"/>
        <v>O</v>
      </c>
      <c r="W401" s="42" t="str">
        <f t="shared" si="204"/>
        <v>U</v>
      </c>
      <c r="X401" s="42" t="str">
        <f t="shared" si="205"/>
        <v>U</v>
      </c>
      <c r="Z401" s="42">
        <v>58</v>
      </c>
      <c r="AB401" s="42" t="str">
        <f t="shared" si="206"/>
        <v>PHO/POR</v>
      </c>
      <c r="AC401" s="42">
        <f t="shared" si="207"/>
        <v>1</v>
      </c>
      <c r="AD401" s="42">
        <f t="shared" si="208"/>
        <v>2</v>
      </c>
    </row>
    <row r="402" spans="1:30" x14ac:dyDescent="0.45">
      <c r="A402" s="42">
        <v>191218</v>
      </c>
      <c r="B402" s="44">
        <v>0.375</v>
      </c>
      <c r="C402" s="42" t="s">
        <v>400</v>
      </c>
      <c r="D402" s="42" t="s">
        <v>419</v>
      </c>
      <c r="E402" s="42">
        <v>24</v>
      </c>
      <c r="F402" s="42">
        <v>26</v>
      </c>
      <c r="G402" s="42">
        <v>28</v>
      </c>
      <c r="H402" s="42">
        <v>27</v>
      </c>
      <c r="I402" s="42"/>
      <c r="J402" s="42">
        <v>28</v>
      </c>
      <c r="K402" s="42">
        <v>24</v>
      </c>
      <c r="L402" s="42">
        <v>24</v>
      </c>
      <c r="M402" s="42">
        <v>26</v>
      </c>
      <c r="N402" s="42" t="s">
        <v>427</v>
      </c>
      <c r="O402" s="42">
        <f t="shared" si="196"/>
        <v>105</v>
      </c>
      <c r="P402" s="42">
        <f t="shared" si="197"/>
        <v>102</v>
      </c>
      <c r="Q402" s="42" t="str">
        <f t="shared" si="198"/>
        <v>HL</v>
      </c>
      <c r="R402" s="42" t="str">
        <f t="shared" si="199"/>
        <v>HW</v>
      </c>
      <c r="S402" s="42" t="str">
        <f t="shared" si="200"/>
        <v>HW</v>
      </c>
      <c r="T402" s="42" t="str">
        <f t="shared" si="201"/>
        <v>HW</v>
      </c>
      <c r="U402" s="42" t="str">
        <f t="shared" si="202"/>
        <v>U</v>
      </c>
      <c r="V402" s="42" t="str">
        <f t="shared" si="203"/>
        <v>U</v>
      </c>
      <c r="W402" s="42" t="str">
        <f t="shared" si="204"/>
        <v>U</v>
      </c>
      <c r="X402" s="42" t="str">
        <f t="shared" si="205"/>
        <v>U</v>
      </c>
      <c r="Z402" s="42">
        <v>54.5</v>
      </c>
      <c r="AB402" s="42" t="str">
        <f t="shared" si="206"/>
        <v>IND/LAL</v>
      </c>
      <c r="AC402" s="42">
        <f t="shared" si="207"/>
        <v>0</v>
      </c>
      <c r="AD402" s="42">
        <f t="shared" si="208"/>
        <v>4</v>
      </c>
    </row>
    <row r="403" spans="1:30" x14ac:dyDescent="0.45">
      <c r="A403" s="42">
        <v>191218</v>
      </c>
      <c r="B403" s="44">
        <v>0.375</v>
      </c>
      <c r="C403" s="42" t="s">
        <v>409</v>
      </c>
      <c r="D403" s="42" t="s">
        <v>416</v>
      </c>
      <c r="E403" s="42">
        <v>26</v>
      </c>
      <c r="F403" s="42">
        <v>27</v>
      </c>
      <c r="G403" s="42">
        <v>27</v>
      </c>
      <c r="H403" s="42">
        <v>30</v>
      </c>
      <c r="I403" s="42"/>
      <c r="J403" s="42">
        <v>21</v>
      </c>
      <c r="K403" s="42">
        <v>26</v>
      </c>
      <c r="L403" s="42">
        <v>32</v>
      </c>
      <c r="M403" s="42">
        <v>23</v>
      </c>
      <c r="N403" s="42" t="s">
        <v>427</v>
      </c>
      <c r="O403" s="42">
        <f t="shared" si="196"/>
        <v>110</v>
      </c>
      <c r="P403" s="42">
        <f t="shared" si="197"/>
        <v>102</v>
      </c>
      <c r="Q403" s="42" t="str">
        <f t="shared" si="198"/>
        <v>HW</v>
      </c>
      <c r="R403" s="42" t="str">
        <f t="shared" si="199"/>
        <v>HW</v>
      </c>
      <c r="S403" s="42" t="str">
        <f t="shared" si="200"/>
        <v>HL</v>
      </c>
      <c r="T403" s="42" t="str">
        <f t="shared" si="201"/>
        <v>HW</v>
      </c>
      <c r="U403" s="42" t="str">
        <f t="shared" si="202"/>
        <v>U</v>
      </c>
      <c r="V403" s="42" t="str">
        <f t="shared" si="203"/>
        <v>U</v>
      </c>
      <c r="W403" s="42" t="str">
        <f t="shared" si="204"/>
        <v>O</v>
      </c>
      <c r="X403" s="42" t="str">
        <f t="shared" si="205"/>
        <v>U</v>
      </c>
      <c r="Z403" s="42">
        <v>54</v>
      </c>
      <c r="AB403" s="42" t="str">
        <f t="shared" si="206"/>
        <v>CHA/SAC</v>
      </c>
      <c r="AC403" s="42">
        <f t="shared" si="207"/>
        <v>1</v>
      </c>
      <c r="AD403" s="42">
        <f t="shared" si="208"/>
        <v>3</v>
      </c>
    </row>
    <row r="404" spans="1:30" x14ac:dyDescent="0.45">
      <c r="A404" s="42">
        <v>191218</v>
      </c>
      <c r="B404" s="44">
        <v>0.39583333333333331</v>
      </c>
      <c r="C404" s="42" t="s">
        <v>399</v>
      </c>
      <c r="D404" s="42" t="s">
        <v>410</v>
      </c>
      <c r="E404" s="42">
        <v>41</v>
      </c>
      <c r="F404" s="42">
        <v>36</v>
      </c>
      <c r="G404" s="42">
        <v>32</v>
      </c>
      <c r="H404" s="42">
        <v>34</v>
      </c>
      <c r="I404" s="42"/>
      <c r="J404" s="42">
        <v>27</v>
      </c>
      <c r="K404" s="42">
        <v>26</v>
      </c>
      <c r="L404" s="42">
        <v>31</v>
      </c>
      <c r="M404" s="42">
        <v>36</v>
      </c>
      <c r="N404" s="42" t="s">
        <v>427</v>
      </c>
      <c r="O404" s="42">
        <f t="shared" si="196"/>
        <v>143</v>
      </c>
      <c r="P404" s="42">
        <f t="shared" si="197"/>
        <v>120</v>
      </c>
      <c r="Q404" s="42" t="str">
        <f t="shared" si="198"/>
        <v>HW</v>
      </c>
      <c r="R404" s="42" t="str">
        <f t="shared" si="199"/>
        <v>HW</v>
      </c>
      <c r="S404" s="42" t="str">
        <f t="shared" si="200"/>
        <v>HW</v>
      </c>
      <c r="T404" s="42" t="str">
        <f t="shared" si="201"/>
        <v>HL</v>
      </c>
      <c r="U404" s="42" t="str">
        <f t="shared" si="202"/>
        <v>O</v>
      </c>
      <c r="V404" s="42" t="str">
        <f t="shared" si="203"/>
        <v>O</v>
      </c>
      <c r="W404" s="42" t="str">
        <f t="shared" si="204"/>
        <v>O</v>
      </c>
      <c r="X404" s="42" t="str">
        <f t="shared" si="205"/>
        <v>O</v>
      </c>
      <c r="Z404" s="42">
        <v>58</v>
      </c>
      <c r="AB404" s="42" t="str">
        <f t="shared" si="206"/>
        <v>NYK/ATL</v>
      </c>
      <c r="AC404" s="42">
        <f t="shared" si="207"/>
        <v>4</v>
      </c>
      <c r="AD404" s="42">
        <f t="shared" si="208"/>
        <v>0</v>
      </c>
    </row>
    <row r="405" spans="1:30" x14ac:dyDescent="0.45">
      <c r="A405" s="42">
        <v>191218</v>
      </c>
      <c r="B405" s="44">
        <v>0.41666666666666669</v>
      </c>
      <c r="C405" s="42" t="s">
        <v>398</v>
      </c>
      <c r="D405" s="42" t="s">
        <v>407</v>
      </c>
      <c r="E405" s="42">
        <v>21</v>
      </c>
      <c r="F405" s="42">
        <v>14</v>
      </c>
      <c r="G405" s="42">
        <v>29</v>
      </c>
      <c r="H405" s="42">
        <v>29</v>
      </c>
      <c r="I405" s="42">
        <v>8</v>
      </c>
      <c r="J405" s="42">
        <v>21</v>
      </c>
      <c r="K405" s="42">
        <v>21</v>
      </c>
      <c r="L405" s="42">
        <v>19</v>
      </c>
      <c r="M405" s="42">
        <v>32</v>
      </c>
      <c r="N405" s="42">
        <v>15</v>
      </c>
      <c r="O405" s="42">
        <f t="shared" si="196"/>
        <v>101</v>
      </c>
      <c r="P405" s="42">
        <f t="shared" si="197"/>
        <v>108</v>
      </c>
      <c r="Q405" s="42" t="str">
        <f t="shared" si="198"/>
        <v>TT</v>
      </c>
      <c r="R405" s="42" t="str">
        <f t="shared" si="199"/>
        <v>HL</v>
      </c>
      <c r="S405" s="42" t="str">
        <f t="shared" si="200"/>
        <v>HW</v>
      </c>
      <c r="T405" s="42" t="str">
        <f t="shared" si="201"/>
        <v>HL</v>
      </c>
      <c r="U405" s="42" t="str">
        <f t="shared" si="202"/>
        <v>U</v>
      </c>
      <c r="V405" s="42" t="str">
        <f t="shared" si="203"/>
        <v>U</v>
      </c>
      <c r="W405" s="42" t="str">
        <f t="shared" si="204"/>
        <v>U</v>
      </c>
      <c r="X405" s="42" t="str">
        <f t="shared" si="205"/>
        <v>O</v>
      </c>
      <c r="Z405" s="42">
        <v>56</v>
      </c>
      <c r="AB405" s="42" t="str">
        <f t="shared" si="206"/>
        <v>NO/BKN</v>
      </c>
      <c r="AC405" s="42">
        <f t="shared" si="207"/>
        <v>1</v>
      </c>
      <c r="AD405" s="42">
        <f t="shared" si="208"/>
        <v>3</v>
      </c>
    </row>
    <row r="406" spans="1:30" x14ac:dyDescent="0.45">
      <c r="A406" s="42">
        <v>191218</v>
      </c>
      <c r="B406" s="44">
        <v>0.45833333333333331</v>
      </c>
      <c r="C406" s="42" t="s">
        <v>405</v>
      </c>
      <c r="D406" s="42" t="s">
        <v>424</v>
      </c>
      <c r="E406" s="42">
        <v>26</v>
      </c>
      <c r="F406" s="42">
        <v>32</v>
      </c>
      <c r="G406" s="42">
        <v>24</v>
      </c>
      <c r="H406" s="42">
        <v>27</v>
      </c>
      <c r="I406" s="42"/>
      <c r="J406" s="42">
        <v>20</v>
      </c>
      <c r="K406" s="42">
        <v>27</v>
      </c>
      <c r="L406" s="42">
        <v>24</v>
      </c>
      <c r="M406" s="42">
        <v>31</v>
      </c>
      <c r="N406" s="42" t="s">
        <v>427</v>
      </c>
      <c r="O406" s="42">
        <f t="shared" si="196"/>
        <v>109</v>
      </c>
      <c r="P406" s="42">
        <f t="shared" si="197"/>
        <v>102</v>
      </c>
      <c r="Q406" s="42" t="str">
        <f t="shared" si="198"/>
        <v>HW</v>
      </c>
      <c r="R406" s="42" t="str">
        <f t="shared" si="199"/>
        <v>HW</v>
      </c>
      <c r="S406" s="42" t="str">
        <f t="shared" si="200"/>
        <v>TT</v>
      </c>
      <c r="T406" s="42" t="str">
        <f t="shared" si="201"/>
        <v>HL</v>
      </c>
      <c r="U406" s="42" t="str">
        <f t="shared" si="202"/>
        <v>U</v>
      </c>
      <c r="V406" s="42" t="str">
        <f t="shared" si="203"/>
        <v>O</v>
      </c>
      <c r="W406" s="42" t="str">
        <f t="shared" si="204"/>
        <v>U</v>
      </c>
      <c r="X406" s="42" t="str">
        <f t="shared" si="205"/>
        <v>O</v>
      </c>
      <c r="Z406" s="42">
        <v>53.5</v>
      </c>
      <c r="AB406" s="42" t="str">
        <f t="shared" si="206"/>
        <v>UTA/ORL</v>
      </c>
      <c r="AC406" s="42">
        <f t="shared" si="207"/>
        <v>2</v>
      </c>
      <c r="AD406" s="42">
        <f t="shared" si="208"/>
        <v>2</v>
      </c>
    </row>
    <row r="407" spans="1:30" x14ac:dyDescent="0.45">
      <c r="A407" s="42">
        <v>191218</v>
      </c>
      <c r="B407" s="44">
        <v>0.52083333333333337</v>
      </c>
      <c r="C407" s="42" t="s">
        <v>415</v>
      </c>
      <c r="D407" s="42" t="s">
        <v>404</v>
      </c>
      <c r="E407" s="42">
        <v>31</v>
      </c>
      <c r="F407" s="42">
        <v>23</v>
      </c>
      <c r="G407" s="42">
        <v>36</v>
      </c>
      <c r="H407" s="42">
        <v>30</v>
      </c>
      <c r="I407" s="42"/>
      <c r="J407" s="42">
        <v>23</v>
      </c>
      <c r="K407" s="42">
        <v>21</v>
      </c>
      <c r="L407" s="42">
        <v>25</v>
      </c>
      <c r="M407" s="42">
        <v>30</v>
      </c>
      <c r="N407" s="42" t="s">
        <v>427</v>
      </c>
      <c r="O407" s="42">
        <f t="shared" si="196"/>
        <v>120</v>
      </c>
      <c r="P407" s="42">
        <f t="shared" si="197"/>
        <v>99</v>
      </c>
      <c r="Q407" s="42" t="str">
        <f t="shared" si="198"/>
        <v>HW</v>
      </c>
      <c r="R407" s="42" t="str">
        <f t="shared" si="199"/>
        <v>HW</v>
      </c>
      <c r="S407" s="42" t="str">
        <f t="shared" si="200"/>
        <v>HW</v>
      </c>
      <c r="T407" s="42" t="str">
        <f t="shared" si="201"/>
        <v>TT</v>
      </c>
      <c r="U407" s="42" t="str">
        <f t="shared" si="202"/>
        <v>U</v>
      </c>
      <c r="V407" s="42" t="str">
        <f t="shared" si="203"/>
        <v>U</v>
      </c>
      <c r="W407" s="42" t="str">
        <f t="shared" si="204"/>
        <v>O</v>
      </c>
      <c r="X407" s="42" t="str">
        <f t="shared" si="205"/>
        <v>O</v>
      </c>
      <c r="Z407" s="42">
        <v>55.5</v>
      </c>
      <c r="AB407" s="42" t="str">
        <f t="shared" si="206"/>
        <v>LAC/PHO</v>
      </c>
      <c r="AC407" s="42">
        <f t="shared" si="207"/>
        <v>2</v>
      </c>
      <c r="AD407" s="42">
        <f t="shared" si="208"/>
        <v>2</v>
      </c>
    </row>
    <row r="408" spans="1:30" x14ac:dyDescent="0.45">
      <c r="A408" s="74">
        <v>191219</v>
      </c>
      <c r="B408" s="44">
        <v>0.375</v>
      </c>
      <c r="C408" s="74" t="s">
        <v>402</v>
      </c>
      <c r="D408" s="74" t="s">
        <v>409</v>
      </c>
      <c r="E408" s="74">
        <v>29</v>
      </c>
      <c r="F408" s="74">
        <v>24</v>
      </c>
      <c r="G408" s="74">
        <v>23</v>
      </c>
      <c r="H408" s="74">
        <v>24</v>
      </c>
      <c r="I408" s="74"/>
      <c r="J408" s="74">
        <v>21</v>
      </c>
      <c r="K408" s="74">
        <v>20</v>
      </c>
      <c r="L408" s="74">
        <v>23</v>
      </c>
      <c r="M408" s="74">
        <v>34</v>
      </c>
      <c r="N408" s="74" t="s">
        <v>427</v>
      </c>
      <c r="O408" s="74">
        <f t="shared" ref="O408:O430" si="209">SUM(E408:I408)</f>
        <v>100</v>
      </c>
      <c r="P408" s="74">
        <f t="shared" ref="P408:P430" si="210">SUM(J408:N408)</f>
        <v>98</v>
      </c>
      <c r="Q408" s="74" t="str">
        <f t="shared" ref="Q408:Q430" si="211">IF(E408=J408,"TT",IF(E408&gt;J408,"HW","HL"))</f>
        <v>HW</v>
      </c>
      <c r="R408" s="74" t="str">
        <f t="shared" ref="R408:R430" si="212">IF(F408=K408,"TT",IF(F408&gt;K408,"HW","HL"))</f>
        <v>HW</v>
      </c>
      <c r="S408" s="74" t="str">
        <f t="shared" ref="S408:S430" si="213">IF(G408=L408,"TT",IF(G408&gt;L408,"HW","HL"))</f>
        <v>TT</v>
      </c>
      <c r="T408" s="74" t="str">
        <f t="shared" ref="T408:T430" si="214">IF(H408=M408,"TT",IF(H408&gt;M408,"HW","HL"))</f>
        <v>HL</v>
      </c>
      <c r="U408" s="74" t="str">
        <f t="shared" ref="U408:U430" si="215">IF(SUM(E408,J408)=$Z408,"T",IF(SUM(E408,J408)&gt;$Z408,"O","U"))</f>
        <v>U</v>
      </c>
      <c r="V408" s="74" t="str">
        <f t="shared" ref="V408:V430" si="216">IF(SUM(F408,K408)=$Z408,"T",IF(SUM(F408,K408)&gt;$Z408,"O","U"))</f>
        <v>U</v>
      </c>
      <c r="W408" s="74" t="str">
        <f t="shared" ref="W408:W430" si="217">IF(SUM(G408,L408)=$Z408,"T",IF(SUM(G408,L408)&gt;$Z408,"O","U"))</f>
        <v>U</v>
      </c>
      <c r="X408" s="74" t="str">
        <f t="shared" ref="X408:X430" si="218">IF(SUM(H408,M408)=$Z408,"T",IF(SUM(H408,M408)&gt;$Z408,"O","U"))</f>
        <v>O</v>
      </c>
      <c r="Y408" s="74"/>
      <c r="Z408" s="74">
        <v>54.5</v>
      </c>
      <c r="AB408" s="74" t="str">
        <f t="shared" ref="AB408:AB471" si="219">C408&amp;"/"&amp;D408</f>
        <v>CLE/CHA</v>
      </c>
      <c r="AC408" s="74">
        <f t="shared" ref="AC408:AC430" si="220">COUNTIF(U408:X408,"o")</f>
        <v>1</v>
      </c>
      <c r="AD408" s="74">
        <f t="shared" ref="AD408:AD430" si="221">COUNTIF(U408:X408,"u")</f>
        <v>3</v>
      </c>
    </row>
    <row r="409" spans="1:30" x14ac:dyDescent="0.45">
      <c r="A409" s="74">
        <v>191219</v>
      </c>
      <c r="B409" s="44">
        <v>0.375</v>
      </c>
      <c r="C409" s="15" t="s">
        <v>422</v>
      </c>
      <c r="D409" s="15" t="s">
        <v>413</v>
      </c>
      <c r="E409" s="74">
        <v>29</v>
      </c>
      <c r="F409" s="74">
        <v>35</v>
      </c>
      <c r="G409" s="74">
        <v>15</v>
      </c>
      <c r="H409" s="74">
        <v>20</v>
      </c>
      <c r="I409" s="74"/>
      <c r="J409" s="74">
        <v>30</v>
      </c>
      <c r="K409" s="74">
        <v>40</v>
      </c>
      <c r="L409" s="74">
        <v>26</v>
      </c>
      <c r="M409" s="74">
        <v>16</v>
      </c>
      <c r="N409" s="74" t="s">
        <v>427</v>
      </c>
      <c r="O409" s="74">
        <f t="shared" si="209"/>
        <v>99</v>
      </c>
      <c r="P409" s="74">
        <f t="shared" si="210"/>
        <v>112</v>
      </c>
      <c r="Q409" s="74" t="str">
        <f t="shared" si="211"/>
        <v>HL</v>
      </c>
      <c r="R409" s="74" t="str">
        <f t="shared" si="212"/>
        <v>HL</v>
      </c>
      <c r="S409" s="74" t="str">
        <f t="shared" si="213"/>
        <v>HL</v>
      </c>
      <c r="T409" s="74" t="str">
        <f t="shared" si="214"/>
        <v>HW</v>
      </c>
      <c r="U409" s="74" t="str">
        <f t="shared" si="215"/>
        <v>O</v>
      </c>
      <c r="V409" s="74" t="str">
        <f t="shared" si="216"/>
        <v>O</v>
      </c>
      <c r="W409" s="74" t="str">
        <f t="shared" si="217"/>
        <v>U</v>
      </c>
      <c r="X409" s="74" t="str">
        <f t="shared" si="218"/>
        <v>U</v>
      </c>
      <c r="Y409" s="74"/>
      <c r="Z409" s="74">
        <v>56</v>
      </c>
      <c r="AB409" s="74" t="str">
        <f t="shared" si="219"/>
        <v>DET/TOR</v>
      </c>
      <c r="AC409" s="74">
        <f t="shared" si="220"/>
        <v>2</v>
      </c>
      <c r="AD409" s="74">
        <f t="shared" si="221"/>
        <v>2</v>
      </c>
    </row>
    <row r="410" spans="1:30" x14ac:dyDescent="0.45">
      <c r="A410" s="74">
        <v>191219</v>
      </c>
      <c r="B410" s="44">
        <v>0.375</v>
      </c>
      <c r="C410" s="15" t="s">
        <v>401</v>
      </c>
      <c r="D410" s="15" t="s">
        <v>411</v>
      </c>
      <c r="E410" s="74">
        <v>29</v>
      </c>
      <c r="F410" s="74">
        <v>19</v>
      </c>
      <c r="G410" s="74">
        <v>26</v>
      </c>
      <c r="H410" s="74">
        <v>30</v>
      </c>
      <c r="I410" s="74"/>
      <c r="J410" s="74">
        <v>19</v>
      </c>
      <c r="K410" s="74">
        <v>37</v>
      </c>
      <c r="L410" s="74">
        <v>26</v>
      </c>
      <c r="M410" s="74">
        <v>26</v>
      </c>
      <c r="N410" s="74" t="s">
        <v>427</v>
      </c>
      <c r="O410" s="74">
        <f t="shared" si="209"/>
        <v>104</v>
      </c>
      <c r="P410" s="74">
        <f t="shared" si="210"/>
        <v>108</v>
      </c>
      <c r="Q410" s="74" t="str">
        <f t="shared" si="211"/>
        <v>HW</v>
      </c>
      <c r="R410" s="74" t="str">
        <f t="shared" si="212"/>
        <v>HL</v>
      </c>
      <c r="S410" s="74" t="str">
        <f t="shared" si="213"/>
        <v>TT</v>
      </c>
      <c r="T410" s="74" t="str">
        <f t="shared" si="214"/>
        <v>HW</v>
      </c>
      <c r="U410" s="74" t="str">
        <f t="shared" si="215"/>
        <v>U</v>
      </c>
      <c r="V410" s="74" t="str">
        <f t="shared" si="216"/>
        <v>O</v>
      </c>
      <c r="W410" s="74" t="str">
        <f t="shared" si="217"/>
        <v>U</v>
      </c>
      <c r="X410" s="74" t="str">
        <f t="shared" si="218"/>
        <v>O</v>
      </c>
      <c r="Y410" s="74"/>
      <c r="Z410" s="74">
        <v>54.5</v>
      </c>
      <c r="AB410" s="74" t="str">
        <f t="shared" si="219"/>
        <v>PHI/MIA</v>
      </c>
      <c r="AC410" s="74">
        <f t="shared" si="220"/>
        <v>2</v>
      </c>
      <c r="AD410" s="74">
        <f t="shared" si="221"/>
        <v>2</v>
      </c>
    </row>
    <row r="411" spans="1:30" x14ac:dyDescent="0.45">
      <c r="A411" s="74">
        <v>191219</v>
      </c>
      <c r="B411" s="44">
        <v>0.375</v>
      </c>
      <c r="C411" s="74" t="s">
        <v>414</v>
      </c>
      <c r="D411" s="74" t="s">
        <v>412</v>
      </c>
      <c r="E411" s="74">
        <v>27</v>
      </c>
      <c r="F411" s="74">
        <v>31</v>
      </c>
      <c r="G411" s="74">
        <v>27</v>
      </c>
      <c r="H411" s="74">
        <v>13</v>
      </c>
      <c r="I411" s="74">
        <v>11</v>
      </c>
      <c r="J411" s="74">
        <v>23</v>
      </c>
      <c r="K411" s="74">
        <v>29</v>
      </c>
      <c r="L411" s="74">
        <v>21</v>
      </c>
      <c r="M411" s="74">
        <v>25</v>
      </c>
      <c r="N411" s="74">
        <v>12</v>
      </c>
      <c r="O411" s="74">
        <f t="shared" si="209"/>
        <v>109</v>
      </c>
      <c r="P411" s="74">
        <f t="shared" si="210"/>
        <v>110</v>
      </c>
      <c r="Q411" s="74" t="str">
        <f t="shared" si="211"/>
        <v>HW</v>
      </c>
      <c r="R411" s="74" t="str">
        <f t="shared" si="212"/>
        <v>HW</v>
      </c>
      <c r="S411" s="74" t="str">
        <f t="shared" si="213"/>
        <v>HW</v>
      </c>
      <c r="T411" s="74" t="str">
        <f t="shared" si="214"/>
        <v>HL</v>
      </c>
      <c r="U411" s="74" t="str">
        <f t="shared" si="215"/>
        <v>U</v>
      </c>
      <c r="V411" s="74" t="str">
        <f t="shared" si="216"/>
        <v>O</v>
      </c>
      <c r="W411" s="74" t="str">
        <f t="shared" si="217"/>
        <v>U</v>
      </c>
      <c r="X411" s="74" t="str">
        <f t="shared" si="218"/>
        <v>U</v>
      </c>
      <c r="Y411" s="74"/>
      <c r="Z411" s="74">
        <v>59</v>
      </c>
      <c r="AB411" s="74" t="str">
        <f t="shared" si="219"/>
        <v>WAS/CHI</v>
      </c>
      <c r="AC411" s="74">
        <f t="shared" si="220"/>
        <v>1</v>
      </c>
      <c r="AD411" s="74">
        <f t="shared" si="221"/>
        <v>3</v>
      </c>
    </row>
    <row r="412" spans="1:30" x14ac:dyDescent="0.45">
      <c r="A412" s="74">
        <v>191219</v>
      </c>
      <c r="B412" s="44">
        <v>0.41666666666666669</v>
      </c>
      <c r="C412" s="15" t="s">
        <v>420</v>
      </c>
      <c r="D412" s="13" t="s">
        <v>398</v>
      </c>
      <c r="E412" s="74">
        <v>25</v>
      </c>
      <c r="F412" s="74">
        <v>25</v>
      </c>
      <c r="G412" s="74">
        <v>22</v>
      </c>
      <c r="H412" s="74">
        <v>27</v>
      </c>
      <c r="I412" s="74"/>
      <c r="J412" s="74">
        <v>32</v>
      </c>
      <c r="K412" s="74">
        <v>31</v>
      </c>
      <c r="L412" s="74">
        <v>24</v>
      </c>
      <c r="M412" s="74">
        <v>20</v>
      </c>
      <c r="N412" s="74" t="s">
        <v>427</v>
      </c>
      <c r="O412" s="74">
        <f t="shared" si="209"/>
        <v>99</v>
      </c>
      <c r="P412" s="74">
        <f t="shared" si="210"/>
        <v>107</v>
      </c>
      <c r="Q412" s="74" t="str">
        <f t="shared" si="211"/>
        <v>HL</v>
      </c>
      <c r="R412" s="74" t="str">
        <f t="shared" si="212"/>
        <v>HL</v>
      </c>
      <c r="S412" s="74" t="str">
        <f t="shared" si="213"/>
        <v>HL</v>
      </c>
      <c r="T412" s="74" t="str">
        <f t="shared" si="214"/>
        <v>HW</v>
      </c>
      <c r="U412" s="74" t="str">
        <f t="shared" si="215"/>
        <v>U</v>
      </c>
      <c r="V412" s="74" t="str">
        <f t="shared" si="216"/>
        <v>U</v>
      </c>
      <c r="W412" s="74" t="str">
        <f t="shared" si="217"/>
        <v>U</v>
      </c>
      <c r="X412" s="74" t="str">
        <f t="shared" si="218"/>
        <v>U</v>
      </c>
      <c r="Y412" s="74"/>
      <c r="Z412" s="74">
        <v>59</v>
      </c>
      <c r="AB412" s="74" t="str">
        <f t="shared" si="219"/>
        <v>MIN/NO</v>
      </c>
      <c r="AC412" s="74">
        <f t="shared" si="220"/>
        <v>0</v>
      </c>
      <c r="AD412" s="74">
        <f t="shared" si="221"/>
        <v>4</v>
      </c>
    </row>
    <row r="413" spans="1:30" x14ac:dyDescent="0.45">
      <c r="A413" s="74">
        <v>191219</v>
      </c>
      <c r="B413" s="44">
        <v>0.41666666666666669</v>
      </c>
      <c r="C413" s="5" t="s">
        <v>418</v>
      </c>
      <c r="D413" s="5" t="s">
        <v>406</v>
      </c>
      <c r="E413" s="74">
        <v>27</v>
      </c>
      <c r="F413" s="74">
        <v>32</v>
      </c>
      <c r="G413" s="74">
        <v>34</v>
      </c>
      <c r="H413" s="74">
        <v>33</v>
      </c>
      <c r="I413" s="74"/>
      <c r="J413" s="74">
        <v>32</v>
      </c>
      <c r="K413" s="74">
        <v>36</v>
      </c>
      <c r="L413" s="74">
        <v>32</v>
      </c>
      <c r="M413" s="74">
        <v>22</v>
      </c>
      <c r="N413" s="74" t="s">
        <v>427</v>
      </c>
      <c r="O413" s="74">
        <f t="shared" si="209"/>
        <v>126</v>
      </c>
      <c r="P413" s="74">
        <f t="shared" si="210"/>
        <v>122</v>
      </c>
      <c r="Q413" s="74" t="str">
        <f t="shared" si="211"/>
        <v>HL</v>
      </c>
      <c r="R413" s="74" t="str">
        <f t="shared" si="212"/>
        <v>HL</v>
      </c>
      <c r="S413" s="74" t="str">
        <f t="shared" si="213"/>
        <v>HW</v>
      </c>
      <c r="T413" s="74" t="str">
        <f t="shared" si="214"/>
        <v>HW</v>
      </c>
      <c r="U413" s="74" t="str">
        <f t="shared" si="215"/>
        <v>O</v>
      </c>
      <c r="V413" s="74" t="str">
        <f t="shared" si="216"/>
        <v>O</v>
      </c>
      <c r="W413" s="74" t="str">
        <f t="shared" si="217"/>
        <v>O</v>
      </c>
      <c r="X413" s="74" t="str">
        <f t="shared" si="218"/>
        <v>O</v>
      </c>
      <c r="Y413" s="74"/>
      <c r="Z413" s="74">
        <v>54</v>
      </c>
      <c r="AB413" s="74" t="str">
        <f t="shared" si="219"/>
        <v>OKC/MEM</v>
      </c>
      <c r="AC413" s="74">
        <f t="shared" si="220"/>
        <v>4</v>
      </c>
      <c r="AD413" s="74">
        <f t="shared" si="221"/>
        <v>0</v>
      </c>
    </row>
    <row r="414" spans="1:30" x14ac:dyDescent="0.45">
      <c r="A414" s="74">
        <v>191219</v>
      </c>
      <c r="B414" s="44">
        <v>0.45833333333333331</v>
      </c>
      <c r="C414" s="13" t="s">
        <v>46</v>
      </c>
      <c r="D414" s="15" t="s">
        <v>424</v>
      </c>
      <c r="E414" s="74">
        <v>27</v>
      </c>
      <c r="F414" s="74">
        <v>18</v>
      </c>
      <c r="G414" s="74">
        <v>39</v>
      </c>
      <c r="H414" s="74">
        <v>29</v>
      </c>
      <c r="I414" s="74"/>
      <c r="J414" s="74">
        <v>32</v>
      </c>
      <c r="K414" s="74">
        <v>28</v>
      </c>
      <c r="L414" s="74">
        <v>16</v>
      </c>
      <c r="M414" s="74">
        <v>28</v>
      </c>
      <c r="N414" s="74" t="s">
        <v>427</v>
      </c>
      <c r="O414" s="74">
        <f t="shared" si="209"/>
        <v>113</v>
      </c>
      <c r="P414" s="74">
        <f t="shared" si="210"/>
        <v>104</v>
      </c>
      <c r="Q414" s="74" t="str">
        <f t="shared" si="211"/>
        <v>HL</v>
      </c>
      <c r="R414" s="74" t="str">
        <f t="shared" si="212"/>
        <v>HL</v>
      </c>
      <c r="S414" s="74" t="str">
        <f t="shared" si="213"/>
        <v>HW</v>
      </c>
      <c r="T414" s="74" t="str">
        <f t="shared" si="214"/>
        <v>HW</v>
      </c>
      <c r="U414" s="74" t="str">
        <f t="shared" si="215"/>
        <v>O</v>
      </c>
      <c r="V414" s="74" t="str">
        <f t="shared" si="216"/>
        <v>U</v>
      </c>
      <c r="W414" s="74" t="str">
        <f t="shared" si="217"/>
        <v>O</v>
      </c>
      <c r="X414" s="74" t="str">
        <f t="shared" si="218"/>
        <v>O</v>
      </c>
      <c r="Y414" s="74"/>
      <c r="Z414" s="74">
        <v>52.5</v>
      </c>
      <c r="AB414" s="74" t="str">
        <f t="shared" si="219"/>
        <v>DEN/ORL</v>
      </c>
      <c r="AC414" s="74">
        <f t="shared" si="220"/>
        <v>3</v>
      </c>
      <c r="AD414" s="74">
        <f t="shared" si="221"/>
        <v>1</v>
      </c>
    </row>
    <row r="415" spans="1:30" x14ac:dyDescent="0.45">
      <c r="A415" s="74">
        <v>191219</v>
      </c>
      <c r="B415" s="44">
        <v>0.47916666666666669</v>
      </c>
      <c r="C415" s="15" t="s">
        <v>98</v>
      </c>
      <c r="D415" s="48" t="s">
        <v>421</v>
      </c>
      <c r="E415" s="74">
        <v>29</v>
      </c>
      <c r="F415" s="74">
        <v>26</v>
      </c>
      <c r="G415" s="74">
        <v>18</v>
      </c>
      <c r="H415" s="74">
        <v>30</v>
      </c>
      <c r="I415" s="74"/>
      <c r="J415" s="74">
        <v>29</v>
      </c>
      <c r="K415" s="74">
        <v>21</v>
      </c>
      <c r="L415" s="74">
        <v>26</v>
      </c>
      <c r="M415" s="74">
        <v>33</v>
      </c>
      <c r="N415" s="74" t="s">
        <v>427</v>
      </c>
      <c r="O415" s="74">
        <f t="shared" si="209"/>
        <v>103</v>
      </c>
      <c r="P415" s="74">
        <f t="shared" si="210"/>
        <v>109</v>
      </c>
      <c r="Q415" s="74" t="str">
        <f t="shared" si="211"/>
        <v>TT</v>
      </c>
      <c r="R415" s="74" t="str">
        <f t="shared" si="212"/>
        <v>HW</v>
      </c>
      <c r="S415" s="74" t="str">
        <f t="shared" si="213"/>
        <v>HL</v>
      </c>
      <c r="T415" s="74" t="str">
        <f t="shared" si="214"/>
        <v>HL</v>
      </c>
      <c r="U415" s="74" t="str">
        <f t="shared" si="215"/>
        <v>O</v>
      </c>
      <c r="V415" s="74" t="str">
        <f t="shared" si="216"/>
        <v>U</v>
      </c>
      <c r="W415" s="74" t="str">
        <f t="shared" si="217"/>
        <v>U</v>
      </c>
      <c r="X415" s="74" t="str">
        <f t="shared" si="218"/>
        <v>O</v>
      </c>
      <c r="Y415" s="74"/>
      <c r="Z415" s="74">
        <v>52.5</v>
      </c>
      <c r="AB415" s="74" t="str">
        <f t="shared" si="219"/>
        <v>DAL/BOS</v>
      </c>
      <c r="AC415" s="74">
        <f t="shared" si="220"/>
        <v>2</v>
      </c>
      <c r="AD415" s="74">
        <f t="shared" si="221"/>
        <v>2</v>
      </c>
    </row>
    <row r="416" spans="1:30" x14ac:dyDescent="0.45">
      <c r="A416" s="74">
        <v>191219</v>
      </c>
      <c r="B416" s="44">
        <v>0.5</v>
      </c>
      <c r="C416" s="74" t="s">
        <v>417</v>
      </c>
      <c r="D416" s="74" t="s">
        <v>425</v>
      </c>
      <c r="E416" s="74">
        <v>40</v>
      </c>
      <c r="F416" s="74">
        <v>27</v>
      </c>
      <c r="G416" s="74">
        <v>30</v>
      </c>
      <c r="H416" s="74">
        <v>25</v>
      </c>
      <c r="I416" s="74"/>
      <c r="J416" s="74">
        <v>29</v>
      </c>
      <c r="K416" s="74">
        <v>37</v>
      </c>
      <c r="L416" s="74">
        <v>26</v>
      </c>
      <c r="M416" s="74">
        <v>20</v>
      </c>
      <c r="N416" s="74" t="s">
        <v>427</v>
      </c>
      <c r="O416" s="74">
        <f t="shared" si="209"/>
        <v>122</v>
      </c>
      <c r="P416" s="74">
        <f t="shared" si="210"/>
        <v>112</v>
      </c>
      <c r="Q416" s="74" t="str">
        <f t="shared" si="211"/>
        <v>HW</v>
      </c>
      <c r="R416" s="74" t="str">
        <f t="shared" si="212"/>
        <v>HL</v>
      </c>
      <c r="S416" s="74" t="str">
        <f t="shared" si="213"/>
        <v>HW</v>
      </c>
      <c r="T416" s="74" t="str">
        <f t="shared" si="214"/>
        <v>HW</v>
      </c>
      <c r="U416" s="74" t="str">
        <f t="shared" si="215"/>
        <v>O</v>
      </c>
      <c r="V416" s="74" t="str">
        <f t="shared" si="216"/>
        <v>O</v>
      </c>
      <c r="W416" s="74" t="str">
        <f t="shared" si="217"/>
        <v>U</v>
      </c>
      <c r="X416" s="74" t="str">
        <f t="shared" si="218"/>
        <v>U</v>
      </c>
      <c r="Y416" s="74"/>
      <c r="Z416" s="74">
        <v>56.5</v>
      </c>
      <c r="AB416" s="74" t="str">
        <f t="shared" si="219"/>
        <v>POR/GS</v>
      </c>
      <c r="AC416" s="74">
        <f t="shared" si="220"/>
        <v>2</v>
      </c>
      <c r="AD416" s="74">
        <f t="shared" si="221"/>
        <v>2</v>
      </c>
    </row>
    <row r="417" spans="1:30" x14ac:dyDescent="0.45">
      <c r="A417" s="74">
        <v>191220</v>
      </c>
      <c r="B417" s="75">
        <v>0.39583333333333331</v>
      </c>
      <c r="C417" s="74" t="s">
        <v>410</v>
      </c>
      <c r="D417" s="74" t="s">
        <v>405</v>
      </c>
      <c r="E417" s="74">
        <v>30</v>
      </c>
      <c r="F417" s="74">
        <v>26</v>
      </c>
      <c r="G417" s="74">
        <v>28</v>
      </c>
      <c r="H417" s="74">
        <v>22</v>
      </c>
      <c r="I417" s="74"/>
      <c r="J417" s="74">
        <v>28</v>
      </c>
      <c r="K417" s="74">
        <v>24</v>
      </c>
      <c r="L417" s="74">
        <v>31</v>
      </c>
      <c r="M417" s="74">
        <v>28</v>
      </c>
      <c r="N417" s="74" t="s">
        <v>427</v>
      </c>
      <c r="O417" s="74">
        <f t="shared" si="209"/>
        <v>106</v>
      </c>
      <c r="P417" s="74">
        <f t="shared" si="210"/>
        <v>111</v>
      </c>
      <c r="Q417" s="74" t="str">
        <f t="shared" si="211"/>
        <v>HW</v>
      </c>
      <c r="R417" s="74" t="str">
        <f t="shared" si="212"/>
        <v>HW</v>
      </c>
      <c r="S417" s="74" t="str">
        <f t="shared" si="213"/>
        <v>HL</v>
      </c>
      <c r="T417" s="74" t="str">
        <f t="shared" si="214"/>
        <v>HL</v>
      </c>
      <c r="U417" s="74" t="str">
        <f t="shared" si="215"/>
        <v>O</v>
      </c>
      <c r="V417" s="74" t="str">
        <f t="shared" si="216"/>
        <v>U</v>
      </c>
      <c r="W417" s="74" t="str">
        <f t="shared" si="217"/>
        <v>O</v>
      </c>
      <c r="X417" s="74" t="str">
        <f t="shared" si="218"/>
        <v>U</v>
      </c>
      <c r="Y417" s="74"/>
      <c r="Z417" s="74">
        <v>55</v>
      </c>
      <c r="AB417" s="74" t="str">
        <f t="shared" si="219"/>
        <v>ATL/UTA</v>
      </c>
      <c r="AC417" s="74">
        <f t="shared" si="220"/>
        <v>2</v>
      </c>
      <c r="AD417" s="74">
        <f t="shared" si="221"/>
        <v>2</v>
      </c>
    </row>
    <row r="418" spans="1:30" x14ac:dyDescent="0.45">
      <c r="A418" s="74">
        <v>191220</v>
      </c>
      <c r="B418" s="75">
        <v>0.41666666666666669</v>
      </c>
      <c r="C418" s="74" t="s">
        <v>423</v>
      </c>
      <c r="D418" s="74" t="s">
        <v>419</v>
      </c>
      <c r="E418" s="74">
        <v>23</v>
      </c>
      <c r="F418" s="74">
        <v>42</v>
      </c>
      <c r="G418" s="74">
        <v>24</v>
      </c>
      <c r="H418" s="74">
        <v>22</v>
      </c>
      <c r="I418" s="74"/>
      <c r="J418" s="74">
        <v>17</v>
      </c>
      <c r="K418" s="74">
        <v>29</v>
      </c>
      <c r="L418" s="74">
        <v>35</v>
      </c>
      <c r="M418" s="74">
        <v>23</v>
      </c>
      <c r="N418" s="74" t="s">
        <v>427</v>
      </c>
      <c r="O418" s="74">
        <f t="shared" si="209"/>
        <v>111</v>
      </c>
      <c r="P418" s="74">
        <f t="shared" si="210"/>
        <v>104</v>
      </c>
      <c r="Q418" s="74" t="str">
        <f t="shared" si="211"/>
        <v>HW</v>
      </c>
      <c r="R418" s="74" t="str">
        <f t="shared" si="212"/>
        <v>HW</v>
      </c>
      <c r="S418" s="74" t="str">
        <f t="shared" si="213"/>
        <v>HL</v>
      </c>
      <c r="T418" s="74" t="str">
        <f t="shared" si="214"/>
        <v>HL</v>
      </c>
      <c r="U418" s="74" t="str">
        <f t="shared" si="215"/>
        <v>U</v>
      </c>
      <c r="V418" s="74" t="str">
        <f t="shared" si="216"/>
        <v>O</v>
      </c>
      <c r="W418" s="74" t="str">
        <f t="shared" si="217"/>
        <v>O</v>
      </c>
      <c r="X418" s="74" t="str">
        <f t="shared" si="218"/>
        <v>U</v>
      </c>
      <c r="Y418" s="74"/>
      <c r="Z418" s="74">
        <v>58.5</v>
      </c>
      <c r="AB418" s="74" t="str">
        <f t="shared" si="219"/>
        <v>MIL/LAL</v>
      </c>
      <c r="AC418" s="74">
        <f t="shared" si="220"/>
        <v>2</v>
      </c>
      <c r="AD418" s="74">
        <f t="shared" si="221"/>
        <v>2</v>
      </c>
    </row>
    <row r="419" spans="1:30" x14ac:dyDescent="0.45">
      <c r="A419" s="74">
        <v>191220</v>
      </c>
      <c r="B419" s="75">
        <v>0.4375</v>
      </c>
      <c r="C419" s="74" t="s">
        <v>426</v>
      </c>
      <c r="D419" s="74" t="s">
        <v>407</v>
      </c>
      <c r="E419" s="74">
        <v>27</v>
      </c>
      <c r="F419" s="74">
        <v>23</v>
      </c>
      <c r="G419" s="74">
        <v>33</v>
      </c>
      <c r="H419" s="74">
        <v>35</v>
      </c>
      <c r="I419" s="74"/>
      <c r="J419" s="74">
        <v>33</v>
      </c>
      <c r="K419" s="74">
        <v>23</v>
      </c>
      <c r="L419" s="74">
        <v>25</v>
      </c>
      <c r="M419" s="74">
        <v>24</v>
      </c>
      <c r="N419" s="74" t="s">
        <v>427</v>
      </c>
      <c r="O419" s="74">
        <f t="shared" si="209"/>
        <v>118</v>
      </c>
      <c r="P419" s="74">
        <f t="shared" si="210"/>
        <v>105</v>
      </c>
      <c r="Q419" s="74" t="str">
        <f t="shared" si="211"/>
        <v>HL</v>
      </c>
      <c r="R419" s="74" t="str">
        <f t="shared" si="212"/>
        <v>TT</v>
      </c>
      <c r="S419" s="74" t="str">
        <f t="shared" si="213"/>
        <v>HW</v>
      </c>
      <c r="T419" s="74" t="str">
        <f t="shared" si="214"/>
        <v>HW</v>
      </c>
      <c r="U419" s="74" t="str">
        <f t="shared" si="215"/>
        <v>O</v>
      </c>
      <c r="V419" s="74" t="str">
        <f t="shared" si="216"/>
        <v>U</v>
      </c>
      <c r="W419" s="74" t="str">
        <f t="shared" si="217"/>
        <v>O</v>
      </c>
      <c r="X419" s="74" t="str">
        <f t="shared" si="218"/>
        <v>O</v>
      </c>
      <c r="Y419" s="74"/>
      <c r="Z419" s="74">
        <v>53.5</v>
      </c>
      <c r="AB419" s="74" t="str">
        <f t="shared" si="219"/>
        <v>SAS/BKN</v>
      </c>
      <c r="AC419" s="74">
        <f t="shared" si="220"/>
        <v>3</v>
      </c>
      <c r="AD419" s="74">
        <f t="shared" si="221"/>
        <v>1</v>
      </c>
    </row>
    <row r="420" spans="1:30" x14ac:dyDescent="0.45">
      <c r="A420" s="74">
        <v>191220</v>
      </c>
      <c r="B420" s="75">
        <v>0.52083333333333337</v>
      </c>
      <c r="C420" s="74" t="s">
        <v>415</v>
      </c>
      <c r="D420" s="74" t="s">
        <v>403</v>
      </c>
      <c r="E420" s="74">
        <v>28</v>
      </c>
      <c r="F420" s="74">
        <v>41</v>
      </c>
      <c r="G420" s="74">
        <v>18</v>
      </c>
      <c r="H420" s="74">
        <v>30</v>
      </c>
      <c r="I420" s="74"/>
      <c r="J420" s="74">
        <v>27</v>
      </c>
      <c r="K420" s="74">
        <v>27</v>
      </c>
      <c r="L420" s="74">
        <v>36</v>
      </c>
      <c r="M420" s="74">
        <v>32</v>
      </c>
      <c r="N420" s="74" t="s">
        <v>427</v>
      </c>
      <c r="O420" s="74">
        <f t="shared" si="209"/>
        <v>117</v>
      </c>
      <c r="P420" s="74">
        <f t="shared" si="210"/>
        <v>122</v>
      </c>
      <c r="Q420" s="74" t="str">
        <f t="shared" si="211"/>
        <v>HW</v>
      </c>
      <c r="R420" s="74" t="str">
        <f t="shared" si="212"/>
        <v>HW</v>
      </c>
      <c r="S420" s="74" t="str">
        <f t="shared" si="213"/>
        <v>HL</v>
      </c>
      <c r="T420" s="74" t="str">
        <f t="shared" si="214"/>
        <v>HL</v>
      </c>
      <c r="U420" s="74" t="str">
        <f t="shared" si="215"/>
        <v>U</v>
      </c>
      <c r="V420" s="74" t="str">
        <f t="shared" si="216"/>
        <v>O</v>
      </c>
      <c r="W420" s="74" t="str">
        <f t="shared" si="217"/>
        <v>U</v>
      </c>
      <c r="X420" s="74" t="str">
        <f t="shared" si="218"/>
        <v>O</v>
      </c>
      <c r="Y420" s="74"/>
      <c r="Z420" s="74">
        <v>60.5</v>
      </c>
      <c r="AB420" s="74" t="str">
        <f t="shared" si="219"/>
        <v>LAC/HOU</v>
      </c>
      <c r="AC420" s="74">
        <f t="shared" si="220"/>
        <v>2</v>
      </c>
      <c r="AD420" s="74">
        <f t="shared" si="221"/>
        <v>2</v>
      </c>
    </row>
    <row r="421" spans="1:30" x14ac:dyDescent="0.45">
      <c r="A421" s="74">
        <v>191221</v>
      </c>
      <c r="B421" s="75">
        <v>0.375</v>
      </c>
      <c r="C421" s="74" t="s">
        <v>402</v>
      </c>
      <c r="D421" s="74" t="s">
        <v>406</v>
      </c>
      <c r="E421" s="74">
        <v>25</v>
      </c>
      <c r="F421" s="74">
        <v>30</v>
      </c>
      <c r="G421" s="74">
        <v>26</v>
      </c>
      <c r="H421" s="74">
        <v>33</v>
      </c>
      <c r="I421" s="74"/>
      <c r="J421" s="74">
        <v>27</v>
      </c>
      <c r="K421" s="74">
        <v>24</v>
      </c>
      <c r="L421" s="74">
        <v>36</v>
      </c>
      <c r="M421" s="74">
        <v>20</v>
      </c>
      <c r="N421" s="74" t="s">
        <v>427</v>
      </c>
      <c r="O421" s="74">
        <f t="shared" si="209"/>
        <v>114</v>
      </c>
      <c r="P421" s="74">
        <f t="shared" si="210"/>
        <v>107</v>
      </c>
      <c r="Q421" s="74" t="str">
        <f t="shared" si="211"/>
        <v>HL</v>
      </c>
      <c r="R421" s="74" t="str">
        <f t="shared" si="212"/>
        <v>HW</v>
      </c>
      <c r="S421" s="74" t="str">
        <f t="shared" si="213"/>
        <v>HL</v>
      </c>
      <c r="T421" s="74" t="str">
        <f t="shared" si="214"/>
        <v>HW</v>
      </c>
      <c r="U421" s="74" t="str">
        <f t="shared" si="215"/>
        <v>U</v>
      </c>
      <c r="V421" s="74" t="str">
        <f t="shared" si="216"/>
        <v>U</v>
      </c>
      <c r="W421" s="74" t="str">
        <f t="shared" si="217"/>
        <v>O</v>
      </c>
      <c r="X421" s="74" t="str">
        <f t="shared" si="218"/>
        <v>U</v>
      </c>
      <c r="Y421" s="74"/>
      <c r="Z421" s="74">
        <v>55</v>
      </c>
      <c r="AB421" s="74" t="str">
        <f t="shared" si="219"/>
        <v>CLE/MEM</v>
      </c>
      <c r="AC421" s="74">
        <f t="shared" si="220"/>
        <v>1</v>
      </c>
      <c r="AD421" s="74">
        <f t="shared" si="221"/>
        <v>3</v>
      </c>
    </row>
    <row r="422" spans="1:30" x14ac:dyDescent="0.45">
      <c r="A422" s="74">
        <v>191221</v>
      </c>
      <c r="B422" s="75">
        <v>0.375</v>
      </c>
      <c r="C422" s="74" t="s">
        <v>400</v>
      </c>
      <c r="D422" s="74" t="s">
        <v>416</v>
      </c>
      <c r="E422" s="74">
        <v>30</v>
      </c>
      <c r="F422" s="74">
        <v>38</v>
      </c>
      <c r="G422" s="74">
        <v>24</v>
      </c>
      <c r="H422" s="74">
        <v>27</v>
      </c>
      <c r="I422" s="74"/>
      <c r="J422" s="74">
        <v>32</v>
      </c>
      <c r="K422" s="74">
        <v>25</v>
      </c>
      <c r="L422" s="74">
        <v>22</v>
      </c>
      <c r="M422" s="74">
        <v>26</v>
      </c>
      <c r="N422" s="74" t="s">
        <v>427</v>
      </c>
      <c r="O422" s="74">
        <f t="shared" si="209"/>
        <v>119</v>
      </c>
      <c r="P422" s="74">
        <f t="shared" si="210"/>
        <v>105</v>
      </c>
      <c r="Q422" s="74" t="str">
        <f t="shared" si="211"/>
        <v>HL</v>
      </c>
      <c r="R422" s="74" t="str">
        <f t="shared" si="212"/>
        <v>HW</v>
      </c>
      <c r="S422" s="74" t="str">
        <f t="shared" si="213"/>
        <v>HW</v>
      </c>
      <c r="T422" s="74" t="str">
        <f t="shared" si="214"/>
        <v>HW</v>
      </c>
      <c r="U422" s="74" t="str">
        <f t="shared" si="215"/>
        <v>O</v>
      </c>
      <c r="V422" s="74" t="str">
        <f t="shared" si="216"/>
        <v>O</v>
      </c>
      <c r="W422" s="74" t="str">
        <f t="shared" si="217"/>
        <v>U</v>
      </c>
      <c r="X422" s="74" t="str">
        <f t="shared" si="218"/>
        <v>U</v>
      </c>
      <c r="Y422" s="74"/>
      <c r="Z422" s="74">
        <v>54</v>
      </c>
      <c r="AB422" s="74" t="str">
        <f t="shared" si="219"/>
        <v>IND/SAC</v>
      </c>
      <c r="AC422" s="74">
        <f t="shared" si="220"/>
        <v>2</v>
      </c>
      <c r="AD422" s="74">
        <f t="shared" si="221"/>
        <v>2</v>
      </c>
    </row>
    <row r="423" spans="1:30" x14ac:dyDescent="0.45">
      <c r="A423" s="74">
        <v>191221</v>
      </c>
      <c r="B423" s="75">
        <v>0.39583333333333331</v>
      </c>
      <c r="C423" s="74" t="s">
        <v>421</v>
      </c>
      <c r="D423" s="74" t="s">
        <v>422</v>
      </c>
      <c r="E423" s="74">
        <v>28</v>
      </c>
      <c r="F423" s="74">
        <v>32</v>
      </c>
      <c r="G423" s="74">
        <v>31</v>
      </c>
      <c r="H423" s="74">
        <v>23</v>
      </c>
      <c r="I423" s="74"/>
      <c r="J423" s="74">
        <v>26</v>
      </c>
      <c r="K423" s="74">
        <v>22</v>
      </c>
      <c r="L423" s="74">
        <v>21</v>
      </c>
      <c r="M423" s="74">
        <v>24</v>
      </c>
      <c r="N423" s="74" t="s">
        <v>427</v>
      </c>
      <c r="O423" s="74">
        <f t="shared" si="209"/>
        <v>114</v>
      </c>
      <c r="P423" s="74">
        <f t="shared" si="210"/>
        <v>93</v>
      </c>
      <c r="Q423" s="74" t="str">
        <f t="shared" si="211"/>
        <v>HW</v>
      </c>
      <c r="R423" s="74" t="str">
        <f t="shared" si="212"/>
        <v>HW</v>
      </c>
      <c r="S423" s="74" t="str">
        <f t="shared" si="213"/>
        <v>HW</v>
      </c>
      <c r="T423" s="74" t="str">
        <f t="shared" si="214"/>
        <v>HL</v>
      </c>
      <c r="U423" s="74" t="str">
        <f t="shared" si="215"/>
        <v>U</v>
      </c>
      <c r="V423" s="74" t="str">
        <f t="shared" si="216"/>
        <v>U</v>
      </c>
      <c r="W423" s="74" t="str">
        <f t="shared" si="217"/>
        <v>U</v>
      </c>
      <c r="X423" s="74" t="str">
        <f t="shared" si="218"/>
        <v>U</v>
      </c>
      <c r="Y423" s="74"/>
      <c r="Z423" s="74">
        <v>54.5</v>
      </c>
      <c r="AB423" s="74" t="str">
        <f t="shared" si="219"/>
        <v>BOS/DET</v>
      </c>
      <c r="AC423" s="74">
        <f t="shared" si="220"/>
        <v>0</v>
      </c>
      <c r="AD423" s="74">
        <f t="shared" si="221"/>
        <v>4</v>
      </c>
    </row>
    <row r="424" spans="1:30" x14ac:dyDescent="0.45">
      <c r="A424" s="74">
        <v>191221</v>
      </c>
      <c r="B424" s="75">
        <v>0.39583333333333331</v>
      </c>
      <c r="C424" s="74" t="s">
        <v>413</v>
      </c>
      <c r="D424" s="74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09"/>
        <v>122</v>
      </c>
      <c r="P424" s="74">
        <f t="shared" si="210"/>
        <v>118</v>
      </c>
      <c r="Q424" s="74" t="str">
        <f t="shared" si="211"/>
        <v>HW</v>
      </c>
      <c r="R424" s="74" t="str">
        <f t="shared" si="212"/>
        <v>HL</v>
      </c>
      <c r="S424" s="74" t="str">
        <f t="shared" si="213"/>
        <v>HL</v>
      </c>
      <c r="T424" s="74" t="str">
        <f t="shared" si="214"/>
        <v>HL</v>
      </c>
      <c r="U424" s="74" t="str">
        <f t="shared" si="215"/>
        <v>O</v>
      </c>
      <c r="V424" s="74" t="str">
        <f t="shared" si="216"/>
        <v>U</v>
      </c>
      <c r="W424" s="74" t="str">
        <f t="shared" si="217"/>
        <v>O</v>
      </c>
      <c r="X424" s="74" t="str">
        <f t="shared" si="218"/>
        <v>T</v>
      </c>
      <c r="Y424" s="74"/>
      <c r="Z424" s="74">
        <v>59</v>
      </c>
      <c r="AB424" s="74" t="str">
        <f t="shared" si="219"/>
        <v>TOR/WAS</v>
      </c>
      <c r="AC424" s="74">
        <f t="shared" si="220"/>
        <v>2</v>
      </c>
      <c r="AD424" s="74">
        <f t="shared" si="221"/>
        <v>1</v>
      </c>
    </row>
    <row r="425" spans="1:30" x14ac:dyDescent="0.45">
      <c r="A425" s="74">
        <v>191221</v>
      </c>
      <c r="B425" s="75">
        <v>0.41666666666666669</v>
      </c>
      <c r="C425" s="74" t="s">
        <v>411</v>
      </c>
      <c r="D425" s="74" t="s">
        <v>399</v>
      </c>
      <c r="E425" s="74">
        <v>39</v>
      </c>
      <c r="F425" s="74">
        <v>31</v>
      </c>
      <c r="G425" s="74">
        <v>28</v>
      </c>
      <c r="H425" s="74">
        <v>31</v>
      </c>
      <c r="I425" s="74"/>
      <c r="J425" s="74">
        <v>20</v>
      </c>
      <c r="K425" s="74">
        <v>27</v>
      </c>
      <c r="L425" s="74">
        <v>27</v>
      </c>
      <c r="M425" s="74">
        <v>40</v>
      </c>
      <c r="N425" s="74" t="s">
        <v>427</v>
      </c>
      <c r="O425" s="74">
        <f t="shared" si="209"/>
        <v>129</v>
      </c>
      <c r="P425" s="74">
        <f t="shared" si="210"/>
        <v>114</v>
      </c>
      <c r="Q425" s="74" t="str">
        <f t="shared" si="211"/>
        <v>HW</v>
      </c>
      <c r="R425" s="74" t="str">
        <f t="shared" si="212"/>
        <v>HW</v>
      </c>
      <c r="S425" s="74" t="str">
        <f t="shared" si="213"/>
        <v>HW</v>
      </c>
      <c r="T425" s="74" t="str">
        <f t="shared" si="214"/>
        <v>HL</v>
      </c>
      <c r="U425" s="74" t="str">
        <f t="shared" si="215"/>
        <v>O</v>
      </c>
      <c r="V425" s="74" t="str">
        <f t="shared" si="216"/>
        <v>O</v>
      </c>
      <c r="W425" s="74" t="str">
        <f t="shared" si="217"/>
        <v>U</v>
      </c>
      <c r="X425" s="74" t="str">
        <f t="shared" si="218"/>
        <v>O</v>
      </c>
      <c r="Y425" s="74"/>
      <c r="Z425" s="74">
        <v>55.5</v>
      </c>
      <c r="AB425" s="74" t="str">
        <f t="shared" si="219"/>
        <v>MIA/NYK</v>
      </c>
      <c r="AC425" s="74">
        <f t="shared" si="220"/>
        <v>3</v>
      </c>
      <c r="AD425" s="74">
        <f t="shared" si="221"/>
        <v>1</v>
      </c>
    </row>
    <row r="426" spans="1:30" x14ac:dyDescent="0.45">
      <c r="A426" s="74">
        <v>191221</v>
      </c>
      <c r="B426" s="75">
        <v>0.41666666666666669</v>
      </c>
      <c r="C426" s="74" t="s">
        <v>401</v>
      </c>
      <c r="D426" s="74" t="s">
        <v>397</v>
      </c>
      <c r="E426" s="74">
        <v>28</v>
      </c>
      <c r="F426" s="74">
        <v>29</v>
      </c>
      <c r="G426" s="74">
        <v>20</v>
      </c>
      <c r="H426" s="74">
        <v>21</v>
      </c>
      <c r="I426" s="74"/>
      <c r="J426" s="74">
        <v>35</v>
      </c>
      <c r="K426" s="74">
        <v>28</v>
      </c>
      <c r="L426" s="74">
        <v>25</v>
      </c>
      <c r="M426" s="74">
        <v>29</v>
      </c>
      <c r="N426" s="74" t="s">
        <v>427</v>
      </c>
      <c r="O426" s="74">
        <f t="shared" si="209"/>
        <v>98</v>
      </c>
      <c r="P426" s="74">
        <f t="shared" si="210"/>
        <v>117</v>
      </c>
      <c r="Q426" s="74" t="str">
        <f t="shared" si="211"/>
        <v>HL</v>
      </c>
      <c r="R426" s="74" t="str">
        <f t="shared" si="212"/>
        <v>HW</v>
      </c>
      <c r="S426" s="74" t="str">
        <f t="shared" si="213"/>
        <v>HL</v>
      </c>
      <c r="T426" s="74" t="str">
        <f t="shared" si="214"/>
        <v>HL</v>
      </c>
      <c r="U426" s="74" t="str">
        <f t="shared" si="215"/>
        <v>O</v>
      </c>
      <c r="V426" s="74" t="str">
        <f t="shared" si="216"/>
        <v>O</v>
      </c>
      <c r="W426" s="74" t="str">
        <f t="shared" si="217"/>
        <v>U</v>
      </c>
      <c r="X426" s="74" t="str">
        <f t="shared" si="218"/>
        <v>U</v>
      </c>
      <c r="Y426" s="74"/>
      <c r="Z426" s="74">
        <v>54.5</v>
      </c>
      <c r="AB426" s="74" t="str">
        <f t="shared" si="219"/>
        <v>PHI/DAL</v>
      </c>
      <c r="AC426" s="74">
        <f t="shared" si="220"/>
        <v>2</v>
      </c>
      <c r="AD426" s="74">
        <f t="shared" si="221"/>
        <v>2</v>
      </c>
    </row>
    <row r="427" spans="1:30" x14ac:dyDescent="0.45">
      <c r="A427" s="74">
        <v>191221</v>
      </c>
      <c r="B427" s="75">
        <v>0.41666666666666669</v>
      </c>
      <c r="C427" s="74" t="s">
        <v>418</v>
      </c>
      <c r="D427" s="74" t="s">
        <v>404</v>
      </c>
      <c r="E427" s="74">
        <v>26</v>
      </c>
      <c r="F427" s="74">
        <v>31</v>
      </c>
      <c r="G427" s="74">
        <v>44</v>
      </c>
      <c r="H427" s="74">
        <v>25</v>
      </c>
      <c r="I427" s="74"/>
      <c r="J427" s="74">
        <v>23</v>
      </c>
      <c r="K427" s="74">
        <v>27</v>
      </c>
      <c r="L427" s="74">
        <v>41</v>
      </c>
      <c r="M427" s="74">
        <v>17</v>
      </c>
      <c r="N427" s="74" t="s">
        <v>427</v>
      </c>
      <c r="O427" s="74">
        <f t="shared" si="209"/>
        <v>126</v>
      </c>
      <c r="P427" s="74">
        <f t="shared" si="210"/>
        <v>108</v>
      </c>
      <c r="Q427" s="74" t="str">
        <f t="shared" si="211"/>
        <v>HW</v>
      </c>
      <c r="R427" s="74" t="str">
        <f t="shared" si="212"/>
        <v>HW</v>
      </c>
      <c r="S427" s="74" t="str">
        <f t="shared" si="213"/>
        <v>HW</v>
      </c>
      <c r="T427" s="74" t="str">
        <f t="shared" si="214"/>
        <v>HW</v>
      </c>
      <c r="U427" s="74" t="str">
        <f t="shared" si="215"/>
        <v>U</v>
      </c>
      <c r="V427" s="74" t="str">
        <f t="shared" si="216"/>
        <v>O</v>
      </c>
      <c r="W427" s="74" t="str">
        <f t="shared" si="217"/>
        <v>O</v>
      </c>
      <c r="X427" s="74" t="str">
        <f t="shared" si="218"/>
        <v>U</v>
      </c>
      <c r="Y427" s="74"/>
      <c r="Z427" s="74">
        <v>54</v>
      </c>
      <c r="AB427" s="74" t="str">
        <f t="shared" si="219"/>
        <v>OKC/PHO</v>
      </c>
      <c r="AC427" s="74">
        <f t="shared" si="220"/>
        <v>2</v>
      </c>
      <c r="AD427" s="74">
        <f t="shared" si="221"/>
        <v>2</v>
      </c>
    </row>
    <row r="428" spans="1:30" x14ac:dyDescent="0.45">
      <c r="A428" s="74">
        <v>191221</v>
      </c>
      <c r="B428" s="75">
        <v>0.45833333333333331</v>
      </c>
      <c r="C428" s="74" t="s">
        <v>408</v>
      </c>
      <c r="D428" s="74" t="s">
        <v>420</v>
      </c>
      <c r="E428" s="74">
        <v>33</v>
      </c>
      <c r="F428" s="74">
        <v>28</v>
      </c>
      <c r="G428" s="74">
        <v>21</v>
      </c>
      <c r="H428" s="74">
        <v>27</v>
      </c>
      <c r="I428" s="74"/>
      <c r="J428" s="74">
        <v>20</v>
      </c>
      <c r="K428" s="74">
        <v>31</v>
      </c>
      <c r="L428" s="74">
        <v>24</v>
      </c>
      <c r="M428" s="74">
        <v>25</v>
      </c>
      <c r="N428" s="74" t="s">
        <v>427</v>
      </c>
      <c r="O428" s="74">
        <f t="shared" si="209"/>
        <v>109</v>
      </c>
      <c r="P428" s="74">
        <f t="shared" si="210"/>
        <v>100</v>
      </c>
      <c r="Q428" s="74" t="str">
        <f t="shared" si="211"/>
        <v>HW</v>
      </c>
      <c r="R428" s="74" t="str">
        <f t="shared" si="212"/>
        <v>HL</v>
      </c>
      <c r="S428" s="74" t="str">
        <f t="shared" si="213"/>
        <v>HL</v>
      </c>
      <c r="T428" s="74" t="str">
        <f t="shared" si="214"/>
        <v>HW</v>
      </c>
      <c r="U428" s="74" t="str">
        <f t="shared" si="215"/>
        <v>U</v>
      </c>
      <c r="V428" s="74" t="str">
        <f t="shared" si="216"/>
        <v>O</v>
      </c>
      <c r="W428" s="74" t="str">
        <f t="shared" si="217"/>
        <v>U</v>
      </c>
      <c r="X428" s="74" t="str">
        <f t="shared" si="218"/>
        <v>U</v>
      </c>
      <c r="Y428" s="74"/>
      <c r="Z428" s="74">
        <v>55.5</v>
      </c>
      <c r="AB428" s="74" t="str">
        <f t="shared" si="219"/>
        <v>DEN/MIN</v>
      </c>
      <c r="AC428" s="74">
        <f t="shared" si="220"/>
        <v>1</v>
      </c>
      <c r="AD428" s="74">
        <f t="shared" si="221"/>
        <v>3</v>
      </c>
    </row>
    <row r="429" spans="1:30" x14ac:dyDescent="0.45">
      <c r="A429" s="74">
        <v>191221</v>
      </c>
      <c r="B429" s="75">
        <v>0.5</v>
      </c>
      <c r="C429" s="74" t="s">
        <v>417</v>
      </c>
      <c r="D429" s="74" t="s">
        <v>424</v>
      </c>
      <c r="E429" s="74">
        <v>31</v>
      </c>
      <c r="F429" s="74">
        <v>26</v>
      </c>
      <c r="G429" s="74">
        <v>36</v>
      </c>
      <c r="H429" s="74">
        <v>25</v>
      </c>
      <c r="I429" s="74"/>
      <c r="J429" s="74">
        <v>13</v>
      </c>
      <c r="K429" s="74">
        <v>31</v>
      </c>
      <c r="L429" s="74">
        <v>31</v>
      </c>
      <c r="M429" s="74">
        <v>28</v>
      </c>
      <c r="N429" s="74" t="s">
        <v>427</v>
      </c>
      <c r="O429" s="74">
        <f t="shared" si="209"/>
        <v>118</v>
      </c>
      <c r="P429" s="74">
        <f t="shared" si="210"/>
        <v>103</v>
      </c>
      <c r="Q429" s="74" t="str">
        <f t="shared" si="211"/>
        <v>HW</v>
      </c>
      <c r="R429" s="74" t="str">
        <f t="shared" si="212"/>
        <v>HL</v>
      </c>
      <c r="S429" s="74" t="str">
        <f t="shared" si="213"/>
        <v>HW</v>
      </c>
      <c r="T429" s="74" t="str">
        <f t="shared" si="214"/>
        <v>HL</v>
      </c>
      <c r="U429" s="74" t="str">
        <f t="shared" si="215"/>
        <v>U</v>
      </c>
      <c r="V429" s="74" t="str">
        <f t="shared" si="216"/>
        <v>O</v>
      </c>
      <c r="W429" s="74" t="str">
        <f t="shared" si="217"/>
        <v>O</v>
      </c>
      <c r="X429" s="74" t="str">
        <f t="shared" si="218"/>
        <v>U</v>
      </c>
      <c r="Y429" s="74"/>
      <c r="Z429" s="74">
        <v>56</v>
      </c>
      <c r="AB429" s="74" t="str">
        <f t="shared" si="219"/>
        <v>POR/ORL</v>
      </c>
      <c r="AC429" s="74">
        <f t="shared" si="220"/>
        <v>2</v>
      </c>
      <c r="AD429" s="74">
        <f t="shared" si="221"/>
        <v>2</v>
      </c>
    </row>
    <row r="430" spans="1:30" x14ac:dyDescent="0.45">
      <c r="A430" s="74">
        <v>191221</v>
      </c>
      <c r="B430" s="75">
        <v>0.52083333333333337</v>
      </c>
      <c r="C430" s="74" t="s">
        <v>425</v>
      </c>
      <c r="D430" s="74" t="s">
        <v>398</v>
      </c>
      <c r="E430" s="74">
        <v>31</v>
      </c>
      <c r="F430" s="74">
        <v>25</v>
      </c>
      <c r="G430" s="74">
        <v>22</v>
      </c>
      <c r="H430" s="74">
        <v>28</v>
      </c>
      <c r="I430" s="74"/>
      <c r="J430" s="74">
        <v>16</v>
      </c>
      <c r="K430" s="74">
        <v>28</v>
      </c>
      <c r="L430" s="74">
        <v>37</v>
      </c>
      <c r="M430" s="74">
        <v>21</v>
      </c>
      <c r="N430" s="74" t="s">
        <v>427</v>
      </c>
      <c r="O430" s="74">
        <f t="shared" si="209"/>
        <v>106</v>
      </c>
      <c r="P430" s="74">
        <f t="shared" si="210"/>
        <v>102</v>
      </c>
      <c r="Q430" s="74" t="str">
        <f t="shared" si="211"/>
        <v>HW</v>
      </c>
      <c r="R430" s="74" t="str">
        <f t="shared" si="212"/>
        <v>HL</v>
      </c>
      <c r="S430" s="74" t="str">
        <f t="shared" si="213"/>
        <v>HL</v>
      </c>
      <c r="T430" s="74" t="str">
        <f t="shared" si="214"/>
        <v>HW</v>
      </c>
      <c r="U430" s="74" t="str">
        <f t="shared" si="215"/>
        <v>U</v>
      </c>
      <c r="V430" s="74" t="str">
        <f t="shared" si="216"/>
        <v>U</v>
      </c>
      <c r="W430" s="74" t="str">
        <f t="shared" si="217"/>
        <v>O</v>
      </c>
      <c r="X430" s="74" t="str">
        <f t="shared" si="218"/>
        <v>U</v>
      </c>
      <c r="Y430" s="74"/>
      <c r="Z430" s="74">
        <v>57.5</v>
      </c>
      <c r="AB430" s="74" t="str">
        <f t="shared" si="219"/>
        <v>GS/NO</v>
      </c>
      <c r="AC430" s="74">
        <f t="shared" si="220"/>
        <v>1</v>
      </c>
      <c r="AD430" s="74">
        <f t="shared" si="221"/>
        <v>3</v>
      </c>
    </row>
    <row r="431" spans="1:30" x14ac:dyDescent="0.45">
      <c r="A431" s="49">
        <v>191222</v>
      </c>
      <c r="B431" s="51">
        <v>0.29166666666666669</v>
      </c>
      <c r="C431" s="50" t="s">
        <v>428</v>
      </c>
      <c r="D431" s="50" t="s">
        <v>405</v>
      </c>
      <c r="E431" s="101">
        <v>33</v>
      </c>
      <c r="F431" s="101">
        <v>31</v>
      </c>
      <c r="G431" s="101">
        <v>22</v>
      </c>
      <c r="H431" s="101">
        <v>21</v>
      </c>
      <c r="I431" s="101"/>
      <c r="J431" s="101">
        <v>31</v>
      </c>
      <c r="K431" s="101">
        <v>25</v>
      </c>
      <c r="L431" s="101">
        <v>28</v>
      </c>
      <c r="M431" s="101">
        <v>30</v>
      </c>
      <c r="N431" s="101" t="s">
        <v>427</v>
      </c>
      <c r="O431" s="186">
        <f t="shared" ref="O431:O494" si="222">SUM(E431:I431)</f>
        <v>107</v>
      </c>
      <c r="P431" s="186">
        <f t="shared" ref="P431:P494" si="223">SUM(J431:N431)</f>
        <v>114</v>
      </c>
      <c r="Q431" s="186" t="str">
        <f t="shared" ref="Q431:Q494" si="224">IF(E431=J431,"TT",IF(E431&gt;J431,"HW","HL"))</f>
        <v>HW</v>
      </c>
      <c r="R431" s="186" t="str">
        <f t="shared" ref="R431:R494" si="225">IF(F431=K431,"TT",IF(F431&gt;K431,"HW","HL"))</f>
        <v>HW</v>
      </c>
      <c r="S431" s="186" t="str">
        <f t="shared" ref="S431:S494" si="226">IF(G431=L431,"TT",IF(G431&gt;L431,"HW","HL"))</f>
        <v>HL</v>
      </c>
      <c r="T431" s="186" t="str">
        <f t="shared" ref="T431:T494" si="227">IF(H431=M431,"TT",IF(H431&gt;M431,"HW","HL"))</f>
        <v>HL</v>
      </c>
      <c r="U431" s="186" t="str">
        <f t="shared" ref="U431:U494" si="228">IF(SUM(E431,J431)=$Z431,"T",IF(SUM(E431,J431)&gt;$Z431,"O","U"))</f>
        <v>O</v>
      </c>
      <c r="V431" s="186" t="str">
        <f t="shared" ref="V431:V494" si="229">IF(SUM(F431,K431)=$Z431,"T",IF(SUM(F431,K431)&gt;$Z431,"O","U"))</f>
        <v>O</v>
      </c>
      <c r="W431" s="186" t="str">
        <f t="shared" ref="W431:W494" si="230">IF(SUM(G431,L431)=$Z431,"T",IF(SUM(G431,L431)&gt;$Z431,"O","U"))</f>
        <v>U</v>
      </c>
      <c r="X431" s="186" t="str">
        <f t="shared" ref="X431:X494" si="231">IF(SUM(H431,M431)=$Z431,"T",IF(SUM(H431,M431)&gt;$Z431,"O","U"))</f>
        <v>U</v>
      </c>
      <c r="Y431" s="186"/>
      <c r="Z431" s="98">
        <v>52.5</v>
      </c>
      <c r="AB431" s="90" t="str">
        <f t="shared" si="219"/>
        <v>CHA/UTA</v>
      </c>
      <c r="AC431" s="186">
        <f t="shared" ref="AC431:AC494" si="232">COUNTIF(U431:X431,"o")</f>
        <v>2</v>
      </c>
      <c r="AD431" s="186">
        <f t="shared" ref="AD431:AD494" si="233">COUNTIF(U431:X431,"u")</f>
        <v>2</v>
      </c>
    </row>
    <row r="432" spans="1:30" x14ac:dyDescent="0.45">
      <c r="A432" s="50">
        <v>191222</v>
      </c>
      <c r="B432" s="51">
        <v>0.33333333333333331</v>
      </c>
      <c r="C432" s="50" t="s">
        <v>407</v>
      </c>
      <c r="D432" s="50" t="s">
        <v>410</v>
      </c>
      <c r="E432" s="100">
        <v>34</v>
      </c>
      <c r="F432" s="100">
        <v>26</v>
      </c>
      <c r="G432" s="100">
        <v>25</v>
      </c>
      <c r="H432" s="100">
        <v>37</v>
      </c>
      <c r="I432" s="100"/>
      <c r="J432" s="100">
        <v>34</v>
      </c>
      <c r="K432" s="100">
        <v>39</v>
      </c>
      <c r="L432" s="100">
        <v>25</v>
      </c>
      <c r="M432" s="100">
        <v>14</v>
      </c>
      <c r="O432" s="186">
        <f t="shared" si="222"/>
        <v>122</v>
      </c>
      <c r="P432" s="186">
        <f t="shared" si="223"/>
        <v>112</v>
      </c>
      <c r="Q432" s="186" t="str">
        <f t="shared" si="224"/>
        <v>TT</v>
      </c>
      <c r="R432" s="186" t="str">
        <f t="shared" si="225"/>
        <v>HL</v>
      </c>
      <c r="S432" s="186" t="str">
        <f t="shared" si="226"/>
        <v>TT</v>
      </c>
      <c r="T432" s="186" t="str">
        <f t="shared" si="227"/>
        <v>HW</v>
      </c>
      <c r="U432" s="186" t="str">
        <f t="shared" si="228"/>
        <v>O</v>
      </c>
      <c r="V432" s="186" t="str">
        <f t="shared" si="229"/>
        <v>O</v>
      </c>
      <c r="W432" s="186" t="str">
        <f t="shared" si="230"/>
        <v>U</v>
      </c>
      <c r="X432" s="186" t="str">
        <f t="shared" si="231"/>
        <v>U</v>
      </c>
      <c r="Y432" s="186"/>
      <c r="Z432" s="98">
        <v>58</v>
      </c>
      <c r="AB432" s="90" t="str">
        <f t="shared" si="219"/>
        <v>BKN/ATL</v>
      </c>
      <c r="AC432" s="186">
        <f t="shared" si="232"/>
        <v>2</v>
      </c>
      <c r="AD432" s="186">
        <f t="shared" si="233"/>
        <v>2</v>
      </c>
    </row>
    <row r="433" spans="1:30" x14ac:dyDescent="0.45">
      <c r="A433" s="50">
        <v>191222</v>
      </c>
      <c r="B433" s="51">
        <v>0.375</v>
      </c>
      <c r="C433" s="50" t="s">
        <v>422</v>
      </c>
      <c r="D433" s="50" t="s">
        <v>412</v>
      </c>
      <c r="E433" s="102">
        <v>28</v>
      </c>
      <c r="F433" s="102">
        <v>31</v>
      </c>
      <c r="G433" s="102">
        <v>30</v>
      </c>
      <c r="H433" s="102">
        <v>18</v>
      </c>
      <c r="I433" s="102"/>
      <c r="J433" s="102">
        <v>25</v>
      </c>
      <c r="K433" s="102">
        <v>28</v>
      </c>
      <c r="L433" s="102">
        <v>40</v>
      </c>
      <c r="M433" s="102">
        <v>26</v>
      </c>
      <c r="N433" s="102" t="s">
        <v>427</v>
      </c>
      <c r="O433" s="186">
        <f t="shared" si="222"/>
        <v>107</v>
      </c>
      <c r="P433" s="186">
        <f t="shared" si="223"/>
        <v>119</v>
      </c>
      <c r="Q433" s="186" t="str">
        <f t="shared" si="224"/>
        <v>HW</v>
      </c>
      <c r="R433" s="186" t="str">
        <f t="shared" si="225"/>
        <v>HW</v>
      </c>
      <c r="S433" s="186" t="str">
        <f t="shared" si="226"/>
        <v>HL</v>
      </c>
      <c r="T433" s="186" t="str">
        <f t="shared" si="227"/>
        <v>HL</v>
      </c>
      <c r="U433" s="186" t="str">
        <f t="shared" si="228"/>
        <v>O</v>
      </c>
      <c r="V433" s="186" t="str">
        <f t="shared" si="229"/>
        <v>O</v>
      </c>
      <c r="W433" s="186" t="str">
        <f t="shared" si="230"/>
        <v>O</v>
      </c>
      <c r="X433" s="186" t="str">
        <f t="shared" si="231"/>
        <v>U</v>
      </c>
      <c r="Y433" s="186"/>
      <c r="Z433" s="98">
        <v>52.5</v>
      </c>
      <c r="AB433" s="90" t="str">
        <f t="shared" si="219"/>
        <v>DET/CHI</v>
      </c>
      <c r="AC433" s="186">
        <f t="shared" si="232"/>
        <v>3</v>
      </c>
      <c r="AD433" s="186">
        <f t="shared" si="233"/>
        <v>1</v>
      </c>
    </row>
    <row r="434" spans="1:30" x14ac:dyDescent="0.45">
      <c r="A434" s="50">
        <v>191222</v>
      </c>
      <c r="B434" s="51">
        <v>0.375</v>
      </c>
      <c r="C434" s="50" t="s">
        <v>401</v>
      </c>
      <c r="D434" s="50" t="s">
        <v>414</v>
      </c>
      <c r="E434" s="105">
        <v>32</v>
      </c>
      <c r="F434" s="105">
        <v>33</v>
      </c>
      <c r="G434" s="105">
        <v>23</v>
      </c>
      <c r="H434" s="105">
        <v>37</v>
      </c>
      <c r="I434" s="105"/>
      <c r="J434" s="105">
        <v>25</v>
      </c>
      <c r="K434" s="105">
        <v>28</v>
      </c>
      <c r="L434" s="105">
        <v>27</v>
      </c>
      <c r="M434" s="105">
        <v>28</v>
      </c>
      <c r="N434" s="105" t="s">
        <v>427</v>
      </c>
      <c r="O434" s="186">
        <f t="shared" si="222"/>
        <v>125</v>
      </c>
      <c r="P434" s="186">
        <f t="shared" si="223"/>
        <v>108</v>
      </c>
      <c r="Q434" s="186" t="str">
        <f t="shared" si="224"/>
        <v>HW</v>
      </c>
      <c r="R434" s="186" t="str">
        <f t="shared" si="225"/>
        <v>HW</v>
      </c>
      <c r="S434" s="186" t="str">
        <f t="shared" si="226"/>
        <v>HL</v>
      </c>
      <c r="T434" s="186" t="str">
        <f t="shared" si="227"/>
        <v>HW</v>
      </c>
      <c r="U434" s="186" t="str">
        <f t="shared" si="228"/>
        <v>T</v>
      </c>
      <c r="V434" s="186" t="str">
        <f t="shared" si="229"/>
        <v>O</v>
      </c>
      <c r="W434" s="186" t="str">
        <f t="shared" si="230"/>
        <v>U</v>
      </c>
      <c r="X434" s="186" t="str">
        <f t="shared" si="231"/>
        <v>O</v>
      </c>
      <c r="Y434" s="186"/>
      <c r="Z434" s="98">
        <v>57</v>
      </c>
      <c r="AB434" s="90" t="str">
        <f t="shared" si="219"/>
        <v>PHI/WAS</v>
      </c>
      <c r="AC434" s="186">
        <f t="shared" si="232"/>
        <v>2</v>
      </c>
      <c r="AD434" s="186">
        <f t="shared" si="233"/>
        <v>1</v>
      </c>
    </row>
    <row r="435" spans="1:30" x14ac:dyDescent="0.45">
      <c r="A435" s="50">
        <v>191222</v>
      </c>
      <c r="B435" s="51">
        <v>0.39583333333333331</v>
      </c>
      <c r="C435" s="50" t="s">
        <v>429</v>
      </c>
      <c r="D435" s="50" t="s">
        <v>423</v>
      </c>
      <c r="E435" s="104">
        <v>23</v>
      </c>
      <c r="F435" s="104">
        <v>31</v>
      </c>
      <c r="G435" s="104">
        <v>16</v>
      </c>
      <c r="H435" s="104">
        <v>32</v>
      </c>
      <c r="I435" s="104"/>
      <c r="J435" s="104">
        <v>37</v>
      </c>
      <c r="K435" s="104">
        <v>31</v>
      </c>
      <c r="L435" s="104">
        <v>27</v>
      </c>
      <c r="M435" s="104">
        <v>28</v>
      </c>
      <c r="N435" s="104" t="s">
        <v>427</v>
      </c>
      <c r="O435" s="186">
        <f t="shared" si="222"/>
        <v>102</v>
      </c>
      <c r="P435" s="186">
        <f t="shared" si="223"/>
        <v>123</v>
      </c>
      <c r="Q435" s="186" t="str">
        <f t="shared" si="224"/>
        <v>HL</v>
      </c>
      <c r="R435" s="186" t="str">
        <f t="shared" si="225"/>
        <v>TT</v>
      </c>
      <c r="S435" s="186" t="str">
        <f t="shared" si="226"/>
        <v>HL</v>
      </c>
      <c r="T435" s="186" t="str">
        <f t="shared" si="227"/>
        <v>HW</v>
      </c>
      <c r="U435" s="186" t="str">
        <f t="shared" si="228"/>
        <v>O</v>
      </c>
      <c r="V435" s="186" t="str">
        <f t="shared" si="229"/>
        <v>O</v>
      </c>
      <c r="W435" s="186" t="str">
        <f t="shared" si="230"/>
        <v>U</v>
      </c>
      <c r="X435" s="186" t="str">
        <f t="shared" si="231"/>
        <v>O</v>
      </c>
      <c r="Y435" s="186"/>
      <c r="Z435" s="98">
        <v>57</v>
      </c>
      <c r="AB435" s="90" t="str">
        <f t="shared" si="219"/>
        <v>NYK/MIL</v>
      </c>
      <c r="AC435" s="186">
        <f t="shared" si="232"/>
        <v>3</v>
      </c>
      <c r="AD435" s="186">
        <f t="shared" si="233"/>
        <v>1</v>
      </c>
    </row>
    <row r="436" spans="1:30" x14ac:dyDescent="0.45">
      <c r="A436" s="50">
        <v>191222</v>
      </c>
      <c r="B436" s="51">
        <v>0.41666666666666669</v>
      </c>
      <c r="C436" s="50" t="s">
        <v>406</v>
      </c>
      <c r="D436" s="50" t="s">
        <v>416</v>
      </c>
      <c r="E436" s="103">
        <v>23</v>
      </c>
      <c r="F436" s="103">
        <v>37</v>
      </c>
      <c r="G436" s="103">
        <v>31</v>
      </c>
      <c r="H436" s="103">
        <v>28</v>
      </c>
      <c r="I436" s="103"/>
      <c r="J436" s="103">
        <v>21</v>
      </c>
      <c r="K436" s="103">
        <v>29</v>
      </c>
      <c r="L436" s="103">
        <v>28</v>
      </c>
      <c r="M436" s="103">
        <v>37</v>
      </c>
      <c r="N436" s="103" t="s">
        <v>427</v>
      </c>
      <c r="O436" s="186">
        <f t="shared" si="222"/>
        <v>119</v>
      </c>
      <c r="P436" s="186">
        <f t="shared" si="223"/>
        <v>115</v>
      </c>
      <c r="Q436" s="186" t="str">
        <f t="shared" si="224"/>
        <v>HW</v>
      </c>
      <c r="R436" s="186" t="str">
        <f t="shared" si="225"/>
        <v>HW</v>
      </c>
      <c r="S436" s="186" t="str">
        <f t="shared" si="226"/>
        <v>HW</v>
      </c>
      <c r="T436" s="186" t="str">
        <f t="shared" si="227"/>
        <v>HL</v>
      </c>
      <c r="U436" s="186" t="str">
        <f t="shared" si="228"/>
        <v>U</v>
      </c>
      <c r="V436" s="186" t="str">
        <f t="shared" si="229"/>
        <v>O</v>
      </c>
      <c r="W436" s="186" t="str">
        <f t="shared" si="230"/>
        <v>O</v>
      </c>
      <c r="X436" s="186" t="str">
        <f t="shared" si="231"/>
        <v>O</v>
      </c>
      <c r="Y436" s="186"/>
      <c r="Z436" s="98">
        <v>55.5</v>
      </c>
      <c r="AB436" s="90" t="str">
        <f t="shared" si="219"/>
        <v>MEM/SAC</v>
      </c>
      <c r="AC436" s="186">
        <f t="shared" si="232"/>
        <v>3</v>
      </c>
      <c r="AD436" s="186">
        <f t="shared" si="233"/>
        <v>1</v>
      </c>
    </row>
    <row r="437" spans="1:30" x14ac:dyDescent="0.45">
      <c r="A437" s="50">
        <v>191222</v>
      </c>
      <c r="B437" s="51">
        <v>0.4375</v>
      </c>
      <c r="C437" s="50" t="s">
        <v>426</v>
      </c>
      <c r="D437" s="50" t="s">
        <v>415</v>
      </c>
      <c r="E437" s="108">
        <v>31</v>
      </c>
      <c r="F437" s="108">
        <v>30</v>
      </c>
      <c r="G437" s="108">
        <v>22</v>
      </c>
      <c r="H437" s="108">
        <v>26</v>
      </c>
      <c r="I437" s="108"/>
      <c r="J437" s="108">
        <v>33</v>
      </c>
      <c r="K437" s="108">
        <v>39</v>
      </c>
      <c r="L437" s="108">
        <v>38</v>
      </c>
      <c r="M437" s="108">
        <v>24</v>
      </c>
      <c r="N437" s="108" t="s">
        <v>427</v>
      </c>
      <c r="O437" s="186">
        <f t="shared" si="222"/>
        <v>109</v>
      </c>
      <c r="P437" s="186">
        <f t="shared" si="223"/>
        <v>134</v>
      </c>
      <c r="Q437" s="186" t="str">
        <f t="shared" si="224"/>
        <v>HL</v>
      </c>
      <c r="R437" s="186" t="str">
        <f t="shared" si="225"/>
        <v>HL</v>
      </c>
      <c r="S437" s="186" t="str">
        <f t="shared" si="226"/>
        <v>HL</v>
      </c>
      <c r="T437" s="186" t="str">
        <f t="shared" si="227"/>
        <v>HW</v>
      </c>
      <c r="U437" s="186" t="str">
        <f t="shared" si="228"/>
        <v>O</v>
      </c>
      <c r="V437" s="186" t="str">
        <f t="shared" si="229"/>
        <v>O</v>
      </c>
      <c r="W437" s="186" t="str">
        <f t="shared" si="230"/>
        <v>O</v>
      </c>
      <c r="X437" s="186" t="str">
        <f t="shared" si="231"/>
        <v>U</v>
      </c>
      <c r="Y437" s="186"/>
      <c r="Z437" s="98">
        <v>56.5</v>
      </c>
      <c r="AB437" s="90" t="str">
        <f t="shared" si="219"/>
        <v>SAS/LAC</v>
      </c>
      <c r="AC437" s="186">
        <f t="shared" si="232"/>
        <v>3</v>
      </c>
      <c r="AD437" s="186">
        <f t="shared" si="233"/>
        <v>1</v>
      </c>
    </row>
    <row r="438" spans="1:30" x14ac:dyDescent="0.45">
      <c r="A438" s="50">
        <v>191222</v>
      </c>
      <c r="B438" s="51">
        <v>0.45833333333333331</v>
      </c>
      <c r="C438" s="50" t="s">
        <v>430</v>
      </c>
      <c r="D438" s="50" t="s">
        <v>403</v>
      </c>
      <c r="E438" s="106">
        <v>35</v>
      </c>
      <c r="F438" s="106">
        <v>30</v>
      </c>
      <c r="G438" s="106">
        <v>30</v>
      </c>
      <c r="H438" s="106">
        <v>30</v>
      </c>
      <c r="I438" s="106"/>
      <c r="J438" s="106">
        <v>36</v>
      </c>
      <c r="K438" s="106">
        <v>34</v>
      </c>
      <c r="L438" s="106">
        <v>36</v>
      </c>
      <c r="M438" s="106">
        <v>33</v>
      </c>
      <c r="N438" s="106" t="s">
        <v>427</v>
      </c>
      <c r="O438" s="186">
        <f t="shared" si="222"/>
        <v>125</v>
      </c>
      <c r="P438" s="186">
        <f t="shared" si="223"/>
        <v>139</v>
      </c>
      <c r="Q438" s="186" t="str">
        <f t="shared" si="224"/>
        <v>HL</v>
      </c>
      <c r="R438" s="186" t="str">
        <f t="shared" si="225"/>
        <v>HL</v>
      </c>
      <c r="S438" s="186" t="str">
        <f t="shared" si="226"/>
        <v>HL</v>
      </c>
      <c r="T438" s="186" t="str">
        <f t="shared" si="227"/>
        <v>HL</v>
      </c>
      <c r="U438" s="186" t="str">
        <f t="shared" si="228"/>
        <v>O</v>
      </c>
      <c r="V438" s="186" t="str">
        <f t="shared" si="229"/>
        <v>O</v>
      </c>
      <c r="W438" s="186" t="str">
        <f t="shared" si="230"/>
        <v>O</v>
      </c>
      <c r="X438" s="186" t="str">
        <f t="shared" si="231"/>
        <v>O</v>
      </c>
      <c r="Y438" s="186"/>
      <c r="Z438" s="98">
        <v>59</v>
      </c>
      <c r="AB438" s="90" t="str">
        <f t="shared" si="219"/>
        <v>PHO/HOU</v>
      </c>
      <c r="AC438" s="186">
        <f t="shared" si="232"/>
        <v>4</v>
      </c>
      <c r="AD438" s="186">
        <f t="shared" si="233"/>
        <v>0</v>
      </c>
    </row>
    <row r="439" spans="1:30" x14ac:dyDescent="0.45">
      <c r="A439" s="50">
        <v>191222</v>
      </c>
      <c r="B439" s="51">
        <v>0.5</v>
      </c>
      <c r="C439" s="50" t="s">
        <v>417</v>
      </c>
      <c r="D439" s="50" t="s">
        <v>420</v>
      </c>
      <c r="E439" s="107">
        <v>27</v>
      </c>
      <c r="F439" s="107">
        <v>34</v>
      </c>
      <c r="G439" s="107">
        <v>22</v>
      </c>
      <c r="H439" s="107">
        <v>30</v>
      </c>
      <c r="I439" s="107"/>
      <c r="J439" s="107">
        <v>23</v>
      </c>
      <c r="K439" s="107">
        <v>29</v>
      </c>
      <c r="L439" s="107">
        <v>28</v>
      </c>
      <c r="M439" s="107">
        <v>26</v>
      </c>
      <c r="N439" s="107" t="s">
        <v>427</v>
      </c>
      <c r="O439" s="186">
        <f t="shared" si="222"/>
        <v>113</v>
      </c>
      <c r="P439" s="186">
        <f t="shared" si="223"/>
        <v>106</v>
      </c>
      <c r="Q439" s="186" t="str">
        <f t="shared" si="224"/>
        <v>HW</v>
      </c>
      <c r="R439" s="186" t="str">
        <f t="shared" si="225"/>
        <v>HW</v>
      </c>
      <c r="S439" s="186" t="str">
        <f t="shared" si="226"/>
        <v>HL</v>
      </c>
      <c r="T439" s="186" t="str">
        <f t="shared" si="227"/>
        <v>HW</v>
      </c>
      <c r="U439" s="186" t="str">
        <f t="shared" si="228"/>
        <v>U</v>
      </c>
      <c r="V439" s="186" t="str">
        <f t="shared" si="229"/>
        <v>O</v>
      </c>
      <c r="W439" s="186" t="str">
        <f t="shared" si="230"/>
        <v>U</v>
      </c>
      <c r="X439" s="186" t="str">
        <f t="shared" si="231"/>
        <v>U</v>
      </c>
      <c r="Y439" s="186"/>
      <c r="Z439" s="98">
        <v>57</v>
      </c>
      <c r="AB439" s="90" t="str">
        <f t="shared" si="219"/>
        <v>POR/MIN</v>
      </c>
      <c r="AC439" s="186">
        <f t="shared" si="232"/>
        <v>1</v>
      </c>
      <c r="AD439" s="186">
        <f t="shared" si="233"/>
        <v>3</v>
      </c>
    </row>
    <row r="440" spans="1:30" x14ac:dyDescent="0.45">
      <c r="A440" s="90">
        <v>191223</v>
      </c>
      <c r="B440" s="91">
        <v>0.22916666666666666</v>
      </c>
      <c r="C440" s="90" t="s">
        <v>413</v>
      </c>
      <c r="D440" s="90" t="s">
        <v>397</v>
      </c>
      <c r="E440" s="113">
        <v>20</v>
      </c>
      <c r="F440" s="113">
        <v>22</v>
      </c>
      <c r="G440" s="113">
        <v>21</v>
      </c>
      <c r="H440" s="113">
        <v>47</v>
      </c>
      <c r="I440" s="113"/>
      <c r="J440" s="113">
        <v>17</v>
      </c>
      <c r="K440" s="113">
        <v>34</v>
      </c>
      <c r="L440" s="113">
        <v>35</v>
      </c>
      <c r="M440" s="113">
        <v>21</v>
      </c>
      <c r="N440" s="113" t="s">
        <v>427</v>
      </c>
      <c r="O440" s="186">
        <f t="shared" si="222"/>
        <v>110</v>
      </c>
      <c r="P440" s="186">
        <f t="shared" si="223"/>
        <v>107</v>
      </c>
      <c r="Q440" s="186" t="str">
        <f t="shared" si="224"/>
        <v>HW</v>
      </c>
      <c r="R440" s="186" t="str">
        <f t="shared" si="225"/>
        <v>HL</v>
      </c>
      <c r="S440" s="186" t="str">
        <f t="shared" si="226"/>
        <v>HL</v>
      </c>
      <c r="T440" s="186" t="str">
        <f t="shared" si="227"/>
        <v>HW</v>
      </c>
      <c r="U440" s="186" t="str">
        <f t="shared" si="228"/>
        <v>U</v>
      </c>
      <c r="V440" s="186" t="str">
        <f t="shared" si="229"/>
        <v>O</v>
      </c>
      <c r="W440" s="186" t="str">
        <f t="shared" si="230"/>
        <v>O</v>
      </c>
      <c r="X440" s="186" t="str">
        <f t="shared" si="231"/>
        <v>O</v>
      </c>
      <c r="Y440" s="186"/>
      <c r="Z440" s="98">
        <v>55</v>
      </c>
      <c r="AB440" s="90" t="str">
        <f t="shared" si="219"/>
        <v>TOR/DAL</v>
      </c>
      <c r="AC440" s="186">
        <f t="shared" si="232"/>
        <v>3</v>
      </c>
      <c r="AD440" s="186">
        <f t="shared" si="233"/>
        <v>1</v>
      </c>
    </row>
    <row r="441" spans="1:30" x14ac:dyDescent="0.45">
      <c r="A441" s="90">
        <v>191223</v>
      </c>
      <c r="B441" s="91">
        <v>0.33333333333333331</v>
      </c>
      <c r="C441" s="90" t="s">
        <v>421</v>
      </c>
      <c r="D441" s="90" t="s">
        <v>409</v>
      </c>
      <c r="E441" s="109">
        <v>30</v>
      </c>
      <c r="F441" s="109">
        <v>29</v>
      </c>
      <c r="G441" s="109">
        <v>25</v>
      </c>
      <c r="H441" s="109">
        <v>35</v>
      </c>
      <c r="I441" s="109"/>
      <c r="J441" s="109">
        <v>37</v>
      </c>
      <c r="K441" s="109">
        <v>19</v>
      </c>
      <c r="L441" s="109">
        <v>21</v>
      </c>
      <c r="M441" s="109">
        <v>16</v>
      </c>
      <c r="N441" s="109" t="s">
        <v>427</v>
      </c>
      <c r="O441" s="186">
        <f t="shared" si="222"/>
        <v>119</v>
      </c>
      <c r="P441" s="186">
        <f t="shared" si="223"/>
        <v>93</v>
      </c>
      <c r="Q441" s="186" t="str">
        <f t="shared" si="224"/>
        <v>HL</v>
      </c>
      <c r="R441" s="186" t="str">
        <f t="shared" si="225"/>
        <v>HW</v>
      </c>
      <c r="S441" s="186" t="str">
        <f t="shared" si="226"/>
        <v>HW</v>
      </c>
      <c r="T441" s="186" t="str">
        <f t="shared" si="227"/>
        <v>HW</v>
      </c>
      <c r="U441" s="186" t="str">
        <f t="shared" si="228"/>
        <v>O</v>
      </c>
      <c r="V441" s="186" t="str">
        <f t="shared" si="229"/>
        <v>U</v>
      </c>
      <c r="W441" s="186" t="str">
        <f t="shared" si="230"/>
        <v>U</v>
      </c>
      <c r="X441" s="186" t="str">
        <f t="shared" si="231"/>
        <v>U</v>
      </c>
      <c r="Y441" s="186"/>
      <c r="Z441" s="98">
        <v>52.5</v>
      </c>
      <c r="AB441" s="90" t="str">
        <f t="shared" si="219"/>
        <v>BOS/CHA</v>
      </c>
      <c r="AC441" s="186">
        <f t="shared" si="232"/>
        <v>1</v>
      </c>
      <c r="AD441" s="186">
        <f t="shared" si="233"/>
        <v>3</v>
      </c>
    </row>
    <row r="442" spans="1:30" x14ac:dyDescent="0.45">
      <c r="A442" s="90">
        <v>191223</v>
      </c>
      <c r="B442" s="91">
        <v>0.375</v>
      </c>
      <c r="C442" s="90" t="s">
        <v>423</v>
      </c>
      <c r="D442" s="90" t="s">
        <v>400</v>
      </c>
      <c r="E442" s="111">
        <v>21</v>
      </c>
      <c r="F442" s="111">
        <v>38</v>
      </c>
      <c r="G442" s="111">
        <v>24</v>
      </c>
      <c r="H442" s="111">
        <v>34</v>
      </c>
      <c r="I442" s="111"/>
      <c r="J442" s="111">
        <v>22</v>
      </c>
      <c r="K442" s="111">
        <v>33</v>
      </c>
      <c r="L442" s="111">
        <v>18</v>
      </c>
      <c r="M442" s="111">
        <v>16</v>
      </c>
      <c r="O442" s="186">
        <f t="shared" si="222"/>
        <v>117</v>
      </c>
      <c r="P442" s="186">
        <f t="shared" si="223"/>
        <v>89</v>
      </c>
      <c r="Q442" s="186" t="str">
        <f t="shared" si="224"/>
        <v>HL</v>
      </c>
      <c r="R442" s="186" t="str">
        <f t="shared" si="225"/>
        <v>HW</v>
      </c>
      <c r="S442" s="186" t="str">
        <f t="shared" si="226"/>
        <v>HW</v>
      </c>
      <c r="T442" s="186" t="str">
        <f t="shared" si="227"/>
        <v>HW</v>
      </c>
      <c r="U442" s="186" t="str">
        <f t="shared" si="228"/>
        <v>U</v>
      </c>
      <c r="V442" s="186" t="str">
        <f t="shared" si="229"/>
        <v>O</v>
      </c>
      <c r="W442" s="186" t="str">
        <f t="shared" si="230"/>
        <v>U</v>
      </c>
      <c r="X442" s="186" t="str">
        <f t="shared" si="231"/>
        <v>U</v>
      </c>
      <c r="Y442" s="186"/>
      <c r="Z442" s="98">
        <v>55.5</v>
      </c>
      <c r="AB442" s="90" t="str">
        <f t="shared" si="219"/>
        <v>MIL/IND</v>
      </c>
      <c r="AC442" s="186">
        <f t="shared" si="232"/>
        <v>1</v>
      </c>
      <c r="AD442" s="186">
        <f t="shared" si="233"/>
        <v>3</v>
      </c>
    </row>
    <row r="443" spans="1:30" x14ac:dyDescent="0.45">
      <c r="A443" s="90">
        <v>191223</v>
      </c>
      <c r="B443" s="91">
        <v>0.375</v>
      </c>
      <c r="C443" s="90" t="s">
        <v>418</v>
      </c>
      <c r="D443" s="90" t="s">
        <v>415</v>
      </c>
      <c r="E443" s="112">
        <v>27</v>
      </c>
      <c r="F443" s="112">
        <v>30</v>
      </c>
      <c r="G443" s="112">
        <v>29</v>
      </c>
      <c r="H443" s="112">
        <v>32</v>
      </c>
      <c r="I443" s="112"/>
      <c r="J443" s="112">
        <v>33</v>
      </c>
      <c r="K443" s="112">
        <v>30</v>
      </c>
      <c r="L443" s="112">
        <v>26</v>
      </c>
      <c r="M443" s="112">
        <v>23</v>
      </c>
      <c r="N443" s="112" t="s">
        <v>427</v>
      </c>
      <c r="O443" s="186">
        <f t="shared" si="222"/>
        <v>118</v>
      </c>
      <c r="P443" s="186">
        <f t="shared" si="223"/>
        <v>112</v>
      </c>
      <c r="Q443" s="186" t="str">
        <f t="shared" si="224"/>
        <v>HL</v>
      </c>
      <c r="R443" s="186" t="str">
        <f t="shared" si="225"/>
        <v>TT</v>
      </c>
      <c r="S443" s="186" t="str">
        <f t="shared" si="226"/>
        <v>HW</v>
      </c>
      <c r="T443" s="186" t="str">
        <f t="shared" si="227"/>
        <v>HW</v>
      </c>
      <c r="U443" s="186" t="str">
        <f t="shared" si="228"/>
        <v>O</v>
      </c>
      <c r="V443" s="186" t="str">
        <f t="shared" si="229"/>
        <v>O</v>
      </c>
      <c r="W443" s="186" t="str">
        <f t="shared" si="230"/>
        <v>U</v>
      </c>
      <c r="X443" s="186" t="str">
        <f t="shared" si="231"/>
        <v>U</v>
      </c>
      <c r="Y443" s="186"/>
      <c r="Z443" s="98">
        <v>56</v>
      </c>
      <c r="AB443" s="90" t="str">
        <f t="shared" si="219"/>
        <v>OKC/LAC</v>
      </c>
      <c r="AC443" s="186">
        <f t="shared" si="232"/>
        <v>2</v>
      </c>
      <c r="AD443" s="186">
        <f t="shared" si="233"/>
        <v>2</v>
      </c>
    </row>
    <row r="444" spans="1:30" x14ac:dyDescent="0.45">
      <c r="A444" s="90">
        <v>191223</v>
      </c>
      <c r="B444" s="91">
        <v>0.47916666666666669</v>
      </c>
      <c r="C444" s="90" t="s">
        <v>419</v>
      </c>
      <c r="D444" s="90" t="s">
        <v>408</v>
      </c>
      <c r="E444" s="110">
        <v>28</v>
      </c>
      <c r="F444" s="110">
        <v>25</v>
      </c>
      <c r="G444" s="110">
        <v>25</v>
      </c>
      <c r="H444" s="110">
        <v>26</v>
      </c>
      <c r="I444" s="110"/>
      <c r="J444" s="110">
        <v>23</v>
      </c>
      <c r="K444" s="110">
        <v>32</v>
      </c>
      <c r="L444" s="110">
        <v>36</v>
      </c>
      <c r="M444" s="110">
        <v>37</v>
      </c>
      <c r="N444" s="110" t="s">
        <v>427</v>
      </c>
      <c r="O444" s="186">
        <f t="shared" si="222"/>
        <v>104</v>
      </c>
      <c r="P444" s="186">
        <f t="shared" si="223"/>
        <v>128</v>
      </c>
      <c r="Q444" s="186" t="str">
        <f t="shared" si="224"/>
        <v>HW</v>
      </c>
      <c r="R444" s="186" t="str">
        <f t="shared" si="225"/>
        <v>HL</v>
      </c>
      <c r="S444" s="186" t="str">
        <f t="shared" si="226"/>
        <v>HL</v>
      </c>
      <c r="T444" s="186" t="str">
        <f t="shared" si="227"/>
        <v>HL</v>
      </c>
      <c r="U444" s="186" t="str">
        <f t="shared" si="228"/>
        <v>U</v>
      </c>
      <c r="V444" s="186" t="str">
        <f t="shared" si="229"/>
        <v>O</v>
      </c>
      <c r="W444" s="186" t="str">
        <f t="shared" si="230"/>
        <v>O</v>
      </c>
      <c r="X444" s="186" t="str">
        <f t="shared" si="231"/>
        <v>O</v>
      </c>
      <c r="Y444" s="186"/>
      <c r="Z444" s="98">
        <v>52</v>
      </c>
      <c r="AB444" s="90" t="str">
        <f t="shared" si="219"/>
        <v>LAL/DEN</v>
      </c>
      <c r="AC444" s="186">
        <f t="shared" si="232"/>
        <v>3</v>
      </c>
      <c r="AD444" s="186">
        <f t="shared" si="233"/>
        <v>1</v>
      </c>
    </row>
    <row r="445" spans="1:30" x14ac:dyDescent="0.45">
      <c r="A445" s="90">
        <v>191224</v>
      </c>
      <c r="B445" s="91">
        <v>0.375</v>
      </c>
      <c r="C445" s="90" t="s">
        <v>402</v>
      </c>
      <c r="D445" s="90" t="s">
        <v>410</v>
      </c>
      <c r="E445" s="114">
        <v>42</v>
      </c>
      <c r="F445" s="114">
        <v>29</v>
      </c>
      <c r="G445" s="114">
        <v>23</v>
      </c>
      <c r="H445" s="114">
        <v>27</v>
      </c>
      <c r="I445" s="114"/>
      <c r="J445" s="114">
        <v>32</v>
      </c>
      <c r="K445" s="114">
        <v>32</v>
      </c>
      <c r="L445" s="114">
        <v>30</v>
      </c>
      <c r="M445" s="114">
        <v>24</v>
      </c>
      <c r="N445" s="114" t="s">
        <v>427</v>
      </c>
      <c r="O445" s="186">
        <f t="shared" si="222"/>
        <v>121</v>
      </c>
      <c r="P445" s="186">
        <f t="shared" si="223"/>
        <v>118</v>
      </c>
      <c r="Q445" s="186" t="str">
        <f t="shared" si="224"/>
        <v>HW</v>
      </c>
      <c r="R445" s="186" t="str">
        <f t="shared" si="225"/>
        <v>HL</v>
      </c>
      <c r="S445" s="186" t="str">
        <f t="shared" si="226"/>
        <v>HL</v>
      </c>
      <c r="T445" s="186" t="str">
        <f t="shared" si="227"/>
        <v>HW</v>
      </c>
      <c r="U445" s="186" t="str">
        <f t="shared" si="228"/>
        <v>O</v>
      </c>
      <c r="V445" s="186" t="str">
        <f t="shared" si="229"/>
        <v>O</v>
      </c>
      <c r="W445" s="186" t="str">
        <f t="shared" si="230"/>
        <v>U</v>
      </c>
      <c r="X445" s="186" t="str">
        <f t="shared" si="231"/>
        <v>U</v>
      </c>
      <c r="Y445" s="186"/>
      <c r="Z445" s="98">
        <v>57.5</v>
      </c>
      <c r="AB445" s="90" t="str">
        <f t="shared" si="219"/>
        <v>CLE/ATL</v>
      </c>
      <c r="AC445" s="186">
        <f t="shared" si="232"/>
        <v>2</v>
      </c>
      <c r="AD445" s="186">
        <f t="shared" si="233"/>
        <v>2</v>
      </c>
    </row>
    <row r="446" spans="1:30" x14ac:dyDescent="0.45">
      <c r="A446" s="90">
        <v>191224</v>
      </c>
      <c r="B446" s="91">
        <v>0.375</v>
      </c>
      <c r="C446" s="90" t="s">
        <v>422</v>
      </c>
      <c r="D446" s="90" t="s">
        <v>401</v>
      </c>
      <c r="E446" s="115">
        <v>23</v>
      </c>
      <c r="F446" s="115">
        <v>29</v>
      </c>
      <c r="G446" s="115">
        <v>34</v>
      </c>
      <c r="H446" s="115">
        <v>23</v>
      </c>
      <c r="I446" s="115"/>
      <c r="J446" s="115">
        <v>30</v>
      </c>
      <c r="K446" s="115">
        <v>30</v>
      </c>
      <c r="L446" s="115">
        <v>34</v>
      </c>
      <c r="M446" s="115">
        <v>31</v>
      </c>
      <c r="N446" s="115" t="s">
        <v>427</v>
      </c>
      <c r="O446" s="186">
        <f t="shared" si="222"/>
        <v>109</v>
      </c>
      <c r="P446" s="186">
        <f t="shared" si="223"/>
        <v>125</v>
      </c>
      <c r="Q446" s="186" t="str">
        <f t="shared" si="224"/>
        <v>HL</v>
      </c>
      <c r="R446" s="186" t="str">
        <f t="shared" si="225"/>
        <v>HL</v>
      </c>
      <c r="S446" s="186" t="str">
        <f t="shared" si="226"/>
        <v>TT</v>
      </c>
      <c r="T446" s="186" t="str">
        <f t="shared" si="227"/>
        <v>HL</v>
      </c>
      <c r="U446" s="186" t="str">
        <f t="shared" si="228"/>
        <v>U</v>
      </c>
      <c r="V446" s="186" t="str">
        <f t="shared" si="229"/>
        <v>O</v>
      </c>
      <c r="W446" s="186" t="str">
        <f t="shared" si="230"/>
        <v>O</v>
      </c>
      <c r="X446" s="186" t="str">
        <f t="shared" si="231"/>
        <v>T</v>
      </c>
      <c r="Y446" s="186"/>
      <c r="Z446" s="98">
        <v>54</v>
      </c>
      <c r="AB446" s="90" t="str">
        <f t="shared" si="219"/>
        <v>DET/PHI</v>
      </c>
      <c r="AC446" s="186">
        <f t="shared" si="232"/>
        <v>2</v>
      </c>
      <c r="AD446" s="186">
        <f t="shared" si="233"/>
        <v>1</v>
      </c>
    </row>
    <row r="447" spans="1:30" x14ac:dyDescent="0.45">
      <c r="A447" s="90">
        <v>191224</v>
      </c>
      <c r="B447" s="91">
        <v>0.375</v>
      </c>
      <c r="C447" s="90" t="s">
        <v>400</v>
      </c>
      <c r="D447" s="90" t="s">
        <v>413</v>
      </c>
      <c r="E447" s="117">
        <v>30</v>
      </c>
      <c r="F447" s="117">
        <v>24</v>
      </c>
      <c r="G447" s="117">
        <v>24</v>
      </c>
      <c r="H447" s="117">
        <v>29</v>
      </c>
      <c r="I447" s="117">
        <v>13</v>
      </c>
      <c r="J447" s="117">
        <v>19</v>
      </c>
      <c r="K447" s="117">
        <v>25</v>
      </c>
      <c r="L447" s="117">
        <v>35</v>
      </c>
      <c r="M447" s="117">
        <v>28</v>
      </c>
      <c r="N447" s="117">
        <v>8</v>
      </c>
      <c r="O447" s="186">
        <f t="shared" si="222"/>
        <v>120</v>
      </c>
      <c r="P447" s="186">
        <f t="shared" si="223"/>
        <v>115</v>
      </c>
      <c r="Q447" s="186" t="str">
        <f t="shared" si="224"/>
        <v>HW</v>
      </c>
      <c r="R447" s="186" t="str">
        <f t="shared" si="225"/>
        <v>HL</v>
      </c>
      <c r="S447" s="186" t="str">
        <f t="shared" si="226"/>
        <v>HL</v>
      </c>
      <c r="T447" s="186" t="str">
        <f t="shared" si="227"/>
        <v>HW</v>
      </c>
      <c r="U447" s="186" t="str">
        <f t="shared" si="228"/>
        <v>U</v>
      </c>
      <c r="V447" s="186" t="str">
        <f t="shared" si="229"/>
        <v>U</v>
      </c>
      <c r="W447" s="186" t="str">
        <f t="shared" si="230"/>
        <v>O</v>
      </c>
      <c r="X447" s="186" t="str">
        <f t="shared" si="231"/>
        <v>O</v>
      </c>
      <c r="Y447" s="186"/>
      <c r="Z447" s="98">
        <v>52.5</v>
      </c>
      <c r="AB447" s="90" t="str">
        <f t="shared" si="219"/>
        <v>IND/TOR</v>
      </c>
      <c r="AC447" s="186">
        <f t="shared" si="232"/>
        <v>2</v>
      </c>
      <c r="AD447" s="186">
        <f t="shared" si="233"/>
        <v>2</v>
      </c>
    </row>
    <row r="448" spans="1:30" x14ac:dyDescent="0.45">
      <c r="A448" s="90">
        <v>191224</v>
      </c>
      <c r="B448" s="91">
        <v>0.375</v>
      </c>
      <c r="C448" s="90" t="s">
        <v>399</v>
      </c>
      <c r="D448" s="90" t="s">
        <v>414</v>
      </c>
      <c r="E448" s="120">
        <v>37</v>
      </c>
      <c r="F448" s="120">
        <v>27</v>
      </c>
      <c r="G448" s="120">
        <v>27</v>
      </c>
      <c r="H448" s="120">
        <v>24</v>
      </c>
      <c r="I448" s="120"/>
      <c r="J448" s="120">
        <v>32</v>
      </c>
      <c r="K448" s="120">
        <v>31</v>
      </c>
      <c r="L448" s="120">
        <v>31</v>
      </c>
      <c r="M448" s="120">
        <v>27</v>
      </c>
      <c r="N448" s="120" t="s">
        <v>427</v>
      </c>
      <c r="O448" s="186">
        <f t="shared" si="222"/>
        <v>115</v>
      </c>
      <c r="P448" s="186">
        <f t="shared" si="223"/>
        <v>121</v>
      </c>
      <c r="Q448" s="186" t="str">
        <f t="shared" si="224"/>
        <v>HW</v>
      </c>
      <c r="R448" s="186" t="str">
        <f t="shared" si="225"/>
        <v>HL</v>
      </c>
      <c r="S448" s="186" t="str">
        <f t="shared" si="226"/>
        <v>HL</v>
      </c>
      <c r="T448" s="186" t="str">
        <f t="shared" si="227"/>
        <v>HL</v>
      </c>
      <c r="U448" s="186" t="str">
        <f t="shared" si="228"/>
        <v>O</v>
      </c>
      <c r="V448" s="186" t="str">
        <f t="shared" si="229"/>
        <v>O</v>
      </c>
      <c r="W448" s="186" t="str">
        <f t="shared" si="230"/>
        <v>O</v>
      </c>
      <c r="X448" s="186" t="str">
        <f t="shared" si="231"/>
        <v>U</v>
      </c>
      <c r="Y448" s="186"/>
      <c r="Z448" s="98">
        <v>57</v>
      </c>
      <c r="AB448" s="90" t="str">
        <f t="shared" si="219"/>
        <v>NYK/WAS</v>
      </c>
      <c r="AC448" s="186">
        <f t="shared" si="232"/>
        <v>3</v>
      </c>
      <c r="AD448" s="186">
        <f t="shared" si="233"/>
        <v>1</v>
      </c>
    </row>
    <row r="449" spans="1:30" x14ac:dyDescent="0.45">
      <c r="A449" s="90">
        <v>191224</v>
      </c>
      <c r="B449" s="91">
        <v>0.375</v>
      </c>
      <c r="C449" s="90" t="s">
        <v>424</v>
      </c>
      <c r="D449" s="90" t="s">
        <v>412</v>
      </c>
      <c r="E449" s="121">
        <v>28</v>
      </c>
      <c r="F449" s="121">
        <v>23</v>
      </c>
      <c r="G449" s="121">
        <v>32</v>
      </c>
      <c r="H449" s="121">
        <v>20</v>
      </c>
      <c r="I449" s="121"/>
      <c r="J449" s="121">
        <v>28</v>
      </c>
      <c r="K449" s="121">
        <v>26</v>
      </c>
      <c r="L449" s="121">
        <v>27</v>
      </c>
      <c r="M449" s="121">
        <v>14</v>
      </c>
      <c r="N449" s="121" t="s">
        <v>427</v>
      </c>
      <c r="O449" s="186">
        <f t="shared" si="222"/>
        <v>103</v>
      </c>
      <c r="P449" s="186">
        <f t="shared" si="223"/>
        <v>95</v>
      </c>
      <c r="Q449" s="186" t="str">
        <f t="shared" si="224"/>
        <v>TT</v>
      </c>
      <c r="R449" s="186" t="str">
        <f t="shared" si="225"/>
        <v>HL</v>
      </c>
      <c r="S449" s="186" t="str">
        <f t="shared" si="226"/>
        <v>HW</v>
      </c>
      <c r="T449" s="186" t="str">
        <f t="shared" si="227"/>
        <v>HW</v>
      </c>
      <c r="U449" s="186" t="str">
        <f t="shared" si="228"/>
        <v>O</v>
      </c>
      <c r="V449" s="186" t="str">
        <f t="shared" si="229"/>
        <v>U</v>
      </c>
      <c r="W449" s="186" t="str">
        <f t="shared" si="230"/>
        <v>O</v>
      </c>
      <c r="X449" s="186" t="str">
        <f t="shared" si="231"/>
        <v>U</v>
      </c>
      <c r="Y449" s="186"/>
      <c r="Z449" s="98">
        <v>51.5</v>
      </c>
      <c r="AB449" s="90" t="str">
        <f t="shared" si="219"/>
        <v>ORL/CHI</v>
      </c>
      <c r="AC449" s="186">
        <f t="shared" si="232"/>
        <v>2</v>
      </c>
      <c r="AD449" s="186">
        <f t="shared" si="233"/>
        <v>2</v>
      </c>
    </row>
    <row r="450" spans="1:30" x14ac:dyDescent="0.45">
      <c r="A450" s="90">
        <v>191224</v>
      </c>
      <c r="B450" s="91">
        <v>0.39583333333333331</v>
      </c>
      <c r="C450" s="90" t="s">
        <v>411</v>
      </c>
      <c r="D450" s="90" t="s">
        <v>405</v>
      </c>
      <c r="E450" s="119">
        <v>32</v>
      </c>
      <c r="F450" s="119">
        <v>21</v>
      </c>
      <c r="G450" s="119">
        <v>23</v>
      </c>
      <c r="H450" s="119">
        <v>31</v>
      </c>
      <c r="I450" s="119"/>
      <c r="J450" s="119">
        <v>28</v>
      </c>
      <c r="K450" s="119">
        <v>24</v>
      </c>
      <c r="L450" s="119">
        <v>29</v>
      </c>
      <c r="M450" s="119">
        <v>23</v>
      </c>
      <c r="N450" s="119" t="s">
        <v>427</v>
      </c>
      <c r="O450" s="186">
        <f t="shared" si="222"/>
        <v>107</v>
      </c>
      <c r="P450" s="186">
        <f t="shared" si="223"/>
        <v>104</v>
      </c>
      <c r="Q450" s="186" t="str">
        <f t="shared" si="224"/>
        <v>HW</v>
      </c>
      <c r="R450" s="186" t="str">
        <f t="shared" si="225"/>
        <v>HL</v>
      </c>
      <c r="S450" s="186" t="str">
        <f t="shared" si="226"/>
        <v>HL</v>
      </c>
      <c r="T450" s="186" t="str">
        <f t="shared" si="227"/>
        <v>HW</v>
      </c>
      <c r="U450" s="186" t="str">
        <f t="shared" si="228"/>
        <v>O</v>
      </c>
      <c r="V450" s="186" t="str">
        <f t="shared" si="229"/>
        <v>U</v>
      </c>
      <c r="W450" s="186" t="str">
        <f t="shared" si="230"/>
        <v>U</v>
      </c>
      <c r="X450" s="186" t="str">
        <f t="shared" si="231"/>
        <v>O</v>
      </c>
      <c r="Y450" s="186"/>
      <c r="Z450" s="98">
        <v>53.5</v>
      </c>
      <c r="AB450" s="90" t="str">
        <f t="shared" si="219"/>
        <v>MIA/UTA</v>
      </c>
      <c r="AC450" s="186">
        <f t="shared" si="232"/>
        <v>2</v>
      </c>
      <c r="AD450" s="186">
        <f t="shared" si="233"/>
        <v>2</v>
      </c>
    </row>
    <row r="451" spans="1:30" x14ac:dyDescent="0.45">
      <c r="A451" s="90">
        <v>191224</v>
      </c>
      <c r="B451" s="91">
        <v>0.41666666666666669</v>
      </c>
      <c r="C451" s="90" t="s">
        <v>406</v>
      </c>
      <c r="D451" s="90" t="s">
        <v>426</v>
      </c>
      <c r="E451" s="118">
        <v>31</v>
      </c>
      <c r="F451" s="118">
        <v>30</v>
      </c>
      <c r="G451" s="118">
        <v>28</v>
      </c>
      <c r="H451" s="118">
        <v>26</v>
      </c>
      <c r="I451" s="118"/>
      <c r="J451" s="118">
        <v>46</v>
      </c>
      <c r="K451" s="118">
        <v>26</v>
      </c>
      <c r="L451" s="118">
        <v>36</v>
      </c>
      <c r="M451" s="118">
        <v>37</v>
      </c>
      <c r="N451" s="118" t="s">
        <v>427</v>
      </c>
      <c r="O451" s="186">
        <f t="shared" si="222"/>
        <v>115</v>
      </c>
      <c r="P451" s="186">
        <f t="shared" si="223"/>
        <v>145</v>
      </c>
      <c r="Q451" s="186" t="str">
        <f t="shared" si="224"/>
        <v>HL</v>
      </c>
      <c r="R451" s="186" t="str">
        <f t="shared" si="225"/>
        <v>HW</v>
      </c>
      <c r="S451" s="186" t="str">
        <f t="shared" si="226"/>
        <v>HL</v>
      </c>
      <c r="T451" s="186" t="str">
        <f t="shared" si="227"/>
        <v>HL</v>
      </c>
      <c r="U451" s="186" t="str">
        <f t="shared" si="228"/>
        <v>O</v>
      </c>
      <c r="V451" s="186" t="str">
        <f t="shared" si="229"/>
        <v>U</v>
      </c>
      <c r="W451" s="186" t="str">
        <f t="shared" si="230"/>
        <v>O</v>
      </c>
      <c r="X451" s="186" t="str">
        <f t="shared" si="231"/>
        <v>O</v>
      </c>
      <c r="Y451" s="186"/>
      <c r="Z451" s="98">
        <v>57</v>
      </c>
      <c r="AB451" s="90" t="str">
        <f t="shared" si="219"/>
        <v>MEM/SAS</v>
      </c>
      <c r="AC451" s="186">
        <f t="shared" si="232"/>
        <v>3</v>
      </c>
      <c r="AD451" s="186">
        <f t="shared" si="233"/>
        <v>1</v>
      </c>
    </row>
    <row r="452" spans="1:30" x14ac:dyDescent="0.45">
      <c r="A452" s="90">
        <v>191224</v>
      </c>
      <c r="B452" s="91">
        <v>0.45833333333333331</v>
      </c>
      <c r="C452" s="90" t="s">
        <v>404</v>
      </c>
      <c r="D452" s="90" t="s">
        <v>408</v>
      </c>
      <c r="E452" s="122">
        <v>22</v>
      </c>
      <c r="F452" s="122">
        <v>27</v>
      </c>
      <c r="G452" s="122">
        <v>32</v>
      </c>
      <c r="H452" s="122">
        <v>30</v>
      </c>
      <c r="I452" s="122"/>
      <c r="J452" s="122">
        <v>34</v>
      </c>
      <c r="K452" s="122">
        <v>22</v>
      </c>
      <c r="L452" s="122">
        <v>26</v>
      </c>
      <c r="M452" s="122">
        <v>31</v>
      </c>
      <c r="N452" s="122" t="s">
        <v>427</v>
      </c>
      <c r="O452" s="186">
        <f t="shared" si="222"/>
        <v>111</v>
      </c>
      <c r="P452" s="186">
        <f t="shared" si="223"/>
        <v>113</v>
      </c>
      <c r="Q452" s="186" t="str">
        <f t="shared" si="224"/>
        <v>HL</v>
      </c>
      <c r="R452" s="186" t="str">
        <f t="shared" si="225"/>
        <v>HW</v>
      </c>
      <c r="S452" s="186" t="str">
        <f t="shared" si="226"/>
        <v>HW</v>
      </c>
      <c r="T452" s="186" t="str">
        <f t="shared" si="227"/>
        <v>HL</v>
      </c>
      <c r="U452" s="186" t="str">
        <f t="shared" si="228"/>
        <v>O</v>
      </c>
      <c r="V452" s="186" t="str">
        <f t="shared" si="229"/>
        <v>U</v>
      </c>
      <c r="W452" s="186" t="str">
        <f t="shared" si="230"/>
        <v>O</v>
      </c>
      <c r="X452" s="186" t="str">
        <f t="shared" si="231"/>
        <v>O</v>
      </c>
      <c r="Y452" s="186"/>
      <c r="Z452" s="98">
        <v>55</v>
      </c>
      <c r="AB452" s="90" t="str">
        <f t="shared" si="219"/>
        <v>PHO/DEN</v>
      </c>
      <c r="AC452" s="186">
        <f t="shared" si="232"/>
        <v>3</v>
      </c>
      <c r="AD452" s="186">
        <f t="shared" si="233"/>
        <v>1</v>
      </c>
    </row>
    <row r="453" spans="1:30" x14ac:dyDescent="0.45">
      <c r="A453" s="90">
        <v>191224</v>
      </c>
      <c r="B453" s="91">
        <v>0.5</v>
      </c>
      <c r="C453" s="90" t="s">
        <v>417</v>
      </c>
      <c r="D453" s="90" t="s">
        <v>398</v>
      </c>
      <c r="E453" s="123">
        <v>31</v>
      </c>
      <c r="F453" s="123">
        <v>25</v>
      </c>
      <c r="G453" s="123">
        <v>21</v>
      </c>
      <c r="H453" s="123">
        <v>17</v>
      </c>
      <c r="I453" s="123"/>
      <c r="J453" s="123">
        <v>31</v>
      </c>
      <c r="K453" s="123">
        <v>23</v>
      </c>
      <c r="L453" s="123">
        <v>28</v>
      </c>
      <c r="M453" s="123">
        <v>20</v>
      </c>
      <c r="N453" s="123" t="s">
        <v>427</v>
      </c>
      <c r="O453" s="186">
        <f t="shared" si="222"/>
        <v>94</v>
      </c>
      <c r="P453" s="186">
        <f t="shared" si="223"/>
        <v>102</v>
      </c>
      <c r="Q453" s="186" t="str">
        <f t="shared" si="224"/>
        <v>TT</v>
      </c>
      <c r="R453" s="186" t="str">
        <f t="shared" si="225"/>
        <v>HW</v>
      </c>
      <c r="S453" s="186" t="str">
        <f t="shared" si="226"/>
        <v>HL</v>
      </c>
      <c r="T453" s="186" t="str">
        <f t="shared" si="227"/>
        <v>HL</v>
      </c>
      <c r="U453" s="186" t="str">
        <f t="shared" si="228"/>
        <v>O</v>
      </c>
      <c r="V453" s="186" t="str">
        <f t="shared" si="229"/>
        <v>U</v>
      </c>
      <c r="W453" s="186" t="str">
        <f t="shared" si="230"/>
        <v>U</v>
      </c>
      <c r="X453" s="186" t="str">
        <f t="shared" si="231"/>
        <v>U</v>
      </c>
      <c r="Y453" s="186"/>
      <c r="Z453" s="98">
        <v>57.5</v>
      </c>
      <c r="AB453" s="90" t="str">
        <f t="shared" si="219"/>
        <v>POR/NO</v>
      </c>
      <c r="AC453" s="186">
        <f t="shared" si="232"/>
        <v>1</v>
      </c>
      <c r="AD453" s="186">
        <f t="shared" si="233"/>
        <v>3</v>
      </c>
    </row>
    <row r="454" spans="1:30" x14ac:dyDescent="0.45">
      <c r="A454" s="90">
        <v>191224</v>
      </c>
      <c r="B454" s="91">
        <v>0.5</v>
      </c>
      <c r="C454" s="90" t="s">
        <v>416</v>
      </c>
      <c r="D454" s="90" t="s">
        <v>403</v>
      </c>
      <c r="E454" s="124">
        <v>21</v>
      </c>
      <c r="F454" s="124">
        <v>36</v>
      </c>
      <c r="G454" s="124">
        <v>22</v>
      </c>
      <c r="H454" s="124">
        <v>25</v>
      </c>
      <c r="I454" s="124"/>
      <c r="J454" s="124">
        <v>37</v>
      </c>
      <c r="K454" s="124">
        <v>28</v>
      </c>
      <c r="L454" s="124">
        <v>32</v>
      </c>
      <c r="M454" s="124">
        <v>16</v>
      </c>
      <c r="N454" s="124" t="s">
        <v>427</v>
      </c>
      <c r="O454" s="186">
        <f t="shared" si="222"/>
        <v>104</v>
      </c>
      <c r="P454" s="186">
        <f t="shared" si="223"/>
        <v>113</v>
      </c>
      <c r="Q454" s="186" t="str">
        <f t="shared" si="224"/>
        <v>HL</v>
      </c>
      <c r="R454" s="186" t="str">
        <f t="shared" si="225"/>
        <v>HW</v>
      </c>
      <c r="S454" s="186" t="str">
        <f t="shared" si="226"/>
        <v>HL</v>
      </c>
      <c r="T454" s="186" t="str">
        <f t="shared" si="227"/>
        <v>HW</v>
      </c>
      <c r="U454" s="186" t="str">
        <f t="shared" si="228"/>
        <v>O</v>
      </c>
      <c r="V454" s="186" t="str">
        <f t="shared" si="229"/>
        <v>O</v>
      </c>
      <c r="W454" s="186" t="str">
        <f t="shared" si="230"/>
        <v>U</v>
      </c>
      <c r="X454" s="186" t="str">
        <f t="shared" si="231"/>
        <v>U</v>
      </c>
      <c r="Y454" s="186"/>
      <c r="Z454" s="98">
        <v>57.5</v>
      </c>
      <c r="AB454" s="90" t="str">
        <f t="shared" si="219"/>
        <v>SAC/HOU</v>
      </c>
      <c r="AC454" s="186">
        <f t="shared" si="232"/>
        <v>2</v>
      </c>
      <c r="AD454" s="186">
        <f t="shared" si="233"/>
        <v>2</v>
      </c>
    </row>
    <row r="455" spans="1:30" x14ac:dyDescent="0.45">
      <c r="A455" s="90">
        <v>191224</v>
      </c>
      <c r="B455" s="91">
        <v>0.52083333333333337</v>
      </c>
      <c r="C455" s="90" t="s">
        <v>425</v>
      </c>
      <c r="D455" s="90" t="s">
        <v>420</v>
      </c>
      <c r="E455" s="116">
        <v>22</v>
      </c>
      <c r="F455" s="116">
        <v>35</v>
      </c>
      <c r="G455" s="116">
        <v>27</v>
      </c>
      <c r="H455" s="116">
        <v>29</v>
      </c>
      <c r="I455" s="116"/>
      <c r="J455" s="116">
        <v>22</v>
      </c>
      <c r="K455" s="116">
        <v>21</v>
      </c>
      <c r="L455" s="116">
        <v>24</v>
      </c>
      <c r="M455" s="116">
        <v>37</v>
      </c>
      <c r="N455" s="116" t="s">
        <v>427</v>
      </c>
      <c r="O455" s="186">
        <f t="shared" si="222"/>
        <v>113</v>
      </c>
      <c r="P455" s="186">
        <f t="shared" si="223"/>
        <v>104</v>
      </c>
      <c r="Q455" s="186" t="str">
        <f t="shared" si="224"/>
        <v>TT</v>
      </c>
      <c r="R455" s="186" t="str">
        <f t="shared" si="225"/>
        <v>HW</v>
      </c>
      <c r="S455" s="186" t="str">
        <f t="shared" si="226"/>
        <v>HW</v>
      </c>
      <c r="T455" s="186" t="str">
        <f t="shared" si="227"/>
        <v>HL</v>
      </c>
      <c r="U455" s="186" t="str">
        <f t="shared" si="228"/>
        <v>U</v>
      </c>
      <c r="V455" s="186" t="str">
        <f t="shared" si="229"/>
        <v>T</v>
      </c>
      <c r="W455" s="186" t="str">
        <f t="shared" si="230"/>
        <v>U</v>
      </c>
      <c r="X455" s="186" t="str">
        <f t="shared" si="231"/>
        <v>O</v>
      </c>
      <c r="Y455" s="186"/>
      <c r="Z455" s="98">
        <v>56</v>
      </c>
      <c r="AB455" s="90" t="str">
        <f t="shared" si="219"/>
        <v>GS/MIN</v>
      </c>
      <c r="AC455" s="186">
        <f t="shared" si="232"/>
        <v>1</v>
      </c>
      <c r="AD455" s="186">
        <f t="shared" si="233"/>
        <v>2</v>
      </c>
    </row>
    <row r="456" spans="1:30" x14ac:dyDescent="0.45">
      <c r="A456" s="90">
        <v>191226</v>
      </c>
      <c r="B456" s="91">
        <v>8.3333333333333329E-2</v>
      </c>
      <c r="C456" s="90" t="s">
        <v>413</v>
      </c>
      <c r="D456" s="90" t="s">
        <v>421</v>
      </c>
      <c r="E456" s="129">
        <v>19</v>
      </c>
      <c r="F456" s="129">
        <v>28</v>
      </c>
      <c r="G456" s="129">
        <v>22</v>
      </c>
      <c r="H456" s="129">
        <v>33</v>
      </c>
      <c r="I456" s="129"/>
      <c r="J456" s="129">
        <v>28</v>
      </c>
      <c r="K456" s="129">
        <v>27</v>
      </c>
      <c r="L456" s="129">
        <v>33</v>
      </c>
      <c r="M456" s="129">
        <v>30</v>
      </c>
      <c r="N456" s="129" t="s">
        <v>427</v>
      </c>
      <c r="O456" s="186">
        <f t="shared" si="222"/>
        <v>102</v>
      </c>
      <c r="P456" s="186">
        <f t="shared" si="223"/>
        <v>118</v>
      </c>
      <c r="Q456" s="186" t="str">
        <f t="shared" si="224"/>
        <v>HL</v>
      </c>
      <c r="R456" s="186" t="str">
        <f t="shared" si="225"/>
        <v>HW</v>
      </c>
      <c r="S456" s="186" t="str">
        <f t="shared" si="226"/>
        <v>HL</v>
      </c>
      <c r="T456" s="186" t="str">
        <f t="shared" si="227"/>
        <v>HW</v>
      </c>
      <c r="U456" s="186" t="str">
        <f t="shared" si="228"/>
        <v>U</v>
      </c>
      <c r="V456" s="186" t="str">
        <f t="shared" si="229"/>
        <v>O</v>
      </c>
      <c r="W456" s="186" t="str">
        <f t="shared" si="230"/>
        <v>O</v>
      </c>
      <c r="X456" s="186" t="str">
        <f t="shared" si="231"/>
        <v>O</v>
      </c>
      <c r="Y456" s="186"/>
      <c r="Z456" s="90">
        <v>53</v>
      </c>
      <c r="AB456" s="90" t="str">
        <f t="shared" si="219"/>
        <v>TOR/BOS</v>
      </c>
      <c r="AC456" s="186">
        <f t="shared" si="232"/>
        <v>3</v>
      </c>
      <c r="AD456" s="186">
        <f t="shared" si="233"/>
        <v>1</v>
      </c>
    </row>
    <row r="457" spans="1:30" x14ac:dyDescent="0.45">
      <c r="A457" s="90">
        <v>191226</v>
      </c>
      <c r="B457" s="91">
        <v>0.1875</v>
      </c>
      <c r="C457" s="90" t="s">
        <v>401</v>
      </c>
      <c r="D457" s="90" t="s">
        <v>423</v>
      </c>
      <c r="E457" s="128">
        <v>38</v>
      </c>
      <c r="F457" s="128">
        <v>31</v>
      </c>
      <c r="G457" s="128">
        <v>31</v>
      </c>
      <c r="H457" s="128">
        <v>21</v>
      </c>
      <c r="I457" s="128"/>
      <c r="J457" s="128">
        <v>30</v>
      </c>
      <c r="K457" s="128">
        <v>18</v>
      </c>
      <c r="L457" s="128">
        <v>25</v>
      </c>
      <c r="M457" s="128">
        <v>36</v>
      </c>
      <c r="N457" s="128" t="s">
        <v>427</v>
      </c>
      <c r="O457" s="186">
        <f t="shared" si="222"/>
        <v>121</v>
      </c>
      <c r="P457" s="186">
        <f t="shared" si="223"/>
        <v>109</v>
      </c>
      <c r="Q457" s="186" t="str">
        <f t="shared" si="224"/>
        <v>HW</v>
      </c>
      <c r="R457" s="186" t="str">
        <f t="shared" si="225"/>
        <v>HW</v>
      </c>
      <c r="S457" s="186" t="str">
        <f t="shared" si="226"/>
        <v>HW</v>
      </c>
      <c r="T457" s="186" t="str">
        <f t="shared" si="227"/>
        <v>HL</v>
      </c>
      <c r="U457" s="186" t="str">
        <f t="shared" si="228"/>
        <v>O</v>
      </c>
      <c r="V457" s="186" t="str">
        <f t="shared" si="229"/>
        <v>U</v>
      </c>
      <c r="W457" s="186" t="str">
        <f t="shared" si="230"/>
        <v>O</v>
      </c>
      <c r="X457" s="186" t="str">
        <f t="shared" si="231"/>
        <v>O</v>
      </c>
      <c r="Y457" s="186"/>
      <c r="Z457" s="90">
        <v>54.5</v>
      </c>
      <c r="AB457" s="90" t="str">
        <f t="shared" si="219"/>
        <v>PHI/MIL</v>
      </c>
      <c r="AC457" s="186">
        <f t="shared" si="232"/>
        <v>3</v>
      </c>
      <c r="AD457" s="186">
        <f t="shared" si="233"/>
        <v>1</v>
      </c>
    </row>
    <row r="458" spans="1:30" x14ac:dyDescent="0.45">
      <c r="A458" s="90">
        <v>191226</v>
      </c>
      <c r="B458" s="91">
        <v>0.29166666666666669</v>
      </c>
      <c r="C458" s="90" t="s">
        <v>425</v>
      </c>
      <c r="D458" s="90" t="s">
        <v>403</v>
      </c>
      <c r="E458" s="126">
        <v>28</v>
      </c>
      <c r="F458" s="126">
        <v>36</v>
      </c>
      <c r="G458" s="126">
        <v>28</v>
      </c>
      <c r="H458" s="126">
        <v>24</v>
      </c>
      <c r="I458" s="126"/>
      <c r="J458" s="126">
        <v>29</v>
      </c>
      <c r="K458" s="126">
        <v>39</v>
      </c>
      <c r="L458" s="126">
        <v>19</v>
      </c>
      <c r="M458" s="126">
        <v>17</v>
      </c>
      <c r="N458" s="126" t="s">
        <v>427</v>
      </c>
      <c r="O458" s="186">
        <f t="shared" si="222"/>
        <v>116</v>
      </c>
      <c r="P458" s="186">
        <f t="shared" si="223"/>
        <v>104</v>
      </c>
      <c r="Q458" s="186" t="str">
        <f t="shared" si="224"/>
        <v>HL</v>
      </c>
      <c r="R458" s="186" t="str">
        <f t="shared" si="225"/>
        <v>HL</v>
      </c>
      <c r="S458" s="186" t="str">
        <f t="shared" si="226"/>
        <v>HW</v>
      </c>
      <c r="T458" s="186" t="str">
        <f t="shared" si="227"/>
        <v>HW</v>
      </c>
      <c r="U458" s="186" t="str">
        <f t="shared" si="228"/>
        <v>U</v>
      </c>
      <c r="V458" s="186" t="str">
        <f t="shared" si="229"/>
        <v>O</v>
      </c>
      <c r="W458" s="186" t="str">
        <f t="shared" si="230"/>
        <v>U</v>
      </c>
      <c r="X458" s="186" t="str">
        <f t="shared" si="231"/>
        <v>U</v>
      </c>
      <c r="Y458" s="186"/>
      <c r="Z458" s="90">
        <v>59</v>
      </c>
      <c r="AB458" s="90" t="str">
        <f t="shared" si="219"/>
        <v>GS/HOU</v>
      </c>
      <c r="AC458" s="186">
        <f t="shared" si="232"/>
        <v>1</v>
      </c>
      <c r="AD458" s="186">
        <f t="shared" si="233"/>
        <v>3</v>
      </c>
    </row>
    <row r="459" spans="1:30" x14ac:dyDescent="0.45">
      <c r="A459" s="90">
        <v>191226</v>
      </c>
      <c r="B459" s="91">
        <v>0.41666666666666669</v>
      </c>
      <c r="C459" s="90" t="s">
        <v>419</v>
      </c>
      <c r="D459" s="90" t="s">
        <v>415</v>
      </c>
      <c r="E459" s="127">
        <v>33</v>
      </c>
      <c r="F459" s="127">
        <v>30</v>
      </c>
      <c r="G459" s="127">
        <v>23</v>
      </c>
      <c r="H459" s="127">
        <v>20</v>
      </c>
      <c r="I459" s="127"/>
      <c r="J459" s="127">
        <v>31</v>
      </c>
      <c r="K459" s="127">
        <v>20</v>
      </c>
      <c r="L459" s="127">
        <v>35</v>
      </c>
      <c r="M459" s="127">
        <v>25</v>
      </c>
      <c r="N459" s="127" t="s">
        <v>427</v>
      </c>
      <c r="O459" s="186">
        <f t="shared" si="222"/>
        <v>106</v>
      </c>
      <c r="P459" s="186">
        <f t="shared" si="223"/>
        <v>111</v>
      </c>
      <c r="Q459" s="186" t="str">
        <f t="shared" si="224"/>
        <v>HW</v>
      </c>
      <c r="R459" s="186" t="str">
        <f t="shared" si="225"/>
        <v>HW</v>
      </c>
      <c r="S459" s="186" t="str">
        <f t="shared" si="226"/>
        <v>HL</v>
      </c>
      <c r="T459" s="186" t="str">
        <f t="shared" si="227"/>
        <v>HL</v>
      </c>
      <c r="U459" s="186" t="str">
        <f t="shared" si="228"/>
        <v>O</v>
      </c>
      <c r="V459" s="186" t="str">
        <f t="shared" si="229"/>
        <v>U</v>
      </c>
      <c r="W459" s="186" t="str">
        <f t="shared" si="230"/>
        <v>T</v>
      </c>
      <c r="X459" s="186" t="str">
        <f t="shared" si="231"/>
        <v>U</v>
      </c>
      <c r="Y459" s="186"/>
      <c r="Z459" s="90">
        <v>58</v>
      </c>
      <c r="AB459" s="90" t="str">
        <f t="shared" si="219"/>
        <v>LAL/LAC</v>
      </c>
      <c r="AC459" s="186">
        <f t="shared" si="232"/>
        <v>1</v>
      </c>
      <c r="AD459" s="186">
        <f t="shared" si="233"/>
        <v>2</v>
      </c>
    </row>
    <row r="460" spans="1:30" x14ac:dyDescent="0.45">
      <c r="A460" s="90">
        <v>191226</v>
      </c>
      <c r="B460" s="91">
        <v>0.52083333333333337</v>
      </c>
      <c r="C460" s="90" t="s">
        <v>408</v>
      </c>
      <c r="D460" s="90" t="s">
        <v>398</v>
      </c>
      <c r="E460" s="125">
        <v>26</v>
      </c>
      <c r="F460" s="125">
        <v>29</v>
      </c>
      <c r="G460" s="125">
        <v>25</v>
      </c>
      <c r="H460" s="125">
        <v>20</v>
      </c>
      <c r="I460" s="125"/>
      <c r="J460" s="125">
        <v>29</v>
      </c>
      <c r="K460" s="125">
        <v>29</v>
      </c>
      <c r="L460" s="125">
        <v>26</v>
      </c>
      <c r="M460" s="125">
        <v>28</v>
      </c>
      <c r="N460" s="125" t="s">
        <v>427</v>
      </c>
      <c r="O460" s="186">
        <f t="shared" si="222"/>
        <v>100</v>
      </c>
      <c r="P460" s="186">
        <f t="shared" si="223"/>
        <v>112</v>
      </c>
      <c r="Q460" s="186" t="str">
        <f t="shared" si="224"/>
        <v>HL</v>
      </c>
      <c r="R460" s="186" t="str">
        <f t="shared" si="225"/>
        <v>TT</v>
      </c>
      <c r="S460" s="186" t="str">
        <f t="shared" si="226"/>
        <v>HL</v>
      </c>
      <c r="T460" s="186" t="str">
        <f t="shared" si="227"/>
        <v>HL</v>
      </c>
      <c r="U460" s="186" t="str">
        <f t="shared" si="228"/>
        <v>U</v>
      </c>
      <c r="V460" s="186" t="str">
        <f t="shared" si="229"/>
        <v>O</v>
      </c>
      <c r="W460" s="186" t="str">
        <f t="shared" si="230"/>
        <v>U</v>
      </c>
      <c r="X460" s="186" t="str">
        <f t="shared" si="231"/>
        <v>U</v>
      </c>
      <c r="Y460" s="186"/>
      <c r="Z460" s="90">
        <v>56</v>
      </c>
      <c r="AB460" s="90" t="str">
        <f t="shared" si="219"/>
        <v>DEN/NO</v>
      </c>
      <c r="AC460" s="186">
        <f t="shared" si="232"/>
        <v>1</v>
      </c>
      <c r="AD460" s="186">
        <f t="shared" si="233"/>
        <v>3</v>
      </c>
    </row>
    <row r="461" spans="1:30" x14ac:dyDescent="0.45">
      <c r="A461" s="90">
        <v>191227</v>
      </c>
      <c r="B461" s="91">
        <v>0.375</v>
      </c>
      <c r="C461" s="90" t="s">
        <v>422</v>
      </c>
      <c r="D461" s="90" t="s">
        <v>414</v>
      </c>
      <c r="E461" s="132">
        <v>31</v>
      </c>
      <c r="F461" s="132">
        <v>37</v>
      </c>
      <c r="G461" s="132">
        <v>38</v>
      </c>
      <c r="H461" s="132">
        <v>26</v>
      </c>
      <c r="I461" s="132"/>
      <c r="J461" s="132">
        <v>23</v>
      </c>
      <c r="K461" s="132">
        <v>25</v>
      </c>
      <c r="L461" s="132">
        <v>28</v>
      </c>
      <c r="M461" s="132">
        <v>26</v>
      </c>
      <c r="N461" s="132" t="s">
        <v>427</v>
      </c>
      <c r="O461" s="186">
        <f t="shared" si="222"/>
        <v>132</v>
      </c>
      <c r="P461" s="186">
        <f t="shared" si="223"/>
        <v>102</v>
      </c>
      <c r="Q461" s="186" t="str">
        <f t="shared" si="224"/>
        <v>HW</v>
      </c>
      <c r="R461" s="186" t="str">
        <f t="shared" si="225"/>
        <v>HW</v>
      </c>
      <c r="S461" s="186" t="str">
        <f t="shared" si="226"/>
        <v>HW</v>
      </c>
      <c r="T461" s="186" t="str">
        <f t="shared" si="227"/>
        <v>TT</v>
      </c>
      <c r="U461" s="186" t="str">
        <f t="shared" si="228"/>
        <v>U</v>
      </c>
      <c r="V461" s="186" t="str">
        <f t="shared" si="229"/>
        <v>O</v>
      </c>
      <c r="W461" s="186" t="str">
        <f t="shared" si="230"/>
        <v>O</v>
      </c>
      <c r="X461" s="186" t="str">
        <f t="shared" si="231"/>
        <v>U</v>
      </c>
      <c r="Y461" s="186"/>
      <c r="Z461" s="90">
        <v>59</v>
      </c>
      <c r="AB461" s="90" t="str">
        <f t="shared" si="219"/>
        <v>DET/WAS</v>
      </c>
      <c r="AC461" s="186">
        <f t="shared" si="232"/>
        <v>2</v>
      </c>
      <c r="AD461" s="186">
        <f t="shared" si="233"/>
        <v>2</v>
      </c>
    </row>
    <row r="462" spans="1:30" x14ac:dyDescent="0.45">
      <c r="A462" s="90">
        <v>191227</v>
      </c>
      <c r="B462" s="91">
        <v>0.39583333333333331</v>
      </c>
      <c r="C462" s="90" t="s">
        <v>407</v>
      </c>
      <c r="D462" s="90" t="s">
        <v>399</v>
      </c>
      <c r="E462" s="130">
        <v>15</v>
      </c>
      <c r="F462" s="130">
        <v>26</v>
      </c>
      <c r="G462" s="130">
        <v>20</v>
      </c>
      <c r="H462" s="130">
        <v>21</v>
      </c>
      <c r="I462" s="130"/>
      <c r="J462" s="130">
        <v>24</v>
      </c>
      <c r="K462" s="130">
        <v>22</v>
      </c>
      <c r="L462" s="130">
        <v>33</v>
      </c>
      <c r="M462" s="130">
        <v>15</v>
      </c>
      <c r="N462" s="130" t="s">
        <v>427</v>
      </c>
      <c r="O462" s="186">
        <f t="shared" si="222"/>
        <v>82</v>
      </c>
      <c r="P462" s="186">
        <f t="shared" si="223"/>
        <v>94</v>
      </c>
      <c r="Q462" s="186" t="str">
        <f t="shared" si="224"/>
        <v>HL</v>
      </c>
      <c r="R462" s="186" t="str">
        <f t="shared" si="225"/>
        <v>HW</v>
      </c>
      <c r="S462" s="186" t="str">
        <f t="shared" si="226"/>
        <v>HL</v>
      </c>
      <c r="T462" s="186" t="str">
        <f t="shared" si="227"/>
        <v>HW</v>
      </c>
      <c r="U462" s="186" t="str">
        <f t="shared" si="228"/>
        <v>U</v>
      </c>
      <c r="V462" s="186" t="str">
        <f t="shared" si="229"/>
        <v>U</v>
      </c>
      <c r="W462" s="186" t="str">
        <f t="shared" si="230"/>
        <v>U</v>
      </c>
      <c r="X462" s="186" t="str">
        <f t="shared" si="231"/>
        <v>U</v>
      </c>
      <c r="Y462" s="186"/>
      <c r="Z462" s="90">
        <v>58</v>
      </c>
      <c r="AB462" s="90" t="str">
        <f t="shared" si="219"/>
        <v>BKN/NYK</v>
      </c>
      <c r="AC462" s="186">
        <f t="shared" si="232"/>
        <v>0</v>
      </c>
      <c r="AD462" s="186">
        <f t="shared" si="233"/>
        <v>4</v>
      </c>
    </row>
    <row r="463" spans="1:30" x14ac:dyDescent="0.45">
      <c r="A463" s="90">
        <v>191227</v>
      </c>
      <c r="B463" s="91">
        <v>0.41666666666666669</v>
      </c>
      <c r="C463" s="90" t="s">
        <v>397</v>
      </c>
      <c r="D463" s="90" t="s">
        <v>426</v>
      </c>
      <c r="E463" s="131">
        <v>20</v>
      </c>
      <c r="F463" s="131">
        <v>32</v>
      </c>
      <c r="G463" s="131">
        <v>27</v>
      </c>
      <c r="H463" s="131">
        <v>23</v>
      </c>
      <c r="I463" s="131"/>
      <c r="J463" s="131">
        <v>24</v>
      </c>
      <c r="K463" s="131">
        <v>23</v>
      </c>
      <c r="L463" s="131">
        <v>27</v>
      </c>
      <c r="M463" s="131">
        <v>24</v>
      </c>
      <c r="N463" s="131" t="s">
        <v>427</v>
      </c>
      <c r="O463" s="186">
        <f t="shared" si="222"/>
        <v>102</v>
      </c>
      <c r="P463" s="186">
        <f t="shared" si="223"/>
        <v>98</v>
      </c>
      <c r="Q463" s="186" t="str">
        <f t="shared" si="224"/>
        <v>HL</v>
      </c>
      <c r="R463" s="186" t="str">
        <f t="shared" si="225"/>
        <v>HW</v>
      </c>
      <c r="S463" s="186" t="str">
        <f t="shared" si="226"/>
        <v>TT</v>
      </c>
      <c r="T463" s="186" t="str">
        <f t="shared" si="227"/>
        <v>HL</v>
      </c>
      <c r="U463" s="186" t="str">
        <f t="shared" si="228"/>
        <v>U</v>
      </c>
      <c r="V463" s="186" t="str">
        <f t="shared" si="229"/>
        <v>U</v>
      </c>
      <c r="W463" s="186" t="str">
        <f t="shared" si="230"/>
        <v>U</v>
      </c>
      <c r="X463" s="186" t="str">
        <f t="shared" si="231"/>
        <v>U</v>
      </c>
      <c r="Y463" s="186"/>
      <c r="Z463" s="90">
        <v>56</v>
      </c>
      <c r="AB463" s="90" t="str">
        <f t="shared" si="219"/>
        <v>DAL/SAS</v>
      </c>
      <c r="AC463" s="186">
        <f t="shared" si="232"/>
        <v>0</v>
      </c>
      <c r="AD463" s="186">
        <f t="shared" si="233"/>
        <v>4</v>
      </c>
    </row>
    <row r="464" spans="1:30" x14ac:dyDescent="0.45">
      <c r="A464" s="90">
        <v>191227</v>
      </c>
      <c r="B464" s="91">
        <v>0.41666666666666669</v>
      </c>
      <c r="C464" s="90" t="s">
        <v>418</v>
      </c>
      <c r="D464" s="90" t="s">
        <v>406</v>
      </c>
      <c r="E464" s="133">
        <v>18</v>
      </c>
      <c r="F464" s="133">
        <v>29</v>
      </c>
      <c r="G464" s="133">
        <v>27</v>
      </c>
      <c r="H464" s="133">
        <v>23</v>
      </c>
      <c r="I464" s="133"/>
      <c r="J464" s="133">
        <v>23</v>
      </c>
      <c r="K464" s="133">
        <v>26</v>
      </c>
      <c r="L464" s="133">
        <v>37</v>
      </c>
      <c r="M464" s="133">
        <v>24</v>
      </c>
      <c r="N464" s="133" t="s">
        <v>427</v>
      </c>
      <c r="O464" s="186">
        <f t="shared" si="222"/>
        <v>97</v>
      </c>
      <c r="P464" s="186">
        <f t="shared" si="223"/>
        <v>110</v>
      </c>
      <c r="Q464" s="186" t="str">
        <f t="shared" si="224"/>
        <v>HL</v>
      </c>
      <c r="R464" s="186" t="str">
        <f t="shared" si="225"/>
        <v>HW</v>
      </c>
      <c r="S464" s="186" t="str">
        <f t="shared" si="226"/>
        <v>HL</v>
      </c>
      <c r="T464" s="186" t="str">
        <f t="shared" si="227"/>
        <v>HL</v>
      </c>
      <c r="U464" s="186" t="str">
        <f t="shared" si="228"/>
        <v>U</v>
      </c>
      <c r="V464" s="186" t="str">
        <f t="shared" si="229"/>
        <v>T</v>
      </c>
      <c r="W464" s="186" t="str">
        <f t="shared" si="230"/>
        <v>O</v>
      </c>
      <c r="X464" s="186" t="str">
        <f t="shared" si="231"/>
        <v>U</v>
      </c>
      <c r="Y464" s="186"/>
      <c r="Z464" s="90">
        <v>55</v>
      </c>
      <c r="AB464" s="90" t="str">
        <f t="shared" si="219"/>
        <v>OKC/MEM</v>
      </c>
      <c r="AC464" s="186">
        <f t="shared" si="232"/>
        <v>1</v>
      </c>
      <c r="AD464" s="186">
        <f t="shared" si="233"/>
        <v>2</v>
      </c>
    </row>
    <row r="465" spans="1:30" x14ac:dyDescent="0.45">
      <c r="A465" s="90">
        <v>191227</v>
      </c>
      <c r="B465" s="91">
        <v>0.5</v>
      </c>
      <c r="C465" s="90" t="s">
        <v>416</v>
      </c>
      <c r="D465" s="90" t="s">
        <v>420</v>
      </c>
      <c r="E465" s="134">
        <v>26</v>
      </c>
      <c r="F465" s="134">
        <v>22</v>
      </c>
      <c r="G465" s="134">
        <v>31</v>
      </c>
      <c r="H465" s="134">
        <v>11</v>
      </c>
      <c r="I465" s="134">
        <v>14</v>
      </c>
      <c r="J465" s="134">
        <v>21</v>
      </c>
      <c r="K465" s="134">
        <v>29</v>
      </c>
      <c r="L465" s="134">
        <v>21</v>
      </c>
      <c r="M465" s="134">
        <v>19</v>
      </c>
      <c r="N465" s="134">
        <v>15</v>
      </c>
      <c r="O465" s="186">
        <f t="shared" si="222"/>
        <v>104</v>
      </c>
      <c r="P465" s="186">
        <f t="shared" si="223"/>
        <v>105</v>
      </c>
      <c r="Q465" s="186" t="str">
        <f t="shared" si="224"/>
        <v>HW</v>
      </c>
      <c r="R465" s="186" t="str">
        <f t="shared" si="225"/>
        <v>HL</v>
      </c>
      <c r="S465" s="186" t="str">
        <f t="shared" si="226"/>
        <v>HW</v>
      </c>
      <c r="T465" s="186" t="str">
        <f t="shared" si="227"/>
        <v>HL</v>
      </c>
      <c r="U465" s="186" t="str">
        <f t="shared" si="228"/>
        <v>U</v>
      </c>
      <c r="V465" s="186" t="str">
        <f t="shared" si="229"/>
        <v>U</v>
      </c>
      <c r="W465" s="186" t="str">
        <f t="shared" si="230"/>
        <v>U</v>
      </c>
      <c r="X465" s="186" t="str">
        <f t="shared" si="231"/>
        <v>U</v>
      </c>
      <c r="Y465" s="186"/>
      <c r="Z465" s="90">
        <v>57</v>
      </c>
      <c r="AB465" s="90" t="str">
        <f t="shared" si="219"/>
        <v>SAC/MIN</v>
      </c>
      <c r="AC465" s="186">
        <f t="shared" si="232"/>
        <v>0</v>
      </c>
      <c r="AD465" s="186">
        <f t="shared" si="233"/>
        <v>4</v>
      </c>
    </row>
    <row r="466" spans="1:30" x14ac:dyDescent="0.45">
      <c r="A466" s="90">
        <v>191227</v>
      </c>
      <c r="B466" s="91">
        <v>0.52083333333333337</v>
      </c>
      <c r="C466" s="90" t="s">
        <v>405</v>
      </c>
      <c r="D466" s="90" t="s">
        <v>417</v>
      </c>
      <c r="E466" s="135">
        <v>37</v>
      </c>
      <c r="F466" s="135">
        <v>25</v>
      </c>
      <c r="G466" s="135">
        <v>34</v>
      </c>
      <c r="H466" s="135">
        <v>25</v>
      </c>
      <c r="I466" s="135"/>
      <c r="J466" s="135">
        <v>22</v>
      </c>
      <c r="K466" s="135">
        <v>30</v>
      </c>
      <c r="L466" s="135">
        <v>24</v>
      </c>
      <c r="M466" s="135">
        <v>39</v>
      </c>
      <c r="N466" s="135" t="s">
        <v>427</v>
      </c>
      <c r="O466" s="186">
        <f t="shared" si="222"/>
        <v>121</v>
      </c>
      <c r="P466" s="186">
        <f t="shared" si="223"/>
        <v>115</v>
      </c>
      <c r="Q466" s="186" t="str">
        <f t="shared" si="224"/>
        <v>HW</v>
      </c>
      <c r="R466" s="186" t="str">
        <f t="shared" si="225"/>
        <v>HL</v>
      </c>
      <c r="S466" s="186" t="str">
        <f t="shared" si="226"/>
        <v>HW</v>
      </c>
      <c r="T466" s="186" t="str">
        <f t="shared" si="227"/>
        <v>HL</v>
      </c>
      <c r="U466" s="186" t="str">
        <f t="shared" si="228"/>
        <v>O</v>
      </c>
      <c r="V466" s="186" t="str">
        <f t="shared" si="229"/>
        <v>U</v>
      </c>
      <c r="W466" s="186" t="str">
        <f t="shared" si="230"/>
        <v>O</v>
      </c>
      <c r="X466" s="186" t="str">
        <f t="shared" si="231"/>
        <v>O</v>
      </c>
      <c r="Y466" s="186"/>
      <c r="Z466" s="90">
        <v>56.5</v>
      </c>
      <c r="AB466" s="90" t="str">
        <f t="shared" si="219"/>
        <v>UTA/POR</v>
      </c>
      <c r="AC466" s="186">
        <f t="shared" si="232"/>
        <v>3</v>
      </c>
      <c r="AD466" s="186">
        <f t="shared" si="233"/>
        <v>1</v>
      </c>
    </row>
    <row r="467" spans="1:30" x14ac:dyDescent="0.45">
      <c r="A467" s="90">
        <v>191228</v>
      </c>
      <c r="B467" s="91">
        <v>0.25</v>
      </c>
      <c r="C467" s="90" t="s">
        <v>421</v>
      </c>
      <c r="D467" s="90" t="s">
        <v>402</v>
      </c>
      <c r="E467" s="137">
        <v>33</v>
      </c>
      <c r="F467" s="137">
        <v>29</v>
      </c>
      <c r="G467" s="137">
        <v>30</v>
      </c>
      <c r="H467" s="137">
        <v>37</v>
      </c>
      <c r="I467" s="137"/>
      <c r="J467" s="137">
        <v>22</v>
      </c>
      <c r="K467" s="137">
        <v>25</v>
      </c>
      <c r="L467" s="137">
        <v>34</v>
      </c>
      <c r="M467" s="137">
        <v>36</v>
      </c>
      <c r="N467" s="137" t="s">
        <v>427</v>
      </c>
      <c r="O467" s="186">
        <f t="shared" si="222"/>
        <v>129</v>
      </c>
      <c r="P467" s="186">
        <f t="shared" si="223"/>
        <v>117</v>
      </c>
      <c r="Q467" s="186" t="str">
        <f t="shared" si="224"/>
        <v>HW</v>
      </c>
      <c r="R467" s="186" t="str">
        <f t="shared" si="225"/>
        <v>HW</v>
      </c>
      <c r="S467" s="186" t="str">
        <f t="shared" si="226"/>
        <v>HL</v>
      </c>
      <c r="T467" s="186" t="str">
        <f t="shared" si="227"/>
        <v>HW</v>
      </c>
      <c r="U467" s="186" t="str">
        <f t="shared" si="228"/>
        <v>O</v>
      </c>
      <c r="V467" s="186" t="str">
        <f t="shared" si="229"/>
        <v>O</v>
      </c>
      <c r="W467" s="186" t="str">
        <f t="shared" si="230"/>
        <v>O</v>
      </c>
      <c r="X467" s="186" t="str">
        <f t="shared" si="231"/>
        <v>O</v>
      </c>
      <c r="Y467" s="186"/>
      <c r="Z467" s="90">
        <v>53.5</v>
      </c>
      <c r="AB467" s="90" t="str">
        <f t="shared" si="219"/>
        <v>BOS/CLE</v>
      </c>
      <c r="AC467" s="186">
        <f t="shared" si="232"/>
        <v>4</v>
      </c>
      <c r="AD467" s="186">
        <f t="shared" si="233"/>
        <v>0</v>
      </c>
    </row>
    <row r="468" spans="1:30" x14ac:dyDescent="0.45">
      <c r="A468" s="90">
        <v>191228</v>
      </c>
      <c r="B468" s="91">
        <v>0.375</v>
      </c>
      <c r="C468" s="90" t="s">
        <v>424</v>
      </c>
      <c r="D468" s="90" t="s">
        <v>401</v>
      </c>
      <c r="E468" s="141">
        <v>19</v>
      </c>
      <c r="F468" s="141">
        <v>27</v>
      </c>
      <c r="G468" s="141">
        <v>25</v>
      </c>
      <c r="H468" s="141">
        <v>27</v>
      </c>
      <c r="I468" s="141"/>
      <c r="J468" s="141">
        <v>21</v>
      </c>
      <c r="K468" s="141">
        <v>26</v>
      </c>
      <c r="L468" s="141">
        <v>21</v>
      </c>
      <c r="M468" s="141">
        <v>29</v>
      </c>
      <c r="N468" s="141" t="s">
        <v>427</v>
      </c>
      <c r="O468" s="186">
        <f t="shared" si="222"/>
        <v>98</v>
      </c>
      <c r="P468" s="186">
        <f t="shared" si="223"/>
        <v>97</v>
      </c>
      <c r="Q468" s="186" t="str">
        <f t="shared" si="224"/>
        <v>HL</v>
      </c>
      <c r="R468" s="186" t="str">
        <f t="shared" si="225"/>
        <v>HW</v>
      </c>
      <c r="S468" s="186" t="str">
        <f t="shared" si="226"/>
        <v>HW</v>
      </c>
      <c r="T468" s="186" t="str">
        <f t="shared" si="227"/>
        <v>HL</v>
      </c>
      <c r="U468" s="186" t="str">
        <f t="shared" si="228"/>
        <v>U</v>
      </c>
      <c r="V468" s="186" t="str">
        <f t="shared" si="229"/>
        <v>O</v>
      </c>
      <c r="W468" s="186" t="str">
        <f t="shared" si="230"/>
        <v>U</v>
      </c>
      <c r="X468" s="186" t="str">
        <f t="shared" si="231"/>
        <v>O</v>
      </c>
      <c r="Y468" s="186"/>
      <c r="Z468" s="90">
        <v>52</v>
      </c>
      <c r="AB468" s="90" t="str">
        <f t="shared" si="219"/>
        <v>ORL/PHI</v>
      </c>
      <c r="AC468" s="186">
        <f t="shared" si="232"/>
        <v>2</v>
      </c>
      <c r="AD468" s="186">
        <f t="shared" si="233"/>
        <v>2</v>
      </c>
    </row>
    <row r="469" spans="1:30" x14ac:dyDescent="0.45">
      <c r="A469" s="90">
        <v>191228</v>
      </c>
      <c r="B469" s="91">
        <v>0.375</v>
      </c>
      <c r="C469" s="90" t="s">
        <v>409</v>
      </c>
      <c r="D469" s="90" t="s">
        <v>418</v>
      </c>
      <c r="E469" s="138">
        <v>18</v>
      </c>
      <c r="F469" s="138">
        <v>25</v>
      </c>
      <c r="G469" s="138">
        <v>22</v>
      </c>
      <c r="H469" s="138">
        <v>29</v>
      </c>
      <c r="I469" s="138">
        <v>8</v>
      </c>
      <c r="J469" s="138">
        <v>26</v>
      </c>
      <c r="K469" s="138">
        <v>27</v>
      </c>
      <c r="L469" s="138">
        <v>19</v>
      </c>
      <c r="M469" s="138">
        <v>22</v>
      </c>
      <c r="N469" s="138">
        <v>10</v>
      </c>
      <c r="O469" s="186">
        <f t="shared" si="222"/>
        <v>102</v>
      </c>
      <c r="P469" s="186">
        <f t="shared" si="223"/>
        <v>104</v>
      </c>
      <c r="Q469" s="186" t="str">
        <f t="shared" si="224"/>
        <v>HL</v>
      </c>
      <c r="R469" s="186" t="str">
        <f t="shared" si="225"/>
        <v>HL</v>
      </c>
      <c r="S469" s="186" t="str">
        <f t="shared" si="226"/>
        <v>HW</v>
      </c>
      <c r="T469" s="186" t="str">
        <f t="shared" si="227"/>
        <v>HW</v>
      </c>
      <c r="U469" s="186" t="str">
        <f t="shared" si="228"/>
        <v>U</v>
      </c>
      <c r="V469" s="186" t="str">
        <f t="shared" si="229"/>
        <v>U</v>
      </c>
      <c r="W469" s="186" t="str">
        <f t="shared" si="230"/>
        <v>U</v>
      </c>
      <c r="X469" s="186" t="str">
        <f t="shared" si="231"/>
        <v>U</v>
      </c>
      <c r="Y469" s="186"/>
      <c r="Z469" s="90">
        <v>53.5</v>
      </c>
      <c r="AB469" s="90" t="str">
        <f t="shared" si="219"/>
        <v>CHA/OKC</v>
      </c>
      <c r="AC469" s="186">
        <f t="shared" si="232"/>
        <v>0</v>
      </c>
      <c r="AD469" s="186">
        <f t="shared" si="233"/>
        <v>4</v>
      </c>
    </row>
    <row r="470" spans="1:30" x14ac:dyDescent="0.45">
      <c r="A470" s="90">
        <v>191228</v>
      </c>
      <c r="B470" s="91">
        <v>0.39583333333333331</v>
      </c>
      <c r="C470" s="90" t="s">
        <v>410</v>
      </c>
      <c r="D470" s="90" t="s">
        <v>423</v>
      </c>
      <c r="E470" s="136">
        <v>19</v>
      </c>
      <c r="F470" s="136">
        <v>21</v>
      </c>
      <c r="G470" s="136">
        <v>23</v>
      </c>
      <c r="H470" s="136">
        <v>23</v>
      </c>
      <c r="I470" s="136"/>
      <c r="J470" s="136">
        <v>32</v>
      </c>
      <c r="K470" s="136">
        <v>31</v>
      </c>
      <c r="L470" s="136">
        <v>21</v>
      </c>
      <c r="M470" s="136">
        <v>28</v>
      </c>
      <c r="N470" s="136" t="s">
        <v>427</v>
      </c>
      <c r="O470" s="186">
        <f t="shared" si="222"/>
        <v>86</v>
      </c>
      <c r="P470" s="186">
        <f t="shared" si="223"/>
        <v>112</v>
      </c>
      <c r="Q470" s="186" t="str">
        <f t="shared" si="224"/>
        <v>HL</v>
      </c>
      <c r="R470" s="186" t="str">
        <f t="shared" si="225"/>
        <v>HL</v>
      </c>
      <c r="S470" s="186" t="str">
        <f t="shared" si="226"/>
        <v>HW</v>
      </c>
      <c r="T470" s="186" t="str">
        <f t="shared" si="227"/>
        <v>HL</v>
      </c>
      <c r="U470" s="186" t="str">
        <f t="shared" si="228"/>
        <v>U</v>
      </c>
      <c r="V470" s="186" t="str">
        <f t="shared" si="229"/>
        <v>U</v>
      </c>
      <c r="W470" s="186" t="str">
        <f t="shared" si="230"/>
        <v>U</v>
      </c>
      <c r="X470" s="186" t="str">
        <f t="shared" si="231"/>
        <v>U</v>
      </c>
      <c r="Y470" s="186"/>
      <c r="Z470" s="90">
        <v>58</v>
      </c>
      <c r="AB470" s="90" t="str">
        <f t="shared" si="219"/>
        <v>ATL/MIL</v>
      </c>
      <c r="AC470" s="186">
        <f t="shared" si="232"/>
        <v>0</v>
      </c>
      <c r="AD470" s="186">
        <f t="shared" si="233"/>
        <v>4</v>
      </c>
    </row>
    <row r="471" spans="1:30" x14ac:dyDescent="0.45">
      <c r="A471" s="90">
        <v>191228</v>
      </c>
      <c r="B471" s="91">
        <v>0.41666666666666669</v>
      </c>
      <c r="C471" s="90" t="s">
        <v>411</v>
      </c>
      <c r="D471" s="90" t="s">
        <v>400</v>
      </c>
      <c r="E471" s="140">
        <v>25</v>
      </c>
      <c r="F471" s="140">
        <v>33</v>
      </c>
      <c r="G471" s="140">
        <v>26</v>
      </c>
      <c r="H471" s="140">
        <v>29</v>
      </c>
      <c r="I471" s="140"/>
      <c r="J471" s="140">
        <v>27</v>
      </c>
      <c r="K471" s="140">
        <v>28</v>
      </c>
      <c r="L471" s="140">
        <v>27</v>
      </c>
      <c r="M471" s="140">
        <v>30</v>
      </c>
      <c r="N471" s="140" t="s">
        <v>427</v>
      </c>
      <c r="O471" s="186">
        <f t="shared" si="222"/>
        <v>113</v>
      </c>
      <c r="P471" s="186">
        <f t="shared" si="223"/>
        <v>112</v>
      </c>
      <c r="Q471" s="186" t="str">
        <f t="shared" si="224"/>
        <v>HL</v>
      </c>
      <c r="R471" s="186" t="str">
        <f t="shared" si="225"/>
        <v>HW</v>
      </c>
      <c r="S471" s="186" t="str">
        <f t="shared" si="226"/>
        <v>HL</v>
      </c>
      <c r="T471" s="186" t="str">
        <f t="shared" si="227"/>
        <v>HL</v>
      </c>
      <c r="U471" s="186" t="str">
        <f t="shared" si="228"/>
        <v>U</v>
      </c>
      <c r="V471" s="186" t="str">
        <f t="shared" si="229"/>
        <v>O</v>
      </c>
      <c r="W471" s="186" t="str">
        <f t="shared" si="230"/>
        <v>U</v>
      </c>
      <c r="X471" s="186" t="str">
        <f t="shared" si="231"/>
        <v>O</v>
      </c>
      <c r="Y471" s="186"/>
      <c r="Z471" s="90">
        <v>54.5</v>
      </c>
      <c r="AB471" s="90" t="str">
        <f t="shared" si="219"/>
        <v>MIA/IND</v>
      </c>
      <c r="AC471" s="186">
        <f t="shared" si="232"/>
        <v>2</v>
      </c>
      <c r="AD471" s="186">
        <f t="shared" si="233"/>
        <v>2</v>
      </c>
    </row>
    <row r="472" spans="1:30" x14ac:dyDescent="0.45">
      <c r="A472" s="90">
        <v>191228</v>
      </c>
      <c r="B472" s="91">
        <v>0.52083333333333337</v>
      </c>
      <c r="C472" s="90" t="s">
        <v>425</v>
      </c>
      <c r="D472" s="90" t="s">
        <v>404</v>
      </c>
      <c r="E472" s="139">
        <v>25</v>
      </c>
      <c r="F472" s="139">
        <v>18</v>
      </c>
      <c r="G472" s="139">
        <v>23</v>
      </c>
      <c r="H472" s="139">
        <v>39</v>
      </c>
      <c r="I472" s="139"/>
      <c r="J472" s="139">
        <v>29</v>
      </c>
      <c r="K472" s="139">
        <v>22</v>
      </c>
      <c r="L472" s="139">
        <v>27</v>
      </c>
      <c r="M472" s="139">
        <v>18</v>
      </c>
      <c r="N472" s="139" t="s">
        <v>427</v>
      </c>
      <c r="O472" s="186">
        <f t="shared" si="222"/>
        <v>105</v>
      </c>
      <c r="P472" s="186">
        <f t="shared" si="223"/>
        <v>96</v>
      </c>
      <c r="Q472" s="186" t="str">
        <f t="shared" si="224"/>
        <v>HL</v>
      </c>
      <c r="R472" s="186" t="str">
        <f t="shared" si="225"/>
        <v>HL</v>
      </c>
      <c r="S472" s="186" t="str">
        <f t="shared" si="226"/>
        <v>HL</v>
      </c>
      <c r="T472" s="186" t="str">
        <f t="shared" si="227"/>
        <v>HW</v>
      </c>
      <c r="U472" s="186" t="str">
        <f t="shared" si="228"/>
        <v>U</v>
      </c>
      <c r="V472" s="186" t="str">
        <f t="shared" si="229"/>
        <v>U</v>
      </c>
      <c r="W472" s="186" t="str">
        <f t="shared" si="230"/>
        <v>U</v>
      </c>
      <c r="X472" s="186" t="str">
        <f t="shared" si="231"/>
        <v>O</v>
      </c>
      <c r="Y472" s="186"/>
      <c r="Z472" s="90">
        <v>55.5</v>
      </c>
      <c r="AB472" s="90" t="str">
        <f t="shared" ref="AB472:AB523" si="234">C472&amp;"/"&amp;D472</f>
        <v>GS/PHO</v>
      </c>
      <c r="AC472" s="186">
        <f t="shared" si="232"/>
        <v>1</v>
      </c>
      <c r="AD472" s="186">
        <f t="shared" si="233"/>
        <v>3</v>
      </c>
    </row>
    <row r="473" spans="1:30" x14ac:dyDescent="0.45">
      <c r="A473" s="90">
        <v>191229</v>
      </c>
      <c r="B473" s="91">
        <v>0.29166666666666669</v>
      </c>
      <c r="C473" s="90" t="s">
        <v>408</v>
      </c>
      <c r="D473" s="90" t="s">
        <v>406</v>
      </c>
      <c r="E473" s="144">
        <v>26</v>
      </c>
      <c r="F473" s="144">
        <v>24</v>
      </c>
      <c r="G473" s="144">
        <v>32</v>
      </c>
      <c r="H473" s="144">
        <v>37</v>
      </c>
      <c r="I473" s="144"/>
      <c r="J473" s="144">
        <v>11</v>
      </c>
      <c r="K473" s="144">
        <v>28</v>
      </c>
      <c r="L473" s="144">
        <v>29</v>
      </c>
      <c r="M473" s="144">
        <v>42</v>
      </c>
      <c r="N473" s="144" t="s">
        <v>427</v>
      </c>
      <c r="O473" s="186">
        <f t="shared" si="222"/>
        <v>119</v>
      </c>
      <c r="P473" s="186">
        <f t="shared" si="223"/>
        <v>110</v>
      </c>
      <c r="Q473" s="186" t="str">
        <f t="shared" si="224"/>
        <v>HW</v>
      </c>
      <c r="R473" s="186" t="str">
        <f t="shared" si="225"/>
        <v>HL</v>
      </c>
      <c r="S473" s="186" t="str">
        <f t="shared" si="226"/>
        <v>HW</v>
      </c>
      <c r="T473" s="186" t="str">
        <f t="shared" si="227"/>
        <v>HL</v>
      </c>
      <c r="U473" s="186" t="str">
        <f t="shared" si="228"/>
        <v>U</v>
      </c>
      <c r="V473" s="186" t="str">
        <f t="shared" si="229"/>
        <v>U</v>
      </c>
      <c r="W473" s="186" t="str">
        <f t="shared" si="230"/>
        <v>O</v>
      </c>
      <c r="X473" s="186" t="str">
        <f t="shared" si="231"/>
        <v>O</v>
      </c>
      <c r="Y473" s="186"/>
      <c r="Z473" s="90">
        <v>54.5</v>
      </c>
      <c r="AB473" s="90" t="str">
        <f t="shared" si="234"/>
        <v>DEN/MEM</v>
      </c>
      <c r="AC473" s="186">
        <f t="shared" si="232"/>
        <v>2</v>
      </c>
      <c r="AD473" s="186">
        <f t="shared" si="233"/>
        <v>2</v>
      </c>
    </row>
    <row r="474" spans="1:30" x14ac:dyDescent="0.45">
      <c r="A474" s="90">
        <v>191229</v>
      </c>
      <c r="B474" s="91">
        <v>0.375</v>
      </c>
      <c r="C474" s="90" t="s">
        <v>421</v>
      </c>
      <c r="D474" s="90" t="s">
        <v>413</v>
      </c>
      <c r="E474" s="142">
        <v>25</v>
      </c>
      <c r="F474" s="142">
        <v>29</v>
      </c>
      <c r="G474" s="142">
        <v>25</v>
      </c>
      <c r="H474" s="142">
        <v>18</v>
      </c>
      <c r="I474" s="142"/>
      <c r="J474" s="142">
        <v>36</v>
      </c>
      <c r="K474" s="142">
        <v>23</v>
      </c>
      <c r="L474" s="142">
        <v>30</v>
      </c>
      <c r="M474" s="142">
        <v>24</v>
      </c>
      <c r="N474" s="142" t="s">
        <v>427</v>
      </c>
      <c r="O474" s="186">
        <f t="shared" si="222"/>
        <v>97</v>
      </c>
      <c r="P474" s="186">
        <f t="shared" si="223"/>
        <v>113</v>
      </c>
      <c r="Q474" s="186" t="str">
        <f t="shared" si="224"/>
        <v>HL</v>
      </c>
      <c r="R474" s="186" t="str">
        <f t="shared" si="225"/>
        <v>HW</v>
      </c>
      <c r="S474" s="186" t="str">
        <f t="shared" si="226"/>
        <v>HL</v>
      </c>
      <c r="T474" s="186" t="str">
        <f t="shared" si="227"/>
        <v>HL</v>
      </c>
      <c r="U474" s="186" t="str">
        <f t="shared" si="228"/>
        <v>O</v>
      </c>
      <c r="V474" s="186" t="str">
        <f t="shared" si="229"/>
        <v>U</v>
      </c>
      <c r="W474" s="186" t="str">
        <f t="shared" si="230"/>
        <v>U</v>
      </c>
      <c r="X474" s="186" t="str">
        <f t="shared" si="231"/>
        <v>U</v>
      </c>
      <c r="Y474" s="186"/>
      <c r="Z474" s="90">
        <v>55.5</v>
      </c>
      <c r="AB474" s="90" t="str">
        <f t="shared" si="234"/>
        <v>BOS/TOR</v>
      </c>
      <c r="AC474" s="186">
        <f t="shared" si="232"/>
        <v>1</v>
      </c>
      <c r="AD474" s="186">
        <f t="shared" si="233"/>
        <v>3</v>
      </c>
    </row>
    <row r="475" spans="1:30" x14ac:dyDescent="0.45">
      <c r="A475" s="90">
        <v>191229</v>
      </c>
      <c r="B475" s="91">
        <v>0.375</v>
      </c>
      <c r="C475" s="90" t="s">
        <v>398</v>
      </c>
      <c r="D475" s="90" t="s">
        <v>400</v>
      </c>
      <c r="E475" s="151">
        <v>19</v>
      </c>
      <c r="F475" s="151">
        <v>29</v>
      </c>
      <c r="G475" s="151">
        <v>38</v>
      </c>
      <c r="H475" s="151">
        <v>34</v>
      </c>
      <c r="I475" s="151"/>
      <c r="J475" s="151">
        <v>32</v>
      </c>
      <c r="K475" s="151">
        <v>13</v>
      </c>
      <c r="L475" s="151">
        <v>23</v>
      </c>
      <c r="M475" s="151">
        <v>30</v>
      </c>
      <c r="N475" s="151" t="s">
        <v>427</v>
      </c>
      <c r="O475" s="186">
        <f t="shared" si="222"/>
        <v>120</v>
      </c>
      <c r="P475" s="186">
        <f t="shared" si="223"/>
        <v>98</v>
      </c>
      <c r="Q475" s="186" t="str">
        <f t="shared" si="224"/>
        <v>HL</v>
      </c>
      <c r="R475" s="186" t="str">
        <f t="shared" si="225"/>
        <v>HW</v>
      </c>
      <c r="S475" s="186" t="str">
        <f t="shared" si="226"/>
        <v>HW</v>
      </c>
      <c r="T475" s="186" t="str">
        <f t="shared" si="227"/>
        <v>HW</v>
      </c>
      <c r="U475" s="186" t="str">
        <f t="shared" si="228"/>
        <v>U</v>
      </c>
      <c r="V475" s="186" t="str">
        <f t="shared" si="229"/>
        <v>U</v>
      </c>
      <c r="W475" s="186" t="str">
        <f t="shared" si="230"/>
        <v>O</v>
      </c>
      <c r="X475" s="186" t="str">
        <f t="shared" si="231"/>
        <v>O</v>
      </c>
      <c r="Y475" s="186"/>
      <c r="Z475" s="90">
        <v>56.5</v>
      </c>
      <c r="AB475" s="90" t="str">
        <f t="shared" si="234"/>
        <v>NO/IND</v>
      </c>
      <c r="AC475" s="186">
        <f t="shared" si="232"/>
        <v>2</v>
      </c>
      <c r="AD475" s="186">
        <f t="shared" si="233"/>
        <v>2</v>
      </c>
    </row>
    <row r="476" spans="1:30" x14ac:dyDescent="0.45">
      <c r="A476" s="90">
        <v>191229</v>
      </c>
      <c r="B476" s="91">
        <v>0.41666666666666669</v>
      </c>
      <c r="C476" s="90" t="s">
        <v>412</v>
      </c>
      <c r="D476" s="90" t="s">
        <v>410</v>
      </c>
      <c r="E476" s="143">
        <v>35</v>
      </c>
      <c r="F476" s="143">
        <v>29</v>
      </c>
      <c r="G476" s="143">
        <v>19</v>
      </c>
      <c r="H476" s="143">
        <v>33</v>
      </c>
      <c r="I476" s="143"/>
      <c r="J476" s="143">
        <v>19</v>
      </c>
      <c r="K476" s="143">
        <v>24</v>
      </c>
      <c r="L476" s="143">
        <v>22</v>
      </c>
      <c r="M476" s="143">
        <v>16</v>
      </c>
      <c r="N476" s="143" t="s">
        <v>427</v>
      </c>
      <c r="O476" s="186">
        <f t="shared" si="222"/>
        <v>116</v>
      </c>
      <c r="P476" s="186">
        <f t="shared" si="223"/>
        <v>81</v>
      </c>
      <c r="Q476" s="186" t="str">
        <f t="shared" si="224"/>
        <v>HW</v>
      </c>
      <c r="R476" s="186" t="str">
        <f t="shared" si="225"/>
        <v>HW</v>
      </c>
      <c r="S476" s="186" t="str">
        <f t="shared" si="226"/>
        <v>HL</v>
      </c>
      <c r="T476" s="186" t="str">
        <f t="shared" si="227"/>
        <v>HW</v>
      </c>
      <c r="U476" s="186" t="str">
        <f t="shared" si="228"/>
        <v>U</v>
      </c>
      <c r="V476" s="186" t="str">
        <f t="shared" si="229"/>
        <v>U</v>
      </c>
      <c r="W476" s="186" t="str">
        <f t="shared" si="230"/>
        <v>U</v>
      </c>
      <c r="X476" s="186" t="str">
        <f t="shared" si="231"/>
        <v>U</v>
      </c>
      <c r="Y476" s="186"/>
      <c r="Z476" s="90">
        <v>55.5</v>
      </c>
      <c r="AB476" s="90" t="str">
        <f t="shared" si="234"/>
        <v>CHI/ATL</v>
      </c>
      <c r="AC476" s="186">
        <f t="shared" si="232"/>
        <v>0</v>
      </c>
      <c r="AD476" s="186">
        <f t="shared" si="233"/>
        <v>4</v>
      </c>
    </row>
    <row r="477" spans="1:30" x14ac:dyDescent="0.45">
      <c r="A477" s="90">
        <v>191229</v>
      </c>
      <c r="B477" s="91">
        <v>0.41666666666666669</v>
      </c>
      <c r="C477" s="90" t="s">
        <v>403</v>
      </c>
      <c r="D477" s="90" t="s">
        <v>407</v>
      </c>
      <c r="E477" s="146">
        <v>42</v>
      </c>
      <c r="F477" s="146">
        <v>21</v>
      </c>
      <c r="G477" s="146">
        <v>25</v>
      </c>
      <c r="H477" s="146">
        <v>20</v>
      </c>
      <c r="I477" s="146"/>
      <c r="J477" s="146">
        <v>20</v>
      </c>
      <c r="K477" s="146">
        <v>34</v>
      </c>
      <c r="L477" s="146">
        <v>25</v>
      </c>
      <c r="M477" s="146">
        <v>19</v>
      </c>
      <c r="N477" s="146" t="s">
        <v>427</v>
      </c>
      <c r="O477" s="186">
        <f t="shared" si="222"/>
        <v>108</v>
      </c>
      <c r="P477" s="186">
        <f t="shared" si="223"/>
        <v>98</v>
      </c>
      <c r="Q477" s="186" t="str">
        <f t="shared" si="224"/>
        <v>HW</v>
      </c>
      <c r="R477" s="186" t="str">
        <f t="shared" si="225"/>
        <v>HL</v>
      </c>
      <c r="S477" s="186" t="str">
        <f t="shared" si="226"/>
        <v>TT</v>
      </c>
      <c r="T477" s="186" t="str">
        <f t="shared" si="227"/>
        <v>HW</v>
      </c>
      <c r="U477" s="186" t="str">
        <f t="shared" si="228"/>
        <v>O</v>
      </c>
      <c r="V477" s="186" t="str">
        <f t="shared" si="229"/>
        <v>U</v>
      </c>
      <c r="W477" s="186" t="str">
        <f t="shared" si="230"/>
        <v>U</v>
      </c>
      <c r="X477" s="186" t="str">
        <f t="shared" si="231"/>
        <v>U</v>
      </c>
      <c r="Y477" s="186"/>
      <c r="Z477" s="90">
        <v>57.5</v>
      </c>
      <c r="AB477" s="90" t="str">
        <f t="shared" si="234"/>
        <v>HOU/BKN</v>
      </c>
      <c r="AC477" s="186">
        <f t="shared" si="232"/>
        <v>1</v>
      </c>
      <c r="AD477" s="186">
        <f t="shared" si="233"/>
        <v>3</v>
      </c>
    </row>
    <row r="478" spans="1:30" x14ac:dyDescent="0.45">
      <c r="A478" s="90">
        <v>191229</v>
      </c>
      <c r="B478" s="91">
        <v>0.41666666666666669</v>
      </c>
      <c r="C478" s="90" t="s">
        <v>411</v>
      </c>
      <c r="D478" s="90" t="s">
        <v>401</v>
      </c>
      <c r="E478" s="148">
        <v>28</v>
      </c>
      <c r="F478" s="148">
        <v>26</v>
      </c>
      <c r="G478" s="148">
        <v>31</v>
      </c>
      <c r="H478" s="148">
        <v>23</v>
      </c>
      <c r="I478" s="148">
        <v>9</v>
      </c>
      <c r="J478" s="148">
        <v>33</v>
      </c>
      <c r="K478" s="148">
        <v>26</v>
      </c>
      <c r="L478" s="148">
        <v>20</v>
      </c>
      <c r="M478" s="148">
        <v>29</v>
      </c>
      <c r="N478" s="148">
        <v>8</v>
      </c>
      <c r="O478" s="186">
        <f t="shared" si="222"/>
        <v>117</v>
      </c>
      <c r="P478" s="186">
        <f t="shared" si="223"/>
        <v>116</v>
      </c>
      <c r="Q478" s="186" t="str">
        <f t="shared" si="224"/>
        <v>HL</v>
      </c>
      <c r="R478" s="186" t="str">
        <f t="shared" si="225"/>
        <v>TT</v>
      </c>
      <c r="S478" s="186" t="str">
        <f t="shared" si="226"/>
        <v>HW</v>
      </c>
      <c r="T478" s="186" t="str">
        <f t="shared" si="227"/>
        <v>HL</v>
      </c>
      <c r="U478" s="186" t="str">
        <f t="shared" si="228"/>
        <v>O</v>
      </c>
      <c r="V478" s="186" t="str">
        <f t="shared" si="229"/>
        <v>U</v>
      </c>
      <c r="W478" s="186" t="str">
        <f t="shared" si="230"/>
        <v>U</v>
      </c>
      <c r="X478" s="186" t="str">
        <f t="shared" si="231"/>
        <v>U</v>
      </c>
      <c r="Y478" s="186"/>
      <c r="Z478" s="90">
        <v>52.5</v>
      </c>
      <c r="AB478" s="90" t="str">
        <f t="shared" si="234"/>
        <v>MIA/PHI</v>
      </c>
      <c r="AC478" s="186">
        <f t="shared" si="232"/>
        <v>1</v>
      </c>
      <c r="AD478" s="186">
        <f t="shared" si="233"/>
        <v>3</v>
      </c>
    </row>
    <row r="479" spans="1:30" x14ac:dyDescent="0.45">
      <c r="A479" s="90">
        <v>191229</v>
      </c>
      <c r="B479" s="91">
        <v>0.41666666666666669</v>
      </c>
      <c r="C479" s="90" t="s">
        <v>420</v>
      </c>
      <c r="D479" s="90" t="s">
        <v>402</v>
      </c>
      <c r="E479" s="150">
        <v>21</v>
      </c>
      <c r="F479" s="150">
        <v>22</v>
      </c>
      <c r="G479" s="150">
        <v>17</v>
      </c>
      <c r="H479" s="150">
        <v>28</v>
      </c>
      <c r="I479" s="150"/>
      <c r="J479" s="150">
        <v>27</v>
      </c>
      <c r="K479" s="150">
        <v>22</v>
      </c>
      <c r="L479" s="150">
        <v>18</v>
      </c>
      <c r="M479" s="150">
        <v>27</v>
      </c>
      <c r="N479" s="150" t="s">
        <v>427</v>
      </c>
      <c r="O479" s="186">
        <f t="shared" si="222"/>
        <v>88</v>
      </c>
      <c r="P479" s="186">
        <f t="shared" si="223"/>
        <v>94</v>
      </c>
      <c r="Q479" s="186" t="str">
        <f t="shared" si="224"/>
        <v>HL</v>
      </c>
      <c r="R479" s="186" t="str">
        <f t="shared" si="225"/>
        <v>TT</v>
      </c>
      <c r="S479" s="186" t="str">
        <f t="shared" si="226"/>
        <v>HL</v>
      </c>
      <c r="T479" s="186" t="str">
        <f t="shared" si="227"/>
        <v>HW</v>
      </c>
      <c r="U479" s="186" t="str">
        <f t="shared" si="228"/>
        <v>U</v>
      </c>
      <c r="V479" s="186" t="str">
        <f t="shared" si="229"/>
        <v>U</v>
      </c>
      <c r="W479" s="186" t="str">
        <f t="shared" si="230"/>
        <v>U</v>
      </c>
      <c r="X479" s="186" t="str">
        <f t="shared" si="231"/>
        <v>O</v>
      </c>
      <c r="Y479" s="186"/>
      <c r="Z479" s="90">
        <v>53.5</v>
      </c>
      <c r="AB479" s="90" t="str">
        <f t="shared" si="234"/>
        <v>MIN/CLE</v>
      </c>
      <c r="AC479" s="186">
        <f t="shared" si="232"/>
        <v>1</v>
      </c>
      <c r="AD479" s="186">
        <f t="shared" si="233"/>
        <v>3</v>
      </c>
    </row>
    <row r="480" spans="1:30" x14ac:dyDescent="0.45">
      <c r="A480" s="90">
        <v>191229</v>
      </c>
      <c r="B480" s="91">
        <v>0.41666666666666669</v>
      </c>
      <c r="C480" s="90" t="s">
        <v>414</v>
      </c>
      <c r="D480" s="90" t="s">
        <v>399</v>
      </c>
      <c r="E480" s="155">
        <v>23</v>
      </c>
      <c r="F480" s="155">
        <v>35</v>
      </c>
      <c r="G480" s="155">
        <v>20</v>
      </c>
      <c r="H480" s="155">
        <v>22</v>
      </c>
      <c r="I480" s="155"/>
      <c r="J480" s="155">
        <v>33</v>
      </c>
      <c r="K480" s="155">
        <v>26</v>
      </c>
      <c r="L480" s="155">
        <v>27</v>
      </c>
      <c r="M480" s="155">
        <v>21</v>
      </c>
      <c r="N480" s="155" t="s">
        <v>427</v>
      </c>
      <c r="O480" s="186">
        <f t="shared" si="222"/>
        <v>100</v>
      </c>
      <c r="P480" s="186">
        <f t="shared" si="223"/>
        <v>107</v>
      </c>
      <c r="Q480" s="186" t="str">
        <f t="shared" si="224"/>
        <v>HL</v>
      </c>
      <c r="R480" s="186" t="str">
        <f t="shared" si="225"/>
        <v>HW</v>
      </c>
      <c r="S480" s="186" t="str">
        <f t="shared" si="226"/>
        <v>HL</v>
      </c>
      <c r="T480" s="186" t="str">
        <f t="shared" si="227"/>
        <v>HW</v>
      </c>
      <c r="U480" s="186" t="str">
        <f t="shared" si="228"/>
        <v>U</v>
      </c>
      <c r="V480" s="186" t="str">
        <f t="shared" si="229"/>
        <v>O</v>
      </c>
      <c r="W480" s="186" t="str">
        <f t="shared" si="230"/>
        <v>U</v>
      </c>
      <c r="X480" s="186" t="str">
        <f t="shared" si="231"/>
        <v>U</v>
      </c>
      <c r="Y480" s="186"/>
      <c r="Z480" s="90">
        <v>58</v>
      </c>
      <c r="AB480" s="90" t="str">
        <f t="shared" si="234"/>
        <v>WAS/NYK</v>
      </c>
      <c r="AC480" s="186">
        <f t="shared" si="232"/>
        <v>1</v>
      </c>
      <c r="AD480" s="186">
        <f t="shared" si="233"/>
        <v>3</v>
      </c>
    </row>
    <row r="481" spans="1:30" x14ac:dyDescent="0.45">
      <c r="A481" s="90">
        <v>191229</v>
      </c>
      <c r="B481" s="91">
        <v>0.4375</v>
      </c>
      <c r="C481" s="90" t="s">
        <v>425</v>
      </c>
      <c r="D481" s="90" t="s">
        <v>397</v>
      </c>
      <c r="E481" s="145">
        <v>41</v>
      </c>
      <c r="F481" s="145">
        <v>33</v>
      </c>
      <c r="G481" s="145">
        <v>24</v>
      </c>
      <c r="H481" s="145">
        <v>23</v>
      </c>
      <c r="I481" s="145"/>
      <c r="J481" s="145">
        <v>41</v>
      </c>
      <c r="K481" s="145">
        <v>31</v>
      </c>
      <c r="L481" s="145">
        <v>45</v>
      </c>
      <c r="M481" s="145">
        <v>24</v>
      </c>
      <c r="N481" s="145" t="s">
        <v>427</v>
      </c>
      <c r="O481" s="186">
        <f t="shared" si="222"/>
        <v>121</v>
      </c>
      <c r="P481" s="186">
        <f t="shared" si="223"/>
        <v>141</v>
      </c>
      <c r="Q481" s="186" t="str">
        <f t="shared" si="224"/>
        <v>TT</v>
      </c>
      <c r="R481" s="186" t="str">
        <f t="shared" si="225"/>
        <v>HW</v>
      </c>
      <c r="S481" s="186" t="str">
        <f t="shared" si="226"/>
        <v>HL</v>
      </c>
      <c r="T481" s="186" t="str">
        <f t="shared" si="227"/>
        <v>HL</v>
      </c>
      <c r="U481" s="186" t="str">
        <f t="shared" si="228"/>
        <v>O</v>
      </c>
      <c r="V481" s="186" t="str">
        <f t="shared" si="229"/>
        <v>O</v>
      </c>
      <c r="W481" s="186" t="str">
        <f t="shared" si="230"/>
        <v>O</v>
      </c>
      <c r="X481" s="186" t="str">
        <f t="shared" si="231"/>
        <v>U</v>
      </c>
      <c r="Y481" s="186"/>
      <c r="Z481" s="90">
        <v>56</v>
      </c>
      <c r="AB481" s="90" t="str">
        <f t="shared" si="234"/>
        <v>GS/DAL</v>
      </c>
      <c r="AC481" s="186">
        <f t="shared" si="232"/>
        <v>3</v>
      </c>
      <c r="AD481" s="186">
        <f t="shared" si="233"/>
        <v>1</v>
      </c>
    </row>
    <row r="482" spans="1:30" x14ac:dyDescent="0.45">
      <c r="A482" s="90">
        <v>191229</v>
      </c>
      <c r="B482" s="91">
        <v>0.4375</v>
      </c>
      <c r="C482" s="90" t="s">
        <v>423</v>
      </c>
      <c r="D482" s="90" t="s">
        <v>424</v>
      </c>
      <c r="E482" s="149">
        <v>37</v>
      </c>
      <c r="F482" s="149">
        <v>19</v>
      </c>
      <c r="G482" s="149">
        <v>22</v>
      </c>
      <c r="H482" s="149">
        <v>33</v>
      </c>
      <c r="I482" s="149"/>
      <c r="J482" s="149">
        <v>25</v>
      </c>
      <c r="K482" s="149">
        <v>21</v>
      </c>
      <c r="L482" s="149">
        <v>28</v>
      </c>
      <c r="M482" s="149">
        <v>26</v>
      </c>
      <c r="N482" s="149" t="s">
        <v>427</v>
      </c>
      <c r="O482" s="186">
        <f t="shared" si="222"/>
        <v>111</v>
      </c>
      <c r="P482" s="186">
        <f t="shared" si="223"/>
        <v>100</v>
      </c>
      <c r="Q482" s="186" t="str">
        <f t="shared" si="224"/>
        <v>HW</v>
      </c>
      <c r="R482" s="186" t="str">
        <f t="shared" si="225"/>
        <v>HL</v>
      </c>
      <c r="S482" s="186" t="str">
        <f t="shared" si="226"/>
        <v>HL</v>
      </c>
      <c r="T482" s="186" t="str">
        <f t="shared" si="227"/>
        <v>HW</v>
      </c>
      <c r="U482" s="186" t="str">
        <f t="shared" si="228"/>
        <v>O</v>
      </c>
      <c r="V482" s="186" t="str">
        <f t="shared" si="229"/>
        <v>U</v>
      </c>
      <c r="W482" s="186" t="str">
        <f t="shared" si="230"/>
        <v>U</v>
      </c>
      <c r="X482" s="186" t="str">
        <f t="shared" si="231"/>
        <v>O</v>
      </c>
      <c r="Y482" s="186"/>
      <c r="Z482" s="90">
        <v>55.5</v>
      </c>
      <c r="AB482" s="90" t="str">
        <f t="shared" si="234"/>
        <v>MIL/ORL</v>
      </c>
      <c r="AC482" s="186">
        <f t="shared" si="232"/>
        <v>2</v>
      </c>
      <c r="AD482" s="186">
        <f t="shared" si="233"/>
        <v>2</v>
      </c>
    </row>
    <row r="483" spans="1:30" x14ac:dyDescent="0.45">
      <c r="A483" s="90">
        <v>191229</v>
      </c>
      <c r="B483" s="91">
        <v>0.4375</v>
      </c>
      <c r="C483" s="90" t="s">
        <v>426</v>
      </c>
      <c r="D483" s="90" t="s">
        <v>422</v>
      </c>
      <c r="E483" s="154">
        <v>30</v>
      </c>
      <c r="F483" s="154">
        <v>29</v>
      </c>
      <c r="G483" s="154">
        <v>42</v>
      </c>
      <c r="H483" s="154">
        <v>35</v>
      </c>
      <c r="I483" s="154"/>
      <c r="J483" s="154">
        <v>28</v>
      </c>
      <c r="K483" s="154">
        <v>27</v>
      </c>
      <c r="L483" s="154">
        <v>25</v>
      </c>
      <c r="M483" s="154">
        <v>29</v>
      </c>
      <c r="N483" s="154" t="s">
        <v>427</v>
      </c>
      <c r="O483" s="186">
        <f t="shared" si="222"/>
        <v>136</v>
      </c>
      <c r="P483" s="186">
        <f t="shared" si="223"/>
        <v>109</v>
      </c>
      <c r="Q483" s="186" t="str">
        <f t="shared" si="224"/>
        <v>HW</v>
      </c>
      <c r="R483" s="186" t="str">
        <f t="shared" si="225"/>
        <v>HW</v>
      </c>
      <c r="S483" s="186" t="str">
        <f t="shared" si="226"/>
        <v>HW</v>
      </c>
      <c r="T483" s="186" t="str">
        <f t="shared" si="227"/>
        <v>HW</v>
      </c>
      <c r="U483" s="186" t="str">
        <f t="shared" si="228"/>
        <v>O</v>
      </c>
      <c r="V483" s="186" t="str">
        <f t="shared" si="229"/>
        <v>U</v>
      </c>
      <c r="W483" s="186" t="str">
        <f t="shared" si="230"/>
        <v>O</v>
      </c>
      <c r="X483" s="186" t="str">
        <f t="shared" si="231"/>
        <v>O</v>
      </c>
      <c r="Y483" s="186"/>
      <c r="Z483" s="90">
        <v>57</v>
      </c>
      <c r="AB483" s="90" t="str">
        <f t="shared" si="234"/>
        <v>SAS/DET</v>
      </c>
      <c r="AC483" s="186">
        <f t="shared" si="232"/>
        <v>3</v>
      </c>
      <c r="AD483" s="186">
        <f t="shared" si="233"/>
        <v>1</v>
      </c>
    </row>
    <row r="484" spans="1:30" x14ac:dyDescent="0.45">
      <c r="A484" s="90">
        <v>191229</v>
      </c>
      <c r="B484" s="91">
        <v>0.45833333333333331</v>
      </c>
      <c r="C484" s="90" t="s">
        <v>416</v>
      </c>
      <c r="D484" s="90" t="s">
        <v>404</v>
      </c>
      <c r="E484" s="153">
        <v>30</v>
      </c>
      <c r="F484" s="153">
        <v>19</v>
      </c>
      <c r="G484" s="153">
        <v>28</v>
      </c>
      <c r="H484" s="153">
        <v>33</v>
      </c>
      <c r="I484" s="153"/>
      <c r="J484" s="153">
        <v>31</v>
      </c>
      <c r="K484" s="153">
        <v>28</v>
      </c>
      <c r="L484" s="153">
        <v>22</v>
      </c>
      <c r="M484" s="153">
        <v>31</v>
      </c>
      <c r="N484" s="153" t="s">
        <v>427</v>
      </c>
      <c r="O484" s="186">
        <f t="shared" si="222"/>
        <v>110</v>
      </c>
      <c r="P484" s="186">
        <f t="shared" si="223"/>
        <v>112</v>
      </c>
      <c r="Q484" s="186" t="str">
        <f t="shared" si="224"/>
        <v>HL</v>
      </c>
      <c r="R484" s="186" t="str">
        <f t="shared" si="225"/>
        <v>HL</v>
      </c>
      <c r="S484" s="186" t="str">
        <f t="shared" si="226"/>
        <v>HW</v>
      </c>
      <c r="T484" s="186" t="str">
        <f t="shared" si="227"/>
        <v>HW</v>
      </c>
      <c r="U484" s="186" t="str">
        <f t="shared" si="228"/>
        <v>O</v>
      </c>
      <c r="V484" s="186" t="str">
        <f t="shared" si="229"/>
        <v>U</v>
      </c>
      <c r="W484" s="186" t="str">
        <f t="shared" si="230"/>
        <v>U</v>
      </c>
      <c r="X484" s="186" t="str">
        <f t="shared" si="231"/>
        <v>O</v>
      </c>
      <c r="Y484" s="186"/>
      <c r="Z484" s="90">
        <v>53.5</v>
      </c>
      <c r="AB484" s="90" t="str">
        <f t="shared" si="234"/>
        <v>SAC/PHO</v>
      </c>
      <c r="AC484" s="186">
        <f t="shared" si="232"/>
        <v>2</v>
      </c>
      <c r="AD484" s="186">
        <f t="shared" si="233"/>
        <v>2</v>
      </c>
    </row>
    <row r="485" spans="1:30" x14ac:dyDescent="0.45">
      <c r="A485" s="90">
        <v>191229</v>
      </c>
      <c r="B485" s="91">
        <v>0.5</v>
      </c>
      <c r="C485" s="90" t="s">
        <v>417</v>
      </c>
      <c r="D485" s="90" t="s">
        <v>419</v>
      </c>
      <c r="E485" s="152">
        <v>32</v>
      </c>
      <c r="F485" s="152">
        <v>32</v>
      </c>
      <c r="G485" s="152">
        <v>31</v>
      </c>
      <c r="H485" s="152">
        <v>25</v>
      </c>
      <c r="I485" s="152"/>
      <c r="J485" s="152">
        <v>34</v>
      </c>
      <c r="K485" s="152">
        <v>37</v>
      </c>
      <c r="L485" s="152">
        <v>32</v>
      </c>
      <c r="M485" s="152">
        <v>25</v>
      </c>
      <c r="N485" s="152" t="s">
        <v>427</v>
      </c>
      <c r="O485" s="186">
        <f t="shared" si="222"/>
        <v>120</v>
      </c>
      <c r="P485" s="186">
        <f t="shared" si="223"/>
        <v>128</v>
      </c>
      <c r="Q485" s="186" t="str">
        <f t="shared" si="224"/>
        <v>HL</v>
      </c>
      <c r="R485" s="186" t="str">
        <f t="shared" si="225"/>
        <v>HL</v>
      </c>
      <c r="S485" s="186" t="str">
        <f t="shared" si="226"/>
        <v>HL</v>
      </c>
      <c r="T485" s="186" t="str">
        <f t="shared" si="227"/>
        <v>TT</v>
      </c>
      <c r="U485" s="186" t="str">
        <f t="shared" si="228"/>
        <v>O</v>
      </c>
      <c r="V485" s="186" t="str">
        <f t="shared" si="229"/>
        <v>O</v>
      </c>
      <c r="W485" s="186" t="str">
        <f t="shared" si="230"/>
        <v>O</v>
      </c>
      <c r="X485" s="186" t="str">
        <f t="shared" si="231"/>
        <v>U</v>
      </c>
      <c r="Y485" s="186"/>
      <c r="Z485" s="90">
        <v>57.5</v>
      </c>
      <c r="AB485" s="90" t="str">
        <f t="shared" si="234"/>
        <v>POR/LAL</v>
      </c>
      <c r="AC485" s="186">
        <f t="shared" si="232"/>
        <v>3</v>
      </c>
      <c r="AD485" s="186">
        <f t="shared" si="233"/>
        <v>1</v>
      </c>
    </row>
    <row r="486" spans="1:30" x14ac:dyDescent="0.45">
      <c r="A486" s="90">
        <v>191229</v>
      </c>
      <c r="B486" s="91">
        <v>0.52083333333333337</v>
      </c>
      <c r="C486" s="90" t="s">
        <v>415</v>
      </c>
      <c r="D486" s="90" t="s">
        <v>405</v>
      </c>
      <c r="E486" s="147">
        <v>32</v>
      </c>
      <c r="F486" s="147">
        <v>31</v>
      </c>
      <c r="G486" s="147">
        <v>29</v>
      </c>
      <c r="H486" s="147">
        <v>15</v>
      </c>
      <c r="I486" s="147"/>
      <c r="J486" s="147">
        <v>22</v>
      </c>
      <c r="K486" s="147">
        <v>39</v>
      </c>
      <c r="L486" s="147">
        <v>32</v>
      </c>
      <c r="M486" s="147">
        <v>27</v>
      </c>
      <c r="N486" s="147" t="s">
        <v>427</v>
      </c>
      <c r="O486" s="186">
        <f t="shared" si="222"/>
        <v>107</v>
      </c>
      <c r="P486" s="186">
        <f t="shared" si="223"/>
        <v>120</v>
      </c>
      <c r="Q486" s="186" t="str">
        <f t="shared" si="224"/>
        <v>HW</v>
      </c>
      <c r="R486" s="186" t="str">
        <f t="shared" si="225"/>
        <v>HL</v>
      </c>
      <c r="S486" s="186" t="str">
        <f t="shared" si="226"/>
        <v>HL</v>
      </c>
      <c r="T486" s="186" t="str">
        <f t="shared" si="227"/>
        <v>HL</v>
      </c>
      <c r="U486" s="186" t="str">
        <f t="shared" si="228"/>
        <v>U</v>
      </c>
      <c r="V486" s="186" t="str">
        <f t="shared" si="229"/>
        <v>O</v>
      </c>
      <c r="W486" s="186" t="str">
        <f t="shared" si="230"/>
        <v>O</v>
      </c>
      <c r="X486" s="186" t="str">
        <f t="shared" si="231"/>
        <v>U</v>
      </c>
      <c r="Y486" s="186"/>
      <c r="Z486" s="90">
        <v>55</v>
      </c>
      <c r="AB486" s="90" t="str">
        <f t="shared" si="234"/>
        <v>LAC/UTA</v>
      </c>
      <c r="AC486" s="186">
        <f t="shared" si="232"/>
        <v>2</v>
      </c>
      <c r="AD486" s="186">
        <f t="shared" si="233"/>
        <v>2</v>
      </c>
    </row>
    <row r="487" spans="1:30" x14ac:dyDescent="0.45">
      <c r="A487" s="90">
        <v>191230</v>
      </c>
      <c r="B487" s="91">
        <v>0.33333333333333331</v>
      </c>
      <c r="C487" s="90" t="s">
        <v>413</v>
      </c>
      <c r="D487" s="90" t="s">
        <v>418</v>
      </c>
      <c r="E487" s="160">
        <v>20</v>
      </c>
      <c r="F487" s="160">
        <v>27</v>
      </c>
      <c r="G487" s="160">
        <v>33</v>
      </c>
      <c r="H487" s="160">
        <v>17</v>
      </c>
      <c r="I487" s="160"/>
      <c r="J487" s="160">
        <v>22</v>
      </c>
      <c r="K487" s="160">
        <v>25</v>
      </c>
      <c r="L487" s="160">
        <v>29</v>
      </c>
      <c r="M487" s="160">
        <v>22</v>
      </c>
      <c r="N487" s="160" t="s">
        <v>427</v>
      </c>
      <c r="O487" s="186">
        <f t="shared" si="222"/>
        <v>97</v>
      </c>
      <c r="P487" s="186">
        <f t="shared" si="223"/>
        <v>98</v>
      </c>
      <c r="Q487" s="186" t="str">
        <f t="shared" si="224"/>
        <v>HL</v>
      </c>
      <c r="R487" s="186" t="str">
        <f t="shared" si="225"/>
        <v>HW</v>
      </c>
      <c r="S487" s="186" t="str">
        <f t="shared" si="226"/>
        <v>HW</v>
      </c>
      <c r="T487" s="186" t="str">
        <f t="shared" si="227"/>
        <v>HL</v>
      </c>
      <c r="U487" s="186" t="str">
        <f t="shared" si="228"/>
        <v>U</v>
      </c>
      <c r="V487" s="186" t="str">
        <f t="shared" si="229"/>
        <v>U</v>
      </c>
      <c r="W487" s="186" t="str">
        <f t="shared" si="230"/>
        <v>O</v>
      </c>
      <c r="X487" s="186" t="str">
        <f t="shared" si="231"/>
        <v>U</v>
      </c>
      <c r="Y487" s="186"/>
      <c r="Z487" s="90">
        <v>54</v>
      </c>
      <c r="AB487" s="90" t="str">
        <f t="shared" si="234"/>
        <v>TOR/OKC</v>
      </c>
      <c r="AC487" s="186">
        <f t="shared" si="232"/>
        <v>1</v>
      </c>
      <c r="AD487" s="186">
        <f t="shared" si="233"/>
        <v>3</v>
      </c>
    </row>
    <row r="488" spans="1:30" x14ac:dyDescent="0.45">
      <c r="A488" s="90">
        <v>191230</v>
      </c>
      <c r="B488" s="91">
        <v>0.41666666666666669</v>
      </c>
      <c r="C488" s="90" t="s">
        <v>398</v>
      </c>
      <c r="D488" s="90" t="s">
        <v>403</v>
      </c>
      <c r="E488" s="159">
        <v>36</v>
      </c>
      <c r="F488" s="159">
        <v>28</v>
      </c>
      <c r="G488" s="159">
        <v>22</v>
      </c>
      <c r="H488" s="159">
        <v>41</v>
      </c>
      <c r="I488" s="159"/>
      <c r="J488" s="159">
        <v>37</v>
      </c>
      <c r="K488" s="159">
        <v>27</v>
      </c>
      <c r="L488" s="159">
        <v>29</v>
      </c>
      <c r="M488" s="159">
        <v>19</v>
      </c>
      <c r="N488" s="159" t="s">
        <v>427</v>
      </c>
      <c r="O488" s="186">
        <f t="shared" si="222"/>
        <v>127</v>
      </c>
      <c r="P488" s="186">
        <f t="shared" si="223"/>
        <v>112</v>
      </c>
      <c r="Q488" s="186" t="str">
        <f t="shared" si="224"/>
        <v>HL</v>
      </c>
      <c r="R488" s="186" t="str">
        <f t="shared" si="225"/>
        <v>HW</v>
      </c>
      <c r="S488" s="186" t="str">
        <f t="shared" si="226"/>
        <v>HL</v>
      </c>
      <c r="T488" s="186" t="str">
        <f t="shared" si="227"/>
        <v>HW</v>
      </c>
      <c r="U488" s="186" t="str">
        <f t="shared" si="228"/>
        <v>O</v>
      </c>
      <c r="V488" s="186" t="str">
        <f t="shared" si="229"/>
        <v>U</v>
      </c>
      <c r="W488" s="186" t="str">
        <f t="shared" si="230"/>
        <v>U</v>
      </c>
      <c r="X488" s="186" t="str">
        <f t="shared" si="231"/>
        <v>O</v>
      </c>
      <c r="Y488" s="186"/>
      <c r="Z488" s="90">
        <v>57.5</v>
      </c>
      <c r="AB488" s="90" t="str">
        <f t="shared" si="234"/>
        <v>NO/HOU</v>
      </c>
      <c r="AC488" s="186">
        <f t="shared" si="232"/>
        <v>2</v>
      </c>
      <c r="AD488" s="186">
        <f t="shared" si="233"/>
        <v>2</v>
      </c>
    </row>
    <row r="489" spans="1:30" x14ac:dyDescent="0.45">
      <c r="A489" s="90">
        <v>191230</v>
      </c>
      <c r="B489" s="91">
        <v>0.41666666666666669</v>
      </c>
      <c r="C489" s="90" t="s">
        <v>408</v>
      </c>
      <c r="D489" s="90" t="s">
        <v>416</v>
      </c>
      <c r="E489" s="156">
        <v>31</v>
      </c>
      <c r="F489" s="156">
        <v>31</v>
      </c>
      <c r="G489" s="156">
        <v>26</v>
      </c>
      <c r="H489" s="156">
        <v>32</v>
      </c>
      <c r="I489" s="156"/>
      <c r="J489" s="156">
        <v>32</v>
      </c>
      <c r="K489" s="156">
        <v>25</v>
      </c>
      <c r="L489" s="156">
        <v>24</v>
      </c>
      <c r="M489" s="156">
        <v>34</v>
      </c>
      <c r="N489" s="156" t="s">
        <v>427</v>
      </c>
      <c r="O489" s="186">
        <f t="shared" si="222"/>
        <v>120</v>
      </c>
      <c r="P489" s="186">
        <f t="shared" si="223"/>
        <v>115</v>
      </c>
      <c r="Q489" s="186" t="str">
        <f t="shared" si="224"/>
        <v>HL</v>
      </c>
      <c r="R489" s="186" t="str">
        <f t="shared" si="225"/>
        <v>HW</v>
      </c>
      <c r="S489" s="186" t="str">
        <f t="shared" si="226"/>
        <v>HW</v>
      </c>
      <c r="T489" s="186" t="str">
        <f t="shared" si="227"/>
        <v>HL</v>
      </c>
      <c r="U489" s="186" t="str">
        <f t="shared" si="228"/>
        <v>O</v>
      </c>
      <c r="V489" s="186" t="str">
        <f t="shared" si="229"/>
        <v>O</v>
      </c>
      <c r="W489" s="186" t="str">
        <f t="shared" si="230"/>
        <v>U</v>
      </c>
      <c r="X489" s="186" t="str">
        <f t="shared" si="231"/>
        <v>O</v>
      </c>
      <c r="Y489" s="186"/>
      <c r="Z489" s="90">
        <v>54</v>
      </c>
      <c r="AB489" s="90" t="str">
        <f t="shared" si="234"/>
        <v>DEN/SAC</v>
      </c>
      <c r="AC489" s="186">
        <f t="shared" si="232"/>
        <v>3</v>
      </c>
      <c r="AD489" s="186">
        <f t="shared" si="233"/>
        <v>1</v>
      </c>
    </row>
    <row r="490" spans="1:30" x14ac:dyDescent="0.45">
      <c r="A490" s="90">
        <v>191230</v>
      </c>
      <c r="B490" s="91">
        <v>0.41666666666666669</v>
      </c>
      <c r="C490" s="90" t="s">
        <v>406</v>
      </c>
      <c r="D490" s="90" t="s">
        <v>409</v>
      </c>
      <c r="E490" s="158">
        <v>31</v>
      </c>
      <c r="F490" s="158">
        <v>25</v>
      </c>
      <c r="G490" s="158">
        <v>30</v>
      </c>
      <c r="H490" s="158">
        <v>31</v>
      </c>
      <c r="I490" s="158"/>
      <c r="J490" s="158">
        <v>20</v>
      </c>
      <c r="K490" s="158">
        <v>26</v>
      </c>
      <c r="L490" s="158">
        <v>29</v>
      </c>
      <c r="M490" s="158">
        <v>29</v>
      </c>
      <c r="N490" s="158" t="s">
        <v>427</v>
      </c>
      <c r="O490" s="186">
        <f t="shared" si="222"/>
        <v>117</v>
      </c>
      <c r="P490" s="186">
        <f t="shared" si="223"/>
        <v>104</v>
      </c>
      <c r="Q490" s="186" t="str">
        <f t="shared" si="224"/>
        <v>HW</v>
      </c>
      <c r="R490" s="186" t="str">
        <f t="shared" si="225"/>
        <v>HL</v>
      </c>
      <c r="S490" s="186" t="str">
        <f t="shared" si="226"/>
        <v>HW</v>
      </c>
      <c r="T490" s="186" t="str">
        <f t="shared" si="227"/>
        <v>HW</v>
      </c>
      <c r="U490" s="186" t="str">
        <f t="shared" si="228"/>
        <v>U</v>
      </c>
      <c r="V490" s="186" t="str">
        <f t="shared" si="229"/>
        <v>U</v>
      </c>
      <c r="W490" s="186" t="str">
        <f t="shared" si="230"/>
        <v>O</v>
      </c>
      <c r="X490" s="186" t="str">
        <f t="shared" si="231"/>
        <v>O</v>
      </c>
      <c r="Y490" s="186"/>
      <c r="Z490" s="90">
        <v>56.5</v>
      </c>
      <c r="AB490" s="90" t="str">
        <f t="shared" si="234"/>
        <v>MEM/CHA</v>
      </c>
      <c r="AC490" s="186">
        <f t="shared" si="232"/>
        <v>2</v>
      </c>
      <c r="AD490" s="186">
        <f t="shared" si="233"/>
        <v>2</v>
      </c>
    </row>
    <row r="491" spans="1:30" x14ac:dyDescent="0.45">
      <c r="A491" s="90">
        <v>191230</v>
      </c>
      <c r="B491" s="91">
        <v>0.47916666666666669</v>
      </c>
      <c r="C491" s="90" t="s">
        <v>419</v>
      </c>
      <c r="D491" s="90" t="s">
        <v>397</v>
      </c>
      <c r="E491" s="157">
        <v>25</v>
      </c>
      <c r="F491" s="157">
        <v>29</v>
      </c>
      <c r="G491" s="157">
        <v>30</v>
      </c>
      <c r="H491" s="157">
        <v>24</v>
      </c>
      <c r="I491" s="157"/>
      <c r="J491" s="157">
        <v>19</v>
      </c>
      <c r="K491" s="157">
        <v>24</v>
      </c>
      <c r="L491" s="157">
        <v>26</v>
      </c>
      <c r="M491" s="157">
        <v>26</v>
      </c>
      <c r="N491" s="157" t="s">
        <v>427</v>
      </c>
      <c r="O491" s="186">
        <f t="shared" si="222"/>
        <v>108</v>
      </c>
      <c r="P491" s="186">
        <f t="shared" si="223"/>
        <v>95</v>
      </c>
      <c r="Q491" s="186" t="str">
        <f t="shared" si="224"/>
        <v>HW</v>
      </c>
      <c r="R491" s="186" t="str">
        <f t="shared" si="225"/>
        <v>HW</v>
      </c>
      <c r="S491" s="186" t="str">
        <f t="shared" si="226"/>
        <v>HW</v>
      </c>
      <c r="T491" s="186" t="str">
        <f t="shared" si="227"/>
        <v>HL</v>
      </c>
      <c r="U491" s="186" t="str">
        <f t="shared" si="228"/>
        <v>U</v>
      </c>
      <c r="V491" s="186" t="str">
        <f t="shared" si="229"/>
        <v>U</v>
      </c>
      <c r="W491" s="186" t="str">
        <f t="shared" si="230"/>
        <v>U</v>
      </c>
      <c r="X491" s="186" t="str">
        <f t="shared" si="231"/>
        <v>U</v>
      </c>
      <c r="Y491" s="186"/>
      <c r="Z491" s="90">
        <v>58</v>
      </c>
      <c r="AB491" s="90" t="str">
        <f t="shared" si="234"/>
        <v>LAL/DAL</v>
      </c>
      <c r="AC491" s="186">
        <f t="shared" si="232"/>
        <v>0</v>
      </c>
      <c r="AD491" s="186">
        <f t="shared" si="233"/>
        <v>4</v>
      </c>
    </row>
    <row r="492" spans="1:30" x14ac:dyDescent="0.45">
      <c r="A492" s="90">
        <v>191231</v>
      </c>
      <c r="B492" s="91">
        <v>0.375</v>
      </c>
      <c r="C492" s="90" t="s">
        <v>424</v>
      </c>
      <c r="D492" s="90" t="s">
        <v>410</v>
      </c>
      <c r="E492" s="163">
        <v>21</v>
      </c>
      <c r="F492" s="163">
        <v>36</v>
      </c>
      <c r="G492" s="163">
        <v>15</v>
      </c>
      <c r="H492" s="163">
        <v>21</v>
      </c>
      <c r="I492" s="163"/>
      <c r="J492" s="163">
        <v>25</v>
      </c>
      <c r="K492" s="163">
        <v>22</v>
      </c>
      <c r="L492" s="163">
        <v>27</v>
      </c>
      <c r="M492" s="163">
        <v>27</v>
      </c>
      <c r="N492" s="163" t="s">
        <v>427</v>
      </c>
      <c r="O492" s="186">
        <f t="shared" si="222"/>
        <v>93</v>
      </c>
      <c r="P492" s="186">
        <f t="shared" si="223"/>
        <v>101</v>
      </c>
      <c r="Q492" s="186" t="str">
        <f t="shared" si="224"/>
        <v>HL</v>
      </c>
      <c r="R492" s="186" t="str">
        <f t="shared" si="225"/>
        <v>HW</v>
      </c>
      <c r="S492" s="186" t="str">
        <f t="shared" si="226"/>
        <v>HL</v>
      </c>
      <c r="T492" s="186" t="str">
        <f t="shared" si="227"/>
        <v>HL</v>
      </c>
      <c r="U492" s="186" t="str">
        <f t="shared" si="228"/>
        <v>U</v>
      </c>
      <c r="V492" s="186" t="str">
        <f t="shared" si="229"/>
        <v>O</v>
      </c>
      <c r="W492" s="186" t="str">
        <f t="shared" si="230"/>
        <v>U</v>
      </c>
      <c r="X492" s="186" t="str">
        <f t="shared" si="231"/>
        <v>U</v>
      </c>
      <c r="Y492" s="186"/>
      <c r="Z492" s="90">
        <v>54</v>
      </c>
      <c r="AB492" s="90" t="str">
        <f t="shared" si="234"/>
        <v>ORL/ATL</v>
      </c>
      <c r="AC492" s="186">
        <f t="shared" si="232"/>
        <v>1</v>
      </c>
      <c r="AD492" s="186">
        <f t="shared" si="233"/>
        <v>3</v>
      </c>
    </row>
    <row r="493" spans="1:30" x14ac:dyDescent="0.45">
      <c r="A493" s="90">
        <v>191231</v>
      </c>
      <c r="B493" s="91">
        <v>0.375</v>
      </c>
      <c r="C493" s="90" t="s">
        <v>414</v>
      </c>
      <c r="D493" s="90" t="s">
        <v>411</v>
      </c>
      <c r="E493" s="166">
        <v>29</v>
      </c>
      <c r="F493" s="166">
        <v>42</v>
      </c>
      <c r="G493" s="166">
        <v>19</v>
      </c>
      <c r="H493" s="166">
        <v>33</v>
      </c>
      <c r="I493" s="166"/>
      <c r="J493" s="166">
        <v>39</v>
      </c>
      <c r="K493" s="166">
        <v>24</v>
      </c>
      <c r="L493" s="166">
        <v>18</v>
      </c>
      <c r="M493" s="166">
        <v>24</v>
      </c>
      <c r="N493" s="166" t="s">
        <v>427</v>
      </c>
      <c r="O493" s="186">
        <f t="shared" si="222"/>
        <v>123</v>
      </c>
      <c r="P493" s="186">
        <f t="shared" si="223"/>
        <v>105</v>
      </c>
      <c r="Q493" s="186" t="str">
        <f t="shared" si="224"/>
        <v>HL</v>
      </c>
      <c r="R493" s="186" t="str">
        <f t="shared" si="225"/>
        <v>HW</v>
      </c>
      <c r="S493" s="186" t="str">
        <f t="shared" si="226"/>
        <v>HW</v>
      </c>
      <c r="T493" s="186" t="str">
        <f t="shared" si="227"/>
        <v>HW</v>
      </c>
      <c r="U493" s="186" t="str">
        <f t="shared" si="228"/>
        <v>O</v>
      </c>
      <c r="V493" s="186" t="str">
        <f t="shared" si="229"/>
        <v>O</v>
      </c>
      <c r="W493" s="186" t="str">
        <f t="shared" si="230"/>
        <v>U</v>
      </c>
      <c r="X493" s="186" t="str">
        <f t="shared" si="231"/>
        <v>U</v>
      </c>
      <c r="Y493" s="186"/>
      <c r="Z493" s="90">
        <v>57.5</v>
      </c>
      <c r="AB493" s="90" t="str">
        <f t="shared" si="234"/>
        <v>WAS/MIA</v>
      </c>
      <c r="AC493" s="186">
        <f t="shared" si="232"/>
        <v>2</v>
      </c>
      <c r="AD493" s="186">
        <f t="shared" si="233"/>
        <v>2</v>
      </c>
    </row>
    <row r="494" spans="1:30" x14ac:dyDescent="0.45">
      <c r="A494" s="90">
        <v>191231</v>
      </c>
      <c r="B494" s="91">
        <v>0.41666666666666669</v>
      </c>
      <c r="C494" s="90" t="s">
        <v>412</v>
      </c>
      <c r="D494" s="90" t="s">
        <v>423</v>
      </c>
      <c r="E494" s="161">
        <v>20</v>
      </c>
      <c r="F494" s="161">
        <v>32</v>
      </c>
      <c r="G494" s="161">
        <v>25</v>
      </c>
      <c r="H494" s="161">
        <v>25</v>
      </c>
      <c r="I494" s="161"/>
      <c r="J494" s="161">
        <v>31</v>
      </c>
      <c r="K494" s="161">
        <v>24</v>
      </c>
      <c r="L494" s="161">
        <v>40</v>
      </c>
      <c r="M494" s="161">
        <v>28</v>
      </c>
      <c r="N494" s="161" t="s">
        <v>427</v>
      </c>
      <c r="O494" s="186">
        <f t="shared" si="222"/>
        <v>102</v>
      </c>
      <c r="P494" s="186">
        <f t="shared" si="223"/>
        <v>123</v>
      </c>
      <c r="Q494" s="186" t="str">
        <f t="shared" si="224"/>
        <v>HL</v>
      </c>
      <c r="R494" s="186" t="str">
        <f t="shared" si="225"/>
        <v>HW</v>
      </c>
      <c r="S494" s="186" t="str">
        <f t="shared" si="226"/>
        <v>HL</v>
      </c>
      <c r="T494" s="186" t="str">
        <f t="shared" si="227"/>
        <v>HL</v>
      </c>
      <c r="U494" s="186" t="str">
        <f t="shared" si="228"/>
        <v>U</v>
      </c>
      <c r="V494" s="186" t="str">
        <f t="shared" si="229"/>
        <v>O</v>
      </c>
      <c r="W494" s="186" t="str">
        <f t="shared" si="230"/>
        <v>O</v>
      </c>
      <c r="X494" s="186" t="str">
        <f t="shared" si="231"/>
        <v>U</v>
      </c>
      <c r="Y494" s="186"/>
      <c r="Z494" s="90">
        <v>55</v>
      </c>
      <c r="AB494" s="90" t="str">
        <f t="shared" si="234"/>
        <v>CHI/MIL</v>
      </c>
      <c r="AC494" s="186">
        <f t="shared" si="232"/>
        <v>2</v>
      </c>
      <c r="AD494" s="186">
        <f t="shared" si="233"/>
        <v>2</v>
      </c>
    </row>
    <row r="495" spans="1:30" x14ac:dyDescent="0.45">
      <c r="A495" s="90">
        <v>191231</v>
      </c>
      <c r="B495" s="91">
        <v>0.41666666666666669</v>
      </c>
      <c r="C495" s="90" t="s">
        <v>420</v>
      </c>
      <c r="D495" s="90" t="s">
        <v>407</v>
      </c>
      <c r="E495" s="162">
        <v>27</v>
      </c>
      <c r="F495" s="162">
        <v>22</v>
      </c>
      <c r="G495" s="162">
        <v>25</v>
      </c>
      <c r="H495" s="162">
        <v>29</v>
      </c>
      <c r="I495" s="162">
        <v>19</v>
      </c>
      <c r="J495" s="162">
        <v>29</v>
      </c>
      <c r="K495" s="162">
        <v>21</v>
      </c>
      <c r="L495" s="162">
        <v>30</v>
      </c>
      <c r="M495" s="162">
        <v>23</v>
      </c>
      <c r="N495" s="162">
        <v>12</v>
      </c>
      <c r="O495" s="186">
        <f t="shared" ref="O495:O517" si="235">SUM(E495:I495)</f>
        <v>122</v>
      </c>
      <c r="P495" s="186">
        <f t="shared" ref="P495:P517" si="236">SUM(J495:N495)</f>
        <v>115</v>
      </c>
      <c r="Q495" s="186" t="str">
        <f t="shared" ref="Q495:Q517" si="237">IF(E495=J495,"TT",IF(E495&gt;J495,"HW","HL"))</f>
        <v>HL</v>
      </c>
      <c r="R495" s="186" t="str">
        <f t="shared" ref="R495:R517" si="238">IF(F495=K495,"TT",IF(F495&gt;K495,"HW","HL"))</f>
        <v>HW</v>
      </c>
      <c r="S495" s="186" t="str">
        <f t="shared" ref="S495:S517" si="239">IF(G495=L495,"TT",IF(G495&gt;L495,"HW","HL"))</f>
        <v>HL</v>
      </c>
      <c r="T495" s="186" t="str">
        <f t="shared" ref="T495:T517" si="240">IF(H495=M495,"TT",IF(H495&gt;M495,"HW","HL"))</f>
        <v>HW</v>
      </c>
      <c r="U495" s="186" t="str">
        <f t="shared" ref="U495:U517" si="241">IF(SUM(E495,J495)=$Z495,"T",IF(SUM(E495,J495)&gt;$Z495,"O","U"))</f>
        <v>O</v>
      </c>
      <c r="V495" s="186" t="str">
        <f t="shared" ref="V495:V517" si="242">IF(SUM(F495,K495)=$Z495,"T",IF(SUM(F495,K495)&gt;$Z495,"O","U"))</f>
        <v>U</v>
      </c>
      <c r="W495" s="186" t="str">
        <f t="shared" ref="W495:W517" si="243">IF(SUM(G495,L495)=$Z495,"T",IF(SUM(G495,L495)&gt;$Z495,"O","U"))</f>
        <v>O</v>
      </c>
      <c r="X495" s="186" t="str">
        <f t="shared" ref="X495:X517" si="244">IF(SUM(H495,M495)=$Z495,"T",IF(SUM(H495,M495)&gt;$Z495,"O","U"))</f>
        <v>U</v>
      </c>
      <c r="Y495" s="186"/>
      <c r="Z495" s="90">
        <v>53.5</v>
      </c>
      <c r="AB495" s="90" t="str">
        <f t="shared" si="234"/>
        <v>MIN/BKN</v>
      </c>
      <c r="AC495" s="186">
        <f t="shared" ref="AC495:AC517" si="245">COUNTIF(U495:X495,"o")</f>
        <v>2</v>
      </c>
      <c r="AD495" s="186">
        <f t="shared" ref="AD495:AD517" si="246">COUNTIF(U495:X495,"u")</f>
        <v>2</v>
      </c>
    </row>
    <row r="496" spans="1:30" x14ac:dyDescent="0.45">
      <c r="A496" s="90">
        <v>191231</v>
      </c>
      <c r="B496" s="91">
        <v>0.45833333333333331</v>
      </c>
      <c r="C496" s="90" t="s">
        <v>405</v>
      </c>
      <c r="D496" s="90" t="s">
        <v>422</v>
      </c>
      <c r="E496" s="165">
        <v>19</v>
      </c>
      <c r="F496" s="165">
        <v>20</v>
      </c>
      <c r="G496" s="165">
        <v>29</v>
      </c>
      <c r="H496" s="165">
        <v>36</v>
      </c>
      <c r="I496" s="165"/>
      <c r="J496" s="165">
        <v>21</v>
      </c>
      <c r="K496" s="165">
        <v>19</v>
      </c>
      <c r="L496" s="165">
        <v>18</v>
      </c>
      <c r="M496" s="165">
        <v>23</v>
      </c>
      <c r="N496" s="165" t="s">
        <v>427</v>
      </c>
      <c r="O496" s="186">
        <f t="shared" si="235"/>
        <v>104</v>
      </c>
      <c r="P496" s="186">
        <f t="shared" si="236"/>
        <v>81</v>
      </c>
      <c r="Q496" s="186" t="str">
        <f t="shared" si="237"/>
        <v>HL</v>
      </c>
      <c r="R496" s="186" t="str">
        <f t="shared" si="238"/>
        <v>HW</v>
      </c>
      <c r="S496" s="186" t="str">
        <f t="shared" si="239"/>
        <v>HW</v>
      </c>
      <c r="T496" s="186" t="str">
        <f t="shared" si="240"/>
        <v>HW</v>
      </c>
      <c r="U496" s="186" t="str">
        <f t="shared" si="241"/>
        <v>U</v>
      </c>
      <c r="V496" s="186" t="str">
        <f t="shared" si="242"/>
        <v>U</v>
      </c>
      <c r="W496" s="186" t="str">
        <f t="shared" si="243"/>
        <v>U</v>
      </c>
      <c r="X496" s="186" t="str">
        <f t="shared" si="244"/>
        <v>O</v>
      </c>
      <c r="Y496" s="186"/>
      <c r="Z496" s="90">
        <v>56</v>
      </c>
      <c r="AB496" s="90" t="str">
        <f t="shared" si="234"/>
        <v>UTA/DET</v>
      </c>
      <c r="AC496" s="186">
        <f t="shared" si="245"/>
        <v>1</v>
      </c>
      <c r="AD496" s="186">
        <f t="shared" si="246"/>
        <v>3</v>
      </c>
    </row>
    <row r="497" spans="1:30" x14ac:dyDescent="0.45">
      <c r="A497" s="90">
        <v>191231</v>
      </c>
      <c r="B497" s="91">
        <v>0.5</v>
      </c>
      <c r="C497" s="90" t="s">
        <v>417</v>
      </c>
      <c r="D497" s="90" t="s">
        <v>404</v>
      </c>
      <c r="E497" s="164">
        <v>38</v>
      </c>
      <c r="F497" s="164">
        <v>26</v>
      </c>
      <c r="G497" s="164">
        <v>25</v>
      </c>
      <c r="H497" s="164">
        <v>27</v>
      </c>
      <c r="I497" s="164"/>
      <c r="J497" s="164">
        <v>19</v>
      </c>
      <c r="K497" s="164">
        <v>36</v>
      </c>
      <c r="L497" s="164">
        <v>28</v>
      </c>
      <c r="M497" s="164">
        <v>39</v>
      </c>
      <c r="N497" s="164" t="s">
        <v>427</v>
      </c>
      <c r="O497" s="186">
        <f t="shared" si="235"/>
        <v>116</v>
      </c>
      <c r="P497" s="186">
        <f t="shared" si="236"/>
        <v>122</v>
      </c>
      <c r="Q497" s="186" t="str">
        <f t="shared" si="237"/>
        <v>HW</v>
      </c>
      <c r="R497" s="186" t="str">
        <f t="shared" si="238"/>
        <v>HL</v>
      </c>
      <c r="S497" s="186" t="str">
        <f t="shared" si="239"/>
        <v>HL</v>
      </c>
      <c r="T497" s="186" t="str">
        <f t="shared" si="240"/>
        <v>HL</v>
      </c>
      <c r="U497" s="186" t="str">
        <f t="shared" si="241"/>
        <v>O</v>
      </c>
      <c r="V497" s="186" t="str">
        <f t="shared" si="242"/>
        <v>O</v>
      </c>
      <c r="W497" s="186" t="str">
        <f t="shared" si="243"/>
        <v>U</v>
      </c>
      <c r="X497" s="186" t="str">
        <f t="shared" si="244"/>
        <v>O</v>
      </c>
      <c r="Y497" s="186"/>
      <c r="Z497" s="90">
        <v>56.5</v>
      </c>
      <c r="AB497" s="90" t="str">
        <f t="shared" si="234"/>
        <v>POR/PHO</v>
      </c>
      <c r="AC497" s="186">
        <f t="shared" si="245"/>
        <v>3</v>
      </c>
      <c r="AD497" s="186">
        <f t="shared" si="246"/>
        <v>1</v>
      </c>
    </row>
    <row r="498" spans="1:30" x14ac:dyDescent="0.45">
      <c r="A498" s="98">
        <v>200101</v>
      </c>
      <c r="B498" s="99">
        <v>0.20833333333333334</v>
      </c>
      <c r="C498" s="98" t="s">
        <v>400</v>
      </c>
      <c r="D498" s="98" t="s">
        <v>401</v>
      </c>
      <c r="E498" s="169">
        <v>29</v>
      </c>
      <c r="F498" s="169">
        <v>38</v>
      </c>
      <c r="G498" s="169">
        <v>29</v>
      </c>
      <c r="H498" s="169">
        <v>19</v>
      </c>
      <c r="I498" s="169"/>
      <c r="J498" s="169">
        <v>27</v>
      </c>
      <c r="K498" s="169">
        <v>16</v>
      </c>
      <c r="L498" s="169">
        <v>23</v>
      </c>
      <c r="M498" s="169">
        <v>31</v>
      </c>
      <c r="N498" s="169" t="s">
        <v>427</v>
      </c>
      <c r="O498" s="186">
        <f t="shared" si="235"/>
        <v>115</v>
      </c>
      <c r="P498" s="186">
        <f t="shared" si="236"/>
        <v>97</v>
      </c>
      <c r="Q498" s="186" t="str">
        <f t="shared" si="237"/>
        <v>HW</v>
      </c>
      <c r="R498" s="186" t="str">
        <f t="shared" si="238"/>
        <v>HW</v>
      </c>
      <c r="S498" s="186" t="str">
        <f t="shared" si="239"/>
        <v>HW</v>
      </c>
      <c r="T498" s="186" t="str">
        <f t="shared" si="240"/>
        <v>HL</v>
      </c>
      <c r="U498" s="186" t="str">
        <f t="shared" si="241"/>
        <v>O</v>
      </c>
      <c r="V498" s="186" t="str">
        <f t="shared" si="242"/>
        <v>O</v>
      </c>
      <c r="W498" s="186" t="str">
        <f t="shared" si="243"/>
        <v>U</v>
      </c>
      <c r="X498" s="186" t="str">
        <f t="shared" si="244"/>
        <v>U</v>
      </c>
      <c r="Y498" s="186"/>
      <c r="Z498" s="186">
        <v>53</v>
      </c>
      <c r="AB498" s="186" t="str">
        <f t="shared" si="234"/>
        <v>IND/PHI</v>
      </c>
      <c r="AC498" s="186">
        <f t="shared" si="245"/>
        <v>2</v>
      </c>
      <c r="AD498" s="186">
        <f t="shared" si="246"/>
        <v>2</v>
      </c>
    </row>
    <row r="499" spans="1:30" x14ac:dyDescent="0.45">
      <c r="A499" s="98">
        <v>200101</v>
      </c>
      <c r="B499" s="99">
        <v>0.20833333333333334</v>
      </c>
      <c r="C499" s="98" t="s">
        <v>409</v>
      </c>
      <c r="D499" s="98" t="s">
        <v>421</v>
      </c>
      <c r="E499" s="167">
        <v>18</v>
      </c>
      <c r="F499" s="167">
        <v>25</v>
      </c>
      <c r="G499" s="167">
        <v>30</v>
      </c>
      <c r="H499" s="167">
        <v>19</v>
      </c>
      <c r="I499" s="167"/>
      <c r="J499" s="167">
        <v>24</v>
      </c>
      <c r="K499" s="167">
        <v>26</v>
      </c>
      <c r="L499" s="167">
        <v>30</v>
      </c>
      <c r="M499" s="167">
        <v>29</v>
      </c>
      <c r="N499" s="167" t="s">
        <v>427</v>
      </c>
      <c r="O499" s="186">
        <f t="shared" si="235"/>
        <v>92</v>
      </c>
      <c r="P499" s="186">
        <f t="shared" si="236"/>
        <v>109</v>
      </c>
      <c r="Q499" s="186" t="str">
        <f t="shared" si="237"/>
        <v>HL</v>
      </c>
      <c r="R499" s="186" t="str">
        <f t="shared" si="238"/>
        <v>HL</v>
      </c>
      <c r="S499" s="186" t="str">
        <f t="shared" si="239"/>
        <v>TT</v>
      </c>
      <c r="T499" s="186" t="str">
        <f t="shared" si="240"/>
        <v>HL</v>
      </c>
      <c r="U499" s="186" t="str">
        <f t="shared" si="241"/>
        <v>U</v>
      </c>
      <c r="V499" s="186" t="str">
        <f t="shared" si="242"/>
        <v>U</v>
      </c>
      <c r="W499" s="186" t="str">
        <f t="shared" si="243"/>
        <v>O</v>
      </c>
      <c r="X499" s="186" t="str">
        <f t="shared" si="244"/>
        <v>U</v>
      </c>
      <c r="Y499" s="186"/>
      <c r="Z499" s="186">
        <v>52.5</v>
      </c>
      <c r="AB499" s="186" t="str">
        <f t="shared" si="234"/>
        <v>CHA/BOS</v>
      </c>
      <c r="AC499" s="186">
        <f t="shared" si="245"/>
        <v>1</v>
      </c>
      <c r="AD499" s="186">
        <f t="shared" si="246"/>
        <v>3</v>
      </c>
    </row>
    <row r="500" spans="1:30" x14ac:dyDescent="0.45">
      <c r="A500" s="98">
        <v>200101</v>
      </c>
      <c r="B500" s="99">
        <v>0.29166666666666669</v>
      </c>
      <c r="C500" s="98" t="s">
        <v>416</v>
      </c>
      <c r="D500" s="98" t="s">
        <v>415</v>
      </c>
      <c r="E500" s="171">
        <v>23</v>
      </c>
      <c r="F500" s="171">
        <v>17</v>
      </c>
      <c r="G500" s="171">
        <v>33</v>
      </c>
      <c r="H500" s="171">
        <v>14</v>
      </c>
      <c r="I500" s="171"/>
      <c r="J500" s="171">
        <v>28</v>
      </c>
      <c r="K500" s="171">
        <v>29</v>
      </c>
      <c r="L500" s="171">
        <v>31</v>
      </c>
      <c r="M500" s="171">
        <v>17</v>
      </c>
      <c r="N500" s="171" t="s">
        <v>427</v>
      </c>
      <c r="O500" s="186">
        <f t="shared" si="235"/>
        <v>87</v>
      </c>
      <c r="P500" s="186">
        <f t="shared" si="236"/>
        <v>105</v>
      </c>
      <c r="Q500" s="186" t="str">
        <f t="shared" si="237"/>
        <v>HL</v>
      </c>
      <c r="R500" s="186" t="str">
        <f t="shared" si="238"/>
        <v>HL</v>
      </c>
      <c r="S500" s="186" t="str">
        <f t="shared" si="239"/>
        <v>HW</v>
      </c>
      <c r="T500" s="186" t="str">
        <f t="shared" si="240"/>
        <v>HL</v>
      </c>
      <c r="U500" s="186" t="str">
        <f t="shared" si="241"/>
        <v>U</v>
      </c>
      <c r="V500" s="186" t="str">
        <f t="shared" si="242"/>
        <v>U</v>
      </c>
      <c r="W500" s="186" t="str">
        <f t="shared" si="243"/>
        <v>O</v>
      </c>
      <c r="X500" s="186" t="str">
        <f t="shared" si="244"/>
        <v>U</v>
      </c>
      <c r="Y500" s="186"/>
      <c r="Z500" s="186">
        <v>57</v>
      </c>
      <c r="AB500" s="186" t="str">
        <f t="shared" si="234"/>
        <v>SAC/LAC</v>
      </c>
      <c r="AC500" s="186">
        <f t="shared" si="245"/>
        <v>1</v>
      </c>
      <c r="AD500" s="186">
        <f t="shared" si="246"/>
        <v>3</v>
      </c>
    </row>
    <row r="501" spans="1:30" x14ac:dyDescent="0.45">
      <c r="A501" s="98">
        <v>200101</v>
      </c>
      <c r="B501" s="99">
        <v>0.375</v>
      </c>
      <c r="C501" s="98" t="s">
        <v>403</v>
      </c>
      <c r="D501" s="98" t="s">
        <v>408</v>
      </c>
      <c r="E501" s="168">
        <v>38</v>
      </c>
      <c r="F501" s="168">
        <v>31</v>
      </c>
      <c r="G501" s="168">
        <v>23</v>
      </c>
      <c r="H501" s="168">
        <v>38</v>
      </c>
      <c r="I501" s="168"/>
      <c r="J501" s="168">
        <v>26</v>
      </c>
      <c r="K501" s="168">
        <v>26</v>
      </c>
      <c r="L501" s="168">
        <v>37</v>
      </c>
      <c r="M501" s="168">
        <v>15</v>
      </c>
      <c r="N501" s="168" t="s">
        <v>427</v>
      </c>
      <c r="O501" s="186">
        <f t="shared" si="235"/>
        <v>130</v>
      </c>
      <c r="P501" s="186">
        <f t="shared" si="236"/>
        <v>104</v>
      </c>
      <c r="Q501" s="186" t="str">
        <f t="shared" si="237"/>
        <v>HW</v>
      </c>
      <c r="R501" s="186" t="str">
        <f t="shared" si="238"/>
        <v>HW</v>
      </c>
      <c r="S501" s="186" t="str">
        <f t="shared" si="239"/>
        <v>HL</v>
      </c>
      <c r="T501" s="186" t="str">
        <f t="shared" si="240"/>
        <v>HW</v>
      </c>
      <c r="U501" s="186" t="str">
        <f t="shared" si="241"/>
        <v>O</v>
      </c>
      <c r="V501" s="186" t="str">
        <f t="shared" si="242"/>
        <v>U</v>
      </c>
      <c r="W501" s="186" t="str">
        <f t="shared" si="243"/>
        <v>O</v>
      </c>
      <c r="X501" s="186" t="str">
        <f t="shared" si="244"/>
        <v>U</v>
      </c>
      <c r="Y501" s="186"/>
      <c r="Z501" s="186">
        <v>58</v>
      </c>
      <c r="AB501" s="186" t="str">
        <f t="shared" si="234"/>
        <v>HOU/DEN</v>
      </c>
      <c r="AC501" s="186">
        <f t="shared" si="245"/>
        <v>2</v>
      </c>
      <c r="AD501" s="186">
        <f t="shared" si="246"/>
        <v>2</v>
      </c>
    </row>
    <row r="502" spans="1:30" x14ac:dyDescent="0.45">
      <c r="A502" s="98">
        <v>200101</v>
      </c>
      <c r="B502" s="99">
        <v>0.375</v>
      </c>
      <c r="C502" s="98" t="s">
        <v>426</v>
      </c>
      <c r="D502" s="98" t="s">
        <v>425</v>
      </c>
      <c r="E502" s="172">
        <v>25</v>
      </c>
      <c r="F502" s="172">
        <v>28</v>
      </c>
      <c r="G502" s="172">
        <v>24</v>
      </c>
      <c r="H502" s="172">
        <v>23</v>
      </c>
      <c r="I502" s="172">
        <v>17</v>
      </c>
      <c r="J502" s="172">
        <v>32</v>
      </c>
      <c r="K502" s="172">
        <v>23</v>
      </c>
      <c r="L502" s="172">
        <v>20</v>
      </c>
      <c r="M502" s="172">
        <v>25</v>
      </c>
      <c r="N502" s="172">
        <v>13</v>
      </c>
      <c r="O502" s="186">
        <f t="shared" si="235"/>
        <v>117</v>
      </c>
      <c r="P502" s="186">
        <f t="shared" si="236"/>
        <v>113</v>
      </c>
      <c r="Q502" s="186" t="str">
        <f t="shared" si="237"/>
        <v>HL</v>
      </c>
      <c r="R502" s="186" t="str">
        <f t="shared" si="238"/>
        <v>HW</v>
      </c>
      <c r="S502" s="186" t="str">
        <f t="shared" si="239"/>
        <v>HW</v>
      </c>
      <c r="T502" s="186" t="str">
        <f t="shared" si="240"/>
        <v>HL</v>
      </c>
      <c r="U502" s="186" t="str">
        <f t="shared" si="241"/>
        <v>O</v>
      </c>
      <c r="V502" s="186" t="str">
        <f t="shared" si="242"/>
        <v>U</v>
      </c>
      <c r="W502" s="186" t="str">
        <f t="shared" si="243"/>
        <v>U</v>
      </c>
      <c r="X502" s="186" t="str">
        <f t="shared" si="244"/>
        <v>U</v>
      </c>
      <c r="Y502" s="186"/>
      <c r="Z502" s="186">
        <v>56</v>
      </c>
      <c r="AB502" s="186" t="str">
        <f t="shared" si="234"/>
        <v>SAS/GS</v>
      </c>
      <c r="AC502" s="186">
        <f t="shared" si="245"/>
        <v>1</v>
      </c>
      <c r="AD502" s="186">
        <f t="shared" si="246"/>
        <v>3</v>
      </c>
    </row>
    <row r="503" spans="1:30" x14ac:dyDescent="0.45">
      <c r="A503" s="98">
        <v>200101</v>
      </c>
      <c r="B503" s="99">
        <v>0.375</v>
      </c>
      <c r="C503" s="98" t="s">
        <v>413</v>
      </c>
      <c r="D503" s="98" t="s">
        <v>402</v>
      </c>
      <c r="E503" s="173">
        <v>27</v>
      </c>
      <c r="F503" s="173">
        <v>32</v>
      </c>
      <c r="G503" s="173">
        <v>27</v>
      </c>
      <c r="H503" s="173">
        <v>31</v>
      </c>
      <c r="I503" s="173"/>
      <c r="J503" s="173">
        <v>25</v>
      </c>
      <c r="K503" s="173">
        <v>18</v>
      </c>
      <c r="L503" s="173">
        <v>26</v>
      </c>
      <c r="M503" s="173">
        <v>28</v>
      </c>
      <c r="N503" s="173" t="s">
        <v>427</v>
      </c>
      <c r="O503" s="186">
        <f t="shared" si="235"/>
        <v>117</v>
      </c>
      <c r="P503" s="186">
        <f t="shared" si="236"/>
        <v>97</v>
      </c>
      <c r="Q503" s="186" t="str">
        <f t="shared" si="237"/>
        <v>HW</v>
      </c>
      <c r="R503" s="186" t="str">
        <f t="shared" si="238"/>
        <v>HW</v>
      </c>
      <c r="S503" s="186" t="str">
        <f t="shared" si="239"/>
        <v>HW</v>
      </c>
      <c r="T503" s="186" t="str">
        <f t="shared" si="240"/>
        <v>HW</v>
      </c>
      <c r="U503" s="186" t="str">
        <f t="shared" si="241"/>
        <v>U</v>
      </c>
      <c r="V503" s="186" t="str">
        <f t="shared" si="242"/>
        <v>U</v>
      </c>
      <c r="W503" s="186" t="str">
        <f t="shared" si="243"/>
        <v>U</v>
      </c>
      <c r="X503" s="186" t="str">
        <f t="shared" si="244"/>
        <v>O</v>
      </c>
      <c r="Y503" s="186"/>
      <c r="Z503" s="186">
        <v>53.5</v>
      </c>
      <c r="AB503" s="186" t="str">
        <f t="shared" si="234"/>
        <v>TOR/CLE</v>
      </c>
      <c r="AC503" s="186">
        <f t="shared" si="245"/>
        <v>1</v>
      </c>
      <c r="AD503" s="186">
        <f t="shared" si="246"/>
        <v>3</v>
      </c>
    </row>
    <row r="504" spans="1:30" x14ac:dyDescent="0.45">
      <c r="A504" s="98">
        <v>200101</v>
      </c>
      <c r="B504" s="99">
        <v>0.41666666666666669</v>
      </c>
      <c r="C504" s="98" t="s">
        <v>418</v>
      </c>
      <c r="D504" s="98" t="s">
        <v>397</v>
      </c>
      <c r="E504" s="170">
        <v>20</v>
      </c>
      <c r="F504" s="170">
        <v>30</v>
      </c>
      <c r="G504" s="170">
        <v>27</v>
      </c>
      <c r="H504" s="170">
        <v>29</v>
      </c>
      <c r="I504" s="170"/>
      <c r="J504" s="170">
        <v>32</v>
      </c>
      <c r="K504" s="170">
        <v>19</v>
      </c>
      <c r="L504" s="170">
        <v>27</v>
      </c>
      <c r="M504" s="170">
        <v>23</v>
      </c>
      <c r="N504" s="170" t="s">
        <v>427</v>
      </c>
      <c r="O504" s="186">
        <f t="shared" si="235"/>
        <v>106</v>
      </c>
      <c r="P504" s="186">
        <f t="shared" si="236"/>
        <v>101</v>
      </c>
      <c r="Q504" s="186" t="str">
        <f t="shared" si="237"/>
        <v>HL</v>
      </c>
      <c r="R504" s="186" t="str">
        <f t="shared" si="238"/>
        <v>HW</v>
      </c>
      <c r="S504" s="186" t="str">
        <f t="shared" si="239"/>
        <v>TT</v>
      </c>
      <c r="T504" s="186" t="str">
        <f t="shared" si="240"/>
        <v>HW</v>
      </c>
      <c r="U504" s="186" t="str">
        <f t="shared" si="241"/>
        <v>U</v>
      </c>
      <c r="V504" s="186" t="str">
        <f t="shared" si="242"/>
        <v>U</v>
      </c>
      <c r="W504" s="186" t="str">
        <f t="shared" si="243"/>
        <v>U</v>
      </c>
      <c r="X504" s="186" t="str">
        <f t="shared" si="244"/>
        <v>U</v>
      </c>
      <c r="Y504" s="186"/>
      <c r="Z504" s="186">
        <v>56.5</v>
      </c>
      <c r="AB504" s="186" t="str">
        <f t="shared" si="234"/>
        <v>OKC/DAL</v>
      </c>
      <c r="AC504" s="186">
        <f t="shared" si="245"/>
        <v>0</v>
      </c>
      <c r="AD504" s="186">
        <f t="shared" si="246"/>
        <v>4</v>
      </c>
    </row>
    <row r="505" spans="1:30" x14ac:dyDescent="0.45">
      <c r="A505" s="98">
        <v>200102</v>
      </c>
      <c r="B505" s="99">
        <v>0.33333333333333331</v>
      </c>
      <c r="C505" s="98" t="s">
        <v>414</v>
      </c>
      <c r="D505" s="98" t="s">
        <v>424</v>
      </c>
      <c r="E505" s="177">
        <v>29</v>
      </c>
      <c r="F505" s="177">
        <v>29</v>
      </c>
      <c r="G505" s="177">
        <v>25</v>
      </c>
      <c r="H505" s="177">
        <v>18</v>
      </c>
      <c r="I505" s="177"/>
      <c r="J505" s="177">
        <v>31</v>
      </c>
      <c r="K505" s="177">
        <v>31</v>
      </c>
      <c r="L505" s="177">
        <v>32</v>
      </c>
      <c r="M505" s="177">
        <v>28</v>
      </c>
      <c r="N505" s="177" t="s">
        <v>427</v>
      </c>
      <c r="O505" s="186">
        <f t="shared" si="235"/>
        <v>101</v>
      </c>
      <c r="P505" s="186">
        <f t="shared" si="236"/>
        <v>122</v>
      </c>
      <c r="Q505" s="186" t="str">
        <f t="shared" si="237"/>
        <v>HL</v>
      </c>
      <c r="R505" s="186" t="str">
        <f t="shared" si="238"/>
        <v>HL</v>
      </c>
      <c r="S505" s="186" t="str">
        <f t="shared" si="239"/>
        <v>HL</v>
      </c>
      <c r="T505" s="186" t="str">
        <f t="shared" si="240"/>
        <v>HL</v>
      </c>
      <c r="U505" s="186" t="str">
        <f t="shared" si="241"/>
        <v>O</v>
      </c>
      <c r="V505" s="186" t="str">
        <f t="shared" si="242"/>
        <v>O</v>
      </c>
      <c r="W505" s="186" t="str">
        <f t="shared" si="243"/>
        <v>T</v>
      </c>
      <c r="X505" s="186" t="str">
        <f t="shared" si="244"/>
        <v>U</v>
      </c>
      <c r="Y505" s="186"/>
      <c r="Z505" s="186">
        <v>57</v>
      </c>
      <c r="AB505" s="186" t="str">
        <f t="shared" si="234"/>
        <v>WAS/ORL</v>
      </c>
      <c r="AC505" s="186">
        <f t="shared" si="245"/>
        <v>2</v>
      </c>
      <c r="AD505" s="186">
        <f t="shared" si="246"/>
        <v>1</v>
      </c>
    </row>
    <row r="506" spans="1:30" x14ac:dyDescent="0.45">
      <c r="A506" s="98">
        <v>200102</v>
      </c>
      <c r="B506" s="99">
        <v>0.39583333333333331</v>
      </c>
      <c r="C506" s="98" t="s">
        <v>399</v>
      </c>
      <c r="D506" s="98" t="s">
        <v>417</v>
      </c>
      <c r="E506" s="176">
        <v>25</v>
      </c>
      <c r="F506" s="176">
        <v>26</v>
      </c>
      <c r="G506" s="176">
        <v>32</v>
      </c>
      <c r="H506" s="176">
        <v>34</v>
      </c>
      <c r="I506" s="176"/>
      <c r="J506" s="176">
        <v>27</v>
      </c>
      <c r="K506" s="176">
        <v>21</v>
      </c>
      <c r="L506" s="176">
        <v>29</v>
      </c>
      <c r="M506" s="176">
        <v>16</v>
      </c>
      <c r="N506" s="176" t="s">
        <v>427</v>
      </c>
      <c r="O506" s="186">
        <f t="shared" si="235"/>
        <v>117</v>
      </c>
      <c r="P506" s="186">
        <f t="shared" si="236"/>
        <v>93</v>
      </c>
      <c r="Q506" s="186" t="str">
        <f t="shared" si="237"/>
        <v>HL</v>
      </c>
      <c r="R506" s="186" t="str">
        <f t="shared" si="238"/>
        <v>HW</v>
      </c>
      <c r="S506" s="186" t="str">
        <f t="shared" si="239"/>
        <v>HW</v>
      </c>
      <c r="T506" s="186" t="str">
        <f t="shared" si="240"/>
        <v>HW</v>
      </c>
      <c r="U506" s="186" t="str">
        <f t="shared" si="241"/>
        <v>U</v>
      </c>
      <c r="V506" s="186" t="str">
        <f t="shared" si="242"/>
        <v>U</v>
      </c>
      <c r="W506" s="186" t="str">
        <f t="shared" si="243"/>
        <v>O</v>
      </c>
      <c r="X506" s="186" t="str">
        <f t="shared" si="244"/>
        <v>U</v>
      </c>
      <c r="Y506" s="186"/>
      <c r="Z506" s="186">
        <v>57.5</v>
      </c>
      <c r="AB506" s="186" t="str">
        <f t="shared" si="234"/>
        <v>NYK/POR</v>
      </c>
      <c r="AC506" s="186">
        <f t="shared" si="245"/>
        <v>1</v>
      </c>
      <c r="AD506" s="186">
        <f t="shared" si="246"/>
        <v>3</v>
      </c>
    </row>
    <row r="507" spans="1:30" x14ac:dyDescent="0.45">
      <c r="A507" s="98">
        <v>200102</v>
      </c>
      <c r="B507" s="99">
        <v>0.41666666666666669</v>
      </c>
      <c r="C507" s="98" t="s">
        <v>423</v>
      </c>
      <c r="D507" s="98" t="s">
        <v>420</v>
      </c>
      <c r="E507" s="175">
        <v>19</v>
      </c>
      <c r="F507" s="175">
        <v>33</v>
      </c>
      <c r="G507" s="175">
        <v>25</v>
      </c>
      <c r="H507" s="175">
        <v>29</v>
      </c>
      <c r="I507" s="175"/>
      <c r="J507" s="175">
        <v>23</v>
      </c>
      <c r="K507" s="175">
        <v>28</v>
      </c>
      <c r="L507" s="175">
        <v>20</v>
      </c>
      <c r="M507" s="175">
        <v>33</v>
      </c>
      <c r="N507" s="175" t="s">
        <v>427</v>
      </c>
      <c r="O507" s="186">
        <f t="shared" si="235"/>
        <v>106</v>
      </c>
      <c r="P507" s="186">
        <f t="shared" si="236"/>
        <v>104</v>
      </c>
      <c r="Q507" s="186" t="str">
        <f t="shared" si="237"/>
        <v>HL</v>
      </c>
      <c r="R507" s="186" t="str">
        <f t="shared" si="238"/>
        <v>HW</v>
      </c>
      <c r="S507" s="186" t="str">
        <f t="shared" si="239"/>
        <v>HW</v>
      </c>
      <c r="T507" s="186" t="str">
        <f t="shared" si="240"/>
        <v>HL</v>
      </c>
      <c r="U507" s="186" t="str">
        <f t="shared" si="241"/>
        <v>U</v>
      </c>
      <c r="V507" s="186" t="str">
        <f t="shared" si="242"/>
        <v>O</v>
      </c>
      <c r="W507" s="186" t="str">
        <f t="shared" si="243"/>
        <v>U</v>
      </c>
      <c r="X507" s="186" t="str">
        <f t="shared" si="244"/>
        <v>O</v>
      </c>
      <c r="Y507" s="186"/>
      <c r="Z507" s="186">
        <v>57</v>
      </c>
      <c r="AB507" s="186" t="str">
        <f t="shared" si="234"/>
        <v>MIL/MIN</v>
      </c>
      <c r="AC507" s="186">
        <f t="shared" si="245"/>
        <v>2</v>
      </c>
      <c r="AD507" s="186">
        <f t="shared" si="246"/>
        <v>2</v>
      </c>
    </row>
    <row r="508" spans="1:30" x14ac:dyDescent="0.45">
      <c r="A508" s="98">
        <v>200102</v>
      </c>
      <c r="B508" s="99">
        <v>0.52083333333333337</v>
      </c>
      <c r="C508" s="98" t="s">
        <v>419</v>
      </c>
      <c r="D508" s="98" t="s">
        <v>404</v>
      </c>
      <c r="E508" s="174">
        <v>43</v>
      </c>
      <c r="F508" s="174">
        <v>31</v>
      </c>
      <c r="G508" s="174">
        <v>27</v>
      </c>
      <c r="H508" s="174">
        <v>16</v>
      </c>
      <c r="I508" s="174"/>
      <c r="J508" s="174">
        <v>17</v>
      </c>
      <c r="K508" s="174">
        <v>24</v>
      </c>
      <c r="L508" s="174">
        <v>38</v>
      </c>
      <c r="M508" s="174">
        <v>28</v>
      </c>
      <c r="N508" s="174" t="s">
        <v>427</v>
      </c>
      <c r="O508" s="186">
        <f t="shared" si="235"/>
        <v>117</v>
      </c>
      <c r="P508" s="186">
        <f t="shared" si="236"/>
        <v>107</v>
      </c>
      <c r="Q508" s="186" t="str">
        <f t="shared" si="237"/>
        <v>HW</v>
      </c>
      <c r="R508" s="186" t="str">
        <f t="shared" si="238"/>
        <v>HW</v>
      </c>
      <c r="S508" s="186" t="str">
        <f t="shared" si="239"/>
        <v>HL</v>
      </c>
      <c r="T508" s="186" t="str">
        <f t="shared" si="240"/>
        <v>HL</v>
      </c>
      <c r="U508" s="186" t="str">
        <f t="shared" si="241"/>
        <v>O</v>
      </c>
      <c r="V508" s="186" t="str">
        <f t="shared" si="242"/>
        <v>U</v>
      </c>
      <c r="W508" s="186" t="str">
        <f t="shared" si="243"/>
        <v>O</v>
      </c>
      <c r="X508" s="186" t="str">
        <f t="shared" si="244"/>
        <v>U</v>
      </c>
      <c r="Y508" s="186"/>
      <c r="Z508" s="186">
        <v>56</v>
      </c>
      <c r="AB508" s="186" t="str">
        <f t="shared" si="234"/>
        <v>LAL/PHO</v>
      </c>
      <c r="AC508" s="186">
        <f t="shared" si="245"/>
        <v>2</v>
      </c>
      <c r="AD508" s="186">
        <f t="shared" si="246"/>
        <v>2</v>
      </c>
    </row>
    <row r="509" spans="1:30" x14ac:dyDescent="0.45">
      <c r="A509" s="98">
        <v>200103</v>
      </c>
      <c r="B509" s="99">
        <v>0.375</v>
      </c>
      <c r="C509" s="98" t="s">
        <v>402</v>
      </c>
      <c r="D509" s="98" t="s">
        <v>409</v>
      </c>
      <c r="E509" s="179">
        <v>29</v>
      </c>
      <c r="F509" s="179">
        <v>30</v>
      </c>
      <c r="G509" s="179">
        <v>26</v>
      </c>
      <c r="H509" s="179">
        <v>21</v>
      </c>
      <c r="I509" s="179"/>
      <c r="J509" s="179">
        <v>31</v>
      </c>
      <c r="K509" s="179">
        <v>21</v>
      </c>
      <c r="L509" s="179">
        <v>30</v>
      </c>
      <c r="M509" s="179">
        <v>27</v>
      </c>
      <c r="N509" s="179" t="s">
        <v>427</v>
      </c>
      <c r="O509" s="186">
        <f t="shared" si="235"/>
        <v>106</v>
      </c>
      <c r="P509" s="186">
        <f t="shared" si="236"/>
        <v>109</v>
      </c>
      <c r="Q509" s="186" t="str">
        <f t="shared" si="237"/>
        <v>HL</v>
      </c>
      <c r="R509" s="186" t="str">
        <f t="shared" si="238"/>
        <v>HW</v>
      </c>
      <c r="S509" s="186" t="str">
        <f t="shared" si="239"/>
        <v>HL</v>
      </c>
      <c r="T509" s="186" t="str">
        <f t="shared" si="240"/>
        <v>HL</v>
      </c>
      <c r="U509" s="186" t="str">
        <f t="shared" si="241"/>
        <v>O</v>
      </c>
      <c r="V509" s="186" t="str">
        <f t="shared" si="242"/>
        <v>U</v>
      </c>
      <c r="W509" s="186" t="str">
        <f t="shared" si="243"/>
        <v>O</v>
      </c>
      <c r="X509" s="186" t="str">
        <f t="shared" si="244"/>
        <v>U</v>
      </c>
      <c r="Y509" s="186"/>
      <c r="Z509" s="186">
        <v>54.5</v>
      </c>
      <c r="AB509" s="186" t="str">
        <f t="shared" si="234"/>
        <v>CLE/CHA</v>
      </c>
      <c r="AC509" s="186">
        <f t="shared" si="245"/>
        <v>2</v>
      </c>
      <c r="AD509" s="186">
        <f t="shared" si="246"/>
        <v>2</v>
      </c>
    </row>
    <row r="510" spans="1:30" x14ac:dyDescent="0.45">
      <c r="A510" s="98">
        <v>200103</v>
      </c>
      <c r="B510" s="99">
        <v>0.375</v>
      </c>
      <c r="C510" s="98" t="s">
        <v>400</v>
      </c>
      <c r="D510" s="98" t="s">
        <v>408</v>
      </c>
      <c r="E510" s="181">
        <v>37</v>
      </c>
      <c r="F510" s="181">
        <v>27</v>
      </c>
      <c r="G510" s="181">
        <v>24</v>
      </c>
      <c r="H510" s="181">
        <v>28</v>
      </c>
      <c r="I510" s="181"/>
      <c r="J510" s="181">
        <v>27</v>
      </c>
      <c r="K510" s="181">
        <v>35</v>
      </c>
      <c r="L510" s="181">
        <v>30</v>
      </c>
      <c r="M510" s="181">
        <v>32</v>
      </c>
      <c r="N510" s="181" t="s">
        <v>427</v>
      </c>
      <c r="O510" s="186">
        <f t="shared" si="235"/>
        <v>116</v>
      </c>
      <c r="P510" s="186">
        <f t="shared" si="236"/>
        <v>124</v>
      </c>
      <c r="Q510" s="186" t="str">
        <f t="shared" si="237"/>
        <v>HW</v>
      </c>
      <c r="R510" s="186" t="str">
        <f t="shared" si="238"/>
        <v>HL</v>
      </c>
      <c r="S510" s="186" t="str">
        <f t="shared" si="239"/>
        <v>HL</v>
      </c>
      <c r="T510" s="186" t="str">
        <f t="shared" si="240"/>
        <v>HL</v>
      </c>
      <c r="U510" s="186" t="str">
        <f t="shared" si="241"/>
        <v>O</v>
      </c>
      <c r="V510" s="186" t="str">
        <f t="shared" si="242"/>
        <v>O</v>
      </c>
      <c r="W510" s="186" t="str">
        <f t="shared" si="243"/>
        <v>O</v>
      </c>
      <c r="X510" s="186" t="str">
        <f t="shared" si="244"/>
        <v>O</v>
      </c>
      <c r="Y510" s="186"/>
      <c r="Z510" s="186">
        <v>53.5</v>
      </c>
      <c r="AB510" s="186" t="str">
        <f t="shared" si="234"/>
        <v>IND/DEN</v>
      </c>
      <c r="AC510" s="186">
        <f t="shared" si="245"/>
        <v>4</v>
      </c>
      <c r="AD510" s="186">
        <f t="shared" si="246"/>
        <v>0</v>
      </c>
    </row>
    <row r="511" spans="1:30" x14ac:dyDescent="0.45">
      <c r="A511" s="98">
        <v>200103</v>
      </c>
      <c r="B511" s="99">
        <v>0.39583333333333331</v>
      </c>
      <c r="C511" s="98" t="s">
        <v>411</v>
      </c>
      <c r="D511" s="98" t="s">
        <v>413</v>
      </c>
      <c r="E511" s="183">
        <v>18</v>
      </c>
      <c r="F511" s="183">
        <v>24</v>
      </c>
      <c r="G511" s="183">
        <v>21</v>
      </c>
      <c r="H511" s="183">
        <v>21</v>
      </c>
      <c r="I511" s="183"/>
      <c r="J511" s="183">
        <v>20</v>
      </c>
      <c r="K511" s="183">
        <v>19</v>
      </c>
      <c r="L511" s="183">
        <v>21</v>
      </c>
      <c r="M511" s="183">
        <v>16</v>
      </c>
      <c r="N511" s="183" t="s">
        <v>427</v>
      </c>
      <c r="O511" s="186">
        <f t="shared" si="235"/>
        <v>84</v>
      </c>
      <c r="P511" s="186">
        <f t="shared" si="236"/>
        <v>76</v>
      </c>
      <c r="Q511" s="186" t="str">
        <f t="shared" si="237"/>
        <v>HL</v>
      </c>
      <c r="R511" s="186" t="str">
        <f t="shared" si="238"/>
        <v>HW</v>
      </c>
      <c r="S511" s="186" t="str">
        <f t="shared" si="239"/>
        <v>TT</v>
      </c>
      <c r="T511" s="186" t="str">
        <f t="shared" si="240"/>
        <v>HW</v>
      </c>
      <c r="U511" s="186" t="str">
        <f t="shared" si="241"/>
        <v>U</v>
      </c>
      <c r="V511" s="186" t="str">
        <f t="shared" si="242"/>
        <v>U</v>
      </c>
      <c r="W511" s="186" t="str">
        <f t="shared" si="243"/>
        <v>U</v>
      </c>
      <c r="X511" s="186" t="str">
        <f t="shared" si="244"/>
        <v>U</v>
      </c>
      <c r="Y511" s="186"/>
      <c r="Z511" s="186">
        <v>55.5</v>
      </c>
      <c r="AB511" s="186" t="str">
        <f t="shared" si="234"/>
        <v>MIA/TOR</v>
      </c>
      <c r="AC511" s="186">
        <f t="shared" si="245"/>
        <v>0</v>
      </c>
      <c r="AD511" s="186">
        <f t="shared" si="246"/>
        <v>4</v>
      </c>
    </row>
    <row r="512" spans="1:30" x14ac:dyDescent="0.45">
      <c r="A512" s="98">
        <v>200103</v>
      </c>
      <c r="B512" s="99">
        <v>0.41666666666666669</v>
      </c>
      <c r="C512" s="98" t="s">
        <v>412</v>
      </c>
      <c r="D512" s="98" t="s">
        <v>405</v>
      </c>
      <c r="E512" s="178">
        <v>22</v>
      </c>
      <c r="F512" s="178">
        <v>29</v>
      </c>
      <c r="G512" s="178">
        <v>19</v>
      </c>
      <c r="H512" s="178">
        <v>28</v>
      </c>
      <c r="I512" s="178"/>
      <c r="J512" s="178">
        <v>25</v>
      </c>
      <c r="K512" s="178">
        <v>22</v>
      </c>
      <c r="L512" s="178">
        <v>29</v>
      </c>
      <c r="M512" s="178">
        <v>26</v>
      </c>
      <c r="N512" s="178" t="s">
        <v>427</v>
      </c>
      <c r="O512" s="186">
        <f t="shared" si="235"/>
        <v>98</v>
      </c>
      <c r="P512" s="186">
        <f t="shared" si="236"/>
        <v>102</v>
      </c>
      <c r="Q512" s="186" t="str">
        <f t="shared" si="237"/>
        <v>HL</v>
      </c>
      <c r="R512" s="186" t="str">
        <f t="shared" si="238"/>
        <v>HW</v>
      </c>
      <c r="S512" s="186" t="str">
        <f t="shared" si="239"/>
        <v>HL</v>
      </c>
      <c r="T512" s="186" t="str">
        <f t="shared" si="240"/>
        <v>HW</v>
      </c>
      <c r="U512" s="186" t="str">
        <f t="shared" si="241"/>
        <v>U</v>
      </c>
      <c r="V512" s="186" t="str">
        <f t="shared" si="242"/>
        <v>U</v>
      </c>
      <c r="W512" s="186" t="str">
        <f t="shared" si="243"/>
        <v>U</v>
      </c>
      <c r="X512" s="186" t="str">
        <f t="shared" si="244"/>
        <v>O</v>
      </c>
      <c r="Y512" s="186"/>
      <c r="Z512" s="186">
        <v>51.5</v>
      </c>
      <c r="AB512" s="186" t="str">
        <f t="shared" si="234"/>
        <v>CHI/UTA</v>
      </c>
      <c r="AC512" s="186">
        <f t="shared" si="245"/>
        <v>1</v>
      </c>
      <c r="AD512" s="186">
        <f t="shared" si="246"/>
        <v>3</v>
      </c>
    </row>
    <row r="513" spans="1:30" x14ac:dyDescent="0.45">
      <c r="A513" s="98">
        <v>200103</v>
      </c>
      <c r="B513" s="99">
        <v>0.41666666666666669</v>
      </c>
      <c r="C513" s="98" t="s">
        <v>420</v>
      </c>
      <c r="D513" s="98" t="s">
        <v>425</v>
      </c>
      <c r="E513" s="184">
        <v>34</v>
      </c>
      <c r="F513" s="184">
        <v>24</v>
      </c>
      <c r="G513" s="184">
        <v>23</v>
      </c>
      <c r="H513" s="184">
        <v>18</v>
      </c>
      <c r="I513" s="184"/>
      <c r="J513" s="184">
        <v>19</v>
      </c>
      <c r="K513" s="184">
        <v>22</v>
      </c>
      <c r="L513" s="184">
        <v>26</v>
      </c>
      <c r="M513" s="184">
        <v>17</v>
      </c>
      <c r="N513" s="184" t="s">
        <v>427</v>
      </c>
      <c r="O513" s="186">
        <f t="shared" si="235"/>
        <v>99</v>
      </c>
      <c r="P513" s="186">
        <f t="shared" si="236"/>
        <v>84</v>
      </c>
      <c r="Q513" s="186" t="str">
        <f t="shared" si="237"/>
        <v>HW</v>
      </c>
      <c r="R513" s="186" t="str">
        <f t="shared" si="238"/>
        <v>HW</v>
      </c>
      <c r="S513" s="186" t="str">
        <f t="shared" si="239"/>
        <v>HL</v>
      </c>
      <c r="T513" s="186" t="str">
        <f t="shared" si="240"/>
        <v>HW</v>
      </c>
      <c r="U513" s="186" t="str">
        <f t="shared" si="241"/>
        <v>U</v>
      </c>
      <c r="V513" s="186" t="str">
        <f t="shared" si="242"/>
        <v>U</v>
      </c>
      <c r="W513" s="186" t="str">
        <f t="shared" si="243"/>
        <v>U</v>
      </c>
      <c r="X513" s="186" t="str">
        <f t="shared" si="244"/>
        <v>U</v>
      </c>
      <c r="Y513" s="186"/>
      <c r="Z513" s="186">
        <v>54.5</v>
      </c>
      <c r="AB513" s="186" t="str">
        <f t="shared" si="234"/>
        <v>MIN/GS</v>
      </c>
      <c r="AC513" s="186">
        <f t="shared" si="245"/>
        <v>0</v>
      </c>
      <c r="AD513" s="186">
        <f t="shared" si="246"/>
        <v>4</v>
      </c>
    </row>
    <row r="514" spans="1:30" x14ac:dyDescent="0.45">
      <c r="A514" s="98">
        <v>200103</v>
      </c>
      <c r="B514" s="99">
        <v>0.4375</v>
      </c>
      <c r="C514" s="98" t="s">
        <v>397</v>
      </c>
      <c r="D514" s="98" t="s">
        <v>407</v>
      </c>
      <c r="E514" s="180">
        <v>31</v>
      </c>
      <c r="F514" s="180">
        <v>29</v>
      </c>
      <c r="G514" s="180">
        <v>33</v>
      </c>
      <c r="H514" s="180">
        <v>30</v>
      </c>
      <c r="I514" s="180"/>
      <c r="J514" s="180">
        <v>30</v>
      </c>
      <c r="K514" s="180">
        <v>35</v>
      </c>
      <c r="L514" s="180">
        <v>28</v>
      </c>
      <c r="M514" s="180">
        <v>18</v>
      </c>
      <c r="N514" s="180" t="s">
        <v>427</v>
      </c>
      <c r="O514" s="186">
        <f t="shared" si="235"/>
        <v>123</v>
      </c>
      <c r="P514" s="186">
        <f t="shared" si="236"/>
        <v>111</v>
      </c>
      <c r="Q514" s="186" t="str">
        <f t="shared" si="237"/>
        <v>HW</v>
      </c>
      <c r="R514" s="186" t="str">
        <f t="shared" si="238"/>
        <v>HL</v>
      </c>
      <c r="S514" s="186" t="str">
        <f t="shared" si="239"/>
        <v>HW</v>
      </c>
      <c r="T514" s="186" t="str">
        <f t="shared" si="240"/>
        <v>HW</v>
      </c>
      <c r="U514" s="186" t="str">
        <f t="shared" si="241"/>
        <v>O</v>
      </c>
      <c r="V514" s="186" t="str">
        <f t="shared" si="242"/>
        <v>O</v>
      </c>
      <c r="W514" s="186" t="str">
        <f t="shared" si="243"/>
        <v>O</v>
      </c>
      <c r="X514" s="186" t="str">
        <f t="shared" si="244"/>
        <v>U</v>
      </c>
      <c r="Y514" s="186"/>
      <c r="Z514" s="186">
        <v>54.5</v>
      </c>
      <c r="AB514" s="186" t="str">
        <f t="shared" si="234"/>
        <v>DAL/BKN</v>
      </c>
      <c r="AC514" s="186">
        <f t="shared" si="245"/>
        <v>3</v>
      </c>
      <c r="AD514" s="186">
        <f t="shared" si="246"/>
        <v>1</v>
      </c>
    </row>
    <row r="515" spans="1:30" x14ac:dyDescent="0.45">
      <c r="A515" s="98">
        <v>200103</v>
      </c>
      <c r="B515" s="99">
        <v>0.4375</v>
      </c>
      <c r="C515" s="98" t="s">
        <v>426</v>
      </c>
      <c r="D515" s="98" t="s">
        <v>418</v>
      </c>
      <c r="E515" s="186">
        <v>27</v>
      </c>
      <c r="F515" s="186">
        <v>28</v>
      </c>
      <c r="G515" s="186">
        <v>21</v>
      </c>
      <c r="H515" s="186">
        <v>27</v>
      </c>
      <c r="I515" s="186"/>
      <c r="J515" s="186">
        <v>27</v>
      </c>
      <c r="K515" s="186">
        <v>19</v>
      </c>
      <c r="L515" s="186">
        <v>28</v>
      </c>
      <c r="M515" s="186">
        <v>35</v>
      </c>
      <c r="N515" s="186" t="s">
        <v>427</v>
      </c>
      <c r="O515" s="186">
        <f t="shared" si="235"/>
        <v>103</v>
      </c>
      <c r="P515" s="186">
        <f t="shared" si="236"/>
        <v>109</v>
      </c>
      <c r="Q515" s="186" t="str">
        <f t="shared" si="237"/>
        <v>TT</v>
      </c>
      <c r="R515" s="186" t="str">
        <f t="shared" si="238"/>
        <v>HW</v>
      </c>
      <c r="S515" s="186" t="str">
        <f t="shared" si="239"/>
        <v>HL</v>
      </c>
      <c r="T515" s="186" t="str">
        <f t="shared" si="240"/>
        <v>HL</v>
      </c>
      <c r="U515" s="186" t="str">
        <f t="shared" si="241"/>
        <v>U</v>
      </c>
      <c r="V515" s="186" t="str">
        <f t="shared" si="242"/>
        <v>U</v>
      </c>
      <c r="W515" s="186" t="str">
        <f t="shared" si="243"/>
        <v>U</v>
      </c>
      <c r="X515" s="186" t="str">
        <f t="shared" si="244"/>
        <v>O</v>
      </c>
      <c r="Y515" s="186"/>
      <c r="Z515" s="186">
        <v>56</v>
      </c>
      <c r="AB515" s="186" t="str">
        <f t="shared" si="234"/>
        <v>SAS/OKC</v>
      </c>
      <c r="AC515" s="186">
        <f t="shared" si="245"/>
        <v>1</v>
      </c>
      <c r="AD515" s="186">
        <f t="shared" si="246"/>
        <v>3</v>
      </c>
    </row>
    <row r="516" spans="1:30" x14ac:dyDescent="0.45">
      <c r="A516" s="98">
        <v>200103</v>
      </c>
      <c r="B516" s="99">
        <v>0.5</v>
      </c>
      <c r="C516" s="98" t="s">
        <v>416</v>
      </c>
      <c r="D516" s="98" t="s">
        <v>406</v>
      </c>
      <c r="E516" s="185">
        <v>26</v>
      </c>
      <c r="F516" s="185">
        <v>37</v>
      </c>
      <c r="G516" s="185">
        <v>27</v>
      </c>
      <c r="H516" s="185">
        <v>38</v>
      </c>
      <c r="I516" s="185"/>
      <c r="J516" s="185">
        <v>42</v>
      </c>
      <c r="K516" s="185">
        <v>18</v>
      </c>
      <c r="L516" s="185">
        <v>37</v>
      </c>
      <c r="M516" s="185">
        <v>26</v>
      </c>
      <c r="N516" s="185" t="s">
        <v>427</v>
      </c>
      <c r="O516" s="186">
        <f t="shared" si="235"/>
        <v>128</v>
      </c>
      <c r="P516" s="186">
        <f t="shared" si="236"/>
        <v>123</v>
      </c>
      <c r="Q516" s="186" t="str">
        <f t="shared" si="237"/>
        <v>HL</v>
      </c>
      <c r="R516" s="186" t="str">
        <f t="shared" si="238"/>
        <v>HW</v>
      </c>
      <c r="S516" s="186" t="str">
        <f t="shared" si="239"/>
        <v>HL</v>
      </c>
      <c r="T516" s="186" t="str">
        <f t="shared" si="240"/>
        <v>HW</v>
      </c>
      <c r="U516" s="186" t="str">
        <f t="shared" si="241"/>
        <v>O</v>
      </c>
      <c r="V516" s="186" t="str">
        <f t="shared" si="242"/>
        <v>T</v>
      </c>
      <c r="W516" s="186" t="str">
        <f t="shared" si="243"/>
        <v>O</v>
      </c>
      <c r="X516" s="186" t="str">
        <f t="shared" si="244"/>
        <v>O</v>
      </c>
      <c r="Y516" s="186"/>
      <c r="Z516" s="186">
        <v>55</v>
      </c>
      <c r="AB516" s="186" t="str">
        <f t="shared" si="234"/>
        <v>SAC/MEM</v>
      </c>
      <c r="AC516" s="186">
        <f t="shared" si="245"/>
        <v>3</v>
      </c>
      <c r="AD516" s="186">
        <f t="shared" si="246"/>
        <v>0</v>
      </c>
    </row>
    <row r="517" spans="1:30" x14ac:dyDescent="0.45">
      <c r="A517" s="98">
        <v>200103</v>
      </c>
      <c r="B517" s="99">
        <v>0.52083333333333337</v>
      </c>
      <c r="C517" s="98" t="s">
        <v>415</v>
      </c>
      <c r="D517" s="98" t="s">
        <v>422</v>
      </c>
      <c r="E517" s="182">
        <v>30</v>
      </c>
      <c r="F517" s="182">
        <v>39</v>
      </c>
      <c r="G517" s="182">
        <v>37</v>
      </c>
      <c r="H517" s="182">
        <v>20</v>
      </c>
      <c r="I517" s="182"/>
      <c r="J517" s="182">
        <v>33</v>
      </c>
      <c r="K517" s="182">
        <v>30</v>
      </c>
      <c r="L517" s="182">
        <v>16</v>
      </c>
      <c r="M517" s="182">
        <v>33</v>
      </c>
      <c r="N517" s="182" t="s">
        <v>427</v>
      </c>
      <c r="O517" s="186">
        <f t="shared" si="235"/>
        <v>126</v>
      </c>
      <c r="P517" s="186">
        <f t="shared" si="236"/>
        <v>112</v>
      </c>
      <c r="Q517" s="186" t="str">
        <f t="shared" si="237"/>
        <v>HL</v>
      </c>
      <c r="R517" s="186" t="str">
        <f t="shared" si="238"/>
        <v>HW</v>
      </c>
      <c r="S517" s="186" t="str">
        <f t="shared" si="239"/>
        <v>HW</v>
      </c>
      <c r="T517" s="186" t="str">
        <f t="shared" si="240"/>
        <v>HL</v>
      </c>
      <c r="U517" s="186" t="str">
        <f t="shared" si="241"/>
        <v>O</v>
      </c>
      <c r="V517" s="186" t="str">
        <f t="shared" si="242"/>
        <v>O</v>
      </c>
      <c r="W517" s="186" t="str">
        <f t="shared" si="243"/>
        <v>U</v>
      </c>
      <c r="X517" s="186" t="str">
        <f t="shared" si="244"/>
        <v>U</v>
      </c>
      <c r="Y517" s="186"/>
      <c r="Z517" s="186">
        <v>58.5</v>
      </c>
      <c r="AB517" s="186" t="str">
        <f t="shared" si="234"/>
        <v>LAC/DET</v>
      </c>
      <c r="AC517" s="186">
        <f t="shared" si="245"/>
        <v>2</v>
      </c>
      <c r="AD517" s="186">
        <f t="shared" si="246"/>
        <v>2</v>
      </c>
    </row>
    <row r="518" spans="1:30" x14ac:dyDescent="0.45">
      <c r="A518" s="98">
        <v>200104</v>
      </c>
      <c r="B518" s="99">
        <v>0.375</v>
      </c>
      <c r="C518" s="98" t="s">
        <v>421</v>
      </c>
      <c r="D518" s="98" t="s">
        <v>410</v>
      </c>
      <c r="E518" s="192">
        <v>19</v>
      </c>
      <c r="F518" s="192">
        <v>34</v>
      </c>
      <c r="G518" s="192">
        <v>29</v>
      </c>
      <c r="H518" s="192">
        <v>27</v>
      </c>
      <c r="I518" s="192"/>
      <c r="J518" s="192">
        <v>32</v>
      </c>
      <c r="K518" s="192">
        <v>23</v>
      </c>
      <c r="L518" s="192">
        <v>25</v>
      </c>
      <c r="M518" s="192">
        <v>26</v>
      </c>
      <c r="N518" s="192" t="s">
        <v>427</v>
      </c>
      <c r="O518" s="192">
        <f t="shared" ref="O518:O523" si="247">SUM(E518:I518)</f>
        <v>109</v>
      </c>
      <c r="P518" s="192">
        <f t="shared" ref="P518:P523" si="248">SUM(J518:N518)</f>
        <v>106</v>
      </c>
      <c r="Q518" s="192" t="str">
        <f t="shared" ref="Q518:Q523" si="249">IF(E518=J518,"TT",IF(E518&gt;J518,"HW","HL"))</f>
        <v>HL</v>
      </c>
      <c r="R518" s="192" t="str">
        <f t="shared" ref="R518:R523" si="250">IF(F518=K518,"TT",IF(F518&gt;K518,"HW","HL"))</f>
        <v>HW</v>
      </c>
      <c r="S518" s="192" t="str">
        <f t="shared" ref="S518:S523" si="251">IF(G518=L518,"TT",IF(G518&gt;L518,"HW","HL"))</f>
        <v>HW</v>
      </c>
      <c r="T518" s="192" t="str">
        <f t="shared" ref="T518:T523" si="252">IF(H518=M518,"TT",IF(H518&gt;M518,"HW","HL"))</f>
        <v>HW</v>
      </c>
      <c r="U518" s="192" t="str">
        <f t="shared" ref="U518:U523" si="253">IF(SUM(E518,J518)=$Z518,"T",IF(SUM(E518,J518)&gt;$Z518,"O","U"))</f>
        <v>U</v>
      </c>
      <c r="V518" s="192" t="str">
        <f t="shared" ref="V518:V523" si="254">IF(SUM(F518,K518)=$Z518,"T",IF(SUM(F518,K518)&gt;$Z518,"O","U"))</f>
        <v>U</v>
      </c>
      <c r="W518" s="192" t="str">
        <f t="shared" ref="W518:W523" si="255">IF(SUM(G518,L518)=$Z518,"T",IF(SUM(G518,L518)&gt;$Z518,"O","U"))</f>
        <v>U</v>
      </c>
      <c r="X518" s="192" t="str">
        <f t="shared" ref="X518:X523" si="256">IF(SUM(H518,M518)=$Z518,"T",IF(SUM(H518,M518)&gt;$Z518,"O","U"))</f>
        <v>U</v>
      </c>
      <c r="Z518" s="186">
        <v>58</v>
      </c>
      <c r="AB518" s="186" t="str">
        <f t="shared" si="234"/>
        <v>BOS/ATL</v>
      </c>
      <c r="AC518" s="192">
        <f t="shared" ref="AC518:AC523" si="257">COUNTIF(U518:X518,"o")</f>
        <v>0</v>
      </c>
      <c r="AD518" s="192">
        <f t="shared" ref="AD518:AD523" si="258">COUNTIF(U518:X518,"u")</f>
        <v>4</v>
      </c>
    </row>
    <row r="519" spans="1:30" x14ac:dyDescent="0.45">
      <c r="A519" s="98">
        <v>200104</v>
      </c>
      <c r="B519" s="99">
        <v>0.375</v>
      </c>
      <c r="C519" s="98" t="s">
        <v>424</v>
      </c>
      <c r="D519" s="98" t="s">
        <v>411</v>
      </c>
      <c r="E519" s="192">
        <v>27</v>
      </c>
      <c r="F519" s="192">
        <v>29</v>
      </c>
      <c r="G519" s="192">
        <v>28</v>
      </c>
      <c r="H519" s="192">
        <v>21</v>
      </c>
      <c r="I519" s="192"/>
      <c r="J519" s="192">
        <v>22</v>
      </c>
      <c r="K519" s="192">
        <v>22</v>
      </c>
      <c r="L519" s="192">
        <v>35</v>
      </c>
      <c r="M519" s="192">
        <v>6</v>
      </c>
      <c r="N519" s="192" t="s">
        <v>427</v>
      </c>
      <c r="O519" s="192">
        <f t="shared" si="247"/>
        <v>105</v>
      </c>
      <c r="P519" s="192">
        <f t="shared" si="248"/>
        <v>85</v>
      </c>
      <c r="Q519" s="192" t="str">
        <f t="shared" si="249"/>
        <v>HW</v>
      </c>
      <c r="R519" s="192" t="str">
        <f t="shared" si="250"/>
        <v>HW</v>
      </c>
      <c r="S519" s="192" t="str">
        <f t="shared" si="251"/>
        <v>HL</v>
      </c>
      <c r="T519" s="192" t="str">
        <f t="shared" si="252"/>
        <v>HW</v>
      </c>
      <c r="U519" s="192" t="str">
        <f t="shared" si="253"/>
        <v>U</v>
      </c>
      <c r="V519" s="192" t="str">
        <f t="shared" si="254"/>
        <v>U</v>
      </c>
      <c r="W519" s="192" t="str">
        <f t="shared" si="255"/>
        <v>O</v>
      </c>
      <c r="X519" s="192" t="str">
        <f t="shared" si="256"/>
        <v>U</v>
      </c>
      <c r="Z519" s="186">
        <v>53</v>
      </c>
      <c r="AB519" s="186" t="str">
        <f t="shared" si="234"/>
        <v>ORL/MIA</v>
      </c>
      <c r="AC519" s="192">
        <f t="shared" si="257"/>
        <v>1</v>
      </c>
      <c r="AD519" s="192">
        <f t="shared" si="258"/>
        <v>3</v>
      </c>
    </row>
    <row r="520" spans="1:30" x14ac:dyDescent="0.45">
      <c r="A520" s="98">
        <v>200104</v>
      </c>
      <c r="B520" s="99">
        <v>0.375</v>
      </c>
      <c r="C520" s="98" t="s">
        <v>414</v>
      </c>
      <c r="D520" s="98" t="s">
        <v>417</v>
      </c>
      <c r="E520" s="192">
        <v>31</v>
      </c>
      <c r="F520" s="192">
        <v>27</v>
      </c>
      <c r="G520" s="192">
        <v>20</v>
      </c>
      <c r="H520" s="192">
        <v>25</v>
      </c>
      <c r="I520" s="192"/>
      <c r="J520" s="192">
        <v>27</v>
      </c>
      <c r="K520" s="192">
        <v>39</v>
      </c>
      <c r="L520" s="192">
        <v>25</v>
      </c>
      <c r="M520" s="192">
        <v>31</v>
      </c>
      <c r="N520" s="192" t="s">
        <v>427</v>
      </c>
      <c r="O520" s="192">
        <f t="shared" si="247"/>
        <v>103</v>
      </c>
      <c r="P520" s="192">
        <f t="shared" si="248"/>
        <v>122</v>
      </c>
      <c r="Q520" s="192" t="str">
        <f t="shared" si="249"/>
        <v>HW</v>
      </c>
      <c r="R520" s="192" t="str">
        <f t="shared" si="250"/>
        <v>HL</v>
      </c>
      <c r="S520" s="192" t="str">
        <f t="shared" si="251"/>
        <v>HL</v>
      </c>
      <c r="T520" s="192" t="str">
        <f t="shared" si="252"/>
        <v>HL</v>
      </c>
      <c r="U520" s="192" t="str">
        <f t="shared" si="253"/>
        <v>U</v>
      </c>
      <c r="V520" s="192" t="str">
        <f t="shared" si="254"/>
        <v>O</v>
      </c>
      <c r="W520" s="192" t="str">
        <f t="shared" si="255"/>
        <v>U</v>
      </c>
      <c r="X520" s="192" t="str">
        <f t="shared" si="256"/>
        <v>U</v>
      </c>
      <c r="Z520" s="186">
        <v>60</v>
      </c>
      <c r="AB520" s="186" t="str">
        <f t="shared" si="234"/>
        <v>WAS/POR</v>
      </c>
      <c r="AC520" s="192">
        <f t="shared" si="257"/>
        <v>1</v>
      </c>
      <c r="AD520" s="192">
        <f t="shared" si="258"/>
        <v>3</v>
      </c>
    </row>
    <row r="521" spans="1:30" x14ac:dyDescent="0.45">
      <c r="A521" s="98">
        <v>200104</v>
      </c>
      <c r="B521" s="99">
        <v>0.41666666666666669</v>
      </c>
      <c r="C521" s="98" t="s">
        <v>403</v>
      </c>
      <c r="D521" s="98" t="s">
        <v>401</v>
      </c>
      <c r="E521" s="192">
        <v>20</v>
      </c>
      <c r="F521" s="192">
        <v>40</v>
      </c>
      <c r="G521" s="192">
        <v>36</v>
      </c>
      <c r="H521" s="192">
        <v>22</v>
      </c>
      <c r="I521" s="192"/>
      <c r="J521" s="192">
        <v>27</v>
      </c>
      <c r="K521" s="192">
        <v>26</v>
      </c>
      <c r="L521" s="192">
        <v>31</v>
      </c>
      <c r="M521" s="192">
        <v>24</v>
      </c>
      <c r="N521" s="192" t="s">
        <v>427</v>
      </c>
      <c r="O521" s="192">
        <f t="shared" si="247"/>
        <v>118</v>
      </c>
      <c r="P521" s="192">
        <f t="shared" si="248"/>
        <v>108</v>
      </c>
      <c r="Q521" s="192" t="str">
        <f t="shared" si="249"/>
        <v>HL</v>
      </c>
      <c r="R521" s="192" t="str">
        <f t="shared" si="250"/>
        <v>HW</v>
      </c>
      <c r="S521" s="192" t="str">
        <f t="shared" si="251"/>
        <v>HW</v>
      </c>
      <c r="T521" s="192" t="str">
        <f t="shared" si="252"/>
        <v>HL</v>
      </c>
      <c r="U521" s="192" t="str">
        <f t="shared" si="253"/>
        <v>U</v>
      </c>
      <c r="V521" s="192" t="str">
        <f t="shared" si="254"/>
        <v>O</v>
      </c>
      <c r="W521" s="192" t="str">
        <f t="shared" si="255"/>
        <v>O</v>
      </c>
      <c r="X521" s="192" t="str">
        <f t="shared" si="256"/>
        <v>U</v>
      </c>
      <c r="Z521" s="186">
        <v>57</v>
      </c>
      <c r="AB521" s="186" t="str">
        <f t="shared" si="234"/>
        <v>HOU/PHI</v>
      </c>
      <c r="AC521" s="192">
        <f t="shared" si="257"/>
        <v>2</v>
      </c>
      <c r="AD521" s="192">
        <f t="shared" si="258"/>
        <v>2</v>
      </c>
    </row>
    <row r="522" spans="1:30" x14ac:dyDescent="0.45">
      <c r="A522" s="98">
        <v>200104</v>
      </c>
      <c r="B522" s="99">
        <v>0.45833333333333331</v>
      </c>
      <c r="C522" s="98" t="s">
        <v>404</v>
      </c>
      <c r="D522" s="98" t="s">
        <v>399</v>
      </c>
      <c r="E522" s="192">
        <v>29</v>
      </c>
      <c r="F522" s="192">
        <v>22</v>
      </c>
      <c r="G522" s="192">
        <v>32</v>
      </c>
      <c r="H522" s="192">
        <v>37</v>
      </c>
      <c r="I522" s="192"/>
      <c r="J522" s="192">
        <v>37</v>
      </c>
      <c r="K522" s="192">
        <v>24</v>
      </c>
      <c r="L522" s="192">
        <v>26</v>
      </c>
      <c r="M522" s="192">
        <v>25</v>
      </c>
      <c r="N522" s="192" t="s">
        <v>427</v>
      </c>
      <c r="O522" s="192">
        <f t="shared" si="247"/>
        <v>120</v>
      </c>
      <c r="P522" s="192">
        <f t="shared" si="248"/>
        <v>112</v>
      </c>
      <c r="Q522" s="192" t="str">
        <f t="shared" si="249"/>
        <v>HL</v>
      </c>
      <c r="R522" s="192" t="str">
        <f t="shared" si="250"/>
        <v>HL</v>
      </c>
      <c r="S522" s="192" t="str">
        <f t="shared" si="251"/>
        <v>HW</v>
      </c>
      <c r="T522" s="192" t="str">
        <f t="shared" si="252"/>
        <v>HW</v>
      </c>
      <c r="U522" s="192" t="str">
        <f t="shared" si="253"/>
        <v>O</v>
      </c>
      <c r="V522" s="192" t="str">
        <f t="shared" si="254"/>
        <v>U</v>
      </c>
      <c r="W522" s="192" t="str">
        <f t="shared" si="255"/>
        <v>T</v>
      </c>
      <c r="X522" s="192" t="str">
        <f t="shared" si="256"/>
        <v>O</v>
      </c>
      <c r="Z522" s="186">
        <v>58</v>
      </c>
      <c r="AB522" s="186" t="str">
        <f t="shared" si="234"/>
        <v>PHO/NYK</v>
      </c>
      <c r="AC522" s="192">
        <f t="shared" si="257"/>
        <v>2</v>
      </c>
      <c r="AD522" s="192">
        <f t="shared" si="258"/>
        <v>1</v>
      </c>
    </row>
    <row r="523" spans="1:30" x14ac:dyDescent="0.45">
      <c r="A523" s="98">
        <v>200104</v>
      </c>
      <c r="B523" s="99">
        <v>0.52083333333333337</v>
      </c>
      <c r="C523" s="98" t="s">
        <v>419</v>
      </c>
      <c r="D523" s="98" t="s">
        <v>398</v>
      </c>
      <c r="E523" s="192">
        <v>42</v>
      </c>
      <c r="F523" s="192">
        <v>32</v>
      </c>
      <c r="G523" s="192">
        <v>31</v>
      </c>
      <c r="H523" s="192">
        <v>18</v>
      </c>
      <c r="I523" s="192"/>
      <c r="J523" s="192">
        <v>30</v>
      </c>
      <c r="K523" s="192">
        <v>32</v>
      </c>
      <c r="L523" s="192">
        <v>21</v>
      </c>
      <c r="M523" s="192">
        <v>30</v>
      </c>
      <c r="N523" s="192" t="s">
        <v>427</v>
      </c>
      <c r="O523" s="192">
        <f t="shared" si="247"/>
        <v>123</v>
      </c>
      <c r="P523" s="192">
        <f t="shared" si="248"/>
        <v>113</v>
      </c>
      <c r="Q523" s="192" t="str">
        <f t="shared" si="249"/>
        <v>HW</v>
      </c>
      <c r="R523" s="192" t="str">
        <f t="shared" si="250"/>
        <v>TT</v>
      </c>
      <c r="S523" s="192" t="str">
        <f t="shared" si="251"/>
        <v>HW</v>
      </c>
      <c r="T523" s="192" t="str">
        <f t="shared" si="252"/>
        <v>HL</v>
      </c>
      <c r="U523" s="192" t="str">
        <f t="shared" si="253"/>
        <v>O</v>
      </c>
      <c r="V523" s="192" t="str">
        <f t="shared" si="254"/>
        <v>O</v>
      </c>
      <c r="W523" s="192" t="str">
        <f t="shared" si="255"/>
        <v>U</v>
      </c>
      <c r="X523" s="192" t="str">
        <f t="shared" si="256"/>
        <v>U</v>
      </c>
      <c r="Z523" s="186">
        <v>58</v>
      </c>
      <c r="AB523" s="186" t="str">
        <f t="shared" si="234"/>
        <v>LAL/NO</v>
      </c>
      <c r="AC523" s="192">
        <f t="shared" si="257"/>
        <v>2</v>
      </c>
      <c r="AD523" s="192">
        <f t="shared" si="258"/>
        <v>2</v>
      </c>
    </row>
    <row r="524" spans="1:30" x14ac:dyDescent="0.45">
      <c r="A524" s="98">
        <v>200105</v>
      </c>
      <c r="B524" s="194">
        <v>0.22916666666666666</v>
      </c>
      <c r="C524" s="193" t="s">
        <v>415</v>
      </c>
      <c r="D524" s="193" t="s">
        <v>406</v>
      </c>
      <c r="E524" s="206">
        <v>27</v>
      </c>
      <c r="F524" s="206">
        <v>30</v>
      </c>
      <c r="G524" s="206">
        <v>23</v>
      </c>
      <c r="H524" s="206">
        <v>34</v>
      </c>
      <c r="I524" s="206"/>
      <c r="J524" s="206">
        <v>40</v>
      </c>
      <c r="K524" s="206">
        <v>25</v>
      </c>
      <c r="L524" s="206">
        <v>39</v>
      </c>
      <c r="M524" s="206">
        <v>36</v>
      </c>
      <c r="N524" s="206" t="s">
        <v>427</v>
      </c>
      <c r="O524" s="206">
        <f t="shared" ref="O524:O534" si="259">SUM(E524:I524)</f>
        <v>114</v>
      </c>
      <c r="P524" s="206">
        <f t="shared" ref="P524:P534" si="260">SUM(J524:N524)</f>
        <v>140</v>
      </c>
      <c r="Q524" s="206" t="str">
        <f t="shared" ref="Q524:Q534" si="261">IF(E524=J524,"TT",IF(E524&gt;J524,"HW","HL"))</f>
        <v>HL</v>
      </c>
      <c r="R524" s="206" t="str">
        <f t="shared" ref="R524:R534" si="262">IF(F524=K524,"TT",IF(F524&gt;K524,"HW","HL"))</f>
        <v>HW</v>
      </c>
      <c r="S524" s="206" t="str">
        <f t="shared" ref="S524:S534" si="263">IF(G524=L524,"TT",IF(G524&gt;L524,"HW","HL"))</f>
        <v>HL</v>
      </c>
      <c r="T524" s="206" t="str">
        <f t="shared" ref="T524:T534" si="264">IF(H524=M524,"TT",IF(H524&gt;M524,"HW","HL"))</f>
        <v>HL</v>
      </c>
      <c r="U524" s="206" t="str">
        <f t="shared" ref="U524:U534" si="265">IF(SUM(E524,J524)=$Z524,"T",IF(SUM(E524,J524)&gt;$Z524,"O","U"))</f>
        <v>O</v>
      </c>
      <c r="V524" s="206" t="str">
        <f t="shared" ref="V524:V534" si="266">IF(SUM(F524,K524)=$Z524,"T",IF(SUM(F524,K524)&gt;$Z524,"O","U"))</f>
        <v>U</v>
      </c>
      <c r="W524" s="206" t="str">
        <f t="shared" ref="W524:W534" si="267">IF(SUM(G524,L524)=$Z524,"T",IF(SUM(G524,L524)&gt;$Z524,"O","U"))</f>
        <v>O</v>
      </c>
      <c r="X524" s="206" t="str">
        <f t="shared" ref="X524:X534" si="268">IF(SUM(H524,M524)=$Z524,"T",IF(SUM(H524,M524)&gt;$Z524,"O","U"))</f>
        <v>O</v>
      </c>
      <c r="Y524" s="206"/>
      <c r="Z524" s="206">
        <v>56</v>
      </c>
      <c r="AA524" s="206"/>
      <c r="AB524" s="206" t="str">
        <f t="shared" ref="AB524:AB587" si="269">C524&amp;"/"&amp;D524</f>
        <v>LAC/MEM</v>
      </c>
      <c r="AC524" s="206">
        <f t="shared" ref="AC524:AC534" si="270">COUNTIF(U524:X524,"o")</f>
        <v>3</v>
      </c>
      <c r="AD524" s="206">
        <f t="shared" ref="AD524:AD534" si="271">COUNTIF(U524:X524,"u")</f>
        <v>1</v>
      </c>
    </row>
    <row r="525" spans="1:30" x14ac:dyDescent="0.45">
      <c r="A525" s="193">
        <v>200105</v>
      </c>
      <c r="B525" s="194">
        <v>0.33333333333333331</v>
      </c>
      <c r="C525" s="193" t="s">
        <v>407</v>
      </c>
      <c r="D525" s="193" t="s">
        <v>413</v>
      </c>
      <c r="E525" s="206">
        <v>33</v>
      </c>
      <c r="F525" s="206">
        <v>19</v>
      </c>
      <c r="G525" s="206">
        <v>28</v>
      </c>
      <c r="H525" s="206">
        <v>22</v>
      </c>
      <c r="I525" s="206"/>
      <c r="J525" s="206">
        <v>24</v>
      </c>
      <c r="K525" s="206">
        <v>24</v>
      </c>
      <c r="L525" s="206">
        <v>35</v>
      </c>
      <c r="M525" s="206">
        <v>38</v>
      </c>
      <c r="N525" s="206" t="s">
        <v>427</v>
      </c>
      <c r="O525" s="206">
        <f t="shared" si="259"/>
        <v>102</v>
      </c>
      <c r="P525" s="206">
        <f t="shared" si="260"/>
        <v>121</v>
      </c>
      <c r="Q525" s="206" t="str">
        <f t="shared" si="261"/>
        <v>HW</v>
      </c>
      <c r="R525" s="206" t="str">
        <f t="shared" si="262"/>
        <v>HL</v>
      </c>
      <c r="S525" s="206" t="str">
        <f t="shared" si="263"/>
        <v>HL</v>
      </c>
      <c r="T525" s="206" t="str">
        <f t="shared" si="264"/>
        <v>HL</v>
      </c>
      <c r="U525" s="206" t="str">
        <f t="shared" si="265"/>
        <v>O</v>
      </c>
      <c r="V525" s="206" t="str">
        <f t="shared" si="266"/>
        <v>U</v>
      </c>
      <c r="W525" s="206" t="str">
        <f t="shared" si="267"/>
        <v>O</v>
      </c>
      <c r="X525" s="206" t="str">
        <f t="shared" si="268"/>
        <v>O</v>
      </c>
      <c r="Y525" s="206"/>
      <c r="Z525" s="206">
        <v>55</v>
      </c>
      <c r="AA525" s="206"/>
      <c r="AB525" s="206" t="str">
        <f t="shared" si="269"/>
        <v>BKN/TOR</v>
      </c>
      <c r="AC525" s="206">
        <f t="shared" si="270"/>
        <v>3</v>
      </c>
      <c r="AD525" s="206">
        <f t="shared" si="271"/>
        <v>1</v>
      </c>
    </row>
    <row r="526" spans="1:30" x14ac:dyDescent="0.45">
      <c r="A526" s="193">
        <v>200105</v>
      </c>
      <c r="B526" s="194">
        <v>0.375</v>
      </c>
      <c r="C526" s="193" t="s">
        <v>431</v>
      </c>
      <c r="D526" s="193" t="s">
        <v>405</v>
      </c>
      <c r="E526" s="206">
        <v>25</v>
      </c>
      <c r="F526" s="206">
        <v>22</v>
      </c>
      <c r="G526" s="206">
        <v>28</v>
      </c>
      <c r="H526" s="206">
        <v>21</v>
      </c>
      <c r="I526" s="206"/>
      <c r="J526" s="206">
        <v>33</v>
      </c>
      <c r="K526" s="206">
        <v>19</v>
      </c>
      <c r="L526" s="206">
        <v>24</v>
      </c>
      <c r="M526" s="206">
        <v>33</v>
      </c>
      <c r="N526" s="206" t="s">
        <v>427</v>
      </c>
      <c r="O526" s="206">
        <f t="shared" si="259"/>
        <v>96</v>
      </c>
      <c r="P526" s="206">
        <f t="shared" si="260"/>
        <v>109</v>
      </c>
      <c r="Q526" s="206" t="str">
        <f t="shared" si="261"/>
        <v>HL</v>
      </c>
      <c r="R526" s="206" t="str">
        <f t="shared" si="262"/>
        <v>HW</v>
      </c>
      <c r="S526" s="206" t="str">
        <f t="shared" si="263"/>
        <v>HW</v>
      </c>
      <c r="T526" s="206" t="str">
        <f t="shared" si="264"/>
        <v>HL</v>
      </c>
      <c r="U526" s="206" t="str">
        <f t="shared" si="265"/>
        <v>O</v>
      </c>
      <c r="V526" s="206" t="str">
        <f t="shared" si="266"/>
        <v>U</v>
      </c>
      <c r="W526" s="206" t="str">
        <f t="shared" si="267"/>
        <v>O</v>
      </c>
      <c r="X526" s="206" t="str">
        <f t="shared" si="268"/>
        <v>O</v>
      </c>
      <c r="Y526" s="206"/>
      <c r="Z526" s="206">
        <v>50.5</v>
      </c>
      <c r="AA526" s="206"/>
      <c r="AB526" s="206" t="str">
        <f t="shared" si="269"/>
        <v>ORL/UTA</v>
      </c>
      <c r="AC526" s="206">
        <f t="shared" si="270"/>
        <v>3</v>
      </c>
      <c r="AD526" s="206">
        <f t="shared" si="271"/>
        <v>1</v>
      </c>
    </row>
    <row r="527" spans="1:30" x14ac:dyDescent="0.45">
      <c r="A527" s="193">
        <v>200105</v>
      </c>
      <c r="B527" s="194">
        <v>0.39583333333333331</v>
      </c>
      <c r="C527" s="193" t="s">
        <v>410</v>
      </c>
      <c r="D527" s="193" t="s">
        <v>400</v>
      </c>
      <c r="E527" s="206">
        <v>43</v>
      </c>
      <c r="F527" s="206">
        <v>21</v>
      </c>
      <c r="G527" s="206">
        <v>32</v>
      </c>
      <c r="H527" s="206">
        <v>20</v>
      </c>
      <c r="I527" s="206"/>
      <c r="J527" s="206">
        <v>26</v>
      </c>
      <c r="K527" s="206">
        <v>34</v>
      </c>
      <c r="L527" s="206">
        <v>35</v>
      </c>
      <c r="M527" s="206">
        <v>16</v>
      </c>
      <c r="N527" s="206" t="s">
        <v>427</v>
      </c>
      <c r="O527" s="206">
        <f t="shared" si="259"/>
        <v>116</v>
      </c>
      <c r="P527" s="206">
        <f t="shared" si="260"/>
        <v>111</v>
      </c>
      <c r="Q527" s="206" t="str">
        <f t="shared" si="261"/>
        <v>HW</v>
      </c>
      <c r="R527" s="206" t="str">
        <f t="shared" si="262"/>
        <v>HL</v>
      </c>
      <c r="S527" s="206" t="str">
        <f t="shared" si="263"/>
        <v>HL</v>
      </c>
      <c r="T527" s="206" t="str">
        <f t="shared" si="264"/>
        <v>HW</v>
      </c>
      <c r="U527" s="206" t="str">
        <f t="shared" si="265"/>
        <v>O</v>
      </c>
      <c r="V527" s="206" t="str">
        <f t="shared" si="266"/>
        <v>U</v>
      </c>
      <c r="W527" s="206" t="str">
        <f t="shared" si="267"/>
        <v>O</v>
      </c>
      <c r="X527" s="206" t="str">
        <f t="shared" si="268"/>
        <v>U</v>
      </c>
      <c r="Y527" s="206"/>
      <c r="Z527" s="206">
        <v>56.5</v>
      </c>
      <c r="AA527" s="206"/>
      <c r="AB527" s="206" t="str">
        <f t="shared" si="269"/>
        <v>ATL/IND</v>
      </c>
      <c r="AC527" s="206">
        <f t="shared" si="270"/>
        <v>2</v>
      </c>
      <c r="AD527" s="206">
        <f t="shared" si="271"/>
        <v>2</v>
      </c>
    </row>
    <row r="528" spans="1:30" x14ac:dyDescent="0.45">
      <c r="A528" s="193">
        <v>200105</v>
      </c>
      <c r="B528" s="194">
        <v>0.39583333333333331</v>
      </c>
      <c r="C528" s="193" t="s">
        <v>402</v>
      </c>
      <c r="D528" s="193" t="s">
        <v>418</v>
      </c>
      <c r="E528" s="206">
        <v>27</v>
      </c>
      <c r="F528" s="206">
        <v>26</v>
      </c>
      <c r="G528" s="206">
        <v>26</v>
      </c>
      <c r="H528" s="206">
        <v>27</v>
      </c>
      <c r="I528" s="206"/>
      <c r="J528" s="206">
        <v>34</v>
      </c>
      <c r="K528" s="206">
        <v>32</v>
      </c>
      <c r="L528" s="206">
        <v>25</v>
      </c>
      <c r="M528" s="206">
        <v>30</v>
      </c>
      <c r="N528" s="206" t="s">
        <v>427</v>
      </c>
      <c r="O528" s="206">
        <f t="shared" si="259"/>
        <v>106</v>
      </c>
      <c r="P528" s="206">
        <f t="shared" si="260"/>
        <v>121</v>
      </c>
      <c r="Q528" s="206" t="str">
        <f t="shared" si="261"/>
        <v>HL</v>
      </c>
      <c r="R528" s="206" t="str">
        <f t="shared" si="262"/>
        <v>HL</v>
      </c>
      <c r="S528" s="206" t="str">
        <f t="shared" si="263"/>
        <v>HW</v>
      </c>
      <c r="T528" s="206" t="str">
        <f t="shared" si="264"/>
        <v>HL</v>
      </c>
      <c r="U528" s="206" t="str">
        <f t="shared" si="265"/>
        <v>O</v>
      </c>
      <c r="V528" s="206" t="str">
        <f t="shared" si="266"/>
        <v>O</v>
      </c>
      <c r="W528" s="206" t="str">
        <f t="shared" si="267"/>
        <v>U</v>
      </c>
      <c r="X528" s="206" t="str">
        <f t="shared" si="268"/>
        <v>O</v>
      </c>
      <c r="Y528" s="206"/>
      <c r="Z528" s="206">
        <v>55</v>
      </c>
      <c r="AA528" s="206"/>
      <c r="AB528" s="206" t="str">
        <f t="shared" si="269"/>
        <v>CLE/OKC</v>
      </c>
      <c r="AC528" s="206">
        <f t="shared" si="270"/>
        <v>3</v>
      </c>
      <c r="AD528" s="206">
        <f t="shared" si="271"/>
        <v>1</v>
      </c>
    </row>
    <row r="529" spans="1:30" x14ac:dyDescent="0.45">
      <c r="A529" s="193">
        <v>200105</v>
      </c>
      <c r="B529" s="194">
        <v>0.41666666666666669</v>
      </c>
      <c r="C529" s="193" t="s">
        <v>432</v>
      </c>
      <c r="D529" s="193" t="s">
        <v>421</v>
      </c>
      <c r="E529" s="206">
        <v>28</v>
      </c>
      <c r="F529" s="206">
        <v>24</v>
      </c>
      <c r="G529" s="206">
        <v>21</v>
      </c>
      <c r="H529" s="206">
        <v>31</v>
      </c>
      <c r="I529" s="206"/>
      <c r="J529" s="206">
        <v>30</v>
      </c>
      <c r="K529" s="206">
        <v>25</v>
      </c>
      <c r="L529" s="206">
        <v>30</v>
      </c>
      <c r="M529" s="206">
        <v>26</v>
      </c>
      <c r="N529" s="206" t="s">
        <v>427</v>
      </c>
      <c r="O529" s="206">
        <f t="shared" si="259"/>
        <v>104</v>
      </c>
      <c r="P529" s="206">
        <f t="shared" si="260"/>
        <v>111</v>
      </c>
      <c r="Q529" s="206" t="str">
        <f t="shared" si="261"/>
        <v>HL</v>
      </c>
      <c r="R529" s="206" t="str">
        <f t="shared" si="262"/>
        <v>HL</v>
      </c>
      <c r="S529" s="206" t="str">
        <f t="shared" si="263"/>
        <v>HL</v>
      </c>
      <c r="T529" s="206" t="str">
        <f t="shared" si="264"/>
        <v>HW</v>
      </c>
      <c r="U529" s="206" t="str">
        <f t="shared" si="265"/>
        <v>O</v>
      </c>
      <c r="V529" s="206" t="str">
        <f t="shared" si="266"/>
        <v>U</v>
      </c>
      <c r="W529" s="206" t="str">
        <f t="shared" si="267"/>
        <v>T</v>
      </c>
      <c r="X529" s="206" t="str">
        <f t="shared" si="268"/>
        <v>O</v>
      </c>
      <c r="Y529" s="206"/>
      <c r="Z529" s="206">
        <v>51</v>
      </c>
      <c r="AA529" s="206"/>
      <c r="AB529" s="206" t="str">
        <f t="shared" si="269"/>
        <v>CHI/BOS</v>
      </c>
      <c r="AC529" s="206">
        <f t="shared" si="270"/>
        <v>2</v>
      </c>
      <c r="AD529" s="206">
        <f t="shared" si="271"/>
        <v>1</v>
      </c>
    </row>
    <row r="530" spans="1:30" x14ac:dyDescent="0.45">
      <c r="A530" s="193">
        <v>200105</v>
      </c>
      <c r="B530" s="194">
        <v>0.41666666666666669</v>
      </c>
      <c r="C530" s="193" t="s">
        <v>433</v>
      </c>
      <c r="D530" s="193" t="s">
        <v>408</v>
      </c>
      <c r="E530" s="206">
        <v>31</v>
      </c>
      <c r="F530" s="206">
        <v>30</v>
      </c>
      <c r="G530" s="206">
        <v>34</v>
      </c>
      <c r="H530" s="206">
        <v>33</v>
      </c>
      <c r="I530" s="206"/>
      <c r="J530" s="206">
        <v>19</v>
      </c>
      <c r="K530" s="206">
        <v>36</v>
      </c>
      <c r="L530" s="206">
        <v>35</v>
      </c>
      <c r="M530" s="206">
        <v>24</v>
      </c>
      <c r="N530" s="206" t="s">
        <v>427</v>
      </c>
      <c r="O530" s="206">
        <f t="shared" si="259"/>
        <v>128</v>
      </c>
      <c r="P530" s="206">
        <f t="shared" si="260"/>
        <v>114</v>
      </c>
      <c r="Q530" s="206" t="str">
        <f t="shared" si="261"/>
        <v>HW</v>
      </c>
      <c r="R530" s="206" t="str">
        <f t="shared" si="262"/>
        <v>HL</v>
      </c>
      <c r="S530" s="206" t="str">
        <f t="shared" si="263"/>
        <v>HL</v>
      </c>
      <c r="T530" s="206" t="str">
        <f t="shared" si="264"/>
        <v>HW</v>
      </c>
      <c r="U530" s="206" t="str">
        <f t="shared" si="265"/>
        <v>U</v>
      </c>
      <c r="V530" s="206" t="str">
        <f t="shared" si="266"/>
        <v>O</v>
      </c>
      <c r="W530" s="206" t="str">
        <f t="shared" si="267"/>
        <v>O</v>
      </c>
      <c r="X530" s="206" t="str">
        <f t="shared" si="268"/>
        <v>T</v>
      </c>
      <c r="Y530" s="206"/>
      <c r="Z530" s="206">
        <v>57</v>
      </c>
      <c r="AA530" s="206"/>
      <c r="AB530" s="206" t="str">
        <f t="shared" si="269"/>
        <v>WAS/DEN</v>
      </c>
      <c r="AC530" s="206">
        <f t="shared" si="270"/>
        <v>2</v>
      </c>
      <c r="AD530" s="206">
        <f t="shared" si="271"/>
        <v>1</v>
      </c>
    </row>
    <row r="531" spans="1:30" x14ac:dyDescent="0.45">
      <c r="A531" s="193">
        <v>200105</v>
      </c>
      <c r="B531" s="194">
        <v>0.4375</v>
      </c>
      <c r="C531" s="193" t="s">
        <v>434</v>
      </c>
      <c r="D531" s="193" t="s">
        <v>409</v>
      </c>
      <c r="E531" s="206">
        <v>20</v>
      </c>
      <c r="F531" s="206">
        <v>24</v>
      </c>
      <c r="G531" s="206">
        <v>40</v>
      </c>
      <c r="H531" s="206">
        <v>19</v>
      </c>
      <c r="I531" s="206">
        <v>17</v>
      </c>
      <c r="J531" s="206">
        <v>32</v>
      </c>
      <c r="K531" s="206">
        <v>25</v>
      </c>
      <c r="L531" s="206">
        <v>23</v>
      </c>
      <c r="M531" s="206">
        <v>23</v>
      </c>
      <c r="N531" s="206">
        <v>20</v>
      </c>
      <c r="O531" s="206">
        <f t="shared" si="259"/>
        <v>120</v>
      </c>
      <c r="P531" s="206">
        <f t="shared" si="260"/>
        <v>123</v>
      </c>
      <c r="Q531" s="206" t="str">
        <f t="shared" si="261"/>
        <v>HL</v>
      </c>
      <c r="R531" s="206" t="str">
        <f t="shared" si="262"/>
        <v>HL</v>
      </c>
      <c r="S531" s="206" t="str">
        <f t="shared" si="263"/>
        <v>HW</v>
      </c>
      <c r="T531" s="206" t="str">
        <f t="shared" si="264"/>
        <v>HL</v>
      </c>
      <c r="U531" s="206" t="str">
        <f t="shared" si="265"/>
        <v>U</v>
      </c>
      <c r="V531" s="206" t="str">
        <f t="shared" si="266"/>
        <v>U</v>
      </c>
      <c r="W531" s="206" t="str">
        <f t="shared" si="267"/>
        <v>O</v>
      </c>
      <c r="X531" s="206" t="str">
        <f t="shared" si="268"/>
        <v>U</v>
      </c>
      <c r="Y531" s="206"/>
      <c r="Z531" s="206">
        <v>55.5</v>
      </c>
      <c r="AA531" s="206"/>
      <c r="AB531" s="206" t="str">
        <f t="shared" si="269"/>
        <v>DAL/CHA</v>
      </c>
      <c r="AC531" s="206">
        <f t="shared" si="270"/>
        <v>1</v>
      </c>
      <c r="AD531" s="206">
        <f t="shared" si="271"/>
        <v>3</v>
      </c>
    </row>
    <row r="532" spans="1:30" x14ac:dyDescent="0.45">
      <c r="A532" s="193">
        <v>200105</v>
      </c>
      <c r="B532" s="194">
        <v>0.4375</v>
      </c>
      <c r="C532" s="193" t="s">
        <v>425</v>
      </c>
      <c r="D532" s="193" t="s">
        <v>422</v>
      </c>
      <c r="E532" s="206">
        <v>23</v>
      </c>
      <c r="F532" s="206">
        <v>36</v>
      </c>
      <c r="G532" s="206">
        <v>21</v>
      </c>
      <c r="H532" s="206">
        <v>24</v>
      </c>
      <c r="I532" s="206"/>
      <c r="J532" s="206">
        <v>25</v>
      </c>
      <c r="K532" s="206">
        <v>31</v>
      </c>
      <c r="L532" s="206">
        <v>27</v>
      </c>
      <c r="M532" s="206">
        <v>28</v>
      </c>
      <c r="N532" s="206" t="s">
        <v>427</v>
      </c>
      <c r="O532" s="206">
        <f t="shared" si="259"/>
        <v>104</v>
      </c>
      <c r="P532" s="206">
        <f t="shared" si="260"/>
        <v>111</v>
      </c>
      <c r="Q532" s="206" t="str">
        <f t="shared" si="261"/>
        <v>HL</v>
      </c>
      <c r="R532" s="206" t="str">
        <f t="shared" si="262"/>
        <v>HW</v>
      </c>
      <c r="S532" s="206" t="str">
        <f t="shared" si="263"/>
        <v>HL</v>
      </c>
      <c r="T532" s="206" t="str">
        <f t="shared" si="264"/>
        <v>HL</v>
      </c>
      <c r="U532" s="206" t="str">
        <f t="shared" si="265"/>
        <v>U</v>
      </c>
      <c r="V532" s="206" t="str">
        <f t="shared" si="266"/>
        <v>O</v>
      </c>
      <c r="W532" s="206" t="str">
        <f t="shared" si="267"/>
        <v>U</v>
      </c>
      <c r="X532" s="206" t="str">
        <f t="shared" si="268"/>
        <v>U</v>
      </c>
      <c r="Y532" s="206"/>
      <c r="Z532" s="206">
        <v>55</v>
      </c>
      <c r="AA532" s="206"/>
      <c r="AB532" s="206" t="str">
        <f t="shared" si="269"/>
        <v>GS/DET</v>
      </c>
      <c r="AC532" s="206">
        <f t="shared" si="270"/>
        <v>1</v>
      </c>
      <c r="AD532" s="206">
        <f t="shared" si="271"/>
        <v>3</v>
      </c>
    </row>
    <row r="533" spans="1:30" x14ac:dyDescent="0.45">
      <c r="A533" s="193">
        <v>200105</v>
      </c>
      <c r="B533" s="194">
        <v>0.4375</v>
      </c>
      <c r="C533" s="193" t="s">
        <v>423</v>
      </c>
      <c r="D533" s="193" t="s">
        <v>426</v>
      </c>
      <c r="E533" s="206">
        <v>29</v>
      </c>
      <c r="F533" s="206">
        <v>42</v>
      </c>
      <c r="G533" s="206">
        <v>32</v>
      </c>
      <c r="H533" s="206">
        <v>24</v>
      </c>
      <c r="I533" s="206"/>
      <c r="J533" s="206">
        <v>31</v>
      </c>
      <c r="K533" s="206">
        <v>35</v>
      </c>
      <c r="L533" s="206">
        <v>25</v>
      </c>
      <c r="M533" s="206">
        <v>27</v>
      </c>
      <c r="N533" s="206" t="s">
        <v>427</v>
      </c>
      <c r="O533" s="206">
        <f t="shared" si="259"/>
        <v>127</v>
      </c>
      <c r="P533" s="206">
        <f t="shared" si="260"/>
        <v>118</v>
      </c>
      <c r="Q533" s="206" t="str">
        <f t="shared" si="261"/>
        <v>HL</v>
      </c>
      <c r="R533" s="206" t="str">
        <f t="shared" si="262"/>
        <v>HW</v>
      </c>
      <c r="S533" s="206" t="str">
        <f t="shared" si="263"/>
        <v>HW</v>
      </c>
      <c r="T533" s="206" t="str">
        <f t="shared" si="264"/>
        <v>HL</v>
      </c>
      <c r="U533" s="206" t="str">
        <f t="shared" si="265"/>
        <v>O</v>
      </c>
      <c r="V533" s="206" t="str">
        <f t="shared" si="266"/>
        <v>O</v>
      </c>
      <c r="W533" s="206" t="str">
        <f t="shared" si="267"/>
        <v>O</v>
      </c>
      <c r="X533" s="206" t="str">
        <f t="shared" si="268"/>
        <v>U</v>
      </c>
      <c r="Y533" s="206"/>
      <c r="Z533" s="206">
        <v>56</v>
      </c>
      <c r="AA533" s="206"/>
      <c r="AB533" s="206" t="str">
        <f t="shared" si="269"/>
        <v>MIL/SAS</v>
      </c>
      <c r="AC533" s="206">
        <f t="shared" si="270"/>
        <v>3</v>
      </c>
      <c r="AD533" s="206">
        <f t="shared" si="271"/>
        <v>1</v>
      </c>
    </row>
    <row r="534" spans="1:30" x14ac:dyDescent="0.45">
      <c r="A534" s="193">
        <v>200105</v>
      </c>
      <c r="B534" s="194">
        <v>0.5</v>
      </c>
      <c r="C534" s="193" t="s">
        <v>416</v>
      </c>
      <c r="D534" s="193" t="s">
        <v>398</v>
      </c>
      <c r="E534" s="206">
        <v>26</v>
      </c>
      <c r="F534" s="206">
        <v>22</v>
      </c>
      <c r="G534" s="206">
        <v>32</v>
      </c>
      <c r="H534" s="206">
        <v>35</v>
      </c>
      <c r="I534" s="206"/>
      <c r="J534" s="206">
        <v>25</v>
      </c>
      <c r="K534" s="206">
        <v>27</v>
      </c>
      <c r="L534" s="206">
        <v>24</v>
      </c>
      <c r="M534" s="206">
        <v>41</v>
      </c>
      <c r="N534" s="206" t="s">
        <v>427</v>
      </c>
      <c r="O534" s="206">
        <f t="shared" si="259"/>
        <v>115</v>
      </c>
      <c r="P534" s="206">
        <f t="shared" si="260"/>
        <v>117</v>
      </c>
      <c r="Q534" s="206" t="str">
        <f t="shared" si="261"/>
        <v>HW</v>
      </c>
      <c r="R534" s="206" t="str">
        <f t="shared" si="262"/>
        <v>HL</v>
      </c>
      <c r="S534" s="206" t="str">
        <f t="shared" si="263"/>
        <v>HW</v>
      </c>
      <c r="T534" s="206" t="str">
        <f t="shared" si="264"/>
        <v>HL</v>
      </c>
      <c r="U534" s="206" t="str">
        <f t="shared" si="265"/>
        <v>U</v>
      </c>
      <c r="V534" s="206" t="str">
        <f t="shared" si="266"/>
        <v>U</v>
      </c>
      <c r="W534" s="206" t="str">
        <f t="shared" si="267"/>
        <v>U</v>
      </c>
      <c r="X534" s="206" t="str">
        <f t="shared" si="268"/>
        <v>O</v>
      </c>
      <c r="Y534" s="206"/>
      <c r="Z534" s="206">
        <v>58</v>
      </c>
      <c r="AA534" s="206"/>
      <c r="AB534" s="206" t="str">
        <f t="shared" si="269"/>
        <v>SAC/NO</v>
      </c>
      <c r="AC534" s="206">
        <f t="shared" si="270"/>
        <v>1</v>
      </c>
      <c r="AD534" s="206">
        <f t="shared" si="271"/>
        <v>3</v>
      </c>
    </row>
    <row r="535" spans="1:30" x14ac:dyDescent="0.45">
      <c r="A535" s="206">
        <v>200106</v>
      </c>
      <c r="B535" s="207">
        <v>0.22916666666666666</v>
      </c>
      <c r="C535" s="206" t="s">
        <v>415</v>
      </c>
      <c r="D535" s="206" t="s">
        <v>399</v>
      </c>
      <c r="E535" s="3">
        <v>29</v>
      </c>
      <c r="F535" s="3">
        <v>47</v>
      </c>
      <c r="G535" s="3">
        <v>38</v>
      </c>
      <c r="H535" s="3">
        <v>21</v>
      </c>
      <c r="J535" s="3">
        <v>45</v>
      </c>
      <c r="K535" s="3">
        <v>24</v>
      </c>
      <c r="L535" s="3">
        <v>31</v>
      </c>
      <c r="M535" s="3">
        <v>32</v>
      </c>
      <c r="N535" s="3" t="s">
        <v>427</v>
      </c>
      <c r="O535" s="206">
        <f t="shared" ref="O535:O598" si="272">SUM(E535:I535)</f>
        <v>135</v>
      </c>
      <c r="P535" s="206">
        <f t="shared" ref="P535:P598" si="273">SUM(J535:N535)</f>
        <v>132</v>
      </c>
      <c r="Q535" s="206" t="str">
        <f t="shared" ref="Q535:Q598" si="274">IF(E535=J535,"TT",IF(E535&gt;J535,"HW","HL"))</f>
        <v>HL</v>
      </c>
      <c r="R535" s="206" t="str">
        <f t="shared" ref="R535:R598" si="275">IF(F535=K535,"TT",IF(F535&gt;K535,"HW","HL"))</f>
        <v>HW</v>
      </c>
      <c r="S535" s="206" t="str">
        <f t="shared" ref="S535:S598" si="276">IF(G535=L535,"TT",IF(G535&gt;L535,"HW","HL"))</f>
        <v>HW</v>
      </c>
      <c r="T535" s="206" t="str">
        <f t="shared" ref="T535:T598" si="277">IF(H535=M535,"TT",IF(H535&gt;M535,"HW","HL"))</f>
        <v>HL</v>
      </c>
      <c r="U535" s="206" t="str">
        <f t="shared" ref="U535:U598" si="278">IF(SUM(E535,J535)=$Z535,"T",IF(SUM(E535,J535)&gt;$Z535,"O","U"))</f>
        <v>O</v>
      </c>
      <c r="V535" s="206" t="str">
        <f t="shared" ref="V535:V598" si="279">IF(SUM(F535,K535)=$Z535,"T",IF(SUM(F535,K535)&gt;$Z535,"O","U"))</f>
        <v>O</v>
      </c>
      <c r="W535" s="206" t="str">
        <f t="shared" ref="W535:W598" si="280">IF(SUM(G535,L535)=$Z535,"T",IF(SUM(G535,L535)&gt;$Z535,"O","U"))</f>
        <v>O</v>
      </c>
      <c r="X535" s="206" t="str">
        <f t="shared" ref="X535:X598" si="281">IF(SUM(H535,M535)=$Z535,"T",IF(SUM(H535,M535)&gt;$Z535,"O","U"))</f>
        <v>U</v>
      </c>
      <c r="Y535" s="206"/>
      <c r="Z535" s="206">
        <v>57</v>
      </c>
      <c r="AB535" s="206" t="str">
        <f t="shared" si="269"/>
        <v>LAC/NYK</v>
      </c>
      <c r="AC535" s="206">
        <f t="shared" ref="AC535:AC598" si="282">COUNTIF(U535:X535,"o")</f>
        <v>3</v>
      </c>
      <c r="AD535" s="206">
        <f t="shared" ref="AD535:AD598" si="283">COUNTIF(U535:X535,"u")</f>
        <v>1</v>
      </c>
    </row>
    <row r="536" spans="1:30" x14ac:dyDescent="0.45">
      <c r="A536" s="206">
        <v>200106</v>
      </c>
      <c r="B536" s="207">
        <v>0.33333333333333331</v>
      </c>
      <c r="C536" s="206" t="s">
        <v>411</v>
      </c>
      <c r="D536" s="206" t="s">
        <v>417</v>
      </c>
      <c r="E536" s="3">
        <v>31</v>
      </c>
      <c r="F536" s="3">
        <v>34</v>
      </c>
      <c r="G536" s="3">
        <v>29</v>
      </c>
      <c r="H536" s="3">
        <v>28</v>
      </c>
      <c r="J536" s="3">
        <v>19</v>
      </c>
      <c r="K536" s="3">
        <v>27</v>
      </c>
      <c r="L536" s="3">
        <v>35</v>
      </c>
      <c r="M536" s="3">
        <v>30</v>
      </c>
      <c r="N536" s="3" t="s">
        <v>427</v>
      </c>
      <c r="O536" s="206">
        <f t="shared" si="272"/>
        <v>122</v>
      </c>
      <c r="P536" s="206">
        <f t="shared" si="273"/>
        <v>111</v>
      </c>
      <c r="Q536" s="206" t="str">
        <f t="shared" si="274"/>
        <v>HW</v>
      </c>
      <c r="R536" s="206" t="str">
        <f t="shared" si="275"/>
        <v>HW</v>
      </c>
      <c r="S536" s="206" t="str">
        <f t="shared" si="276"/>
        <v>HL</v>
      </c>
      <c r="T536" s="206" t="str">
        <f t="shared" si="277"/>
        <v>HL</v>
      </c>
      <c r="U536" s="206" t="str">
        <f t="shared" si="278"/>
        <v>U</v>
      </c>
      <c r="V536" s="206" t="str">
        <f t="shared" si="279"/>
        <v>O</v>
      </c>
      <c r="W536" s="206" t="str">
        <f t="shared" si="280"/>
        <v>O</v>
      </c>
      <c r="X536" s="206" t="str">
        <f t="shared" si="281"/>
        <v>O</v>
      </c>
      <c r="Y536" s="206"/>
      <c r="Z536" s="206">
        <v>55.5</v>
      </c>
      <c r="AB536" s="206" t="str">
        <f t="shared" si="269"/>
        <v>MIA/POR</v>
      </c>
      <c r="AC536" s="206">
        <f t="shared" si="282"/>
        <v>3</v>
      </c>
      <c r="AD536" s="206">
        <f t="shared" si="283"/>
        <v>1</v>
      </c>
    </row>
    <row r="537" spans="1:30" x14ac:dyDescent="0.45">
      <c r="A537" s="206">
        <v>200106</v>
      </c>
      <c r="B537" s="207">
        <v>0.39583333333333331</v>
      </c>
      <c r="C537" s="206" t="s">
        <v>402</v>
      </c>
      <c r="D537" s="206" t="s">
        <v>420</v>
      </c>
      <c r="E537" s="3">
        <v>20</v>
      </c>
      <c r="F537" s="3">
        <v>28</v>
      </c>
      <c r="G537" s="3">
        <v>31</v>
      </c>
      <c r="H537" s="3">
        <v>24</v>
      </c>
      <c r="J537" s="3">
        <v>24</v>
      </c>
      <c r="K537" s="3">
        <v>42</v>
      </c>
      <c r="L537" s="3">
        <v>28</v>
      </c>
      <c r="M537" s="3">
        <v>24</v>
      </c>
      <c r="N537" s="3" t="s">
        <v>427</v>
      </c>
      <c r="O537" s="206">
        <f t="shared" si="272"/>
        <v>103</v>
      </c>
      <c r="P537" s="206">
        <f t="shared" si="273"/>
        <v>118</v>
      </c>
      <c r="Q537" s="206" t="str">
        <f t="shared" si="274"/>
        <v>HL</v>
      </c>
      <c r="R537" s="206" t="str">
        <f t="shared" si="275"/>
        <v>HL</v>
      </c>
      <c r="S537" s="206" t="str">
        <f t="shared" si="276"/>
        <v>HW</v>
      </c>
      <c r="T537" s="206" t="str">
        <f t="shared" si="277"/>
        <v>TT</v>
      </c>
      <c r="U537" s="206" t="str">
        <f t="shared" si="278"/>
        <v>U</v>
      </c>
      <c r="V537" s="206" t="str">
        <f t="shared" si="279"/>
        <v>O</v>
      </c>
      <c r="W537" s="206" t="str">
        <f t="shared" si="280"/>
        <v>O</v>
      </c>
      <c r="X537" s="206" t="str">
        <f t="shared" si="281"/>
        <v>U</v>
      </c>
      <c r="Y537" s="206"/>
      <c r="Z537" s="206">
        <v>55.5</v>
      </c>
      <c r="AB537" s="206" t="str">
        <f t="shared" si="269"/>
        <v>CLE/MIN</v>
      </c>
      <c r="AC537" s="206">
        <f t="shared" si="282"/>
        <v>2</v>
      </c>
      <c r="AD537" s="206">
        <f t="shared" si="283"/>
        <v>2</v>
      </c>
    </row>
    <row r="538" spans="1:30" x14ac:dyDescent="0.45">
      <c r="A538" s="206">
        <v>200106</v>
      </c>
      <c r="B538" s="207">
        <v>0.41666666666666669</v>
      </c>
      <c r="C538" s="206" t="s">
        <v>435</v>
      </c>
      <c r="D538" s="206" t="s">
        <v>406</v>
      </c>
      <c r="E538" s="3">
        <v>31</v>
      </c>
      <c r="F538" s="3">
        <v>26</v>
      </c>
      <c r="G538" s="3">
        <v>20</v>
      </c>
      <c r="H538" s="3">
        <v>37</v>
      </c>
      <c r="J538" s="3">
        <v>27</v>
      </c>
      <c r="K538" s="3">
        <v>35</v>
      </c>
      <c r="L538" s="3">
        <v>34</v>
      </c>
      <c r="M538" s="3">
        <v>25</v>
      </c>
      <c r="N538" s="3" t="s">
        <v>427</v>
      </c>
      <c r="O538" s="206">
        <f t="shared" si="272"/>
        <v>114</v>
      </c>
      <c r="P538" s="206">
        <f t="shared" si="273"/>
        <v>121</v>
      </c>
      <c r="Q538" s="206" t="str">
        <f t="shared" si="274"/>
        <v>HW</v>
      </c>
      <c r="R538" s="206" t="str">
        <f t="shared" si="275"/>
        <v>HL</v>
      </c>
      <c r="S538" s="206" t="str">
        <f t="shared" si="276"/>
        <v>HL</v>
      </c>
      <c r="T538" s="206" t="str">
        <f t="shared" si="277"/>
        <v>HW</v>
      </c>
      <c r="U538" s="206" t="str">
        <f t="shared" si="278"/>
        <v>O</v>
      </c>
      <c r="V538" s="206" t="str">
        <f t="shared" si="279"/>
        <v>O</v>
      </c>
      <c r="W538" s="206" t="str">
        <f t="shared" si="280"/>
        <v>U</v>
      </c>
      <c r="X538" s="206" t="str">
        <f t="shared" si="281"/>
        <v>O</v>
      </c>
      <c r="Y538" s="206"/>
      <c r="Z538" s="206">
        <v>57.5</v>
      </c>
      <c r="AB538" s="206" t="str">
        <f t="shared" si="269"/>
        <v>PHO/MEM</v>
      </c>
      <c r="AC538" s="206">
        <f t="shared" si="282"/>
        <v>3</v>
      </c>
      <c r="AD538" s="206">
        <f t="shared" si="283"/>
        <v>1</v>
      </c>
    </row>
    <row r="539" spans="1:30" x14ac:dyDescent="0.45">
      <c r="A539" s="206">
        <v>200106</v>
      </c>
      <c r="B539" s="207">
        <v>0.5</v>
      </c>
      <c r="C539" s="206" t="s">
        <v>419</v>
      </c>
      <c r="D539" s="206" t="s">
        <v>422</v>
      </c>
      <c r="E539" s="3">
        <v>23</v>
      </c>
      <c r="F539" s="3">
        <v>33</v>
      </c>
      <c r="G539" s="3">
        <v>19</v>
      </c>
      <c r="H539" s="3">
        <v>31</v>
      </c>
      <c r="J539" s="3">
        <v>22</v>
      </c>
      <c r="K539" s="3">
        <v>25</v>
      </c>
      <c r="L539" s="3">
        <v>32</v>
      </c>
      <c r="M539" s="3">
        <v>20</v>
      </c>
      <c r="N539" s="3" t="s">
        <v>427</v>
      </c>
      <c r="O539" s="206">
        <f t="shared" si="272"/>
        <v>106</v>
      </c>
      <c r="P539" s="206">
        <f t="shared" si="273"/>
        <v>99</v>
      </c>
      <c r="Q539" s="206" t="str">
        <f t="shared" si="274"/>
        <v>HW</v>
      </c>
      <c r="R539" s="206" t="str">
        <f t="shared" si="275"/>
        <v>HW</v>
      </c>
      <c r="S539" s="206" t="str">
        <f t="shared" si="276"/>
        <v>HL</v>
      </c>
      <c r="T539" s="206" t="str">
        <f t="shared" si="277"/>
        <v>HW</v>
      </c>
      <c r="U539" s="206" t="str">
        <f t="shared" si="278"/>
        <v>U</v>
      </c>
      <c r="V539" s="206" t="str">
        <f t="shared" si="279"/>
        <v>O</v>
      </c>
      <c r="W539" s="206" t="str">
        <f t="shared" si="280"/>
        <v>U</v>
      </c>
      <c r="X539" s="206" t="str">
        <f t="shared" si="281"/>
        <v>U</v>
      </c>
      <c r="Y539" s="206"/>
      <c r="Z539" s="206">
        <v>57.5</v>
      </c>
      <c r="AB539" s="206" t="str">
        <f t="shared" si="269"/>
        <v>LAL/DET</v>
      </c>
      <c r="AC539" s="206">
        <f t="shared" si="282"/>
        <v>1</v>
      </c>
      <c r="AD539" s="206">
        <f t="shared" si="283"/>
        <v>3</v>
      </c>
    </row>
    <row r="540" spans="1:30" x14ac:dyDescent="0.45">
      <c r="A540" s="206">
        <v>200107</v>
      </c>
      <c r="B540" s="44">
        <v>0.375</v>
      </c>
      <c r="C540" s="3" t="s">
        <v>424</v>
      </c>
      <c r="D540" s="3" t="s">
        <v>407</v>
      </c>
      <c r="E540" s="3">
        <v>20</v>
      </c>
      <c r="F540" s="3">
        <v>32</v>
      </c>
      <c r="G540" s="3">
        <v>23</v>
      </c>
      <c r="H540" s="3">
        <v>26</v>
      </c>
      <c r="J540" s="3">
        <v>22</v>
      </c>
      <c r="K540" s="3">
        <v>17</v>
      </c>
      <c r="L540" s="3">
        <v>32</v>
      </c>
      <c r="M540" s="3">
        <v>18</v>
      </c>
      <c r="N540" s="3" t="s">
        <v>427</v>
      </c>
      <c r="O540" s="206">
        <f t="shared" si="272"/>
        <v>101</v>
      </c>
      <c r="P540" s="206">
        <f t="shared" si="273"/>
        <v>89</v>
      </c>
      <c r="Q540" s="206" t="str">
        <f t="shared" si="274"/>
        <v>HL</v>
      </c>
      <c r="R540" s="206" t="str">
        <f t="shared" si="275"/>
        <v>HW</v>
      </c>
      <c r="S540" s="206" t="str">
        <f t="shared" si="276"/>
        <v>HL</v>
      </c>
      <c r="T540" s="206" t="str">
        <f t="shared" si="277"/>
        <v>HW</v>
      </c>
      <c r="U540" s="206" t="str">
        <f t="shared" si="278"/>
        <v>U</v>
      </c>
      <c r="V540" s="206" t="str">
        <f t="shared" si="279"/>
        <v>U</v>
      </c>
      <c r="W540" s="206" t="str">
        <f t="shared" si="280"/>
        <v>O</v>
      </c>
      <c r="X540" s="206" t="str">
        <f t="shared" si="281"/>
        <v>U</v>
      </c>
      <c r="Y540" s="206"/>
      <c r="Z540" s="3">
        <v>52</v>
      </c>
      <c r="AB540" s="206" t="str">
        <f t="shared" si="269"/>
        <v>ORL/BKN</v>
      </c>
      <c r="AC540" s="206">
        <f t="shared" si="282"/>
        <v>1</v>
      </c>
      <c r="AD540" s="206">
        <f t="shared" si="283"/>
        <v>3</v>
      </c>
    </row>
    <row r="541" spans="1:30" x14ac:dyDescent="0.45">
      <c r="A541" s="206">
        <v>200107</v>
      </c>
      <c r="B541" s="44">
        <v>0.375</v>
      </c>
      <c r="C541" s="3" t="s">
        <v>401</v>
      </c>
      <c r="D541" s="3" t="s">
        <v>418</v>
      </c>
      <c r="E541" s="3">
        <v>31</v>
      </c>
      <c r="F541" s="3">
        <v>31</v>
      </c>
      <c r="G541" s="3">
        <v>28</v>
      </c>
      <c r="H541" s="3">
        <v>30</v>
      </c>
      <c r="J541" s="3">
        <v>31</v>
      </c>
      <c r="K541" s="3">
        <v>21</v>
      </c>
      <c r="L541" s="3">
        <v>34</v>
      </c>
      <c r="M541" s="3">
        <v>27</v>
      </c>
      <c r="N541" s="3" t="s">
        <v>427</v>
      </c>
      <c r="O541" s="206">
        <f t="shared" si="272"/>
        <v>120</v>
      </c>
      <c r="P541" s="206">
        <f t="shared" si="273"/>
        <v>113</v>
      </c>
      <c r="Q541" s="206" t="str">
        <f t="shared" si="274"/>
        <v>TT</v>
      </c>
      <c r="R541" s="206" t="str">
        <f t="shared" si="275"/>
        <v>HW</v>
      </c>
      <c r="S541" s="206" t="str">
        <f t="shared" si="276"/>
        <v>HL</v>
      </c>
      <c r="T541" s="206" t="str">
        <f t="shared" si="277"/>
        <v>HW</v>
      </c>
      <c r="U541" s="206" t="str">
        <f t="shared" si="278"/>
        <v>O</v>
      </c>
      <c r="V541" s="206" t="str">
        <f t="shared" si="279"/>
        <v>U</v>
      </c>
      <c r="W541" s="206" t="str">
        <f t="shared" si="280"/>
        <v>O</v>
      </c>
      <c r="X541" s="206" t="str">
        <f t="shared" si="281"/>
        <v>O</v>
      </c>
      <c r="Y541" s="206"/>
      <c r="Z541" s="3">
        <v>55</v>
      </c>
      <c r="AB541" s="206" t="str">
        <f t="shared" si="269"/>
        <v>PHI/OKC</v>
      </c>
      <c r="AC541" s="206">
        <f t="shared" si="282"/>
        <v>3</v>
      </c>
      <c r="AD541" s="206">
        <f t="shared" si="283"/>
        <v>1</v>
      </c>
    </row>
    <row r="542" spans="1:30" x14ac:dyDescent="0.45">
      <c r="A542" s="206">
        <v>200107</v>
      </c>
      <c r="B542" s="44">
        <v>0.375</v>
      </c>
      <c r="C542" s="3" t="s">
        <v>414</v>
      </c>
      <c r="D542" s="3" t="s">
        <v>421</v>
      </c>
      <c r="E542" s="3">
        <v>26</v>
      </c>
      <c r="F542" s="3">
        <v>25</v>
      </c>
      <c r="G542" s="3">
        <v>23</v>
      </c>
      <c r="H542" s="3">
        <v>25</v>
      </c>
      <c r="J542" s="3">
        <v>17</v>
      </c>
      <c r="K542" s="3">
        <v>23</v>
      </c>
      <c r="L542" s="3">
        <v>32</v>
      </c>
      <c r="M542" s="3">
        <v>22</v>
      </c>
      <c r="N542" s="3" t="s">
        <v>427</v>
      </c>
      <c r="O542" s="206">
        <f t="shared" si="272"/>
        <v>99</v>
      </c>
      <c r="P542" s="206">
        <f t="shared" si="273"/>
        <v>94</v>
      </c>
      <c r="Q542" s="206" t="str">
        <f t="shared" si="274"/>
        <v>HW</v>
      </c>
      <c r="R542" s="206" t="str">
        <f t="shared" si="275"/>
        <v>HW</v>
      </c>
      <c r="S542" s="206" t="str">
        <f t="shared" si="276"/>
        <v>HL</v>
      </c>
      <c r="T542" s="206" t="str">
        <f t="shared" si="277"/>
        <v>HW</v>
      </c>
      <c r="U542" s="206" t="str">
        <f t="shared" si="278"/>
        <v>U</v>
      </c>
      <c r="V542" s="206" t="str">
        <f t="shared" si="279"/>
        <v>U</v>
      </c>
      <c r="W542" s="206" t="str">
        <f t="shared" si="280"/>
        <v>T</v>
      </c>
      <c r="X542" s="206" t="str">
        <f t="shared" si="281"/>
        <v>U</v>
      </c>
      <c r="Y542" s="206"/>
      <c r="Z542" s="3">
        <v>55</v>
      </c>
      <c r="AB542" s="206" t="str">
        <f t="shared" si="269"/>
        <v>WAS/BOS</v>
      </c>
      <c r="AC542" s="206">
        <f t="shared" si="282"/>
        <v>0</v>
      </c>
      <c r="AD542" s="206">
        <f t="shared" si="283"/>
        <v>3</v>
      </c>
    </row>
    <row r="543" spans="1:30" x14ac:dyDescent="0.45">
      <c r="A543" s="206">
        <v>200107</v>
      </c>
      <c r="B543" s="44">
        <v>0.375</v>
      </c>
      <c r="C543" s="3" t="s">
        <v>409</v>
      </c>
      <c r="D543" s="3" t="s">
        <v>400</v>
      </c>
      <c r="E543" s="3">
        <v>29</v>
      </c>
      <c r="F543" s="3">
        <v>15</v>
      </c>
      <c r="G543" s="3">
        <v>21</v>
      </c>
      <c r="H543" s="3">
        <v>39</v>
      </c>
      <c r="J543" s="3">
        <v>27</v>
      </c>
      <c r="K543" s="3">
        <v>15</v>
      </c>
      <c r="L543" s="3">
        <v>37</v>
      </c>
      <c r="M543" s="3">
        <v>36</v>
      </c>
      <c r="N543" s="3" t="s">
        <v>427</v>
      </c>
      <c r="O543" s="206">
        <f t="shared" si="272"/>
        <v>104</v>
      </c>
      <c r="P543" s="206">
        <f t="shared" si="273"/>
        <v>115</v>
      </c>
      <c r="Q543" s="206" t="str">
        <f t="shared" si="274"/>
        <v>HW</v>
      </c>
      <c r="R543" s="206" t="str">
        <f t="shared" si="275"/>
        <v>TT</v>
      </c>
      <c r="S543" s="206" t="str">
        <f t="shared" si="276"/>
        <v>HL</v>
      </c>
      <c r="T543" s="206" t="str">
        <f t="shared" si="277"/>
        <v>HW</v>
      </c>
      <c r="U543" s="206" t="str">
        <f t="shared" si="278"/>
        <v>O</v>
      </c>
      <c r="V543" s="206" t="str">
        <f t="shared" si="279"/>
        <v>U</v>
      </c>
      <c r="W543" s="206" t="str">
        <f t="shared" si="280"/>
        <v>O</v>
      </c>
      <c r="X543" s="206" t="str">
        <f t="shared" si="281"/>
        <v>O</v>
      </c>
      <c r="Y543" s="206"/>
      <c r="Z543" s="3">
        <v>54</v>
      </c>
      <c r="AB543" s="206" t="str">
        <f t="shared" si="269"/>
        <v>CHA/IND</v>
      </c>
      <c r="AC543" s="206">
        <f t="shared" si="282"/>
        <v>3</v>
      </c>
      <c r="AD543" s="206">
        <f t="shared" si="283"/>
        <v>1</v>
      </c>
    </row>
    <row r="544" spans="1:30" x14ac:dyDescent="0.45">
      <c r="A544" s="206">
        <v>200107</v>
      </c>
      <c r="B544" s="44">
        <v>0.39583333333333331</v>
      </c>
      <c r="C544" s="3" t="s">
        <v>410</v>
      </c>
      <c r="D544" s="3" t="s">
        <v>408</v>
      </c>
      <c r="E544" s="3">
        <v>31</v>
      </c>
      <c r="F544" s="3">
        <v>25</v>
      </c>
      <c r="G544" s="3">
        <v>30</v>
      </c>
      <c r="H544" s="3">
        <v>29</v>
      </c>
      <c r="J544" s="3">
        <v>29</v>
      </c>
      <c r="K544" s="3">
        <v>35</v>
      </c>
      <c r="L544" s="3">
        <v>27</v>
      </c>
      <c r="M544" s="3">
        <v>32</v>
      </c>
      <c r="N544" s="3" t="s">
        <v>427</v>
      </c>
      <c r="O544" s="206">
        <f t="shared" si="272"/>
        <v>115</v>
      </c>
      <c r="P544" s="206">
        <f t="shared" si="273"/>
        <v>123</v>
      </c>
      <c r="Q544" s="206" t="str">
        <f t="shared" si="274"/>
        <v>HW</v>
      </c>
      <c r="R544" s="206" t="str">
        <f t="shared" si="275"/>
        <v>HL</v>
      </c>
      <c r="S544" s="206" t="str">
        <f t="shared" si="276"/>
        <v>HW</v>
      </c>
      <c r="T544" s="206" t="str">
        <f t="shared" si="277"/>
        <v>HL</v>
      </c>
      <c r="U544" s="206" t="str">
        <f t="shared" si="278"/>
        <v>O</v>
      </c>
      <c r="V544" s="206" t="str">
        <f t="shared" si="279"/>
        <v>O</v>
      </c>
      <c r="W544" s="206" t="str">
        <f t="shared" si="280"/>
        <v>U</v>
      </c>
      <c r="X544" s="206" t="str">
        <f t="shared" si="281"/>
        <v>O</v>
      </c>
      <c r="Y544" s="206"/>
      <c r="Z544" s="3">
        <v>58</v>
      </c>
      <c r="AB544" s="206" t="str">
        <f t="shared" si="269"/>
        <v>ATL/DEN</v>
      </c>
      <c r="AC544" s="206">
        <f t="shared" si="282"/>
        <v>3</v>
      </c>
      <c r="AD544" s="206">
        <f t="shared" si="283"/>
        <v>1</v>
      </c>
    </row>
    <row r="545" spans="1:30" x14ac:dyDescent="0.45">
      <c r="A545" s="206">
        <v>200107</v>
      </c>
      <c r="B545" s="44">
        <v>0.41666666666666669</v>
      </c>
      <c r="C545" s="3" t="s">
        <v>398</v>
      </c>
      <c r="D545" s="3" t="s">
        <v>405</v>
      </c>
      <c r="E545" s="3">
        <v>36</v>
      </c>
      <c r="F545" s="3">
        <v>28</v>
      </c>
      <c r="G545" s="3">
        <v>33</v>
      </c>
      <c r="H545" s="3">
        <v>29</v>
      </c>
      <c r="J545" s="3">
        <v>35</v>
      </c>
      <c r="K545" s="3">
        <v>33</v>
      </c>
      <c r="L545" s="3">
        <v>27</v>
      </c>
      <c r="M545" s="3">
        <v>33</v>
      </c>
      <c r="N545" s="3" t="s">
        <v>427</v>
      </c>
      <c r="O545" s="206">
        <f t="shared" si="272"/>
        <v>126</v>
      </c>
      <c r="P545" s="206">
        <f t="shared" si="273"/>
        <v>128</v>
      </c>
      <c r="Q545" s="206" t="str">
        <f t="shared" si="274"/>
        <v>HW</v>
      </c>
      <c r="R545" s="206" t="str">
        <f t="shared" si="275"/>
        <v>HL</v>
      </c>
      <c r="S545" s="206" t="str">
        <f t="shared" si="276"/>
        <v>HW</v>
      </c>
      <c r="T545" s="206" t="str">
        <f t="shared" si="277"/>
        <v>HL</v>
      </c>
      <c r="U545" s="206" t="str">
        <f t="shared" si="278"/>
        <v>O</v>
      </c>
      <c r="V545" s="206" t="str">
        <f t="shared" si="279"/>
        <v>O</v>
      </c>
      <c r="W545" s="206" t="str">
        <f t="shared" si="280"/>
        <v>O</v>
      </c>
      <c r="X545" s="206" t="str">
        <f t="shared" si="281"/>
        <v>O</v>
      </c>
      <c r="Y545" s="206"/>
      <c r="Z545" s="3">
        <v>54</v>
      </c>
      <c r="AB545" s="206" t="str">
        <f t="shared" si="269"/>
        <v>NO/UTA</v>
      </c>
      <c r="AC545" s="206">
        <f t="shared" si="282"/>
        <v>4</v>
      </c>
      <c r="AD545" s="206">
        <f t="shared" si="283"/>
        <v>0</v>
      </c>
    </row>
    <row r="546" spans="1:30" x14ac:dyDescent="0.45">
      <c r="A546" s="206">
        <v>200107</v>
      </c>
      <c r="B546" s="44">
        <v>0.4375</v>
      </c>
      <c r="C546" s="3" t="s">
        <v>397</v>
      </c>
      <c r="D546" s="3" t="s">
        <v>412</v>
      </c>
      <c r="E546" s="3">
        <v>33</v>
      </c>
      <c r="F546" s="3">
        <v>28</v>
      </c>
      <c r="G546" s="3">
        <v>27</v>
      </c>
      <c r="H546" s="3">
        <v>30</v>
      </c>
      <c r="J546" s="3">
        <v>27</v>
      </c>
      <c r="K546" s="3">
        <v>28</v>
      </c>
      <c r="L546" s="3">
        <v>27</v>
      </c>
      <c r="M546" s="3">
        <v>28</v>
      </c>
      <c r="N546" s="3" t="s">
        <v>427</v>
      </c>
      <c r="O546" s="206">
        <f t="shared" si="272"/>
        <v>118</v>
      </c>
      <c r="P546" s="206">
        <f t="shared" si="273"/>
        <v>110</v>
      </c>
      <c r="Q546" s="206" t="str">
        <f t="shared" si="274"/>
        <v>HW</v>
      </c>
      <c r="R546" s="206" t="str">
        <f t="shared" si="275"/>
        <v>TT</v>
      </c>
      <c r="S546" s="206" t="str">
        <f t="shared" si="276"/>
        <v>TT</v>
      </c>
      <c r="T546" s="206" t="str">
        <f t="shared" si="277"/>
        <v>HW</v>
      </c>
      <c r="U546" s="206" t="str">
        <f t="shared" si="278"/>
        <v>O</v>
      </c>
      <c r="V546" s="206" t="str">
        <f t="shared" si="279"/>
        <v>T</v>
      </c>
      <c r="W546" s="206" t="str">
        <f t="shared" si="280"/>
        <v>U</v>
      </c>
      <c r="X546" s="206" t="str">
        <f t="shared" si="281"/>
        <v>O</v>
      </c>
      <c r="Y546" s="206"/>
      <c r="Z546" s="3">
        <v>56</v>
      </c>
      <c r="AB546" s="206" t="str">
        <f t="shared" si="269"/>
        <v>DAL/CHI</v>
      </c>
      <c r="AC546" s="206">
        <f t="shared" si="282"/>
        <v>2</v>
      </c>
      <c r="AD546" s="206">
        <f t="shared" si="283"/>
        <v>1</v>
      </c>
    </row>
    <row r="547" spans="1:30" x14ac:dyDescent="0.45">
      <c r="A547" s="206">
        <v>200107</v>
      </c>
      <c r="B547" s="44">
        <v>0.4375</v>
      </c>
      <c r="C547" s="3" t="s">
        <v>426</v>
      </c>
      <c r="D547" s="3" t="s">
        <v>423</v>
      </c>
      <c r="E547" s="3">
        <v>27</v>
      </c>
      <c r="F547" s="3">
        <v>38</v>
      </c>
      <c r="G547" s="3">
        <v>26</v>
      </c>
      <c r="H547" s="3">
        <v>35</v>
      </c>
      <c r="J547" s="3">
        <v>22</v>
      </c>
      <c r="K547" s="3">
        <v>30</v>
      </c>
      <c r="L547" s="3">
        <v>29</v>
      </c>
      <c r="M547" s="3">
        <v>23</v>
      </c>
      <c r="N547" s="3" t="s">
        <v>427</v>
      </c>
      <c r="O547" s="206">
        <f t="shared" si="272"/>
        <v>126</v>
      </c>
      <c r="P547" s="206">
        <f t="shared" si="273"/>
        <v>104</v>
      </c>
      <c r="Q547" s="206" t="str">
        <f t="shared" si="274"/>
        <v>HW</v>
      </c>
      <c r="R547" s="206" t="str">
        <f t="shared" si="275"/>
        <v>HW</v>
      </c>
      <c r="S547" s="206" t="str">
        <f t="shared" si="276"/>
        <v>HL</v>
      </c>
      <c r="T547" s="206" t="str">
        <f t="shared" si="277"/>
        <v>HW</v>
      </c>
      <c r="U547" s="206" t="str">
        <f t="shared" si="278"/>
        <v>U</v>
      </c>
      <c r="V547" s="206" t="str">
        <f t="shared" si="279"/>
        <v>O</v>
      </c>
      <c r="W547" s="206" t="str">
        <f t="shared" si="280"/>
        <v>U</v>
      </c>
      <c r="X547" s="206" t="str">
        <f t="shared" si="281"/>
        <v>O</v>
      </c>
      <c r="Y547" s="206"/>
      <c r="Z547" s="3">
        <v>56.5</v>
      </c>
      <c r="AB547" s="206" t="str">
        <f t="shared" si="269"/>
        <v>SAS/MIL</v>
      </c>
      <c r="AC547" s="206">
        <f t="shared" si="282"/>
        <v>2</v>
      </c>
      <c r="AD547" s="206">
        <f t="shared" si="283"/>
        <v>2</v>
      </c>
    </row>
    <row r="548" spans="1:30" x14ac:dyDescent="0.45">
      <c r="A548" s="206">
        <v>200107</v>
      </c>
      <c r="B548" s="44">
        <v>0.5</v>
      </c>
      <c r="C548" s="3" t="s">
        <v>416</v>
      </c>
      <c r="D548" s="3" t="s">
        <v>425</v>
      </c>
      <c r="E548" s="3">
        <v>26</v>
      </c>
      <c r="F548" s="3">
        <v>26</v>
      </c>
      <c r="G548" s="3">
        <v>38</v>
      </c>
      <c r="H548" s="3">
        <v>21</v>
      </c>
      <c r="J548" s="3">
        <v>19</v>
      </c>
      <c r="K548" s="3">
        <v>21</v>
      </c>
      <c r="L548" s="3">
        <v>24</v>
      </c>
      <c r="M548" s="3">
        <v>34</v>
      </c>
      <c r="N548" s="3" t="s">
        <v>427</v>
      </c>
      <c r="O548" s="206">
        <f t="shared" si="272"/>
        <v>111</v>
      </c>
      <c r="P548" s="206">
        <f t="shared" si="273"/>
        <v>98</v>
      </c>
      <c r="Q548" s="206" t="str">
        <f t="shared" si="274"/>
        <v>HW</v>
      </c>
      <c r="R548" s="206" t="str">
        <f t="shared" si="275"/>
        <v>HW</v>
      </c>
      <c r="S548" s="206" t="str">
        <f t="shared" si="276"/>
        <v>HW</v>
      </c>
      <c r="T548" s="206" t="str">
        <f t="shared" si="277"/>
        <v>HL</v>
      </c>
      <c r="U548" s="206" t="str">
        <f t="shared" si="278"/>
        <v>U</v>
      </c>
      <c r="V548" s="206" t="str">
        <f t="shared" si="279"/>
        <v>U</v>
      </c>
      <c r="W548" s="206" t="str">
        <f t="shared" si="280"/>
        <v>O</v>
      </c>
      <c r="X548" s="206" t="str">
        <f t="shared" si="281"/>
        <v>T</v>
      </c>
      <c r="Y548" s="206"/>
      <c r="Z548" s="3">
        <v>55</v>
      </c>
      <c r="AB548" s="206" t="str">
        <f t="shared" si="269"/>
        <v>SAC/GS</v>
      </c>
      <c r="AC548" s="206">
        <f t="shared" si="282"/>
        <v>1</v>
      </c>
      <c r="AD548" s="206">
        <f t="shared" si="283"/>
        <v>2</v>
      </c>
    </row>
    <row r="549" spans="1:30" x14ac:dyDescent="0.45">
      <c r="A549" s="206">
        <v>200108</v>
      </c>
      <c r="B549" s="44">
        <v>0.375</v>
      </c>
      <c r="C549" s="3" t="s">
        <v>402</v>
      </c>
      <c r="D549" s="3" t="s">
        <v>422</v>
      </c>
      <c r="E549" s="3">
        <v>29</v>
      </c>
      <c r="F549" s="3">
        <v>38</v>
      </c>
      <c r="G549" s="3">
        <v>28</v>
      </c>
      <c r="H549" s="3">
        <v>18</v>
      </c>
      <c r="J549" s="3">
        <v>27</v>
      </c>
      <c r="K549" s="3">
        <v>27</v>
      </c>
      <c r="L549" s="3">
        <v>30</v>
      </c>
      <c r="M549" s="3">
        <v>31</v>
      </c>
      <c r="N549" s="3" t="s">
        <v>427</v>
      </c>
      <c r="O549" s="206">
        <f t="shared" si="272"/>
        <v>113</v>
      </c>
      <c r="P549" s="206">
        <f t="shared" si="273"/>
        <v>115</v>
      </c>
      <c r="Q549" s="206" t="str">
        <f t="shared" si="274"/>
        <v>HW</v>
      </c>
      <c r="R549" s="206" t="str">
        <f t="shared" si="275"/>
        <v>HW</v>
      </c>
      <c r="S549" s="206" t="str">
        <f t="shared" si="276"/>
        <v>HL</v>
      </c>
      <c r="T549" s="206" t="str">
        <f t="shared" si="277"/>
        <v>HL</v>
      </c>
      <c r="U549" s="206" t="str">
        <f t="shared" si="278"/>
        <v>U</v>
      </c>
      <c r="V549" s="206" t="str">
        <f t="shared" si="279"/>
        <v>O</v>
      </c>
      <c r="W549" s="206" t="str">
        <f t="shared" si="280"/>
        <v>O</v>
      </c>
      <c r="X549" s="206" t="str">
        <f t="shared" si="281"/>
        <v>U</v>
      </c>
      <c r="Y549" s="206"/>
      <c r="Z549" s="3">
        <v>56.5</v>
      </c>
      <c r="AB549" s="206" t="str">
        <f t="shared" si="269"/>
        <v>CLE/DET</v>
      </c>
      <c r="AC549" s="206">
        <f t="shared" si="282"/>
        <v>2</v>
      </c>
      <c r="AD549" s="206">
        <f t="shared" si="283"/>
        <v>2</v>
      </c>
    </row>
    <row r="550" spans="1:30" x14ac:dyDescent="0.45">
      <c r="A550" s="206">
        <v>200108</v>
      </c>
      <c r="B550" s="44">
        <v>0.375</v>
      </c>
      <c r="C550" s="3" t="s">
        <v>413</v>
      </c>
      <c r="D550" s="3" t="s">
        <v>417</v>
      </c>
      <c r="E550" s="3">
        <v>24</v>
      </c>
      <c r="F550" s="3">
        <v>32</v>
      </c>
      <c r="G550" s="3">
        <v>22</v>
      </c>
      <c r="H550" s="3">
        <v>21</v>
      </c>
      <c r="J550" s="3">
        <v>15</v>
      </c>
      <c r="K550" s="3">
        <v>31</v>
      </c>
      <c r="L550" s="3">
        <v>23</v>
      </c>
      <c r="M550" s="3">
        <v>32</v>
      </c>
      <c r="N550" s="3" t="s">
        <v>427</v>
      </c>
      <c r="O550" s="206">
        <f t="shared" si="272"/>
        <v>99</v>
      </c>
      <c r="P550" s="206">
        <f t="shared" si="273"/>
        <v>101</v>
      </c>
      <c r="Q550" s="206" t="str">
        <f t="shared" si="274"/>
        <v>HW</v>
      </c>
      <c r="R550" s="206" t="str">
        <f t="shared" si="275"/>
        <v>HW</v>
      </c>
      <c r="S550" s="206" t="str">
        <f t="shared" si="276"/>
        <v>HL</v>
      </c>
      <c r="T550" s="206" t="str">
        <f t="shared" si="277"/>
        <v>HL</v>
      </c>
      <c r="U550" s="206" t="str">
        <f t="shared" si="278"/>
        <v>U</v>
      </c>
      <c r="V550" s="206" t="str">
        <f t="shared" si="279"/>
        <v>O</v>
      </c>
      <c r="W550" s="206" t="str">
        <f t="shared" si="280"/>
        <v>U</v>
      </c>
      <c r="X550" s="206" t="str">
        <f t="shared" si="281"/>
        <v>U</v>
      </c>
      <c r="Y550" s="206"/>
      <c r="Z550" s="3">
        <v>57.5</v>
      </c>
      <c r="AB550" s="206" t="str">
        <f t="shared" si="269"/>
        <v>TOR/POR</v>
      </c>
      <c r="AC550" s="206">
        <f t="shared" si="282"/>
        <v>1</v>
      </c>
      <c r="AD550" s="206">
        <f t="shared" si="283"/>
        <v>3</v>
      </c>
    </row>
    <row r="551" spans="1:30" x14ac:dyDescent="0.45">
      <c r="A551" s="206">
        <v>200108</v>
      </c>
      <c r="B551" s="44">
        <v>0.39583333333333331</v>
      </c>
      <c r="C551" s="3" t="s">
        <v>407</v>
      </c>
      <c r="D551" s="3" t="s">
        <v>418</v>
      </c>
      <c r="E551" s="3">
        <v>23</v>
      </c>
      <c r="F551" s="3">
        <v>25</v>
      </c>
      <c r="G551" s="3">
        <v>29</v>
      </c>
      <c r="H551" s="3">
        <v>24</v>
      </c>
      <c r="I551" s="3">
        <v>2</v>
      </c>
      <c r="J551" s="3">
        <v>27</v>
      </c>
      <c r="K551" s="3">
        <v>22</v>
      </c>
      <c r="L551" s="3">
        <v>25</v>
      </c>
      <c r="M551" s="3">
        <v>27</v>
      </c>
      <c r="N551" s="3">
        <v>10</v>
      </c>
      <c r="O551" s="206">
        <f t="shared" si="272"/>
        <v>103</v>
      </c>
      <c r="P551" s="206">
        <f t="shared" si="273"/>
        <v>111</v>
      </c>
      <c r="Q551" s="206" t="str">
        <f t="shared" si="274"/>
        <v>HL</v>
      </c>
      <c r="R551" s="206" t="str">
        <f t="shared" si="275"/>
        <v>HW</v>
      </c>
      <c r="S551" s="206" t="str">
        <f t="shared" si="276"/>
        <v>HW</v>
      </c>
      <c r="T551" s="206" t="str">
        <f t="shared" si="277"/>
        <v>HL</v>
      </c>
      <c r="U551" s="206" t="str">
        <f t="shared" si="278"/>
        <v>U</v>
      </c>
      <c r="V551" s="206" t="str">
        <f t="shared" si="279"/>
        <v>U</v>
      </c>
      <c r="W551" s="206" t="str">
        <f t="shared" si="280"/>
        <v>U</v>
      </c>
      <c r="X551" s="206" t="str">
        <f t="shared" si="281"/>
        <v>U</v>
      </c>
      <c r="Y551" s="206"/>
      <c r="Z551" s="3">
        <v>55.5</v>
      </c>
      <c r="AB551" s="206" t="str">
        <f t="shared" si="269"/>
        <v>BKN/OKC</v>
      </c>
      <c r="AC551" s="206">
        <f t="shared" si="282"/>
        <v>0</v>
      </c>
      <c r="AD551" s="206">
        <f t="shared" si="283"/>
        <v>4</v>
      </c>
    </row>
    <row r="552" spans="1:30" x14ac:dyDescent="0.45">
      <c r="A552" s="206">
        <v>200108</v>
      </c>
      <c r="B552" s="44">
        <v>0.41666666666666669</v>
      </c>
      <c r="C552" s="3" t="s">
        <v>406</v>
      </c>
      <c r="D552" s="3" t="s">
        <v>420</v>
      </c>
      <c r="E552" s="3">
        <v>27</v>
      </c>
      <c r="F552" s="3">
        <v>24</v>
      </c>
      <c r="G552" s="3">
        <v>31</v>
      </c>
      <c r="H552" s="3">
        <v>37</v>
      </c>
      <c r="J552" s="3">
        <v>32</v>
      </c>
      <c r="K552" s="3">
        <v>24</v>
      </c>
      <c r="L552" s="3">
        <v>28</v>
      </c>
      <c r="M552" s="3">
        <v>28</v>
      </c>
      <c r="N552" s="3" t="s">
        <v>427</v>
      </c>
      <c r="O552" s="206">
        <f t="shared" si="272"/>
        <v>119</v>
      </c>
      <c r="P552" s="206">
        <f t="shared" si="273"/>
        <v>112</v>
      </c>
      <c r="Q552" s="206" t="str">
        <f t="shared" si="274"/>
        <v>HL</v>
      </c>
      <c r="R552" s="206" t="str">
        <f t="shared" si="275"/>
        <v>TT</v>
      </c>
      <c r="S552" s="206" t="str">
        <f t="shared" si="276"/>
        <v>HW</v>
      </c>
      <c r="T552" s="206" t="str">
        <f t="shared" si="277"/>
        <v>HW</v>
      </c>
      <c r="U552" s="206" t="str">
        <f t="shared" si="278"/>
        <v>O</v>
      </c>
      <c r="V552" s="206" t="str">
        <f t="shared" si="279"/>
        <v>U</v>
      </c>
      <c r="W552" s="206" t="str">
        <f t="shared" si="280"/>
        <v>O</v>
      </c>
      <c r="X552" s="206" t="str">
        <f t="shared" si="281"/>
        <v>O</v>
      </c>
      <c r="Y552" s="206"/>
      <c r="Z552" s="3">
        <v>58.5</v>
      </c>
      <c r="AB552" s="206" t="str">
        <f t="shared" si="269"/>
        <v>MEM/MIN</v>
      </c>
      <c r="AC552" s="206">
        <f t="shared" si="282"/>
        <v>3</v>
      </c>
      <c r="AD552" s="206">
        <f t="shared" si="283"/>
        <v>1</v>
      </c>
    </row>
    <row r="553" spans="1:30" x14ac:dyDescent="0.45">
      <c r="A553" s="206">
        <v>200108</v>
      </c>
      <c r="B553" s="44">
        <v>0.45833333333333331</v>
      </c>
      <c r="C553" s="3" t="s">
        <v>404</v>
      </c>
      <c r="D553" s="3" t="s">
        <v>416</v>
      </c>
      <c r="E553" s="3">
        <v>29</v>
      </c>
      <c r="F553" s="3">
        <v>24</v>
      </c>
      <c r="G553" s="3">
        <v>34</v>
      </c>
      <c r="H553" s="3">
        <v>16</v>
      </c>
      <c r="J553" s="3">
        <v>26</v>
      </c>
      <c r="K553" s="3">
        <v>27</v>
      </c>
      <c r="L553" s="3">
        <v>25</v>
      </c>
      <c r="M553" s="3">
        <v>36</v>
      </c>
      <c r="N553" s="3" t="s">
        <v>427</v>
      </c>
      <c r="O553" s="206">
        <f t="shared" si="272"/>
        <v>103</v>
      </c>
      <c r="P553" s="206">
        <f t="shared" si="273"/>
        <v>114</v>
      </c>
      <c r="Q553" s="206" t="str">
        <f t="shared" si="274"/>
        <v>HW</v>
      </c>
      <c r="R553" s="206" t="str">
        <f t="shared" si="275"/>
        <v>HL</v>
      </c>
      <c r="S553" s="206" t="str">
        <f t="shared" si="276"/>
        <v>HW</v>
      </c>
      <c r="T553" s="206" t="str">
        <f t="shared" si="277"/>
        <v>HL</v>
      </c>
      <c r="U553" s="206" t="str">
        <f t="shared" si="278"/>
        <v>U</v>
      </c>
      <c r="V553" s="206" t="str">
        <f t="shared" si="279"/>
        <v>U</v>
      </c>
      <c r="W553" s="206" t="str">
        <f t="shared" si="280"/>
        <v>O</v>
      </c>
      <c r="X553" s="206" t="str">
        <f t="shared" si="281"/>
        <v>U</v>
      </c>
      <c r="Y553" s="206"/>
      <c r="Z553" s="3">
        <v>58</v>
      </c>
      <c r="AB553" s="206" t="str">
        <f t="shared" si="269"/>
        <v>PHO/SAC</v>
      </c>
      <c r="AC553" s="206">
        <f t="shared" si="282"/>
        <v>1</v>
      </c>
      <c r="AD553" s="206">
        <f t="shared" si="283"/>
        <v>3</v>
      </c>
    </row>
    <row r="554" spans="1:30" x14ac:dyDescent="0.45">
      <c r="A554" s="206">
        <v>200108</v>
      </c>
      <c r="B554" s="44">
        <v>0.52083333333333337</v>
      </c>
      <c r="C554" s="3" t="s">
        <v>419</v>
      </c>
      <c r="D554" s="3" t="s">
        <v>399</v>
      </c>
      <c r="E554" s="3">
        <v>26</v>
      </c>
      <c r="F554" s="3">
        <v>36</v>
      </c>
      <c r="G554" s="3">
        <v>23</v>
      </c>
      <c r="H554" s="3">
        <v>32</v>
      </c>
      <c r="J554" s="3">
        <v>21</v>
      </c>
      <c r="K554" s="3">
        <v>24</v>
      </c>
      <c r="L554" s="3">
        <v>25</v>
      </c>
      <c r="M554" s="3">
        <v>17</v>
      </c>
      <c r="N554" s="3" t="s">
        <v>427</v>
      </c>
      <c r="O554" s="206">
        <f t="shared" si="272"/>
        <v>117</v>
      </c>
      <c r="P554" s="206">
        <f t="shared" si="273"/>
        <v>87</v>
      </c>
      <c r="Q554" s="206" t="str">
        <f t="shared" si="274"/>
        <v>HW</v>
      </c>
      <c r="R554" s="206" t="str">
        <f t="shared" si="275"/>
        <v>HW</v>
      </c>
      <c r="S554" s="206" t="str">
        <f t="shared" si="276"/>
        <v>HL</v>
      </c>
      <c r="T554" s="206" t="str">
        <f t="shared" si="277"/>
        <v>HW</v>
      </c>
      <c r="U554" s="206" t="str">
        <f t="shared" si="278"/>
        <v>U</v>
      </c>
      <c r="V554" s="206" t="str">
        <f t="shared" si="279"/>
        <v>O</v>
      </c>
      <c r="W554" s="206" t="str">
        <f t="shared" si="280"/>
        <v>U</v>
      </c>
      <c r="X554" s="206" t="str">
        <f t="shared" si="281"/>
        <v>U</v>
      </c>
      <c r="Y554" s="206"/>
      <c r="Z554" s="3">
        <v>57.5</v>
      </c>
      <c r="AB554" s="206" t="str">
        <f t="shared" si="269"/>
        <v>LAL/NYK</v>
      </c>
      <c r="AC554" s="206">
        <f t="shared" si="282"/>
        <v>1</v>
      </c>
      <c r="AD554" s="206">
        <f t="shared" si="283"/>
        <v>3</v>
      </c>
    </row>
    <row r="555" spans="1:30" x14ac:dyDescent="0.45">
      <c r="A555" s="206">
        <v>200109</v>
      </c>
      <c r="B555" s="44">
        <v>0.375</v>
      </c>
      <c r="C555" s="3" t="s">
        <v>421</v>
      </c>
      <c r="D555" s="3" t="s">
        <v>426</v>
      </c>
      <c r="E555" s="3">
        <v>22</v>
      </c>
      <c r="F555" s="3">
        <v>25</v>
      </c>
      <c r="G555" s="3">
        <v>36</v>
      </c>
      <c r="H555" s="3">
        <v>31</v>
      </c>
      <c r="J555" s="3">
        <v>34</v>
      </c>
      <c r="K555" s="3">
        <v>31</v>
      </c>
      <c r="L555" s="3">
        <v>34</v>
      </c>
      <c r="M555" s="3">
        <v>30</v>
      </c>
      <c r="N555" s="3" t="s">
        <v>427</v>
      </c>
      <c r="O555" s="206">
        <f t="shared" si="272"/>
        <v>114</v>
      </c>
      <c r="P555" s="206">
        <f t="shared" si="273"/>
        <v>129</v>
      </c>
      <c r="Q555" s="206" t="str">
        <f t="shared" si="274"/>
        <v>HL</v>
      </c>
      <c r="R555" s="206" t="str">
        <f t="shared" si="275"/>
        <v>HL</v>
      </c>
      <c r="S555" s="206" t="str">
        <f t="shared" si="276"/>
        <v>HW</v>
      </c>
      <c r="T555" s="206" t="str">
        <f t="shared" si="277"/>
        <v>HW</v>
      </c>
      <c r="U555" s="206" t="str">
        <f t="shared" si="278"/>
        <v>O</v>
      </c>
      <c r="V555" s="206" t="str">
        <f t="shared" si="279"/>
        <v>O</v>
      </c>
      <c r="W555" s="206" t="str">
        <f t="shared" si="280"/>
        <v>O</v>
      </c>
      <c r="X555" s="206" t="str">
        <f t="shared" si="281"/>
        <v>O</v>
      </c>
      <c r="Y555" s="206"/>
      <c r="Z555" s="3">
        <v>54</v>
      </c>
      <c r="AB555" s="206" t="str">
        <f t="shared" si="269"/>
        <v>BOS/SAS</v>
      </c>
      <c r="AC555" s="206">
        <f t="shared" si="282"/>
        <v>4</v>
      </c>
      <c r="AD555" s="206">
        <f t="shared" si="283"/>
        <v>0</v>
      </c>
    </row>
    <row r="556" spans="1:30" x14ac:dyDescent="0.45">
      <c r="A556" s="206">
        <v>200109</v>
      </c>
      <c r="B556" s="44">
        <v>0.375</v>
      </c>
      <c r="C556" s="3" t="s">
        <v>400</v>
      </c>
      <c r="D556" s="3" t="s">
        <v>411</v>
      </c>
      <c r="E556" s="3">
        <v>23</v>
      </c>
      <c r="F556" s="3">
        <v>26</v>
      </c>
      <c r="G556" s="3">
        <v>23</v>
      </c>
      <c r="H556" s="3">
        <v>36</v>
      </c>
      <c r="J556" s="3">
        <v>31</v>
      </c>
      <c r="K556" s="3">
        <v>31</v>
      </c>
      <c r="L556" s="3">
        <v>38</v>
      </c>
      <c r="M556" s="3">
        <v>22</v>
      </c>
      <c r="N556" s="3" t="s">
        <v>427</v>
      </c>
      <c r="O556" s="206">
        <f t="shared" si="272"/>
        <v>108</v>
      </c>
      <c r="P556" s="206">
        <f t="shared" si="273"/>
        <v>122</v>
      </c>
      <c r="Q556" s="206" t="str">
        <f t="shared" si="274"/>
        <v>HL</v>
      </c>
      <c r="R556" s="206" t="str">
        <f t="shared" si="275"/>
        <v>HL</v>
      </c>
      <c r="S556" s="206" t="str">
        <f t="shared" si="276"/>
        <v>HL</v>
      </c>
      <c r="T556" s="206" t="str">
        <f t="shared" si="277"/>
        <v>HW</v>
      </c>
      <c r="U556" s="206" t="str">
        <f t="shared" si="278"/>
        <v>U</v>
      </c>
      <c r="V556" s="206" t="str">
        <f t="shared" si="279"/>
        <v>O</v>
      </c>
      <c r="W556" s="206" t="str">
        <f t="shared" si="280"/>
        <v>O</v>
      </c>
      <c r="X556" s="206" t="str">
        <f t="shared" si="281"/>
        <v>O</v>
      </c>
      <c r="Y556" s="206"/>
      <c r="Z556" s="3">
        <v>54.5</v>
      </c>
      <c r="AB556" s="206" t="str">
        <f t="shared" si="269"/>
        <v>IND/MIA</v>
      </c>
      <c r="AC556" s="206">
        <f t="shared" si="282"/>
        <v>3</v>
      </c>
      <c r="AD556" s="206">
        <f t="shared" si="283"/>
        <v>1</v>
      </c>
    </row>
    <row r="557" spans="1:30" x14ac:dyDescent="0.45">
      <c r="A557" s="206">
        <v>200109</v>
      </c>
      <c r="B557" s="44">
        <v>0.375</v>
      </c>
      <c r="C557" s="3" t="s">
        <v>424</v>
      </c>
      <c r="D557" s="3" t="s">
        <v>414</v>
      </c>
      <c r="E557" s="3">
        <v>32</v>
      </c>
      <c r="F557" s="3">
        <v>37</v>
      </c>
      <c r="G557" s="3">
        <v>28</v>
      </c>
      <c r="H557" s="3">
        <v>26</v>
      </c>
      <c r="J557" s="3">
        <v>23</v>
      </c>
      <c r="K557" s="3">
        <v>29</v>
      </c>
      <c r="L557" s="3">
        <v>20</v>
      </c>
      <c r="M557" s="3">
        <v>17</v>
      </c>
      <c r="N557" s="3" t="s">
        <v>427</v>
      </c>
      <c r="O557" s="206">
        <f t="shared" si="272"/>
        <v>123</v>
      </c>
      <c r="P557" s="206">
        <f t="shared" si="273"/>
        <v>89</v>
      </c>
      <c r="Q557" s="206" t="str">
        <f t="shared" si="274"/>
        <v>HW</v>
      </c>
      <c r="R557" s="206" t="str">
        <f t="shared" si="275"/>
        <v>HW</v>
      </c>
      <c r="S557" s="206" t="str">
        <f t="shared" si="276"/>
        <v>HW</v>
      </c>
      <c r="T557" s="206" t="str">
        <f t="shared" si="277"/>
        <v>HW</v>
      </c>
      <c r="U557" s="206" t="str">
        <f t="shared" si="278"/>
        <v>U</v>
      </c>
      <c r="V557" s="206" t="str">
        <f t="shared" si="279"/>
        <v>O</v>
      </c>
      <c r="W557" s="206" t="str">
        <f t="shared" si="280"/>
        <v>U</v>
      </c>
      <c r="X557" s="206" t="str">
        <f t="shared" si="281"/>
        <v>U</v>
      </c>
      <c r="Y557" s="206"/>
      <c r="Z557" s="3">
        <v>56.5</v>
      </c>
      <c r="AB557" s="206" t="str">
        <f t="shared" si="269"/>
        <v>ORL/WAS</v>
      </c>
      <c r="AC557" s="206">
        <f t="shared" si="282"/>
        <v>1</v>
      </c>
      <c r="AD557" s="206">
        <f t="shared" si="283"/>
        <v>3</v>
      </c>
    </row>
    <row r="558" spans="1:30" x14ac:dyDescent="0.45">
      <c r="A558" s="206">
        <v>200109</v>
      </c>
      <c r="B558" s="44">
        <v>0.375</v>
      </c>
      <c r="C558" s="3" t="s">
        <v>409</v>
      </c>
      <c r="D558" s="3" t="s">
        <v>413</v>
      </c>
      <c r="E558" s="3">
        <v>31</v>
      </c>
      <c r="F558" s="3">
        <v>24</v>
      </c>
      <c r="G558" s="3">
        <v>26</v>
      </c>
      <c r="H558" s="3">
        <v>19</v>
      </c>
      <c r="I558" s="3">
        <v>10</v>
      </c>
      <c r="J558" s="3">
        <v>29</v>
      </c>
      <c r="K558" s="3">
        <v>31</v>
      </c>
      <c r="L558" s="3">
        <v>22</v>
      </c>
      <c r="M558" s="3">
        <v>18</v>
      </c>
      <c r="N558" s="3">
        <v>12</v>
      </c>
      <c r="O558" s="206">
        <f t="shared" si="272"/>
        <v>110</v>
      </c>
      <c r="P558" s="206">
        <f t="shared" si="273"/>
        <v>112</v>
      </c>
      <c r="Q558" s="206" t="str">
        <f t="shared" si="274"/>
        <v>HW</v>
      </c>
      <c r="R558" s="206" t="str">
        <f t="shared" si="275"/>
        <v>HL</v>
      </c>
      <c r="S558" s="206" t="str">
        <f t="shared" si="276"/>
        <v>HW</v>
      </c>
      <c r="T558" s="206" t="str">
        <f t="shared" si="277"/>
        <v>HW</v>
      </c>
      <c r="U558" s="206" t="str">
        <f t="shared" si="278"/>
        <v>O</v>
      </c>
      <c r="V558" s="206" t="str">
        <f t="shared" si="279"/>
        <v>O</v>
      </c>
      <c r="W558" s="206" t="str">
        <f t="shared" si="280"/>
        <v>U</v>
      </c>
      <c r="X558" s="206" t="str">
        <f t="shared" si="281"/>
        <v>U</v>
      </c>
      <c r="Y558" s="206"/>
      <c r="Z558" s="3">
        <v>53.5</v>
      </c>
      <c r="AB558" s="206" t="str">
        <f t="shared" si="269"/>
        <v>CHA/TOR</v>
      </c>
      <c r="AC558" s="206">
        <f t="shared" si="282"/>
        <v>2</v>
      </c>
      <c r="AD558" s="206">
        <f t="shared" si="283"/>
        <v>2</v>
      </c>
    </row>
    <row r="559" spans="1:30" x14ac:dyDescent="0.45">
      <c r="A559" s="206">
        <v>200109</v>
      </c>
      <c r="B559" s="44">
        <v>0.39583333333333331</v>
      </c>
      <c r="C559" s="3" t="s">
        <v>410</v>
      </c>
      <c r="D559" s="3" t="s">
        <v>403</v>
      </c>
      <c r="E559" s="3">
        <v>29</v>
      </c>
      <c r="F559" s="3">
        <v>33</v>
      </c>
      <c r="G559" s="3">
        <v>23</v>
      </c>
      <c r="H559" s="3">
        <v>30</v>
      </c>
      <c r="J559" s="3">
        <v>45</v>
      </c>
      <c r="K559" s="3">
        <v>32</v>
      </c>
      <c r="L559" s="3">
        <v>22</v>
      </c>
      <c r="M559" s="3">
        <v>23</v>
      </c>
      <c r="N559" s="3" t="s">
        <v>427</v>
      </c>
      <c r="O559" s="206">
        <f t="shared" si="272"/>
        <v>115</v>
      </c>
      <c r="P559" s="206">
        <f t="shared" si="273"/>
        <v>122</v>
      </c>
      <c r="Q559" s="206" t="str">
        <f t="shared" si="274"/>
        <v>HL</v>
      </c>
      <c r="R559" s="206" t="str">
        <f t="shared" si="275"/>
        <v>HW</v>
      </c>
      <c r="S559" s="206" t="str">
        <f t="shared" si="276"/>
        <v>HW</v>
      </c>
      <c r="T559" s="206" t="str">
        <f t="shared" si="277"/>
        <v>HW</v>
      </c>
      <c r="U559" s="206" t="str">
        <f t="shared" si="278"/>
        <v>O</v>
      </c>
      <c r="V559" s="206" t="str">
        <f t="shared" si="279"/>
        <v>O</v>
      </c>
      <c r="W559" s="206" t="str">
        <f t="shared" si="280"/>
        <v>U</v>
      </c>
      <c r="X559" s="206" t="str">
        <f t="shared" si="281"/>
        <v>U</v>
      </c>
      <c r="Y559" s="206"/>
      <c r="Z559" s="3">
        <v>60.5</v>
      </c>
      <c r="AB559" s="206" t="str">
        <f t="shared" si="269"/>
        <v>ATL/HOU</v>
      </c>
      <c r="AC559" s="206">
        <f t="shared" si="282"/>
        <v>2</v>
      </c>
      <c r="AD559" s="206">
        <f t="shared" si="283"/>
        <v>2</v>
      </c>
    </row>
    <row r="560" spans="1:30" x14ac:dyDescent="0.45">
      <c r="A560" s="206">
        <v>200109</v>
      </c>
      <c r="B560" s="44">
        <v>0.39583333333333331</v>
      </c>
      <c r="C560" s="3" t="s">
        <v>397</v>
      </c>
      <c r="D560" s="3" t="s">
        <v>408</v>
      </c>
      <c r="E560" s="3">
        <v>32</v>
      </c>
      <c r="F560" s="3">
        <v>27</v>
      </c>
      <c r="G560" s="3">
        <v>30</v>
      </c>
      <c r="H560" s="3">
        <v>17</v>
      </c>
      <c r="J560" s="3">
        <v>27</v>
      </c>
      <c r="K560" s="3">
        <v>29</v>
      </c>
      <c r="L560" s="3">
        <v>30</v>
      </c>
      <c r="M560" s="3">
        <v>21</v>
      </c>
      <c r="N560" s="3" t="s">
        <v>427</v>
      </c>
      <c r="O560" s="206">
        <f t="shared" si="272"/>
        <v>106</v>
      </c>
      <c r="P560" s="206">
        <f t="shared" si="273"/>
        <v>107</v>
      </c>
      <c r="Q560" s="206" t="str">
        <f t="shared" si="274"/>
        <v>HW</v>
      </c>
      <c r="R560" s="206" t="str">
        <f t="shared" si="275"/>
        <v>HL</v>
      </c>
      <c r="S560" s="206" t="str">
        <f t="shared" si="276"/>
        <v>TT</v>
      </c>
      <c r="T560" s="206" t="str">
        <f t="shared" si="277"/>
        <v>HL</v>
      </c>
      <c r="U560" s="206" t="str">
        <f t="shared" si="278"/>
        <v>O</v>
      </c>
      <c r="V560" s="206" t="str">
        <f t="shared" si="279"/>
        <v>U</v>
      </c>
      <c r="W560" s="206" t="str">
        <f t="shared" si="280"/>
        <v>O</v>
      </c>
      <c r="X560" s="206" t="str">
        <f t="shared" si="281"/>
        <v>U</v>
      </c>
      <c r="Y560" s="206"/>
      <c r="Z560" s="3">
        <v>56.5</v>
      </c>
      <c r="AB560" s="206" t="str">
        <f t="shared" si="269"/>
        <v>DAL/DEN</v>
      </c>
      <c r="AC560" s="206">
        <f t="shared" si="282"/>
        <v>2</v>
      </c>
      <c r="AD560" s="206">
        <f t="shared" si="283"/>
        <v>2</v>
      </c>
    </row>
    <row r="561" spans="1:30" x14ac:dyDescent="0.45">
      <c r="A561" s="206">
        <v>200109</v>
      </c>
      <c r="B561" s="44">
        <v>0.41666666666666669</v>
      </c>
      <c r="C561" s="3" t="s">
        <v>398</v>
      </c>
      <c r="D561" s="3" t="s">
        <v>412</v>
      </c>
      <c r="E561" s="3">
        <v>23</v>
      </c>
      <c r="F561" s="3">
        <v>25</v>
      </c>
      <c r="G561" s="3">
        <v>44</v>
      </c>
      <c r="H561" s="3">
        <v>31</v>
      </c>
      <c r="J561" s="3">
        <v>21</v>
      </c>
      <c r="K561" s="3">
        <v>27</v>
      </c>
      <c r="L561" s="3">
        <v>27</v>
      </c>
      <c r="M561" s="3">
        <v>33</v>
      </c>
      <c r="N561" s="3" t="s">
        <v>427</v>
      </c>
      <c r="O561" s="206">
        <f t="shared" si="272"/>
        <v>123</v>
      </c>
      <c r="P561" s="206">
        <f t="shared" si="273"/>
        <v>108</v>
      </c>
      <c r="Q561" s="206" t="str">
        <f t="shared" si="274"/>
        <v>HW</v>
      </c>
      <c r="R561" s="206" t="str">
        <f t="shared" si="275"/>
        <v>HL</v>
      </c>
      <c r="S561" s="206" t="str">
        <f t="shared" si="276"/>
        <v>HW</v>
      </c>
      <c r="T561" s="206" t="str">
        <f t="shared" si="277"/>
        <v>HL</v>
      </c>
      <c r="U561" s="206" t="str">
        <f t="shared" si="278"/>
        <v>U</v>
      </c>
      <c r="V561" s="206" t="str">
        <f t="shared" si="279"/>
        <v>U</v>
      </c>
      <c r="W561" s="206" t="str">
        <f t="shared" si="280"/>
        <v>O</v>
      </c>
      <c r="X561" s="206" t="str">
        <f t="shared" si="281"/>
        <v>O</v>
      </c>
      <c r="Y561" s="206"/>
      <c r="Z561" s="3">
        <v>58</v>
      </c>
      <c r="AB561" s="206" t="str">
        <f t="shared" si="269"/>
        <v>NO/CHI</v>
      </c>
      <c r="AC561" s="206">
        <f t="shared" si="282"/>
        <v>2</v>
      </c>
      <c r="AD561" s="206">
        <f t="shared" si="283"/>
        <v>2</v>
      </c>
    </row>
    <row r="562" spans="1:30" x14ac:dyDescent="0.45">
      <c r="A562" s="206">
        <v>200109</v>
      </c>
      <c r="B562" s="44">
        <v>0.45833333333333331</v>
      </c>
      <c r="C562" s="3" t="s">
        <v>405</v>
      </c>
      <c r="D562" s="3" t="s">
        <v>399</v>
      </c>
      <c r="E562" s="3">
        <v>39</v>
      </c>
      <c r="F562" s="3">
        <v>33</v>
      </c>
      <c r="G562" s="3">
        <v>23</v>
      </c>
      <c r="H562" s="3">
        <v>33</v>
      </c>
      <c r="J562" s="3">
        <v>29</v>
      </c>
      <c r="K562" s="3">
        <v>24</v>
      </c>
      <c r="L562" s="3">
        <v>16</v>
      </c>
      <c r="M562" s="3">
        <v>35</v>
      </c>
      <c r="N562" s="3" t="s">
        <v>427</v>
      </c>
      <c r="O562" s="206">
        <f t="shared" si="272"/>
        <v>128</v>
      </c>
      <c r="P562" s="206">
        <f t="shared" si="273"/>
        <v>104</v>
      </c>
      <c r="Q562" s="206" t="str">
        <f t="shared" si="274"/>
        <v>HW</v>
      </c>
      <c r="R562" s="206" t="str">
        <f t="shared" si="275"/>
        <v>HW</v>
      </c>
      <c r="S562" s="206" t="str">
        <f t="shared" si="276"/>
        <v>HW</v>
      </c>
      <c r="T562" s="206" t="str">
        <f t="shared" si="277"/>
        <v>HL</v>
      </c>
      <c r="U562" s="206" t="str">
        <f t="shared" si="278"/>
        <v>O</v>
      </c>
      <c r="V562" s="206" t="str">
        <f t="shared" si="279"/>
        <v>O</v>
      </c>
      <c r="W562" s="206" t="str">
        <f t="shared" si="280"/>
        <v>U</v>
      </c>
      <c r="X562" s="206" t="str">
        <f t="shared" si="281"/>
        <v>O</v>
      </c>
      <c r="Y562" s="206"/>
      <c r="Z562" s="3">
        <v>55.5</v>
      </c>
      <c r="AB562" s="206" t="str">
        <f t="shared" si="269"/>
        <v>UTA/NYK</v>
      </c>
      <c r="AC562" s="206">
        <f t="shared" si="282"/>
        <v>3</v>
      </c>
      <c r="AD562" s="206">
        <f t="shared" si="283"/>
        <v>1</v>
      </c>
    </row>
    <row r="563" spans="1:30" x14ac:dyDescent="0.45">
      <c r="A563" s="206">
        <v>200109</v>
      </c>
      <c r="B563" s="44">
        <v>0.5</v>
      </c>
      <c r="C563" s="3" t="s">
        <v>425</v>
      </c>
      <c r="D563" s="3" t="s">
        <v>423</v>
      </c>
      <c r="E563" s="3">
        <v>19</v>
      </c>
      <c r="F563" s="3">
        <v>20</v>
      </c>
      <c r="G563" s="3">
        <v>33</v>
      </c>
      <c r="H563" s="3">
        <v>26</v>
      </c>
      <c r="J563" s="3">
        <v>19</v>
      </c>
      <c r="K563" s="3">
        <v>28</v>
      </c>
      <c r="L563" s="3">
        <v>34</v>
      </c>
      <c r="M563" s="3">
        <v>26</v>
      </c>
      <c r="N563" s="3" t="s">
        <v>427</v>
      </c>
      <c r="O563" s="206">
        <f t="shared" si="272"/>
        <v>98</v>
      </c>
      <c r="P563" s="206">
        <f t="shared" si="273"/>
        <v>107</v>
      </c>
      <c r="Q563" s="206" t="str">
        <f t="shared" si="274"/>
        <v>TT</v>
      </c>
      <c r="R563" s="206" t="str">
        <f t="shared" si="275"/>
        <v>HL</v>
      </c>
      <c r="S563" s="206" t="str">
        <f t="shared" si="276"/>
        <v>HL</v>
      </c>
      <c r="T563" s="206" t="str">
        <f t="shared" si="277"/>
        <v>TT</v>
      </c>
      <c r="U563" s="206" t="str">
        <f t="shared" si="278"/>
        <v>U</v>
      </c>
      <c r="V563" s="206" t="str">
        <f t="shared" si="279"/>
        <v>U</v>
      </c>
      <c r="W563" s="206" t="str">
        <f t="shared" si="280"/>
        <v>O</v>
      </c>
      <c r="X563" s="206" t="str">
        <f t="shared" si="281"/>
        <v>U</v>
      </c>
      <c r="Y563" s="206"/>
      <c r="Z563" s="3">
        <v>53</v>
      </c>
      <c r="AB563" s="206" t="str">
        <f t="shared" si="269"/>
        <v>GS/MIL</v>
      </c>
      <c r="AC563" s="206">
        <f t="shared" si="282"/>
        <v>1</v>
      </c>
      <c r="AD563" s="206">
        <f t="shared" si="283"/>
        <v>3</v>
      </c>
    </row>
    <row r="564" spans="1:30" x14ac:dyDescent="0.45">
      <c r="A564" s="206">
        <v>200110</v>
      </c>
      <c r="B564" s="44">
        <v>0.375</v>
      </c>
      <c r="C564" s="3" t="s">
        <v>422</v>
      </c>
      <c r="D564" s="3" t="s">
        <v>402</v>
      </c>
      <c r="E564" s="3">
        <v>32</v>
      </c>
      <c r="F564" s="3">
        <v>29</v>
      </c>
      <c r="G564" s="3">
        <v>22</v>
      </c>
      <c r="H564" s="3">
        <v>19</v>
      </c>
      <c r="I564" s="3">
        <v>10</v>
      </c>
      <c r="J564" s="3">
        <v>26</v>
      </c>
      <c r="K564" s="3">
        <v>24</v>
      </c>
      <c r="L564" s="3">
        <v>31</v>
      </c>
      <c r="M564" s="3">
        <v>21</v>
      </c>
      <c r="N564" s="3">
        <v>13</v>
      </c>
      <c r="O564" s="206">
        <f t="shared" si="272"/>
        <v>112</v>
      </c>
      <c r="P564" s="206">
        <f t="shared" si="273"/>
        <v>115</v>
      </c>
      <c r="Q564" s="206" t="str">
        <f t="shared" si="274"/>
        <v>HW</v>
      </c>
      <c r="R564" s="206" t="str">
        <f t="shared" si="275"/>
        <v>HW</v>
      </c>
      <c r="S564" s="206" t="str">
        <f t="shared" si="276"/>
        <v>HL</v>
      </c>
      <c r="T564" s="206" t="str">
        <f t="shared" si="277"/>
        <v>HL</v>
      </c>
      <c r="U564" s="206" t="str">
        <f t="shared" si="278"/>
        <v>O</v>
      </c>
      <c r="V564" s="206" t="str">
        <f t="shared" si="279"/>
        <v>U</v>
      </c>
      <c r="W564" s="206" t="str">
        <f t="shared" si="280"/>
        <v>U</v>
      </c>
      <c r="X564" s="206" t="str">
        <f t="shared" si="281"/>
        <v>U</v>
      </c>
      <c r="Y564" s="206"/>
      <c r="Z564" s="3">
        <v>54</v>
      </c>
      <c r="AB564" s="206" t="str">
        <f t="shared" si="269"/>
        <v>DET/CLE</v>
      </c>
      <c r="AC564" s="206">
        <f t="shared" si="282"/>
        <v>1</v>
      </c>
      <c r="AD564" s="206">
        <f t="shared" si="283"/>
        <v>3</v>
      </c>
    </row>
    <row r="565" spans="1:30" x14ac:dyDescent="0.45">
      <c r="A565" s="206">
        <v>200110</v>
      </c>
      <c r="B565" s="44">
        <v>0.375</v>
      </c>
      <c r="C565" s="3" t="s">
        <v>401</v>
      </c>
      <c r="D565" s="3" t="s">
        <v>421</v>
      </c>
      <c r="E565" s="3">
        <v>26</v>
      </c>
      <c r="F565" s="3">
        <v>22</v>
      </c>
      <c r="G565" s="3">
        <v>29</v>
      </c>
      <c r="H565" s="3">
        <v>32</v>
      </c>
      <c r="J565" s="3">
        <v>35</v>
      </c>
      <c r="K565" s="3">
        <v>20</v>
      </c>
      <c r="L565" s="3">
        <v>25</v>
      </c>
      <c r="M565" s="3">
        <v>18</v>
      </c>
      <c r="N565" s="3" t="s">
        <v>427</v>
      </c>
      <c r="O565" s="206">
        <f t="shared" si="272"/>
        <v>109</v>
      </c>
      <c r="P565" s="206">
        <f t="shared" si="273"/>
        <v>98</v>
      </c>
      <c r="Q565" s="206" t="str">
        <f t="shared" si="274"/>
        <v>HL</v>
      </c>
      <c r="R565" s="206" t="str">
        <f t="shared" si="275"/>
        <v>HW</v>
      </c>
      <c r="S565" s="206" t="str">
        <f t="shared" si="276"/>
        <v>HW</v>
      </c>
      <c r="T565" s="206" t="str">
        <f t="shared" si="277"/>
        <v>HW</v>
      </c>
      <c r="U565" s="206" t="str">
        <f t="shared" si="278"/>
        <v>O</v>
      </c>
      <c r="V565" s="206" t="str">
        <f t="shared" si="279"/>
        <v>U</v>
      </c>
      <c r="W565" s="206" t="str">
        <f t="shared" si="280"/>
        <v>U</v>
      </c>
      <c r="X565" s="206" t="str">
        <f t="shared" si="281"/>
        <v>U</v>
      </c>
      <c r="Y565" s="206"/>
      <c r="Z565" s="3">
        <v>54.5</v>
      </c>
      <c r="AB565" s="206" t="str">
        <f t="shared" si="269"/>
        <v>PHI/BOS</v>
      </c>
      <c r="AC565" s="206">
        <f t="shared" si="282"/>
        <v>1</v>
      </c>
      <c r="AD565" s="206">
        <f t="shared" si="283"/>
        <v>3</v>
      </c>
    </row>
    <row r="566" spans="1:30" x14ac:dyDescent="0.45">
      <c r="A566" s="206">
        <v>200110</v>
      </c>
      <c r="B566" s="44">
        <v>0.41666666666666669</v>
      </c>
      <c r="C566" s="3" t="s">
        <v>420</v>
      </c>
      <c r="D566" s="3" t="s">
        <v>417</v>
      </c>
      <c r="E566" s="3">
        <v>28</v>
      </c>
      <c r="F566" s="3">
        <v>31</v>
      </c>
      <c r="G566" s="3">
        <v>41</v>
      </c>
      <c r="H566" s="3">
        <v>16</v>
      </c>
      <c r="J566" s="3">
        <v>34</v>
      </c>
      <c r="K566" s="3">
        <v>13</v>
      </c>
      <c r="L566" s="3">
        <v>27</v>
      </c>
      <c r="M566" s="3">
        <v>28</v>
      </c>
      <c r="N566" s="3" t="s">
        <v>427</v>
      </c>
      <c r="O566" s="206">
        <f t="shared" si="272"/>
        <v>116</v>
      </c>
      <c r="P566" s="206">
        <f t="shared" si="273"/>
        <v>102</v>
      </c>
      <c r="Q566" s="206" t="str">
        <f t="shared" si="274"/>
        <v>HL</v>
      </c>
      <c r="R566" s="206" t="str">
        <f t="shared" si="275"/>
        <v>HW</v>
      </c>
      <c r="S566" s="206" t="str">
        <f t="shared" si="276"/>
        <v>HW</v>
      </c>
      <c r="T566" s="206" t="str">
        <f t="shared" si="277"/>
        <v>HL</v>
      </c>
      <c r="U566" s="206" t="str">
        <f t="shared" si="278"/>
        <v>O</v>
      </c>
      <c r="V566" s="206" t="str">
        <f t="shared" si="279"/>
        <v>U</v>
      </c>
      <c r="W566" s="206" t="str">
        <f t="shared" si="280"/>
        <v>O</v>
      </c>
      <c r="X566" s="206" t="str">
        <f t="shared" si="281"/>
        <v>U</v>
      </c>
      <c r="Y566" s="206"/>
      <c r="Z566" s="3">
        <v>58</v>
      </c>
      <c r="AB566" s="206" t="str">
        <f t="shared" si="269"/>
        <v>MIN/POR</v>
      </c>
      <c r="AC566" s="206">
        <f t="shared" si="282"/>
        <v>2</v>
      </c>
      <c r="AD566" s="206">
        <f t="shared" si="283"/>
        <v>2</v>
      </c>
    </row>
    <row r="567" spans="1:30" x14ac:dyDescent="0.45">
      <c r="A567" s="206">
        <v>200110</v>
      </c>
      <c r="B567" s="44">
        <v>0.47916666666666669</v>
      </c>
      <c r="C567" s="3" t="s">
        <v>418</v>
      </c>
      <c r="D567" s="3" t="s">
        <v>403</v>
      </c>
      <c r="E567" s="3">
        <v>37</v>
      </c>
      <c r="F567" s="3">
        <v>23</v>
      </c>
      <c r="G567" s="3">
        <v>29</v>
      </c>
      <c r="H567" s="3">
        <v>24</v>
      </c>
      <c r="J567" s="3">
        <v>21</v>
      </c>
      <c r="K567" s="3">
        <v>27</v>
      </c>
      <c r="L567" s="3">
        <v>19</v>
      </c>
      <c r="M567" s="3">
        <v>25</v>
      </c>
      <c r="N567" s="3" t="s">
        <v>427</v>
      </c>
      <c r="O567" s="206">
        <f t="shared" si="272"/>
        <v>113</v>
      </c>
      <c r="P567" s="206">
        <f t="shared" si="273"/>
        <v>92</v>
      </c>
      <c r="Q567" s="206" t="str">
        <f t="shared" si="274"/>
        <v>HW</v>
      </c>
      <c r="R567" s="206" t="str">
        <f t="shared" si="275"/>
        <v>HL</v>
      </c>
      <c r="S567" s="206" t="str">
        <f t="shared" si="276"/>
        <v>HW</v>
      </c>
      <c r="T567" s="206" t="str">
        <f t="shared" si="277"/>
        <v>HL</v>
      </c>
      <c r="U567" s="206" t="str">
        <f t="shared" si="278"/>
        <v>U</v>
      </c>
      <c r="V567" s="206" t="str">
        <f t="shared" si="279"/>
        <v>U</v>
      </c>
      <c r="W567" s="206" t="str">
        <f t="shared" si="280"/>
        <v>U</v>
      </c>
      <c r="X567" s="206" t="str">
        <f t="shared" si="281"/>
        <v>U</v>
      </c>
      <c r="Y567" s="206"/>
      <c r="Z567" s="3">
        <v>59</v>
      </c>
      <c r="AB567" s="206" t="str">
        <f t="shared" si="269"/>
        <v>OKC/HOU</v>
      </c>
      <c r="AC567" s="206">
        <f t="shared" si="282"/>
        <v>0</v>
      </c>
      <c r="AD567" s="206">
        <f t="shared" si="283"/>
        <v>4</v>
      </c>
    </row>
    <row r="568" spans="1:30" x14ac:dyDescent="0.45">
      <c r="A568" s="206">
        <v>200111</v>
      </c>
      <c r="B568" s="44">
        <v>0.375</v>
      </c>
      <c r="C568" s="3" t="s">
        <v>414</v>
      </c>
      <c r="D568" s="3" t="s">
        <v>410</v>
      </c>
      <c r="E568" s="3">
        <v>30</v>
      </c>
      <c r="F568" s="3">
        <v>26</v>
      </c>
      <c r="G568" s="3">
        <v>25</v>
      </c>
      <c r="H568" s="3">
        <v>30</v>
      </c>
      <c r="J568" s="3">
        <v>21</v>
      </c>
      <c r="K568" s="3">
        <v>30</v>
      </c>
      <c r="L568" s="3">
        <v>28</v>
      </c>
      <c r="M568" s="3">
        <v>22</v>
      </c>
      <c r="N568" s="3" t="s">
        <v>427</v>
      </c>
      <c r="O568" s="206">
        <f t="shared" si="272"/>
        <v>111</v>
      </c>
      <c r="P568" s="206">
        <f t="shared" si="273"/>
        <v>101</v>
      </c>
      <c r="Q568" s="206" t="str">
        <f t="shared" si="274"/>
        <v>HW</v>
      </c>
      <c r="R568" s="206" t="str">
        <f t="shared" si="275"/>
        <v>HL</v>
      </c>
      <c r="S568" s="206" t="str">
        <f t="shared" si="276"/>
        <v>HL</v>
      </c>
      <c r="T568" s="206" t="str">
        <f t="shared" si="277"/>
        <v>HW</v>
      </c>
      <c r="U568" s="206" t="str">
        <f t="shared" si="278"/>
        <v>U</v>
      </c>
      <c r="V568" s="206" t="str">
        <f t="shared" si="279"/>
        <v>U</v>
      </c>
      <c r="W568" s="206" t="str">
        <f t="shared" si="280"/>
        <v>U</v>
      </c>
      <c r="X568" s="206" t="str">
        <f t="shared" si="281"/>
        <v>U</v>
      </c>
      <c r="Y568" s="206"/>
      <c r="Z568" s="3">
        <v>61.5</v>
      </c>
      <c r="AB568" s="206" t="str">
        <f t="shared" si="269"/>
        <v>WAS/ATL</v>
      </c>
      <c r="AC568" s="206">
        <f t="shared" si="282"/>
        <v>0</v>
      </c>
      <c r="AD568" s="206">
        <f t="shared" si="283"/>
        <v>4</v>
      </c>
    </row>
    <row r="569" spans="1:30" x14ac:dyDescent="0.45">
      <c r="A569" s="206">
        <v>200111</v>
      </c>
      <c r="B569" s="44">
        <v>0.38541666666666669</v>
      </c>
      <c r="C569" s="3" t="s">
        <v>399</v>
      </c>
      <c r="D569" s="3" t="s">
        <v>398</v>
      </c>
      <c r="E569" s="3">
        <v>31</v>
      </c>
      <c r="F569" s="3">
        <v>30</v>
      </c>
      <c r="G569" s="3">
        <v>25</v>
      </c>
      <c r="H569" s="3">
        <v>25</v>
      </c>
      <c r="J569" s="3">
        <v>33</v>
      </c>
      <c r="K569" s="3">
        <v>34</v>
      </c>
      <c r="L569" s="3">
        <v>28</v>
      </c>
      <c r="M569" s="3">
        <v>28</v>
      </c>
      <c r="N569" s="3" t="s">
        <v>427</v>
      </c>
      <c r="O569" s="206">
        <f t="shared" si="272"/>
        <v>111</v>
      </c>
      <c r="P569" s="206">
        <f t="shared" si="273"/>
        <v>123</v>
      </c>
      <c r="Q569" s="206" t="str">
        <f t="shared" si="274"/>
        <v>HL</v>
      </c>
      <c r="R569" s="206" t="str">
        <f t="shared" si="275"/>
        <v>HL</v>
      </c>
      <c r="S569" s="206" t="str">
        <f t="shared" si="276"/>
        <v>HL</v>
      </c>
      <c r="T569" s="206" t="str">
        <f t="shared" si="277"/>
        <v>HL</v>
      </c>
      <c r="U569" s="206" t="str">
        <f t="shared" si="278"/>
        <v>O</v>
      </c>
      <c r="V569" s="206" t="str">
        <f t="shared" si="279"/>
        <v>O</v>
      </c>
      <c r="W569" s="206" t="str">
        <f t="shared" si="280"/>
        <v>U</v>
      </c>
      <c r="X569" s="206" t="str">
        <f t="shared" si="281"/>
        <v>U</v>
      </c>
      <c r="Y569" s="206"/>
      <c r="Z569" s="3">
        <v>58.5</v>
      </c>
      <c r="AB569" s="206" t="str">
        <f t="shared" si="269"/>
        <v>NYK/NO</v>
      </c>
      <c r="AC569" s="206">
        <f t="shared" si="282"/>
        <v>2</v>
      </c>
      <c r="AD569" s="206">
        <f t="shared" si="283"/>
        <v>2</v>
      </c>
    </row>
    <row r="570" spans="1:30" x14ac:dyDescent="0.45">
      <c r="A570" s="206">
        <v>200111</v>
      </c>
      <c r="B570" s="44">
        <v>0.39583333333333331</v>
      </c>
      <c r="C570" s="3" t="s">
        <v>407</v>
      </c>
      <c r="D570" s="3" t="s">
        <v>411</v>
      </c>
      <c r="E570" s="3">
        <v>32</v>
      </c>
      <c r="F570" s="3">
        <v>25</v>
      </c>
      <c r="G570" s="3">
        <v>32</v>
      </c>
      <c r="H570" s="3">
        <v>28</v>
      </c>
      <c r="J570" s="3">
        <v>42</v>
      </c>
      <c r="K570" s="3">
        <v>27</v>
      </c>
      <c r="L570" s="3">
        <v>20</v>
      </c>
      <c r="M570" s="3">
        <v>24</v>
      </c>
      <c r="N570" s="3" t="s">
        <v>427</v>
      </c>
      <c r="O570" s="206">
        <f t="shared" si="272"/>
        <v>117</v>
      </c>
      <c r="P570" s="206">
        <f t="shared" si="273"/>
        <v>113</v>
      </c>
      <c r="Q570" s="206" t="str">
        <f t="shared" si="274"/>
        <v>HL</v>
      </c>
      <c r="R570" s="206" t="str">
        <f t="shared" si="275"/>
        <v>HL</v>
      </c>
      <c r="S570" s="206" t="str">
        <f t="shared" si="276"/>
        <v>HW</v>
      </c>
      <c r="T570" s="206" t="str">
        <f t="shared" si="277"/>
        <v>HW</v>
      </c>
      <c r="U570" s="206" t="str">
        <f t="shared" si="278"/>
        <v>O</v>
      </c>
      <c r="V570" s="206" t="str">
        <f t="shared" si="279"/>
        <v>U</v>
      </c>
      <c r="W570" s="206" t="str">
        <f t="shared" si="280"/>
        <v>U</v>
      </c>
      <c r="X570" s="206" t="str">
        <f t="shared" si="281"/>
        <v>U</v>
      </c>
      <c r="Y570" s="206"/>
      <c r="Z570" s="3">
        <v>56</v>
      </c>
      <c r="AB570" s="206" t="str">
        <f t="shared" si="269"/>
        <v>BKN/MIA</v>
      </c>
      <c r="AC570" s="206">
        <f t="shared" si="282"/>
        <v>1</v>
      </c>
      <c r="AD570" s="206">
        <f t="shared" si="283"/>
        <v>3</v>
      </c>
    </row>
    <row r="571" spans="1:30" x14ac:dyDescent="0.45">
      <c r="A571" s="206">
        <v>200111</v>
      </c>
      <c r="B571" s="44">
        <v>0.41666666666666669</v>
      </c>
      <c r="C571" s="3" t="s">
        <v>412</v>
      </c>
      <c r="D571" s="3" t="s">
        <v>400</v>
      </c>
      <c r="E571" s="3">
        <v>27</v>
      </c>
      <c r="F571" s="3">
        <v>19</v>
      </c>
      <c r="G571" s="3">
        <v>26</v>
      </c>
      <c r="H571" s="3">
        <v>33</v>
      </c>
      <c r="J571" s="3">
        <v>29</v>
      </c>
      <c r="K571" s="3">
        <v>25</v>
      </c>
      <c r="L571" s="3">
        <v>25</v>
      </c>
      <c r="M571" s="3">
        <v>37</v>
      </c>
      <c r="N571" s="3" t="s">
        <v>427</v>
      </c>
      <c r="O571" s="206">
        <f t="shared" si="272"/>
        <v>105</v>
      </c>
      <c r="P571" s="206">
        <f t="shared" si="273"/>
        <v>116</v>
      </c>
      <c r="Q571" s="206" t="str">
        <f t="shared" si="274"/>
        <v>HL</v>
      </c>
      <c r="R571" s="206" t="str">
        <f t="shared" si="275"/>
        <v>HL</v>
      </c>
      <c r="S571" s="206" t="str">
        <f t="shared" si="276"/>
        <v>HW</v>
      </c>
      <c r="T571" s="206" t="str">
        <f t="shared" si="277"/>
        <v>HL</v>
      </c>
      <c r="U571" s="206" t="str">
        <f t="shared" si="278"/>
        <v>O</v>
      </c>
      <c r="V571" s="206" t="str">
        <f t="shared" si="279"/>
        <v>U</v>
      </c>
      <c r="W571" s="206" t="str">
        <f t="shared" si="280"/>
        <v>U</v>
      </c>
      <c r="X571" s="206" t="str">
        <f t="shared" si="281"/>
        <v>O</v>
      </c>
      <c r="Y571" s="206"/>
      <c r="Z571" s="3">
        <v>54.5</v>
      </c>
      <c r="AB571" s="206" t="str">
        <f t="shared" si="269"/>
        <v>CHI/IND</v>
      </c>
      <c r="AC571" s="206">
        <f t="shared" si="282"/>
        <v>2</v>
      </c>
      <c r="AD571" s="206">
        <f t="shared" si="283"/>
        <v>2</v>
      </c>
    </row>
    <row r="572" spans="1:30" x14ac:dyDescent="0.45">
      <c r="A572" s="206">
        <v>200111</v>
      </c>
      <c r="B572" s="44">
        <v>0.41666666666666669</v>
      </c>
      <c r="C572" s="3" t="s">
        <v>406</v>
      </c>
      <c r="D572" s="3" t="s">
        <v>426</v>
      </c>
      <c r="E572" s="3">
        <v>37</v>
      </c>
      <c r="F572" s="3">
        <v>26</v>
      </c>
      <c r="G572" s="3">
        <v>37</v>
      </c>
      <c r="H572" s="3">
        <v>34</v>
      </c>
      <c r="J572" s="3">
        <v>32</v>
      </c>
      <c r="K572" s="3">
        <v>25</v>
      </c>
      <c r="L572" s="3">
        <v>41</v>
      </c>
      <c r="M572" s="3">
        <v>23</v>
      </c>
      <c r="N572" s="3" t="s">
        <v>427</v>
      </c>
      <c r="O572" s="206">
        <f t="shared" si="272"/>
        <v>134</v>
      </c>
      <c r="P572" s="206">
        <f t="shared" si="273"/>
        <v>121</v>
      </c>
      <c r="Q572" s="206" t="str">
        <f t="shared" si="274"/>
        <v>HW</v>
      </c>
      <c r="R572" s="206" t="str">
        <f t="shared" si="275"/>
        <v>HW</v>
      </c>
      <c r="S572" s="206" t="str">
        <f t="shared" si="276"/>
        <v>HL</v>
      </c>
      <c r="T572" s="206" t="str">
        <f t="shared" si="277"/>
        <v>HW</v>
      </c>
      <c r="U572" s="206" t="str">
        <f t="shared" si="278"/>
        <v>O</v>
      </c>
      <c r="V572" s="206" t="str">
        <f t="shared" si="279"/>
        <v>U</v>
      </c>
      <c r="W572" s="206" t="str">
        <f t="shared" si="280"/>
        <v>O</v>
      </c>
      <c r="X572" s="206" t="str">
        <f t="shared" si="281"/>
        <v>O</v>
      </c>
      <c r="Y572" s="206"/>
      <c r="Z572" s="3">
        <v>56</v>
      </c>
      <c r="AB572" s="206" t="str">
        <f t="shared" si="269"/>
        <v>MEM/SAS</v>
      </c>
      <c r="AC572" s="206">
        <f t="shared" si="282"/>
        <v>3</v>
      </c>
      <c r="AD572" s="206">
        <f t="shared" si="283"/>
        <v>1</v>
      </c>
    </row>
    <row r="573" spans="1:30" x14ac:dyDescent="0.45">
      <c r="A573" s="206">
        <v>200111</v>
      </c>
      <c r="B573" s="44">
        <v>0.45833333333333331</v>
      </c>
      <c r="C573" s="3" t="s">
        <v>404</v>
      </c>
      <c r="D573" s="3" t="s">
        <v>424</v>
      </c>
      <c r="E573" s="3">
        <v>27</v>
      </c>
      <c r="F573" s="3">
        <v>31</v>
      </c>
      <c r="G573" s="3">
        <v>19</v>
      </c>
      <c r="H573" s="3">
        <v>21</v>
      </c>
      <c r="J573" s="3">
        <v>25</v>
      </c>
      <c r="K573" s="3">
        <v>23</v>
      </c>
      <c r="L573" s="3">
        <v>27</v>
      </c>
      <c r="M573" s="3">
        <v>19</v>
      </c>
      <c r="N573" s="3" t="s">
        <v>427</v>
      </c>
      <c r="O573" s="206">
        <f t="shared" si="272"/>
        <v>98</v>
      </c>
      <c r="P573" s="206">
        <f t="shared" si="273"/>
        <v>94</v>
      </c>
      <c r="Q573" s="206" t="str">
        <f t="shared" si="274"/>
        <v>HW</v>
      </c>
      <c r="R573" s="206" t="str">
        <f t="shared" si="275"/>
        <v>HW</v>
      </c>
      <c r="S573" s="206" t="str">
        <f t="shared" si="276"/>
        <v>HL</v>
      </c>
      <c r="T573" s="206" t="str">
        <f t="shared" si="277"/>
        <v>HW</v>
      </c>
      <c r="U573" s="206" t="str">
        <f t="shared" si="278"/>
        <v>U</v>
      </c>
      <c r="V573" s="206" t="str">
        <f t="shared" si="279"/>
        <v>U</v>
      </c>
      <c r="W573" s="206" t="str">
        <f t="shared" si="280"/>
        <v>U</v>
      </c>
      <c r="X573" s="206" t="str">
        <f t="shared" si="281"/>
        <v>U</v>
      </c>
      <c r="Y573" s="206"/>
      <c r="Z573" s="3">
        <v>55.5</v>
      </c>
      <c r="AB573" s="206" t="str">
        <f t="shared" si="269"/>
        <v>PHO/ORL</v>
      </c>
      <c r="AC573" s="206">
        <f t="shared" si="282"/>
        <v>0</v>
      </c>
      <c r="AD573" s="206">
        <f t="shared" si="283"/>
        <v>4</v>
      </c>
    </row>
    <row r="574" spans="1:30" x14ac:dyDescent="0.45">
      <c r="A574" s="206">
        <v>200111</v>
      </c>
      <c r="B574" s="44">
        <v>0.45833333333333331</v>
      </c>
      <c r="C574" s="3" t="s">
        <v>405</v>
      </c>
      <c r="D574" s="3" t="s">
        <v>409</v>
      </c>
      <c r="E574" s="3">
        <v>29</v>
      </c>
      <c r="F574" s="3">
        <v>32</v>
      </c>
      <c r="G574" s="3">
        <v>26</v>
      </c>
      <c r="H574" s="3">
        <v>22</v>
      </c>
      <c r="J574" s="3">
        <v>13</v>
      </c>
      <c r="K574" s="3">
        <v>25</v>
      </c>
      <c r="L574" s="3">
        <v>24</v>
      </c>
      <c r="M574" s="3">
        <v>30</v>
      </c>
      <c r="N574" s="3" t="s">
        <v>427</v>
      </c>
      <c r="O574" s="206">
        <f t="shared" si="272"/>
        <v>109</v>
      </c>
      <c r="P574" s="206">
        <f t="shared" si="273"/>
        <v>92</v>
      </c>
      <c r="Q574" s="206" t="str">
        <f t="shared" si="274"/>
        <v>HW</v>
      </c>
      <c r="R574" s="206" t="str">
        <f t="shared" si="275"/>
        <v>HW</v>
      </c>
      <c r="S574" s="206" t="str">
        <f t="shared" si="276"/>
        <v>HW</v>
      </c>
      <c r="T574" s="206" t="str">
        <f t="shared" si="277"/>
        <v>HL</v>
      </c>
      <c r="U574" s="206" t="str">
        <f t="shared" si="278"/>
        <v>U</v>
      </c>
      <c r="V574" s="206" t="str">
        <f t="shared" si="279"/>
        <v>O</v>
      </c>
      <c r="W574" s="206" t="str">
        <f t="shared" si="280"/>
        <v>U</v>
      </c>
      <c r="X574" s="206" t="str">
        <f t="shared" si="281"/>
        <v>U</v>
      </c>
      <c r="Y574" s="206"/>
      <c r="Z574" s="3">
        <v>54.5</v>
      </c>
      <c r="AB574" s="206" t="str">
        <f t="shared" si="269"/>
        <v>UTA/CHA</v>
      </c>
      <c r="AC574" s="206">
        <f t="shared" si="282"/>
        <v>1</v>
      </c>
      <c r="AD574" s="206">
        <f t="shared" si="283"/>
        <v>3</v>
      </c>
    </row>
    <row r="575" spans="1:30" x14ac:dyDescent="0.45">
      <c r="A575" s="206">
        <v>200111</v>
      </c>
      <c r="B575" s="44">
        <v>0.48958333333333331</v>
      </c>
      <c r="C575" s="3" t="s">
        <v>397</v>
      </c>
      <c r="D575" s="3" t="s">
        <v>419</v>
      </c>
      <c r="E575" s="3">
        <v>27</v>
      </c>
      <c r="F575" s="3">
        <v>31</v>
      </c>
      <c r="G575" s="3">
        <v>28</v>
      </c>
      <c r="H575" s="3">
        <v>28</v>
      </c>
      <c r="J575" s="3">
        <v>45</v>
      </c>
      <c r="K575" s="3">
        <v>34</v>
      </c>
      <c r="L575" s="3">
        <v>20</v>
      </c>
      <c r="M575" s="3">
        <v>30</v>
      </c>
      <c r="N575" s="3" t="s">
        <v>427</v>
      </c>
      <c r="O575" s="206">
        <f t="shared" si="272"/>
        <v>114</v>
      </c>
      <c r="P575" s="206">
        <f t="shared" si="273"/>
        <v>129</v>
      </c>
      <c r="Q575" s="206" t="str">
        <f t="shared" si="274"/>
        <v>HL</v>
      </c>
      <c r="R575" s="206" t="str">
        <f t="shared" si="275"/>
        <v>HL</v>
      </c>
      <c r="S575" s="206" t="str">
        <f t="shared" si="276"/>
        <v>HW</v>
      </c>
      <c r="T575" s="206" t="str">
        <f t="shared" si="277"/>
        <v>HL</v>
      </c>
      <c r="U575" s="206" t="str">
        <f t="shared" si="278"/>
        <v>O</v>
      </c>
      <c r="V575" s="206" t="str">
        <f t="shared" si="279"/>
        <v>O</v>
      </c>
      <c r="W575" s="206" t="str">
        <f t="shared" si="280"/>
        <v>U</v>
      </c>
      <c r="X575" s="206" t="str">
        <f t="shared" si="281"/>
        <v>O</v>
      </c>
      <c r="Y575" s="206"/>
      <c r="Z575" s="3">
        <v>57</v>
      </c>
      <c r="AB575" s="206" t="str">
        <f t="shared" si="269"/>
        <v>DAL/LAL</v>
      </c>
      <c r="AC575" s="206">
        <f t="shared" si="282"/>
        <v>3</v>
      </c>
      <c r="AD575" s="206">
        <f t="shared" si="283"/>
        <v>1</v>
      </c>
    </row>
    <row r="576" spans="1:30" x14ac:dyDescent="0.45">
      <c r="A576" s="206">
        <v>200111</v>
      </c>
      <c r="B576" s="44">
        <v>0.5</v>
      </c>
      <c r="C576" s="3" t="s">
        <v>416</v>
      </c>
      <c r="D576" s="3" t="s">
        <v>423</v>
      </c>
      <c r="E576" s="3">
        <v>18</v>
      </c>
      <c r="F576" s="3">
        <v>26</v>
      </c>
      <c r="G576" s="3">
        <v>31</v>
      </c>
      <c r="H576" s="3">
        <v>31</v>
      </c>
      <c r="J576" s="3">
        <v>34</v>
      </c>
      <c r="K576" s="3">
        <v>19</v>
      </c>
      <c r="L576" s="3">
        <v>37</v>
      </c>
      <c r="M576" s="3">
        <v>37</v>
      </c>
      <c r="N576" s="3" t="s">
        <v>427</v>
      </c>
      <c r="O576" s="206">
        <f t="shared" si="272"/>
        <v>106</v>
      </c>
      <c r="P576" s="206">
        <f t="shared" si="273"/>
        <v>127</v>
      </c>
      <c r="Q576" s="206" t="str">
        <f t="shared" si="274"/>
        <v>HL</v>
      </c>
      <c r="R576" s="206" t="str">
        <f t="shared" si="275"/>
        <v>HW</v>
      </c>
      <c r="S576" s="206" t="str">
        <f t="shared" si="276"/>
        <v>HL</v>
      </c>
      <c r="T576" s="206" t="str">
        <f t="shared" si="277"/>
        <v>HL</v>
      </c>
      <c r="U576" s="206" t="str">
        <f t="shared" si="278"/>
        <v>U</v>
      </c>
      <c r="V576" s="206" t="str">
        <f t="shared" si="279"/>
        <v>U</v>
      </c>
      <c r="W576" s="206" t="str">
        <f t="shared" si="280"/>
        <v>O</v>
      </c>
      <c r="X576" s="206" t="str">
        <f t="shared" si="281"/>
        <v>O</v>
      </c>
      <c r="Y576" s="206"/>
      <c r="Z576" s="3">
        <v>55</v>
      </c>
      <c r="AB576" s="206" t="str">
        <f t="shared" si="269"/>
        <v>SAC/MIL</v>
      </c>
      <c r="AC576" s="206">
        <f t="shared" si="282"/>
        <v>2</v>
      </c>
      <c r="AD576" s="206">
        <f t="shared" si="283"/>
        <v>2</v>
      </c>
    </row>
    <row r="577" spans="1:30" x14ac:dyDescent="0.45">
      <c r="A577" s="206">
        <v>200111</v>
      </c>
      <c r="B577" s="44">
        <v>0.52083333333333337</v>
      </c>
      <c r="C577" s="3" t="s">
        <v>415</v>
      </c>
      <c r="D577" s="3" t="s">
        <v>425</v>
      </c>
      <c r="E577" s="3">
        <v>22</v>
      </c>
      <c r="F577" s="3">
        <v>26</v>
      </c>
      <c r="G577" s="3">
        <v>25</v>
      </c>
      <c r="H577" s="3">
        <v>36</v>
      </c>
      <c r="J577" s="3">
        <v>20</v>
      </c>
      <c r="K577" s="3">
        <v>33</v>
      </c>
      <c r="L577" s="3">
        <v>30</v>
      </c>
      <c r="M577" s="3">
        <v>17</v>
      </c>
      <c r="N577" s="3" t="s">
        <v>427</v>
      </c>
      <c r="O577" s="206">
        <f t="shared" si="272"/>
        <v>109</v>
      </c>
      <c r="P577" s="206">
        <f t="shared" si="273"/>
        <v>100</v>
      </c>
      <c r="Q577" s="206" t="str">
        <f t="shared" si="274"/>
        <v>HW</v>
      </c>
      <c r="R577" s="206" t="str">
        <f t="shared" si="275"/>
        <v>HL</v>
      </c>
      <c r="S577" s="206" t="str">
        <f t="shared" si="276"/>
        <v>HL</v>
      </c>
      <c r="T577" s="206" t="str">
        <f t="shared" si="277"/>
        <v>HW</v>
      </c>
      <c r="U577" s="206" t="str">
        <f t="shared" si="278"/>
        <v>U</v>
      </c>
      <c r="V577" s="206" t="str">
        <f t="shared" si="279"/>
        <v>O</v>
      </c>
      <c r="W577" s="206" t="str">
        <f t="shared" si="280"/>
        <v>U</v>
      </c>
      <c r="X577" s="206" t="str">
        <f t="shared" si="281"/>
        <v>U</v>
      </c>
      <c r="Y577" s="206"/>
      <c r="Z577" s="3">
        <v>56</v>
      </c>
      <c r="AB577" s="206" t="str">
        <f t="shared" si="269"/>
        <v>LAC/GS</v>
      </c>
      <c r="AC577" s="206">
        <f t="shared" si="282"/>
        <v>1</v>
      </c>
      <c r="AD577" s="206">
        <f t="shared" si="283"/>
        <v>3</v>
      </c>
    </row>
    <row r="578" spans="1:30" x14ac:dyDescent="0.45">
      <c r="A578" s="206">
        <v>200112</v>
      </c>
      <c r="B578" s="44">
        <v>0.29166666666666669</v>
      </c>
      <c r="C578" s="3" t="s">
        <v>403</v>
      </c>
      <c r="D578" s="3" t="s">
        <v>420</v>
      </c>
      <c r="E578" s="3">
        <v>22</v>
      </c>
      <c r="F578" s="3">
        <v>35</v>
      </c>
      <c r="G578" s="3">
        <v>45</v>
      </c>
      <c r="H578" s="3">
        <v>37</v>
      </c>
      <c r="J578" s="3">
        <v>20</v>
      </c>
      <c r="K578" s="3">
        <v>21</v>
      </c>
      <c r="L578" s="3">
        <v>35</v>
      </c>
      <c r="M578" s="3">
        <v>33</v>
      </c>
      <c r="N578" s="3" t="s">
        <v>427</v>
      </c>
      <c r="O578" s="206">
        <f t="shared" si="272"/>
        <v>139</v>
      </c>
      <c r="P578" s="206">
        <f t="shared" si="273"/>
        <v>109</v>
      </c>
      <c r="Q578" s="206" t="str">
        <f t="shared" si="274"/>
        <v>HW</v>
      </c>
      <c r="R578" s="206" t="str">
        <f t="shared" si="275"/>
        <v>HW</v>
      </c>
      <c r="S578" s="206" t="str">
        <f t="shared" si="276"/>
        <v>HW</v>
      </c>
      <c r="T578" s="206" t="str">
        <f t="shared" si="277"/>
        <v>HW</v>
      </c>
      <c r="U578" s="206" t="str">
        <f t="shared" si="278"/>
        <v>U</v>
      </c>
      <c r="V578" s="206" t="str">
        <f t="shared" si="279"/>
        <v>U</v>
      </c>
      <c r="W578" s="206" t="str">
        <f t="shared" si="280"/>
        <v>O</v>
      </c>
      <c r="X578" s="206" t="str">
        <f t="shared" si="281"/>
        <v>O</v>
      </c>
      <c r="Y578" s="206"/>
      <c r="Z578" s="3">
        <v>60</v>
      </c>
      <c r="AB578" s="206" t="str">
        <f t="shared" si="269"/>
        <v>HOU/MIN</v>
      </c>
      <c r="AC578" s="206">
        <f t="shared" si="282"/>
        <v>2</v>
      </c>
      <c r="AD578" s="206">
        <f t="shared" si="283"/>
        <v>2</v>
      </c>
    </row>
    <row r="579" spans="1:30" x14ac:dyDescent="0.45">
      <c r="A579" s="206">
        <v>200112</v>
      </c>
      <c r="B579" s="44">
        <v>0.375</v>
      </c>
      <c r="C579" s="3" t="s">
        <v>421</v>
      </c>
      <c r="D579" s="3" t="s">
        <v>398</v>
      </c>
      <c r="E579" s="3">
        <v>41</v>
      </c>
      <c r="F579" s="3">
        <v>31</v>
      </c>
      <c r="G579" s="3">
        <v>42</v>
      </c>
      <c r="H579" s="3">
        <v>26</v>
      </c>
      <c r="J579" s="3">
        <v>24</v>
      </c>
      <c r="K579" s="3">
        <v>33</v>
      </c>
      <c r="L579" s="3">
        <v>25</v>
      </c>
      <c r="M579" s="3">
        <v>23</v>
      </c>
      <c r="N579" s="3" t="s">
        <v>427</v>
      </c>
      <c r="O579" s="206">
        <f t="shared" si="272"/>
        <v>140</v>
      </c>
      <c r="P579" s="206">
        <f t="shared" si="273"/>
        <v>105</v>
      </c>
      <c r="Q579" s="206" t="str">
        <f t="shared" si="274"/>
        <v>HW</v>
      </c>
      <c r="R579" s="206" t="str">
        <f t="shared" si="275"/>
        <v>HL</v>
      </c>
      <c r="S579" s="206" t="str">
        <f t="shared" si="276"/>
        <v>HW</v>
      </c>
      <c r="T579" s="206" t="str">
        <f t="shared" si="277"/>
        <v>HW</v>
      </c>
      <c r="U579" s="206" t="str">
        <f t="shared" si="278"/>
        <v>O</v>
      </c>
      <c r="V579" s="206" t="str">
        <f t="shared" si="279"/>
        <v>O</v>
      </c>
      <c r="W579" s="206" t="str">
        <f t="shared" si="280"/>
        <v>O</v>
      </c>
      <c r="X579" s="206" t="str">
        <f t="shared" si="281"/>
        <v>U</v>
      </c>
      <c r="Y579" s="206"/>
      <c r="Z579" s="3">
        <v>57.5</v>
      </c>
      <c r="AB579" s="206" t="str">
        <f t="shared" si="269"/>
        <v>BOS/NO</v>
      </c>
      <c r="AC579" s="206">
        <f t="shared" si="282"/>
        <v>3</v>
      </c>
      <c r="AD579" s="206">
        <f t="shared" si="283"/>
        <v>1</v>
      </c>
    </row>
    <row r="580" spans="1:30" x14ac:dyDescent="0.45">
      <c r="A580" s="206">
        <v>200112</v>
      </c>
      <c r="B580" s="44">
        <v>0.375</v>
      </c>
      <c r="C580" s="3" t="s">
        <v>422</v>
      </c>
      <c r="D580" s="3" t="s">
        <v>412</v>
      </c>
      <c r="E580" s="3">
        <v>20</v>
      </c>
      <c r="F580" s="3">
        <v>29</v>
      </c>
      <c r="G580" s="3">
        <v>22</v>
      </c>
      <c r="H580" s="3">
        <v>28</v>
      </c>
      <c r="J580" s="3">
        <v>35</v>
      </c>
      <c r="K580" s="3">
        <v>26</v>
      </c>
      <c r="L580" s="3">
        <v>20</v>
      </c>
      <c r="M580" s="3">
        <v>27</v>
      </c>
      <c r="N580" s="3" t="s">
        <v>427</v>
      </c>
      <c r="O580" s="206">
        <f t="shared" si="272"/>
        <v>99</v>
      </c>
      <c r="P580" s="206">
        <f t="shared" si="273"/>
        <v>108</v>
      </c>
      <c r="Q580" s="206" t="str">
        <f t="shared" si="274"/>
        <v>HL</v>
      </c>
      <c r="R580" s="206" t="str">
        <f t="shared" si="275"/>
        <v>HW</v>
      </c>
      <c r="S580" s="206" t="str">
        <f t="shared" si="276"/>
        <v>HW</v>
      </c>
      <c r="T580" s="206" t="str">
        <f t="shared" si="277"/>
        <v>HW</v>
      </c>
      <c r="U580" s="206" t="str">
        <f t="shared" si="278"/>
        <v>U</v>
      </c>
      <c r="V580" s="206" t="str">
        <f t="shared" si="279"/>
        <v>U</v>
      </c>
      <c r="W580" s="206" t="str">
        <f t="shared" si="280"/>
        <v>U</v>
      </c>
      <c r="X580" s="206" t="str">
        <f t="shared" si="281"/>
        <v>U</v>
      </c>
      <c r="Y580" s="206"/>
      <c r="Z580" s="3">
        <v>55.5</v>
      </c>
      <c r="AB580" s="206" t="str">
        <f t="shared" si="269"/>
        <v>DET/CHI</v>
      </c>
      <c r="AC580" s="206">
        <f t="shared" si="282"/>
        <v>0</v>
      </c>
      <c r="AD580" s="206">
        <f t="shared" si="283"/>
        <v>4</v>
      </c>
    </row>
    <row r="581" spans="1:30" x14ac:dyDescent="0.45">
      <c r="A581" s="206">
        <v>200112</v>
      </c>
      <c r="B581" s="44">
        <v>0.41666666666666669</v>
      </c>
      <c r="C581" s="3" t="s">
        <v>418</v>
      </c>
      <c r="D581" s="3" t="s">
        <v>419</v>
      </c>
      <c r="E581" s="3">
        <v>19</v>
      </c>
      <c r="F581" s="3">
        <v>30</v>
      </c>
      <c r="G581" s="3">
        <v>33</v>
      </c>
      <c r="H581" s="3">
        <v>28</v>
      </c>
      <c r="J581" s="3">
        <v>41</v>
      </c>
      <c r="K581" s="3">
        <v>32</v>
      </c>
      <c r="L581" s="3">
        <v>29</v>
      </c>
      <c r="M581" s="3">
        <v>23</v>
      </c>
      <c r="N581" s="3" t="s">
        <v>427</v>
      </c>
      <c r="O581" s="206">
        <f t="shared" si="272"/>
        <v>110</v>
      </c>
      <c r="P581" s="206">
        <f t="shared" si="273"/>
        <v>125</v>
      </c>
      <c r="Q581" s="206" t="str">
        <f t="shared" si="274"/>
        <v>HL</v>
      </c>
      <c r="R581" s="206" t="str">
        <f t="shared" si="275"/>
        <v>HL</v>
      </c>
      <c r="S581" s="206" t="str">
        <f t="shared" si="276"/>
        <v>HW</v>
      </c>
      <c r="T581" s="206" t="str">
        <f t="shared" si="277"/>
        <v>HW</v>
      </c>
      <c r="U581" s="206" t="str">
        <f t="shared" si="278"/>
        <v>O</v>
      </c>
      <c r="V581" s="206" t="str">
        <f t="shared" si="279"/>
        <v>O</v>
      </c>
      <c r="W581" s="206" t="str">
        <f t="shared" si="280"/>
        <v>O</v>
      </c>
      <c r="X581" s="206" t="str">
        <f t="shared" si="281"/>
        <v>U</v>
      </c>
      <c r="Y581" s="206"/>
      <c r="Z581" s="3">
        <v>55</v>
      </c>
      <c r="AB581" s="206" t="str">
        <f t="shared" si="269"/>
        <v>OKC/LAL</v>
      </c>
      <c r="AC581" s="206">
        <f t="shared" si="282"/>
        <v>3</v>
      </c>
      <c r="AD581" s="206">
        <f t="shared" si="283"/>
        <v>1</v>
      </c>
    </row>
    <row r="582" spans="1:30" x14ac:dyDescent="0.45">
      <c r="A582" s="206">
        <v>200112</v>
      </c>
      <c r="B582" s="44">
        <v>0.4375</v>
      </c>
      <c r="C582" s="3" t="s">
        <v>397</v>
      </c>
      <c r="D582" s="3" t="s">
        <v>401</v>
      </c>
      <c r="E582" s="3">
        <v>20</v>
      </c>
      <c r="F582" s="3">
        <v>21</v>
      </c>
      <c r="G582" s="3">
        <v>32</v>
      </c>
      <c r="H582" s="3">
        <v>36</v>
      </c>
      <c r="J582" s="3">
        <v>22</v>
      </c>
      <c r="K582" s="3">
        <v>28</v>
      </c>
      <c r="L582" s="3">
        <v>16</v>
      </c>
      <c r="M582" s="3">
        <v>25</v>
      </c>
      <c r="N582" s="3" t="s">
        <v>427</v>
      </c>
      <c r="O582" s="206">
        <f t="shared" si="272"/>
        <v>109</v>
      </c>
      <c r="P582" s="206">
        <f t="shared" si="273"/>
        <v>91</v>
      </c>
      <c r="Q582" s="206" t="str">
        <f t="shared" si="274"/>
        <v>HL</v>
      </c>
      <c r="R582" s="206" t="str">
        <f t="shared" si="275"/>
        <v>HL</v>
      </c>
      <c r="S582" s="206" t="str">
        <f t="shared" si="276"/>
        <v>HW</v>
      </c>
      <c r="T582" s="206" t="str">
        <f t="shared" si="277"/>
        <v>HW</v>
      </c>
      <c r="U582" s="206" t="str">
        <f t="shared" si="278"/>
        <v>U</v>
      </c>
      <c r="V582" s="206" t="str">
        <f t="shared" si="279"/>
        <v>U</v>
      </c>
      <c r="W582" s="206" t="str">
        <f t="shared" si="280"/>
        <v>U</v>
      </c>
      <c r="X582" s="206" t="str">
        <f t="shared" si="281"/>
        <v>O</v>
      </c>
      <c r="Y582" s="206"/>
      <c r="Z582" s="3">
        <v>55.5</v>
      </c>
      <c r="AB582" s="206" t="str">
        <f t="shared" si="269"/>
        <v>DAL/PHI</v>
      </c>
      <c r="AC582" s="206">
        <f t="shared" si="282"/>
        <v>1</v>
      </c>
      <c r="AD582" s="206">
        <f t="shared" si="283"/>
        <v>3</v>
      </c>
    </row>
    <row r="583" spans="1:30" x14ac:dyDescent="0.45">
      <c r="A583" s="206">
        <v>200112</v>
      </c>
      <c r="B583" s="44">
        <v>0.45833333333333331</v>
      </c>
      <c r="C583" s="3" t="s">
        <v>408</v>
      </c>
      <c r="D583" s="3" t="s">
        <v>402</v>
      </c>
      <c r="E583" s="3">
        <v>18</v>
      </c>
      <c r="F583" s="3">
        <v>24</v>
      </c>
      <c r="G583" s="3">
        <v>29</v>
      </c>
      <c r="H583" s="3">
        <v>32</v>
      </c>
      <c r="J583" s="3">
        <v>23</v>
      </c>
      <c r="K583" s="3">
        <v>28</v>
      </c>
      <c r="L583" s="3">
        <v>34</v>
      </c>
      <c r="M583" s="3">
        <v>26</v>
      </c>
      <c r="N583" s="3" t="s">
        <v>427</v>
      </c>
      <c r="O583" s="206">
        <f t="shared" si="272"/>
        <v>103</v>
      </c>
      <c r="P583" s="206">
        <f t="shared" si="273"/>
        <v>111</v>
      </c>
      <c r="Q583" s="206" t="str">
        <f t="shared" si="274"/>
        <v>HL</v>
      </c>
      <c r="R583" s="206" t="str">
        <f t="shared" si="275"/>
        <v>HL</v>
      </c>
      <c r="S583" s="206" t="str">
        <f t="shared" si="276"/>
        <v>HL</v>
      </c>
      <c r="T583" s="206" t="str">
        <f t="shared" si="277"/>
        <v>HW</v>
      </c>
      <c r="U583" s="206" t="str">
        <f t="shared" si="278"/>
        <v>U</v>
      </c>
      <c r="V583" s="206" t="str">
        <f t="shared" si="279"/>
        <v>U</v>
      </c>
      <c r="W583" s="206" t="str">
        <f t="shared" si="280"/>
        <v>O</v>
      </c>
      <c r="X583" s="206" t="str">
        <f t="shared" si="281"/>
        <v>O</v>
      </c>
      <c r="Y583" s="206"/>
      <c r="Z583" s="3">
        <v>53</v>
      </c>
      <c r="AB583" s="206" t="str">
        <f t="shared" si="269"/>
        <v>DEN/CLE</v>
      </c>
      <c r="AC583" s="206">
        <f t="shared" si="282"/>
        <v>2</v>
      </c>
      <c r="AD583" s="206">
        <f t="shared" si="283"/>
        <v>2</v>
      </c>
    </row>
    <row r="584" spans="1:30" x14ac:dyDescent="0.45">
      <c r="A584" s="206">
        <v>200112</v>
      </c>
      <c r="B584" s="44">
        <v>0.5</v>
      </c>
      <c r="C584" s="3" t="s">
        <v>417</v>
      </c>
      <c r="D584" s="3" t="s">
        <v>423</v>
      </c>
      <c r="E584" s="3">
        <v>24</v>
      </c>
      <c r="F584" s="3">
        <v>31</v>
      </c>
      <c r="G584" s="3">
        <v>25</v>
      </c>
      <c r="H584" s="3">
        <v>21</v>
      </c>
      <c r="J584" s="3">
        <v>32</v>
      </c>
      <c r="K584" s="3">
        <v>32</v>
      </c>
      <c r="L584" s="3">
        <v>33</v>
      </c>
      <c r="M584" s="3">
        <v>25</v>
      </c>
      <c r="N584" s="3" t="s">
        <v>427</v>
      </c>
      <c r="O584" s="206">
        <f t="shared" si="272"/>
        <v>101</v>
      </c>
      <c r="P584" s="206">
        <f t="shared" si="273"/>
        <v>122</v>
      </c>
      <c r="Q584" s="206" t="str">
        <f t="shared" si="274"/>
        <v>HL</v>
      </c>
      <c r="R584" s="206" t="str">
        <f t="shared" si="275"/>
        <v>HL</v>
      </c>
      <c r="S584" s="206" t="str">
        <f t="shared" si="276"/>
        <v>HL</v>
      </c>
      <c r="T584" s="206" t="str">
        <f t="shared" si="277"/>
        <v>HL</v>
      </c>
      <c r="U584" s="206" t="str">
        <f t="shared" si="278"/>
        <v>U</v>
      </c>
      <c r="V584" s="206" t="str">
        <f t="shared" si="279"/>
        <v>O</v>
      </c>
      <c r="W584" s="206" t="str">
        <f t="shared" si="280"/>
        <v>O</v>
      </c>
      <c r="X584" s="206" t="str">
        <f t="shared" si="281"/>
        <v>U</v>
      </c>
      <c r="Y584" s="206"/>
      <c r="Z584" s="3">
        <v>57</v>
      </c>
      <c r="AB584" s="206" t="str">
        <f t="shared" si="269"/>
        <v>POR/MIL</v>
      </c>
      <c r="AC584" s="206">
        <f t="shared" si="282"/>
        <v>2</v>
      </c>
      <c r="AD584" s="206">
        <f t="shared" si="283"/>
        <v>2</v>
      </c>
    </row>
    <row r="585" spans="1:30" x14ac:dyDescent="0.45">
      <c r="A585" s="206">
        <v>200113</v>
      </c>
      <c r="B585" s="44">
        <v>0.22916666666666666</v>
      </c>
      <c r="C585" s="3" t="s">
        <v>399</v>
      </c>
      <c r="D585" s="3" t="s">
        <v>411</v>
      </c>
      <c r="E585" s="3">
        <v>27</v>
      </c>
      <c r="F585" s="3">
        <v>28</v>
      </c>
      <c r="G585" s="3">
        <v>29</v>
      </c>
      <c r="H585" s="3">
        <v>40</v>
      </c>
      <c r="J585" s="3">
        <v>31</v>
      </c>
      <c r="K585" s="3">
        <v>29</v>
      </c>
      <c r="L585" s="3">
        <v>34</v>
      </c>
      <c r="M585" s="3">
        <v>27</v>
      </c>
      <c r="N585" s="3" t="s">
        <v>427</v>
      </c>
      <c r="O585" s="206">
        <f t="shared" si="272"/>
        <v>124</v>
      </c>
      <c r="P585" s="206">
        <f t="shared" si="273"/>
        <v>121</v>
      </c>
      <c r="Q585" s="206" t="str">
        <f t="shared" si="274"/>
        <v>HL</v>
      </c>
      <c r="R585" s="206" t="str">
        <f t="shared" si="275"/>
        <v>HL</v>
      </c>
      <c r="S585" s="206" t="str">
        <f t="shared" si="276"/>
        <v>HL</v>
      </c>
      <c r="T585" s="206" t="str">
        <f t="shared" si="277"/>
        <v>HW</v>
      </c>
      <c r="U585" s="206" t="str">
        <f t="shared" si="278"/>
        <v>O</v>
      </c>
      <c r="V585" s="206" t="str">
        <f t="shared" si="279"/>
        <v>O</v>
      </c>
      <c r="W585" s="206" t="str">
        <f t="shared" si="280"/>
        <v>O</v>
      </c>
      <c r="X585" s="206" t="str">
        <f t="shared" si="281"/>
        <v>O</v>
      </c>
      <c r="Y585" s="206"/>
      <c r="Z585" s="3">
        <v>56</v>
      </c>
      <c r="AB585" s="206" t="str">
        <f t="shared" si="269"/>
        <v>NYK/MIA</v>
      </c>
      <c r="AC585" s="206">
        <f t="shared" si="282"/>
        <v>4</v>
      </c>
      <c r="AD585" s="206">
        <f t="shared" si="283"/>
        <v>0</v>
      </c>
    </row>
    <row r="586" spans="1:30" x14ac:dyDescent="0.45">
      <c r="A586" s="206">
        <v>200113</v>
      </c>
      <c r="B586" s="44">
        <v>0.22916666666666666</v>
      </c>
      <c r="C586" s="3" t="s">
        <v>414</v>
      </c>
      <c r="D586" s="3" t="s">
        <v>405</v>
      </c>
      <c r="E586" s="3">
        <v>34</v>
      </c>
      <c r="F586" s="3">
        <v>32</v>
      </c>
      <c r="G586" s="3">
        <v>25</v>
      </c>
      <c r="H586" s="3">
        <v>25</v>
      </c>
      <c r="J586" s="3">
        <v>23</v>
      </c>
      <c r="K586" s="3">
        <v>32</v>
      </c>
      <c r="L586" s="3">
        <v>38</v>
      </c>
      <c r="M586" s="3">
        <v>34</v>
      </c>
      <c r="N586" s="3" t="s">
        <v>427</v>
      </c>
      <c r="O586" s="206">
        <f t="shared" si="272"/>
        <v>116</v>
      </c>
      <c r="P586" s="206">
        <f t="shared" si="273"/>
        <v>127</v>
      </c>
      <c r="Q586" s="206" t="str">
        <f t="shared" si="274"/>
        <v>HW</v>
      </c>
      <c r="R586" s="206" t="str">
        <f t="shared" si="275"/>
        <v>TT</v>
      </c>
      <c r="S586" s="206" t="str">
        <f t="shared" si="276"/>
        <v>HL</v>
      </c>
      <c r="T586" s="206" t="str">
        <f t="shared" si="277"/>
        <v>HL</v>
      </c>
      <c r="U586" s="206" t="str">
        <f t="shared" si="278"/>
        <v>O</v>
      </c>
      <c r="V586" s="206" t="str">
        <f t="shared" si="279"/>
        <v>O</v>
      </c>
      <c r="W586" s="206" t="str">
        <f t="shared" si="280"/>
        <v>O</v>
      </c>
      <c r="X586" s="206" t="str">
        <f t="shared" si="281"/>
        <v>O</v>
      </c>
      <c r="Y586" s="206"/>
      <c r="Z586" s="3">
        <v>55</v>
      </c>
      <c r="AB586" s="206" t="str">
        <f t="shared" si="269"/>
        <v>WAS/UTA</v>
      </c>
      <c r="AC586" s="206">
        <f t="shared" si="282"/>
        <v>4</v>
      </c>
      <c r="AD586" s="206">
        <f t="shared" si="283"/>
        <v>0</v>
      </c>
    </row>
    <row r="587" spans="1:30" x14ac:dyDescent="0.45">
      <c r="A587" s="206">
        <v>200113</v>
      </c>
      <c r="B587" s="44">
        <v>0.33333333333333331</v>
      </c>
      <c r="C587" s="3" t="s">
        <v>407</v>
      </c>
      <c r="D587" s="3" t="s">
        <v>410</v>
      </c>
      <c r="E587" s="3">
        <v>37</v>
      </c>
      <c r="F587" s="3">
        <v>33</v>
      </c>
      <c r="G587" s="3">
        <v>22</v>
      </c>
      <c r="H587" s="3">
        <v>16</v>
      </c>
      <c r="J587" s="3">
        <v>16</v>
      </c>
      <c r="K587" s="3">
        <v>30</v>
      </c>
      <c r="L587" s="3">
        <v>20</v>
      </c>
      <c r="M587" s="3">
        <v>20</v>
      </c>
      <c r="N587" s="3" t="s">
        <v>427</v>
      </c>
      <c r="O587" s="206">
        <f t="shared" si="272"/>
        <v>108</v>
      </c>
      <c r="P587" s="206">
        <f t="shared" si="273"/>
        <v>86</v>
      </c>
      <c r="Q587" s="206" t="str">
        <f t="shared" si="274"/>
        <v>HW</v>
      </c>
      <c r="R587" s="206" t="str">
        <f t="shared" si="275"/>
        <v>HW</v>
      </c>
      <c r="S587" s="206" t="str">
        <f t="shared" si="276"/>
        <v>HW</v>
      </c>
      <c r="T587" s="206" t="str">
        <f t="shared" si="277"/>
        <v>HL</v>
      </c>
      <c r="U587" s="206" t="str">
        <f t="shared" si="278"/>
        <v>U</v>
      </c>
      <c r="V587" s="206" t="str">
        <f t="shared" si="279"/>
        <v>O</v>
      </c>
      <c r="W587" s="206" t="str">
        <f t="shared" si="280"/>
        <v>U</v>
      </c>
      <c r="X587" s="206" t="str">
        <f t="shared" si="281"/>
        <v>U</v>
      </c>
      <c r="Y587" s="206"/>
      <c r="Z587" s="3">
        <v>58</v>
      </c>
      <c r="AB587" s="206" t="str">
        <f t="shared" si="269"/>
        <v>BKN/ATL</v>
      </c>
      <c r="AC587" s="206">
        <f t="shared" si="282"/>
        <v>1</v>
      </c>
      <c r="AD587" s="206">
        <f t="shared" si="283"/>
        <v>3</v>
      </c>
    </row>
    <row r="588" spans="1:30" x14ac:dyDescent="0.45">
      <c r="A588" s="206">
        <v>200113</v>
      </c>
      <c r="B588" s="44">
        <v>0.33333333333333331</v>
      </c>
      <c r="C588" s="3" t="s">
        <v>413</v>
      </c>
      <c r="D588" s="3" t="s">
        <v>426</v>
      </c>
      <c r="E588" s="3">
        <v>28</v>
      </c>
      <c r="F588" s="3">
        <v>23</v>
      </c>
      <c r="G588" s="3">
        <v>31</v>
      </c>
      <c r="H588" s="3">
        <v>22</v>
      </c>
      <c r="J588" s="3">
        <v>21</v>
      </c>
      <c r="K588" s="3">
        <v>22</v>
      </c>
      <c r="L588" s="3">
        <v>26</v>
      </c>
      <c r="M588" s="3">
        <v>36</v>
      </c>
      <c r="N588" s="3" t="s">
        <v>427</v>
      </c>
      <c r="O588" s="206">
        <f t="shared" si="272"/>
        <v>104</v>
      </c>
      <c r="P588" s="206">
        <f t="shared" si="273"/>
        <v>105</v>
      </c>
      <c r="Q588" s="206" t="str">
        <f t="shared" si="274"/>
        <v>HW</v>
      </c>
      <c r="R588" s="206" t="str">
        <f t="shared" si="275"/>
        <v>HW</v>
      </c>
      <c r="S588" s="206" t="str">
        <f t="shared" si="276"/>
        <v>HW</v>
      </c>
      <c r="T588" s="206" t="str">
        <f t="shared" si="277"/>
        <v>HL</v>
      </c>
      <c r="U588" s="206" t="str">
        <f t="shared" si="278"/>
        <v>U</v>
      </c>
      <c r="V588" s="206" t="str">
        <f t="shared" si="279"/>
        <v>U</v>
      </c>
      <c r="W588" s="206" t="str">
        <f t="shared" si="280"/>
        <v>O</v>
      </c>
      <c r="X588" s="206" t="str">
        <f t="shared" si="281"/>
        <v>O</v>
      </c>
      <c r="Y588" s="206"/>
      <c r="Z588" s="3">
        <v>54.5</v>
      </c>
      <c r="AB588" s="206" t="str">
        <f t="shared" ref="AB588:AB651" si="284">C588&amp;"/"&amp;D588</f>
        <v>TOR/SAS</v>
      </c>
      <c r="AC588" s="206">
        <f t="shared" si="282"/>
        <v>2</v>
      </c>
      <c r="AD588" s="206">
        <f t="shared" si="283"/>
        <v>2</v>
      </c>
    </row>
    <row r="589" spans="1:30" x14ac:dyDescent="0.45">
      <c r="A589" s="206">
        <v>200113</v>
      </c>
      <c r="B589" s="44">
        <v>0.33333333333333331</v>
      </c>
      <c r="C589" s="3" t="s">
        <v>406</v>
      </c>
      <c r="D589" s="3" t="s">
        <v>425</v>
      </c>
      <c r="E589" s="3">
        <v>27</v>
      </c>
      <c r="F589" s="3">
        <v>33</v>
      </c>
      <c r="G589" s="3">
        <v>35</v>
      </c>
      <c r="H589" s="3">
        <v>27</v>
      </c>
      <c r="J589" s="3">
        <v>26</v>
      </c>
      <c r="K589" s="3">
        <v>33</v>
      </c>
      <c r="L589" s="3">
        <v>17</v>
      </c>
      <c r="M589" s="3">
        <v>26</v>
      </c>
      <c r="N589" s="3" t="s">
        <v>427</v>
      </c>
      <c r="O589" s="206">
        <f t="shared" si="272"/>
        <v>122</v>
      </c>
      <c r="P589" s="206">
        <f t="shared" si="273"/>
        <v>102</v>
      </c>
      <c r="Q589" s="206" t="str">
        <f t="shared" si="274"/>
        <v>HW</v>
      </c>
      <c r="R589" s="206" t="str">
        <f t="shared" si="275"/>
        <v>TT</v>
      </c>
      <c r="S589" s="206" t="str">
        <f t="shared" si="276"/>
        <v>HW</v>
      </c>
      <c r="T589" s="206" t="str">
        <f t="shared" si="277"/>
        <v>HW</v>
      </c>
      <c r="U589" s="206" t="str">
        <f t="shared" si="278"/>
        <v>U</v>
      </c>
      <c r="V589" s="206" t="str">
        <f t="shared" si="279"/>
        <v>O</v>
      </c>
      <c r="W589" s="206" t="str">
        <f t="shared" si="280"/>
        <v>U</v>
      </c>
      <c r="X589" s="206" t="str">
        <f t="shared" si="281"/>
        <v>U</v>
      </c>
      <c r="Y589" s="206"/>
      <c r="Z589" s="3">
        <v>57.5</v>
      </c>
      <c r="AB589" s="206" t="str">
        <f t="shared" si="284"/>
        <v>MEM/GS</v>
      </c>
      <c r="AC589" s="206">
        <f t="shared" si="282"/>
        <v>1</v>
      </c>
      <c r="AD589" s="206">
        <f t="shared" si="283"/>
        <v>3</v>
      </c>
    </row>
    <row r="590" spans="1:30" x14ac:dyDescent="0.45">
      <c r="A590" s="206">
        <v>200113</v>
      </c>
      <c r="B590" s="44">
        <v>0.41666666666666669</v>
      </c>
      <c r="C590" s="3" t="s">
        <v>408</v>
      </c>
      <c r="D590" s="3" t="s">
        <v>415</v>
      </c>
      <c r="E590" s="3">
        <v>29</v>
      </c>
      <c r="F590" s="3">
        <v>37</v>
      </c>
      <c r="G590" s="3">
        <v>23</v>
      </c>
      <c r="H590" s="3">
        <v>25</v>
      </c>
      <c r="J590" s="3">
        <v>30</v>
      </c>
      <c r="K590" s="3">
        <v>22</v>
      </c>
      <c r="L590" s="3">
        <v>22</v>
      </c>
      <c r="M590" s="3">
        <v>30</v>
      </c>
      <c r="N590" s="3" t="s">
        <v>427</v>
      </c>
      <c r="O590" s="206">
        <f t="shared" si="272"/>
        <v>114</v>
      </c>
      <c r="P590" s="206">
        <f t="shared" si="273"/>
        <v>104</v>
      </c>
      <c r="Q590" s="206" t="str">
        <f t="shared" si="274"/>
        <v>HL</v>
      </c>
      <c r="R590" s="206" t="str">
        <f t="shared" si="275"/>
        <v>HW</v>
      </c>
      <c r="S590" s="206" t="str">
        <f t="shared" si="276"/>
        <v>HW</v>
      </c>
      <c r="T590" s="206" t="str">
        <f t="shared" si="277"/>
        <v>HL</v>
      </c>
      <c r="U590" s="206" t="str">
        <f t="shared" si="278"/>
        <v>O</v>
      </c>
      <c r="V590" s="206" t="str">
        <f t="shared" si="279"/>
        <v>O</v>
      </c>
      <c r="W590" s="206" t="str">
        <f t="shared" si="280"/>
        <v>U</v>
      </c>
      <c r="X590" s="206" t="str">
        <f t="shared" si="281"/>
        <v>U</v>
      </c>
      <c r="Y590" s="206"/>
      <c r="Z590" s="3">
        <v>57</v>
      </c>
      <c r="AB590" s="206" t="str">
        <f t="shared" si="284"/>
        <v>DEN/LAC</v>
      </c>
      <c r="AC590" s="206">
        <f t="shared" si="282"/>
        <v>2</v>
      </c>
      <c r="AD590" s="206">
        <f t="shared" si="283"/>
        <v>2</v>
      </c>
    </row>
    <row r="591" spans="1:30" x14ac:dyDescent="0.45">
      <c r="A591" s="206">
        <v>200113</v>
      </c>
      <c r="B591" s="44">
        <v>0.41666666666666669</v>
      </c>
      <c r="C591" s="3" t="s">
        <v>404</v>
      </c>
      <c r="D591" s="3" t="s">
        <v>409</v>
      </c>
      <c r="E591" s="3">
        <v>18</v>
      </c>
      <c r="F591" s="3">
        <v>28</v>
      </c>
      <c r="G591" s="3">
        <v>25</v>
      </c>
      <c r="H591" s="3">
        <v>29</v>
      </c>
      <c r="J591" s="3">
        <v>24</v>
      </c>
      <c r="K591" s="3">
        <v>21</v>
      </c>
      <c r="L591" s="3">
        <v>26</v>
      </c>
      <c r="M591" s="3">
        <v>21</v>
      </c>
      <c r="N591" s="3" t="s">
        <v>427</v>
      </c>
      <c r="O591" s="206">
        <f t="shared" si="272"/>
        <v>100</v>
      </c>
      <c r="P591" s="206">
        <f t="shared" si="273"/>
        <v>92</v>
      </c>
      <c r="Q591" s="206" t="str">
        <f t="shared" si="274"/>
        <v>HL</v>
      </c>
      <c r="R591" s="206" t="str">
        <f t="shared" si="275"/>
        <v>HW</v>
      </c>
      <c r="S591" s="206" t="str">
        <f t="shared" si="276"/>
        <v>HL</v>
      </c>
      <c r="T591" s="206" t="str">
        <f t="shared" si="277"/>
        <v>HW</v>
      </c>
      <c r="U591" s="206" t="str">
        <f t="shared" si="278"/>
        <v>U</v>
      </c>
      <c r="V591" s="206" t="str">
        <f t="shared" si="279"/>
        <v>U</v>
      </c>
      <c r="W591" s="206" t="str">
        <f t="shared" si="280"/>
        <v>U</v>
      </c>
      <c r="X591" s="206" t="str">
        <f t="shared" si="281"/>
        <v>U</v>
      </c>
      <c r="Y591" s="206"/>
      <c r="Z591" s="3">
        <v>55.5</v>
      </c>
      <c r="AB591" s="206" t="str">
        <f t="shared" si="284"/>
        <v>PHO/CHA</v>
      </c>
      <c r="AC591" s="206">
        <f t="shared" si="282"/>
        <v>0</v>
      </c>
      <c r="AD591" s="206">
        <f t="shared" si="283"/>
        <v>4</v>
      </c>
    </row>
    <row r="592" spans="1:30" x14ac:dyDescent="0.45">
      <c r="A592" s="206">
        <v>200114</v>
      </c>
      <c r="B592" s="44">
        <v>0.375</v>
      </c>
      <c r="C592" s="3" t="s">
        <v>422</v>
      </c>
      <c r="D592" s="3" t="s">
        <v>398</v>
      </c>
      <c r="E592" s="3">
        <v>23</v>
      </c>
      <c r="F592" s="3">
        <v>29</v>
      </c>
      <c r="G592" s="3">
        <v>25</v>
      </c>
      <c r="H592" s="3">
        <v>25</v>
      </c>
      <c r="I592" s="3">
        <v>8</v>
      </c>
      <c r="J592" s="3">
        <v>32</v>
      </c>
      <c r="K592" s="3">
        <v>31</v>
      </c>
      <c r="L592" s="3">
        <v>26</v>
      </c>
      <c r="M592" s="3">
        <v>13</v>
      </c>
      <c r="N592" s="3">
        <v>15</v>
      </c>
      <c r="O592" s="206">
        <f t="shared" si="272"/>
        <v>110</v>
      </c>
      <c r="P592" s="206">
        <f t="shared" si="273"/>
        <v>117</v>
      </c>
      <c r="Q592" s="206" t="str">
        <f t="shared" si="274"/>
        <v>HL</v>
      </c>
      <c r="R592" s="206" t="str">
        <f t="shared" si="275"/>
        <v>HL</v>
      </c>
      <c r="S592" s="206" t="str">
        <f t="shared" si="276"/>
        <v>HL</v>
      </c>
      <c r="T592" s="206" t="str">
        <f t="shared" si="277"/>
        <v>HW</v>
      </c>
      <c r="U592" s="206" t="str">
        <f t="shared" si="278"/>
        <v>U</v>
      </c>
      <c r="V592" s="206" t="str">
        <f t="shared" si="279"/>
        <v>O</v>
      </c>
      <c r="W592" s="206" t="str">
        <f t="shared" si="280"/>
        <v>U</v>
      </c>
      <c r="X592" s="206" t="str">
        <f t="shared" si="281"/>
        <v>U</v>
      </c>
      <c r="Y592" s="206"/>
      <c r="Z592" s="3">
        <v>57</v>
      </c>
      <c r="AB592" s="206" t="str">
        <f t="shared" si="284"/>
        <v>DET/NO</v>
      </c>
      <c r="AC592" s="206">
        <f t="shared" si="282"/>
        <v>1</v>
      </c>
      <c r="AD592" s="206">
        <f t="shared" si="283"/>
        <v>3</v>
      </c>
    </row>
    <row r="593" spans="1:30" x14ac:dyDescent="0.45">
      <c r="A593" s="206">
        <v>200114</v>
      </c>
      <c r="B593" s="44">
        <v>0.375</v>
      </c>
      <c r="C593" s="3" t="s">
        <v>400</v>
      </c>
      <c r="D593" s="3" t="s">
        <v>401</v>
      </c>
      <c r="E593" s="3">
        <v>22</v>
      </c>
      <c r="F593" s="3">
        <v>18</v>
      </c>
      <c r="G593" s="3">
        <v>29</v>
      </c>
      <c r="H593" s="3">
        <v>32</v>
      </c>
      <c r="J593" s="3">
        <v>23</v>
      </c>
      <c r="K593" s="3">
        <v>26</v>
      </c>
      <c r="L593" s="3">
        <v>20</v>
      </c>
      <c r="M593" s="3">
        <v>26</v>
      </c>
      <c r="N593" s="3" t="s">
        <v>427</v>
      </c>
      <c r="O593" s="206">
        <f t="shared" si="272"/>
        <v>101</v>
      </c>
      <c r="P593" s="206">
        <f t="shared" si="273"/>
        <v>95</v>
      </c>
      <c r="Q593" s="206" t="str">
        <f t="shared" si="274"/>
        <v>HL</v>
      </c>
      <c r="R593" s="206" t="str">
        <f t="shared" si="275"/>
        <v>HL</v>
      </c>
      <c r="S593" s="206" t="str">
        <f t="shared" si="276"/>
        <v>HW</v>
      </c>
      <c r="T593" s="206" t="str">
        <f t="shared" si="277"/>
        <v>HW</v>
      </c>
      <c r="U593" s="206" t="str">
        <f t="shared" si="278"/>
        <v>U</v>
      </c>
      <c r="V593" s="206" t="str">
        <f t="shared" si="279"/>
        <v>U</v>
      </c>
      <c r="W593" s="206" t="str">
        <f t="shared" si="280"/>
        <v>U</v>
      </c>
      <c r="X593" s="206" t="str">
        <f t="shared" si="281"/>
        <v>O</v>
      </c>
      <c r="Y593" s="206"/>
      <c r="Z593" s="3">
        <v>53</v>
      </c>
      <c r="AB593" s="206" t="str">
        <f t="shared" si="284"/>
        <v>IND/PHI</v>
      </c>
      <c r="AC593" s="206">
        <f t="shared" si="282"/>
        <v>1</v>
      </c>
      <c r="AD593" s="206">
        <f t="shared" si="283"/>
        <v>3</v>
      </c>
    </row>
    <row r="594" spans="1:30" x14ac:dyDescent="0.45">
      <c r="A594" s="206">
        <v>200114</v>
      </c>
      <c r="B594" s="44">
        <v>0.39583333333333331</v>
      </c>
      <c r="C594" s="3" t="s">
        <v>421</v>
      </c>
      <c r="D594" s="3" t="s">
        <v>412</v>
      </c>
      <c r="E594" s="3">
        <v>28</v>
      </c>
      <c r="F594" s="3">
        <v>27</v>
      </c>
      <c r="G594" s="3">
        <v>28</v>
      </c>
      <c r="H594" s="3">
        <v>30</v>
      </c>
      <c r="J594" s="3">
        <v>14</v>
      </c>
      <c r="K594" s="3">
        <v>23</v>
      </c>
      <c r="L594" s="3">
        <v>34</v>
      </c>
      <c r="M594" s="3">
        <v>30</v>
      </c>
      <c r="N594" s="3" t="s">
        <v>427</v>
      </c>
      <c r="O594" s="206">
        <f t="shared" si="272"/>
        <v>113</v>
      </c>
      <c r="P594" s="206">
        <f t="shared" si="273"/>
        <v>101</v>
      </c>
      <c r="Q594" s="206" t="str">
        <f t="shared" si="274"/>
        <v>HW</v>
      </c>
      <c r="R594" s="206" t="str">
        <f t="shared" si="275"/>
        <v>HW</v>
      </c>
      <c r="S594" s="206" t="str">
        <f t="shared" si="276"/>
        <v>HL</v>
      </c>
      <c r="T594" s="206" t="str">
        <f t="shared" si="277"/>
        <v>TT</v>
      </c>
      <c r="U594" s="206" t="str">
        <f t="shared" si="278"/>
        <v>U</v>
      </c>
      <c r="V594" s="206" t="str">
        <f t="shared" si="279"/>
        <v>U</v>
      </c>
      <c r="W594" s="206" t="str">
        <f t="shared" si="280"/>
        <v>O</v>
      </c>
      <c r="X594" s="206" t="str">
        <f t="shared" si="281"/>
        <v>O</v>
      </c>
      <c r="Y594" s="206"/>
      <c r="Z594" s="3">
        <v>55.5</v>
      </c>
      <c r="AB594" s="206" t="str">
        <f t="shared" si="284"/>
        <v>BOS/CHI</v>
      </c>
      <c r="AC594" s="206">
        <f t="shared" si="282"/>
        <v>2</v>
      </c>
      <c r="AD594" s="206">
        <f t="shared" si="283"/>
        <v>2</v>
      </c>
    </row>
    <row r="595" spans="1:30" x14ac:dyDescent="0.45">
      <c r="A595" s="206">
        <v>200114</v>
      </c>
      <c r="B595" s="44">
        <v>0.41666666666666669</v>
      </c>
      <c r="C595" s="3" t="s">
        <v>420</v>
      </c>
      <c r="D595" s="3" t="s">
        <v>418</v>
      </c>
      <c r="E595" s="3">
        <v>33</v>
      </c>
      <c r="F595" s="3">
        <v>27</v>
      </c>
      <c r="G595" s="3">
        <v>19</v>
      </c>
      <c r="H595" s="3">
        <v>25</v>
      </c>
      <c r="J595" s="3">
        <v>30</v>
      </c>
      <c r="K595" s="3">
        <v>33</v>
      </c>
      <c r="L595" s="3">
        <v>29</v>
      </c>
      <c r="M595" s="3">
        <v>25</v>
      </c>
      <c r="N595" s="3" t="s">
        <v>427</v>
      </c>
      <c r="O595" s="206">
        <f t="shared" si="272"/>
        <v>104</v>
      </c>
      <c r="P595" s="206">
        <f t="shared" si="273"/>
        <v>117</v>
      </c>
      <c r="Q595" s="206" t="str">
        <f t="shared" si="274"/>
        <v>HW</v>
      </c>
      <c r="R595" s="206" t="str">
        <f t="shared" si="275"/>
        <v>HL</v>
      </c>
      <c r="S595" s="206" t="str">
        <f t="shared" si="276"/>
        <v>HL</v>
      </c>
      <c r="T595" s="206" t="str">
        <f t="shared" si="277"/>
        <v>TT</v>
      </c>
      <c r="U595" s="206" t="str">
        <f t="shared" si="278"/>
        <v>O</v>
      </c>
      <c r="V595" s="206" t="str">
        <f t="shared" si="279"/>
        <v>O</v>
      </c>
      <c r="W595" s="206" t="str">
        <f t="shared" si="280"/>
        <v>U</v>
      </c>
      <c r="X595" s="206" t="str">
        <f t="shared" si="281"/>
        <v>U</v>
      </c>
      <c r="Y595" s="206"/>
      <c r="Z595" s="3">
        <v>56</v>
      </c>
      <c r="AB595" s="206" t="str">
        <f t="shared" si="284"/>
        <v>MIN/OKC</v>
      </c>
      <c r="AC595" s="206">
        <f t="shared" si="282"/>
        <v>2</v>
      </c>
      <c r="AD595" s="206">
        <f t="shared" si="283"/>
        <v>2</v>
      </c>
    </row>
    <row r="596" spans="1:30" x14ac:dyDescent="0.45">
      <c r="A596" s="206">
        <v>200114</v>
      </c>
      <c r="B596" s="44">
        <v>0.5</v>
      </c>
      <c r="C596" s="3" t="s">
        <v>417</v>
      </c>
      <c r="D596" s="3" t="s">
        <v>409</v>
      </c>
      <c r="E596" s="3">
        <v>25</v>
      </c>
      <c r="F596" s="3">
        <v>37</v>
      </c>
      <c r="G596" s="3">
        <v>29</v>
      </c>
      <c r="H596" s="3">
        <v>24</v>
      </c>
      <c r="J596" s="3">
        <v>26</v>
      </c>
      <c r="K596" s="3">
        <v>20</v>
      </c>
      <c r="L596" s="3">
        <v>43</v>
      </c>
      <c r="M596" s="3">
        <v>23</v>
      </c>
      <c r="N596" s="3" t="s">
        <v>427</v>
      </c>
      <c r="O596" s="206">
        <f t="shared" si="272"/>
        <v>115</v>
      </c>
      <c r="P596" s="206">
        <f t="shared" si="273"/>
        <v>112</v>
      </c>
      <c r="Q596" s="206" t="str">
        <f t="shared" si="274"/>
        <v>HL</v>
      </c>
      <c r="R596" s="206" t="str">
        <f t="shared" si="275"/>
        <v>HW</v>
      </c>
      <c r="S596" s="206" t="str">
        <f t="shared" si="276"/>
        <v>HL</v>
      </c>
      <c r="T596" s="206" t="str">
        <f t="shared" si="277"/>
        <v>HW</v>
      </c>
      <c r="U596" s="206" t="str">
        <f t="shared" si="278"/>
        <v>U</v>
      </c>
      <c r="V596" s="206" t="str">
        <f t="shared" si="279"/>
        <v>O</v>
      </c>
      <c r="W596" s="206" t="str">
        <f t="shared" si="280"/>
        <v>O</v>
      </c>
      <c r="X596" s="206" t="str">
        <f t="shared" si="281"/>
        <v>U</v>
      </c>
      <c r="Y596" s="206"/>
      <c r="Z596" s="3">
        <v>55.5</v>
      </c>
      <c r="AB596" s="206" t="str">
        <f t="shared" si="284"/>
        <v>POR/CHA</v>
      </c>
      <c r="AC596" s="206">
        <f t="shared" si="282"/>
        <v>2</v>
      </c>
      <c r="AD596" s="206">
        <f t="shared" si="283"/>
        <v>2</v>
      </c>
    </row>
    <row r="597" spans="1:30" x14ac:dyDescent="0.45">
      <c r="A597" s="206">
        <v>200114</v>
      </c>
      <c r="B597" s="44">
        <v>0.5</v>
      </c>
      <c r="C597" s="3" t="s">
        <v>416</v>
      </c>
      <c r="D597" s="3" t="s">
        <v>424</v>
      </c>
      <c r="E597" s="3">
        <v>25</v>
      </c>
      <c r="F597" s="3">
        <v>27</v>
      </c>
      <c r="G597" s="3">
        <v>33</v>
      </c>
      <c r="H597" s="3">
        <v>27</v>
      </c>
      <c r="J597" s="3">
        <v>33</v>
      </c>
      <c r="K597" s="3">
        <v>32</v>
      </c>
      <c r="L597" s="3">
        <v>21</v>
      </c>
      <c r="M597" s="3">
        <v>28</v>
      </c>
      <c r="N597" s="3" t="s">
        <v>427</v>
      </c>
      <c r="O597" s="206">
        <f t="shared" si="272"/>
        <v>112</v>
      </c>
      <c r="P597" s="206">
        <f t="shared" si="273"/>
        <v>114</v>
      </c>
      <c r="Q597" s="206" t="str">
        <f t="shared" si="274"/>
        <v>HL</v>
      </c>
      <c r="R597" s="206" t="str">
        <f t="shared" si="275"/>
        <v>HL</v>
      </c>
      <c r="S597" s="206" t="str">
        <f t="shared" si="276"/>
        <v>HW</v>
      </c>
      <c r="T597" s="206" t="str">
        <f t="shared" si="277"/>
        <v>HL</v>
      </c>
      <c r="U597" s="206" t="str">
        <f t="shared" si="278"/>
        <v>O</v>
      </c>
      <c r="V597" s="206" t="str">
        <f t="shared" si="279"/>
        <v>O</v>
      </c>
      <c r="W597" s="206" t="str">
        <f t="shared" si="280"/>
        <v>U</v>
      </c>
      <c r="X597" s="206" t="str">
        <f t="shared" si="281"/>
        <v>O</v>
      </c>
      <c r="Y597" s="206"/>
      <c r="Z597" s="3">
        <v>54.5</v>
      </c>
      <c r="AB597" s="206" t="str">
        <f t="shared" si="284"/>
        <v>SAC/ORL</v>
      </c>
      <c r="AC597" s="206">
        <f t="shared" si="282"/>
        <v>3</v>
      </c>
      <c r="AD597" s="206">
        <f t="shared" si="283"/>
        <v>1</v>
      </c>
    </row>
    <row r="598" spans="1:30" x14ac:dyDescent="0.45">
      <c r="A598" s="206">
        <v>200114</v>
      </c>
      <c r="B598" s="44">
        <v>0.52083333333333337</v>
      </c>
      <c r="C598" s="3" t="s">
        <v>419</v>
      </c>
      <c r="D598" s="3" t="s">
        <v>402</v>
      </c>
      <c r="E598" s="3">
        <v>21</v>
      </c>
      <c r="F598" s="3">
        <v>26</v>
      </c>
      <c r="G598" s="3">
        <v>37</v>
      </c>
      <c r="H598" s="3">
        <v>44</v>
      </c>
      <c r="J598" s="3">
        <v>27</v>
      </c>
      <c r="K598" s="3">
        <v>21</v>
      </c>
      <c r="L598" s="3">
        <v>22</v>
      </c>
      <c r="M598" s="3">
        <v>29</v>
      </c>
      <c r="N598" s="3" t="s">
        <v>427</v>
      </c>
      <c r="O598" s="206">
        <f t="shared" si="272"/>
        <v>128</v>
      </c>
      <c r="P598" s="206">
        <f t="shared" si="273"/>
        <v>99</v>
      </c>
      <c r="Q598" s="206" t="str">
        <f t="shared" si="274"/>
        <v>HL</v>
      </c>
      <c r="R598" s="206" t="str">
        <f t="shared" si="275"/>
        <v>HW</v>
      </c>
      <c r="S598" s="206" t="str">
        <f t="shared" si="276"/>
        <v>HW</v>
      </c>
      <c r="T598" s="206" t="str">
        <f t="shared" si="277"/>
        <v>HW</v>
      </c>
      <c r="U598" s="206" t="str">
        <f t="shared" si="278"/>
        <v>U</v>
      </c>
      <c r="V598" s="206" t="str">
        <f t="shared" si="279"/>
        <v>U</v>
      </c>
      <c r="W598" s="206" t="str">
        <f t="shared" si="280"/>
        <v>O</v>
      </c>
      <c r="X598" s="206" t="str">
        <f t="shared" si="281"/>
        <v>O</v>
      </c>
      <c r="Y598" s="206"/>
      <c r="Z598" s="3">
        <v>55</v>
      </c>
      <c r="AB598" s="206" t="str">
        <f t="shared" si="284"/>
        <v>LAL/CLE</v>
      </c>
      <c r="AC598" s="206">
        <f t="shared" si="282"/>
        <v>2</v>
      </c>
      <c r="AD598" s="206">
        <f t="shared" si="283"/>
        <v>2</v>
      </c>
    </row>
    <row r="599" spans="1:30" x14ac:dyDescent="0.45">
      <c r="A599" s="206">
        <v>200115</v>
      </c>
      <c r="B599" s="44">
        <v>0.39583333333333331</v>
      </c>
      <c r="C599" s="3" t="s">
        <v>410</v>
      </c>
      <c r="D599" s="3" t="s">
        <v>404</v>
      </c>
      <c r="E599" s="3">
        <v>28</v>
      </c>
      <c r="F599" s="3">
        <v>28</v>
      </c>
      <c r="G599" s="3">
        <v>28</v>
      </c>
      <c r="H599" s="3">
        <v>39</v>
      </c>
      <c r="J599" s="3">
        <v>25</v>
      </c>
      <c r="K599" s="3">
        <v>26</v>
      </c>
      <c r="L599" s="3">
        <v>32</v>
      </c>
      <c r="M599" s="3">
        <v>27</v>
      </c>
      <c r="N599" s="3" t="s">
        <v>427</v>
      </c>
      <c r="O599" s="206">
        <f t="shared" ref="O599:O604" si="285">SUM(E599:I599)</f>
        <v>123</v>
      </c>
      <c r="P599" s="206">
        <f t="shared" ref="P599:P604" si="286">SUM(J599:N599)</f>
        <v>110</v>
      </c>
      <c r="Q599" s="206" t="str">
        <f t="shared" ref="Q599:Q604" si="287">IF(E599=J599,"TT",IF(E599&gt;J599,"HW","HL"))</f>
        <v>HW</v>
      </c>
      <c r="R599" s="206" t="str">
        <f t="shared" ref="R599:R604" si="288">IF(F599=K599,"TT",IF(F599&gt;K599,"HW","HL"))</f>
        <v>HW</v>
      </c>
      <c r="S599" s="206" t="str">
        <f t="shared" ref="S599:S604" si="289">IF(G599=L599,"TT",IF(G599&gt;L599,"HW","HL"))</f>
        <v>HL</v>
      </c>
      <c r="T599" s="206" t="str">
        <f t="shared" ref="T599:T604" si="290">IF(H599=M599,"TT",IF(H599&gt;M599,"HW","HL"))</f>
        <v>HW</v>
      </c>
      <c r="U599" s="206" t="str">
        <f t="shared" ref="U599:U604" si="291">IF(SUM(E599,J599)=$Z599,"T",IF(SUM(E599,J599)&gt;$Z599,"O","U"))</f>
        <v>U</v>
      </c>
      <c r="V599" s="206" t="str">
        <f t="shared" ref="V599:V604" si="292">IF(SUM(F599,K599)=$Z599,"T",IF(SUM(F599,K599)&gt;$Z599,"O","U"))</f>
        <v>U</v>
      </c>
      <c r="W599" s="206" t="str">
        <f t="shared" ref="W599:W604" si="293">IF(SUM(G599,L599)=$Z599,"T",IF(SUM(G599,L599)&gt;$Z599,"O","U"))</f>
        <v>O</v>
      </c>
      <c r="X599" s="206" t="str">
        <f t="shared" ref="X599:X604" si="294">IF(SUM(H599,M599)=$Z599,"T",IF(SUM(H599,M599)&gt;$Z599,"O","U"))</f>
        <v>O</v>
      </c>
      <c r="Y599" s="206"/>
      <c r="Z599" s="3">
        <v>56</v>
      </c>
      <c r="AB599" s="206" t="str">
        <f t="shared" si="284"/>
        <v>ATL/PHO</v>
      </c>
      <c r="AC599" s="206">
        <f t="shared" ref="AC599:AC604" si="295">COUNTIF(U599:X599,"o")</f>
        <v>2</v>
      </c>
      <c r="AD599" s="206">
        <f t="shared" ref="AD599:AD604" si="296">COUNTIF(U599:X599,"u")</f>
        <v>2</v>
      </c>
    </row>
    <row r="600" spans="1:30" x14ac:dyDescent="0.45">
      <c r="A600" s="206">
        <v>200115</v>
      </c>
      <c r="B600" s="44">
        <v>0.39583333333333331</v>
      </c>
      <c r="C600" s="3" t="s">
        <v>407</v>
      </c>
      <c r="D600" s="3" t="s">
        <v>405</v>
      </c>
      <c r="E600" s="3">
        <v>26</v>
      </c>
      <c r="F600" s="3">
        <v>19</v>
      </c>
      <c r="G600" s="3">
        <v>29</v>
      </c>
      <c r="H600" s="3">
        <v>33</v>
      </c>
      <c r="J600" s="3">
        <v>30</v>
      </c>
      <c r="K600" s="3">
        <v>29</v>
      </c>
      <c r="L600" s="3">
        <v>29</v>
      </c>
      <c r="M600" s="3">
        <v>30</v>
      </c>
      <c r="N600" s="3" t="s">
        <v>427</v>
      </c>
      <c r="O600" s="206">
        <f t="shared" si="285"/>
        <v>107</v>
      </c>
      <c r="P600" s="206">
        <f t="shared" si="286"/>
        <v>118</v>
      </c>
      <c r="Q600" s="206" t="str">
        <f t="shared" si="287"/>
        <v>HL</v>
      </c>
      <c r="R600" s="206" t="str">
        <f t="shared" si="288"/>
        <v>HL</v>
      </c>
      <c r="S600" s="206" t="str">
        <f t="shared" si="289"/>
        <v>TT</v>
      </c>
      <c r="T600" s="206" t="str">
        <f t="shared" si="290"/>
        <v>HW</v>
      </c>
      <c r="U600" s="206" t="str">
        <f t="shared" si="291"/>
        <v>O</v>
      </c>
      <c r="V600" s="206" t="str">
        <f t="shared" si="292"/>
        <v>U</v>
      </c>
      <c r="W600" s="206" t="str">
        <f t="shared" si="293"/>
        <v>O</v>
      </c>
      <c r="X600" s="206" t="str">
        <f t="shared" si="294"/>
        <v>O</v>
      </c>
      <c r="Y600" s="206"/>
      <c r="Z600" s="3">
        <v>54.5</v>
      </c>
      <c r="AB600" s="206" t="str">
        <f t="shared" si="284"/>
        <v>BKN/UTA</v>
      </c>
      <c r="AC600" s="206">
        <f t="shared" si="295"/>
        <v>3</v>
      </c>
      <c r="AD600" s="206">
        <f t="shared" si="296"/>
        <v>1</v>
      </c>
    </row>
    <row r="601" spans="1:30" x14ac:dyDescent="0.45">
      <c r="A601" s="206">
        <v>200115</v>
      </c>
      <c r="B601" s="44">
        <v>0.41666666666666669</v>
      </c>
      <c r="C601" s="3" t="s">
        <v>423</v>
      </c>
      <c r="D601" s="3" t="s">
        <v>399</v>
      </c>
      <c r="E601" s="3">
        <v>29</v>
      </c>
      <c r="F601" s="3">
        <v>36</v>
      </c>
      <c r="G601" s="3">
        <v>43</v>
      </c>
      <c r="H601" s="3">
        <v>20</v>
      </c>
      <c r="J601" s="3">
        <v>23</v>
      </c>
      <c r="K601" s="3">
        <v>17</v>
      </c>
      <c r="L601" s="3">
        <v>36</v>
      </c>
      <c r="M601" s="3">
        <v>26</v>
      </c>
      <c r="N601" s="3" t="s">
        <v>427</v>
      </c>
      <c r="O601" s="206">
        <f t="shared" si="285"/>
        <v>128</v>
      </c>
      <c r="P601" s="206">
        <f t="shared" si="286"/>
        <v>102</v>
      </c>
      <c r="Q601" s="206" t="str">
        <f t="shared" si="287"/>
        <v>HW</v>
      </c>
      <c r="R601" s="206" t="str">
        <f t="shared" si="288"/>
        <v>HW</v>
      </c>
      <c r="S601" s="206" t="str">
        <f t="shared" si="289"/>
        <v>HW</v>
      </c>
      <c r="T601" s="206" t="str">
        <f t="shared" si="290"/>
        <v>HL</v>
      </c>
      <c r="U601" s="206" t="str">
        <f t="shared" si="291"/>
        <v>U</v>
      </c>
      <c r="V601" s="206" t="str">
        <f t="shared" si="292"/>
        <v>U</v>
      </c>
      <c r="W601" s="206" t="str">
        <f t="shared" si="293"/>
        <v>O</v>
      </c>
      <c r="X601" s="206" t="str">
        <f t="shared" si="294"/>
        <v>U</v>
      </c>
      <c r="Y601" s="206"/>
      <c r="Z601" s="3">
        <v>59.5</v>
      </c>
      <c r="AB601" s="206" t="str">
        <f t="shared" si="284"/>
        <v>MIL/NYK</v>
      </c>
      <c r="AC601" s="206">
        <f t="shared" si="295"/>
        <v>1</v>
      </c>
      <c r="AD601" s="206">
        <f t="shared" si="296"/>
        <v>3</v>
      </c>
    </row>
    <row r="602" spans="1:30" x14ac:dyDescent="0.45">
      <c r="A602" s="206">
        <v>200115</v>
      </c>
      <c r="B602" s="44">
        <v>0.41666666666666669</v>
      </c>
      <c r="C602" s="3" t="s">
        <v>406</v>
      </c>
      <c r="D602" s="3" t="s">
        <v>403</v>
      </c>
      <c r="E602" s="3">
        <v>32</v>
      </c>
      <c r="F602" s="3">
        <v>35</v>
      </c>
      <c r="G602" s="3">
        <v>18</v>
      </c>
      <c r="H602" s="3">
        <v>36</v>
      </c>
      <c r="J602" s="3">
        <v>37</v>
      </c>
      <c r="K602" s="3">
        <v>24</v>
      </c>
      <c r="L602" s="3">
        <v>22</v>
      </c>
      <c r="M602" s="3">
        <v>27</v>
      </c>
      <c r="N602" s="3" t="s">
        <v>427</v>
      </c>
      <c r="O602" s="206">
        <f t="shared" si="285"/>
        <v>121</v>
      </c>
      <c r="P602" s="206">
        <f t="shared" si="286"/>
        <v>110</v>
      </c>
      <c r="Q602" s="206" t="str">
        <f t="shared" si="287"/>
        <v>HL</v>
      </c>
      <c r="R602" s="206" t="str">
        <f t="shared" si="288"/>
        <v>HW</v>
      </c>
      <c r="S602" s="206" t="str">
        <f t="shared" si="289"/>
        <v>HL</v>
      </c>
      <c r="T602" s="206" t="str">
        <f t="shared" si="290"/>
        <v>HW</v>
      </c>
      <c r="U602" s="206" t="str">
        <f t="shared" si="291"/>
        <v>O</v>
      </c>
      <c r="V602" s="206" t="str">
        <f t="shared" si="292"/>
        <v>U</v>
      </c>
      <c r="W602" s="206" t="str">
        <f t="shared" si="293"/>
        <v>U</v>
      </c>
      <c r="X602" s="206" t="str">
        <f t="shared" si="294"/>
        <v>O</v>
      </c>
      <c r="Y602" s="206"/>
      <c r="Z602" s="3">
        <v>62</v>
      </c>
      <c r="AB602" s="206" t="str">
        <f t="shared" si="284"/>
        <v>MEM/HOU</v>
      </c>
      <c r="AC602" s="206">
        <f t="shared" si="295"/>
        <v>2</v>
      </c>
      <c r="AD602" s="206">
        <f t="shared" si="296"/>
        <v>2</v>
      </c>
    </row>
    <row r="603" spans="1:30" x14ac:dyDescent="0.45">
      <c r="A603" s="206">
        <v>200115</v>
      </c>
      <c r="B603" s="44">
        <v>0.52083333333333337</v>
      </c>
      <c r="C603" s="3" t="s">
        <v>425</v>
      </c>
      <c r="D603" s="3" t="s">
        <v>397</v>
      </c>
      <c r="E603" s="3">
        <v>26</v>
      </c>
      <c r="F603" s="3">
        <v>21</v>
      </c>
      <c r="G603" s="3">
        <v>24</v>
      </c>
      <c r="H603" s="3">
        <v>26</v>
      </c>
      <c r="J603" s="3">
        <v>36</v>
      </c>
      <c r="K603" s="3">
        <v>29</v>
      </c>
      <c r="L603" s="3">
        <v>29</v>
      </c>
      <c r="M603" s="3">
        <v>30</v>
      </c>
      <c r="N603" s="3" t="s">
        <v>427</v>
      </c>
      <c r="O603" s="206">
        <f t="shared" si="285"/>
        <v>97</v>
      </c>
      <c r="P603" s="206">
        <f t="shared" si="286"/>
        <v>124</v>
      </c>
      <c r="Q603" s="206" t="str">
        <f t="shared" si="287"/>
        <v>HL</v>
      </c>
      <c r="R603" s="206" t="str">
        <f t="shared" si="288"/>
        <v>HL</v>
      </c>
      <c r="S603" s="206" t="str">
        <f t="shared" si="289"/>
        <v>HL</v>
      </c>
      <c r="T603" s="206" t="str">
        <f t="shared" si="290"/>
        <v>HL</v>
      </c>
      <c r="U603" s="206" t="str">
        <f t="shared" si="291"/>
        <v>O</v>
      </c>
      <c r="V603" s="206" t="str">
        <f t="shared" si="292"/>
        <v>U</v>
      </c>
      <c r="W603" s="206" t="str">
        <f t="shared" si="293"/>
        <v>U</v>
      </c>
      <c r="X603" s="206" t="str">
        <f t="shared" si="294"/>
        <v>U</v>
      </c>
      <c r="Y603" s="206"/>
      <c r="Z603" s="3">
        <v>57.5</v>
      </c>
      <c r="AB603" s="206" t="str">
        <f t="shared" si="284"/>
        <v>GS/DAL</v>
      </c>
      <c r="AC603" s="206">
        <f t="shared" si="295"/>
        <v>1</v>
      </c>
      <c r="AD603" s="206">
        <f t="shared" si="296"/>
        <v>3</v>
      </c>
    </row>
    <row r="604" spans="1:30" x14ac:dyDescent="0.45">
      <c r="A604" s="206">
        <v>200115</v>
      </c>
      <c r="B604" s="44">
        <v>0.52083333333333337</v>
      </c>
      <c r="C604" s="3" t="s">
        <v>415</v>
      </c>
      <c r="D604" s="3" t="s">
        <v>402</v>
      </c>
      <c r="E604" s="3">
        <v>31</v>
      </c>
      <c r="F604" s="3">
        <v>35</v>
      </c>
      <c r="G604" s="3">
        <v>40</v>
      </c>
      <c r="H604" s="3">
        <v>22</v>
      </c>
      <c r="J604" s="3">
        <v>26</v>
      </c>
      <c r="K604" s="3">
        <v>24</v>
      </c>
      <c r="L604" s="3">
        <v>21</v>
      </c>
      <c r="M604" s="3">
        <v>32</v>
      </c>
      <c r="N604" s="3" t="s">
        <v>427</v>
      </c>
      <c r="O604" s="206">
        <f t="shared" si="285"/>
        <v>128</v>
      </c>
      <c r="P604" s="206">
        <f t="shared" si="286"/>
        <v>103</v>
      </c>
      <c r="Q604" s="206" t="str">
        <f t="shared" si="287"/>
        <v>HW</v>
      </c>
      <c r="R604" s="206" t="str">
        <f t="shared" si="288"/>
        <v>HW</v>
      </c>
      <c r="S604" s="206" t="str">
        <f t="shared" si="289"/>
        <v>HW</v>
      </c>
      <c r="T604" s="206" t="str">
        <f t="shared" si="290"/>
        <v>HL</v>
      </c>
      <c r="U604" s="206" t="str">
        <f t="shared" si="291"/>
        <v>O</v>
      </c>
      <c r="V604" s="206" t="str">
        <f t="shared" si="292"/>
        <v>O</v>
      </c>
      <c r="W604" s="206" t="str">
        <f t="shared" si="293"/>
        <v>O</v>
      </c>
      <c r="X604" s="206" t="str">
        <f t="shared" si="294"/>
        <v>U</v>
      </c>
      <c r="Y604" s="206"/>
      <c r="Z604" s="3">
        <v>55</v>
      </c>
      <c r="AB604" s="206" t="str">
        <f t="shared" si="284"/>
        <v>LAC/CLE</v>
      </c>
      <c r="AC604" s="206">
        <f t="shared" si="295"/>
        <v>3</v>
      </c>
      <c r="AD604" s="206">
        <f t="shared" si="296"/>
        <v>1</v>
      </c>
    </row>
    <row r="605" spans="1:30" x14ac:dyDescent="0.45">
      <c r="A605" s="256">
        <v>200116</v>
      </c>
      <c r="B605" s="44">
        <v>0.375</v>
      </c>
      <c r="C605" s="256" t="s">
        <v>421</v>
      </c>
      <c r="D605" s="256" t="s">
        <v>422</v>
      </c>
      <c r="E605" s="256">
        <v>24</v>
      </c>
      <c r="F605" s="256">
        <v>35</v>
      </c>
      <c r="G605" s="256">
        <v>23</v>
      </c>
      <c r="H605" s="256">
        <v>21</v>
      </c>
      <c r="I605" s="256"/>
      <c r="J605" s="256">
        <v>27</v>
      </c>
      <c r="K605" s="256">
        <v>30</v>
      </c>
      <c r="L605" s="256">
        <v>34</v>
      </c>
      <c r="M605" s="256">
        <v>25</v>
      </c>
      <c r="N605" s="256"/>
      <c r="O605" s="256">
        <f t="shared" ref="O605:O668" si="297">SUM(E605:I605)</f>
        <v>103</v>
      </c>
      <c r="P605" s="256">
        <f t="shared" ref="P605:P668" si="298">SUM(J605:N605)</f>
        <v>116</v>
      </c>
      <c r="Q605" s="256" t="str">
        <f t="shared" ref="Q605:Q668" si="299">IF(E605=J605,"TT",IF(E605&gt;J605,"HW","HL"))</f>
        <v>HL</v>
      </c>
      <c r="R605" s="256" t="str">
        <f t="shared" ref="R605:R668" si="300">IF(F605=K605,"TT",IF(F605&gt;K605,"HW","HL"))</f>
        <v>HW</v>
      </c>
      <c r="S605" s="256" t="str">
        <f t="shared" ref="S605:S668" si="301">IF(G605=L605,"TT",IF(G605&gt;L605,"HW","HL"))</f>
        <v>HL</v>
      </c>
      <c r="T605" s="256" t="str">
        <f t="shared" ref="T605:T668" si="302">IF(H605=M605,"TT",IF(H605&gt;M605,"HW","HL"))</f>
        <v>HL</v>
      </c>
      <c r="U605" s="256" t="str">
        <f t="shared" ref="U605:U668" si="303">IF(SUM(E605,J605)=$Z605,"T",IF(SUM(E605,J605)&gt;$Z605,"O","U"))</f>
        <v>U</v>
      </c>
      <c r="V605" s="256" t="str">
        <f t="shared" ref="V605:V668" si="304">IF(SUM(F605,K605)=$Z605,"T",IF(SUM(F605,K605)&gt;$Z605,"O","U"))</f>
        <v>O</v>
      </c>
      <c r="W605" s="256" t="str">
        <f t="shared" ref="W605:W668" si="305">IF(SUM(G605,L605)=$Z605,"T",IF(SUM(G605,L605)&gt;$Z605,"O","U"))</f>
        <v>O</v>
      </c>
      <c r="X605" s="256" t="str">
        <f t="shared" ref="X605:X668" si="306">IF(SUM(H605,M605)=$Z605,"T",IF(SUM(H605,M605)&gt;$Z605,"O","U"))</f>
        <v>U</v>
      </c>
      <c r="Z605" s="3">
        <v>55</v>
      </c>
      <c r="AB605" s="256" t="str">
        <f t="shared" si="284"/>
        <v>BOS/DET</v>
      </c>
      <c r="AC605" s="256">
        <f t="shared" ref="AC605:AC668" si="307">COUNTIF(U605:X605,"o")</f>
        <v>2</v>
      </c>
      <c r="AD605" s="256">
        <f t="shared" ref="AD605:AD668" si="308">COUNTIF(U605:X605,"u")</f>
        <v>2</v>
      </c>
    </row>
    <row r="606" spans="1:30" x14ac:dyDescent="0.45">
      <c r="A606" s="256">
        <v>200116</v>
      </c>
      <c r="B606" s="44">
        <v>0.375</v>
      </c>
      <c r="C606" s="11" t="s">
        <v>401</v>
      </c>
      <c r="D606" s="11" t="s">
        <v>407</v>
      </c>
      <c r="E606" s="256">
        <v>25</v>
      </c>
      <c r="F606" s="256">
        <v>29</v>
      </c>
      <c r="G606" s="256">
        <v>32</v>
      </c>
      <c r="H606" s="256">
        <v>31</v>
      </c>
      <c r="I606" s="256"/>
      <c r="J606" s="256">
        <v>28</v>
      </c>
      <c r="K606" s="256">
        <v>29</v>
      </c>
      <c r="L606" s="256">
        <v>33</v>
      </c>
      <c r="M606" s="256">
        <v>16</v>
      </c>
      <c r="N606" s="256" t="s">
        <v>427</v>
      </c>
      <c r="O606" s="256">
        <f t="shared" si="297"/>
        <v>117</v>
      </c>
      <c r="P606" s="256">
        <f t="shared" si="298"/>
        <v>106</v>
      </c>
      <c r="Q606" s="256" t="str">
        <f t="shared" si="299"/>
        <v>HL</v>
      </c>
      <c r="R606" s="256" t="str">
        <f t="shared" si="300"/>
        <v>TT</v>
      </c>
      <c r="S606" s="256" t="str">
        <f t="shared" si="301"/>
        <v>HL</v>
      </c>
      <c r="T606" s="256" t="str">
        <f t="shared" si="302"/>
        <v>HW</v>
      </c>
      <c r="U606" s="256" t="str">
        <f t="shared" si="303"/>
        <v>U</v>
      </c>
      <c r="V606" s="256" t="str">
        <f t="shared" si="304"/>
        <v>O</v>
      </c>
      <c r="W606" s="256" t="str">
        <f t="shared" si="305"/>
        <v>O</v>
      </c>
      <c r="X606" s="256" t="str">
        <f t="shared" si="306"/>
        <v>U</v>
      </c>
      <c r="Z606" s="3">
        <v>56</v>
      </c>
      <c r="AB606" s="256" t="str">
        <f t="shared" si="284"/>
        <v>PHI/BKN</v>
      </c>
      <c r="AC606" s="256">
        <f t="shared" si="307"/>
        <v>2</v>
      </c>
      <c r="AD606" s="256">
        <f t="shared" si="308"/>
        <v>2</v>
      </c>
    </row>
    <row r="607" spans="1:30" x14ac:dyDescent="0.45">
      <c r="A607" s="256">
        <v>200116</v>
      </c>
      <c r="B607" s="44">
        <v>0.39583333333333331</v>
      </c>
      <c r="C607" s="256" t="s">
        <v>411</v>
      </c>
      <c r="D607" s="256" t="s">
        <v>426</v>
      </c>
      <c r="E607" s="256">
        <v>24</v>
      </c>
      <c r="F607" s="256">
        <v>27</v>
      </c>
      <c r="G607" s="256">
        <v>24</v>
      </c>
      <c r="H607" s="256">
        <v>31</v>
      </c>
      <c r="I607" s="256"/>
      <c r="J607" s="256">
        <v>17</v>
      </c>
      <c r="K607" s="256">
        <v>34</v>
      </c>
      <c r="L607" s="256">
        <v>26</v>
      </c>
      <c r="M607" s="256">
        <v>23</v>
      </c>
      <c r="N607" s="256" t="s">
        <v>427</v>
      </c>
      <c r="O607" s="256">
        <f t="shared" si="297"/>
        <v>106</v>
      </c>
      <c r="P607" s="256">
        <f t="shared" si="298"/>
        <v>100</v>
      </c>
      <c r="Q607" s="256" t="str">
        <f t="shared" si="299"/>
        <v>HW</v>
      </c>
      <c r="R607" s="256" t="str">
        <f t="shared" si="300"/>
        <v>HL</v>
      </c>
      <c r="S607" s="256" t="str">
        <f t="shared" si="301"/>
        <v>HL</v>
      </c>
      <c r="T607" s="256" t="str">
        <f t="shared" si="302"/>
        <v>HW</v>
      </c>
      <c r="U607" s="256" t="str">
        <f t="shared" si="303"/>
        <v>U</v>
      </c>
      <c r="V607" s="256" t="str">
        <f t="shared" si="304"/>
        <v>O</v>
      </c>
      <c r="W607" s="256" t="str">
        <f t="shared" si="305"/>
        <v>U</v>
      </c>
      <c r="X607" s="256" t="str">
        <f t="shared" si="306"/>
        <v>U</v>
      </c>
      <c r="Z607" s="3">
        <v>55.5</v>
      </c>
      <c r="AB607" s="256" t="str">
        <f t="shared" si="284"/>
        <v>MIA/SAS</v>
      </c>
      <c r="AC607" s="256">
        <f t="shared" si="307"/>
        <v>1</v>
      </c>
      <c r="AD607" s="256">
        <f t="shared" si="308"/>
        <v>3</v>
      </c>
    </row>
    <row r="608" spans="1:30" x14ac:dyDescent="0.45">
      <c r="A608" s="256">
        <v>200116</v>
      </c>
      <c r="B608" s="44">
        <v>0.41666666666666669</v>
      </c>
      <c r="C608" s="256" t="s">
        <v>32</v>
      </c>
      <c r="D608" s="256" t="s">
        <v>414</v>
      </c>
      <c r="E608" s="256">
        <v>24</v>
      </c>
      <c r="F608" s="256">
        <v>31</v>
      </c>
      <c r="G608" s="256">
        <v>30</v>
      </c>
      <c r="H608" s="256">
        <v>30</v>
      </c>
      <c r="I608" s="256"/>
      <c r="J608" s="256">
        <v>26</v>
      </c>
      <c r="K608" s="256">
        <v>34</v>
      </c>
      <c r="L608" s="256">
        <v>20</v>
      </c>
      <c r="M608" s="256">
        <v>26</v>
      </c>
      <c r="N608" s="256"/>
      <c r="O608" s="256">
        <f t="shared" si="297"/>
        <v>115</v>
      </c>
      <c r="P608" s="256">
        <f t="shared" si="298"/>
        <v>106</v>
      </c>
      <c r="Q608" s="256" t="str">
        <f t="shared" si="299"/>
        <v>HL</v>
      </c>
      <c r="R608" s="256" t="str">
        <f t="shared" si="300"/>
        <v>HL</v>
      </c>
      <c r="S608" s="256" t="str">
        <f t="shared" si="301"/>
        <v>HW</v>
      </c>
      <c r="T608" s="256" t="str">
        <f t="shared" si="302"/>
        <v>HW</v>
      </c>
      <c r="U608" s="256" t="str">
        <f t="shared" si="303"/>
        <v>U</v>
      </c>
      <c r="V608" s="256" t="str">
        <f t="shared" si="304"/>
        <v>O</v>
      </c>
      <c r="W608" s="256" t="str">
        <f t="shared" si="305"/>
        <v>U</v>
      </c>
      <c r="X608" s="256" t="str">
        <f t="shared" si="306"/>
        <v>U</v>
      </c>
      <c r="Z608" s="3">
        <v>57.5</v>
      </c>
      <c r="AB608" s="256" t="str">
        <f t="shared" si="284"/>
        <v>CHI/WAS</v>
      </c>
      <c r="AC608" s="256">
        <f t="shared" si="307"/>
        <v>1</v>
      </c>
      <c r="AD608" s="256">
        <f t="shared" si="308"/>
        <v>3</v>
      </c>
    </row>
    <row r="609" spans="1:30" x14ac:dyDescent="0.45">
      <c r="A609" s="256">
        <v>200116</v>
      </c>
      <c r="B609" s="44">
        <v>0.41666666666666669</v>
      </c>
      <c r="C609" s="256" t="s">
        <v>420</v>
      </c>
      <c r="D609" s="256" t="s">
        <v>400</v>
      </c>
      <c r="E609" s="256">
        <v>30</v>
      </c>
      <c r="F609" s="256">
        <v>29</v>
      </c>
      <c r="G609" s="256">
        <v>18</v>
      </c>
      <c r="H609" s="256">
        <v>22</v>
      </c>
      <c r="I609" s="256"/>
      <c r="J609" s="256">
        <v>24</v>
      </c>
      <c r="K609" s="256">
        <v>30</v>
      </c>
      <c r="L609" s="256">
        <v>22</v>
      </c>
      <c r="M609" s="256">
        <v>28</v>
      </c>
      <c r="N609" s="256" t="s">
        <v>427</v>
      </c>
      <c r="O609" s="256">
        <f t="shared" si="297"/>
        <v>99</v>
      </c>
      <c r="P609" s="256">
        <f t="shared" si="298"/>
        <v>104</v>
      </c>
      <c r="Q609" s="256" t="str">
        <f t="shared" si="299"/>
        <v>HW</v>
      </c>
      <c r="R609" s="256" t="str">
        <f t="shared" si="300"/>
        <v>HL</v>
      </c>
      <c r="S609" s="256" t="str">
        <f t="shared" si="301"/>
        <v>HL</v>
      </c>
      <c r="T609" s="256" t="str">
        <f t="shared" si="302"/>
        <v>HL</v>
      </c>
      <c r="U609" s="256" t="str">
        <f t="shared" si="303"/>
        <v>U</v>
      </c>
      <c r="V609" s="256" t="str">
        <f t="shared" si="304"/>
        <v>O</v>
      </c>
      <c r="W609" s="256" t="str">
        <f t="shared" si="305"/>
        <v>U</v>
      </c>
      <c r="X609" s="256" t="str">
        <f t="shared" si="306"/>
        <v>U</v>
      </c>
      <c r="Z609" s="3">
        <v>55</v>
      </c>
      <c r="AB609" s="256" t="str">
        <f t="shared" si="284"/>
        <v>MIN/IND</v>
      </c>
      <c r="AC609" s="256">
        <f t="shared" si="307"/>
        <v>1</v>
      </c>
      <c r="AD609" s="256">
        <f t="shared" si="308"/>
        <v>3</v>
      </c>
    </row>
    <row r="610" spans="1:30" x14ac:dyDescent="0.45">
      <c r="A610" s="256">
        <v>200116</v>
      </c>
      <c r="B610" s="44">
        <v>0.41666666666666669</v>
      </c>
      <c r="C610" s="14" t="s">
        <v>418</v>
      </c>
      <c r="D610" s="14" t="s">
        <v>413</v>
      </c>
      <c r="E610" s="256">
        <v>25</v>
      </c>
      <c r="F610" s="256">
        <v>30</v>
      </c>
      <c r="G610" s="256">
        <v>28</v>
      </c>
      <c r="H610" s="256">
        <v>38</v>
      </c>
      <c r="I610" s="256"/>
      <c r="J610" s="256">
        <v>38</v>
      </c>
      <c r="K610" s="256">
        <v>35</v>
      </c>
      <c r="L610" s="256">
        <v>24</v>
      </c>
      <c r="M610" s="256">
        <v>33</v>
      </c>
      <c r="N610" s="256" t="s">
        <v>427</v>
      </c>
      <c r="O610" s="256">
        <f t="shared" si="297"/>
        <v>121</v>
      </c>
      <c r="P610" s="256">
        <f t="shared" si="298"/>
        <v>130</v>
      </c>
      <c r="Q610" s="256" t="str">
        <f t="shared" si="299"/>
        <v>HL</v>
      </c>
      <c r="R610" s="256" t="str">
        <f t="shared" si="300"/>
        <v>HL</v>
      </c>
      <c r="S610" s="256" t="str">
        <f t="shared" si="301"/>
        <v>HW</v>
      </c>
      <c r="T610" s="256" t="str">
        <f t="shared" si="302"/>
        <v>HW</v>
      </c>
      <c r="U610" s="256" t="str">
        <f t="shared" si="303"/>
        <v>O</v>
      </c>
      <c r="V610" s="256" t="str">
        <f t="shared" si="304"/>
        <v>O</v>
      </c>
      <c r="W610" s="256" t="str">
        <f t="shared" si="305"/>
        <v>U</v>
      </c>
      <c r="X610" s="256" t="str">
        <f t="shared" si="306"/>
        <v>O</v>
      </c>
      <c r="Z610" s="3">
        <v>53.5</v>
      </c>
      <c r="AB610" s="256" t="str">
        <f t="shared" si="284"/>
        <v>OKC/TOR</v>
      </c>
      <c r="AC610" s="256">
        <f t="shared" si="307"/>
        <v>3</v>
      </c>
      <c r="AD610" s="256">
        <f t="shared" si="308"/>
        <v>1</v>
      </c>
    </row>
    <row r="611" spans="1:30" x14ac:dyDescent="0.45">
      <c r="A611" s="256">
        <v>200116</v>
      </c>
      <c r="B611" s="257">
        <v>0.45833333333333331</v>
      </c>
      <c r="C611" s="256" t="s">
        <v>87</v>
      </c>
      <c r="D611" s="256" t="s">
        <v>409</v>
      </c>
      <c r="E611" s="256">
        <v>28</v>
      </c>
      <c r="F611" s="256">
        <v>29</v>
      </c>
      <c r="G611" s="256">
        <v>17</v>
      </c>
      <c r="H611" s="256">
        <v>26</v>
      </c>
      <c r="I611" s="256"/>
      <c r="J611" s="256">
        <v>25</v>
      </c>
      <c r="K611" s="256">
        <v>17</v>
      </c>
      <c r="L611" s="256">
        <v>27</v>
      </c>
      <c r="M611" s="256">
        <v>17</v>
      </c>
      <c r="N611" s="256"/>
      <c r="O611" s="256">
        <f t="shared" si="297"/>
        <v>100</v>
      </c>
      <c r="P611" s="256">
        <f t="shared" si="298"/>
        <v>86</v>
      </c>
      <c r="Q611" s="256" t="str">
        <f t="shared" si="299"/>
        <v>HW</v>
      </c>
      <c r="R611" s="256" t="str">
        <f t="shared" si="300"/>
        <v>HW</v>
      </c>
      <c r="S611" s="256" t="str">
        <f t="shared" si="301"/>
        <v>HL</v>
      </c>
      <c r="T611" s="256" t="str">
        <f t="shared" si="302"/>
        <v>HW</v>
      </c>
      <c r="U611" s="256" t="str">
        <f t="shared" si="303"/>
        <v>T</v>
      </c>
      <c r="V611" s="256" t="str">
        <f t="shared" si="304"/>
        <v>U</v>
      </c>
      <c r="W611" s="256" t="str">
        <f t="shared" si="305"/>
        <v>U</v>
      </c>
      <c r="X611" s="256" t="str">
        <f t="shared" si="306"/>
        <v>U</v>
      </c>
      <c r="Z611" s="3">
        <v>53</v>
      </c>
      <c r="AB611" s="256" t="str">
        <f t="shared" si="284"/>
        <v>DEN/CHA</v>
      </c>
      <c r="AC611" s="256">
        <f t="shared" si="307"/>
        <v>0</v>
      </c>
      <c r="AD611" s="256">
        <f t="shared" si="308"/>
        <v>3</v>
      </c>
    </row>
    <row r="612" spans="1:30" x14ac:dyDescent="0.45">
      <c r="A612" s="256">
        <v>200116</v>
      </c>
      <c r="B612" s="257">
        <v>0.47916666666666669</v>
      </c>
      <c r="C612" s="256" t="s">
        <v>403</v>
      </c>
      <c r="D612" s="256" t="s">
        <v>417</v>
      </c>
      <c r="E612" s="256">
        <v>26</v>
      </c>
      <c r="F612" s="256">
        <v>21</v>
      </c>
      <c r="G612" s="256">
        <v>30</v>
      </c>
      <c r="H612" s="256">
        <v>30</v>
      </c>
      <c r="I612" s="256"/>
      <c r="J612" s="256">
        <v>28</v>
      </c>
      <c r="K612" s="256">
        <v>32</v>
      </c>
      <c r="L612" s="256">
        <v>30</v>
      </c>
      <c r="M612" s="256">
        <v>27</v>
      </c>
      <c r="N612" s="256"/>
      <c r="O612" s="256">
        <f t="shared" si="297"/>
        <v>107</v>
      </c>
      <c r="P612" s="256">
        <f t="shared" si="298"/>
        <v>117</v>
      </c>
      <c r="Q612" s="256" t="str">
        <f t="shared" si="299"/>
        <v>HL</v>
      </c>
      <c r="R612" s="256" t="str">
        <f t="shared" si="300"/>
        <v>HL</v>
      </c>
      <c r="S612" s="256" t="str">
        <f t="shared" si="301"/>
        <v>TT</v>
      </c>
      <c r="T612" s="256" t="str">
        <f t="shared" si="302"/>
        <v>HW</v>
      </c>
      <c r="U612" s="256" t="str">
        <f t="shared" si="303"/>
        <v>U</v>
      </c>
      <c r="V612" s="256" t="str">
        <f t="shared" si="304"/>
        <v>U</v>
      </c>
      <c r="W612" s="256" t="str">
        <f t="shared" si="305"/>
        <v>O</v>
      </c>
      <c r="X612" s="256" t="str">
        <f t="shared" si="306"/>
        <v>U</v>
      </c>
      <c r="Z612" s="3">
        <v>59.5</v>
      </c>
      <c r="AB612" s="256" t="str">
        <f t="shared" si="284"/>
        <v>HOU/POR</v>
      </c>
      <c r="AC612" s="256">
        <f t="shared" si="307"/>
        <v>1</v>
      </c>
      <c r="AD612" s="256">
        <f t="shared" si="308"/>
        <v>3</v>
      </c>
    </row>
    <row r="613" spans="1:30" x14ac:dyDescent="0.45">
      <c r="A613" s="256">
        <v>200116</v>
      </c>
      <c r="B613" s="44">
        <v>0.5</v>
      </c>
      <c r="C613" s="11" t="s">
        <v>416</v>
      </c>
      <c r="D613" s="11" t="s">
        <v>397</v>
      </c>
      <c r="E613" s="256">
        <v>31</v>
      </c>
      <c r="F613" s="256">
        <v>36</v>
      </c>
      <c r="G613" s="256">
        <v>26</v>
      </c>
      <c r="H613" s="256">
        <v>30</v>
      </c>
      <c r="I613" s="256"/>
      <c r="J613" s="256">
        <v>35</v>
      </c>
      <c r="K613" s="256">
        <v>36</v>
      </c>
      <c r="L613" s="256">
        <v>37</v>
      </c>
      <c r="M613" s="256">
        <v>19</v>
      </c>
      <c r="N613" s="256" t="s">
        <v>427</v>
      </c>
      <c r="O613" s="256">
        <f t="shared" si="297"/>
        <v>123</v>
      </c>
      <c r="P613" s="256">
        <f t="shared" si="298"/>
        <v>127</v>
      </c>
      <c r="Q613" s="256" t="str">
        <f t="shared" si="299"/>
        <v>HL</v>
      </c>
      <c r="R613" s="256" t="str">
        <f t="shared" si="300"/>
        <v>TT</v>
      </c>
      <c r="S613" s="256" t="str">
        <f t="shared" si="301"/>
        <v>HL</v>
      </c>
      <c r="T613" s="256" t="str">
        <f t="shared" si="302"/>
        <v>HW</v>
      </c>
      <c r="U613" s="256" t="str">
        <f t="shared" si="303"/>
        <v>O</v>
      </c>
      <c r="V613" s="256" t="str">
        <f t="shared" si="304"/>
        <v>O</v>
      </c>
      <c r="W613" s="256" t="str">
        <f t="shared" si="305"/>
        <v>O</v>
      </c>
      <c r="X613" s="256" t="str">
        <f t="shared" si="306"/>
        <v>U</v>
      </c>
      <c r="Z613" s="3">
        <v>56.5</v>
      </c>
      <c r="AB613" s="256" t="str">
        <f t="shared" si="284"/>
        <v>SAC/DAL</v>
      </c>
      <c r="AC613" s="256">
        <f t="shared" si="307"/>
        <v>3</v>
      </c>
      <c r="AD613" s="256">
        <f t="shared" si="308"/>
        <v>1</v>
      </c>
    </row>
    <row r="614" spans="1:30" x14ac:dyDescent="0.45">
      <c r="A614" s="256">
        <v>200116</v>
      </c>
      <c r="B614" s="44">
        <v>0.52083333333333337</v>
      </c>
      <c r="C614" s="11" t="s">
        <v>419</v>
      </c>
      <c r="D614" s="11" t="s">
        <v>424</v>
      </c>
      <c r="E614" s="256">
        <v>29</v>
      </c>
      <c r="F614" s="256">
        <v>29</v>
      </c>
      <c r="G614" s="256">
        <v>30</v>
      </c>
      <c r="H614" s="256">
        <v>30</v>
      </c>
      <c r="I614" s="256"/>
      <c r="J614" s="256">
        <v>35</v>
      </c>
      <c r="K614" s="256">
        <v>30</v>
      </c>
      <c r="L614" s="256">
        <v>24</v>
      </c>
      <c r="M614" s="256">
        <v>30</v>
      </c>
      <c r="N614" s="256" t="s">
        <v>427</v>
      </c>
      <c r="O614" s="256">
        <f t="shared" si="297"/>
        <v>118</v>
      </c>
      <c r="P614" s="256">
        <f t="shared" si="298"/>
        <v>119</v>
      </c>
      <c r="Q614" s="256" t="str">
        <f t="shared" si="299"/>
        <v>HL</v>
      </c>
      <c r="R614" s="256" t="str">
        <f t="shared" si="300"/>
        <v>HL</v>
      </c>
      <c r="S614" s="256" t="str">
        <f t="shared" si="301"/>
        <v>HW</v>
      </c>
      <c r="T614" s="256" t="str">
        <f t="shared" si="302"/>
        <v>TT</v>
      </c>
      <c r="U614" s="256" t="str">
        <f t="shared" si="303"/>
        <v>O</v>
      </c>
      <c r="V614" s="256" t="str">
        <f t="shared" si="304"/>
        <v>O</v>
      </c>
      <c r="W614" s="256" t="str">
        <f t="shared" si="305"/>
        <v>O</v>
      </c>
      <c r="X614" s="256" t="str">
        <f t="shared" si="306"/>
        <v>O</v>
      </c>
      <c r="Z614" s="3">
        <v>52.5</v>
      </c>
      <c r="AB614" s="256" t="str">
        <f t="shared" si="284"/>
        <v>LAL/ORL</v>
      </c>
      <c r="AC614" s="256">
        <f t="shared" si="307"/>
        <v>4</v>
      </c>
      <c r="AD614" s="256">
        <f t="shared" si="308"/>
        <v>0</v>
      </c>
    </row>
    <row r="615" spans="1:30" x14ac:dyDescent="0.3">
      <c r="A615" s="256">
        <v>200117</v>
      </c>
      <c r="B615" s="257">
        <v>0.39583333333333331</v>
      </c>
      <c r="C615" s="256" t="s">
        <v>399</v>
      </c>
      <c r="D615" s="256" t="s">
        <v>404</v>
      </c>
      <c r="E615" s="256">
        <v>32</v>
      </c>
      <c r="F615" s="256">
        <v>20</v>
      </c>
      <c r="G615" s="256">
        <v>27</v>
      </c>
      <c r="H615" s="256">
        <v>19</v>
      </c>
      <c r="I615" s="256"/>
      <c r="J615" s="256">
        <v>25</v>
      </c>
      <c r="K615" s="256">
        <v>33</v>
      </c>
      <c r="L615" s="256">
        <v>32</v>
      </c>
      <c r="M615" s="256">
        <v>31</v>
      </c>
      <c r="N615" s="256"/>
      <c r="O615" s="256">
        <f t="shared" si="297"/>
        <v>98</v>
      </c>
      <c r="P615" s="256">
        <f t="shared" si="298"/>
        <v>121</v>
      </c>
      <c r="Q615" s="256" t="str">
        <f t="shared" si="299"/>
        <v>HW</v>
      </c>
      <c r="R615" s="256" t="str">
        <f t="shared" si="300"/>
        <v>HL</v>
      </c>
      <c r="S615" s="256" t="str">
        <f t="shared" si="301"/>
        <v>HL</v>
      </c>
      <c r="T615" s="256" t="str">
        <f t="shared" si="302"/>
        <v>HL</v>
      </c>
      <c r="U615" s="256" t="str">
        <f t="shared" si="303"/>
        <v>T</v>
      </c>
      <c r="V615" s="256" t="str">
        <f t="shared" si="304"/>
        <v>U</v>
      </c>
      <c r="W615" s="256" t="str">
        <f t="shared" si="305"/>
        <v>O</v>
      </c>
      <c r="X615" s="256" t="str">
        <f t="shared" si="306"/>
        <v>U</v>
      </c>
      <c r="Z615" s="3">
        <v>57</v>
      </c>
      <c r="AB615" s="256" t="str">
        <f t="shared" si="284"/>
        <v>NYK/PHO</v>
      </c>
      <c r="AC615" s="256">
        <f t="shared" si="307"/>
        <v>1</v>
      </c>
      <c r="AD615" s="256">
        <f t="shared" si="308"/>
        <v>2</v>
      </c>
    </row>
    <row r="616" spans="1:30" x14ac:dyDescent="0.3">
      <c r="A616" s="256">
        <v>200117</v>
      </c>
      <c r="B616" s="257">
        <v>0.41666666666666669</v>
      </c>
      <c r="C616" s="256" t="s">
        <v>398</v>
      </c>
      <c r="D616" s="256" t="s">
        <v>405</v>
      </c>
      <c r="E616" s="256">
        <v>25</v>
      </c>
      <c r="F616" s="256">
        <v>31</v>
      </c>
      <c r="G616" s="256">
        <v>31</v>
      </c>
      <c r="H616" s="256">
        <v>35</v>
      </c>
      <c r="I616" s="256">
        <v>16</v>
      </c>
      <c r="J616" s="256">
        <v>28</v>
      </c>
      <c r="K616" s="256">
        <v>21</v>
      </c>
      <c r="L616" s="256">
        <v>42</v>
      </c>
      <c r="M616" s="256">
        <v>31</v>
      </c>
      <c r="N616" s="256">
        <v>10</v>
      </c>
      <c r="O616" s="256">
        <f t="shared" si="297"/>
        <v>138</v>
      </c>
      <c r="P616" s="256">
        <f t="shared" si="298"/>
        <v>132</v>
      </c>
      <c r="Q616" s="256" t="str">
        <f t="shared" si="299"/>
        <v>HL</v>
      </c>
      <c r="R616" s="256" t="str">
        <f t="shared" si="300"/>
        <v>HW</v>
      </c>
      <c r="S616" s="256" t="str">
        <f t="shared" si="301"/>
        <v>HL</v>
      </c>
      <c r="T616" s="256" t="str">
        <f t="shared" si="302"/>
        <v>HW</v>
      </c>
      <c r="U616" s="256" t="str">
        <f t="shared" si="303"/>
        <v>U</v>
      </c>
      <c r="V616" s="256" t="str">
        <f t="shared" si="304"/>
        <v>U</v>
      </c>
      <c r="W616" s="256" t="str">
        <f t="shared" si="305"/>
        <v>O</v>
      </c>
      <c r="X616" s="256" t="str">
        <f t="shared" si="306"/>
        <v>O</v>
      </c>
      <c r="Z616" s="3">
        <v>56.5</v>
      </c>
      <c r="AB616" s="256" t="str">
        <f t="shared" si="284"/>
        <v>NO/UTA</v>
      </c>
      <c r="AC616" s="256">
        <f t="shared" si="307"/>
        <v>2</v>
      </c>
      <c r="AD616" s="256">
        <f t="shared" si="308"/>
        <v>2</v>
      </c>
    </row>
    <row r="617" spans="1:30" x14ac:dyDescent="0.3">
      <c r="A617" s="256">
        <v>200117</v>
      </c>
      <c r="B617" s="257">
        <v>0.41666666666666669</v>
      </c>
      <c r="C617" s="256" t="s">
        <v>423</v>
      </c>
      <c r="D617" s="256" t="s">
        <v>421</v>
      </c>
      <c r="E617" s="256">
        <v>36</v>
      </c>
      <c r="F617" s="256">
        <v>40</v>
      </c>
      <c r="G617" s="256">
        <v>30</v>
      </c>
      <c r="H617" s="256">
        <v>22</v>
      </c>
      <c r="I617" s="256"/>
      <c r="J617" s="256">
        <v>20</v>
      </c>
      <c r="K617" s="256">
        <v>38</v>
      </c>
      <c r="L617" s="256">
        <v>29</v>
      </c>
      <c r="M617" s="256">
        <v>36</v>
      </c>
      <c r="N617" s="256"/>
      <c r="O617" s="256">
        <f t="shared" si="297"/>
        <v>128</v>
      </c>
      <c r="P617" s="256">
        <f t="shared" si="298"/>
        <v>123</v>
      </c>
      <c r="Q617" s="256" t="str">
        <f t="shared" si="299"/>
        <v>HW</v>
      </c>
      <c r="R617" s="256" t="str">
        <f t="shared" si="300"/>
        <v>HW</v>
      </c>
      <c r="S617" s="256" t="str">
        <f t="shared" si="301"/>
        <v>HW</v>
      </c>
      <c r="T617" s="256" t="str">
        <f t="shared" si="302"/>
        <v>HL</v>
      </c>
      <c r="U617" s="256" t="str">
        <f t="shared" si="303"/>
        <v>U</v>
      </c>
      <c r="V617" s="256" t="str">
        <f t="shared" si="304"/>
        <v>O</v>
      </c>
      <c r="W617" s="256" t="str">
        <f t="shared" si="305"/>
        <v>O</v>
      </c>
      <c r="X617" s="256" t="str">
        <f t="shared" si="306"/>
        <v>O</v>
      </c>
      <c r="Z617" s="3">
        <v>57</v>
      </c>
      <c r="AB617" s="256" t="str">
        <f t="shared" si="284"/>
        <v>MIL/BOS</v>
      </c>
      <c r="AC617" s="256">
        <f t="shared" si="307"/>
        <v>3</v>
      </c>
      <c r="AD617" s="256">
        <f t="shared" si="308"/>
        <v>1</v>
      </c>
    </row>
    <row r="618" spans="1:30" x14ac:dyDescent="0.3">
      <c r="A618" s="256">
        <v>200117</v>
      </c>
      <c r="B618" s="257">
        <v>0.52083333333333337</v>
      </c>
      <c r="C618" s="256" t="s">
        <v>425</v>
      </c>
      <c r="D618" s="256" t="s">
        <v>408</v>
      </c>
      <c r="E618" s="256">
        <v>34</v>
      </c>
      <c r="F618" s="256">
        <v>28</v>
      </c>
      <c r="G618" s="256">
        <v>23</v>
      </c>
      <c r="H618" s="256">
        <v>28</v>
      </c>
      <c r="I618" s="256">
        <v>18</v>
      </c>
      <c r="J618" s="256">
        <v>19</v>
      </c>
      <c r="K618" s="256">
        <v>26</v>
      </c>
      <c r="L618" s="256">
        <v>28</v>
      </c>
      <c r="M618" s="256">
        <v>40</v>
      </c>
      <c r="N618" s="256">
        <v>21</v>
      </c>
      <c r="O618" s="256">
        <f t="shared" si="297"/>
        <v>131</v>
      </c>
      <c r="P618" s="256">
        <f t="shared" si="298"/>
        <v>134</v>
      </c>
      <c r="Q618" s="256" t="str">
        <f t="shared" si="299"/>
        <v>HW</v>
      </c>
      <c r="R618" s="256" t="str">
        <f t="shared" si="300"/>
        <v>HW</v>
      </c>
      <c r="S618" s="256" t="str">
        <f t="shared" si="301"/>
        <v>HL</v>
      </c>
      <c r="T618" s="256" t="str">
        <f t="shared" si="302"/>
        <v>HL</v>
      </c>
      <c r="U618" s="256" t="str">
        <f t="shared" si="303"/>
        <v>U</v>
      </c>
      <c r="V618" s="256" t="str">
        <f t="shared" si="304"/>
        <v>O</v>
      </c>
      <c r="W618" s="256" t="str">
        <f t="shared" si="305"/>
        <v>U</v>
      </c>
      <c r="X618" s="256" t="str">
        <f t="shared" si="306"/>
        <v>O</v>
      </c>
      <c r="Z618" s="3">
        <v>53.5</v>
      </c>
      <c r="AB618" s="256" t="str">
        <f t="shared" si="284"/>
        <v>GS/DEN</v>
      </c>
      <c r="AC618" s="256">
        <f t="shared" si="307"/>
        <v>2</v>
      </c>
      <c r="AD618" s="256">
        <f t="shared" si="308"/>
        <v>2</v>
      </c>
    </row>
    <row r="619" spans="1:30" x14ac:dyDescent="0.3">
      <c r="A619" s="256">
        <v>200117</v>
      </c>
      <c r="B619" s="257">
        <v>0.52083333333333337</v>
      </c>
      <c r="C619" s="256" t="s">
        <v>415</v>
      </c>
      <c r="D619" s="256" t="s">
        <v>424</v>
      </c>
      <c r="E619" s="256">
        <v>34</v>
      </c>
      <c r="F619" s="256">
        <v>33</v>
      </c>
      <c r="G619" s="256">
        <v>24</v>
      </c>
      <c r="H619" s="256">
        <v>31</v>
      </c>
      <c r="I619" s="256"/>
      <c r="J619" s="256">
        <v>26</v>
      </c>
      <c r="K619" s="256">
        <v>22</v>
      </c>
      <c r="L619" s="256">
        <v>28</v>
      </c>
      <c r="M619" s="256">
        <v>19</v>
      </c>
      <c r="N619" s="256"/>
      <c r="O619" s="256">
        <f t="shared" si="297"/>
        <v>122</v>
      </c>
      <c r="P619" s="256">
        <f t="shared" si="298"/>
        <v>95</v>
      </c>
      <c r="Q619" s="256" t="str">
        <f t="shared" si="299"/>
        <v>HW</v>
      </c>
      <c r="R619" s="256" t="str">
        <f t="shared" si="300"/>
        <v>HW</v>
      </c>
      <c r="S619" s="256" t="str">
        <f t="shared" si="301"/>
        <v>HL</v>
      </c>
      <c r="T619" s="256" t="str">
        <f t="shared" si="302"/>
        <v>HW</v>
      </c>
      <c r="U619" s="256" t="str">
        <f t="shared" si="303"/>
        <v>O</v>
      </c>
      <c r="V619" s="256" t="str">
        <f t="shared" si="304"/>
        <v>O</v>
      </c>
      <c r="W619" s="256" t="str">
        <f t="shared" si="305"/>
        <v>U</v>
      </c>
      <c r="X619" s="256" t="str">
        <f t="shared" si="306"/>
        <v>U</v>
      </c>
      <c r="Z619" s="3">
        <v>54.5</v>
      </c>
      <c r="AB619" s="256" t="str">
        <f t="shared" si="284"/>
        <v>LAC/ORL</v>
      </c>
      <c r="AC619" s="256">
        <f t="shared" si="307"/>
        <v>2</v>
      </c>
      <c r="AD619" s="256">
        <f t="shared" si="308"/>
        <v>2</v>
      </c>
    </row>
    <row r="620" spans="1:30" x14ac:dyDescent="0.3">
      <c r="A620" s="256">
        <v>200118</v>
      </c>
      <c r="B620" s="257">
        <v>0.375</v>
      </c>
      <c r="C620" s="256" t="s">
        <v>400</v>
      </c>
      <c r="D620" s="256" t="s">
        <v>420</v>
      </c>
      <c r="E620" s="256">
        <v>32</v>
      </c>
      <c r="F620" s="256">
        <v>35</v>
      </c>
      <c r="G620" s="256">
        <v>32</v>
      </c>
      <c r="H620" s="256">
        <v>17</v>
      </c>
      <c r="I620" s="256"/>
      <c r="J620" s="256">
        <v>26</v>
      </c>
      <c r="K620" s="256">
        <v>35</v>
      </c>
      <c r="L620" s="256">
        <v>32</v>
      </c>
      <c r="M620" s="256">
        <v>21</v>
      </c>
      <c r="N620" s="256"/>
      <c r="O620" s="256">
        <f t="shared" si="297"/>
        <v>116</v>
      </c>
      <c r="P620" s="256">
        <f t="shared" si="298"/>
        <v>114</v>
      </c>
      <c r="Q620" s="256" t="str">
        <f t="shared" si="299"/>
        <v>HW</v>
      </c>
      <c r="R620" s="256" t="str">
        <f t="shared" si="300"/>
        <v>TT</v>
      </c>
      <c r="S620" s="256" t="str">
        <f t="shared" si="301"/>
        <v>TT</v>
      </c>
      <c r="T620" s="256" t="str">
        <f t="shared" si="302"/>
        <v>HL</v>
      </c>
      <c r="U620" s="256" t="str">
        <f t="shared" si="303"/>
        <v>O</v>
      </c>
      <c r="V620" s="256" t="str">
        <f t="shared" si="304"/>
        <v>O</v>
      </c>
      <c r="W620" s="256" t="str">
        <f t="shared" si="305"/>
        <v>O</v>
      </c>
      <c r="X620" s="256" t="str">
        <f t="shared" si="306"/>
        <v>U</v>
      </c>
      <c r="Z620" s="3">
        <v>54.5</v>
      </c>
      <c r="AB620" s="256" t="str">
        <f t="shared" si="284"/>
        <v>IND/MIN</v>
      </c>
      <c r="AC620" s="256">
        <f t="shared" si="307"/>
        <v>3</v>
      </c>
      <c r="AD620" s="256">
        <f t="shared" si="308"/>
        <v>1</v>
      </c>
    </row>
    <row r="621" spans="1:30" x14ac:dyDescent="0.3">
      <c r="A621" s="256">
        <v>200118</v>
      </c>
      <c r="B621" s="257">
        <v>0.375</v>
      </c>
      <c r="C621" s="256" t="s">
        <v>401</v>
      </c>
      <c r="D621" s="256" t="s">
        <v>412</v>
      </c>
      <c r="E621" s="256">
        <v>21</v>
      </c>
      <c r="F621" s="256">
        <v>25</v>
      </c>
      <c r="G621" s="256">
        <v>35</v>
      </c>
      <c r="H621" s="256">
        <v>19</v>
      </c>
      <c r="I621" s="256"/>
      <c r="J621" s="256">
        <v>24</v>
      </c>
      <c r="K621" s="256">
        <v>23</v>
      </c>
      <c r="L621" s="256">
        <v>24</v>
      </c>
      <c r="M621" s="256">
        <v>18</v>
      </c>
      <c r="N621" s="256"/>
      <c r="O621" s="256">
        <f t="shared" si="297"/>
        <v>100</v>
      </c>
      <c r="P621" s="256">
        <f t="shared" si="298"/>
        <v>89</v>
      </c>
      <c r="Q621" s="256" t="str">
        <f t="shared" si="299"/>
        <v>HL</v>
      </c>
      <c r="R621" s="256" t="str">
        <f t="shared" si="300"/>
        <v>HW</v>
      </c>
      <c r="S621" s="256" t="str">
        <f t="shared" si="301"/>
        <v>HW</v>
      </c>
      <c r="T621" s="256" t="str">
        <f t="shared" si="302"/>
        <v>HW</v>
      </c>
      <c r="U621" s="256" t="str">
        <f t="shared" si="303"/>
        <v>U</v>
      </c>
      <c r="V621" s="256" t="str">
        <f t="shared" si="304"/>
        <v>U</v>
      </c>
      <c r="W621" s="256" t="str">
        <f t="shared" si="305"/>
        <v>O</v>
      </c>
      <c r="X621" s="256" t="str">
        <f t="shared" si="306"/>
        <v>U</v>
      </c>
      <c r="Z621" s="3">
        <v>53.5</v>
      </c>
      <c r="AB621" s="256" t="str">
        <f t="shared" si="284"/>
        <v>PHI/CHI</v>
      </c>
      <c r="AC621" s="256">
        <f t="shared" si="307"/>
        <v>1</v>
      </c>
      <c r="AD621" s="256">
        <f t="shared" si="308"/>
        <v>3</v>
      </c>
    </row>
    <row r="622" spans="1:30" x14ac:dyDescent="0.3">
      <c r="A622" s="256">
        <v>200118</v>
      </c>
      <c r="B622" s="257">
        <v>0.375</v>
      </c>
      <c r="C622" s="256" t="s">
        <v>413</v>
      </c>
      <c r="D622" s="256" t="s">
        <v>414</v>
      </c>
      <c r="E622" s="256">
        <v>38</v>
      </c>
      <c r="F622" s="256">
        <v>27</v>
      </c>
      <c r="G622" s="256">
        <v>35</v>
      </c>
      <c r="H622" s="256">
        <v>40</v>
      </c>
      <c r="I622" s="256"/>
      <c r="J622" s="256">
        <v>26</v>
      </c>
      <c r="K622" s="256">
        <v>25</v>
      </c>
      <c r="L622" s="256">
        <v>25</v>
      </c>
      <c r="M622" s="256">
        <v>35</v>
      </c>
      <c r="N622" s="256"/>
      <c r="O622" s="256">
        <f t="shared" si="297"/>
        <v>140</v>
      </c>
      <c r="P622" s="256">
        <f t="shared" si="298"/>
        <v>111</v>
      </c>
      <c r="Q622" s="256" t="str">
        <f t="shared" si="299"/>
        <v>HW</v>
      </c>
      <c r="R622" s="256" t="str">
        <f t="shared" si="300"/>
        <v>HW</v>
      </c>
      <c r="S622" s="256" t="str">
        <f t="shared" si="301"/>
        <v>HW</v>
      </c>
      <c r="T622" s="256" t="str">
        <f t="shared" si="302"/>
        <v>HW</v>
      </c>
      <c r="U622" s="256" t="str">
        <f t="shared" si="303"/>
        <v>O</v>
      </c>
      <c r="V622" s="256" t="str">
        <f t="shared" si="304"/>
        <v>U</v>
      </c>
      <c r="W622" s="256" t="str">
        <f t="shared" si="305"/>
        <v>O</v>
      </c>
      <c r="X622" s="256" t="str">
        <f t="shared" si="306"/>
        <v>O</v>
      </c>
      <c r="Z622" s="3">
        <v>58</v>
      </c>
      <c r="AB622" s="256" t="str">
        <f t="shared" si="284"/>
        <v>TOR/WAS</v>
      </c>
      <c r="AC622" s="256">
        <f t="shared" si="307"/>
        <v>3</v>
      </c>
      <c r="AD622" s="256">
        <f t="shared" si="308"/>
        <v>1</v>
      </c>
    </row>
    <row r="623" spans="1:30" x14ac:dyDescent="0.3">
      <c r="A623" s="256">
        <v>200118</v>
      </c>
      <c r="B623" s="257">
        <v>0.41666666666666669</v>
      </c>
      <c r="C623" s="256" t="s">
        <v>418</v>
      </c>
      <c r="D623" s="256" t="s">
        <v>411</v>
      </c>
      <c r="E623" s="256">
        <v>26</v>
      </c>
      <c r="F623" s="256">
        <v>21</v>
      </c>
      <c r="G623" s="256">
        <v>31</v>
      </c>
      <c r="H623" s="256">
        <v>30</v>
      </c>
      <c r="I623" s="256"/>
      <c r="J623" s="256">
        <v>40</v>
      </c>
      <c r="K623" s="256">
        <v>21</v>
      </c>
      <c r="L623" s="256">
        <v>31</v>
      </c>
      <c r="M623" s="256">
        <v>23</v>
      </c>
      <c r="N623" s="256"/>
      <c r="O623" s="256">
        <f t="shared" si="297"/>
        <v>108</v>
      </c>
      <c r="P623" s="256">
        <f t="shared" si="298"/>
        <v>115</v>
      </c>
      <c r="Q623" s="256" t="str">
        <f t="shared" si="299"/>
        <v>HL</v>
      </c>
      <c r="R623" s="256" t="str">
        <f t="shared" si="300"/>
        <v>TT</v>
      </c>
      <c r="S623" s="256" t="str">
        <f t="shared" si="301"/>
        <v>TT</v>
      </c>
      <c r="T623" s="256" t="str">
        <f t="shared" si="302"/>
        <v>HW</v>
      </c>
      <c r="U623" s="256" t="str">
        <f t="shared" si="303"/>
        <v>O</v>
      </c>
      <c r="V623" s="256" t="str">
        <f t="shared" si="304"/>
        <v>U</v>
      </c>
      <c r="W623" s="256" t="str">
        <f t="shared" si="305"/>
        <v>O</v>
      </c>
      <c r="X623" s="256" t="str">
        <f t="shared" si="306"/>
        <v>U</v>
      </c>
      <c r="Z623" s="3">
        <v>54.5</v>
      </c>
      <c r="AB623" s="256" t="str">
        <f t="shared" si="284"/>
        <v>OKC/MIA</v>
      </c>
      <c r="AC623" s="256">
        <f t="shared" si="307"/>
        <v>2</v>
      </c>
      <c r="AD623" s="256">
        <f t="shared" si="308"/>
        <v>2</v>
      </c>
    </row>
    <row r="624" spans="1:30" x14ac:dyDescent="0.3">
      <c r="A624" s="256">
        <v>200118</v>
      </c>
      <c r="B624" s="257">
        <v>0.41666666666666669</v>
      </c>
      <c r="C624" s="256" t="s">
        <v>406</v>
      </c>
      <c r="D624" s="256" t="s">
        <v>402</v>
      </c>
      <c r="E624" s="256">
        <v>27</v>
      </c>
      <c r="F624" s="256">
        <v>27</v>
      </c>
      <c r="G624" s="256">
        <v>38</v>
      </c>
      <c r="H624" s="256">
        <v>21</v>
      </c>
      <c r="I624" s="256"/>
      <c r="J624" s="256">
        <v>25</v>
      </c>
      <c r="K624" s="256">
        <v>31</v>
      </c>
      <c r="L624" s="256">
        <v>20</v>
      </c>
      <c r="M624" s="256">
        <v>33</v>
      </c>
      <c r="N624" s="256"/>
      <c r="O624" s="256">
        <f t="shared" si="297"/>
        <v>113</v>
      </c>
      <c r="P624" s="256">
        <f t="shared" si="298"/>
        <v>109</v>
      </c>
      <c r="Q624" s="256" t="str">
        <f t="shared" si="299"/>
        <v>HW</v>
      </c>
      <c r="R624" s="256" t="str">
        <f t="shared" si="300"/>
        <v>HL</v>
      </c>
      <c r="S624" s="256" t="str">
        <f t="shared" si="301"/>
        <v>HW</v>
      </c>
      <c r="T624" s="256" t="str">
        <f t="shared" si="302"/>
        <v>HL</v>
      </c>
      <c r="U624" s="256" t="str">
        <f t="shared" si="303"/>
        <v>U</v>
      </c>
      <c r="V624" s="256" t="str">
        <f t="shared" si="304"/>
        <v>O</v>
      </c>
      <c r="W624" s="256" t="str">
        <f t="shared" si="305"/>
        <v>O</v>
      </c>
      <c r="X624" s="256" t="str">
        <f t="shared" si="306"/>
        <v>U</v>
      </c>
      <c r="Z624" s="3">
        <v>57.5</v>
      </c>
      <c r="AB624" s="256" t="str">
        <f t="shared" si="284"/>
        <v>MEM/CLE</v>
      </c>
      <c r="AC624" s="256">
        <f t="shared" si="307"/>
        <v>2</v>
      </c>
      <c r="AD624" s="256">
        <f t="shared" si="308"/>
        <v>2</v>
      </c>
    </row>
    <row r="625" spans="1:30" x14ac:dyDescent="0.3">
      <c r="A625" s="256">
        <v>200118</v>
      </c>
      <c r="B625" s="257">
        <v>0.4375</v>
      </c>
      <c r="C625" s="256" t="s">
        <v>426</v>
      </c>
      <c r="D625" s="256" t="s">
        <v>410</v>
      </c>
      <c r="E625" s="256">
        <v>27</v>
      </c>
      <c r="F625" s="256">
        <v>31</v>
      </c>
      <c r="G625" s="256">
        <v>41</v>
      </c>
      <c r="H625" s="256">
        <v>21</v>
      </c>
      <c r="I625" s="256"/>
      <c r="J625" s="256">
        <v>29</v>
      </c>
      <c r="K625" s="256">
        <v>38</v>
      </c>
      <c r="L625" s="256">
        <v>21</v>
      </c>
      <c r="M625" s="256">
        <v>33</v>
      </c>
      <c r="N625" s="256"/>
      <c r="O625" s="256">
        <f t="shared" si="297"/>
        <v>120</v>
      </c>
      <c r="P625" s="256">
        <f t="shared" si="298"/>
        <v>121</v>
      </c>
      <c r="Q625" s="256" t="str">
        <f t="shared" si="299"/>
        <v>HL</v>
      </c>
      <c r="R625" s="256" t="str">
        <f t="shared" si="300"/>
        <v>HL</v>
      </c>
      <c r="S625" s="256" t="str">
        <f t="shared" si="301"/>
        <v>HW</v>
      </c>
      <c r="T625" s="256" t="str">
        <f t="shared" si="302"/>
        <v>HL</v>
      </c>
      <c r="U625" s="256" t="str">
        <f t="shared" si="303"/>
        <v>U</v>
      </c>
      <c r="V625" s="256" t="str">
        <f t="shared" si="304"/>
        <v>O</v>
      </c>
      <c r="W625" s="256" t="str">
        <f t="shared" si="305"/>
        <v>O</v>
      </c>
      <c r="X625" s="256" t="str">
        <f t="shared" si="306"/>
        <v>U</v>
      </c>
      <c r="Z625" s="3">
        <v>58</v>
      </c>
      <c r="AB625" s="256" t="str">
        <f t="shared" si="284"/>
        <v>SAS/ATL</v>
      </c>
      <c r="AC625" s="256">
        <f t="shared" si="307"/>
        <v>2</v>
      </c>
      <c r="AD625" s="256">
        <f t="shared" si="308"/>
        <v>2</v>
      </c>
    </row>
    <row r="626" spans="1:30" x14ac:dyDescent="0.3">
      <c r="A626" s="256">
        <v>200118</v>
      </c>
      <c r="B626" s="257">
        <v>0.47916666666666669</v>
      </c>
      <c r="C626" s="256" t="s">
        <v>397</v>
      </c>
      <c r="D626" s="256" t="s">
        <v>417</v>
      </c>
      <c r="E626" s="256">
        <v>38</v>
      </c>
      <c r="F626" s="256">
        <v>34</v>
      </c>
      <c r="G626" s="256">
        <v>26</v>
      </c>
      <c r="H626" s="256">
        <v>22</v>
      </c>
      <c r="I626" s="256"/>
      <c r="J626" s="256">
        <v>37</v>
      </c>
      <c r="K626" s="256">
        <v>26</v>
      </c>
      <c r="L626" s="256">
        <v>26</v>
      </c>
      <c r="M626" s="256">
        <v>23</v>
      </c>
      <c r="N626" s="256"/>
      <c r="O626" s="256">
        <f t="shared" si="297"/>
        <v>120</v>
      </c>
      <c r="P626" s="256">
        <f t="shared" si="298"/>
        <v>112</v>
      </c>
      <c r="Q626" s="256" t="str">
        <f t="shared" si="299"/>
        <v>HW</v>
      </c>
      <c r="R626" s="256" t="str">
        <f t="shared" si="300"/>
        <v>HW</v>
      </c>
      <c r="S626" s="256" t="str">
        <f t="shared" si="301"/>
        <v>TT</v>
      </c>
      <c r="T626" s="256" t="str">
        <f t="shared" si="302"/>
        <v>HL</v>
      </c>
      <c r="U626" s="256" t="str">
        <f t="shared" si="303"/>
        <v>O</v>
      </c>
      <c r="V626" s="256" t="str">
        <f t="shared" si="304"/>
        <v>O</v>
      </c>
      <c r="W626" s="256" t="str">
        <f t="shared" si="305"/>
        <v>U</v>
      </c>
      <c r="X626" s="256" t="str">
        <f t="shared" si="306"/>
        <v>U</v>
      </c>
      <c r="Z626" s="3">
        <v>57.5</v>
      </c>
      <c r="AB626" s="256" t="str">
        <f t="shared" si="284"/>
        <v>DAL/POR</v>
      </c>
      <c r="AC626" s="256">
        <f t="shared" si="307"/>
        <v>2</v>
      </c>
      <c r="AD626" s="256">
        <f t="shared" si="308"/>
        <v>2</v>
      </c>
    </row>
    <row r="627" spans="1:30" x14ac:dyDescent="0.3">
      <c r="A627" s="256">
        <v>200119</v>
      </c>
      <c r="B627" s="257">
        <v>0.22916666666666666</v>
      </c>
      <c r="C627" s="256" t="s">
        <v>398</v>
      </c>
      <c r="D627" s="256" t="s">
        <v>415</v>
      </c>
      <c r="E627" s="256">
        <v>35</v>
      </c>
      <c r="F627" s="256">
        <v>45</v>
      </c>
      <c r="G627" s="256">
        <v>30</v>
      </c>
      <c r="H627" s="256">
        <v>20</v>
      </c>
      <c r="I627" s="256"/>
      <c r="J627" s="256">
        <v>33</v>
      </c>
      <c r="K627" s="256">
        <v>39</v>
      </c>
      <c r="L627" s="256">
        <v>30</v>
      </c>
      <c r="M627" s="256">
        <v>31</v>
      </c>
      <c r="N627" s="256"/>
      <c r="O627" s="256">
        <f t="shared" si="297"/>
        <v>130</v>
      </c>
      <c r="P627" s="256">
        <f t="shared" si="298"/>
        <v>133</v>
      </c>
      <c r="Q627" s="256" t="str">
        <f t="shared" si="299"/>
        <v>HW</v>
      </c>
      <c r="R627" s="256" t="str">
        <f t="shared" si="300"/>
        <v>HW</v>
      </c>
      <c r="S627" s="256" t="str">
        <f t="shared" si="301"/>
        <v>TT</v>
      </c>
      <c r="T627" s="256" t="str">
        <f t="shared" si="302"/>
        <v>HL</v>
      </c>
      <c r="U627" s="256" t="str">
        <f t="shared" si="303"/>
        <v>O</v>
      </c>
      <c r="V627" s="256" t="str">
        <f t="shared" si="304"/>
        <v>O</v>
      </c>
      <c r="W627" s="256" t="str">
        <f t="shared" si="305"/>
        <v>O</v>
      </c>
      <c r="X627" s="256" t="str">
        <f t="shared" si="306"/>
        <v>U</v>
      </c>
      <c r="Z627" s="3">
        <v>59</v>
      </c>
      <c r="AB627" s="256" t="str">
        <f t="shared" si="284"/>
        <v>NO/LAC</v>
      </c>
      <c r="AC627" s="256">
        <f t="shared" si="307"/>
        <v>3</v>
      </c>
      <c r="AD627" s="256">
        <f t="shared" si="308"/>
        <v>1</v>
      </c>
    </row>
    <row r="628" spans="1:30" x14ac:dyDescent="0.3">
      <c r="A628" s="256">
        <v>200119</v>
      </c>
      <c r="B628" s="257">
        <v>0.33333333333333331</v>
      </c>
      <c r="C628" s="256" t="s">
        <v>407</v>
      </c>
      <c r="D628" s="256" t="s">
        <v>423</v>
      </c>
      <c r="E628" s="256">
        <v>22</v>
      </c>
      <c r="F628" s="256">
        <v>20</v>
      </c>
      <c r="G628" s="256">
        <v>29</v>
      </c>
      <c r="H628" s="256">
        <v>26</v>
      </c>
      <c r="I628" s="256"/>
      <c r="J628" s="256">
        <v>30</v>
      </c>
      <c r="K628" s="256">
        <v>27</v>
      </c>
      <c r="L628" s="256">
        <v>36</v>
      </c>
      <c r="M628" s="256">
        <v>24</v>
      </c>
      <c r="N628" s="256"/>
      <c r="O628" s="256">
        <f t="shared" si="297"/>
        <v>97</v>
      </c>
      <c r="P628" s="256">
        <f t="shared" si="298"/>
        <v>117</v>
      </c>
      <c r="Q628" s="256" t="str">
        <f t="shared" si="299"/>
        <v>HL</v>
      </c>
      <c r="R628" s="256" t="str">
        <f t="shared" si="300"/>
        <v>HL</v>
      </c>
      <c r="S628" s="256" t="str">
        <f t="shared" si="301"/>
        <v>HL</v>
      </c>
      <c r="T628" s="256" t="str">
        <f t="shared" si="302"/>
        <v>HW</v>
      </c>
      <c r="U628" s="256" t="str">
        <f t="shared" si="303"/>
        <v>U</v>
      </c>
      <c r="V628" s="256" t="str">
        <f t="shared" si="304"/>
        <v>U</v>
      </c>
      <c r="W628" s="256" t="str">
        <f t="shared" si="305"/>
        <v>O</v>
      </c>
      <c r="X628" s="256" t="str">
        <f t="shared" si="306"/>
        <v>U</v>
      </c>
      <c r="Z628" s="3">
        <v>59.5</v>
      </c>
      <c r="AB628" s="256" t="str">
        <f t="shared" si="284"/>
        <v>BKN/MIL</v>
      </c>
      <c r="AC628" s="256">
        <f t="shared" si="307"/>
        <v>1</v>
      </c>
      <c r="AD628" s="256">
        <f t="shared" si="308"/>
        <v>3</v>
      </c>
    </row>
    <row r="629" spans="1:30" x14ac:dyDescent="0.3">
      <c r="A629" s="256">
        <v>200119</v>
      </c>
      <c r="B629" s="257">
        <v>0.375</v>
      </c>
      <c r="C629" s="256" t="s">
        <v>421</v>
      </c>
      <c r="D629" s="256" t="s">
        <v>404</v>
      </c>
      <c r="E629" s="256">
        <v>20</v>
      </c>
      <c r="F629" s="256">
        <v>31</v>
      </c>
      <c r="G629" s="256">
        <v>25</v>
      </c>
      <c r="H629" s="256">
        <v>43</v>
      </c>
      <c r="I629" s="256"/>
      <c r="J629" s="256">
        <v>26</v>
      </c>
      <c r="K629" s="256">
        <v>34</v>
      </c>
      <c r="L629" s="256">
        <v>27</v>
      </c>
      <c r="M629" s="256">
        <v>36</v>
      </c>
      <c r="N629" s="256"/>
      <c r="O629" s="256">
        <f t="shared" si="297"/>
        <v>119</v>
      </c>
      <c r="P629" s="256">
        <f t="shared" si="298"/>
        <v>123</v>
      </c>
      <c r="Q629" s="256" t="str">
        <f t="shared" si="299"/>
        <v>HL</v>
      </c>
      <c r="R629" s="256" t="str">
        <f t="shared" si="300"/>
        <v>HL</v>
      </c>
      <c r="S629" s="256" t="str">
        <f t="shared" si="301"/>
        <v>HL</v>
      </c>
      <c r="T629" s="256" t="str">
        <f t="shared" si="302"/>
        <v>HW</v>
      </c>
      <c r="U629" s="256" t="str">
        <f t="shared" si="303"/>
        <v>U</v>
      </c>
      <c r="V629" s="256" t="str">
        <f t="shared" si="304"/>
        <v>O</v>
      </c>
      <c r="W629" s="256" t="str">
        <f t="shared" si="305"/>
        <v>U</v>
      </c>
      <c r="X629" s="256" t="str">
        <f t="shared" si="306"/>
        <v>O</v>
      </c>
      <c r="Z629" s="3">
        <v>55.5</v>
      </c>
      <c r="AB629" s="256" t="str">
        <f t="shared" si="284"/>
        <v>BOS/PHO</v>
      </c>
      <c r="AC629" s="256">
        <f t="shared" si="307"/>
        <v>2</v>
      </c>
      <c r="AD629" s="256">
        <f t="shared" si="308"/>
        <v>2</v>
      </c>
    </row>
    <row r="630" spans="1:30" x14ac:dyDescent="0.3">
      <c r="A630" s="256">
        <v>200119</v>
      </c>
      <c r="B630" s="257">
        <v>0.39583333333333331</v>
      </c>
      <c r="C630" s="256" t="s">
        <v>410</v>
      </c>
      <c r="D630" s="256" t="s">
        <v>422</v>
      </c>
      <c r="E630" s="256">
        <v>29</v>
      </c>
      <c r="F630" s="256">
        <v>26</v>
      </c>
      <c r="G630" s="256">
        <v>21</v>
      </c>
      <c r="H630" s="256">
        <v>27</v>
      </c>
      <c r="I630" s="256"/>
      <c r="J630" s="256">
        <v>36</v>
      </c>
      <c r="K630" s="256">
        <v>35</v>
      </c>
      <c r="L630" s="256">
        <v>32</v>
      </c>
      <c r="M630" s="256">
        <v>33</v>
      </c>
      <c r="N630" s="256"/>
      <c r="O630" s="256">
        <f t="shared" si="297"/>
        <v>103</v>
      </c>
      <c r="P630" s="256">
        <f t="shared" si="298"/>
        <v>136</v>
      </c>
      <c r="Q630" s="256" t="str">
        <f t="shared" si="299"/>
        <v>HL</v>
      </c>
      <c r="R630" s="256" t="str">
        <f t="shared" si="300"/>
        <v>HL</v>
      </c>
      <c r="S630" s="256" t="str">
        <f t="shared" si="301"/>
        <v>HL</v>
      </c>
      <c r="T630" s="256" t="str">
        <f t="shared" si="302"/>
        <v>HL</v>
      </c>
      <c r="U630" s="256" t="str">
        <f t="shared" si="303"/>
        <v>O</v>
      </c>
      <c r="V630" s="256" t="str">
        <f t="shared" si="304"/>
        <v>O</v>
      </c>
      <c r="W630" s="256" t="str">
        <f t="shared" si="305"/>
        <v>U</v>
      </c>
      <c r="X630" s="256" t="str">
        <f t="shared" si="306"/>
        <v>O</v>
      </c>
      <c r="Z630" s="3">
        <v>57</v>
      </c>
      <c r="AB630" s="256" t="str">
        <f t="shared" si="284"/>
        <v>ATL/DET</v>
      </c>
      <c r="AC630" s="256">
        <f t="shared" si="307"/>
        <v>3</v>
      </c>
      <c r="AD630" s="256">
        <f t="shared" si="308"/>
        <v>1</v>
      </c>
    </row>
    <row r="631" spans="1:30" x14ac:dyDescent="0.3">
      <c r="A631" s="256">
        <v>200119</v>
      </c>
      <c r="B631" s="257">
        <v>0.39583333333333331</v>
      </c>
      <c r="C631" s="256" t="s">
        <v>399</v>
      </c>
      <c r="D631" s="256" t="s">
        <v>401</v>
      </c>
      <c r="E631" s="256">
        <v>25</v>
      </c>
      <c r="F631" s="256">
        <v>21</v>
      </c>
      <c r="G631" s="256">
        <v>23</v>
      </c>
      <c r="H631" s="256">
        <v>18</v>
      </c>
      <c r="I631" s="256"/>
      <c r="J631" s="256">
        <v>28</v>
      </c>
      <c r="K631" s="256">
        <v>24</v>
      </c>
      <c r="L631" s="256">
        <v>18</v>
      </c>
      <c r="M631" s="256">
        <v>20</v>
      </c>
      <c r="N631" s="256"/>
      <c r="O631" s="256">
        <f t="shared" si="297"/>
        <v>87</v>
      </c>
      <c r="P631" s="256">
        <f t="shared" si="298"/>
        <v>90</v>
      </c>
      <c r="Q631" s="256" t="str">
        <f t="shared" si="299"/>
        <v>HL</v>
      </c>
      <c r="R631" s="256" t="str">
        <f t="shared" si="300"/>
        <v>HL</v>
      </c>
      <c r="S631" s="256" t="str">
        <f t="shared" si="301"/>
        <v>HW</v>
      </c>
      <c r="T631" s="256" t="str">
        <f t="shared" si="302"/>
        <v>HL</v>
      </c>
      <c r="U631" s="256" t="str">
        <f t="shared" si="303"/>
        <v>U</v>
      </c>
      <c r="V631" s="256" t="str">
        <f t="shared" si="304"/>
        <v>U</v>
      </c>
      <c r="W631" s="256" t="str">
        <f t="shared" si="305"/>
        <v>U</v>
      </c>
      <c r="X631" s="256" t="str">
        <f t="shared" si="306"/>
        <v>U</v>
      </c>
      <c r="Z631" s="3">
        <v>55</v>
      </c>
      <c r="AB631" s="256" t="str">
        <f t="shared" si="284"/>
        <v>NYK/PHI</v>
      </c>
      <c r="AC631" s="256">
        <f t="shared" si="307"/>
        <v>0</v>
      </c>
      <c r="AD631" s="256">
        <f t="shared" si="308"/>
        <v>4</v>
      </c>
    </row>
    <row r="632" spans="1:30" x14ac:dyDescent="0.3">
      <c r="A632" s="256">
        <v>200119</v>
      </c>
      <c r="B632" s="257">
        <v>0.41666666666666669</v>
      </c>
      <c r="C632" s="256" t="s">
        <v>412</v>
      </c>
      <c r="D632" s="256" t="s">
        <v>402</v>
      </c>
      <c r="E632" s="256">
        <v>31</v>
      </c>
      <c r="F632" s="256">
        <v>25</v>
      </c>
      <c r="G632" s="256">
        <v>31</v>
      </c>
      <c r="H632" s="256">
        <v>31</v>
      </c>
      <c r="I632" s="256"/>
      <c r="J632" s="256">
        <v>33</v>
      </c>
      <c r="K632" s="256">
        <v>40</v>
      </c>
      <c r="L632" s="256">
        <v>29</v>
      </c>
      <c r="M632" s="256">
        <v>14</v>
      </c>
      <c r="N632" s="256"/>
      <c r="O632" s="256">
        <f t="shared" si="297"/>
        <v>118</v>
      </c>
      <c r="P632" s="256">
        <f t="shared" si="298"/>
        <v>116</v>
      </c>
      <c r="Q632" s="256" t="str">
        <f t="shared" si="299"/>
        <v>HL</v>
      </c>
      <c r="R632" s="256" t="str">
        <f t="shared" si="300"/>
        <v>HL</v>
      </c>
      <c r="S632" s="256" t="str">
        <f t="shared" si="301"/>
        <v>HW</v>
      </c>
      <c r="T632" s="256" t="str">
        <f t="shared" si="302"/>
        <v>HW</v>
      </c>
      <c r="U632" s="256" t="str">
        <f t="shared" si="303"/>
        <v>O</v>
      </c>
      <c r="V632" s="256" t="str">
        <f t="shared" si="304"/>
        <v>O</v>
      </c>
      <c r="W632" s="256" t="str">
        <f t="shared" si="305"/>
        <v>O</v>
      </c>
      <c r="X632" s="256" t="str">
        <f t="shared" si="306"/>
        <v>U</v>
      </c>
      <c r="Z632" s="3">
        <v>54</v>
      </c>
      <c r="AB632" s="256" t="str">
        <f t="shared" si="284"/>
        <v>CHI/CLE</v>
      </c>
      <c r="AC632" s="256">
        <f t="shared" si="307"/>
        <v>3</v>
      </c>
      <c r="AD632" s="256">
        <f t="shared" si="308"/>
        <v>1</v>
      </c>
    </row>
    <row r="633" spans="1:30" x14ac:dyDescent="0.3">
      <c r="A633" s="256">
        <v>200119</v>
      </c>
      <c r="B633" s="257">
        <v>0.41666666666666669</v>
      </c>
      <c r="C633" s="256" t="s">
        <v>420</v>
      </c>
      <c r="D633" s="256" t="s">
        <v>413</v>
      </c>
      <c r="E633" s="256">
        <v>39</v>
      </c>
      <c r="F633" s="256">
        <v>23</v>
      </c>
      <c r="G633" s="256">
        <v>22</v>
      </c>
      <c r="H633" s="256">
        <v>28</v>
      </c>
      <c r="I633" s="256"/>
      <c r="J633" s="256">
        <v>32</v>
      </c>
      <c r="K633" s="256">
        <v>26</v>
      </c>
      <c r="L633" s="256">
        <v>31</v>
      </c>
      <c r="M633" s="256">
        <v>33</v>
      </c>
      <c r="N633" s="256"/>
      <c r="O633" s="256">
        <f t="shared" si="297"/>
        <v>112</v>
      </c>
      <c r="P633" s="256">
        <f t="shared" si="298"/>
        <v>122</v>
      </c>
      <c r="Q633" s="256" t="str">
        <f t="shared" si="299"/>
        <v>HW</v>
      </c>
      <c r="R633" s="256" t="str">
        <f t="shared" si="300"/>
        <v>HL</v>
      </c>
      <c r="S633" s="256" t="str">
        <f t="shared" si="301"/>
        <v>HL</v>
      </c>
      <c r="T633" s="256" t="str">
        <f t="shared" si="302"/>
        <v>HL</v>
      </c>
      <c r="U633" s="256" t="str">
        <f t="shared" si="303"/>
        <v>O</v>
      </c>
      <c r="V633" s="256" t="str">
        <f t="shared" si="304"/>
        <v>U</v>
      </c>
      <c r="W633" s="256" t="str">
        <f t="shared" si="305"/>
        <v>U</v>
      </c>
      <c r="X633" s="256" t="str">
        <f t="shared" si="306"/>
        <v>O</v>
      </c>
      <c r="Z633" s="3">
        <v>56.5</v>
      </c>
      <c r="AB633" s="256" t="str">
        <f t="shared" si="284"/>
        <v>MIN/TOR</v>
      </c>
      <c r="AC633" s="256">
        <f t="shared" si="307"/>
        <v>2</v>
      </c>
      <c r="AD633" s="256">
        <f t="shared" si="308"/>
        <v>2</v>
      </c>
    </row>
    <row r="634" spans="1:30" x14ac:dyDescent="0.3">
      <c r="A634" s="256">
        <v>200119</v>
      </c>
      <c r="B634" s="257">
        <v>0.4375</v>
      </c>
      <c r="C634" s="256" t="s">
        <v>425</v>
      </c>
      <c r="D634" s="256" t="s">
        <v>424</v>
      </c>
      <c r="E634" s="256">
        <v>28</v>
      </c>
      <c r="F634" s="256">
        <v>25</v>
      </c>
      <c r="G634" s="256">
        <v>29</v>
      </c>
      <c r="H634" s="256">
        <v>27</v>
      </c>
      <c r="I634" s="256"/>
      <c r="J634" s="256">
        <v>25</v>
      </c>
      <c r="K634" s="256">
        <v>27</v>
      </c>
      <c r="L634" s="256">
        <v>19</v>
      </c>
      <c r="M634" s="256">
        <v>24</v>
      </c>
      <c r="N634" s="256"/>
      <c r="O634" s="256">
        <f t="shared" si="297"/>
        <v>109</v>
      </c>
      <c r="P634" s="256">
        <f t="shared" si="298"/>
        <v>95</v>
      </c>
      <c r="Q634" s="256" t="str">
        <f t="shared" si="299"/>
        <v>HW</v>
      </c>
      <c r="R634" s="256" t="str">
        <f t="shared" si="300"/>
        <v>HL</v>
      </c>
      <c r="S634" s="256" t="str">
        <f t="shared" si="301"/>
        <v>HW</v>
      </c>
      <c r="T634" s="256" t="str">
        <f t="shared" si="302"/>
        <v>HW</v>
      </c>
      <c r="U634" s="256" t="str">
        <f t="shared" si="303"/>
        <v>U</v>
      </c>
      <c r="V634" s="256" t="str">
        <f t="shared" si="304"/>
        <v>U</v>
      </c>
      <c r="W634" s="256" t="str">
        <f t="shared" si="305"/>
        <v>U</v>
      </c>
      <c r="X634" s="256" t="str">
        <f t="shared" si="306"/>
        <v>U</v>
      </c>
      <c r="Z634" s="3">
        <v>54</v>
      </c>
      <c r="AB634" s="256" t="str">
        <f t="shared" si="284"/>
        <v>GS/ORL</v>
      </c>
      <c r="AC634" s="256">
        <f t="shared" si="307"/>
        <v>0</v>
      </c>
      <c r="AD634" s="256">
        <f t="shared" si="308"/>
        <v>4</v>
      </c>
    </row>
    <row r="635" spans="1:30" x14ac:dyDescent="0.3">
      <c r="A635" s="256">
        <v>200119</v>
      </c>
      <c r="B635" s="257">
        <v>0.4375</v>
      </c>
      <c r="C635" s="256" t="s">
        <v>403</v>
      </c>
      <c r="D635" s="256" t="s">
        <v>419</v>
      </c>
      <c r="E635" s="256">
        <v>34</v>
      </c>
      <c r="F635" s="256">
        <v>31</v>
      </c>
      <c r="G635" s="256">
        <v>17</v>
      </c>
      <c r="H635" s="256">
        <v>33</v>
      </c>
      <c r="I635" s="256"/>
      <c r="J635" s="256">
        <v>27</v>
      </c>
      <c r="K635" s="256">
        <v>32</v>
      </c>
      <c r="L635" s="256">
        <v>32</v>
      </c>
      <c r="M635" s="256">
        <v>33</v>
      </c>
      <c r="N635" s="256"/>
      <c r="O635" s="256">
        <f t="shared" si="297"/>
        <v>115</v>
      </c>
      <c r="P635" s="256">
        <f t="shared" si="298"/>
        <v>124</v>
      </c>
      <c r="Q635" s="256" t="str">
        <f t="shared" si="299"/>
        <v>HW</v>
      </c>
      <c r="R635" s="256" t="str">
        <f t="shared" si="300"/>
        <v>HL</v>
      </c>
      <c r="S635" s="256" t="str">
        <f t="shared" si="301"/>
        <v>HL</v>
      </c>
      <c r="T635" s="256" t="str">
        <f t="shared" si="302"/>
        <v>TT</v>
      </c>
      <c r="U635" s="256" t="str">
        <f t="shared" si="303"/>
        <v>O</v>
      </c>
      <c r="V635" s="256" t="str">
        <f t="shared" si="304"/>
        <v>O</v>
      </c>
      <c r="W635" s="256" t="str">
        <f t="shared" si="305"/>
        <v>U</v>
      </c>
      <c r="X635" s="256" t="str">
        <f t="shared" si="306"/>
        <v>O</v>
      </c>
      <c r="Z635" s="3">
        <v>59.5</v>
      </c>
      <c r="AB635" s="256" t="str">
        <f t="shared" si="284"/>
        <v>HOU/LAL</v>
      </c>
      <c r="AC635" s="256">
        <f t="shared" si="307"/>
        <v>3</v>
      </c>
      <c r="AD635" s="256">
        <f t="shared" si="308"/>
        <v>1</v>
      </c>
    </row>
    <row r="636" spans="1:30" x14ac:dyDescent="0.3">
      <c r="A636" s="256">
        <v>200119</v>
      </c>
      <c r="B636" s="257">
        <v>0.45833333333333331</v>
      </c>
      <c r="C636" s="256" t="s">
        <v>418</v>
      </c>
      <c r="D636" s="256" t="s">
        <v>417</v>
      </c>
      <c r="E636" s="256">
        <v>32</v>
      </c>
      <c r="F636" s="256">
        <v>32</v>
      </c>
      <c r="G636" s="256">
        <v>23</v>
      </c>
      <c r="H636" s="256">
        <v>32</v>
      </c>
      <c r="I636" s="256"/>
      <c r="J636" s="256">
        <v>24</v>
      </c>
      <c r="K636" s="256">
        <v>33</v>
      </c>
      <c r="L636" s="256">
        <v>20</v>
      </c>
      <c r="M636" s="256">
        <v>29</v>
      </c>
      <c r="N636" s="256"/>
      <c r="O636" s="256">
        <f t="shared" si="297"/>
        <v>119</v>
      </c>
      <c r="P636" s="256">
        <f t="shared" si="298"/>
        <v>106</v>
      </c>
      <c r="Q636" s="256" t="str">
        <f t="shared" si="299"/>
        <v>HW</v>
      </c>
      <c r="R636" s="256" t="str">
        <f t="shared" si="300"/>
        <v>HL</v>
      </c>
      <c r="S636" s="256" t="str">
        <f t="shared" si="301"/>
        <v>HW</v>
      </c>
      <c r="T636" s="256" t="str">
        <f t="shared" si="302"/>
        <v>HW</v>
      </c>
      <c r="U636" s="256" t="str">
        <f t="shared" si="303"/>
        <v>O</v>
      </c>
      <c r="V636" s="256" t="str">
        <f t="shared" si="304"/>
        <v>O</v>
      </c>
      <c r="W636" s="256" t="str">
        <f t="shared" si="305"/>
        <v>U</v>
      </c>
      <c r="X636" s="256" t="str">
        <f t="shared" si="306"/>
        <v>O</v>
      </c>
      <c r="Z636" s="3">
        <v>54</v>
      </c>
      <c r="AB636" s="256" t="str">
        <f t="shared" si="284"/>
        <v>OKC/POR</v>
      </c>
      <c r="AC636" s="256">
        <f t="shared" si="307"/>
        <v>3</v>
      </c>
      <c r="AD636" s="256">
        <f t="shared" si="308"/>
        <v>1</v>
      </c>
    </row>
    <row r="637" spans="1:30" x14ac:dyDescent="0.3">
      <c r="A637" s="256">
        <v>200119</v>
      </c>
      <c r="B637" s="257">
        <v>0.45833333333333331</v>
      </c>
      <c r="C637" s="256" t="s">
        <v>405</v>
      </c>
      <c r="D637" s="256" t="s">
        <v>416</v>
      </c>
      <c r="E637" s="256">
        <v>38</v>
      </c>
      <c r="F637" s="256">
        <v>25</v>
      </c>
      <c r="G637" s="256">
        <v>32</v>
      </c>
      <c r="H637" s="256">
        <v>28</v>
      </c>
      <c r="I637" s="256"/>
      <c r="J637" s="256">
        <v>22</v>
      </c>
      <c r="K637" s="256">
        <v>27</v>
      </c>
      <c r="L637" s="256">
        <v>28</v>
      </c>
      <c r="M637" s="256">
        <v>24</v>
      </c>
      <c r="N637" s="256"/>
      <c r="O637" s="256">
        <f t="shared" si="297"/>
        <v>123</v>
      </c>
      <c r="P637" s="256">
        <f t="shared" si="298"/>
        <v>101</v>
      </c>
      <c r="Q637" s="256" t="str">
        <f t="shared" si="299"/>
        <v>HW</v>
      </c>
      <c r="R637" s="256" t="str">
        <f t="shared" si="300"/>
        <v>HL</v>
      </c>
      <c r="S637" s="256" t="str">
        <f t="shared" si="301"/>
        <v>HW</v>
      </c>
      <c r="T637" s="256" t="str">
        <f t="shared" si="302"/>
        <v>HW</v>
      </c>
      <c r="U637" s="256" t="str">
        <f t="shared" si="303"/>
        <v>O</v>
      </c>
      <c r="V637" s="256" t="str">
        <f t="shared" si="304"/>
        <v>U</v>
      </c>
      <c r="W637" s="256" t="str">
        <f t="shared" si="305"/>
        <v>O</v>
      </c>
      <c r="X637" s="256" t="str">
        <f t="shared" si="306"/>
        <v>U</v>
      </c>
      <c r="Z637" s="3">
        <v>56</v>
      </c>
      <c r="AB637" s="256" t="str">
        <f t="shared" si="284"/>
        <v>UTA/SAC</v>
      </c>
      <c r="AC637" s="256">
        <f t="shared" si="307"/>
        <v>2</v>
      </c>
      <c r="AD637" s="256">
        <f t="shared" si="308"/>
        <v>2</v>
      </c>
    </row>
    <row r="638" spans="1:30" x14ac:dyDescent="0.3">
      <c r="A638" s="256">
        <v>200120</v>
      </c>
      <c r="B638" s="257">
        <v>0.20833333333333334</v>
      </c>
      <c r="C638" s="256" t="s">
        <v>426</v>
      </c>
      <c r="D638" s="256" t="s">
        <v>411</v>
      </c>
      <c r="E638" s="256">
        <v>28</v>
      </c>
      <c r="F638" s="256">
        <v>32</v>
      </c>
      <c r="G638" s="256">
        <v>26</v>
      </c>
      <c r="H638" s="256">
        <v>21</v>
      </c>
      <c r="I638" s="256"/>
      <c r="J638" s="256">
        <v>31</v>
      </c>
      <c r="K638" s="256">
        <v>23</v>
      </c>
      <c r="L638" s="256">
        <v>30</v>
      </c>
      <c r="M638" s="256">
        <v>18</v>
      </c>
      <c r="N638" s="256"/>
      <c r="O638" s="256">
        <f t="shared" si="297"/>
        <v>107</v>
      </c>
      <c r="P638" s="256">
        <f t="shared" si="298"/>
        <v>102</v>
      </c>
      <c r="Q638" s="256" t="str">
        <f t="shared" si="299"/>
        <v>HL</v>
      </c>
      <c r="R638" s="256" t="str">
        <f t="shared" si="300"/>
        <v>HW</v>
      </c>
      <c r="S638" s="256" t="str">
        <f t="shared" si="301"/>
        <v>HL</v>
      </c>
      <c r="T638" s="256" t="str">
        <f t="shared" si="302"/>
        <v>HW</v>
      </c>
      <c r="U638" s="256" t="str">
        <f t="shared" si="303"/>
        <v>O</v>
      </c>
      <c r="V638" s="256" t="str">
        <f t="shared" si="304"/>
        <v>U</v>
      </c>
      <c r="W638" s="256" t="str">
        <f t="shared" si="305"/>
        <v>T</v>
      </c>
      <c r="X638" s="256" t="str">
        <f t="shared" si="306"/>
        <v>U</v>
      </c>
      <c r="Z638" s="3">
        <v>56</v>
      </c>
      <c r="AB638" s="256" t="str">
        <f t="shared" si="284"/>
        <v>SAS/MIA</v>
      </c>
      <c r="AC638" s="256">
        <f t="shared" si="307"/>
        <v>1</v>
      </c>
      <c r="AD638" s="256">
        <f t="shared" si="308"/>
        <v>2</v>
      </c>
    </row>
    <row r="639" spans="1:30" x14ac:dyDescent="0.3">
      <c r="A639" s="256">
        <v>200120</v>
      </c>
      <c r="B639" s="257">
        <v>0.41666666666666669</v>
      </c>
      <c r="C639" s="256" t="s">
        <v>408</v>
      </c>
      <c r="D639" s="256" t="s">
        <v>400</v>
      </c>
      <c r="E639" s="256">
        <v>21</v>
      </c>
      <c r="F639" s="256">
        <v>29</v>
      </c>
      <c r="G639" s="256">
        <v>31</v>
      </c>
      <c r="H639" s="256">
        <v>26</v>
      </c>
      <c r="I639" s="256"/>
      <c r="J639" s="256">
        <v>15</v>
      </c>
      <c r="K639" s="256">
        <v>29</v>
      </c>
      <c r="L639" s="256">
        <v>30</v>
      </c>
      <c r="M639" s="256">
        <v>41</v>
      </c>
      <c r="N639" s="256"/>
      <c r="O639" s="256">
        <f t="shared" si="297"/>
        <v>107</v>
      </c>
      <c r="P639" s="256">
        <f t="shared" si="298"/>
        <v>115</v>
      </c>
      <c r="Q639" s="256" t="str">
        <f t="shared" si="299"/>
        <v>HW</v>
      </c>
      <c r="R639" s="256" t="str">
        <f t="shared" si="300"/>
        <v>TT</v>
      </c>
      <c r="S639" s="256" t="str">
        <f t="shared" si="301"/>
        <v>HW</v>
      </c>
      <c r="T639" s="256" t="str">
        <f t="shared" si="302"/>
        <v>HL</v>
      </c>
      <c r="U639" s="256" t="str">
        <f t="shared" si="303"/>
        <v>U</v>
      </c>
      <c r="V639" s="256" t="str">
        <f t="shared" si="304"/>
        <v>O</v>
      </c>
      <c r="W639" s="256" t="str">
        <f t="shared" si="305"/>
        <v>O</v>
      </c>
      <c r="X639" s="256" t="str">
        <f t="shared" si="306"/>
        <v>O</v>
      </c>
      <c r="Z639" s="3">
        <v>53.5</v>
      </c>
      <c r="AB639" s="256" t="str">
        <f t="shared" si="284"/>
        <v>DEN/IND</v>
      </c>
      <c r="AC639" s="256">
        <f t="shared" si="307"/>
        <v>3</v>
      </c>
      <c r="AD639" s="256">
        <f t="shared" si="308"/>
        <v>1</v>
      </c>
    </row>
    <row r="640" spans="1:30" x14ac:dyDescent="0.3">
      <c r="A640" s="256">
        <v>200121</v>
      </c>
      <c r="B640" s="257">
        <v>0.16666666666666666</v>
      </c>
      <c r="C640" s="256" t="s">
        <v>414</v>
      </c>
      <c r="D640" s="256" t="s">
        <v>422</v>
      </c>
      <c r="E640" s="256">
        <v>30</v>
      </c>
      <c r="F640" s="256">
        <v>30</v>
      </c>
      <c r="G640" s="256">
        <v>23</v>
      </c>
      <c r="H640" s="256">
        <v>23</v>
      </c>
      <c r="I640" s="256"/>
      <c r="J640" s="256">
        <v>35</v>
      </c>
      <c r="K640" s="256">
        <v>23</v>
      </c>
      <c r="L640" s="256">
        <v>23</v>
      </c>
      <c r="M640" s="256">
        <v>19</v>
      </c>
      <c r="N640" s="256" t="s">
        <v>427</v>
      </c>
      <c r="O640" s="256">
        <f t="shared" si="297"/>
        <v>106</v>
      </c>
      <c r="P640" s="256">
        <f t="shared" si="298"/>
        <v>100</v>
      </c>
      <c r="Q640" s="256" t="str">
        <f t="shared" si="299"/>
        <v>HL</v>
      </c>
      <c r="R640" s="256" t="str">
        <f t="shared" si="300"/>
        <v>HW</v>
      </c>
      <c r="S640" s="256" t="str">
        <f t="shared" si="301"/>
        <v>TT</v>
      </c>
      <c r="T640" s="256" t="str">
        <f t="shared" si="302"/>
        <v>HW</v>
      </c>
      <c r="U640" s="256" t="str">
        <f t="shared" si="303"/>
        <v>O</v>
      </c>
      <c r="V640" s="256" t="str">
        <f t="shared" si="304"/>
        <v>U</v>
      </c>
      <c r="W640" s="256" t="str">
        <f t="shared" si="305"/>
        <v>U</v>
      </c>
      <c r="X640" s="256" t="str">
        <f t="shared" si="306"/>
        <v>U</v>
      </c>
      <c r="Z640" s="3">
        <v>58.5</v>
      </c>
      <c r="AB640" s="256" t="str">
        <f t="shared" si="284"/>
        <v>WAS/DET</v>
      </c>
      <c r="AC640" s="256">
        <f t="shared" si="307"/>
        <v>1</v>
      </c>
      <c r="AD640" s="256">
        <f t="shared" si="308"/>
        <v>3</v>
      </c>
    </row>
    <row r="641" spans="1:30" x14ac:dyDescent="0.3">
      <c r="A641" s="256">
        <v>200121</v>
      </c>
      <c r="B641" s="257">
        <v>0.1875</v>
      </c>
      <c r="C641" s="256" t="s">
        <v>410</v>
      </c>
      <c r="D641" s="256" t="s">
        <v>413</v>
      </c>
      <c r="E641" s="256">
        <v>25</v>
      </c>
      <c r="F641" s="256">
        <v>35</v>
      </c>
      <c r="G641" s="256">
        <v>22</v>
      </c>
      <c r="H641" s="256">
        <v>35</v>
      </c>
      <c r="I641" s="256"/>
      <c r="J641" s="256">
        <v>36</v>
      </c>
      <c r="K641" s="256">
        <v>21</v>
      </c>
      <c r="L641" s="256">
        <v>26</v>
      </c>
      <c r="M641" s="256">
        <v>39</v>
      </c>
      <c r="N641" s="256"/>
      <c r="O641" s="256">
        <f t="shared" si="297"/>
        <v>117</v>
      </c>
      <c r="P641" s="256">
        <f t="shared" si="298"/>
        <v>122</v>
      </c>
      <c r="Q641" s="256" t="str">
        <f t="shared" si="299"/>
        <v>HL</v>
      </c>
      <c r="R641" s="256" t="str">
        <f t="shared" si="300"/>
        <v>HW</v>
      </c>
      <c r="S641" s="256" t="str">
        <f t="shared" si="301"/>
        <v>HL</v>
      </c>
      <c r="T641" s="256" t="str">
        <f t="shared" si="302"/>
        <v>HL</v>
      </c>
      <c r="U641" s="256" t="str">
        <f t="shared" si="303"/>
        <v>O</v>
      </c>
      <c r="V641" s="256" t="str">
        <f t="shared" si="304"/>
        <v>U</v>
      </c>
      <c r="W641" s="256" t="str">
        <f t="shared" si="305"/>
        <v>U</v>
      </c>
      <c r="X641" s="256" t="str">
        <f t="shared" si="306"/>
        <v>O</v>
      </c>
      <c r="Z641" s="3">
        <v>58</v>
      </c>
      <c r="AB641" s="256" t="str">
        <f t="shared" si="284"/>
        <v>ATL/TOR</v>
      </c>
      <c r="AC641" s="256">
        <f t="shared" si="307"/>
        <v>2</v>
      </c>
      <c r="AD641" s="256">
        <f t="shared" si="308"/>
        <v>2</v>
      </c>
    </row>
    <row r="642" spans="1:30" x14ac:dyDescent="0.3">
      <c r="A642" s="256">
        <v>200121</v>
      </c>
      <c r="B642" s="257">
        <v>0.20833333333333334</v>
      </c>
      <c r="C642" s="256" t="s">
        <v>407</v>
      </c>
      <c r="D642" s="256" t="s">
        <v>401</v>
      </c>
      <c r="E642" s="256">
        <v>32</v>
      </c>
      <c r="F642" s="256">
        <v>36</v>
      </c>
      <c r="G642" s="256">
        <v>23</v>
      </c>
      <c r="H642" s="256">
        <v>20</v>
      </c>
      <c r="I642" s="256"/>
      <c r="J642" s="256">
        <v>29</v>
      </c>
      <c r="K642" s="256">
        <v>35</v>
      </c>
      <c r="L642" s="256">
        <v>26</v>
      </c>
      <c r="M642" s="256">
        <v>27</v>
      </c>
      <c r="N642" s="256"/>
      <c r="O642" s="256">
        <f t="shared" si="297"/>
        <v>111</v>
      </c>
      <c r="P642" s="256">
        <f t="shared" si="298"/>
        <v>117</v>
      </c>
      <c r="Q642" s="256" t="str">
        <f t="shared" si="299"/>
        <v>HW</v>
      </c>
      <c r="R642" s="256" t="str">
        <f t="shared" si="300"/>
        <v>HW</v>
      </c>
      <c r="S642" s="256" t="str">
        <f t="shared" si="301"/>
        <v>HL</v>
      </c>
      <c r="T642" s="256" t="str">
        <f t="shared" si="302"/>
        <v>HL</v>
      </c>
      <c r="U642" s="256" t="str">
        <f t="shared" si="303"/>
        <v>O</v>
      </c>
      <c r="V642" s="256" t="str">
        <f t="shared" si="304"/>
        <v>O</v>
      </c>
      <c r="W642" s="256" t="str">
        <f t="shared" si="305"/>
        <v>U</v>
      </c>
      <c r="X642" s="256" t="str">
        <f t="shared" si="306"/>
        <v>U</v>
      </c>
      <c r="Z642" s="3">
        <v>55</v>
      </c>
      <c r="AB642" s="256" t="str">
        <f t="shared" si="284"/>
        <v>BKN/PHI</v>
      </c>
      <c r="AC642" s="256">
        <f t="shared" si="307"/>
        <v>2</v>
      </c>
      <c r="AD642" s="256">
        <f t="shared" si="308"/>
        <v>2</v>
      </c>
    </row>
    <row r="643" spans="1:30" x14ac:dyDescent="0.3">
      <c r="A643" s="256">
        <v>200121</v>
      </c>
      <c r="B643" s="257">
        <v>0.29166666666666669</v>
      </c>
      <c r="C643" s="256" t="s">
        <v>402</v>
      </c>
      <c r="D643" s="256" t="s">
        <v>399</v>
      </c>
      <c r="E643" s="256">
        <v>26</v>
      </c>
      <c r="F643" s="256">
        <v>24</v>
      </c>
      <c r="G643" s="256">
        <v>14</v>
      </c>
      <c r="H643" s="256">
        <v>22</v>
      </c>
      <c r="I643" s="256"/>
      <c r="J643" s="256">
        <v>26</v>
      </c>
      <c r="K643" s="256">
        <v>23</v>
      </c>
      <c r="L643" s="256">
        <v>30</v>
      </c>
      <c r="M643" s="256">
        <v>27</v>
      </c>
      <c r="N643" s="256" t="s">
        <v>427</v>
      </c>
      <c r="O643" s="256">
        <f t="shared" si="297"/>
        <v>86</v>
      </c>
      <c r="P643" s="256">
        <f t="shared" si="298"/>
        <v>106</v>
      </c>
      <c r="Q643" s="256" t="str">
        <f t="shared" si="299"/>
        <v>TT</v>
      </c>
      <c r="R643" s="256" t="str">
        <f t="shared" si="300"/>
        <v>HW</v>
      </c>
      <c r="S643" s="256" t="str">
        <f t="shared" si="301"/>
        <v>HL</v>
      </c>
      <c r="T643" s="256" t="str">
        <f t="shared" si="302"/>
        <v>HL</v>
      </c>
      <c r="U643" s="256" t="str">
        <f t="shared" si="303"/>
        <v>U</v>
      </c>
      <c r="V643" s="256" t="str">
        <f t="shared" si="304"/>
        <v>U</v>
      </c>
      <c r="W643" s="256" t="str">
        <f t="shared" si="305"/>
        <v>U</v>
      </c>
      <c r="X643" s="256" t="str">
        <f t="shared" si="306"/>
        <v>U</v>
      </c>
      <c r="Z643" s="3">
        <v>56</v>
      </c>
      <c r="AB643" s="256" t="str">
        <f t="shared" si="284"/>
        <v>CLE/NYK</v>
      </c>
      <c r="AC643" s="256">
        <f t="shared" si="307"/>
        <v>0</v>
      </c>
      <c r="AD643" s="256">
        <f t="shared" si="308"/>
        <v>4</v>
      </c>
    </row>
    <row r="644" spans="1:30" x14ac:dyDescent="0.3">
      <c r="A644" s="256">
        <v>200121</v>
      </c>
      <c r="B644" s="257">
        <v>0.29166666666666669</v>
      </c>
      <c r="C644" s="256" t="s">
        <v>403</v>
      </c>
      <c r="D644" s="256" t="s">
        <v>418</v>
      </c>
      <c r="E644" s="256">
        <v>25</v>
      </c>
      <c r="F644" s="256">
        <v>39</v>
      </c>
      <c r="G644" s="256">
        <v>23</v>
      </c>
      <c r="H644" s="256">
        <v>20</v>
      </c>
      <c r="I644" s="256"/>
      <c r="J644" s="256">
        <v>22</v>
      </c>
      <c r="K644" s="256">
        <v>35</v>
      </c>
      <c r="L644" s="256">
        <v>14</v>
      </c>
      <c r="M644" s="256">
        <v>41</v>
      </c>
      <c r="N644" s="256" t="s">
        <v>427</v>
      </c>
      <c r="O644" s="256">
        <f t="shared" si="297"/>
        <v>107</v>
      </c>
      <c r="P644" s="256">
        <f t="shared" si="298"/>
        <v>112</v>
      </c>
      <c r="Q644" s="256" t="str">
        <f t="shared" si="299"/>
        <v>HW</v>
      </c>
      <c r="R644" s="256" t="str">
        <f t="shared" si="300"/>
        <v>HW</v>
      </c>
      <c r="S644" s="256" t="str">
        <f t="shared" si="301"/>
        <v>HW</v>
      </c>
      <c r="T644" s="256" t="str">
        <f t="shared" si="302"/>
        <v>HL</v>
      </c>
      <c r="U644" s="256" t="str">
        <f t="shared" si="303"/>
        <v>U</v>
      </c>
      <c r="V644" s="256" t="str">
        <f t="shared" si="304"/>
        <v>O</v>
      </c>
      <c r="W644" s="256" t="str">
        <f t="shared" si="305"/>
        <v>U</v>
      </c>
      <c r="X644" s="256" t="str">
        <f t="shared" si="306"/>
        <v>O</v>
      </c>
      <c r="Z644" s="3">
        <v>58</v>
      </c>
      <c r="AB644" s="256" t="str">
        <f t="shared" si="284"/>
        <v>HOU/OKC</v>
      </c>
      <c r="AC644" s="256">
        <f t="shared" si="307"/>
        <v>2</v>
      </c>
      <c r="AD644" s="256">
        <f t="shared" si="308"/>
        <v>2</v>
      </c>
    </row>
    <row r="645" spans="1:30" x14ac:dyDescent="0.3">
      <c r="A645" s="256">
        <v>200121</v>
      </c>
      <c r="B645" s="257">
        <v>0.29166666666666669</v>
      </c>
      <c r="C645" s="256" t="s">
        <v>411</v>
      </c>
      <c r="D645" s="256" t="s">
        <v>416</v>
      </c>
      <c r="E645" s="256">
        <v>21</v>
      </c>
      <c r="F645" s="256">
        <v>35</v>
      </c>
      <c r="G645" s="256">
        <v>20</v>
      </c>
      <c r="H645" s="256">
        <v>29</v>
      </c>
      <c r="I645" s="256">
        <v>13</v>
      </c>
      <c r="J645" s="256">
        <v>24</v>
      </c>
      <c r="K645" s="256">
        <v>34</v>
      </c>
      <c r="L645" s="256">
        <v>20</v>
      </c>
      <c r="M645" s="256">
        <v>27</v>
      </c>
      <c r="N645" s="256">
        <v>8</v>
      </c>
      <c r="O645" s="256">
        <f t="shared" si="297"/>
        <v>118</v>
      </c>
      <c r="P645" s="256">
        <f t="shared" si="298"/>
        <v>113</v>
      </c>
      <c r="Q645" s="256" t="str">
        <f t="shared" si="299"/>
        <v>HL</v>
      </c>
      <c r="R645" s="256" t="str">
        <f t="shared" si="300"/>
        <v>HW</v>
      </c>
      <c r="S645" s="256" t="str">
        <f t="shared" si="301"/>
        <v>TT</v>
      </c>
      <c r="T645" s="256" t="str">
        <f t="shared" si="302"/>
        <v>HW</v>
      </c>
      <c r="U645" s="256" t="str">
        <f t="shared" si="303"/>
        <v>U</v>
      </c>
      <c r="V645" s="256" t="str">
        <f t="shared" si="304"/>
        <v>O</v>
      </c>
      <c r="W645" s="256" t="str">
        <f t="shared" si="305"/>
        <v>U</v>
      </c>
      <c r="X645" s="256" t="str">
        <f t="shared" si="306"/>
        <v>O</v>
      </c>
      <c r="Z645" s="3">
        <v>55.5</v>
      </c>
      <c r="AB645" s="256" t="str">
        <f t="shared" si="284"/>
        <v>MIA/SAC</v>
      </c>
      <c r="AC645" s="256">
        <f t="shared" si="307"/>
        <v>2</v>
      </c>
      <c r="AD645" s="256">
        <f t="shared" si="308"/>
        <v>2</v>
      </c>
    </row>
    <row r="646" spans="1:30" x14ac:dyDescent="0.3">
      <c r="A646" s="256">
        <v>200121</v>
      </c>
      <c r="B646" s="257">
        <v>0.29166666666666669</v>
      </c>
      <c r="C646" s="256" t="s">
        <v>423</v>
      </c>
      <c r="D646" s="256" t="s">
        <v>412</v>
      </c>
      <c r="E646" s="256">
        <v>30</v>
      </c>
      <c r="F646" s="256">
        <v>23</v>
      </c>
      <c r="G646" s="256">
        <v>31</v>
      </c>
      <c r="H646" s="256">
        <v>27</v>
      </c>
      <c r="I646" s="256"/>
      <c r="J646" s="256">
        <v>23</v>
      </c>
      <c r="K646" s="256">
        <v>29</v>
      </c>
      <c r="L646" s="256">
        <v>25</v>
      </c>
      <c r="M646" s="256">
        <v>21</v>
      </c>
      <c r="N646" s="256" t="s">
        <v>427</v>
      </c>
      <c r="O646" s="256">
        <f t="shared" si="297"/>
        <v>111</v>
      </c>
      <c r="P646" s="256">
        <f t="shared" si="298"/>
        <v>98</v>
      </c>
      <c r="Q646" s="256" t="str">
        <f t="shared" si="299"/>
        <v>HW</v>
      </c>
      <c r="R646" s="256" t="str">
        <f t="shared" si="300"/>
        <v>HL</v>
      </c>
      <c r="S646" s="256" t="str">
        <f t="shared" si="301"/>
        <v>HW</v>
      </c>
      <c r="T646" s="256" t="str">
        <f t="shared" si="302"/>
        <v>HW</v>
      </c>
      <c r="U646" s="256" t="str">
        <f t="shared" si="303"/>
        <v>U</v>
      </c>
      <c r="V646" s="256" t="str">
        <f t="shared" si="304"/>
        <v>U</v>
      </c>
      <c r="W646" s="256" t="str">
        <f t="shared" si="305"/>
        <v>U</v>
      </c>
      <c r="X646" s="256" t="str">
        <f t="shared" si="306"/>
        <v>U</v>
      </c>
      <c r="Z646" s="3">
        <v>56.5</v>
      </c>
      <c r="AB646" s="256" t="str">
        <f t="shared" si="284"/>
        <v>MIL/CHI</v>
      </c>
      <c r="AC646" s="256">
        <f t="shared" si="307"/>
        <v>0</v>
      </c>
      <c r="AD646" s="256">
        <f t="shared" si="308"/>
        <v>4</v>
      </c>
    </row>
    <row r="647" spans="1:30" x14ac:dyDescent="0.3">
      <c r="A647" s="256">
        <v>200121</v>
      </c>
      <c r="B647" s="257">
        <v>0.29166666666666669</v>
      </c>
      <c r="C647" s="256" t="s">
        <v>406</v>
      </c>
      <c r="D647" s="256" t="s">
        <v>398</v>
      </c>
      <c r="E647" s="256">
        <v>30</v>
      </c>
      <c r="F647" s="256">
        <v>20</v>
      </c>
      <c r="G647" s="256">
        <v>27</v>
      </c>
      <c r="H647" s="256">
        <v>39</v>
      </c>
      <c r="I647" s="256"/>
      <c r="J647" s="256">
        <v>31</v>
      </c>
      <c r="K647" s="256">
        <v>38</v>
      </c>
      <c r="L647" s="256">
        <v>29</v>
      </c>
      <c r="M647" s="256">
        <v>28</v>
      </c>
      <c r="N647" s="256" t="s">
        <v>427</v>
      </c>
      <c r="O647" s="256">
        <f t="shared" si="297"/>
        <v>116</v>
      </c>
      <c r="P647" s="256">
        <f t="shared" si="298"/>
        <v>126</v>
      </c>
      <c r="Q647" s="256" t="str">
        <f t="shared" si="299"/>
        <v>HL</v>
      </c>
      <c r="R647" s="256" t="str">
        <f t="shared" si="300"/>
        <v>HL</v>
      </c>
      <c r="S647" s="256" t="str">
        <f t="shared" si="301"/>
        <v>HL</v>
      </c>
      <c r="T647" s="256" t="str">
        <f t="shared" si="302"/>
        <v>HW</v>
      </c>
      <c r="U647" s="256" t="str">
        <f t="shared" si="303"/>
        <v>T</v>
      </c>
      <c r="V647" s="256" t="str">
        <f t="shared" si="304"/>
        <v>U</v>
      </c>
      <c r="W647" s="256" t="str">
        <f t="shared" si="305"/>
        <v>U</v>
      </c>
      <c r="X647" s="256" t="str">
        <f t="shared" si="306"/>
        <v>O</v>
      </c>
      <c r="Z647" s="3">
        <v>61</v>
      </c>
      <c r="AB647" s="256" t="str">
        <f t="shared" si="284"/>
        <v>MEM/NO</v>
      </c>
      <c r="AC647" s="256">
        <f t="shared" si="307"/>
        <v>1</v>
      </c>
      <c r="AD647" s="256">
        <f t="shared" si="308"/>
        <v>2</v>
      </c>
    </row>
    <row r="648" spans="1:30" x14ac:dyDescent="0.3">
      <c r="A648" s="256">
        <v>200121</v>
      </c>
      <c r="B648" s="257">
        <v>0.29166666666666669</v>
      </c>
      <c r="C648" s="256" t="s">
        <v>409</v>
      </c>
      <c r="D648" s="256" t="s">
        <v>424</v>
      </c>
      <c r="E648" s="256">
        <v>27</v>
      </c>
      <c r="F648" s="256">
        <v>18</v>
      </c>
      <c r="G648" s="256">
        <v>20</v>
      </c>
      <c r="H648" s="256">
        <v>18</v>
      </c>
      <c r="I648" s="256"/>
      <c r="J648" s="256">
        <v>19</v>
      </c>
      <c r="K648" s="256">
        <v>32</v>
      </c>
      <c r="L648" s="256">
        <v>21</v>
      </c>
      <c r="M648" s="256">
        <v>34</v>
      </c>
      <c r="N648" s="256"/>
      <c r="O648" s="256">
        <f t="shared" si="297"/>
        <v>83</v>
      </c>
      <c r="P648" s="256">
        <f t="shared" si="298"/>
        <v>106</v>
      </c>
      <c r="Q648" s="256" t="str">
        <f t="shared" si="299"/>
        <v>HW</v>
      </c>
      <c r="R648" s="256" t="str">
        <f t="shared" si="300"/>
        <v>HL</v>
      </c>
      <c r="S648" s="256" t="str">
        <f t="shared" si="301"/>
        <v>HL</v>
      </c>
      <c r="T648" s="256" t="str">
        <f t="shared" si="302"/>
        <v>HL</v>
      </c>
      <c r="U648" s="256" t="str">
        <f t="shared" si="303"/>
        <v>U</v>
      </c>
      <c r="V648" s="256" t="str">
        <f t="shared" si="304"/>
        <v>U</v>
      </c>
      <c r="W648" s="256" t="str">
        <f t="shared" si="305"/>
        <v>U</v>
      </c>
      <c r="X648" s="256" t="str">
        <f t="shared" si="306"/>
        <v>T</v>
      </c>
      <c r="Z648" s="3">
        <v>52</v>
      </c>
      <c r="AB648" s="256" t="str">
        <f t="shared" si="284"/>
        <v>CHA/ORL</v>
      </c>
      <c r="AC648" s="256">
        <f t="shared" si="307"/>
        <v>0</v>
      </c>
      <c r="AD648" s="256">
        <f t="shared" si="308"/>
        <v>3</v>
      </c>
    </row>
    <row r="649" spans="1:30" x14ac:dyDescent="0.3">
      <c r="A649" s="256">
        <v>200121</v>
      </c>
      <c r="B649" s="257">
        <v>0.39583333333333331</v>
      </c>
      <c r="C649" s="256" t="s">
        <v>421</v>
      </c>
      <c r="D649" s="256" t="s">
        <v>419</v>
      </c>
      <c r="E649" s="256">
        <v>33</v>
      </c>
      <c r="F649" s="256">
        <v>36</v>
      </c>
      <c r="G649" s="256">
        <v>35</v>
      </c>
      <c r="H649" s="256">
        <v>35</v>
      </c>
      <c r="I649" s="256"/>
      <c r="J649" s="256">
        <v>30</v>
      </c>
      <c r="K649" s="256">
        <v>25</v>
      </c>
      <c r="L649" s="256">
        <v>25</v>
      </c>
      <c r="M649" s="256">
        <v>27</v>
      </c>
      <c r="N649" s="256"/>
      <c r="O649" s="256">
        <f t="shared" si="297"/>
        <v>139</v>
      </c>
      <c r="P649" s="256">
        <f t="shared" si="298"/>
        <v>107</v>
      </c>
      <c r="Q649" s="256" t="str">
        <f t="shared" si="299"/>
        <v>HW</v>
      </c>
      <c r="R649" s="256" t="str">
        <f t="shared" si="300"/>
        <v>HW</v>
      </c>
      <c r="S649" s="256" t="str">
        <f t="shared" si="301"/>
        <v>HW</v>
      </c>
      <c r="T649" s="256" t="str">
        <f t="shared" si="302"/>
        <v>HW</v>
      </c>
      <c r="U649" s="256" t="str">
        <f t="shared" si="303"/>
        <v>O</v>
      </c>
      <c r="V649" s="256" t="str">
        <f t="shared" si="304"/>
        <v>O</v>
      </c>
      <c r="W649" s="256" t="str">
        <f t="shared" si="305"/>
        <v>O</v>
      </c>
      <c r="X649" s="256" t="str">
        <f t="shared" si="306"/>
        <v>O</v>
      </c>
      <c r="Z649" s="3">
        <v>57</v>
      </c>
      <c r="AB649" s="256" t="str">
        <f t="shared" si="284"/>
        <v>BOS/LAL</v>
      </c>
      <c r="AC649" s="256">
        <f t="shared" si="307"/>
        <v>4</v>
      </c>
      <c r="AD649" s="256">
        <f t="shared" si="308"/>
        <v>0</v>
      </c>
    </row>
    <row r="650" spans="1:30" x14ac:dyDescent="0.3">
      <c r="A650" s="256">
        <v>200121</v>
      </c>
      <c r="B650" s="257">
        <v>0.41666666666666669</v>
      </c>
      <c r="C650" s="256" t="s">
        <v>420</v>
      </c>
      <c r="D650" s="256" t="s">
        <v>408</v>
      </c>
      <c r="E650" s="256">
        <v>29</v>
      </c>
      <c r="F650" s="256">
        <v>25</v>
      </c>
      <c r="G650" s="256">
        <v>25</v>
      </c>
      <c r="H650" s="256">
        <v>21</v>
      </c>
      <c r="I650" s="256"/>
      <c r="J650" s="256">
        <v>26</v>
      </c>
      <c r="K650" s="256">
        <v>29</v>
      </c>
      <c r="L650" s="256">
        <v>26</v>
      </c>
      <c r="M650" s="256">
        <v>26</v>
      </c>
      <c r="N650" s="256" t="s">
        <v>427</v>
      </c>
      <c r="O650" s="256">
        <f t="shared" si="297"/>
        <v>100</v>
      </c>
      <c r="P650" s="256">
        <f t="shared" si="298"/>
        <v>107</v>
      </c>
      <c r="Q650" s="256" t="str">
        <f t="shared" si="299"/>
        <v>HW</v>
      </c>
      <c r="R650" s="256" t="str">
        <f t="shared" si="300"/>
        <v>HL</v>
      </c>
      <c r="S650" s="256" t="str">
        <f t="shared" si="301"/>
        <v>HL</v>
      </c>
      <c r="T650" s="256" t="str">
        <f t="shared" si="302"/>
        <v>HL</v>
      </c>
      <c r="U650" s="256" t="str">
        <f t="shared" si="303"/>
        <v>U</v>
      </c>
      <c r="V650" s="256" t="str">
        <f t="shared" si="304"/>
        <v>U</v>
      </c>
      <c r="W650" s="256" t="str">
        <f t="shared" si="305"/>
        <v>U</v>
      </c>
      <c r="X650" s="256" t="str">
        <f t="shared" si="306"/>
        <v>U</v>
      </c>
      <c r="Z650" s="3">
        <v>55.5</v>
      </c>
      <c r="AB650" s="256" t="str">
        <f t="shared" si="284"/>
        <v>MIN/DEN</v>
      </c>
      <c r="AC650" s="256">
        <f t="shared" si="307"/>
        <v>0</v>
      </c>
      <c r="AD650" s="256">
        <f t="shared" si="308"/>
        <v>4</v>
      </c>
    </row>
    <row r="651" spans="1:30" x14ac:dyDescent="0.3">
      <c r="A651" s="256">
        <v>200121</v>
      </c>
      <c r="B651" s="257">
        <v>0.45833333333333331</v>
      </c>
      <c r="C651" s="256" t="s">
        <v>404</v>
      </c>
      <c r="D651" s="256" t="s">
        <v>426</v>
      </c>
      <c r="E651" s="256">
        <v>26</v>
      </c>
      <c r="F651" s="256">
        <v>25</v>
      </c>
      <c r="G651" s="256">
        <v>32</v>
      </c>
      <c r="H651" s="256">
        <v>35</v>
      </c>
      <c r="I651" s="256"/>
      <c r="J651" s="256">
        <v>28</v>
      </c>
      <c r="K651" s="256">
        <v>38</v>
      </c>
      <c r="L651" s="256">
        <v>30</v>
      </c>
      <c r="M651" s="256">
        <v>24</v>
      </c>
      <c r="N651" s="256" t="s">
        <v>427</v>
      </c>
      <c r="O651" s="256">
        <f t="shared" si="297"/>
        <v>118</v>
      </c>
      <c r="P651" s="256">
        <f t="shared" si="298"/>
        <v>120</v>
      </c>
      <c r="Q651" s="256" t="str">
        <f t="shared" si="299"/>
        <v>HL</v>
      </c>
      <c r="R651" s="256" t="str">
        <f t="shared" si="300"/>
        <v>HL</v>
      </c>
      <c r="S651" s="256" t="str">
        <f t="shared" si="301"/>
        <v>HW</v>
      </c>
      <c r="T651" s="256" t="str">
        <f t="shared" si="302"/>
        <v>HW</v>
      </c>
      <c r="U651" s="256" t="str">
        <f t="shared" si="303"/>
        <v>U</v>
      </c>
      <c r="V651" s="256" t="str">
        <f t="shared" si="304"/>
        <v>O</v>
      </c>
      <c r="W651" s="256" t="str">
        <f t="shared" si="305"/>
        <v>O</v>
      </c>
      <c r="X651" s="256" t="str">
        <f t="shared" si="306"/>
        <v>O</v>
      </c>
      <c r="Z651" s="3">
        <v>58</v>
      </c>
      <c r="AB651" s="256" t="str">
        <f t="shared" si="284"/>
        <v>PHO/SAS</v>
      </c>
      <c r="AC651" s="256">
        <f t="shared" si="307"/>
        <v>3</v>
      </c>
      <c r="AD651" s="256">
        <f t="shared" si="308"/>
        <v>1</v>
      </c>
    </row>
    <row r="652" spans="1:30" x14ac:dyDescent="0.3">
      <c r="A652" s="256">
        <v>200121</v>
      </c>
      <c r="B652" s="257">
        <v>0.45833333333333331</v>
      </c>
      <c r="C652" s="256" t="s">
        <v>405</v>
      </c>
      <c r="D652" s="256" t="s">
        <v>400</v>
      </c>
      <c r="E652" s="256">
        <v>29</v>
      </c>
      <c r="F652" s="256">
        <v>27</v>
      </c>
      <c r="G652" s="256">
        <v>24</v>
      </c>
      <c r="H652" s="256">
        <v>38</v>
      </c>
      <c r="I652" s="256"/>
      <c r="J652" s="256">
        <v>23</v>
      </c>
      <c r="K652" s="256">
        <v>21</v>
      </c>
      <c r="L652" s="256">
        <v>19</v>
      </c>
      <c r="M652" s="256">
        <v>25</v>
      </c>
      <c r="N652" s="256" t="s">
        <v>427</v>
      </c>
      <c r="O652" s="256">
        <f t="shared" si="297"/>
        <v>118</v>
      </c>
      <c r="P652" s="256">
        <f t="shared" si="298"/>
        <v>88</v>
      </c>
      <c r="Q652" s="256" t="str">
        <f t="shared" si="299"/>
        <v>HW</v>
      </c>
      <c r="R652" s="256" t="str">
        <f t="shared" si="300"/>
        <v>HW</v>
      </c>
      <c r="S652" s="256" t="str">
        <f t="shared" si="301"/>
        <v>HW</v>
      </c>
      <c r="T652" s="256" t="str">
        <f t="shared" si="302"/>
        <v>HW</v>
      </c>
      <c r="U652" s="256" t="str">
        <f t="shared" si="303"/>
        <v>U</v>
      </c>
      <c r="V652" s="256" t="str">
        <f t="shared" si="304"/>
        <v>U</v>
      </c>
      <c r="W652" s="256" t="str">
        <f t="shared" si="305"/>
        <v>U</v>
      </c>
      <c r="X652" s="256" t="str">
        <f t="shared" si="306"/>
        <v>O</v>
      </c>
      <c r="Z652" s="3">
        <v>54</v>
      </c>
      <c r="AB652" s="256" t="str">
        <f t="shared" ref="AB652:AB715" si="309">C652&amp;"/"&amp;D652</f>
        <v>UTA/IND</v>
      </c>
      <c r="AC652" s="256">
        <f t="shared" si="307"/>
        <v>1</v>
      </c>
      <c r="AD652" s="256">
        <f t="shared" si="308"/>
        <v>3</v>
      </c>
    </row>
    <row r="653" spans="1:30" x14ac:dyDescent="0.3">
      <c r="A653" s="256">
        <v>200121</v>
      </c>
      <c r="B653" s="257">
        <v>0.5</v>
      </c>
      <c r="C653" s="256" t="s">
        <v>417</v>
      </c>
      <c r="D653" s="256" t="s">
        <v>425</v>
      </c>
      <c r="E653" s="256">
        <v>27</v>
      </c>
      <c r="F653" s="256">
        <v>26</v>
      </c>
      <c r="G653" s="256">
        <v>34</v>
      </c>
      <c r="H653" s="256">
        <v>26</v>
      </c>
      <c r="I653" s="256">
        <v>16</v>
      </c>
      <c r="J653" s="256">
        <v>23</v>
      </c>
      <c r="K653" s="256">
        <v>34</v>
      </c>
      <c r="L653" s="256">
        <v>35</v>
      </c>
      <c r="M653" s="256">
        <v>21</v>
      </c>
      <c r="N653" s="256">
        <v>11</v>
      </c>
      <c r="O653" s="256">
        <f t="shared" si="297"/>
        <v>129</v>
      </c>
      <c r="P653" s="256">
        <f t="shared" si="298"/>
        <v>124</v>
      </c>
      <c r="Q653" s="256" t="str">
        <f t="shared" si="299"/>
        <v>HW</v>
      </c>
      <c r="R653" s="256" t="str">
        <f t="shared" si="300"/>
        <v>HL</v>
      </c>
      <c r="S653" s="256" t="str">
        <f t="shared" si="301"/>
        <v>HL</v>
      </c>
      <c r="T653" s="256" t="str">
        <f t="shared" si="302"/>
        <v>HW</v>
      </c>
      <c r="U653" s="256" t="str">
        <f t="shared" si="303"/>
        <v>U</v>
      </c>
      <c r="V653" s="256" t="str">
        <f t="shared" si="304"/>
        <v>O</v>
      </c>
      <c r="W653" s="256" t="str">
        <f t="shared" si="305"/>
        <v>O</v>
      </c>
      <c r="X653" s="256" t="str">
        <f t="shared" si="306"/>
        <v>U</v>
      </c>
      <c r="Z653" s="3">
        <v>56</v>
      </c>
      <c r="AB653" s="256" t="str">
        <f t="shared" si="309"/>
        <v>POR/GS</v>
      </c>
      <c r="AC653" s="256">
        <f t="shared" si="307"/>
        <v>2</v>
      </c>
      <c r="AD653" s="256">
        <f t="shared" si="308"/>
        <v>2</v>
      </c>
    </row>
    <row r="654" spans="1:30" x14ac:dyDescent="0.3">
      <c r="A654" s="256">
        <v>200122</v>
      </c>
      <c r="B654" s="257">
        <v>0.4375</v>
      </c>
      <c r="C654" s="256" t="s">
        <v>397</v>
      </c>
      <c r="D654" s="256" t="s">
        <v>415</v>
      </c>
      <c r="E654" s="256">
        <v>24</v>
      </c>
      <c r="F654" s="256">
        <v>25</v>
      </c>
      <c r="G654" s="256">
        <v>29</v>
      </c>
      <c r="H654" s="256">
        <v>29</v>
      </c>
      <c r="I654" s="256"/>
      <c r="J654" s="256">
        <v>24</v>
      </c>
      <c r="K654" s="256">
        <v>36</v>
      </c>
      <c r="L654" s="256">
        <v>22</v>
      </c>
      <c r="M654" s="256">
        <v>28</v>
      </c>
      <c r="N654" s="256"/>
      <c r="O654" s="256">
        <f t="shared" si="297"/>
        <v>107</v>
      </c>
      <c r="P654" s="256">
        <f t="shared" si="298"/>
        <v>110</v>
      </c>
      <c r="Q654" s="256" t="str">
        <f t="shared" si="299"/>
        <v>TT</v>
      </c>
      <c r="R654" s="256" t="str">
        <f t="shared" si="300"/>
        <v>HL</v>
      </c>
      <c r="S654" s="256" t="str">
        <f t="shared" si="301"/>
        <v>HW</v>
      </c>
      <c r="T654" s="256" t="str">
        <f t="shared" si="302"/>
        <v>HW</v>
      </c>
      <c r="U654" s="256" t="str">
        <f t="shared" si="303"/>
        <v>U</v>
      </c>
      <c r="V654" s="256" t="str">
        <f t="shared" si="304"/>
        <v>O</v>
      </c>
      <c r="W654" s="256" t="str">
        <f t="shared" si="305"/>
        <v>U</v>
      </c>
      <c r="X654" s="256" t="str">
        <f t="shared" si="306"/>
        <v>U</v>
      </c>
      <c r="Z654" s="3">
        <v>60</v>
      </c>
      <c r="AB654" s="256" t="str">
        <f t="shared" si="309"/>
        <v>DAL/LAC</v>
      </c>
      <c r="AC654" s="256">
        <f t="shared" si="307"/>
        <v>1</v>
      </c>
      <c r="AD654" s="256">
        <f t="shared" si="308"/>
        <v>3</v>
      </c>
    </row>
    <row r="655" spans="1:30" x14ac:dyDescent="0.3">
      <c r="A655" s="256">
        <v>200123</v>
      </c>
      <c r="B655" s="257">
        <v>0.375</v>
      </c>
      <c r="C655" s="256" t="s">
        <v>422</v>
      </c>
      <c r="D655" s="256" t="s">
        <v>416</v>
      </c>
      <c r="E655" s="256">
        <v>26</v>
      </c>
      <c r="F655" s="256">
        <v>31</v>
      </c>
      <c r="G655" s="256">
        <v>36</v>
      </c>
      <c r="H655" s="256">
        <v>34</v>
      </c>
      <c r="I655" s="256"/>
      <c r="J655" s="256">
        <v>27</v>
      </c>
      <c r="K655" s="256">
        <v>23</v>
      </c>
      <c r="L655" s="256">
        <v>25</v>
      </c>
      <c r="M655" s="256">
        <v>31</v>
      </c>
      <c r="N655" s="256"/>
      <c r="O655" s="256">
        <f t="shared" si="297"/>
        <v>127</v>
      </c>
      <c r="P655" s="256">
        <f t="shared" si="298"/>
        <v>106</v>
      </c>
      <c r="Q655" s="256" t="str">
        <f t="shared" si="299"/>
        <v>HL</v>
      </c>
      <c r="R655" s="256" t="str">
        <f t="shared" si="300"/>
        <v>HW</v>
      </c>
      <c r="S655" s="256" t="str">
        <f t="shared" si="301"/>
        <v>HW</v>
      </c>
      <c r="T655" s="256" t="str">
        <f t="shared" si="302"/>
        <v>HW</v>
      </c>
      <c r="U655" s="256" t="str">
        <f t="shared" si="303"/>
        <v>U</v>
      </c>
      <c r="V655" s="256" t="str">
        <f t="shared" si="304"/>
        <v>U</v>
      </c>
      <c r="W655" s="256" t="str">
        <f t="shared" si="305"/>
        <v>O</v>
      </c>
      <c r="X655" s="256" t="str">
        <f t="shared" si="306"/>
        <v>O</v>
      </c>
      <c r="Z655" s="3">
        <v>57</v>
      </c>
      <c r="AB655" s="256" t="str">
        <f t="shared" si="309"/>
        <v>DET/SAC</v>
      </c>
      <c r="AC655" s="256">
        <f t="shared" si="307"/>
        <v>2</v>
      </c>
      <c r="AD655" s="256">
        <f t="shared" si="308"/>
        <v>2</v>
      </c>
    </row>
    <row r="656" spans="1:30" x14ac:dyDescent="0.3">
      <c r="A656" s="256">
        <v>200123</v>
      </c>
      <c r="B656" s="257">
        <v>0.375</v>
      </c>
      <c r="C656" s="256" t="s">
        <v>424</v>
      </c>
      <c r="D656" s="256" t="s">
        <v>418</v>
      </c>
      <c r="E656" s="256">
        <v>21</v>
      </c>
      <c r="F656" s="256">
        <v>30</v>
      </c>
      <c r="G656" s="256">
        <v>38</v>
      </c>
      <c r="H656" s="256">
        <v>25</v>
      </c>
      <c r="I656" s="256"/>
      <c r="J656" s="256">
        <v>24</v>
      </c>
      <c r="K656" s="256">
        <v>36</v>
      </c>
      <c r="L656" s="256">
        <v>32</v>
      </c>
      <c r="M656" s="256">
        <v>28</v>
      </c>
      <c r="N656" s="256"/>
      <c r="O656" s="256">
        <f t="shared" si="297"/>
        <v>114</v>
      </c>
      <c r="P656" s="256">
        <f t="shared" si="298"/>
        <v>120</v>
      </c>
      <c r="Q656" s="256" t="str">
        <f t="shared" si="299"/>
        <v>HL</v>
      </c>
      <c r="R656" s="256" t="str">
        <f t="shared" si="300"/>
        <v>HL</v>
      </c>
      <c r="S656" s="256" t="str">
        <f t="shared" si="301"/>
        <v>HW</v>
      </c>
      <c r="T656" s="256" t="str">
        <f t="shared" si="302"/>
        <v>HL</v>
      </c>
      <c r="U656" s="256" t="str">
        <f t="shared" si="303"/>
        <v>U</v>
      </c>
      <c r="V656" s="256" t="str">
        <f t="shared" si="304"/>
        <v>O</v>
      </c>
      <c r="W656" s="256" t="str">
        <f t="shared" si="305"/>
        <v>O</v>
      </c>
      <c r="X656" s="256" t="str">
        <f t="shared" si="306"/>
        <v>U</v>
      </c>
      <c r="Z656" s="3">
        <v>54</v>
      </c>
      <c r="AB656" s="256" t="str">
        <f t="shared" si="309"/>
        <v>ORL/OKC</v>
      </c>
      <c r="AC656" s="256">
        <f t="shared" si="307"/>
        <v>2</v>
      </c>
      <c r="AD656" s="256">
        <f t="shared" si="308"/>
        <v>2</v>
      </c>
    </row>
    <row r="657" spans="1:30" x14ac:dyDescent="0.3">
      <c r="A657" s="256">
        <v>200123</v>
      </c>
      <c r="B657" s="257">
        <v>0.375</v>
      </c>
      <c r="C657" s="256" t="s">
        <v>413</v>
      </c>
      <c r="D657" s="256" t="s">
        <v>401</v>
      </c>
      <c r="E657" s="256">
        <v>26</v>
      </c>
      <c r="F657" s="256">
        <v>24</v>
      </c>
      <c r="G657" s="256">
        <v>26</v>
      </c>
      <c r="H657" s="256">
        <v>31</v>
      </c>
      <c r="I657" s="256"/>
      <c r="J657" s="256">
        <v>35</v>
      </c>
      <c r="K657" s="256">
        <v>15</v>
      </c>
      <c r="L657" s="256">
        <v>22</v>
      </c>
      <c r="M657" s="256">
        <v>23</v>
      </c>
      <c r="N657" s="256"/>
      <c r="O657" s="256">
        <f t="shared" si="297"/>
        <v>107</v>
      </c>
      <c r="P657" s="256">
        <f t="shared" si="298"/>
        <v>95</v>
      </c>
      <c r="Q657" s="256" t="str">
        <f t="shared" si="299"/>
        <v>HL</v>
      </c>
      <c r="R657" s="256" t="str">
        <f t="shared" si="300"/>
        <v>HW</v>
      </c>
      <c r="S657" s="256" t="str">
        <f t="shared" si="301"/>
        <v>HW</v>
      </c>
      <c r="T657" s="256" t="str">
        <f t="shared" si="302"/>
        <v>HW</v>
      </c>
      <c r="U657" s="256" t="str">
        <f t="shared" si="303"/>
        <v>O</v>
      </c>
      <c r="V657" s="256" t="str">
        <f t="shared" si="304"/>
        <v>U</v>
      </c>
      <c r="W657" s="256" t="str">
        <f t="shared" si="305"/>
        <v>U</v>
      </c>
      <c r="X657" s="256" t="str">
        <f t="shared" si="306"/>
        <v>U</v>
      </c>
      <c r="Z657" s="3">
        <v>55.5</v>
      </c>
      <c r="AB657" s="256" t="str">
        <f t="shared" si="309"/>
        <v>TOR/PHI</v>
      </c>
      <c r="AC657" s="256">
        <f t="shared" si="307"/>
        <v>1</v>
      </c>
      <c r="AD657" s="256">
        <f t="shared" si="308"/>
        <v>3</v>
      </c>
    </row>
    <row r="658" spans="1:30" x14ac:dyDescent="0.3">
      <c r="A658" s="256">
        <v>200123</v>
      </c>
      <c r="B658" s="257">
        <v>0.39583333333333331</v>
      </c>
      <c r="C658" s="256" t="s">
        <v>410</v>
      </c>
      <c r="D658" s="256" t="s">
        <v>415</v>
      </c>
      <c r="E658" s="256">
        <v>16</v>
      </c>
      <c r="F658" s="256">
        <v>25</v>
      </c>
      <c r="G658" s="256">
        <v>28</v>
      </c>
      <c r="H658" s="256">
        <v>33</v>
      </c>
      <c r="I658" s="256"/>
      <c r="J658" s="256">
        <v>32</v>
      </c>
      <c r="K658" s="256">
        <v>28</v>
      </c>
      <c r="L658" s="256">
        <v>15</v>
      </c>
      <c r="M658" s="256">
        <v>20</v>
      </c>
      <c r="N658" s="256"/>
      <c r="O658" s="256">
        <f t="shared" si="297"/>
        <v>102</v>
      </c>
      <c r="P658" s="256">
        <f t="shared" si="298"/>
        <v>95</v>
      </c>
      <c r="Q658" s="256" t="str">
        <f t="shared" si="299"/>
        <v>HL</v>
      </c>
      <c r="R658" s="256" t="str">
        <f t="shared" si="300"/>
        <v>HL</v>
      </c>
      <c r="S658" s="256" t="str">
        <f t="shared" si="301"/>
        <v>HW</v>
      </c>
      <c r="T658" s="256" t="str">
        <f t="shared" si="302"/>
        <v>HW</v>
      </c>
      <c r="U658" s="256" t="str">
        <f t="shared" si="303"/>
        <v>U</v>
      </c>
      <c r="V658" s="256" t="str">
        <f t="shared" si="304"/>
        <v>U</v>
      </c>
      <c r="W658" s="256" t="str">
        <f t="shared" si="305"/>
        <v>U</v>
      </c>
      <c r="X658" s="256" t="str">
        <f t="shared" si="306"/>
        <v>U</v>
      </c>
      <c r="Z658" s="3">
        <v>59.5</v>
      </c>
      <c r="AB658" s="256" t="str">
        <f t="shared" si="309"/>
        <v>ATL/LAC</v>
      </c>
      <c r="AC658" s="256">
        <f t="shared" si="307"/>
        <v>0</v>
      </c>
      <c r="AD658" s="256">
        <f t="shared" si="308"/>
        <v>4</v>
      </c>
    </row>
    <row r="659" spans="1:30" x14ac:dyDescent="0.3">
      <c r="A659" s="256">
        <v>200123</v>
      </c>
      <c r="B659" s="257">
        <v>0.39583333333333331</v>
      </c>
      <c r="C659" s="256" t="s">
        <v>421</v>
      </c>
      <c r="D659" s="256" t="s">
        <v>406</v>
      </c>
      <c r="E659" s="256">
        <v>25</v>
      </c>
      <c r="F659" s="256">
        <v>33</v>
      </c>
      <c r="G659" s="256">
        <v>41</v>
      </c>
      <c r="H659" s="256">
        <v>20</v>
      </c>
      <c r="I659" s="256"/>
      <c r="J659" s="256">
        <v>27</v>
      </c>
      <c r="K659" s="256">
        <v>17</v>
      </c>
      <c r="L659" s="256">
        <v>19</v>
      </c>
      <c r="M659" s="256">
        <v>32</v>
      </c>
      <c r="N659" s="256"/>
      <c r="O659" s="256">
        <f t="shared" si="297"/>
        <v>119</v>
      </c>
      <c r="P659" s="256">
        <f t="shared" si="298"/>
        <v>95</v>
      </c>
      <c r="Q659" s="256" t="str">
        <f t="shared" si="299"/>
        <v>HL</v>
      </c>
      <c r="R659" s="256" t="str">
        <f t="shared" si="300"/>
        <v>HW</v>
      </c>
      <c r="S659" s="256" t="str">
        <f t="shared" si="301"/>
        <v>HW</v>
      </c>
      <c r="T659" s="256" t="str">
        <f t="shared" si="302"/>
        <v>HL</v>
      </c>
      <c r="U659" s="256" t="str">
        <f t="shared" si="303"/>
        <v>U</v>
      </c>
      <c r="V659" s="256" t="str">
        <f t="shared" si="304"/>
        <v>U</v>
      </c>
      <c r="W659" s="256" t="str">
        <f t="shared" si="305"/>
        <v>O</v>
      </c>
      <c r="X659" s="256" t="str">
        <f t="shared" si="306"/>
        <v>U</v>
      </c>
      <c r="Z659" s="3">
        <v>57</v>
      </c>
      <c r="AB659" s="256" t="str">
        <f t="shared" si="309"/>
        <v>BOS/MEM</v>
      </c>
      <c r="AC659" s="256">
        <f t="shared" si="307"/>
        <v>1</v>
      </c>
      <c r="AD659" s="256">
        <f t="shared" si="308"/>
        <v>3</v>
      </c>
    </row>
    <row r="660" spans="1:30" x14ac:dyDescent="0.3">
      <c r="A660" s="256">
        <v>200123</v>
      </c>
      <c r="B660" s="257">
        <v>0.39583333333333331</v>
      </c>
      <c r="C660" s="256" t="s">
        <v>411</v>
      </c>
      <c r="D660" s="256" t="s">
        <v>414</v>
      </c>
      <c r="E660" s="256">
        <v>30</v>
      </c>
      <c r="F660" s="256">
        <v>39</v>
      </c>
      <c r="G660" s="256">
        <v>21</v>
      </c>
      <c r="H660" s="256">
        <v>28</v>
      </c>
      <c r="I660" s="256">
        <v>16</v>
      </c>
      <c r="J660" s="256">
        <v>27</v>
      </c>
      <c r="K660" s="256">
        <v>23</v>
      </c>
      <c r="L660" s="256">
        <v>33</v>
      </c>
      <c r="M660" s="256">
        <v>35</v>
      </c>
      <c r="N660" s="256">
        <v>11</v>
      </c>
      <c r="O660" s="256">
        <f t="shared" si="297"/>
        <v>134</v>
      </c>
      <c r="P660" s="256">
        <f t="shared" si="298"/>
        <v>129</v>
      </c>
      <c r="Q660" s="256" t="str">
        <f t="shared" si="299"/>
        <v>HW</v>
      </c>
      <c r="R660" s="256" t="str">
        <f t="shared" si="300"/>
        <v>HW</v>
      </c>
      <c r="S660" s="256" t="str">
        <f t="shared" si="301"/>
        <v>HL</v>
      </c>
      <c r="T660" s="256" t="str">
        <f t="shared" si="302"/>
        <v>HL</v>
      </c>
      <c r="U660" s="256" t="str">
        <f t="shared" si="303"/>
        <v>U</v>
      </c>
      <c r="V660" s="256" t="str">
        <f t="shared" si="304"/>
        <v>O</v>
      </c>
      <c r="W660" s="256" t="str">
        <f t="shared" si="305"/>
        <v>U</v>
      </c>
      <c r="X660" s="256" t="str">
        <f t="shared" si="306"/>
        <v>O</v>
      </c>
      <c r="Z660" s="3">
        <v>60</v>
      </c>
      <c r="AB660" s="256" t="str">
        <f t="shared" si="309"/>
        <v>MIA/WAS</v>
      </c>
      <c r="AC660" s="256">
        <f t="shared" si="307"/>
        <v>2</v>
      </c>
      <c r="AD660" s="256">
        <f t="shared" si="308"/>
        <v>2</v>
      </c>
    </row>
    <row r="661" spans="1:30" x14ac:dyDescent="0.3">
      <c r="A661" s="256">
        <v>200123</v>
      </c>
      <c r="B661" s="257">
        <v>0.39583333333333331</v>
      </c>
      <c r="C661" s="256" t="s">
        <v>399</v>
      </c>
      <c r="D661" s="256" t="s">
        <v>419</v>
      </c>
      <c r="E661" s="256">
        <v>25</v>
      </c>
      <c r="F661" s="256">
        <v>23</v>
      </c>
      <c r="G661" s="256">
        <v>22</v>
      </c>
      <c r="H661" s="256">
        <v>22</v>
      </c>
      <c r="I661" s="256"/>
      <c r="J661" s="256">
        <v>28</v>
      </c>
      <c r="K661" s="256">
        <v>20</v>
      </c>
      <c r="L661" s="256">
        <v>28</v>
      </c>
      <c r="M661" s="256">
        <v>24</v>
      </c>
      <c r="N661" s="256"/>
      <c r="O661" s="256">
        <f t="shared" si="297"/>
        <v>92</v>
      </c>
      <c r="P661" s="256">
        <f t="shared" si="298"/>
        <v>100</v>
      </c>
      <c r="Q661" s="256" t="str">
        <f t="shared" si="299"/>
        <v>HL</v>
      </c>
      <c r="R661" s="256" t="str">
        <f t="shared" si="300"/>
        <v>HW</v>
      </c>
      <c r="S661" s="256" t="str">
        <f t="shared" si="301"/>
        <v>HL</v>
      </c>
      <c r="T661" s="256" t="str">
        <f t="shared" si="302"/>
        <v>HL</v>
      </c>
      <c r="U661" s="256" t="str">
        <f t="shared" si="303"/>
        <v>U</v>
      </c>
      <c r="V661" s="256" t="str">
        <f t="shared" si="304"/>
        <v>U</v>
      </c>
      <c r="W661" s="256" t="str">
        <f t="shared" si="305"/>
        <v>U</v>
      </c>
      <c r="X661" s="256" t="str">
        <f t="shared" si="306"/>
        <v>U</v>
      </c>
      <c r="Z661" s="3">
        <v>57.5</v>
      </c>
      <c r="AB661" s="256" t="str">
        <f t="shared" si="309"/>
        <v>NYK/LAL</v>
      </c>
      <c r="AC661" s="256">
        <f t="shared" si="307"/>
        <v>0</v>
      </c>
      <c r="AD661" s="256">
        <f t="shared" si="308"/>
        <v>4</v>
      </c>
    </row>
    <row r="662" spans="1:30" x14ac:dyDescent="0.3">
      <c r="A662" s="256">
        <v>200123</v>
      </c>
      <c r="B662" s="257">
        <v>0.41666666666666669</v>
      </c>
      <c r="C662" s="256" t="s">
        <v>412</v>
      </c>
      <c r="D662" s="256" t="s">
        <v>420</v>
      </c>
      <c r="E662" s="256">
        <v>35</v>
      </c>
      <c r="F662" s="256">
        <v>24</v>
      </c>
      <c r="G662" s="256">
        <v>22</v>
      </c>
      <c r="H662" s="256">
        <v>36</v>
      </c>
      <c r="I662" s="256"/>
      <c r="J662" s="256">
        <v>26</v>
      </c>
      <c r="K662" s="256">
        <v>26</v>
      </c>
      <c r="L662" s="256">
        <v>27</v>
      </c>
      <c r="M662" s="256">
        <v>31</v>
      </c>
      <c r="N662" s="256"/>
      <c r="O662" s="256">
        <f t="shared" si="297"/>
        <v>117</v>
      </c>
      <c r="P662" s="256">
        <f t="shared" si="298"/>
        <v>110</v>
      </c>
      <c r="Q662" s="256" t="str">
        <f t="shared" si="299"/>
        <v>HW</v>
      </c>
      <c r="R662" s="256" t="str">
        <f t="shared" si="300"/>
        <v>HL</v>
      </c>
      <c r="S662" s="256" t="str">
        <f t="shared" si="301"/>
        <v>HL</v>
      </c>
      <c r="T662" s="256" t="str">
        <f t="shared" si="302"/>
        <v>HW</v>
      </c>
      <c r="U662" s="256" t="str">
        <f t="shared" si="303"/>
        <v>O</v>
      </c>
      <c r="V662" s="256" t="str">
        <f t="shared" si="304"/>
        <v>U</v>
      </c>
      <c r="W662" s="256" t="str">
        <f t="shared" si="305"/>
        <v>U</v>
      </c>
      <c r="X662" s="256" t="str">
        <f t="shared" si="306"/>
        <v>O</v>
      </c>
      <c r="Z662" s="3">
        <v>56.5</v>
      </c>
      <c r="AB662" s="256" t="str">
        <f t="shared" si="309"/>
        <v>CHI/MIN</v>
      </c>
      <c r="AC662" s="256">
        <f t="shared" si="307"/>
        <v>2</v>
      </c>
      <c r="AD662" s="256">
        <f t="shared" si="308"/>
        <v>2</v>
      </c>
    </row>
    <row r="663" spans="1:30" x14ac:dyDescent="0.3">
      <c r="A663" s="256">
        <v>200123</v>
      </c>
      <c r="B663" s="257">
        <v>0.41666666666666669</v>
      </c>
      <c r="C663" s="256" t="s">
        <v>403</v>
      </c>
      <c r="D663" s="256" t="s">
        <v>408</v>
      </c>
      <c r="E663" s="256">
        <v>35</v>
      </c>
      <c r="F663" s="256">
        <v>25</v>
      </c>
      <c r="G663" s="256">
        <v>32</v>
      </c>
      <c r="H663" s="256">
        <v>29</v>
      </c>
      <c r="I663" s="256"/>
      <c r="J663" s="256">
        <v>28</v>
      </c>
      <c r="K663" s="256">
        <v>15</v>
      </c>
      <c r="L663" s="256">
        <v>28</v>
      </c>
      <c r="M663" s="256">
        <v>34</v>
      </c>
      <c r="N663" s="256"/>
      <c r="O663" s="256">
        <f t="shared" si="297"/>
        <v>121</v>
      </c>
      <c r="P663" s="256">
        <f t="shared" si="298"/>
        <v>105</v>
      </c>
      <c r="Q663" s="256" t="str">
        <f t="shared" si="299"/>
        <v>HW</v>
      </c>
      <c r="R663" s="256" t="str">
        <f t="shared" si="300"/>
        <v>HW</v>
      </c>
      <c r="S663" s="256" t="str">
        <f t="shared" si="301"/>
        <v>HW</v>
      </c>
      <c r="T663" s="256" t="str">
        <f t="shared" si="302"/>
        <v>HL</v>
      </c>
      <c r="U663" s="256" t="str">
        <f t="shared" si="303"/>
        <v>O</v>
      </c>
      <c r="V663" s="256" t="str">
        <f t="shared" si="304"/>
        <v>U</v>
      </c>
      <c r="W663" s="256" t="str">
        <f t="shared" si="305"/>
        <v>O</v>
      </c>
      <c r="X663" s="256" t="str">
        <f t="shared" si="306"/>
        <v>O</v>
      </c>
      <c r="Z663" s="3">
        <v>58.5</v>
      </c>
      <c r="AB663" s="256" t="str">
        <f t="shared" si="309"/>
        <v>HOU/DEN</v>
      </c>
      <c r="AC663" s="256">
        <f t="shared" si="307"/>
        <v>3</v>
      </c>
      <c r="AD663" s="256">
        <f t="shared" si="308"/>
        <v>1</v>
      </c>
    </row>
    <row r="664" spans="1:30" x14ac:dyDescent="0.3">
      <c r="A664" s="256">
        <v>200123</v>
      </c>
      <c r="B664" s="257">
        <v>0.45833333333333331</v>
      </c>
      <c r="C664" s="256" t="s">
        <v>404</v>
      </c>
      <c r="D664" s="256" t="s">
        <v>400</v>
      </c>
      <c r="E664" s="256">
        <v>24</v>
      </c>
      <c r="F664" s="256">
        <v>24</v>
      </c>
      <c r="G664" s="256">
        <v>17</v>
      </c>
      <c r="H664" s="256">
        <v>22</v>
      </c>
      <c r="I664" s="256"/>
      <c r="J664" s="256">
        <v>30</v>
      </c>
      <c r="K664" s="256">
        <v>24</v>
      </c>
      <c r="L664" s="256">
        <v>29</v>
      </c>
      <c r="M664" s="256">
        <v>29</v>
      </c>
      <c r="N664" s="256"/>
      <c r="O664" s="256">
        <f t="shared" si="297"/>
        <v>87</v>
      </c>
      <c r="P664" s="256">
        <f t="shared" si="298"/>
        <v>112</v>
      </c>
      <c r="Q664" s="256" t="str">
        <f t="shared" si="299"/>
        <v>HL</v>
      </c>
      <c r="R664" s="256" t="str">
        <f t="shared" si="300"/>
        <v>TT</v>
      </c>
      <c r="S664" s="256" t="str">
        <f t="shared" si="301"/>
        <v>HL</v>
      </c>
      <c r="T664" s="256" t="str">
        <f t="shared" si="302"/>
        <v>HL</v>
      </c>
      <c r="U664" s="256" t="str">
        <f t="shared" si="303"/>
        <v>U</v>
      </c>
      <c r="V664" s="256" t="str">
        <f t="shared" si="304"/>
        <v>U</v>
      </c>
      <c r="W664" s="256" t="str">
        <f t="shared" si="305"/>
        <v>U</v>
      </c>
      <c r="X664" s="256" t="str">
        <f t="shared" si="306"/>
        <v>U</v>
      </c>
      <c r="Z664" s="3">
        <v>56.5</v>
      </c>
      <c r="AB664" s="256" t="str">
        <f t="shared" si="309"/>
        <v>PHO/IND</v>
      </c>
      <c r="AC664" s="256">
        <f t="shared" si="307"/>
        <v>0</v>
      </c>
      <c r="AD664" s="256">
        <f t="shared" si="308"/>
        <v>4</v>
      </c>
    </row>
    <row r="665" spans="1:30" x14ac:dyDescent="0.3">
      <c r="A665" s="256">
        <v>200123</v>
      </c>
      <c r="B665" s="257">
        <v>0.47916666666666669</v>
      </c>
      <c r="C665" s="256" t="s">
        <v>398</v>
      </c>
      <c r="D665" s="256" t="s">
        <v>426</v>
      </c>
      <c r="E665" s="256">
        <v>24</v>
      </c>
      <c r="F665" s="256">
        <v>27</v>
      </c>
      <c r="G665" s="256">
        <v>31</v>
      </c>
      <c r="H665" s="256">
        <v>35</v>
      </c>
      <c r="I665" s="256"/>
      <c r="J665" s="256">
        <v>31</v>
      </c>
      <c r="K665" s="256">
        <v>29</v>
      </c>
      <c r="L665" s="256">
        <v>34</v>
      </c>
      <c r="M665" s="256">
        <v>27</v>
      </c>
      <c r="N665" s="256"/>
      <c r="O665" s="256">
        <f t="shared" si="297"/>
        <v>117</v>
      </c>
      <c r="P665" s="256">
        <f t="shared" si="298"/>
        <v>121</v>
      </c>
      <c r="Q665" s="256" t="str">
        <f t="shared" si="299"/>
        <v>HL</v>
      </c>
      <c r="R665" s="256" t="str">
        <f t="shared" si="300"/>
        <v>HL</v>
      </c>
      <c r="S665" s="256" t="str">
        <f t="shared" si="301"/>
        <v>HL</v>
      </c>
      <c r="T665" s="256" t="str">
        <f t="shared" si="302"/>
        <v>HW</v>
      </c>
      <c r="U665" s="256" t="str">
        <f t="shared" si="303"/>
        <v>U</v>
      </c>
      <c r="V665" s="256" t="str">
        <f t="shared" si="304"/>
        <v>U</v>
      </c>
      <c r="W665" s="256" t="str">
        <f t="shared" si="305"/>
        <v>O</v>
      </c>
      <c r="X665" s="256" t="str">
        <f t="shared" si="306"/>
        <v>O</v>
      </c>
      <c r="Z665" s="3">
        <v>58</v>
      </c>
      <c r="AB665" s="256" t="str">
        <f t="shared" si="309"/>
        <v>NO/SAS</v>
      </c>
      <c r="AC665" s="256">
        <f t="shared" si="307"/>
        <v>2</v>
      </c>
      <c r="AD665" s="256">
        <f t="shared" si="308"/>
        <v>2</v>
      </c>
    </row>
    <row r="666" spans="1:30" x14ac:dyDescent="0.3">
      <c r="A666" s="256">
        <v>200123</v>
      </c>
      <c r="B666" s="257">
        <v>0.5</v>
      </c>
      <c r="C666" s="256" t="s">
        <v>425</v>
      </c>
      <c r="D666" s="256" t="s">
        <v>405</v>
      </c>
      <c r="E666" s="256">
        <v>17</v>
      </c>
      <c r="F666" s="256">
        <v>26</v>
      </c>
      <c r="G666" s="256">
        <v>26</v>
      </c>
      <c r="H666" s="256">
        <v>27</v>
      </c>
      <c r="I666" s="256"/>
      <c r="J666" s="256">
        <v>31</v>
      </c>
      <c r="K666" s="256">
        <v>34</v>
      </c>
      <c r="L666" s="256">
        <v>35</v>
      </c>
      <c r="M666" s="256">
        <v>29</v>
      </c>
      <c r="N666" s="256"/>
      <c r="O666" s="256">
        <f t="shared" si="297"/>
        <v>96</v>
      </c>
      <c r="P666" s="256">
        <f t="shared" si="298"/>
        <v>129</v>
      </c>
      <c r="Q666" s="256" t="str">
        <f t="shared" si="299"/>
        <v>HL</v>
      </c>
      <c r="R666" s="256" t="str">
        <f t="shared" si="300"/>
        <v>HL</v>
      </c>
      <c r="S666" s="256" t="str">
        <f t="shared" si="301"/>
        <v>HL</v>
      </c>
      <c r="T666" s="256" t="str">
        <f t="shared" si="302"/>
        <v>HL</v>
      </c>
      <c r="U666" s="256" t="str">
        <f t="shared" si="303"/>
        <v>U</v>
      </c>
      <c r="V666" s="256" t="str">
        <f t="shared" si="304"/>
        <v>O</v>
      </c>
      <c r="W666" s="256" t="str">
        <f t="shared" si="305"/>
        <v>O</v>
      </c>
      <c r="X666" s="256" t="str">
        <f t="shared" si="306"/>
        <v>O</v>
      </c>
      <c r="Z666" s="3">
        <v>53.5</v>
      </c>
      <c r="AB666" s="256" t="str">
        <f t="shared" si="309"/>
        <v>GS/UTA</v>
      </c>
      <c r="AC666" s="256">
        <f t="shared" si="307"/>
        <v>3</v>
      </c>
      <c r="AD666" s="256">
        <f t="shared" si="308"/>
        <v>1</v>
      </c>
    </row>
    <row r="667" spans="1:30" x14ac:dyDescent="0.3">
      <c r="A667" s="256">
        <v>200124</v>
      </c>
      <c r="B667" s="257">
        <v>0.375</v>
      </c>
      <c r="C667" s="256" t="s">
        <v>402</v>
      </c>
      <c r="D667" s="256" t="s">
        <v>414</v>
      </c>
      <c r="E667" s="256">
        <v>24</v>
      </c>
      <c r="F667" s="256">
        <v>37</v>
      </c>
      <c r="G667" s="256">
        <v>25</v>
      </c>
      <c r="H667" s="256">
        <v>26</v>
      </c>
      <c r="I667" s="256"/>
      <c r="J667" s="256">
        <v>29</v>
      </c>
      <c r="K667" s="256">
        <v>39</v>
      </c>
      <c r="L667" s="256">
        <v>32</v>
      </c>
      <c r="M667" s="256">
        <v>24</v>
      </c>
      <c r="N667" s="256"/>
      <c r="O667" s="256">
        <f t="shared" si="297"/>
        <v>112</v>
      </c>
      <c r="P667" s="256">
        <f t="shared" si="298"/>
        <v>124</v>
      </c>
      <c r="Q667" s="256" t="str">
        <f t="shared" si="299"/>
        <v>HL</v>
      </c>
      <c r="R667" s="256" t="str">
        <f t="shared" si="300"/>
        <v>HL</v>
      </c>
      <c r="S667" s="256" t="str">
        <f t="shared" si="301"/>
        <v>HL</v>
      </c>
      <c r="T667" s="256" t="str">
        <f t="shared" si="302"/>
        <v>HW</v>
      </c>
      <c r="U667" s="256" t="str">
        <f t="shared" si="303"/>
        <v>U</v>
      </c>
      <c r="V667" s="256" t="str">
        <f t="shared" si="304"/>
        <v>O</v>
      </c>
      <c r="W667" s="256" t="str">
        <f t="shared" si="305"/>
        <v>U</v>
      </c>
      <c r="X667" s="256" t="str">
        <f t="shared" si="306"/>
        <v>U</v>
      </c>
      <c r="Z667" s="3">
        <v>60.5</v>
      </c>
      <c r="AB667" s="256" t="str">
        <f t="shared" si="309"/>
        <v>CLE/WAS</v>
      </c>
      <c r="AC667" s="256">
        <f t="shared" si="307"/>
        <v>1</v>
      </c>
      <c r="AD667" s="256">
        <f t="shared" si="308"/>
        <v>3</v>
      </c>
    </row>
    <row r="668" spans="1:30" x14ac:dyDescent="0.3">
      <c r="A668" s="256">
        <v>200124</v>
      </c>
      <c r="B668" s="257">
        <v>0.41666666666666669</v>
      </c>
      <c r="C668" s="256" t="s">
        <v>407</v>
      </c>
      <c r="D668" s="256" t="s">
        <v>419</v>
      </c>
      <c r="E668" s="256">
        <v>35</v>
      </c>
      <c r="F668" s="256">
        <v>35</v>
      </c>
      <c r="G668" s="256">
        <v>24</v>
      </c>
      <c r="H668" s="256">
        <v>19</v>
      </c>
      <c r="I668" s="256"/>
      <c r="J668" s="256">
        <v>38</v>
      </c>
      <c r="K668" s="256">
        <v>37</v>
      </c>
      <c r="L668" s="256">
        <v>29</v>
      </c>
      <c r="M668" s="256">
        <v>24</v>
      </c>
      <c r="N668" s="256"/>
      <c r="O668" s="256">
        <f t="shared" si="297"/>
        <v>113</v>
      </c>
      <c r="P668" s="256">
        <f t="shared" si="298"/>
        <v>128</v>
      </c>
      <c r="Q668" s="256" t="str">
        <f t="shared" si="299"/>
        <v>HL</v>
      </c>
      <c r="R668" s="256" t="str">
        <f t="shared" si="300"/>
        <v>HL</v>
      </c>
      <c r="S668" s="256" t="str">
        <f t="shared" si="301"/>
        <v>HL</v>
      </c>
      <c r="T668" s="256" t="str">
        <f t="shared" si="302"/>
        <v>HL</v>
      </c>
      <c r="U668" s="256" t="str">
        <f t="shared" si="303"/>
        <v>O</v>
      </c>
      <c r="V668" s="256" t="str">
        <f t="shared" si="304"/>
        <v>O</v>
      </c>
      <c r="W668" s="256" t="str">
        <f t="shared" si="305"/>
        <v>U</v>
      </c>
      <c r="X668" s="256" t="str">
        <f t="shared" si="306"/>
        <v>U</v>
      </c>
      <c r="Z668" s="3">
        <v>59</v>
      </c>
      <c r="AB668" s="256" t="str">
        <f t="shared" si="309"/>
        <v>BKN/LAL</v>
      </c>
      <c r="AC668" s="256">
        <f t="shared" si="307"/>
        <v>2</v>
      </c>
      <c r="AD668" s="256">
        <f t="shared" si="308"/>
        <v>2</v>
      </c>
    </row>
    <row r="669" spans="1:30" x14ac:dyDescent="0.3">
      <c r="A669" s="256">
        <v>200124</v>
      </c>
      <c r="B669" s="257">
        <v>0.52083333333333337</v>
      </c>
      <c r="C669" s="256" t="s">
        <v>417</v>
      </c>
      <c r="D669" s="256" t="s">
        <v>397</v>
      </c>
      <c r="E669" s="256">
        <v>37</v>
      </c>
      <c r="F669" s="256">
        <v>26</v>
      </c>
      <c r="G669" s="256">
        <v>27</v>
      </c>
      <c r="H669" s="256">
        <v>35</v>
      </c>
      <c r="I669" s="256"/>
      <c r="J669" s="256">
        <v>45</v>
      </c>
      <c r="K669" s="256">
        <v>33</v>
      </c>
      <c r="L669" s="256">
        <v>25</v>
      </c>
      <c r="M669" s="256">
        <v>30</v>
      </c>
      <c r="N669" s="256"/>
      <c r="O669" s="256">
        <f t="shared" ref="O669:O726" si="310">SUM(E669:I669)</f>
        <v>125</v>
      </c>
      <c r="P669" s="256">
        <f t="shared" ref="P669:P726" si="311">SUM(J669:N669)</f>
        <v>133</v>
      </c>
      <c r="Q669" s="256" t="str">
        <f t="shared" ref="Q669:Q726" si="312">IF(E669=J669,"TT",IF(E669&gt;J669,"HW","HL"))</f>
        <v>HL</v>
      </c>
      <c r="R669" s="256" t="str">
        <f t="shared" ref="R669:R726" si="313">IF(F669=K669,"TT",IF(F669&gt;K669,"HW","HL"))</f>
        <v>HL</v>
      </c>
      <c r="S669" s="256" t="str">
        <f t="shared" ref="S669:S726" si="314">IF(G669=L669,"TT",IF(G669&gt;L669,"HW","HL"))</f>
        <v>HW</v>
      </c>
      <c r="T669" s="256" t="str">
        <f t="shared" ref="T669:T726" si="315">IF(H669=M669,"TT",IF(H669&gt;M669,"HW","HL"))</f>
        <v>HW</v>
      </c>
      <c r="U669" s="256" t="str">
        <f t="shared" ref="U669:U726" si="316">IF(SUM(E669,J669)=$Z669,"T",IF(SUM(E669,J669)&gt;$Z669,"O","U"))</f>
        <v>O</v>
      </c>
      <c r="V669" s="256" t="str">
        <f t="shared" ref="V669:V726" si="317">IF(SUM(F669,K669)=$Z669,"T",IF(SUM(F669,K669)&gt;$Z669,"O","U"))</f>
        <v>O</v>
      </c>
      <c r="W669" s="256" t="str">
        <f t="shared" ref="W669:W726" si="318">IF(SUM(G669,L669)=$Z669,"T",IF(SUM(G669,L669)&gt;$Z669,"O","U"))</f>
        <v>U</v>
      </c>
      <c r="X669" s="256" t="str">
        <f t="shared" ref="X669:X726" si="319">IF(SUM(H669,M669)=$Z669,"T",IF(SUM(H669,M669)&gt;$Z669,"O","U"))</f>
        <v>O</v>
      </c>
      <c r="Z669" s="3">
        <v>58.5</v>
      </c>
      <c r="AB669" s="256" t="str">
        <f t="shared" si="309"/>
        <v>POR/DAL</v>
      </c>
      <c r="AC669" s="256">
        <f t="shared" ref="AC669:AC726" si="320">COUNTIF(U669:X669,"o")</f>
        <v>3</v>
      </c>
      <c r="AD669" s="256">
        <f t="shared" ref="AD669:AD726" si="321">COUNTIF(U669:X669,"u")</f>
        <v>1</v>
      </c>
    </row>
    <row r="670" spans="1:30" x14ac:dyDescent="0.3">
      <c r="A670" s="256">
        <v>200125</v>
      </c>
      <c r="B670" s="257">
        <v>0.20833333333333334</v>
      </c>
      <c r="C670" s="256" t="s">
        <v>409</v>
      </c>
      <c r="D670" s="256" t="s">
        <v>423</v>
      </c>
      <c r="E670" s="256">
        <v>31</v>
      </c>
      <c r="F670" s="256">
        <v>24</v>
      </c>
      <c r="G670" s="256">
        <v>23</v>
      </c>
      <c r="H670" s="256">
        <v>25</v>
      </c>
      <c r="I670" s="256"/>
      <c r="J670" s="256">
        <v>24</v>
      </c>
      <c r="K670" s="256">
        <v>26</v>
      </c>
      <c r="L670" s="256">
        <v>28</v>
      </c>
      <c r="M670" s="256">
        <v>38</v>
      </c>
      <c r="N670" s="256"/>
      <c r="O670" s="256">
        <f t="shared" si="310"/>
        <v>103</v>
      </c>
      <c r="P670" s="256">
        <f t="shared" si="311"/>
        <v>116</v>
      </c>
      <c r="Q670" s="256" t="str">
        <f t="shared" si="312"/>
        <v>HW</v>
      </c>
      <c r="R670" s="256" t="str">
        <f t="shared" si="313"/>
        <v>HL</v>
      </c>
      <c r="S670" s="256" t="str">
        <f t="shared" si="314"/>
        <v>HL</v>
      </c>
      <c r="T670" s="256" t="str">
        <f t="shared" si="315"/>
        <v>HL</v>
      </c>
      <c r="U670" s="256" t="str">
        <f t="shared" si="316"/>
        <v>O</v>
      </c>
      <c r="V670" s="256" t="str">
        <f t="shared" si="317"/>
        <v>U</v>
      </c>
      <c r="W670" s="256" t="str">
        <f t="shared" si="318"/>
        <v>U</v>
      </c>
      <c r="X670" s="256" t="str">
        <f t="shared" si="319"/>
        <v>O</v>
      </c>
      <c r="Z670" s="3">
        <v>54</v>
      </c>
      <c r="AB670" s="256" t="str">
        <f t="shared" si="309"/>
        <v>CHA/MIL</v>
      </c>
      <c r="AC670" s="256">
        <f t="shared" si="320"/>
        <v>2</v>
      </c>
      <c r="AD670" s="256">
        <f t="shared" si="321"/>
        <v>2</v>
      </c>
    </row>
    <row r="671" spans="1:30" x14ac:dyDescent="0.3">
      <c r="A671" s="256">
        <v>200125</v>
      </c>
      <c r="B671" s="257">
        <v>0.375</v>
      </c>
      <c r="C671" s="256" t="s">
        <v>422</v>
      </c>
      <c r="D671" s="256" t="s">
        <v>406</v>
      </c>
      <c r="E671" s="256">
        <v>23</v>
      </c>
      <c r="F671" s="256">
        <v>38</v>
      </c>
      <c r="G671" s="256">
        <v>24</v>
      </c>
      <c r="H671" s="256">
        <v>27</v>
      </c>
      <c r="I671" s="256"/>
      <c r="J671" s="256">
        <v>35</v>
      </c>
      <c r="K671" s="256">
        <v>31</v>
      </c>
      <c r="L671" s="256">
        <v>26</v>
      </c>
      <c r="M671" s="256">
        <v>33</v>
      </c>
      <c r="N671" s="256"/>
      <c r="O671" s="256">
        <f t="shared" si="310"/>
        <v>112</v>
      </c>
      <c r="P671" s="256">
        <f t="shared" si="311"/>
        <v>125</v>
      </c>
      <c r="Q671" s="256" t="str">
        <f t="shared" si="312"/>
        <v>HL</v>
      </c>
      <c r="R671" s="256" t="str">
        <f t="shared" si="313"/>
        <v>HW</v>
      </c>
      <c r="S671" s="256" t="str">
        <f t="shared" si="314"/>
        <v>HL</v>
      </c>
      <c r="T671" s="256" t="str">
        <f t="shared" si="315"/>
        <v>HL</v>
      </c>
      <c r="U671" s="256" t="str">
        <f t="shared" si="316"/>
        <v>O</v>
      </c>
      <c r="V671" s="256" t="str">
        <f t="shared" si="317"/>
        <v>O</v>
      </c>
      <c r="W671" s="256" t="str">
        <f t="shared" si="318"/>
        <v>U</v>
      </c>
      <c r="X671" s="256" t="str">
        <f t="shared" si="319"/>
        <v>O</v>
      </c>
      <c r="Z671" s="3">
        <v>56.5</v>
      </c>
      <c r="AB671" s="256" t="str">
        <f t="shared" si="309"/>
        <v>DET/MEM</v>
      </c>
      <c r="AC671" s="256">
        <f t="shared" si="320"/>
        <v>3</v>
      </c>
      <c r="AD671" s="256">
        <f t="shared" si="321"/>
        <v>1</v>
      </c>
    </row>
    <row r="672" spans="1:30" x14ac:dyDescent="0.3">
      <c r="A672" s="256">
        <v>200125</v>
      </c>
      <c r="B672" s="257">
        <v>0.375</v>
      </c>
      <c r="C672" s="256" t="s">
        <v>424</v>
      </c>
      <c r="D672" s="256" t="s">
        <v>421</v>
      </c>
      <c r="E672" s="256">
        <v>30</v>
      </c>
      <c r="F672" s="256">
        <v>27</v>
      </c>
      <c r="G672" s="256">
        <v>20</v>
      </c>
      <c r="H672" s="256">
        <v>21</v>
      </c>
      <c r="I672" s="256"/>
      <c r="J672" s="256">
        <v>24</v>
      </c>
      <c r="K672" s="256">
        <v>29</v>
      </c>
      <c r="L672" s="256">
        <v>29</v>
      </c>
      <c r="M672" s="256">
        <v>27</v>
      </c>
      <c r="N672" s="256"/>
      <c r="O672" s="256">
        <f t="shared" si="310"/>
        <v>98</v>
      </c>
      <c r="P672" s="256">
        <f t="shared" si="311"/>
        <v>109</v>
      </c>
      <c r="Q672" s="256" t="str">
        <f t="shared" si="312"/>
        <v>HW</v>
      </c>
      <c r="R672" s="256" t="str">
        <f t="shared" si="313"/>
        <v>HL</v>
      </c>
      <c r="S672" s="256" t="str">
        <f t="shared" si="314"/>
        <v>HL</v>
      </c>
      <c r="T672" s="256" t="str">
        <f t="shared" si="315"/>
        <v>HL</v>
      </c>
      <c r="U672" s="256" t="str">
        <f t="shared" si="316"/>
        <v>O</v>
      </c>
      <c r="V672" s="256" t="str">
        <f t="shared" si="317"/>
        <v>O</v>
      </c>
      <c r="W672" s="256" t="str">
        <f t="shared" si="318"/>
        <v>U</v>
      </c>
      <c r="X672" s="256" t="str">
        <f t="shared" si="319"/>
        <v>U</v>
      </c>
      <c r="Z672" s="3">
        <v>52.5</v>
      </c>
      <c r="AB672" s="256" t="str">
        <f t="shared" si="309"/>
        <v>ORL/BOS</v>
      </c>
      <c r="AC672" s="256">
        <f t="shared" si="320"/>
        <v>2</v>
      </c>
      <c r="AD672" s="256">
        <f t="shared" si="321"/>
        <v>2</v>
      </c>
    </row>
    <row r="673" spans="1:30" x14ac:dyDescent="0.3">
      <c r="A673" s="256">
        <v>200125</v>
      </c>
      <c r="B673" s="257">
        <v>0.39583333333333331</v>
      </c>
      <c r="C673" s="256" t="s">
        <v>399</v>
      </c>
      <c r="D673" s="256" t="s">
        <v>413</v>
      </c>
      <c r="E673" s="256">
        <v>28</v>
      </c>
      <c r="F673" s="256">
        <v>25</v>
      </c>
      <c r="G673" s="256">
        <v>26</v>
      </c>
      <c r="H673" s="256">
        <v>33</v>
      </c>
      <c r="I673" s="256"/>
      <c r="J673" s="256">
        <v>20</v>
      </c>
      <c r="K673" s="256">
        <v>36</v>
      </c>
      <c r="L673" s="256">
        <v>29</v>
      </c>
      <c r="M673" s="256">
        <v>33</v>
      </c>
      <c r="N673" s="256"/>
      <c r="O673" s="256">
        <f t="shared" si="310"/>
        <v>112</v>
      </c>
      <c r="P673" s="256">
        <f t="shared" si="311"/>
        <v>118</v>
      </c>
      <c r="Q673" s="256" t="str">
        <f t="shared" si="312"/>
        <v>HW</v>
      </c>
      <c r="R673" s="256" t="str">
        <f t="shared" si="313"/>
        <v>HL</v>
      </c>
      <c r="S673" s="256" t="str">
        <f t="shared" si="314"/>
        <v>HL</v>
      </c>
      <c r="T673" s="256" t="str">
        <f t="shared" si="315"/>
        <v>TT</v>
      </c>
      <c r="U673" s="256" t="str">
        <f t="shared" si="316"/>
        <v>U</v>
      </c>
      <c r="V673" s="256" t="str">
        <f t="shared" si="317"/>
        <v>O</v>
      </c>
      <c r="W673" s="256" t="str">
        <f t="shared" si="318"/>
        <v>U</v>
      </c>
      <c r="X673" s="256" t="str">
        <f t="shared" si="319"/>
        <v>O</v>
      </c>
      <c r="Z673" s="3">
        <v>55.5</v>
      </c>
      <c r="AB673" s="256" t="str">
        <f t="shared" si="309"/>
        <v>NYK/TOR</v>
      </c>
      <c r="AC673" s="256">
        <f t="shared" si="320"/>
        <v>2</v>
      </c>
      <c r="AD673" s="256">
        <f t="shared" si="321"/>
        <v>2</v>
      </c>
    </row>
    <row r="674" spans="1:30" x14ac:dyDescent="0.3">
      <c r="A674" s="256">
        <v>200125</v>
      </c>
      <c r="B674" s="257">
        <v>0.41666666666666669</v>
      </c>
      <c r="C674" s="256" t="s">
        <v>398</v>
      </c>
      <c r="D674" s="256" t="s">
        <v>408</v>
      </c>
      <c r="E674" s="256">
        <v>28</v>
      </c>
      <c r="F674" s="256">
        <v>28</v>
      </c>
      <c r="G674" s="256">
        <v>26</v>
      </c>
      <c r="H674" s="256">
        <v>24</v>
      </c>
      <c r="I674" s="256"/>
      <c r="J674" s="256">
        <v>37</v>
      </c>
      <c r="K674" s="256">
        <v>26</v>
      </c>
      <c r="L674" s="256">
        <v>31</v>
      </c>
      <c r="M674" s="256">
        <v>19</v>
      </c>
      <c r="N674" s="256"/>
      <c r="O674" s="256">
        <f t="shared" si="310"/>
        <v>106</v>
      </c>
      <c r="P674" s="256">
        <f t="shared" si="311"/>
        <v>113</v>
      </c>
      <c r="Q674" s="256" t="str">
        <f t="shared" si="312"/>
        <v>HL</v>
      </c>
      <c r="R674" s="256" t="str">
        <f t="shared" si="313"/>
        <v>HW</v>
      </c>
      <c r="S674" s="256" t="str">
        <f t="shared" si="314"/>
        <v>HL</v>
      </c>
      <c r="T674" s="256" t="str">
        <f t="shared" si="315"/>
        <v>HW</v>
      </c>
      <c r="U674" s="256" t="str">
        <f t="shared" si="316"/>
        <v>O</v>
      </c>
      <c r="V674" s="256" t="str">
        <f t="shared" si="317"/>
        <v>U</v>
      </c>
      <c r="W674" s="256" t="str">
        <f t="shared" si="318"/>
        <v>U</v>
      </c>
      <c r="X674" s="256" t="str">
        <f t="shared" si="319"/>
        <v>U</v>
      </c>
      <c r="Z674" s="3">
        <v>59.5</v>
      </c>
      <c r="AB674" s="256" t="str">
        <f t="shared" si="309"/>
        <v>NO/DEN</v>
      </c>
      <c r="AC674" s="256">
        <f t="shared" si="320"/>
        <v>1</v>
      </c>
      <c r="AD674" s="256">
        <f t="shared" si="321"/>
        <v>3</v>
      </c>
    </row>
    <row r="675" spans="1:30" x14ac:dyDescent="0.3">
      <c r="A675" s="256">
        <v>200125</v>
      </c>
      <c r="B675" s="257">
        <v>0.41666666666666669</v>
      </c>
      <c r="C675" s="256" t="s">
        <v>412</v>
      </c>
      <c r="D675" s="256" t="s">
        <v>416</v>
      </c>
      <c r="E675" s="256">
        <v>21</v>
      </c>
      <c r="F675" s="256">
        <v>23</v>
      </c>
      <c r="G675" s="256">
        <v>25</v>
      </c>
      <c r="H675" s="256">
        <v>12</v>
      </c>
      <c r="I675" s="256"/>
      <c r="J675" s="256">
        <v>29</v>
      </c>
      <c r="K675" s="256">
        <v>25</v>
      </c>
      <c r="L675" s="256">
        <v>21</v>
      </c>
      <c r="M675" s="256">
        <v>23</v>
      </c>
      <c r="N675" s="256"/>
      <c r="O675" s="256">
        <f t="shared" si="310"/>
        <v>81</v>
      </c>
      <c r="P675" s="256">
        <f t="shared" si="311"/>
        <v>98</v>
      </c>
      <c r="Q675" s="256" t="str">
        <f t="shared" si="312"/>
        <v>HL</v>
      </c>
      <c r="R675" s="256" t="str">
        <f t="shared" si="313"/>
        <v>HL</v>
      </c>
      <c r="S675" s="256" t="str">
        <f t="shared" si="314"/>
        <v>HW</v>
      </c>
      <c r="T675" s="256" t="str">
        <f t="shared" si="315"/>
        <v>HL</v>
      </c>
      <c r="U675" s="256" t="str">
        <f t="shared" si="316"/>
        <v>U</v>
      </c>
      <c r="V675" s="256" t="str">
        <f t="shared" si="317"/>
        <v>U</v>
      </c>
      <c r="W675" s="256" t="str">
        <f t="shared" si="318"/>
        <v>U</v>
      </c>
      <c r="X675" s="256" t="str">
        <f t="shared" si="319"/>
        <v>U</v>
      </c>
      <c r="Z675" s="3">
        <v>56</v>
      </c>
      <c r="AB675" s="256" t="str">
        <f t="shared" si="309"/>
        <v>CHI/SAC</v>
      </c>
      <c r="AC675" s="256">
        <f t="shared" si="320"/>
        <v>0</v>
      </c>
      <c r="AD675" s="256">
        <f t="shared" si="321"/>
        <v>4</v>
      </c>
    </row>
    <row r="676" spans="1:30" x14ac:dyDescent="0.3">
      <c r="A676" s="256">
        <v>200125</v>
      </c>
      <c r="B676" s="257">
        <v>0.41666666666666669</v>
      </c>
      <c r="C676" s="256" t="s">
        <v>411</v>
      </c>
      <c r="D676" s="256" t="s">
        <v>415</v>
      </c>
      <c r="E676" s="256">
        <v>30</v>
      </c>
      <c r="F676" s="256">
        <v>35</v>
      </c>
      <c r="G676" s="256">
        <v>20</v>
      </c>
      <c r="H676" s="256">
        <v>32</v>
      </c>
      <c r="I676" s="256"/>
      <c r="J676" s="256">
        <v>22</v>
      </c>
      <c r="K676" s="256">
        <v>41</v>
      </c>
      <c r="L676" s="256">
        <v>38</v>
      </c>
      <c r="M676" s="256">
        <v>21</v>
      </c>
      <c r="N676" s="256"/>
      <c r="O676" s="256">
        <f t="shared" si="310"/>
        <v>117</v>
      </c>
      <c r="P676" s="256">
        <f t="shared" si="311"/>
        <v>122</v>
      </c>
      <c r="Q676" s="256" t="str">
        <f t="shared" si="312"/>
        <v>HW</v>
      </c>
      <c r="R676" s="256" t="str">
        <f t="shared" si="313"/>
        <v>HL</v>
      </c>
      <c r="S676" s="256" t="str">
        <f t="shared" si="314"/>
        <v>HL</v>
      </c>
      <c r="T676" s="256" t="str">
        <f t="shared" si="315"/>
        <v>HW</v>
      </c>
      <c r="U676" s="256" t="str">
        <f t="shared" si="316"/>
        <v>U</v>
      </c>
      <c r="V676" s="256" t="str">
        <f t="shared" si="317"/>
        <v>O</v>
      </c>
      <c r="W676" s="256" t="str">
        <f t="shared" si="318"/>
        <v>O</v>
      </c>
      <c r="X676" s="256" t="str">
        <f t="shared" si="319"/>
        <v>U</v>
      </c>
      <c r="Z676" s="3">
        <v>56.5</v>
      </c>
      <c r="AB676" s="256" t="str">
        <f t="shared" si="309"/>
        <v>MIA/LAC</v>
      </c>
      <c r="AC676" s="256">
        <f t="shared" si="320"/>
        <v>2</v>
      </c>
      <c r="AD676" s="256">
        <f t="shared" si="321"/>
        <v>2</v>
      </c>
    </row>
    <row r="677" spans="1:30" x14ac:dyDescent="0.3">
      <c r="A677" s="256">
        <v>200125</v>
      </c>
      <c r="B677" s="257">
        <v>0.41666666666666669</v>
      </c>
      <c r="C677" s="256" t="s">
        <v>420</v>
      </c>
      <c r="D677" s="256" t="s">
        <v>403</v>
      </c>
      <c r="E677" s="256">
        <v>26</v>
      </c>
      <c r="F677" s="256">
        <v>34</v>
      </c>
      <c r="G677" s="256">
        <v>24</v>
      </c>
      <c r="H677" s="256">
        <v>40</v>
      </c>
      <c r="I677" s="256"/>
      <c r="J677" s="256">
        <v>36</v>
      </c>
      <c r="K677" s="256">
        <v>27</v>
      </c>
      <c r="L677" s="256">
        <v>31</v>
      </c>
      <c r="M677" s="256">
        <v>37</v>
      </c>
      <c r="N677" s="256"/>
      <c r="O677" s="256">
        <f t="shared" si="310"/>
        <v>124</v>
      </c>
      <c r="P677" s="256">
        <f t="shared" si="311"/>
        <v>131</v>
      </c>
      <c r="Q677" s="256" t="str">
        <f t="shared" si="312"/>
        <v>HL</v>
      </c>
      <c r="R677" s="256" t="str">
        <f t="shared" si="313"/>
        <v>HW</v>
      </c>
      <c r="S677" s="256" t="str">
        <f t="shared" si="314"/>
        <v>HL</v>
      </c>
      <c r="T677" s="256" t="str">
        <f t="shared" si="315"/>
        <v>HW</v>
      </c>
      <c r="U677" s="256" t="str">
        <f t="shared" si="316"/>
        <v>O</v>
      </c>
      <c r="V677" s="256" t="str">
        <f t="shared" si="317"/>
        <v>O</v>
      </c>
      <c r="W677" s="256" t="str">
        <f t="shared" si="318"/>
        <v>U</v>
      </c>
      <c r="X677" s="256" t="str">
        <f t="shared" si="319"/>
        <v>O</v>
      </c>
      <c r="Z677" s="3">
        <v>60.5</v>
      </c>
      <c r="AB677" s="256" t="str">
        <f t="shared" si="309"/>
        <v>MIN/HOU</v>
      </c>
      <c r="AC677" s="256">
        <f t="shared" si="320"/>
        <v>3</v>
      </c>
      <c r="AD677" s="256">
        <f t="shared" si="321"/>
        <v>1</v>
      </c>
    </row>
    <row r="678" spans="1:30" x14ac:dyDescent="0.3">
      <c r="A678" s="256">
        <v>200125</v>
      </c>
      <c r="B678" s="257">
        <v>0.41666666666666669</v>
      </c>
      <c r="C678" s="256" t="s">
        <v>418</v>
      </c>
      <c r="D678" s="256" t="s">
        <v>410</v>
      </c>
      <c r="E678" s="256">
        <v>33</v>
      </c>
      <c r="F678" s="256">
        <v>33</v>
      </c>
      <c r="G678" s="256">
        <v>38</v>
      </c>
      <c r="H678" s="256">
        <v>36</v>
      </c>
      <c r="I678" s="256"/>
      <c r="J678" s="256">
        <v>30</v>
      </c>
      <c r="K678" s="256">
        <v>28</v>
      </c>
      <c r="L678" s="256">
        <v>32</v>
      </c>
      <c r="M678" s="256">
        <v>21</v>
      </c>
      <c r="N678" s="256"/>
      <c r="O678" s="256">
        <f t="shared" si="310"/>
        <v>140</v>
      </c>
      <c r="P678" s="256">
        <f t="shared" si="311"/>
        <v>111</v>
      </c>
      <c r="Q678" s="256" t="str">
        <f t="shared" si="312"/>
        <v>HW</v>
      </c>
      <c r="R678" s="256" t="str">
        <f t="shared" si="313"/>
        <v>HW</v>
      </c>
      <c r="S678" s="256" t="str">
        <f t="shared" si="314"/>
        <v>HW</v>
      </c>
      <c r="T678" s="256" t="str">
        <f t="shared" si="315"/>
        <v>HW</v>
      </c>
      <c r="U678" s="256" t="str">
        <f t="shared" si="316"/>
        <v>O</v>
      </c>
      <c r="V678" s="256" t="str">
        <f t="shared" si="317"/>
        <v>O</v>
      </c>
      <c r="W678" s="256" t="str">
        <f t="shared" si="318"/>
        <v>O</v>
      </c>
      <c r="X678" s="256" t="str">
        <f t="shared" si="319"/>
        <v>U</v>
      </c>
      <c r="Z678" s="3">
        <v>59</v>
      </c>
      <c r="AB678" s="256" t="str">
        <f t="shared" si="309"/>
        <v>OKC/ATL</v>
      </c>
      <c r="AC678" s="256">
        <f t="shared" si="320"/>
        <v>3</v>
      </c>
      <c r="AD678" s="256">
        <f t="shared" si="321"/>
        <v>1</v>
      </c>
    </row>
    <row r="679" spans="1:30" x14ac:dyDescent="0.3">
      <c r="A679" s="256">
        <v>200125</v>
      </c>
      <c r="B679" s="257">
        <v>0.4375</v>
      </c>
      <c r="C679" s="256" t="s">
        <v>426</v>
      </c>
      <c r="D679" s="256" t="s">
        <v>404</v>
      </c>
      <c r="E679" s="256">
        <v>28</v>
      </c>
      <c r="F679" s="256">
        <v>16</v>
      </c>
      <c r="G679" s="256">
        <v>28</v>
      </c>
      <c r="H679" s="256">
        <v>27</v>
      </c>
      <c r="I679" s="256"/>
      <c r="J679" s="256">
        <v>22</v>
      </c>
      <c r="K679" s="256">
        <v>34</v>
      </c>
      <c r="L679" s="256">
        <v>22</v>
      </c>
      <c r="M679" s="256">
        <v>25</v>
      </c>
      <c r="N679" s="256"/>
      <c r="O679" s="256">
        <f t="shared" si="310"/>
        <v>99</v>
      </c>
      <c r="P679" s="256">
        <f t="shared" si="311"/>
        <v>103</v>
      </c>
      <c r="Q679" s="256" t="str">
        <f t="shared" si="312"/>
        <v>HW</v>
      </c>
      <c r="R679" s="256" t="str">
        <f t="shared" si="313"/>
        <v>HL</v>
      </c>
      <c r="S679" s="256" t="str">
        <f t="shared" si="314"/>
        <v>HW</v>
      </c>
      <c r="T679" s="256" t="str">
        <f t="shared" si="315"/>
        <v>HW</v>
      </c>
      <c r="U679" s="256" t="str">
        <f t="shared" si="316"/>
        <v>U</v>
      </c>
      <c r="V679" s="256" t="str">
        <f t="shared" si="317"/>
        <v>U</v>
      </c>
      <c r="W679" s="256" t="str">
        <f t="shared" si="318"/>
        <v>U</v>
      </c>
      <c r="X679" s="256" t="str">
        <f t="shared" si="319"/>
        <v>U</v>
      </c>
      <c r="Z679" s="3">
        <v>55.5</v>
      </c>
      <c r="AB679" s="256" t="str">
        <f t="shared" si="309"/>
        <v>SAS/PHO</v>
      </c>
      <c r="AC679" s="256">
        <f t="shared" si="320"/>
        <v>0</v>
      </c>
      <c r="AD679" s="256">
        <f t="shared" si="321"/>
        <v>4</v>
      </c>
    </row>
    <row r="680" spans="1:30" x14ac:dyDescent="0.3">
      <c r="A680" s="256">
        <v>200125</v>
      </c>
      <c r="B680" s="257">
        <v>0.52083333333333337</v>
      </c>
      <c r="C680" s="256" t="s">
        <v>425</v>
      </c>
      <c r="D680" s="256" t="s">
        <v>400</v>
      </c>
      <c r="E680" s="256">
        <v>30</v>
      </c>
      <c r="F680" s="256">
        <v>21</v>
      </c>
      <c r="G680" s="256">
        <v>35</v>
      </c>
      <c r="H680" s="256">
        <v>32</v>
      </c>
      <c r="I680" s="256"/>
      <c r="J680" s="256">
        <v>35</v>
      </c>
      <c r="K680" s="256">
        <v>32</v>
      </c>
      <c r="L680" s="256">
        <v>31</v>
      </c>
      <c r="M680" s="256">
        <v>31</v>
      </c>
      <c r="N680" s="256"/>
      <c r="O680" s="256">
        <f t="shared" si="310"/>
        <v>118</v>
      </c>
      <c r="P680" s="256">
        <f t="shared" si="311"/>
        <v>129</v>
      </c>
      <c r="Q680" s="256" t="str">
        <f t="shared" si="312"/>
        <v>HL</v>
      </c>
      <c r="R680" s="256" t="str">
        <f t="shared" si="313"/>
        <v>HL</v>
      </c>
      <c r="S680" s="256" t="str">
        <f t="shared" si="314"/>
        <v>HW</v>
      </c>
      <c r="T680" s="256" t="str">
        <f t="shared" si="315"/>
        <v>HW</v>
      </c>
      <c r="U680" s="256" t="str">
        <f t="shared" si="316"/>
        <v>O</v>
      </c>
      <c r="V680" s="256" t="str">
        <f t="shared" si="317"/>
        <v>U</v>
      </c>
      <c r="W680" s="256" t="str">
        <f t="shared" si="318"/>
        <v>O</v>
      </c>
      <c r="X680" s="256" t="str">
        <f t="shared" si="319"/>
        <v>O</v>
      </c>
      <c r="Z680" s="3">
        <v>55</v>
      </c>
      <c r="AB680" s="256" t="str">
        <f t="shared" si="309"/>
        <v>GS/IND</v>
      </c>
      <c r="AC680" s="256">
        <f t="shared" si="320"/>
        <v>3</v>
      </c>
      <c r="AD680" s="256">
        <f t="shared" si="321"/>
        <v>1</v>
      </c>
    </row>
    <row r="681" spans="1:30" x14ac:dyDescent="0.3">
      <c r="A681" s="256">
        <v>200126</v>
      </c>
      <c r="B681" s="257">
        <v>0.29166666666666669</v>
      </c>
      <c r="C681" s="256" t="s">
        <v>405</v>
      </c>
      <c r="D681" s="256" t="s">
        <v>397</v>
      </c>
      <c r="E681" s="256">
        <v>25</v>
      </c>
      <c r="F681" s="256">
        <v>30</v>
      </c>
      <c r="G681" s="256">
        <v>25</v>
      </c>
      <c r="H681" s="256">
        <v>32</v>
      </c>
      <c r="I681" s="256"/>
      <c r="J681" s="256">
        <v>36</v>
      </c>
      <c r="K681" s="256">
        <v>22</v>
      </c>
      <c r="L681" s="256">
        <v>26</v>
      </c>
      <c r="M681" s="256">
        <v>23</v>
      </c>
      <c r="N681" s="256"/>
      <c r="O681" s="256">
        <f t="shared" si="310"/>
        <v>112</v>
      </c>
      <c r="P681" s="256">
        <f t="shared" si="311"/>
        <v>107</v>
      </c>
      <c r="Q681" s="256" t="str">
        <f t="shared" si="312"/>
        <v>HL</v>
      </c>
      <c r="R681" s="256" t="str">
        <f t="shared" si="313"/>
        <v>HW</v>
      </c>
      <c r="S681" s="256" t="str">
        <f t="shared" si="314"/>
        <v>HL</v>
      </c>
      <c r="T681" s="256" t="str">
        <f t="shared" si="315"/>
        <v>HW</v>
      </c>
      <c r="U681" s="256" t="str">
        <f t="shared" si="316"/>
        <v>O</v>
      </c>
      <c r="V681" s="256" t="str">
        <f t="shared" si="317"/>
        <v>U</v>
      </c>
      <c r="W681" s="256" t="str">
        <f t="shared" si="318"/>
        <v>U</v>
      </c>
      <c r="X681" s="256" t="str">
        <f t="shared" si="319"/>
        <v>U</v>
      </c>
      <c r="Z681" s="3">
        <v>58.5</v>
      </c>
      <c r="AB681" s="256" t="str">
        <f t="shared" si="309"/>
        <v>UTA/DAL</v>
      </c>
      <c r="AC681" s="256">
        <f t="shared" si="320"/>
        <v>1</v>
      </c>
      <c r="AD681" s="256">
        <f t="shared" si="321"/>
        <v>3</v>
      </c>
    </row>
    <row r="682" spans="1:30" x14ac:dyDescent="0.3">
      <c r="A682" s="256">
        <v>200126</v>
      </c>
      <c r="B682" s="257">
        <v>0.375</v>
      </c>
      <c r="C682" s="256" t="s">
        <v>422</v>
      </c>
      <c r="D682" s="256" t="s">
        <v>407</v>
      </c>
      <c r="E682" s="256">
        <v>25</v>
      </c>
      <c r="F682" s="256">
        <v>35</v>
      </c>
      <c r="G682" s="256">
        <v>17</v>
      </c>
      <c r="H682" s="256">
        <v>29</v>
      </c>
      <c r="I682" s="256">
        <v>5</v>
      </c>
      <c r="J682" s="256">
        <v>26</v>
      </c>
      <c r="K682" s="256">
        <v>24</v>
      </c>
      <c r="L682" s="256">
        <v>30</v>
      </c>
      <c r="M682" s="256">
        <v>26</v>
      </c>
      <c r="N682" s="256">
        <v>15</v>
      </c>
      <c r="O682" s="256">
        <f t="shared" si="310"/>
        <v>111</v>
      </c>
      <c r="P682" s="256">
        <f t="shared" si="311"/>
        <v>121</v>
      </c>
      <c r="Q682" s="256" t="str">
        <f t="shared" si="312"/>
        <v>HL</v>
      </c>
      <c r="R682" s="256" t="str">
        <f t="shared" si="313"/>
        <v>HW</v>
      </c>
      <c r="S682" s="256" t="str">
        <f t="shared" si="314"/>
        <v>HL</v>
      </c>
      <c r="T682" s="256" t="str">
        <f t="shared" si="315"/>
        <v>HW</v>
      </c>
      <c r="U682" s="256" t="str">
        <f t="shared" si="316"/>
        <v>U</v>
      </c>
      <c r="V682" s="256" t="str">
        <f t="shared" si="317"/>
        <v>O</v>
      </c>
      <c r="W682" s="256" t="str">
        <f t="shared" si="318"/>
        <v>U</v>
      </c>
      <c r="X682" s="256" t="str">
        <f t="shared" si="319"/>
        <v>U</v>
      </c>
      <c r="Z682" s="3">
        <v>55.5</v>
      </c>
      <c r="AB682" s="256" t="str">
        <f t="shared" si="309"/>
        <v>DET/BKN</v>
      </c>
      <c r="AC682" s="256">
        <f t="shared" si="320"/>
        <v>1</v>
      </c>
      <c r="AD682" s="256">
        <f t="shared" si="321"/>
        <v>3</v>
      </c>
    </row>
    <row r="683" spans="1:30" x14ac:dyDescent="0.3">
      <c r="A683" s="256">
        <v>200126</v>
      </c>
      <c r="B683" s="257">
        <v>0.41666666666666669</v>
      </c>
      <c r="C683" s="256" t="s">
        <v>402</v>
      </c>
      <c r="D683" s="256" t="s">
        <v>412</v>
      </c>
      <c r="E683" s="256">
        <v>31</v>
      </c>
      <c r="F683" s="256">
        <v>26</v>
      </c>
      <c r="G683" s="256">
        <v>19</v>
      </c>
      <c r="H683" s="256">
        <v>30</v>
      </c>
      <c r="I683" s="256"/>
      <c r="J683" s="256">
        <v>25</v>
      </c>
      <c r="K683" s="256">
        <v>34</v>
      </c>
      <c r="L683" s="256">
        <v>40</v>
      </c>
      <c r="M683" s="256">
        <v>19</v>
      </c>
      <c r="N683" s="256"/>
      <c r="O683" s="256">
        <f t="shared" si="310"/>
        <v>106</v>
      </c>
      <c r="P683" s="256">
        <f t="shared" si="311"/>
        <v>118</v>
      </c>
      <c r="Q683" s="256" t="str">
        <f t="shared" si="312"/>
        <v>HW</v>
      </c>
      <c r="R683" s="256" t="str">
        <f t="shared" si="313"/>
        <v>HL</v>
      </c>
      <c r="S683" s="256" t="str">
        <f t="shared" si="314"/>
        <v>HL</v>
      </c>
      <c r="T683" s="256" t="str">
        <f t="shared" si="315"/>
        <v>HW</v>
      </c>
      <c r="U683" s="256" t="str">
        <f t="shared" si="316"/>
        <v>O</v>
      </c>
      <c r="V683" s="256" t="str">
        <f t="shared" si="317"/>
        <v>O</v>
      </c>
      <c r="W683" s="256" t="str">
        <f t="shared" si="318"/>
        <v>O</v>
      </c>
      <c r="X683" s="256" t="str">
        <f t="shared" si="319"/>
        <v>U</v>
      </c>
      <c r="Z683" s="3">
        <v>54.5</v>
      </c>
      <c r="AB683" s="256" t="str">
        <f t="shared" si="309"/>
        <v>CLE/CHI</v>
      </c>
      <c r="AC683" s="256">
        <f t="shared" si="320"/>
        <v>3</v>
      </c>
      <c r="AD683" s="256">
        <f t="shared" si="321"/>
        <v>1</v>
      </c>
    </row>
    <row r="684" spans="1:30" x14ac:dyDescent="0.3">
      <c r="A684" s="256">
        <v>200126</v>
      </c>
      <c r="B684" s="257">
        <v>0.41666666666666669</v>
      </c>
      <c r="C684" s="256" t="s">
        <v>420</v>
      </c>
      <c r="D684" s="256" t="s">
        <v>418</v>
      </c>
      <c r="E684" s="256">
        <v>22</v>
      </c>
      <c r="F684" s="256">
        <v>26</v>
      </c>
      <c r="G684" s="256">
        <v>24</v>
      </c>
      <c r="H684" s="256">
        <v>32</v>
      </c>
      <c r="I684" s="256"/>
      <c r="J684" s="256">
        <v>28</v>
      </c>
      <c r="K684" s="256">
        <v>24</v>
      </c>
      <c r="L684" s="256">
        <v>39</v>
      </c>
      <c r="M684" s="256">
        <v>22</v>
      </c>
      <c r="N684" s="256"/>
      <c r="O684" s="256">
        <f t="shared" si="310"/>
        <v>104</v>
      </c>
      <c r="P684" s="256">
        <f t="shared" si="311"/>
        <v>113</v>
      </c>
      <c r="Q684" s="256" t="str">
        <f t="shared" si="312"/>
        <v>HL</v>
      </c>
      <c r="R684" s="256" t="str">
        <f t="shared" si="313"/>
        <v>HW</v>
      </c>
      <c r="S684" s="256" t="str">
        <f t="shared" si="314"/>
        <v>HL</v>
      </c>
      <c r="T684" s="256" t="str">
        <f t="shared" si="315"/>
        <v>HW</v>
      </c>
      <c r="U684" s="256" t="str">
        <f t="shared" si="316"/>
        <v>U</v>
      </c>
      <c r="V684" s="256" t="str">
        <f t="shared" si="317"/>
        <v>U</v>
      </c>
      <c r="W684" s="256" t="str">
        <f t="shared" si="318"/>
        <v>O</v>
      </c>
      <c r="X684" s="256" t="str">
        <f t="shared" si="319"/>
        <v>U</v>
      </c>
      <c r="Z684" s="3">
        <v>58</v>
      </c>
      <c r="AB684" s="256" t="str">
        <f t="shared" si="309"/>
        <v>MIN/OKC</v>
      </c>
      <c r="AC684" s="256">
        <f t="shared" si="320"/>
        <v>1</v>
      </c>
      <c r="AD684" s="256">
        <f t="shared" si="321"/>
        <v>3</v>
      </c>
    </row>
    <row r="685" spans="1:30" x14ac:dyDescent="0.3">
      <c r="A685" s="256">
        <v>200126</v>
      </c>
      <c r="B685" s="257">
        <v>0.4375</v>
      </c>
      <c r="C685" s="256" t="s">
        <v>401</v>
      </c>
      <c r="D685" s="256" t="s">
        <v>419</v>
      </c>
      <c r="E685" s="256">
        <v>35</v>
      </c>
      <c r="F685" s="256">
        <v>24</v>
      </c>
      <c r="G685" s="256">
        <v>26</v>
      </c>
      <c r="H685" s="256">
        <v>23</v>
      </c>
      <c r="I685" s="256"/>
      <c r="J685" s="256">
        <v>25</v>
      </c>
      <c r="K685" s="256">
        <v>25</v>
      </c>
      <c r="L685" s="256">
        <v>23</v>
      </c>
      <c r="M685" s="256">
        <v>18</v>
      </c>
      <c r="N685" s="256"/>
      <c r="O685" s="256">
        <f t="shared" si="310"/>
        <v>108</v>
      </c>
      <c r="P685" s="256">
        <f t="shared" si="311"/>
        <v>91</v>
      </c>
      <c r="Q685" s="256" t="str">
        <f t="shared" si="312"/>
        <v>HW</v>
      </c>
      <c r="R685" s="256" t="str">
        <f t="shared" si="313"/>
        <v>HL</v>
      </c>
      <c r="S685" s="256" t="str">
        <f t="shared" si="314"/>
        <v>HW</v>
      </c>
      <c r="T685" s="256" t="str">
        <f t="shared" si="315"/>
        <v>HW</v>
      </c>
      <c r="U685" s="256" t="str">
        <f t="shared" si="316"/>
        <v>O</v>
      </c>
      <c r="V685" s="256" t="str">
        <f t="shared" si="317"/>
        <v>U</v>
      </c>
      <c r="W685" s="256" t="str">
        <f t="shared" si="318"/>
        <v>U</v>
      </c>
      <c r="X685" s="256" t="str">
        <f t="shared" si="319"/>
        <v>U</v>
      </c>
      <c r="Z685" s="3">
        <v>57</v>
      </c>
      <c r="AB685" s="256" t="str">
        <f t="shared" si="309"/>
        <v>PHI/LAL</v>
      </c>
      <c r="AC685" s="256">
        <f t="shared" si="320"/>
        <v>1</v>
      </c>
      <c r="AD685" s="256">
        <f t="shared" si="321"/>
        <v>3</v>
      </c>
    </row>
    <row r="686" spans="1:30" x14ac:dyDescent="0.3">
      <c r="A686" s="256">
        <v>200127</v>
      </c>
      <c r="B686" s="257">
        <v>0.22916666666666666</v>
      </c>
      <c r="C686" s="256" t="s">
        <v>408</v>
      </c>
      <c r="D686" s="256" t="s">
        <v>403</v>
      </c>
      <c r="E686" s="256">
        <v>27</v>
      </c>
      <c r="F686" s="256">
        <v>30</v>
      </c>
      <c r="G686" s="256">
        <v>33</v>
      </c>
      <c r="H686" s="256">
        <v>27</v>
      </c>
      <c r="I686" s="256"/>
      <c r="J686" s="256">
        <v>36</v>
      </c>
      <c r="K686" s="256">
        <v>23</v>
      </c>
      <c r="L686" s="256">
        <v>30</v>
      </c>
      <c r="M686" s="256">
        <v>21</v>
      </c>
      <c r="N686" s="256"/>
      <c r="O686" s="256">
        <f t="shared" si="310"/>
        <v>117</v>
      </c>
      <c r="P686" s="256">
        <f t="shared" si="311"/>
        <v>110</v>
      </c>
      <c r="Q686" s="256" t="str">
        <f t="shared" si="312"/>
        <v>HL</v>
      </c>
      <c r="R686" s="256" t="str">
        <f t="shared" si="313"/>
        <v>HW</v>
      </c>
      <c r="S686" s="256" t="str">
        <f t="shared" si="314"/>
        <v>HW</v>
      </c>
      <c r="T686" s="256" t="str">
        <f t="shared" si="315"/>
        <v>HW</v>
      </c>
      <c r="U686" s="256" t="str">
        <f t="shared" si="316"/>
        <v>O</v>
      </c>
      <c r="V686" s="256" t="str">
        <f t="shared" si="317"/>
        <v>U</v>
      </c>
      <c r="W686" s="256" t="str">
        <f t="shared" si="318"/>
        <v>O</v>
      </c>
      <c r="X686" s="256" t="str">
        <f t="shared" si="319"/>
        <v>U</v>
      </c>
      <c r="Z686" s="3">
        <v>58</v>
      </c>
      <c r="AB686" s="256" t="str">
        <f t="shared" si="309"/>
        <v>DEN/HOU</v>
      </c>
      <c r="AC686" s="256">
        <f t="shared" si="320"/>
        <v>2</v>
      </c>
      <c r="AD686" s="256">
        <f t="shared" si="321"/>
        <v>2</v>
      </c>
    </row>
    <row r="687" spans="1:30" x14ac:dyDescent="0.3">
      <c r="A687" s="256">
        <v>200127</v>
      </c>
      <c r="B687" s="257">
        <v>0.25</v>
      </c>
      <c r="C687" s="256" t="s">
        <v>426</v>
      </c>
      <c r="D687" s="256" t="s">
        <v>413</v>
      </c>
      <c r="E687" s="256">
        <v>21</v>
      </c>
      <c r="F687" s="256">
        <v>30</v>
      </c>
      <c r="G687" s="256">
        <v>34</v>
      </c>
      <c r="H687" s="256">
        <v>21</v>
      </c>
      <c r="I687" s="256"/>
      <c r="J687" s="256">
        <v>37</v>
      </c>
      <c r="K687" s="256">
        <v>26</v>
      </c>
      <c r="L687" s="256">
        <v>23</v>
      </c>
      <c r="M687" s="256">
        <v>24</v>
      </c>
      <c r="N687" s="256"/>
      <c r="O687" s="256">
        <f t="shared" si="310"/>
        <v>106</v>
      </c>
      <c r="P687" s="256">
        <f t="shared" si="311"/>
        <v>110</v>
      </c>
      <c r="Q687" s="256" t="str">
        <f t="shared" si="312"/>
        <v>HL</v>
      </c>
      <c r="R687" s="256" t="str">
        <f t="shared" si="313"/>
        <v>HW</v>
      </c>
      <c r="S687" s="256" t="str">
        <f t="shared" si="314"/>
        <v>HW</v>
      </c>
      <c r="T687" s="256" t="str">
        <f t="shared" si="315"/>
        <v>HL</v>
      </c>
      <c r="U687" s="256" t="str">
        <f t="shared" si="316"/>
        <v>O</v>
      </c>
      <c r="V687" s="256" t="str">
        <f t="shared" si="317"/>
        <v>U</v>
      </c>
      <c r="W687" s="256" t="str">
        <f t="shared" si="318"/>
        <v>T</v>
      </c>
      <c r="X687" s="256" t="str">
        <f t="shared" si="319"/>
        <v>U</v>
      </c>
      <c r="Z687" s="3">
        <v>57</v>
      </c>
      <c r="AB687" s="256" t="str">
        <f t="shared" si="309"/>
        <v>SAS/TOR</v>
      </c>
      <c r="AC687" s="256">
        <f t="shared" si="320"/>
        <v>1</v>
      </c>
      <c r="AD687" s="256">
        <f t="shared" si="321"/>
        <v>2</v>
      </c>
    </row>
    <row r="688" spans="1:30" x14ac:dyDescent="0.3">
      <c r="A688" s="256">
        <v>200127</v>
      </c>
      <c r="B688" s="257">
        <v>0.33333333333333331</v>
      </c>
      <c r="C688" s="256" t="s">
        <v>410</v>
      </c>
      <c r="D688" s="256" t="s">
        <v>414</v>
      </c>
      <c r="E688" s="256">
        <v>31</v>
      </c>
      <c r="F688" s="256">
        <v>47</v>
      </c>
      <c r="G688" s="256">
        <v>41</v>
      </c>
      <c r="H688" s="256">
        <v>33</v>
      </c>
      <c r="I688" s="256"/>
      <c r="J688" s="256">
        <v>33</v>
      </c>
      <c r="K688" s="256">
        <v>39</v>
      </c>
      <c r="L688" s="256">
        <v>30</v>
      </c>
      <c r="M688" s="256">
        <v>31</v>
      </c>
      <c r="N688" s="256"/>
      <c r="O688" s="256">
        <f t="shared" si="310"/>
        <v>152</v>
      </c>
      <c r="P688" s="256">
        <f t="shared" si="311"/>
        <v>133</v>
      </c>
      <c r="Q688" s="256" t="str">
        <f t="shared" si="312"/>
        <v>HL</v>
      </c>
      <c r="R688" s="256" t="str">
        <f t="shared" si="313"/>
        <v>HW</v>
      </c>
      <c r="S688" s="256" t="str">
        <f t="shared" si="314"/>
        <v>HW</v>
      </c>
      <c r="T688" s="256" t="str">
        <f t="shared" si="315"/>
        <v>HW</v>
      </c>
      <c r="U688" s="256" t="str">
        <f t="shared" si="316"/>
        <v>O</v>
      </c>
      <c r="V688" s="256" t="str">
        <f t="shared" si="317"/>
        <v>O</v>
      </c>
      <c r="W688" s="256" t="str">
        <f t="shared" si="318"/>
        <v>O</v>
      </c>
      <c r="X688" s="256" t="str">
        <f t="shared" si="319"/>
        <v>O</v>
      </c>
      <c r="Z688" s="3">
        <v>61</v>
      </c>
      <c r="AB688" s="256" t="str">
        <f t="shared" si="309"/>
        <v>ATL/WAS</v>
      </c>
      <c r="AC688" s="256">
        <f t="shared" si="320"/>
        <v>4</v>
      </c>
      <c r="AD688" s="256">
        <f t="shared" si="321"/>
        <v>0</v>
      </c>
    </row>
    <row r="689" spans="1:30" x14ac:dyDescent="0.3">
      <c r="A689" s="256">
        <v>200127</v>
      </c>
      <c r="B689" s="257">
        <v>0.33333333333333331</v>
      </c>
      <c r="C689" s="256" t="s">
        <v>398</v>
      </c>
      <c r="D689" s="256" t="s">
        <v>421</v>
      </c>
      <c r="E689" s="256">
        <v>32</v>
      </c>
      <c r="F689" s="256">
        <v>30</v>
      </c>
      <c r="G689" s="256">
        <v>29</v>
      </c>
      <c r="H689" s="256">
        <v>32</v>
      </c>
      <c r="I689" s="256"/>
      <c r="J689" s="256">
        <v>20</v>
      </c>
      <c r="K689" s="256">
        <v>22</v>
      </c>
      <c r="L689" s="256">
        <v>39</v>
      </c>
      <c r="M689" s="256">
        <v>27</v>
      </c>
      <c r="N689" s="256"/>
      <c r="O689" s="256">
        <f t="shared" si="310"/>
        <v>123</v>
      </c>
      <c r="P689" s="256">
        <f t="shared" si="311"/>
        <v>108</v>
      </c>
      <c r="Q689" s="256" t="str">
        <f t="shared" si="312"/>
        <v>HW</v>
      </c>
      <c r="R689" s="256" t="str">
        <f t="shared" si="313"/>
        <v>HW</v>
      </c>
      <c r="S689" s="256" t="str">
        <f t="shared" si="314"/>
        <v>HL</v>
      </c>
      <c r="T689" s="256" t="str">
        <f t="shared" si="315"/>
        <v>HW</v>
      </c>
      <c r="U689" s="256" t="str">
        <f t="shared" si="316"/>
        <v>U</v>
      </c>
      <c r="V689" s="256" t="str">
        <f t="shared" si="317"/>
        <v>U</v>
      </c>
      <c r="W689" s="256" t="str">
        <f t="shared" si="318"/>
        <v>O</v>
      </c>
      <c r="X689" s="256" t="str">
        <f t="shared" si="319"/>
        <v>O</v>
      </c>
      <c r="Z689" s="3">
        <v>55.5</v>
      </c>
      <c r="AB689" s="256" t="str">
        <f t="shared" si="309"/>
        <v>NO/BOS</v>
      </c>
      <c r="AC689" s="256">
        <f t="shared" si="320"/>
        <v>2</v>
      </c>
      <c r="AD689" s="256">
        <f t="shared" si="321"/>
        <v>2</v>
      </c>
    </row>
    <row r="690" spans="1:30" x14ac:dyDescent="0.3">
      <c r="A690" s="256">
        <v>200127</v>
      </c>
      <c r="B690" s="257">
        <v>0.33333333333333331</v>
      </c>
      <c r="C690" s="256" t="s">
        <v>399</v>
      </c>
      <c r="D690" s="256" t="s">
        <v>407</v>
      </c>
      <c r="E690" s="256">
        <v>30</v>
      </c>
      <c r="F690" s="256">
        <v>25</v>
      </c>
      <c r="G690" s="256">
        <v>30</v>
      </c>
      <c r="H690" s="256">
        <v>25</v>
      </c>
      <c r="I690" s="256"/>
      <c r="J690" s="256">
        <v>28</v>
      </c>
      <c r="K690" s="256">
        <v>24</v>
      </c>
      <c r="L690" s="256">
        <v>24</v>
      </c>
      <c r="M690" s="256">
        <v>21</v>
      </c>
      <c r="N690" s="256"/>
      <c r="O690" s="256">
        <f t="shared" si="310"/>
        <v>110</v>
      </c>
      <c r="P690" s="256">
        <f t="shared" si="311"/>
        <v>97</v>
      </c>
      <c r="Q690" s="256" t="str">
        <f t="shared" si="312"/>
        <v>HW</v>
      </c>
      <c r="R690" s="256" t="str">
        <f t="shared" si="313"/>
        <v>HW</v>
      </c>
      <c r="S690" s="256" t="str">
        <f t="shared" si="314"/>
        <v>HW</v>
      </c>
      <c r="T690" s="256" t="str">
        <f t="shared" si="315"/>
        <v>HW</v>
      </c>
      <c r="U690" s="256" t="str">
        <f t="shared" si="316"/>
        <v>O</v>
      </c>
      <c r="V690" s="256" t="str">
        <f t="shared" si="317"/>
        <v>U</v>
      </c>
      <c r="W690" s="256" t="str">
        <f t="shared" si="318"/>
        <v>O</v>
      </c>
      <c r="X690" s="256" t="str">
        <f t="shared" si="319"/>
        <v>U</v>
      </c>
      <c r="Z690" s="3">
        <v>53.5</v>
      </c>
      <c r="AB690" s="256" t="str">
        <f t="shared" si="309"/>
        <v>NYK/BKN</v>
      </c>
      <c r="AC690" s="256">
        <f t="shared" si="320"/>
        <v>2</v>
      </c>
      <c r="AD690" s="256">
        <f t="shared" si="321"/>
        <v>2</v>
      </c>
    </row>
    <row r="691" spans="1:30" x14ac:dyDescent="0.3">
      <c r="A691" s="256">
        <v>200127</v>
      </c>
      <c r="B691" s="257">
        <v>0.33333333333333331</v>
      </c>
      <c r="C691" s="256" t="s">
        <v>424</v>
      </c>
      <c r="D691" s="256" t="s">
        <v>415</v>
      </c>
      <c r="E691" s="256">
        <v>28</v>
      </c>
      <c r="F691" s="256">
        <v>24</v>
      </c>
      <c r="G691" s="256">
        <v>20</v>
      </c>
      <c r="H691" s="256">
        <v>25</v>
      </c>
      <c r="I691" s="256"/>
      <c r="J691" s="256">
        <v>26</v>
      </c>
      <c r="K691" s="256">
        <v>28</v>
      </c>
      <c r="L691" s="256">
        <v>31</v>
      </c>
      <c r="M691" s="256">
        <v>27</v>
      </c>
      <c r="N691" s="256"/>
      <c r="O691" s="256">
        <f t="shared" si="310"/>
        <v>97</v>
      </c>
      <c r="P691" s="256">
        <f t="shared" si="311"/>
        <v>112</v>
      </c>
      <c r="Q691" s="256" t="str">
        <f t="shared" si="312"/>
        <v>HW</v>
      </c>
      <c r="R691" s="256" t="str">
        <f t="shared" si="313"/>
        <v>HL</v>
      </c>
      <c r="S691" s="256" t="str">
        <f t="shared" si="314"/>
        <v>HL</v>
      </c>
      <c r="T691" s="256" t="str">
        <f t="shared" si="315"/>
        <v>HL</v>
      </c>
      <c r="U691" s="256" t="str">
        <f t="shared" si="316"/>
        <v>U</v>
      </c>
      <c r="V691" s="256" t="str">
        <f t="shared" si="317"/>
        <v>U</v>
      </c>
      <c r="W691" s="256" t="str">
        <f t="shared" si="318"/>
        <v>U</v>
      </c>
      <c r="X691" s="256" t="str">
        <f t="shared" si="319"/>
        <v>U</v>
      </c>
      <c r="Z691" s="3">
        <v>54.5</v>
      </c>
      <c r="AB691" s="256" t="str">
        <f t="shared" si="309"/>
        <v>ORL/LAC</v>
      </c>
      <c r="AC691" s="256">
        <f t="shared" si="320"/>
        <v>0</v>
      </c>
      <c r="AD691" s="256">
        <f t="shared" si="321"/>
        <v>4</v>
      </c>
    </row>
    <row r="692" spans="1:30" x14ac:dyDescent="0.3">
      <c r="A692" s="256">
        <v>200127</v>
      </c>
      <c r="B692" s="257">
        <v>0.33333333333333331</v>
      </c>
      <c r="C692" s="256" t="s">
        <v>406</v>
      </c>
      <c r="D692" s="256" t="s">
        <v>404</v>
      </c>
      <c r="E692" s="256">
        <v>30</v>
      </c>
      <c r="F692" s="256">
        <v>26</v>
      </c>
      <c r="G692" s="256">
        <v>25</v>
      </c>
      <c r="H692" s="256">
        <v>33</v>
      </c>
      <c r="I692" s="256"/>
      <c r="J692" s="256">
        <v>18</v>
      </c>
      <c r="K692" s="256">
        <v>27</v>
      </c>
      <c r="L692" s="256">
        <v>33</v>
      </c>
      <c r="M692" s="256">
        <v>31</v>
      </c>
      <c r="N692" s="256"/>
      <c r="O692" s="256">
        <f t="shared" si="310"/>
        <v>114</v>
      </c>
      <c r="P692" s="256">
        <f t="shared" si="311"/>
        <v>109</v>
      </c>
      <c r="Q692" s="256" t="str">
        <f t="shared" si="312"/>
        <v>HW</v>
      </c>
      <c r="R692" s="256" t="str">
        <f t="shared" si="313"/>
        <v>HL</v>
      </c>
      <c r="S692" s="256" t="str">
        <f t="shared" si="314"/>
        <v>HL</v>
      </c>
      <c r="T692" s="256" t="str">
        <f t="shared" si="315"/>
        <v>HW</v>
      </c>
      <c r="U692" s="256" t="str">
        <f t="shared" si="316"/>
        <v>U</v>
      </c>
      <c r="V692" s="256" t="str">
        <f t="shared" si="317"/>
        <v>U</v>
      </c>
      <c r="W692" s="256" t="str">
        <f t="shared" si="318"/>
        <v>O</v>
      </c>
      <c r="X692" s="256" t="str">
        <f t="shared" si="319"/>
        <v>O</v>
      </c>
      <c r="Z692" s="3">
        <v>57</v>
      </c>
      <c r="AB692" s="256" t="str">
        <f t="shared" si="309"/>
        <v>MEM/PHO</v>
      </c>
      <c r="AC692" s="256">
        <f t="shared" si="320"/>
        <v>2</v>
      </c>
      <c r="AD692" s="256">
        <f t="shared" si="321"/>
        <v>2</v>
      </c>
    </row>
    <row r="693" spans="1:30" x14ac:dyDescent="0.3">
      <c r="A693" s="256">
        <v>200127</v>
      </c>
      <c r="B693" s="257">
        <v>0.45833333333333331</v>
      </c>
      <c r="C693" s="256" t="s">
        <v>417</v>
      </c>
      <c r="D693" s="256" t="s">
        <v>400</v>
      </c>
      <c r="E693" s="256">
        <v>36</v>
      </c>
      <c r="F693" s="256">
        <v>30</v>
      </c>
      <c r="G693" s="256">
        <v>40</v>
      </c>
      <c r="H693" s="256">
        <v>33</v>
      </c>
      <c r="I693" s="256"/>
      <c r="J693" s="256">
        <v>27</v>
      </c>
      <c r="K693" s="256">
        <v>29</v>
      </c>
      <c r="L693" s="256">
        <v>37</v>
      </c>
      <c r="M693" s="256">
        <v>36</v>
      </c>
      <c r="N693" s="256"/>
      <c r="O693" s="256">
        <f t="shared" si="310"/>
        <v>139</v>
      </c>
      <c r="P693" s="256">
        <f t="shared" si="311"/>
        <v>129</v>
      </c>
      <c r="Q693" s="256" t="str">
        <f t="shared" si="312"/>
        <v>HW</v>
      </c>
      <c r="R693" s="256" t="str">
        <f t="shared" si="313"/>
        <v>HW</v>
      </c>
      <c r="S693" s="256" t="str">
        <f t="shared" si="314"/>
        <v>HW</v>
      </c>
      <c r="T693" s="256" t="str">
        <f t="shared" si="315"/>
        <v>HL</v>
      </c>
      <c r="U693" s="256" t="str">
        <f t="shared" si="316"/>
        <v>O</v>
      </c>
      <c r="V693" s="256" t="str">
        <f t="shared" si="317"/>
        <v>O</v>
      </c>
      <c r="W693" s="256" t="str">
        <f t="shared" si="318"/>
        <v>O</v>
      </c>
      <c r="X693" s="256" t="str">
        <f t="shared" si="319"/>
        <v>O</v>
      </c>
      <c r="Z693" s="3">
        <v>55</v>
      </c>
      <c r="AB693" s="256" t="str">
        <f t="shared" si="309"/>
        <v>POR/IND</v>
      </c>
      <c r="AC693" s="256">
        <f t="shared" si="320"/>
        <v>4</v>
      </c>
      <c r="AD693" s="256">
        <f t="shared" si="321"/>
        <v>0</v>
      </c>
    </row>
    <row r="694" spans="1:30" x14ac:dyDescent="0.3">
      <c r="A694" s="256">
        <v>200128</v>
      </c>
      <c r="B694" s="257">
        <v>0.375</v>
      </c>
      <c r="C694" s="256" t="s">
        <v>422</v>
      </c>
      <c r="D694" s="256" t="s">
        <v>402</v>
      </c>
      <c r="E694" s="256">
        <v>23</v>
      </c>
      <c r="F694" s="256">
        <v>22</v>
      </c>
      <c r="G694" s="256">
        <v>27</v>
      </c>
      <c r="H694" s="256">
        <v>28</v>
      </c>
      <c r="I694" s="256"/>
      <c r="J694" s="256">
        <v>24</v>
      </c>
      <c r="K694" s="256">
        <v>29</v>
      </c>
      <c r="L694" s="256">
        <v>36</v>
      </c>
      <c r="M694" s="256">
        <v>26</v>
      </c>
      <c r="N694" s="256"/>
      <c r="O694" s="256">
        <f t="shared" si="310"/>
        <v>100</v>
      </c>
      <c r="P694" s="256">
        <f t="shared" si="311"/>
        <v>115</v>
      </c>
      <c r="Q694" s="256" t="str">
        <f t="shared" si="312"/>
        <v>HL</v>
      </c>
      <c r="R694" s="256" t="str">
        <f t="shared" si="313"/>
        <v>HL</v>
      </c>
      <c r="S694" s="256" t="str">
        <f t="shared" si="314"/>
        <v>HL</v>
      </c>
      <c r="T694" s="256" t="str">
        <f t="shared" si="315"/>
        <v>HW</v>
      </c>
      <c r="U694" s="256" t="str">
        <f t="shared" si="316"/>
        <v>U</v>
      </c>
      <c r="V694" s="256" t="str">
        <f t="shared" si="317"/>
        <v>U</v>
      </c>
      <c r="W694" s="256" t="str">
        <f t="shared" si="318"/>
        <v>O</v>
      </c>
      <c r="X694" s="256" t="str">
        <f t="shared" si="319"/>
        <v>O</v>
      </c>
      <c r="Z694" s="3">
        <v>52.5</v>
      </c>
      <c r="AB694" s="256" t="str">
        <f t="shared" si="309"/>
        <v>DET/CLE</v>
      </c>
      <c r="AC694" s="256">
        <f t="shared" si="320"/>
        <v>2</v>
      </c>
      <c r="AD694" s="256">
        <f t="shared" si="321"/>
        <v>2</v>
      </c>
    </row>
    <row r="695" spans="1:30" x14ac:dyDescent="0.3">
      <c r="A695" s="256">
        <v>200128</v>
      </c>
      <c r="B695" s="257">
        <v>0.39583333333333331</v>
      </c>
      <c r="C695" s="256" t="s">
        <v>411</v>
      </c>
      <c r="D695" s="256" t="s">
        <v>424</v>
      </c>
      <c r="E695" s="256">
        <v>31</v>
      </c>
      <c r="F695" s="256">
        <v>23</v>
      </c>
      <c r="G695" s="256">
        <v>31</v>
      </c>
      <c r="H695" s="256">
        <v>28</v>
      </c>
      <c r="I695" s="256"/>
      <c r="J695" s="256">
        <v>21</v>
      </c>
      <c r="K695" s="256">
        <v>27</v>
      </c>
      <c r="L695" s="256">
        <v>23</v>
      </c>
      <c r="M695" s="256">
        <v>21</v>
      </c>
      <c r="N695" s="256"/>
      <c r="O695" s="256">
        <f t="shared" si="310"/>
        <v>113</v>
      </c>
      <c r="P695" s="256">
        <f t="shared" si="311"/>
        <v>92</v>
      </c>
      <c r="Q695" s="256" t="str">
        <f t="shared" si="312"/>
        <v>HW</v>
      </c>
      <c r="R695" s="256" t="str">
        <f t="shared" si="313"/>
        <v>HL</v>
      </c>
      <c r="S695" s="256" t="str">
        <f t="shared" si="314"/>
        <v>HW</v>
      </c>
      <c r="T695" s="256" t="str">
        <f t="shared" si="315"/>
        <v>HW</v>
      </c>
      <c r="U695" s="256" t="str">
        <f t="shared" si="316"/>
        <v>U</v>
      </c>
      <c r="V695" s="256" t="str">
        <f t="shared" si="317"/>
        <v>U</v>
      </c>
      <c r="W695" s="256" t="str">
        <f t="shared" si="318"/>
        <v>O</v>
      </c>
      <c r="X695" s="256" t="str">
        <f t="shared" si="319"/>
        <v>U</v>
      </c>
      <c r="Z695" s="3">
        <v>53</v>
      </c>
      <c r="AB695" s="256" t="str">
        <f t="shared" si="309"/>
        <v>MIA/ORL</v>
      </c>
      <c r="AC695" s="256">
        <f t="shared" si="320"/>
        <v>1</v>
      </c>
      <c r="AD695" s="256">
        <f t="shared" si="321"/>
        <v>3</v>
      </c>
    </row>
    <row r="696" spans="1:30" x14ac:dyDescent="0.3">
      <c r="A696" s="256">
        <v>200128</v>
      </c>
      <c r="B696" s="257">
        <v>0.41666666666666669</v>
      </c>
      <c r="C696" s="256" t="s">
        <v>412</v>
      </c>
      <c r="D696" s="256" t="s">
        <v>426</v>
      </c>
      <c r="E696" s="256">
        <v>21</v>
      </c>
      <c r="F696" s="256">
        <v>29</v>
      </c>
      <c r="G696" s="256">
        <v>25</v>
      </c>
      <c r="H696" s="256">
        <v>35</v>
      </c>
      <c r="I696" s="256"/>
      <c r="J696" s="256">
        <v>28</v>
      </c>
      <c r="K696" s="256">
        <v>20</v>
      </c>
      <c r="L696" s="256">
        <v>37</v>
      </c>
      <c r="M696" s="256">
        <v>24</v>
      </c>
      <c r="N696" s="256"/>
      <c r="O696" s="256">
        <f t="shared" si="310"/>
        <v>110</v>
      </c>
      <c r="P696" s="256">
        <f t="shared" si="311"/>
        <v>109</v>
      </c>
      <c r="Q696" s="256" t="str">
        <f t="shared" si="312"/>
        <v>HL</v>
      </c>
      <c r="R696" s="256" t="str">
        <f t="shared" si="313"/>
        <v>HW</v>
      </c>
      <c r="S696" s="256" t="str">
        <f t="shared" si="314"/>
        <v>HL</v>
      </c>
      <c r="T696" s="256" t="str">
        <f t="shared" si="315"/>
        <v>HW</v>
      </c>
      <c r="U696" s="256" t="str">
        <f t="shared" si="316"/>
        <v>U</v>
      </c>
      <c r="V696" s="256" t="str">
        <f t="shared" si="317"/>
        <v>U</v>
      </c>
      <c r="W696" s="256" t="str">
        <f t="shared" si="318"/>
        <v>O</v>
      </c>
      <c r="X696" s="256" t="str">
        <f t="shared" si="319"/>
        <v>O</v>
      </c>
      <c r="Z696" s="3">
        <v>51.5</v>
      </c>
      <c r="AB696" s="256" t="str">
        <f t="shared" si="309"/>
        <v>CHI/SAS</v>
      </c>
      <c r="AC696" s="256">
        <f t="shared" si="320"/>
        <v>2</v>
      </c>
      <c r="AD696" s="256">
        <f t="shared" si="321"/>
        <v>2</v>
      </c>
    </row>
    <row r="697" spans="1:30" x14ac:dyDescent="0.3">
      <c r="A697" s="256">
        <v>200128</v>
      </c>
      <c r="B697" s="257">
        <v>0.41666666666666669</v>
      </c>
      <c r="C697" s="256" t="s">
        <v>420</v>
      </c>
      <c r="D697" s="256" t="s">
        <v>416</v>
      </c>
      <c r="E697" s="256">
        <v>37</v>
      </c>
      <c r="F697" s="256">
        <v>31</v>
      </c>
      <c r="G697" s="256">
        <v>29</v>
      </c>
      <c r="H697" s="256">
        <v>22</v>
      </c>
      <c r="I697" s="256">
        <v>10</v>
      </c>
      <c r="J697" s="256">
        <v>24</v>
      </c>
      <c r="K697" s="256">
        <v>26</v>
      </c>
      <c r="L697" s="256">
        <v>28</v>
      </c>
      <c r="M697" s="256">
        <v>41</v>
      </c>
      <c r="N697" s="256">
        <v>14</v>
      </c>
      <c r="O697" s="256">
        <f t="shared" si="310"/>
        <v>129</v>
      </c>
      <c r="P697" s="256">
        <f t="shared" si="311"/>
        <v>133</v>
      </c>
      <c r="Q697" s="256" t="str">
        <f t="shared" si="312"/>
        <v>HW</v>
      </c>
      <c r="R697" s="256" t="str">
        <f t="shared" si="313"/>
        <v>HW</v>
      </c>
      <c r="S697" s="256" t="str">
        <f t="shared" si="314"/>
        <v>HW</v>
      </c>
      <c r="T697" s="256" t="str">
        <f t="shared" si="315"/>
        <v>HL</v>
      </c>
      <c r="U697" s="256" t="str">
        <f t="shared" si="316"/>
        <v>O</v>
      </c>
      <c r="V697" s="256" t="str">
        <f t="shared" si="317"/>
        <v>O</v>
      </c>
      <c r="W697" s="256" t="str">
        <f t="shared" si="318"/>
        <v>O</v>
      </c>
      <c r="X697" s="256" t="str">
        <f t="shared" si="319"/>
        <v>O</v>
      </c>
      <c r="Z697" s="3">
        <v>56.5</v>
      </c>
      <c r="AB697" s="256" t="str">
        <f t="shared" si="309"/>
        <v>MIN/SAC</v>
      </c>
      <c r="AC697" s="256">
        <f t="shared" si="320"/>
        <v>4</v>
      </c>
      <c r="AD697" s="256">
        <f t="shared" si="321"/>
        <v>0</v>
      </c>
    </row>
    <row r="698" spans="1:30" x14ac:dyDescent="0.3">
      <c r="A698" s="256">
        <v>200128</v>
      </c>
      <c r="B698" s="257">
        <v>0.41666666666666669</v>
      </c>
      <c r="C698" s="256" t="s">
        <v>418</v>
      </c>
      <c r="D698" s="256" t="s">
        <v>397</v>
      </c>
      <c r="E698" s="256">
        <v>22</v>
      </c>
      <c r="F698" s="256">
        <v>25</v>
      </c>
      <c r="G698" s="256">
        <v>30</v>
      </c>
      <c r="H698" s="256">
        <v>20</v>
      </c>
      <c r="I698" s="256"/>
      <c r="J698" s="256">
        <v>25</v>
      </c>
      <c r="K698" s="256">
        <v>34</v>
      </c>
      <c r="L698" s="256">
        <v>29</v>
      </c>
      <c r="M698" s="256">
        <v>19</v>
      </c>
      <c r="N698" s="256"/>
      <c r="O698" s="256">
        <f t="shared" si="310"/>
        <v>97</v>
      </c>
      <c r="P698" s="256">
        <f t="shared" si="311"/>
        <v>107</v>
      </c>
      <c r="Q698" s="256" t="str">
        <f t="shared" si="312"/>
        <v>HL</v>
      </c>
      <c r="R698" s="256" t="str">
        <f t="shared" si="313"/>
        <v>HL</v>
      </c>
      <c r="S698" s="256" t="str">
        <f t="shared" si="314"/>
        <v>HW</v>
      </c>
      <c r="T698" s="256" t="str">
        <f t="shared" si="315"/>
        <v>HW</v>
      </c>
      <c r="U698" s="256" t="str">
        <f t="shared" si="316"/>
        <v>U</v>
      </c>
      <c r="V698" s="256" t="str">
        <f t="shared" si="317"/>
        <v>O</v>
      </c>
      <c r="W698" s="256" t="str">
        <f t="shared" si="318"/>
        <v>O</v>
      </c>
      <c r="X698" s="256" t="str">
        <f t="shared" si="319"/>
        <v>U</v>
      </c>
      <c r="Z698" s="3">
        <v>56.5</v>
      </c>
      <c r="AB698" s="256" t="str">
        <f t="shared" si="309"/>
        <v>OKC/DAL</v>
      </c>
      <c r="AC698" s="256">
        <f t="shared" si="320"/>
        <v>2</v>
      </c>
      <c r="AD698" s="256">
        <f t="shared" si="321"/>
        <v>2</v>
      </c>
    </row>
    <row r="699" spans="1:30" x14ac:dyDescent="0.3">
      <c r="A699" s="256">
        <v>200128</v>
      </c>
      <c r="B699" s="257">
        <v>0.45833333333333331</v>
      </c>
      <c r="C699" s="256" t="s">
        <v>405</v>
      </c>
      <c r="D699" s="256" t="s">
        <v>403</v>
      </c>
      <c r="E699" s="256">
        <v>20</v>
      </c>
      <c r="F699" s="256">
        <v>26</v>
      </c>
      <c r="G699" s="256">
        <v>29</v>
      </c>
      <c r="H699" s="256">
        <v>42</v>
      </c>
      <c r="I699" s="256"/>
      <c r="J699" s="256">
        <v>28</v>
      </c>
      <c r="K699" s="256">
        <v>31</v>
      </c>
      <c r="L699" s="256">
        <v>28</v>
      </c>
      <c r="M699" s="256">
        <v>39</v>
      </c>
      <c r="N699" s="256"/>
      <c r="O699" s="256">
        <f t="shared" si="310"/>
        <v>117</v>
      </c>
      <c r="P699" s="256">
        <f t="shared" si="311"/>
        <v>126</v>
      </c>
      <c r="Q699" s="256" t="str">
        <f t="shared" si="312"/>
        <v>HL</v>
      </c>
      <c r="R699" s="256" t="str">
        <f t="shared" si="313"/>
        <v>HL</v>
      </c>
      <c r="S699" s="256" t="str">
        <f t="shared" si="314"/>
        <v>HW</v>
      </c>
      <c r="T699" s="256" t="str">
        <f t="shared" si="315"/>
        <v>HW</v>
      </c>
      <c r="U699" s="256" t="str">
        <f t="shared" si="316"/>
        <v>U</v>
      </c>
      <c r="V699" s="256" t="str">
        <f t="shared" si="317"/>
        <v>O</v>
      </c>
      <c r="W699" s="256" t="str">
        <f t="shared" si="318"/>
        <v>O</v>
      </c>
      <c r="X699" s="256" t="str">
        <f t="shared" si="319"/>
        <v>O</v>
      </c>
      <c r="Z699" s="3">
        <v>55.5</v>
      </c>
      <c r="AB699" s="256" t="str">
        <f t="shared" si="309"/>
        <v>UTA/HOU</v>
      </c>
      <c r="AC699" s="256">
        <f t="shared" si="320"/>
        <v>3</v>
      </c>
      <c r="AD699" s="256">
        <f t="shared" si="321"/>
        <v>1</v>
      </c>
    </row>
    <row r="700" spans="1:30" x14ac:dyDescent="0.3">
      <c r="A700" s="256">
        <v>200129</v>
      </c>
      <c r="B700" s="257">
        <v>0.375</v>
      </c>
      <c r="C700" s="256" t="s">
        <v>401</v>
      </c>
      <c r="D700" s="256" t="s">
        <v>425</v>
      </c>
      <c r="E700" s="256">
        <v>26</v>
      </c>
      <c r="F700" s="256">
        <v>33</v>
      </c>
      <c r="G700" s="256">
        <v>27</v>
      </c>
      <c r="H700" s="256">
        <v>29</v>
      </c>
      <c r="I700" s="256"/>
      <c r="J700" s="256">
        <v>27</v>
      </c>
      <c r="K700" s="256">
        <v>27</v>
      </c>
      <c r="L700" s="256">
        <v>28</v>
      </c>
      <c r="M700" s="256">
        <v>22</v>
      </c>
      <c r="N700" s="256"/>
      <c r="O700" s="256">
        <f t="shared" si="310"/>
        <v>115</v>
      </c>
      <c r="P700" s="256">
        <f t="shared" si="311"/>
        <v>104</v>
      </c>
      <c r="Q700" s="256" t="str">
        <f t="shared" si="312"/>
        <v>HL</v>
      </c>
      <c r="R700" s="256" t="str">
        <f t="shared" si="313"/>
        <v>HW</v>
      </c>
      <c r="S700" s="256" t="str">
        <f t="shared" si="314"/>
        <v>HL</v>
      </c>
      <c r="T700" s="256" t="str">
        <f t="shared" si="315"/>
        <v>HW</v>
      </c>
      <c r="U700" s="256" t="str">
        <f t="shared" si="316"/>
        <v>U</v>
      </c>
      <c r="V700" s="256" t="str">
        <f t="shared" si="317"/>
        <v>O</v>
      </c>
      <c r="W700" s="256" t="str">
        <f t="shared" si="318"/>
        <v>O</v>
      </c>
      <c r="X700" s="256" t="str">
        <f t="shared" si="319"/>
        <v>U</v>
      </c>
      <c r="Z700" s="3">
        <v>54.5</v>
      </c>
      <c r="AB700" s="256" t="str">
        <f t="shared" si="309"/>
        <v>PHI/GS</v>
      </c>
      <c r="AC700" s="256">
        <f t="shared" si="320"/>
        <v>2</v>
      </c>
      <c r="AD700" s="256">
        <f t="shared" si="321"/>
        <v>2</v>
      </c>
    </row>
    <row r="701" spans="1:30" x14ac:dyDescent="0.3">
      <c r="A701" s="256">
        <v>200129</v>
      </c>
      <c r="B701" s="257">
        <v>0.375</v>
      </c>
      <c r="C701" s="256" t="s">
        <v>438</v>
      </c>
      <c r="D701" s="256" t="s">
        <v>399</v>
      </c>
      <c r="E701" s="256">
        <v>15</v>
      </c>
      <c r="F701" s="256">
        <v>32</v>
      </c>
      <c r="G701" s="256">
        <v>21</v>
      </c>
      <c r="H701" s="256">
        <v>29</v>
      </c>
      <c r="I701" s="256"/>
      <c r="J701" s="256">
        <v>26</v>
      </c>
      <c r="K701" s="256">
        <v>24</v>
      </c>
      <c r="L701" s="256">
        <v>16</v>
      </c>
      <c r="M701" s="256">
        <v>26</v>
      </c>
      <c r="N701" s="256"/>
      <c r="O701" s="256">
        <f t="shared" si="310"/>
        <v>97</v>
      </c>
      <c r="P701" s="256">
        <f t="shared" si="311"/>
        <v>92</v>
      </c>
      <c r="Q701" s="256" t="str">
        <f t="shared" si="312"/>
        <v>HL</v>
      </c>
      <c r="R701" s="256" t="str">
        <f t="shared" si="313"/>
        <v>HW</v>
      </c>
      <c r="S701" s="256" t="str">
        <f t="shared" si="314"/>
        <v>HW</v>
      </c>
      <c r="T701" s="256" t="str">
        <f t="shared" si="315"/>
        <v>HW</v>
      </c>
      <c r="U701" s="256" t="str">
        <f t="shared" si="316"/>
        <v>U</v>
      </c>
      <c r="V701" s="256" t="str">
        <f t="shared" si="317"/>
        <v>O</v>
      </c>
      <c r="W701" s="256" t="str">
        <f t="shared" si="318"/>
        <v>U</v>
      </c>
      <c r="X701" s="256" t="str">
        <f t="shared" si="319"/>
        <v>O</v>
      </c>
      <c r="Z701" s="3">
        <v>53</v>
      </c>
      <c r="AB701" s="256" t="str">
        <f t="shared" si="309"/>
        <v>CHA/NYK</v>
      </c>
      <c r="AC701" s="256">
        <f t="shared" si="320"/>
        <v>2</v>
      </c>
      <c r="AD701" s="256">
        <f t="shared" si="321"/>
        <v>2</v>
      </c>
    </row>
    <row r="702" spans="1:30" x14ac:dyDescent="0.3">
      <c r="A702" s="256">
        <v>200129</v>
      </c>
      <c r="B702" s="257">
        <v>0.39583333333333331</v>
      </c>
      <c r="C702" s="256" t="s">
        <v>402</v>
      </c>
      <c r="D702" s="256" t="s">
        <v>398</v>
      </c>
      <c r="E702" s="256">
        <v>34</v>
      </c>
      <c r="F702" s="256">
        <v>31</v>
      </c>
      <c r="G702" s="256">
        <v>25</v>
      </c>
      <c r="H702" s="256">
        <v>21</v>
      </c>
      <c r="I702" s="256"/>
      <c r="J702" s="256">
        <v>40</v>
      </c>
      <c r="K702" s="256">
        <v>34</v>
      </c>
      <c r="L702" s="256">
        <v>30</v>
      </c>
      <c r="M702" s="256">
        <v>21</v>
      </c>
      <c r="N702" s="256"/>
      <c r="O702" s="256">
        <f t="shared" si="310"/>
        <v>111</v>
      </c>
      <c r="P702" s="256">
        <f t="shared" si="311"/>
        <v>125</v>
      </c>
      <c r="Q702" s="256" t="str">
        <f t="shared" si="312"/>
        <v>HL</v>
      </c>
      <c r="R702" s="256" t="str">
        <f t="shared" si="313"/>
        <v>HL</v>
      </c>
      <c r="S702" s="256" t="str">
        <f t="shared" si="314"/>
        <v>HL</v>
      </c>
      <c r="T702" s="256" t="str">
        <f t="shared" si="315"/>
        <v>TT</v>
      </c>
      <c r="U702" s="256" t="str">
        <f t="shared" si="316"/>
        <v>O</v>
      </c>
      <c r="V702" s="256" t="str">
        <f t="shared" si="317"/>
        <v>O</v>
      </c>
      <c r="W702" s="256" t="str">
        <f t="shared" si="318"/>
        <v>U</v>
      </c>
      <c r="X702" s="256" t="str">
        <f t="shared" si="319"/>
        <v>U</v>
      </c>
      <c r="Z702" s="3">
        <v>59</v>
      </c>
      <c r="AB702" s="256" t="str">
        <f t="shared" si="309"/>
        <v>CLE/NO</v>
      </c>
      <c r="AC702" s="256">
        <f t="shared" si="320"/>
        <v>2</v>
      </c>
      <c r="AD702" s="256">
        <f t="shared" si="321"/>
        <v>2</v>
      </c>
    </row>
    <row r="703" spans="1:30" x14ac:dyDescent="0.3">
      <c r="A703" s="256">
        <v>200129</v>
      </c>
      <c r="B703" s="257">
        <v>0.39583333333333331</v>
      </c>
      <c r="C703" s="256" t="s">
        <v>413</v>
      </c>
      <c r="D703" s="256" t="s">
        <v>410</v>
      </c>
      <c r="E703" s="256">
        <v>33</v>
      </c>
      <c r="F703" s="256">
        <v>35</v>
      </c>
      <c r="G703" s="256">
        <v>29</v>
      </c>
      <c r="H703" s="256">
        <v>33</v>
      </c>
      <c r="I703" s="256"/>
      <c r="J703" s="256">
        <v>23</v>
      </c>
      <c r="K703" s="256">
        <v>33</v>
      </c>
      <c r="L703" s="256">
        <v>27</v>
      </c>
      <c r="M703" s="256">
        <v>31</v>
      </c>
      <c r="N703" s="256"/>
      <c r="O703" s="256">
        <f t="shared" si="310"/>
        <v>130</v>
      </c>
      <c r="P703" s="256">
        <f t="shared" si="311"/>
        <v>114</v>
      </c>
      <c r="Q703" s="256" t="str">
        <f t="shared" si="312"/>
        <v>HW</v>
      </c>
      <c r="R703" s="256" t="str">
        <f t="shared" si="313"/>
        <v>HW</v>
      </c>
      <c r="S703" s="256" t="str">
        <f t="shared" si="314"/>
        <v>HW</v>
      </c>
      <c r="T703" s="256" t="str">
        <f t="shared" si="315"/>
        <v>HW</v>
      </c>
      <c r="U703" s="256" t="str">
        <f t="shared" si="316"/>
        <v>U</v>
      </c>
      <c r="V703" s="256" t="str">
        <f t="shared" si="317"/>
        <v>O</v>
      </c>
      <c r="W703" s="256" t="str">
        <f t="shared" si="318"/>
        <v>U</v>
      </c>
      <c r="X703" s="256" t="str">
        <f t="shared" si="319"/>
        <v>O</v>
      </c>
      <c r="Z703" s="3">
        <v>60</v>
      </c>
      <c r="AB703" s="256" t="str">
        <f t="shared" si="309"/>
        <v>TOR/ATL</v>
      </c>
      <c r="AC703" s="256">
        <f t="shared" si="320"/>
        <v>2</v>
      </c>
      <c r="AD703" s="256">
        <f t="shared" si="321"/>
        <v>2</v>
      </c>
    </row>
    <row r="704" spans="1:30" x14ac:dyDescent="0.3">
      <c r="A704" s="256">
        <v>200129</v>
      </c>
      <c r="B704" s="257">
        <v>0.41666666666666669</v>
      </c>
      <c r="C704" s="256" t="s">
        <v>411</v>
      </c>
      <c r="D704" s="256" t="s">
        <v>421</v>
      </c>
      <c r="E704" s="256">
        <v>28</v>
      </c>
      <c r="F704" s="256">
        <v>20</v>
      </c>
      <c r="G704" s="256">
        <v>28</v>
      </c>
      <c r="H704" s="256">
        <v>25</v>
      </c>
      <c r="I704" s="256"/>
      <c r="J704" s="256">
        <v>36</v>
      </c>
      <c r="K704" s="256">
        <v>17</v>
      </c>
      <c r="L704" s="256">
        <v>27</v>
      </c>
      <c r="M704" s="256">
        <v>29</v>
      </c>
      <c r="N704" s="256"/>
      <c r="O704" s="256">
        <f t="shared" si="310"/>
        <v>101</v>
      </c>
      <c r="P704" s="256">
        <f t="shared" si="311"/>
        <v>109</v>
      </c>
      <c r="Q704" s="256" t="str">
        <f t="shared" si="312"/>
        <v>HL</v>
      </c>
      <c r="R704" s="256" t="str">
        <f t="shared" si="313"/>
        <v>HW</v>
      </c>
      <c r="S704" s="256" t="str">
        <f t="shared" si="314"/>
        <v>HW</v>
      </c>
      <c r="T704" s="256" t="str">
        <f t="shared" si="315"/>
        <v>HL</v>
      </c>
      <c r="U704" s="256" t="str">
        <f t="shared" si="316"/>
        <v>O</v>
      </c>
      <c r="V704" s="256" t="str">
        <f t="shared" si="317"/>
        <v>U</v>
      </c>
      <c r="W704" s="256" t="str">
        <f t="shared" si="318"/>
        <v>O</v>
      </c>
      <c r="X704" s="256" t="str">
        <f t="shared" si="319"/>
        <v>O</v>
      </c>
      <c r="Z704" s="3">
        <v>53.5</v>
      </c>
      <c r="AB704" s="256" t="str">
        <f t="shared" si="309"/>
        <v>MIA/BOS</v>
      </c>
      <c r="AC704" s="256">
        <f t="shared" si="320"/>
        <v>3</v>
      </c>
      <c r="AD704" s="256">
        <f t="shared" si="321"/>
        <v>1</v>
      </c>
    </row>
    <row r="705" spans="1:30" x14ac:dyDescent="0.3">
      <c r="A705" s="256">
        <v>200129</v>
      </c>
      <c r="B705" s="257">
        <v>0.41666666666666669</v>
      </c>
      <c r="C705" s="256" t="s">
        <v>423</v>
      </c>
      <c r="D705" s="256" t="s">
        <v>414</v>
      </c>
      <c r="E705" s="256">
        <v>42</v>
      </c>
      <c r="F705" s="256">
        <v>46</v>
      </c>
      <c r="G705" s="256">
        <v>29</v>
      </c>
      <c r="H705" s="256">
        <v>34</v>
      </c>
      <c r="I705" s="256"/>
      <c r="J705" s="256">
        <v>28</v>
      </c>
      <c r="K705" s="256">
        <v>35</v>
      </c>
      <c r="L705" s="256">
        <v>41</v>
      </c>
      <c r="M705" s="256">
        <v>27</v>
      </c>
      <c r="N705" s="256"/>
      <c r="O705" s="256">
        <f t="shared" si="310"/>
        <v>151</v>
      </c>
      <c r="P705" s="256">
        <f t="shared" si="311"/>
        <v>131</v>
      </c>
      <c r="Q705" s="256" t="str">
        <f t="shared" si="312"/>
        <v>HW</v>
      </c>
      <c r="R705" s="256" t="str">
        <f t="shared" si="313"/>
        <v>HW</v>
      </c>
      <c r="S705" s="256" t="str">
        <f t="shared" si="314"/>
        <v>HL</v>
      </c>
      <c r="T705" s="256" t="str">
        <f t="shared" si="315"/>
        <v>HW</v>
      </c>
      <c r="U705" s="256" t="str">
        <f t="shared" si="316"/>
        <v>O</v>
      </c>
      <c r="V705" s="256" t="str">
        <f t="shared" si="317"/>
        <v>O</v>
      </c>
      <c r="W705" s="256" t="str">
        <f t="shared" si="318"/>
        <v>O</v>
      </c>
      <c r="X705" s="256" t="str">
        <f t="shared" si="319"/>
        <v>T</v>
      </c>
      <c r="Z705" s="3">
        <v>61</v>
      </c>
      <c r="AB705" s="256" t="str">
        <f t="shared" si="309"/>
        <v>MIL/WAS</v>
      </c>
      <c r="AC705" s="256">
        <f t="shared" si="320"/>
        <v>3</v>
      </c>
      <c r="AD705" s="256">
        <f t="shared" si="321"/>
        <v>0</v>
      </c>
    </row>
    <row r="706" spans="1:30" x14ac:dyDescent="0.3">
      <c r="A706" s="256">
        <v>200129</v>
      </c>
      <c r="B706" s="257">
        <v>0.41666666666666669</v>
      </c>
      <c r="C706" s="256" t="s">
        <v>406</v>
      </c>
      <c r="D706" s="256" t="s">
        <v>408</v>
      </c>
      <c r="E706" s="256">
        <v>31</v>
      </c>
      <c r="F706" s="256">
        <v>32</v>
      </c>
      <c r="G706" s="256">
        <v>19</v>
      </c>
      <c r="H706" s="256">
        <v>22</v>
      </c>
      <c r="I706" s="256"/>
      <c r="J706" s="256">
        <v>18</v>
      </c>
      <c r="K706" s="256">
        <v>32</v>
      </c>
      <c r="L706" s="256">
        <v>16</v>
      </c>
      <c r="M706" s="256">
        <v>30</v>
      </c>
      <c r="N706" s="256"/>
      <c r="O706" s="256">
        <f t="shared" si="310"/>
        <v>104</v>
      </c>
      <c r="P706" s="256">
        <f t="shared" si="311"/>
        <v>96</v>
      </c>
      <c r="Q706" s="256" t="str">
        <f t="shared" si="312"/>
        <v>HW</v>
      </c>
      <c r="R706" s="256" t="str">
        <f t="shared" si="313"/>
        <v>TT</v>
      </c>
      <c r="S706" s="256" t="str">
        <f t="shared" si="314"/>
        <v>HW</v>
      </c>
      <c r="T706" s="256" t="str">
        <f t="shared" si="315"/>
        <v>HL</v>
      </c>
      <c r="U706" s="256" t="str">
        <f t="shared" si="316"/>
        <v>U</v>
      </c>
      <c r="V706" s="256" t="str">
        <f t="shared" si="317"/>
        <v>O</v>
      </c>
      <c r="W706" s="256" t="str">
        <f t="shared" si="318"/>
        <v>U</v>
      </c>
      <c r="X706" s="256" t="str">
        <f t="shared" si="319"/>
        <v>U</v>
      </c>
      <c r="Z706" s="3">
        <v>57</v>
      </c>
      <c r="AB706" s="256" t="str">
        <f t="shared" si="309"/>
        <v>MEM/DEN</v>
      </c>
      <c r="AC706" s="256">
        <f t="shared" si="320"/>
        <v>1</v>
      </c>
      <c r="AD706" s="256">
        <f t="shared" si="321"/>
        <v>3</v>
      </c>
    </row>
    <row r="707" spans="1:30" x14ac:dyDescent="0.3">
      <c r="A707" s="256">
        <v>200129</v>
      </c>
      <c r="B707" s="257">
        <v>0.4375</v>
      </c>
      <c r="C707" s="256" t="s">
        <v>397</v>
      </c>
      <c r="D707" s="256" t="s">
        <v>404</v>
      </c>
      <c r="E707" s="256">
        <v>19</v>
      </c>
      <c r="F707" s="256">
        <v>36</v>
      </c>
      <c r="G707" s="256">
        <v>22</v>
      </c>
      <c r="H707" s="256">
        <v>27</v>
      </c>
      <c r="I707" s="256"/>
      <c r="J707" s="256">
        <v>32</v>
      </c>
      <c r="K707" s="256">
        <v>28</v>
      </c>
      <c r="L707" s="256">
        <v>48</v>
      </c>
      <c r="M707" s="256">
        <v>25</v>
      </c>
      <c r="N707" s="256"/>
      <c r="O707" s="256">
        <f t="shared" si="310"/>
        <v>104</v>
      </c>
      <c r="P707" s="256">
        <f t="shared" si="311"/>
        <v>133</v>
      </c>
      <c r="Q707" s="256" t="str">
        <f t="shared" si="312"/>
        <v>HL</v>
      </c>
      <c r="R707" s="256" t="str">
        <f t="shared" si="313"/>
        <v>HW</v>
      </c>
      <c r="S707" s="256" t="str">
        <f t="shared" si="314"/>
        <v>HL</v>
      </c>
      <c r="T707" s="256" t="str">
        <f t="shared" si="315"/>
        <v>HW</v>
      </c>
      <c r="U707" s="256" t="str">
        <f t="shared" si="316"/>
        <v>U</v>
      </c>
      <c r="V707" s="256" t="str">
        <f t="shared" si="317"/>
        <v>O</v>
      </c>
      <c r="W707" s="256" t="str">
        <f t="shared" si="318"/>
        <v>O</v>
      </c>
      <c r="X707" s="256" t="str">
        <f t="shared" si="319"/>
        <v>U</v>
      </c>
      <c r="Z707" s="3">
        <v>55.5</v>
      </c>
      <c r="AB707" s="256" t="str">
        <f t="shared" si="309"/>
        <v>DAL/PHO</v>
      </c>
      <c r="AC707" s="256">
        <f t="shared" si="320"/>
        <v>2</v>
      </c>
      <c r="AD707" s="256">
        <f t="shared" si="321"/>
        <v>2</v>
      </c>
    </row>
    <row r="708" spans="1:30" x14ac:dyDescent="0.3">
      <c r="A708" s="256">
        <v>200130</v>
      </c>
      <c r="B708" s="257">
        <v>0.375</v>
      </c>
      <c r="C708" s="256" t="s">
        <v>400</v>
      </c>
      <c r="D708" s="256" t="s">
        <v>412</v>
      </c>
      <c r="E708" s="256">
        <v>25</v>
      </c>
      <c r="F708" s="256">
        <v>30</v>
      </c>
      <c r="G708" s="256">
        <v>25</v>
      </c>
      <c r="H708" s="256">
        <v>20</v>
      </c>
      <c r="I708" s="256">
        <v>15</v>
      </c>
      <c r="J708" s="256">
        <v>24</v>
      </c>
      <c r="K708" s="256">
        <v>27</v>
      </c>
      <c r="L708" s="256">
        <v>29</v>
      </c>
      <c r="M708" s="256">
        <v>20</v>
      </c>
      <c r="N708" s="256">
        <v>6</v>
      </c>
      <c r="O708" s="256">
        <f t="shared" si="310"/>
        <v>115</v>
      </c>
      <c r="P708" s="256">
        <f t="shared" si="311"/>
        <v>106</v>
      </c>
      <c r="Q708" s="256" t="str">
        <f t="shared" si="312"/>
        <v>HW</v>
      </c>
      <c r="R708" s="256" t="str">
        <f t="shared" si="313"/>
        <v>HW</v>
      </c>
      <c r="S708" s="256" t="str">
        <f t="shared" si="314"/>
        <v>HL</v>
      </c>
      <c r="T708" s="256" t="str">
        <f t="shared" si="315"/>
        <v>TT</v>
      </c>
      <c r="U708" s="256" t="str">
        <f t="shared" si="316"/>
        <v>U</v>
      </c>
      <c r="V708" s="256" t="str">
        <f t="shared" si="317"/>
        <v>O</v>
      </c>
      <c r="W708" s="256" t="str">
        <f t="shared" si="318"/>
        <v>U</v>
      </c>
      <c r="X708" s="256" t="str">
        <f t="shared" si="319"/>
        <v>U</v>
      </c>
      <c r="Z708" s="3">
        <v>54.5</v>
      </c>
      <c r="AB708" s="256" t="str">
        <f t="shared" si="309"/>
        <v>IND/CHI</v>
      </c>
      <c r="AC708" s="256">
        <f t="shared" si="320"/>
        <v>1</v>
      </c>
      <c r="AD708" s="256">
        <f t="shared" si="321"/>
        <v>3</v>
      </c>
    </row>
    <row r="709" spans="1:30" x14ac:dyDescent="0.3">
      <c r="A709" s="256">
        <v>200130</v>
      </c>
      <c r="B709" s="257">
        <v>0.39583333333333331</v>
      </c>
      <c r="C709" s="256" t="s">
        <v>407</v>
      </c>
      <c r="D709" s="256" t="s">
        <v>422</v>
      </c>
      <c r="E709" s="256">
        <v>32</v>
      </c>
      <c r="F709" s="256">
        <v>38</v>
      </c>
      <c r="G709" s="256">
        <v>29</v>
      </c>
      <c r="H709" s="256">
        <v>26</v>
      </c>
      <c r="I709" s="256"/>
      <c r="J709" s="256">
        <v>30</v>
      </c>
      <c r="K709" s="256">
        <v>38</v>
      </c>
      <c r="L709" s="256">
        <v>25</v>
      </c>
      <c r="M709" s="256">
        <v>22</v>
      </c>
      <c r="N709" s="256"/>
      <c r="O709" s="256">
        <f t="shared" si="310"/>
        <v>125</v>
      </c>
      <c r="P709" s="256">
        <f t="shared" si="311"/>
        <v>115</v>
      </c>
      <c r="Q709" s="256" t="str">
        <f t="shared" si="312"/>
        <v>HW</v>
      </c>
      <c r="R709" s="256" t="str">
        <f t="shared" si="313"/>
        <v>TT</v>
      </c>
      <c r="S709" s="256" t="str">
        <f t="shared" si="314"/>
        <v>HW</v>
      </c>
      <c r="T709" s="256" t="str">
        <f t="shared" si="315"/>
        <v>HW</v>
      </c>
      <c r="U709" s="256" t="str">
        <f t="shared" si="316"/>
        <v>O</v>
      </c>
      <c r="V709" s="256" t="str">
        <f t="shared" si="317"/>
        <v>O</v>
      </c>
      <c r="W709" s="256" t="str">
        <f t="shared" si="318"/>
        <v>U</v>
      </c>
      <c r="X709" s="256" t="str">
        <f t="shared" si="319"/>
        <v>U</v>
      </c>
      <c r="Z709" s="3">
        <v>58.5</v>
      </c>
      <c r="AB709" s="256" t="str">
        <f t="shared" si="309"/>
        <v>BKN/DET</v>
      </c>
      <c r="AC709" s="256">
        <f t="shared" si="320"/>
        <v>2</v>
      </c>
      <c r="AD709" s="256">
        <f t="shared" si="321"/>
        <v>2</v>
      </c>
    </row>
    <row r="710" spans="1:30" x14ac:dyDescent="0.3">
      <c r="A710" s="256">
        <v>200130</v>
      </c>
      <c r="B710" s="257">
        <v>0.39583333333333331</v>
      </c>
      <c r="C710" s="256" t="s">
        <v>399</v>
      </c>
      <c r="D710" s="256" t="s">
        <v>406</v>
      </c>
      <c r="E710" s="256">
        <v>32</v>
      </c>
      <c r="F710" s="256">
        <v>20</v>
      </c>
      <c r="G710" s="256">
        <v>32</v>
      </c>
      <c r="H710" s="256">
        <v>22</v>
      </c>
      <c r="I710" s="256"/>
      <c r="J710" s="256">
        <v>32</v>
      </c>
      <c r="K710" s="256">
        <v>27</v>
      </c>
      <c r="L710" s="256">
        <v>37</v>
      </c>
      <c r="M710" s="256">
        <v>31</v>
      </c>
      <c r="N710" s="256"/>
      <c r="O710" s="256">
        <f t="shared" si="310"/>
        <v>106</v>
      </c>
      <c r="P710" s="256">
        <f t="shared" si="311"/>
        <v>127</v>
      </c>
      <c r="Q710" s="256" t="str">
        <f t="shared" si="312"/>
        <v>TT</v>
      </c>
      <c r="R710" s="256" t="str">
        <f t="shared" si="313"/>
        <v>HL</v>
      </c>
      <c r="S710" s="256" t="str">
        <f t="shared" si="314"/>
        <v>HL</v>
      </c>
      <c r="T710" s="256" t="str">
        <f t="shared" si="315"/>
        <v>HL</v>
      </c>
      <c r="U710" s="256" t="str">
        <f t="shared" si="316"/>
        <v>O</v>
      </c>
      <c r="V710" s="256" t="str">
        <f t="shared" si="317"/>
        <v>U</v>
      </c>
      <c r="W710" s="256" t="str">
        <f t="shared" si="318"/>
        <v>O</v>
      </c>
      <c r="X710" s="256" t="str">
        <f t="shared" si="319"/>
        <v>U</v>
      </c>
      <c r="Z710" s="3">
        <v>54.5</v>
      </c>
      <c r="AB710" s="256" t="str">
        <f t="shared" si="309"/>
        <v>NYK/MEM</v>
      </c>
      <c r="AC710" s="256">
        <f t="shared" si="320"/>
        <v>2</v>
      </c>
      <c r="AD710" s="256">
        <f t="shared" si="321"/>
        <v>2</v>
      </c>
    </row>
    <row r="711" spans="1:30" x14ac:dyDescent="0.3">
      <c r="A711" s="256">
        <v>200130</v>
      </c>
      <c r="B711" s="257">
        <v>0.4375</v>
      </c>
      <c r="C711" s="256" t="s">
        <v>426</v>
      </c>
      <c r="D711" s="256" t="s">
        <v>405</v>
      </c>
      <c r="E711" s="256">
        <v>37</v>
      </c>
      <c r="F711" s="256">
        <v>33</v>
      </c>
      <c r="G711" s="256">
        <v>28</v>
      </c>
      <c r="H711" s="256">
        <v>29</v>
      </c>
      <c r="I711" s="256"/>
      <c r="J711" s="256">
        <v>29</v>
      </c>
      <c r="K711" s="256">
        <v>33</v>
      </c>
      <c r="L711" s="256">
        <v>32</v>
      </c>
      <c r="M711" s="256">
        <v>26</v>
      </c>
      <c r="N711" s="256"/>
      <c r="O711" s="256">
        <f t="shared" si="310"/>
        <v>127</v>
      </c>
      <c r="P711" s="256">
        <f t="shared" si="311"/>
        <v>120</v>
      </c>
      <c r="Q711" s="256" t="str">
        <f t="shared" si="312"/>
        <v>HW</v>
      </c>
      <c r="R711" s="256" t="str">
        <f t="shared" si="313"/>
        <v>TT</v>
      </c>
      <c r="S711" s="256" t="str">
        <f t="shared" si="314"/>
        <v>HL</v>
      </c>
      <c r="T711" s="256" t="str">
        <f t="shared" si="315"/>
        <v>HW</v>
      </c>
      <c r="U711" s="256" t="str">
        <f t="shared" si="316"/>
        <v>O</v>
      </c>
      <c r="V711" s="256" t="str">
        <f t="shared" si="317"/>
        <v>O</v>
      </c>
      <c r="W711" s="256" t="str">
        <f t="shared" si="318"/>
        <v>O</v>
      </c>
      <c r="X711" s="256" t="str">
        <f t="shared" si="319"/>
        <v>O</v>
      </c>
      <c r="Z711" s="3">
        <v>53.5</v>
      </c>
      <c r="AB711" s="256" t="str">
        <f t="shared" si="309"/>
        <v>SAS/UTA</v>
      </c>
      <c r="AC711" s="256">
        <f t="shared" si="320"/>
        <v>4</v>
      </c>
      <c r="AD711" s="256">
        <f t="shared" si="321"/>
        <v>0</v>
      </c>
    </row>
    <row r="712" spans="1:30" x14ac:dyDescent="0.3">
      <c r="A712" s="256">
        <v>200130</v>
      </c>
      <c r="B712" s="257">
        <v>0.5</v>
      </c>
      <c r="C712" s="256" t="s">
        <v>417</v>
      </c>
      <c r="D712" s="256" t="s">
        <v>403</v>
      </c>
      <c r="E712" s="256">
        <v>30</v>
      </c>
      <c r="F712" s="256">
        <v>41</v>
      </c>
      <c r="G712" s="256">
        <v>26</v>
      </c>
      <c r="H712" s="256">
        <v>28</v>
      </c>
      <c r="I712" s="256"/>
      <c r="J712" s="256">
        <v>36</v>
      </c>
      <c r="K712" s="256">
        <v>24</v>
      </c>
      <c r="L712" s="256">
        <v>22</v>
      </c>
      <c r="M712" s="256">
        <v>30</v>
      </c>
      <c r="N712" s="256"/>
      <c r="O712" s="256">
        <f t="shared" si="310"/>
        <v>125</v>
      </c>
      <c r="P712" s="256">
        <f t="shared" si="311"/>
        <v>112</v>
      </c>
      <c r="Q712" s="256" t="str">
        <f t="shared" si="312"/>
        <v>HL</v>
      </c>
      <c r="R712" s="256" t="str">
        <f t="shared" si="313"/>
        <v>HW</v>
      </c>
      <c r="S712" s="256" t="str">
        <f t="shared" si="314"/>
        <v>HW</v>
      </c>
      <c r="T712" s="256" t="str">
        <f t="shared" si="315"/>
        <v>HL</v>
      </c>
      <c r="U712" s="256" t="str">
        <f t="shared" si="316"/>
        <v>O</v>
      </c>
      <c r="V712" s="256" t="str">
        <f t="shared" si="317"/>
        <v>O</v>
      </c>
      <c r="W712" s="256" t="str">
        <f t="shared" si="318"/>
        <v>U</v>
      </c>
      <c r="X712" s="256" t="str">
        <f t="shared" si="319"/>
        <v>U</v>
      </c>
      <c r="Z712" s="3">
        <v>62</v>
      </c>
      <c r="AB712" s="256" t="str">
        <f t="shared" si="309"/>
        <v>POR/HOU</v>
      </c>
      <c r="AC712" s="256">
        <f t="shared" si="320"/>
        <v>2</v>
      </c>
      <c r="AD712" s="256">
        <f t="shared" si="321"/>
        <v>2</v>
      </c>
    </row>
    <row r="713" spans="1:30" x14ac:dyDescent="0.3">
      <c r="A713" s="256">
        <v>200130</v>
      </c>
      <c r="B713" s="257">
        <v>0.5</v>
      </c>
      <c r="C713" s="256" t="s">
        <v>416</v>
      </c>
      <c r="D713" s="256" t="s">
        <v>418</v>
      </c>
      <c r="E713" s="256">
        <v>16</v>
      </c>
      <c r="F713" s="256">
        <v>31</v>
      </c>
      <c r="G713" s="256">
        <v>29</v>
      </c>
      <c r="H713" s="256">
        <v>24</v>
      </c>
      <c r="I713" s="256"/>
      <c r="J713" s="256">
        <v>23</v>
      </c>
      <c r="K713" s="256">
        <v>36</v>
      </c>
      <c r="L713" s="256">
        <v>37</v>
      </c>
      <c r="M713" s="256">
        <v>24</v>
      </c>
      <c r="N713" s="256"/>
      <c r="O713" s="256">
        <f t="shared" si="310"/>
        <v>100</v>
      </c>
      <c r="P713" s="256">
        <f t="shared" si="311"/>
        <v>120</v>
      </c>
      <c r="Q713" s="256" t="str">
        <f t="shared" si="312"/>
        <v>HL</v>
      </c>
      <c r="R713" s="256" t="str">
        <f t="shared" si="313"/>
        <v>HL</v>
      </c>
      <c r="S713" s="256" t="str">
        <f t="shared" si="314"/>
        <v>HL</v>
      </c>
      <c r="T713" s="256" t="str">
        <f t="shared" si="315"/>
        <v>TT</v>
      </c>
      <c r="U713" s="256" t="str">
        <f t="shared" si="316"/>
        <v>U</v>
      </c>
      <c r="V713" s="256" t="str">
        <f t="shared" si="317"/>
        <v>O</v>
      </c>
      <c r="W713" s="256" t="str">
        <f t="shared" si="318"/>
        <v>O</v>
      </c>
      <c r="X713" s="256" t="str">
        <f t="shared" si="319"/>
        <v>U</v>
      </c>
      <c r="Z713" s="3">
        <v>55.5</v>
      </c>
      <c r="AB713" s="256" t="str">
        <f t="shared" si="309"/>
        <v>SAC/OKC</v>
      </c>
      <c r="AC713" s="256">
        <f t="shared" si="320"/>
        <v>2</v>
      </c>
      <c r="AD713" s="256">
        <f t="shared" si="321"/>
        <v>2</v>
      </c>
    </row>
    <row r="714" spans="1:30" x14ac:dyDescent="0.3">
      <c r="A714" s="256">
        <v>200131</v>
      </c>
      <c r="B714" s="257">
        <v>0.375</v>
      </c>
      <c r="C714" s="256" t="s">
        <v>402</v>
      </c>
      <c r="D714" s="256" t="s">
        <v>413</v>
      </c>
      <c r="E714" s="256">
        <v>26</v>
      </c>
      <c r="F714" s="256">
        <v>26</v>
      </c>
      <c r="G714" s="256">
        <v>24</v>
      </c>
      <c r="H714" s="256">
        <v>33</v>
      </c>
      <c r="I714" s="256"/>
      <c r="J714" s="256">
        <v>31</v>
      </c>
      <c r="K714" s="256">
        <v>25</v>
      </c>
      <c r="L714" s="256">
        <v>32</v>
      </c>
      <c r="M714" s="256">
        <v>27</v>
      </c>
      <c r="N714" s="256"/>
      <c r="O714" s="256">
        <f t="shared" si="310"/>
        <v>109</v>
      </c>
      <c r="P714" s="256">
        <f t="shared" si="311"/>
        <v>115</v>
      </c>
      <c r="Q714" s="256" t="str">
        <f t="shared" si="312"/>
        <v>HL</v>
      </c>
      <c r="R714" s="256" t="str">
        <f t="shared" si="313"/>
        <v>HW</v>
      </c>
      <c r="S714" s="256" t="str">
        <f t="shared" si="314"/>
        <v>HL</v>
      </c>
      <c r="T714" s="256" t="str">
        <f t="shared" si="315"/>
        <v>HW</v>
      </c>
      <c r="U714" s="256" t="str">
        <f t="shared" si="316"/>
        <v>T</v>
      </c>
      <c r="V714" s="256" t="str">
        <f t="shared" si="317"/>
        <v>U</v>
      </c>
      <c r="W714" s="256" t="str">
        <f t="shared" si="318"/>
        <v>U</v>
      </c>
      <c r="X714" s="256" t="str">
        <f t="shared" si="319"/>
        <v>O</v>
      </c>
      <c r="Z714" s="3">
        <v>57</v>
      </c>
      <c r="AB714" s="256" t="str">
        <f t="shared" si="309"/>
        <v>CLE/TOR</v>
      </c>
      <c r="AC714" s="256">
        <f t="shared" si="320"/>
        <v>1</v>
      </c>
      <c r="AD714" s="256">
        <f t="shared" si="321"/>
        <v>2</v>
      </c>
    </row>
    <row r="715" spans="1:30" x14ac:dyDescent="0.3">
      <c r="A715" s="256">
        <v>200131</v>
      </c>
      <c r="B715" s="257">
        <v>0.375</v>
      </c>
      <c r="C715" s="256" t="s">
        <v>414</v>
      </c>
      <c r="D715" s="256" t="s">
        <v>409</v>
      </c>
      <c r="E715" s="256">
        <v>26</v>
      </c>
      <c r="F715" s="256">
        <v>29</v>
      </c>
      <c r="G715" s="256">
        <v>31</v>
      </c>
      <c r="H715" s="256">
        <v>35</v>
      </c>
      <c r="I715" s="256"/>
      <c r="J715" s="256">
        <v>33</v>
      </c>
      <c r="K715" s="256">
        <v>27</v>
      </c>
      <c r="L715" s="256">
        <v>19</v>
      </c>
      <c r="M715" s="256">
        <v>28</v>
      </c>
      <c r="N715" s="256"/>
      <c r="O715" s="256">
        <f t="shared" si="310"/>
        <v>121</v>
      </c>
      <c r="P715" s="256">
        <f t="shared" si="311"/>
        <v>107</v>
      </c>
      <c r="Q715" s="256" t="str">
        <f t="shared" si="312"/>
        <v>HL</v>
      </c>
      <c r="R715" s="256" t="str">
        <f t="shared" si="313"/>
        <v>HW</v>
      </c>
      <c r="S715" s="256" t="str">
        <f t="shared" si="314"/>
        <v>HW</v>
      </c>
      <c r="T715" s="256" t="str">
        <f t="shared" si="315"/>
        <v>HW</v>
      </c>
      <c r="U715" s="256" t="str">
        <f t="shared" si="316"/>
        <v>O</v>
      </c>
      <c r="V715" s="256" t="str">
        <f t="shared" si="317"/>
        <v>U</v>
      </c>
      <c r="W715" s="256" t="str">
        <f t="shared" si="318"/>
        <v>U</v>
      </c>
      <c r="X715" s="256" t="str">
        <f t="shared" si="319"/>
        <v>O</v>
      </c>
      <c r="Z715" s="3">
        <v>58</v>
      </c>
      <c r="AB715" s="256" t="str">
        <f t="shared" si="309"/>
        <v>WAS/CHA</v>
      </c>
      <c r="AC715" s="256">
        <f t="shared" si="320"/>
        <v>2</v>
      </c>
      <c r="AD715" s="256">
        <f t="shared" si="321"/>
        <v>2</v>
      </c>
    </row>
    <row r="716" spans="1:30" x14ac:dyDescent="0.3">
      <c r="A716" s="256">
        <v>200131</v>
      </c>
      <c r="B716" s="257">
        <v>0.39583333333333331</v>
      </c>
      <c r="C716" s="256" t="s">
        <v>410</v>
      </c>
      <c r="D716" s="256" t="s">
        <v>401</v>
      </c>
      <c r="E716" s="256">
        <v>39</v>
      </c>
      <c r="F716" s="256">
        <v>35</v>
      </c>
      <c r="G716" s="256">
        <v>25</v>
      </c>
      <c r="H716" s="256">
        <v>28</v>
      </c>
      <c r="I716" s="256"/>
      <c r="J716" s="256">
        <v>31</v>
      </c>
      <c r="K716" s="256">
        <v>36</v>
      </c>
      <c r="L716" s="256">
        <v>25</v>
      </c>
      <c r="M716" s="256">
        <v>25</v>
      </c>
      <c r="N716" s="256"/>
      <c r="O716" s="256">
        <f t="shared" si="310"/>
        <v>127</v>
      </c>
      <c r="P716" s="256">
        <f t="shared" si="311"/>
        <v>117</v>
      </c>
      <c r="Q716" s="256" t="str">
        <f t="shared" si="312"/>
        <v>HW</v>
      </c>
      <c r="R716" s="256" t="str">
        <f t="shared" si="313"/>
        <v>HL</v>
      </c>
      <c r="S716" s="256" t="str">
        <f t="shared" si="314"/>
        <v>TT</v>
      </c>
      <c r="T716" s="256" t="str">
        <f t="shared" si="315"/>
        <v>HW</v>
      </c>
      <c r="U716" s="256" t="str">
        <f t="shared" si="316"/>
        <v>O</v>
      </c>
      <c r="V716" s="256" t="str">
        <f t="shared" si="317"/>
        <v>O</v>
      </c>
      <c r="W716" s="256" t="str">
        <f t="shared" si="318"/>
        <v>U</v>
      </c>
      <c r="X716" s="256" t="str">
        <f t="shared" si="319"/>
        <v>U</v>
      </c>
      <c r="Z716" s="3">
        <v>58</v>
      </c>
      <c r="AB716" s="256" t="str">
        <f t="shared" ref="AB716:AB726" si="322">C716&amp;"/"&amp;D716</f>
        <v>ATL/PHI</v>
      </c>
      <c r="AC716" s="256">
        <f t="shared" si="320"/>
        <v>2</v>
      </c>
      <c r="AD716" s="256">
        <f t="shared" si="321"/>
        <v>2</v>
      </c>
    </row>
    <row r="717" spans="1:30" x14ac:dyDescent="0.3">
      <c r="A717" s="256">
        <v>200131</v>
      </c>
      <c r="B717" s="257">
        <v>0.41666666666666669</v>
      </c>
      <c r="C717" s="256" t="s">
        <v>421</v>
      </c>
      <c r="D717" s="256" t="s">
        <v>425</v>
      </c>
      <c r="E717" s="256">
        <v>29</v>
      </c>
      <c r="F717" s="256">
        <v>31</v>
      </c>
      <c r="G717" s="256">
        <v>31</v>
      </c>
      <c r="H717" s="256">
        <v>28</v>
      </c>
      <c r="I717" s="256"/>
      <c r="J717" s="256">
        <v>22</v>
      </c>
      <c r="K717" s="256">
        <v>28</v>
      </c>
      <c r="L717" s="256">
        <v>29</v>
      </c>
      <c r="M717" s="256">
        <v>25</v>
      </c>
      <c r="N717" s="256"/>
      <c r="O717" s="256">
        <f t="shared" si="310"/>
        <v>119</v>
      </c>
      <c r="P717" s="256">
        <f t="shared" si="311"/>
        <v>104</v>
      </c>
      <c r="Q717" s="256" t="str">
        <f t="shared" si="312"/>
        <v>HW</v>
      </c>
      <c r="R717" s="256" t="str">
        <f t="shared" si="313"/>
        <v>HW</v>
      </c>
      <c r="S717" s="256" t="str">
        <f t="shared" si="314"/>
        <v>HW</v>
      </c>
      <c r="T717" s="256" t="str">
        <f t="shared" si="315"/>
        <v>HW</v>
      </c>
      <c r="U717" s="256" t="str">
        <f t="shared" si="316"/>
        <v>U</v>
      </c>
      <c r="V717" s="256" t="str">
        <f t="shared" si="317"/>
        <v>O</v>
      </c>
      <c r="W717" s="256" t="str">
        <f t="shared" si="318"/>
        <v>O</v>
      </c>
      <c r="X717" s="256" t="str">
        <f t="shared" si="319"/>
        <v>U</v>
      </c>
      <c r="Z717" s="3">
        <v>57</v>
      </c>
      <c r="AB717" s="256" t="str">
        <f t="shared" si="322"/>
        <v>BOS/GS</v>
      </c>
      <c r="AC717" s="256">
        <f t="shared" si="320"/>
        <v>2</v>
      </c>
      <c r="AD717" s="256">
        <f t="shared" si="321"/>
        <v>2</v>
      </c>
    </row>
    <row r="718" spans="1:30" x14ac:dyDescent="0.3">
      <c r="A718" s="256">
        <v>200131</v>
      </c>
      <c r="B718" s="257">
        <v>0.52083333333333337</v>
      </c>
      <c r="C718" s="256" t="s">
        <v>408</v>
      </c>
      <c r="D718" s="256" t="s">
        <v>405</v>
      </c>
      <c r="E718" s="256">
        <v>21</v>
      </c>
      <c r="F718" s="256">
        <v>22</v>
      </c>
      <c r="G718" s="256">
        <v>33</v>
      </c>
      <c r="H718" s="256">
        <v>30</v>
      </c>
      <c r="I718" s="256"/>
      <c r="J718" s="256">
        <v>23</v>
      </c>
      <c r="K718" s="256">
        <v>25</v>
      </c>
      <c r="L718" s="256">
        <v>22</v>
      </c>
      <c r="M718" s="256">
        <v>30</v>
      </c>
      <c r="N718" s="256"/>
      <c r="O718" s="256">
        <f t="shared" si="310"/>
        <v>106</v>
      </c>
      <c r="P718" s="256">
        <f t="shared" si="311"/>
        <v>100</v>
      </c>
      <c r="Q718" s="256" t="str">
        <f t="shared" si="312"/>
        <v>HL</v>
      </c>
      <c r="R718" s="256" t="str">
        <f t="shared" si="313"/>
        <v>HL</v>
      </c>
      <c r="S718" s="256" t="str">
        <f t="shared" si="314"/>
        <v>HW</v>
      </c>
      <c r="T718" s="256" t="str">
        <f t="shared" si="315"/>
        <v>TT</v>
      </c>
      <c r="U718" s="256" t="str">
        <f t="shared" si="316"/>
        <v>U</v>
      </c>
      <c r="V718" s="256" t="str">
        <f t="shared" si="317"/>
        <v>U</v>
      </c>
      <c r="W718" s="256" t="str">
        <f t="shared" si="318"/>
        <v>O</v>
      </c>
      <c r="X718" s="256" t="str">
        <f t="shared" si="319"/>
        <v>O</v>
      </c>
      <c r="Z718" s="3">
        <v>52.5</v>
      </c>
      <c r="AB718" s="256" t="str">
        <f t="shared" si="322"/>
        <v>DEN/UTA</v>
      </c>
      <c r="AC718" s="256">
        <f t="shared" si="320"/>
        <v>2</v>
      </c>
      <c r="AD718" s="256">
        <f t="shared" si="321"/>
        <v>2</v>
      </c>
    </row>
    <row r="719" spans="1:30" x14ac:dyDescent="0.3">
      <c r="A719" s="256">
        <v>200131</v>
      </c>
      <c r="B719" s="257">
        <v>0.52083333333333337</v>
      </c>
      <c r="C719" s="256" t="s">
        <v>415</v>
      </c>
      <c r="D719" s="256" t="s">
        <v>416</v>
      </c>
      <c r="E719" s="256">
        <v>33</v>
      </c>
      <c r="F719" s="256">
        <v>14</v>
      </c>
      <c r="G719" s="256">
        <v>24</v>
      </c>
      <c r="H719" s="256">
        <v>32</v>
      </c>
      <c r="I719" s="256"/>
      <c r="J719" s="256">
        <v>28</v>
      </c>
      <c r="K719" s="256">
        <v>36</v>
      </c>
      <c r="L719" s="256">
        <v>21</v>
      </c>
      <c r="M719" s="256">
        <v>39</v>
      </c>
      <c r="N719" s="256"/>
      <c r="O719" s="256">
        <f t="shared" si="310"/>
        <v>103</v>
      </c>
      <c r="P719" s="256">
        <f t="shared" si="311"/>
        <v>124</v>
      </c>
      <c r="Q719" s="256" t="str">
        <f t="shared" si="312"/>
        <v>HW</v>
      </c>
      <c r="R719" s="256" t="str">
        <f t="shared" si="313"/>
        <v>HL</v>
      </c>
      <c r="S719" s="256" t="str">
        <f t="shared" si="314"/>
        <v>HW</v>
      </c>
      <c r="T719" s="256" t="str">
        <f t="shared" si="315"/>
        <v>HL</v>
      </c>
      <c r="U719" s="256" t="str">
        <f t="shared" si="316"/>
        <v>O</v>
      </c>
      <c r="V719" s="256" t="str">
        <f t="shared" si="317"/>
        <v>U</v>
      </c>
      <c r="W719" s="256" t="str">
        <f t="shared" si="318"/>
        <v>U</v>
      </c>
      <c r="X719" s="256" t="str">
        <f t="shared" si="319"/>
        <v>O</v>
      </c>
      <c r="Z719" s="3">
        <v>57.5</v>
      </c>
      <c r="AB719" s="256" t="str">
        <f t="shared" si="322"/>
        <v>LAC/SAC</v>
      </c>
      <c r="AC719" s="256">
        <f t="shared" si="320"/>
        <v>2</v>
      </c>
      <c r="AD719" s="256">
        <f t="shared" si="321"/>
        <v>2</v>
      </c>
    </row>
    <row r="720" spans="1:30" x14ac:dyDescent="0.3">
      <c r="A720" s="256">
        <v>200201</v>
      </c>
      <c r="B720" s="257">
        <v>0.375</v>
      </c>
      <c r="C720" s="256" t="s">
        <v>422</v>
      </c>
      <c r="D720" s="256" t="s">
        <v>413</v>
      </c>
      <c r="E720" s="256">
        <v>20</v>
      </c>
      <c r="F720" s="256">
        <v>27</v>
      </c>
      <c r="G720" s="256">
        <v>22</v>
      </c>
      <c r="H720" s="256">
        <v>23</v>
      </c>
      <c r="I720" s="256"/>
      <c r="J720" s="256">
        <v>30</v>
      </c>
      <c r="K720" s="256">
        <v>30</v>
      </c>
      <c r="L720" s="256">
        <v>18</v>
      </c>
      <c r="M720" s="256">
        <v>27</v>
      </c>
      <c r="N720" s="256"/>
      <c r="O720" s="256">
        <f t="shared" si="310"/>
        <v>92</v>
      </c>
      <c r="P720" s="256">
        <f t="shared" si="311"/>
        <v>105</v>
      </c>
      <c r="Q720" s="256" t="str">
        <f t="shared" si="312"/>
        <v>HL</v>
      </c>
      <c r="R720" s="256" t="str">
        <f t="shared" si="313"/>
        <v>HL</v>
      </c>
      <c r="S720" s="256" t="str">
        <f t="shared" si="314"/>
        <v>HW</v>
      </c>
      <c r="T720" s="256" t="str">
        <f t="shared" si="315"/>
        <v>HL</v>
      </c>
      <c r="U720" s="256" t="str">
        <f t="shared" si="316"/>
        <v>U</v>
      </c>
      <c r="V720" s="256" t="str">
        <f t="shared" si="317"/>
        <v>T</v>
      </c>
      <c r="W720" s="256" t="str">
        <f t="shared" si="318"/>
        <v>U</v>
      </c>
      <c r="X720" s="256" t="str">
        <f t="shared" si="319"/>
        <v>U</v>
      </c>
      <c r="Z720" s="3">
        <v>57</v>
      </c>
      <c r="AB720" s="256" t="str">
        <f t="shared" si="322"/>
        <v>DET/TOR</v>
      </c>
      <c r="AC720" s="256">
        <f t="shared" si="320"/>
        <v>0</v>
      </c>
      <c r="AD720" s="256">
        <f t="shared" si="321"/>
        <v>3</v>
      </c>
    </row>
    <row r="721" spans="1:30" x14ac:dyDescent="0.3">
      <c r="A721" s="256">
        <v>200201</v>
      </c>
      <c r="B721" s="257">
        <v>0.39583333333333331</v>
      </c>
      <c r="C721" s="256" t="s">
        <v>403</v>
      </c>
      <c r="D721" s="256" t="s">
        <v>397</v>
      </c>
      <c r="E721" s="256">
        <v>35</v>
      </c>
      <c r="F721" s="256">
        <v>30</v>
      </c>
      <c r="G721" s="256">
        <v>36</v>
      </c>
      <c r="H721" s="256">
        <v>27</v>
      </c>
      <c r="I721" s="256"/>
      <c r="J721" s="256">
        <v>28</v>
      </c>
      <c r="K721" s="256">
        <v>32</v>
      </c>
      <c r="L721" s="256">
        <v>25</v>
      </c>
      <c r="M721" s="256">
        <v>36</v>
      </c>
      <c r="N721" s="256"/>
      <c r="O721" s="256">
        <f t="shared" si="310"/>
        <v>128</v>
      </c>
      <c r="P721" s="256">
        <f t="shared" si="311"/>
        <v>121</v>
      </c>
      <c r="Q721" s="256" t="str">
        <f t="shared" si="312"/>
        <v>HW</v>
      </c>
      <c r="R721" s="256" t="str">
        <f t="shared" si="313"/>
        <v>HL</v>
      </c>
      <c r="S721" s="256" t="str">
        <f t="shared" si="314"/>
        <v>HW</v>
      </c>
      <c r="T721" s="256" t="str">
        <f t="shared" si="315"/>
        <v>HL</v>
      </c>
      <c r="U721" s="256" t="str">
        <f t="shared" si="316"/>
        <v>O</v>
      </c>
      <c r="V721" s="256" t="str">
        <f t="shared" si="317"/>
        <v>O</v>
      </c>
      <c r="W721" s="256" t="str">
        <f t="shared" si="318"/>
        <v>O</v>
      </c>
      <c r="X721" s="256" t="str">
        <f t="shared" si="319"/>
        <v>O</v>
      </c>
      <c r="Z721" s="3">
        <v>59.5</v>
      </c>
      <c r="AB721" s="256" t="str">
        <f t="shared" si="322"/>
        <v>HOU/DAL</v>
      </c>
      <c r="AC721" s="256">
        <f t="shared" si="320"/>
        <v>4</v>
      </c>
      <c r="AD721" s="256">
        <f t="shared" si="321"/>
        <v>0</v>
      </c>
    </row>
    <row r="722" spans="1:30" x14ac:dyDescent="0.3">
      <c r="A722" s="256">
        <v>200201</v>
      </c>
      <c r="B722" s="257">
        <v>0.39583333333333331</v>
      </c>
      <c r="C722" s="256" t="s">
        <v>407</v>
      </c>
      <c r="D722" s="256" t="s">
        <v>412</v>
      </c>
      <c r="E722" s="256">
        <v>35</v>
      </c>
      <c r="F722" s="256">
        <v>38</v>
      </c>
      <c r="G722" s="256">
        <v>30</v>
      </c>
      <c r="H722" s="256">
        <v>30</v>
      </c>
      <c r="I722" s="256"/>
      <c r="J722" s="256">
        <v>23</v>
      </c>
      <c r="K722" s="256">
        <v>34</v>
      </c>
      <c r="L722" s="256">
        <v>39</v>
      </c>
      <c r="M722" s="256">
        <v>22</v>
      </c>
      <c r="N722" s="256"/>
      <c r="O722" s="256">
        <f t="shared" si="310"/>
        <v>133</v>
      </c>
      <c r="P722" s="256">
        <f t="shared" si="311"/>
        <v>118</v>
      </c>
      <c r="Q722" s="256" t="str">
        <f t="shared" si="312"/>
        <v>HW</v>
      </c>
      <c r="R722" s="256" t="str">
        <f t="shared" si="313"/>
        <v>HW</v>
      </c>
      <c r="S722" s="256" t="str">
        <f t="shared" si="314"/>
        <v>HL</v>
      </c>
      <c r="T722" s="256" t="str">
        <f t="shared" si="315"/>
        <v>HW</v>
      </c>
      <c r="U722" s="256" t="str">
        <f t="shared" si="316"/>
        <v>O</v>
      </c>
      <c r="V722" s="256" t="str">
        <f t="shared" si="317"/>
        <v>O</v>
      </c>
      <c r="W722" s="256" t="str">
        <f t="shared" si="318"/>
        <v>O</v>
      </c>
      <c r="X722" s="256" t="str">
        <f t="shared" si="319"/>
        <v>U</v>
      </c>
      <c r="Z722" s="3">
        <v>56.5</v>
      </c>
      <c r="AB722" s="256" t="str">
        <f t="shared" si="322"/>
        <v>BKN/CHI</v>
      </c>
      <c r="AC722" s="256">
        <f t="shared" si="320"/>
        <v>3</v>
      </c>
      <c r="AD722" s="256">
        <f t="shared" si="321"/>
        <v>1</v>
      </c>
    </row>
    <row r="723" spans="1:30" x14ac:dyDescent="0.3">
      <c r="A723" s="256">
        <v>200201</v>
      </c>
      <c r="B723" s="257">
        <v>0.41666666666666669</v>
      </c>
      <c r="C723" s="256" t="s">
        <v>398</v>
      </c>
      <c r="D723" s="256" t="s">
        <v>406</v>
      </c>
      <c r="E723" s="256">
        <v>31</v>
      </c>
      <c r="F723" s="256">
        <v>35</v>
      </c>
      <c r="G723" s="256">
        <v>44</v>
      </c>
      <c r="H723" s="256">
        <v>29</v>
      </c>
      <c r="I723" s="256"/>
      <c r="J723" s="256">
        <v>22</v>
      </c>
      <c r="K723" s="256">
        <v>37</v>
      </c>
      <c r="L723" s="256">
        <v>27</v>
      </c>
      <c r="M723" s="256">
        <v>25</v>
      </c>
      <c r="N723" s="256"/>
      <c r="O723" s="256">
        <f t="shared" si="310"/>
        <v>139</v>
      </c>
      <c r="P723" s="256">
        <f t="shared" si="311"/>
        <v>111</v>
      </c>
      <c r="Q723" s="256" t="str">
        <f t="shared" si="312"/>
        <v>HW</v>
      </c>
      <c r="R723" s="256" t="str">
        <f t="shared" si="313"/>
        <v>HL</v>
      </c>
      <c r="S723" s="256" t="str">
        <f t="shared" si="314"/>
        <v>HW</v>
      </c>
      <c r="T723" s="256" t="str">
        <f t="shared" si="315"/>
        <v>HW</v>
      </c>
      <c r="U723" s="256" t="str">
        <f t="shared" si="316"/>
        <v>U</v>
      </c>
      <c r="V723" s="256" t="str">
        <f t="shared" si="317"/>
        <v>O</v>
      </c>
      <c r="W723" s="256" t="str">
        <f t="shared" si="318"/>
        <v>O</v>
      </c>
      <c r="X723" s="256" t="str">
        <f t="shared" si="319"/>
        <v>U</v>
      </c>
      <c r="Z723" s="3">
        <v>59.5</v>
      </c>
      <c r="AB723" s="256" t="str">
        <f t="shared" si="322"/>
        <v>NO/MEM</v>
      </c>
      <c r="AC723" s="256">
        <f t="shared" si="320"/>
        <v>2</v>
      </c>
      <c r="AD723" s="256">
        <f t="shared" si="321"/>
        <v>2</v>
      </c>
    </row>
    <row r="724" spans="1:30" x14ac:dyDescent="0.3">
      <c r="A724" s="256">
        <v>200201</v>
      </c>
      <c r="B724" s="257">
        <v>0.45833333333333331</v>
      </c>
      <c r="C724" s="256" t="s">
        <v>423</v>
      </c>
      <c r="D724" s="256" t="s">
        <v>408</v>
      </c>
      <c r="E724" s="256">
        <v>43</v>
      </c>
      <c r="F724" s="256">
        <v>24</v>
      </c>
      <c r="G724" s="256">
        <v>24</v>
      </c>
      <c r="H724" s="256">
        <v>24</v>
      </c>
      <c r="I724" s="256"/>
      <c r="J724" s="256">
        <v>35</v>
      </c>
      <c r="K724" s="256">
        <v>25</v>
      </c>
      <c r="L724" s="256">
        <v>40</v>
      </c>
      <c r="M724" s="256">
        <v>27</v>
      </c>
      <c r="N724" s="256"/>
      <c r="O724" s="256">
        <f t="shared" si="310"/>
        <v>115</v>
      </c>
      <c r="P724" s="256">
        <f t="shared" si="311"/>
        <v>127</v>
      </c>
      <c r="Q724" s="256" t="str">
        <f t="shared" si="312"/>
        <v>HW</v>
      </c>
      <c r="R724" s="256" t="str">
        <f t="shared" si="313"/>
        <v>HL</v>
      </c>
      <c r="S724" s="256" t="str">
        <f t="shared" si="314"/>
        <v>HL</v>
      </c>
      <c r="T724" s="256" t="str">
        <f t="shared" si="315"/>
        <v>HL</v>
      </c>
      <c r="U724" s="256" t="str">
        <f t="shared" si="316"/>
        <v>O</v>
      </c>
      <c r="V724" s="256" t="str">
        <f t="shared" si="317"/>
        <v>U</v>
      </c>
      <c r="W724" s="256" t="str">
        <f t="shared" si="318"/>
        <v>O</v>
      </c>
      <c r="X724" s="256" t="str">
        <f t="shared" si="319"/>
        <v>U</v>
      </c>
      <c r="Z724" s="3">
        <v>57.5</v>
      </c>
      <c r="AB724" s="256" t="str">
        <f t="shared" si="322"/>
        <v>MIL/DEN</v>
      </c>
      <c r="AC724" s="256">
        <f t="shared" si="320"/>
        <v>2</v>
      </c>
      <c r="AD724" s="256">
        <f t="shared" si="321"/>
        <v>2</v>
      </c>
    </row>
    <row r="725" spans="1:30" x14ac:dyDescent="0.3">
      <c r="A725" s="256">
        <v>200201</v>
      </c>
      <c r="B725" s="257">
        <v>0.45833333333333331</v>
      </c>
      <c r="C725" s="256" t="s">
        <v>404</v>
      </c>
      <c r="D725" s="256" t="s">
        <v>418</v>
      </c>
      <c r="E725" s="256">
        <v>27</v>
      </c>
      <c r="F725" s="256">
        <v>25</v>
      </c>
      <c r="G725" s="256">
        <v>29</v>
      </c>
      <c r="H725" s="256">
        <v>26</v>
      </c>
      <c r="I725" s="256"/>
      <c r="J725" s="256">
        <v>25</v>
      </c>
      <c r="K725" s="256">
        <v>28</v>
      </c>
      <c r="L725" s="256">
        <v>26</v>
      </c>
      <c r="M725" s="256">
        <v>32</v>
      </c>
      <c r="N725" s="256"/>
      <c r="O725" s="256">
        <f t="shared" si="310"/>
        <v>107</v>
      </c>
      <c r="P725" s="256">
        <f t="shared" si="311"/>
        <v>111</v>
      </c>
      <c r="Q725" s="256" t="str">
        <f t="shared" si="312"/>
        <v>HW</v>
      </c>
      <c r="R725" s="256" t="str">
        <f t="shared" si="313"/>
        <v>HL</v>
      </c>
      <c r="S725" s="256" t="str">
        <f t="shared" si="314"/>
        <v>HW</v>
      </c>
      <c r="T725" s="256" t="str">
        <f t="shared" si="315"/>
        <v>HL</v>
      </c>
      <c r="U725" s="256" t="str">
        <f t="shared" si="316"/>
        <v>U</v>
      </c>
      <c r="V725" s="256" t="str">
        <f t="shared" si="317"/>
        <v>U</v>
      </c>
      <c r="W725" s="256" t="str">
        <f t="shared" si="318"/>
        <v>U</v>
      </c>
      <c r="X725" s="256" t="str">
        <f t="shared" si="319"/>
        <v>O</v>
      </c>
      <c r="Z725" s="3">
        <v>56.5</v>
      </c>
      <c r="AB725" s="256" t="str">
        <f t="shared" si="322"/>
        <v>PHO/OKC</v>
      </c>
      <c r="AC725" s="256">
        <f t="shared" si="320"/>
        <v>1</v>
      </c>
      <c r="AD725" s="256">
        <f t="shared" si="321"/>
        <v>3</v>
      </c>
    </row>
    <row r="726" spans="1:30" x14ac:dyDescent="0.3">
      <c r="A726" s="256">
        <v>200201</v>
      </c>
      <c r="B726" s="257">
        <v>0.52083333333333337</v>
      </c>
      <c r="C726" s="256" t="s">
        <v>419</v>
      </c>
      <c r="D726" s="256" t="s">
        <v>417</v>
      </c>
      <c r="E726" s="256">
        <v>36</v>
      </c>
      <c r="F726" s="256">
        <v>26</v>
      </c>
      <c r="G726" s="256">
        <v>34</v>
      </c>
      <c r="H726" s="256">
        <v>23</v>
      </c>
      <c r="I726" s="256"/>
      <c r="J726" s="256">
        <v>38</v>
      </c>
      <c r="K726" s="256">
        <v>22</v>
      </c>
      <c r="L726" s="256">
        <v>43</v>
      </c>
      <c r="M726" s="256">
        <v>24</v>
      </c>
      <c r="N726" s="256"/>
      <c r="O726" s="256">
        <f t="shared" si="310"/>
        <v>119</v>
      </c>
      <c r="P726" s="256">
        <f t="shared" si="311"/>
        <v>127</v>
      </c>
      <c r="Q726" s="256" t="str">
        <f t="shared" si="312"/>
        <v>HL</v>
      </c>
      <c r="R726" s="256" t="str">
        <f t="shared" si="313"/>
        <v>HW</v>
      </c>
      <c r="S726" s="256" t="str">
        <f t="shared" si="314"/>
        <v>HL</v>
      </c>
      <c r="T726" s="256" t="str">
        <f t="shared" si="315"/>
        <v>HL</v>
      </c>
      <c r="U726" s="256" t="str">
        <f t="shared" si="316"/>
        <v>O</v>
      </c>
      <c r="V726" s="256" t="str">
        <f t="shared" si="317"/>
        <v>U</v>
      </c>
      <c r="W726" s="256" t="str">
        <f t="shared" si="318"/>
        <v>O</v>
      </c>
      <c r="X726" s="256" t="str">
        <f t="shared" si="319"/>
        <v>U</v>
      </c>
      <c r="Z726" s="3">
        <v>58.5</v>
      </c>
      <c r="AB726" s="256" t="str">
        <f t="shared" si="322"/>
        <v>LAL/POR</v>
      </c>
      <c r="AC726" s="256">
        <f t="shared" si="320"/>
        <v>2</v>
      </c>
      <c r="AD726" s="256">
        <f t="shared" si="321"/>
        <v>2</v>
      </c>
    </row>
  </sheetData>
  <autoFilter ref="AB1:AB4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23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6.5" x14ac:dyDescent="0.3"/>
  <cols>
    <col min="3" max="4" width="9" style="5"/>
    <col min="5" max="8" width="4.5" bestFit="1" customWidth="1"/>
    <col min="9" max="9" width="4.125" bestFit="1" customWidth="1"/>
    <col min="10" max="13" width="4.375" bestFit="1" customWidth="1"/>
    <col min="14" max="14" width="4.125" bestFit="1" customWidth="1"/>
    <col min="27" max="27" width="10.875" bestFit="1" customWidth="1"/>
  </cols>
  <sheetData>
    <row r="1" spans="1:27" s="3" customFormat="1" x14ac:dyDescent="0.45">
      <c r="A1" s="3" t="s">
        <v>0</v>
      </c>
      <c r="B1" s="3" t="s">
        <v>55</v>
      </c>
      <c r="C1" s="5" t="s">
        <v>1</v>
      </c>
      <c r="D1" s="5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152</v>
      </c>
    </row>
    <row r="2" spans="1:27" x14ac:dyDescent="0.3">
      <c r="A2" s="256">
        <v>200116</v>
      </c>
      <c r="B2" s="44">
        <v>0.375</v>
      </c>
      <c r="C2" s="256" t="s">
        <v>421</v>
      </c>
      <c r="D2" s="256" t="s">
        <v>422</v>
      </c>
      <c r="E2" s="256">
        <v>24</v>
      </c>
      <c r="F2" s="256">
        <v>35</v>
      </c>
      <c r="G2" s="256">
        <v>23</v>
      </c>
      <c r="H2" s="256">
        <v>21</v>
      </c>
      <c r="I2" s="256"/>
      <c r="J2" s="256">
        <v>27</v>
      </c>
      <c r="K2" s="256">
        <v>30</v>
      </c>
      <c r="L2" s="256">
        <v>34</v>
      </c>
      <c r="M2" s="256">
        <v>25</v>
      </c>
      <c r="N2" s="256"/>
      <c r="O2" s="256">
        <f t="shared" ref="O2:O65" si="0">SUM(E2:I2)</f>
        <v>103</v>
      </c>
      <c r="P2" s="256">
        <f t="shared" ref="P2:P65" si="1">SUM(J2:N2)</f>
        <v>116</v>
      </c>
      <c r="Q2" s="256" t="str">
        <f t="shared" ref="Q2:Q65" si="2">IF(E2=J2,"TT",IF(E2&gt;J2,"HW","HL"))</f>
        <v>HL</v>
      </c>
      <c r="R2" s="256" t="str">
        <f t="shared" ref="R2:R65" si="3">IF(F2=K2,"TT",IF(F2&gt;K2,"HW","HL"))</f>
        <v>HW</v>
      </c>
      <c r="S2" s="256" t="str">
        <f t="shared" ref="S2:S65" si="4">IF(G2=L2,"TT",IF(G2&gt;L2,"HW","HL"))</f>
        <v>HL</v>
      </c>
      <c r="T2" s="256" t="str">
        <f t="shared" ref="T2:T65" si="5">IF(H2=M2,"TT",IF(H2&gt;M2,"HW","HL"))</f>
        <v>HL</v>
      </c>
      <c r="U2" s="256" t="str">
        <f t="shared" ref="U2:U65" si="6">IF(SUM(E2,J2)=$Z2,"T",IF(SUM(E2,J2)&gt;$Z2,"O","U"))</f>
        <v>U</v>
      </c>
      <c r="V2" s="256" t="str">
        <f t="shared" ref="V2:V65" si="7">IF(SUM(F2,K2)=$Z2,"T",IF(SUM(F2,K2)&gt;$Z2,"O","U"))</f>
        <v>O</v>
      </c>
      <c r="W2" s="256" t="str">
        <f t="shared" ref="W2:W65" si="8">IF(SUM(G2,L2)=$Z2,"T",IF(SUM(G2,L2)&gt;$Z2,"O","U"))</f>
        <v>O</v>
      </c>
      <c r="X2" s="256" t="str">
        <f t="shared" ref="X2:X65" si="9">IF(SUM(H2,M2)=$Z2,"T",IF(SUM(H2,M2)&gt;$Z2,"O","U"))</f>
        <v>U</v>
      </c>
      <c r="Z2">
        <v>55</v>
      </c>
      <c r="AA2" s="256" t="str">
        <f t="shared" ref="AA2:AA59" si="10">C2&amp;"/"&amp;D2</f>
        <v>BOS/DET</v>
      </c>
    </row>
    <row r="3" spans="1:27" x14ac:dyDescent="0.3">
      <c r="A3" s="256">
        <v>200116</v>
      </c>
      <c r="B3" s="44">
        <v>0.375</v>
      </c>
      <c r="C3" s="11" t="s">
        <v>401</v>
      </c>
      <c r="D3" s="11" t="s">
        <v>407</v>
      </c>
      <c r="E3" s="256">
        <v>25</v>
      </c>
      <c r="F3" s="256">
        <v>29</v>
      </c>
      <c r="G3" s="256">
        <v>32</v>
      </c>
      <c r="H3" s="256">
        <v>31</v>
      </c>
      <c r="I3" s="256"/>
      <c r="J3" s="256">
        <v>28</v>
      </c>
      <c r="K3" s="256">
        <v>29</v>
      </c>
      <c r="L3" s="256">
        <v>33</v>
      </c>
      <c r="M3" s="256">
        <v>16</v>
      </c>
      <c r="N3" s="256" t="s">
        <v>427</v>
      </c>
      <c r="O3" s="256">
        <f t="shared" si="0"/>
        <v>117</v>
      </c>
      <c r="P3" s="256">
        <f t="shared" si="1"/>
        <v>106</v>
      </c>
      <c r="Q3" s="256" t="str">
        <f t="shared" si="2"/>
        <v>HL</v>
      </c>
      <c r="R3" s="256" t="str">
        <f t="shared" si="3"/>
        <v>TT</v>
      </c>
      <c r="S3" s="256" t="str">
        <f t="shared" si="4"/>
        <v>HL</v>
      </c>
      <c r="T3" s="256" t="str">
        <f t="shared" si="5"/>
        <v>HW</v>
      </c>
      <c r="U3" s="256" t="str">
        <f t="shared" si="6"/>
        <v>U</v>
      </c>
      <c r="V3" s="256" t="str">
        <f t="shared" si="7"/>
        <v>O</v>
      </c>
      <c r="W3" s="256" t="str">
        <f t="shared" si="8"/>
        <v>O</v>
      </c>
      <c r="X3" s="256" t="str">
        <f t="shared" si="9"/>
        <v>U</v>
      </c>
      <c r="Z3">
        <v>56</v>
      </c>
      <c r="AA3" s="256" t="str">
        <f t="shared" si="10"/>
        <v>PHI/BKN</v>
      </c>
    </row>
    <row r="4" spans="1:27" x14ac:dyDescent="0.3">
      <c r="A4" s="256">
        <v>200116</v>
      </c>
      <c r="B4" s="44">
        <v>0.39583333333333331</v>
      </c>
      <c r="C4" s="256" t="s">
        <v>411</v>
      </c>
      <c r="D4" s="256" t="s">
        <v>426</v>
      </c>
      <c r="E4" s="256">
        <v>24</v>
      </c>
      <c r="F4" s="256">
        <v>27</v>
      </c>
      <c r="G4" s="256">
        <v>24</v>
      </c>
      <c r="H4" s="256">
        <v>31</v>
      </c>
      <c r="I4" s="256"/>
      <c r="J4" s="256">
        <v>17</v>
      </c>
      <c r="K4" s="256">
        <v>34</v>
      </c>
      <c r="L4" s="256">
        <v>26</v>
      </c>
      <c r="M4" s="256">
        <v>23</v>
      </c>
      <c r="N4" s="256" t="s">
        <v>427</v>
      </c>
      <c r="O4" s="256">
        <f t="shared" si="0"/>
        <v>106</v>
      </c>
      <c r="P4" s="256">
        <f t="shared" si="1"/>
        <v>100</v>
      </c>
      <c r="Q4" s="256" t="str">
        <f t="shared" si="2"/>
        <v>HW</v>
      </c>
      <c r="R4" s="256" t="str">
        <f t="shared" si="3"/>
        <v>HL</v>
      </c>
      <c r="S4" s="256" t="str">
        <f t="shared" si="4"/>
        <v>HL</v>
      </c>
      <c r="T4" s="256" t="str">
        <f t="shared" si="5"/>
        <v>HW</v>
      </c>
      <c r="U4" s="256" t="str">
        <f t="shared" si="6"/>
        <v>U</v>
      </c>
      <c r="V4" s="256" t="str">
        <f t="shared" si="7"/>
        <v>O</v>
      </c>
      <c r="W4" s="256" t="str">
        <f t="shared" si="8"/>
        <v>U</v>
      </c>
      <c r="X4" s="256" t="str">
        <f t="shared" si="9"/>
        <v>U</v>
      </c>
      <c r="Z4">
        <v>55.5</v>
      </c>
      <c r="AA4" s="256" t="str">
        <f t="shared" si="10"/>
        <v>MIA/SAS</v>
      </c>
    </row>
    <row r="5" spans="1:27" x14ac:dyDescent="0.3">
      <c r="A5" s="256">
        <v>200116</v>
      </c>
      <c r="B5" s="44">
        <v>0.41666666666666669</v>
      </c>
      <c r="C5" s="256" t="s">
        <v>32</v>
      </c>
      <c r="D5" s="256" t="s">
        <v>414</v>
      </c>
      <c r="E5" s="256">
        <v>24</v>
      </c>
      <c r="F5" s="256">
        <v>31</v>
      </c>
      <c r="G5" s="256">
        <v>30</v>
      </c>
      <c r="H5" s="256">
        <v>30</v>
      </c>
      <c r="I5" s="256"/>
      <c r="J5" s="256">
        <v>26</v>
      </c>
      <c r="K5" s="256">
        <v>34</v>
      </c>
      <c r="L5" s="256">
        <v>20</v>
      </c>
      <c r="M5" s="256">
        <v>26</v>
      </c>
      <c r="N5" s="256"/>
      <c r="O5" s="256">
        <f t="shared" si="0"/>
        <v>115</v>
      </c>
      <c r="P5" s="256">
        <f t="shared" si="1"/>
        <v>106</v>
      </c>
      <c r="Q5" s="256" t="str">
        <f t="shared" si="2"/>
        <v>HL</v>
      </c>
      <c r="R5" s="256" t="str">
        <f t="shared" si="3"/>
        <v>HL</v>
      </c>
      <c r="S5" s="256" t="str">
        <f t="shared" si="4"/>
        <v>HW</v>
      </c>
      <c r="T5" s="256" t="str">
        <f t="shared" si="5"/>
        <v>HW</v>
      </c>
      <c r="U5" s="256" t="str">
        <f t="shared" si="6"/>
        <v>U</v>
      </c>
      <c r="V5" s="256" t="str">
        <f t="shared" si="7"/>
        <v>O</v>
      </c>
      <c r="W5" s="256" t="str">
        <f t="shared" si="8"/>
        <v>U</v>
      </c>
      <c r="X5" s="256" t="str">
        <f t="shared" si="9"/>
        <v>U</v>
      </c>
      <c r="Z5">
        <v>57.5</v>
      </c>
      <c r="AA5" s="256" t="str">
        <f t="shared" si="10"/>
        <v>CHI/WAS</v>
      </c>
    </row>
    <row r="6" spans="1:27" x14ac:dyDescent="0.3">
      <c r="A6" s="256">
        <v>200116</v>
      </c>
      <c r="B6" s="44">
        <v>0.41666666666666669</v>
      </c>
      <c r="C6" s="256" t="s">
        <v>420</v>
      </c>
      <c r="D6" s="256" t="s">
        <v>400</v>
      </c>
      <c r="E6" s="256">
        <v>30</v>
      </c>
      <c r="F6" s="256">
        <v>29</v>
      </c>
      <c r="G6" s="256">
        <v>18</v>
      </c>
      <c r="H6" s="256">
        <v>22</v>
      </c>
      <c r="I6" s="256"/>
      <c r="J6" s="256">
        <v>24</v>
      </c>
      <c r="K6" s="256">
        <v>30</v>
      </c>
      <c r="L6" s="256">
        <v>22</v>
      </c>
      <c r="M6" s="256">
        <v>28</v>
      </c>
      <c r="N6" s="256" t="s">
        <v>427</v>
      </c>
      <c r="O6" s="256">
        <f t="shared" si="0"/>
        <v>99</v>
      </c>
      <c r="P6" s="256">
        <f t="shared" si="1"/>
        <v>104</v>
      </c>
      <c r="Q6" s="256" t="str">
        <f t="shared" si="2"/>
        <v>HW</v>
      </c>
      <c r="R6" s="256" t="str">
        <f t="shared" si="3"/>
        <v>HL</v>
      </c>
      <c r="S6" s="256" t="str">
        <f t="shared" si="4"/>
        <v>HL</v>
      </c>
      <c r="T6" s="256" t="str">
        <f t="shared" si="5"/>
        <v>HL</v>
      </c>
      <c r="U6" s="256" t="str">
        <f t="shared" si="6"/>
        <v>U</v>
      </c>
      <c r="V6" s="256" t="str">
        <f t="shared" si="7"/>
        <v>O</v>
      </c>
      <c r="W6" s="256" t="str">
        <f t="shared" si="8"/>
        <v>U</v>
      </c>
      <c r="X6" s="256" t="str">
        <f t="shared" si="9"/>
        <v>U</v>
      </c>
      <c r="Z6">
        <v>55</v>
      </c>
      <c r="AA6" s="256" t="str">
        <f t="shared" si="10"/>
        <v>MIN/IND</v>
      </c>
    </row>
    <row r="7" spans="1:27" x14ac:dyDescent="0.3">
      <c r="A7" s="256">
        <v>200116</v>
      </c>
      <c r="B7" s="44">
        <v>0.41666666666666669</v>
      </c>
      <c r="C7" s="14" t="s">
        <v>418</v>
      </c>
      <c r="D7" s="14" t="s">
        <v>413</v>
      </c>
      <c r="E7" s="256">
        <v>25</v>
      </c>
      <c r="F7" s="256">
        <v>30</v>
      </c>
      <c r="G7" s="256">
        <v>28</v>
      </c>
      <c r="H7" s="256">
        <v>38</v>
      </c>
      <c r="I7" s="256"/>
      <c r="J7" s="256">
        <v>38</v>
      </c>
      <c r="K7" s="256">
        <v>35</v>
      </c>
      <c r="L7" s="256">
        <v>24</v>
      </c>
      <c r="M7" s="256">
        <v>33</v>
      </c>
      <c r="N7" s="256" t="s">
        <v>427</v>
      </c>
      <c r="O7" s="256">
        <f t="shared" si="0"/>
        <v>121</v>
      </c>
      <c r="P7" s="256">
        <f t="shared" si="1"/>
        <v>130</v>
      </c>
      <c r="Q7" s="256" t="str">
        <f t="shared" si="2"/>
        <v>HL</v>
      </c>
      <c r="R7" s="256" t="str">
        <f t="shared" si="3"/>
        <v>HL</v>
      </c>
      <c r="S7" s="256" t="str">
        <f t="shared" si="4"/>
        <v>HW</v>
      </c>
      <c r="T7" s="256" t="str">
        <f t="shared" si="5"/>
        <v>HW</v>
      </c>
      <c r="U7" s="256" t="str">
        <f t="shared" si="6"/>
        <v>O</v>
      </c>
      <c r="V7" s="256" t="str">
        <f t="shared" si="7"/>
        <v>O</v>
      </c>
      <c r="W7" s="256" t="str">
        <f t="shared" si="8"/>
        <v>U</v>
      </c>
      <c r="X7" s="256" t="str">
        <f t="shared" si="9"/>
        <v>O</v>
      </c>
      <c r="Z7">
        <v>53.5</v>
      </c>
      <c r="AA7" s="256" t="str">
        <f t="shared" si="10"/>
        <v>OKC/TOR</v>
      </c>
    </row>
    <row r="8" spans="1:27" x14ac:dyDescent="0.3">
      <c r="A8" s="256">
        <v>200116</v>
      </c>
      <c r="B8" s="257">
        <v>0.45833333333333331</v>
      </c>
      <c r="C8" s="256" t="s">
        <v>87</v>
      </c>
      <c r="D8" s="256" t="s">
        <v>409</v>
      </c>
      <c r="E8" s="256">
        <v>28</v>
      </c>
      <c r="F8" s="256">
        <v>29</v>
      </c>
      <c r="G8" s="256">
        <v>17</v>
      </c>
      <c r="H8" s="256">
        <v>26</v>
      </c>
      <c r="I8" s="256"/>
      <c r="J8" s="256">
        <v>25</v>
      </c>
      <c r="K8" s="256">
        <v>17</v>
      </c>
      <c r="L8" s="256">
        <v>27</v>
      </c>
      <c r="M8" s="256">
        <v>17</v>
      </c>
      <c r="N8" s="256"/>
      <c r="O8" s="256">
        <f t="shared" si="0"/>
        <v>100</v>
      </c>
      <c r="P8" s="256">
        <f t="shared" si="1"/>
        <v>86</v>
      </c>
      <c r="Q8" s="256" t="str">
        <f t="shared" si="2"/>
        <v>HW</v>
      </c>
      <c r="R8" s="256" t="str">
        <f t="shared" si="3"/>
        <v>HW</v>
      </c>
      <c r="S8" s="256" t="str">
        <f t="shared" si="4"/>
        <v>HL</v>
      </c>
      <c r="T8" s="256" t="str">
        <f t="shared" si="5"/>
        <v>HW</v>
      </c>
      <c r="U8" s="256" t="str">
        <f t="shared" si="6"/>
        <v>T</v>
      </c>
      <c r="V8" s="256" t="str">
        <f t="shared" si="7"/>
        <v>U</v>
      </c>
      <c r="W8" s="256" t="str">
        <f t="shared" si="8"/>
        <v>U</v>
      </c>
      <c r="X8" s="256" t="str">
        <f t="shared" si="9"/>
        <v>U</v>
      </c>
      <c r="Z8">
        <v>53</v>
      </c>
      <c r="AA8" s="256" t="str">
        <f t="shared" si="10"/>
        <v>DEN/CHA</v>
      </c>
    </row>
    <row r="9" spans="1:27" x14ac:dyDescent="0.3">
      <c r="A9" s="256">
        <v>200116</v>
      </c>
      <c r="B9" s="257">
        <v>0.47916666666666669</v>
      </c>
      <c r="C9" s="256" t="s">
        <v>403</v>
      </c>
      <c r="D9" s="256" t="s">
        <v>417</v>
      </c>
      <c r="E9" s="256">
        <v>26</v>
      </c>
      <c r="F9" s="256">
        <v>21</v>
      </c>
      <c r="G9" s="256">
        <v>30</v>
      </c>
      <c r="H9" s="256">
        <v>30</v>
      </c>
      <c r="I9" s="256"/>
      <c r="J9" s="256">
        <v>28</v>
      </c>
      <c r="K9" s="256">
        <v>32</v>
      </c>
      <c r="L9" s="256">
        <v>30</v>
      </c>
      <c r="M9" s="256">
        <v>27</v>
      </c>
      <c r="N9" s="256"/>
      <c r="O9" s="256">
        <f t="shared" si="0"/>
        <v>107</v>
      </c>
      <c r="P9" s="256">
        <f t="shared" si="1"/>
        <v>117</v>
      </c>
      <c r="Q9" s="256" t="str">
        <f t="shared" si="2"/>
        <v>HL</v>
      </c>
      <c r="R9" s="256" t="str">
        <f t="shared" si="3"/>
        <v>HL</v>
      </c>
      <c r="S9" s="256" t="str">
        <f t="shared" si="4"/>
        <v>TT</v>
      </c>
      <c r="T9" s="256" t="str">
        <f t="shared" si="5"/>
        <v>HW</v>
      </c>
      <c r="U9" s="256" t="str">
        <f t="shared" si="6"/>
        <v>U</v>
      </c>
      <c r="V9" s="256" t="str">
        <f t="shared" si="7"/>
        <v>U</v>
      </c>
      <c r="W9" s="256" t="str">
        <f t="shared" si="8"/>
        <v>O</v>
      </c>
      <c r="X9" s="256" t="str">
        <f t="shared" si="9"/>
        <v>U</v>
      </c>
      <c r="Z9">
        <v>59.5</v>
      </c>
      <c r="AA9" s="256" t="str">
        <f t="shared" si="10"/>
        <v>HOU/POR</v>
      </c>
    </row>
    <row r="10" spans="1:27" x14ac:dyDescent="0.3">
      <c r="A10" s="256">
        <v>200116</v>
      </c>
      <c r="B10" s="44">
        <v>0.5</v>
      </c>
      <c r="C10" s="11" t="s">
        <v>416</v>
      </c>
      <c r="D10" s="11" t="s">
        <v>397</v>
      </c>
      <c r="E10" s="256">
        <v>31</v>
      </c>
      <c r="F10" s="256">
        <v>36</v>
      </c>
      <c r="G10" s="256">
        <v>26</v>
      </c>
      <c r="H10" s="256">
        <v>30</v>
      </c>
      <c r="I10" s="256"/>
      <c r="J10" s="256">
        <v>35</v>
      </c>
      <c r="K10" s="256">
        <v>36</v>
      </c>
      <c r="L10" s="256">
        <v>37</v>
      </c>
      <c r="M10" s="256">
        <v>19</v>
      </c>
      <c r="N10" s="256" t="s">
        <v>427</v>
      </c>
      <c r="O10" s="256">
        <f t="shared" si="0"/>
        <v>123</v>
      </c>
      <c r="P10" s="256">
        <f t="shared" si="1"/>
        <v>127</v>
      </c>
      <c r="Q10" s="256" t="str">
        <f t="shared" si="2"/>
        <v>HL</v>
      </c>
      <c r="R10" s="256" t="str">
        <f t="shared" si="3"/>
        <v>TT</v>
      </c>
      <c r="S10" s="256" t="str">
        <f t="shared" si="4"/>
        <v>HL</v>
      </c>
      <c r="T10" s="256" t="str">
        <f t="shared" si="5"/>
        <v>HW</v>
      </c>
      <c r="U10" s="256" t="str">
        <f t="shared" si="6"/>
        <v>O</v>
      </c>
      <c r="V10" s="256" t="str">
        <f t="shared" si="7"/>
        <v>O</v>
      </c>
      <c r="W10" s="256" t="str">
        <f t="shared" si="8"/>
        <v>O</v>
      </c>
      <c r="X10" s="256" t="str">
        <f t="shared" si="9"/>
        <v>U</v>
      </c>
      <c r="Z10">
        <v>56.5</v>
      </c>
      <c r="AA10" s="256" t="str">
        <f t="shared" si="10"/>
        <v>SAC/DAL</v>
      </c>
    </row>
    <row r="11" spans="1:27" x14ac:dyDescent="0.3">
      <c r="A11" s="256">
        <v>200116</v>
      </c>
      <c r="B11" s="44">
        <v>0.52083333333333337</v>
      </c>
      <c r="C11" s="11" t="s">
        <v>419</v>
      </c>
      <c r="D11" s="11" t="s">
        <v>424</v>
      </c>
      <c r="E11" s="256">
        <v>29</v>
      </c>
      <c r="F11" s="256">
        <v>29</v>
      </c>
      <c r="G11" s="256">
        <v>30</v>
      </c>
      <c r="H11" s="256">
        <v>30</v>
      </c>
      <c r="I11" s="256"/>
      <c r="J11" s="256">
        <v>35</v>
      </c>
      <c r="K11" s="256">
        <v>30</v>
      </c>
      <c r="L11" s="256">
        <v>24</v>
      </c>
      <c r="M11" s="256">
        <v>30</v>
      </c>
      <c r="N11" s="256" t="s">
        <v>427</v>
      </c>
      <c r="O11" s="256">
        <f t="shared" si="0"/>
        <v>118</v>
      </c>
      <c r="P11" s="256">
        <f t="shared" si="1"/>
        <v>119</v>
      </c>
      <c r="Q11" s="256" t="str">
        <f t="shared" si="2"/>
        <v>HL</v>
      </c>
      <c r="R11" s="256" t="str">
        <f t="shared" si="3"/>
        <v>HL</v>
      </c>
      <c r="S11" s="256" t="str">
        <f t="shared" si="4"/>
        <v>HW</v>
      </c>
      <c r="T11" s="256" t="str">
        <f t="shared" si="5"/>
        <v>TT</v>
      </c>
      <c r="U11" s="256" t="str">
        <f t="shared" si="6"/>
        <v>O</v>
      </c>
      <c r="V11" s="256" t="str">
        <f t="shared" si="7"/>
        <v>O</v>
      </c>
      <c r="W11" s="256" t="str">
        <f t="shared" si="8"/>
        <v>O</v>
      </c>
      <c r="X11" s="256" t="str">
        <f t="shared" si="9"/>
        <v>O</v>
      </c>
      <c r="Z11">
        <v>52.5</v>
      </c>
      <c r="AA11" s="256" t="str">
        <f t="shared" si="10"/>
        <v>LAL/ORL</v>
      </c>
    </row>
    <row r="12" spans="1:27" x14ac:dyDescent="0.3">
      <c r="A12" s="256">
        <v>200117</v>
      </c>
      <c r="B12" s="257">
        <v>0.39583333333333331</v>
      </c>
      <c r="C12" s="256" t="s">
        <v>399</v>
      </c>
      <c r="D12" s="256" t="s">
        <v>404</v>
      </c>
      <c r="E12" s="256">
        <v>32</v>
      </c>
      <c r="F12" s="256">
        <v>20</v>
      </c>
      <c r="G12" s="256">
        <v>27</v>
      </c>
      <c r="H12" s="256">
        <v>19</v>
      </c>
      <c r="I12" s="256"/>
      <c r="J12" s="256">
        <v>25</v>
      </c>
      <c r="K12" s="256">
        <v>33</v>
      </c>
      <c r="L12" s="256">
        <v>32</v>
      </c>
      <c r="M12" s="256">
        <v>31</v>
      </c>
      <c r="N12" s="256"/>
      <c r="O12" s="256">
        <f t="shared" si="0"/>
        <v>98</v>
      </c>
      <c r="P12" s="256">
        <f t="shared" si="1"/>
        <v>121</v>
      </c>
      <c r="Q12" s="256" t="str">
        <f t="shared" si="2"/>
        <v>HW</v>
      </c>
      <c r="R12" s="256" t="str">
        <f t="shared" si="3"/>
        <v>HL</v>
      </c>
      <c r="S12" s="256" t="str">
        <f t="shared" si="4"/>
        <v>HL</v>
      </c>
      <c r="T12" s="256" t="str">
        <f t="shared" si="5"/>
        <v>HL</v>
      </c>
      <c r="U12" s="256" t="str">
        <f t="shared" si="6"/>
        <v>T</v>
      </c>
      <c r="V12" s="256" t="str">
        <f t="shared" si="7"/>
        <v>U</v>
      </c>
      <c r="W12" s="256" t="str">
        <f t="shared" si="8"/>
        <v>O</v>
      </c>
      <c r="X12" s="256" t="str">
        <f t="shared" si="9"/>
        <v>U</v>
      </c>
      <c r="Z12">
        <v>57</v>
      </c>
      <c r="AA12" s="256" t="str">
        <f t="shared" si="10"/>
        <v>NYK/PHO</v>
      </c>
    </row>
    <row r="13" spans="1:27" x14ac:dyDescent="0.3">
      <c r="A13" s="256">
        <v>200117</v>
      </c>
      <c r="B13" s="257">
        <v>0.41666666666666669</v>
      </c>
      <c r="C13" s="256" t="s">
        <v>398</v>
      </c>
      <c r="D13" s="256" t="s">
        <v>405</v>
      </c>
      <c r="E13" s="256">
        <v>25</v>
      </c>
      <c r="F13" s="256">
        <v>31</v>
      </c>
      <c r="G13" s="256">
        <v>31</v>
      </c>
      <c r="H13" s="256">
        <v>35</v>
      </c>
      <c r="I13" s="256">
        <v>16</v>
      </c>
      <c r="J13" s="256">
        <v>28</v>
      </c>
      <c r="K13" s="256">
        <v>21</v>
      </c>
      <c r="L13" s="256">
        <v>42</v>
      </c>
      <c r="M13" s="256">
        <v>31</v>
      </c>
      <c r="N13" s="256">
        <v>10</v>
      </c>
      <c r="O13" s="256">
        <f t="shared" si="0"/>
        <v>138</v>
      </c>
      <c r="P13" s="256">
        <f t="shared" si="1"/>
        <v>132</v>
      </c>
      <c r="Q13" s="256" t="str">
        <f t="shared" si="2"/>
        <v>HL</v>
      </c>
      <c r="R13" s="256" t="str">
        <f t="shared" si="3"/>
        <v>HW</v>
      </c>
      <c r="S13" s="256" t="str">
        <f t="shared" si="4"/>
        <v>HL</v>
      </c>
      <c r="T13" s="256" t="str">
        <f t="shared" si="5"/>
        <v>HW</v>
      </c>
      <c r="U13" s="256" t="str">
        <f t="shared" si="6"/>
        <v>U</v>
      </c>
      <c r="V13" s="256" t="str">
        <f t="shared" si="7"/>
        <v>U</v>
      </c>
      <c r="W13" s="256" t="str">
        <f t="shared" si="8"/>
        <v>O</v>
      </c>
      <c r="X13" s="256" t="str">
        <f t="shared" si="9"/>
        <v>O</v>
      </c>
      <c r="Z13">
        <v>56.5</v>
      </c>
      <c r="AA13" s="256" t="str">
        <f t="shared" si="10"/>
        <v>NO/UTA</v>
      </c>
    </row>
    <row r="14" spans="1:27" x14ac:dyDescent="0.3">
      <c r="A14" s="256">
        <v>200117</v>
      </c>
      <c r="B14" s="257">
        <v>0.41666666666666669</v>
      </c>
      <c r="C14" s="256" t="s">
        <v>423</v>
      </c>
      <c r="D14" s="256" t="s">
        <v>421</v>
      </c>
      <c r="E14" s="256">
        <v>36</v>
      </c>
      <c r="F14" s="256">
        <v>40</v>
      </c>
      <c r="G14" s="256">
        <v>30</v>
      </c>
      <c r="H14" s="256">
        <v>22</v>
      </c>
      <c r="I14" s="256"/>
      <c r="J14" s="256">
        <v>20</v>
      </c>
      <c r="K14" s="256">
        <v>38</v>
      </c>
      <c r="L14" s="256">
        <v>29</v>
      </c>
      <c r="M14" s="256">
        <v>36</v>
      </c>
      <c r="N14" s="256"/>
      <c r="O14" s="256">
        <f t="shared" si="0"/>
        <v>128</v>
      </c>
      <c r="P14" s="256">
        <f t="shared" si="1"/>
        <v>123</v>
      </c>
      <c r="Q14" s="256" t="str">
        <f t="shared" si="2"/>
        <v>HW</v>
      </c>
      <c r="R14" s="256" t="str">
        <f t="shared" si="3"/>
        <v>HW</v>
      </c>
      <c r="S14" s="256" t="str">
        <f t="shared" si="4"/>
        <v>HW</v>
      </c>
      <c r="T14" s="256" t="str">
        <f t="shared" si="5"/>
        <v>HL</v>
      </c>
      <c r="U14" s="256" t="str">
        <f t="shared" si="6"/>
        <v>U</v>
      </c>
      <c r="V14" s="256" t="str">
        <f t="shared" si="7"/>
        <v>O</v>
      </c>
      <c r="W14" s="256" t="str">
        <f t="shared" si="8"/>
        <v>O</v>
      </c>
      <c r="X14" s="256" t="str">
        <f t="shared" si="9"/>
        <v>O</v>
      </c>
      <c r="Z14">
        <v>57</v>
      </c>
      <c r="AA14" s="256" t="str">
        <f t="shared" si="10"/>
        <v>MIL/BOS</v>
      </c>
    </row>
    <row r="15" spans="1:27" x14ac:dyDescent="0.3">
      <c r="A15" s="256">
        <v>200117</v>
      </c>
      <c r="B15" s="257">
        <v>0.52083333333333337</v>
      </c>
      <c r="C15" s="256" t="s">
        <v>425</v>
      </c>
      <c r="D15" s="256" t="s">
        <v>408</v>
      </c>
      <c r="E15" s="256">
        <v>34</v>
      </c>
      <c r="F15" s="256">
        <v>28</v>
      </c>
      <c r="G15" s="256">
        <v>23</v>
      </c>
      <c r="H15" s="256">
        <v>28</v>
      </c>
      <c r="I15" s="256">
        <v>18</v>
      </c>
      <c r="J15" s="256">
        <v>19</v>
      </c>
      <c r="K15" s="256">
        <v>26</v>
      </c>
      <c r="L15" s="256">
        <v>28</v>
      </c>
      <c r="M15" s="256">
        <v>40</v>
      </c>
      <c r="N15" s="256">
        <v>21</v>
      </c>
      <c r="O15" s="256">
        <f t="shared" si="0"/>
        <v>131</v>
      </c>
      <c r="P15" s="256">
        <f t="shared" si="1"/>
        <v>134</v>
      </c>
      <c r="Q15" s="256" t="str">
        <f t="shared" si="2"/>
        <v>HW</v>
      </c>
      <c r="R15" s="256" t="str">
        <f t="shared" si="3"/>
        <v>HW</v>
      </c>
      <c r="S15" s="256" t="str">
        <f t="shared" si="4"/>
        <v>HL</v>
      </c>
      <c r="T15" s="256" t="str">
        <f t="shared" si="5"/>
        <v>HL</v>
      </c>
      <c r="U15" s="256" t="str">
        <f t="shared" si="6"/>
        <v>U</v>
      </c>
      <c r="V15" s="256" t="str">
        <f t="shared" si="7"/>
        <v>O</v>
      </c>
      <c r="W15" s="256" t="str">
        <f t="shared" si="8"/>
        <v>U</v>
      </c>
      <c r="X15" s="256" t="str">
        <f t="shared" si="9"/>
        <v>O</v>
      </c>
      <c r="Z15">
        <v>53.5</v>
      </c>
      <c r="AA15" s="256" t="str">
        <f t="shared" si="10"/>
        <v>GS/DEN</v>
      </c>
    </row>
    <row r="16" spans="1:27" x14ac:dyDescent="0.3">
      <c r="A16" s="256">
        <v>200117</v>
      </c>
      <c r="B16" s="257">
        <v>0.52083333333333337</v>
      </c>
      <c r="C16" s="256" t="s">
        <v>415</v>
      </c>
      <c r="D16" s="256" t="s">
        <v>424</v>
      </c>
      <c r="E16" s="256">
        <v>34</v>
      </c>
      <c r="F16" s="256">
        <v>33</v>
      </c>
      <c r="G16" s="256">
        <v>24</v>
      </c>
      <c r="H16" s="256">
        <v>31</v>
      </c>
      <c r="I16" s="256"/>
      <c r="J16" s="256">
        <v>26</v>
      </c>
      <c r="K16" s="256">
        <v>22</v>
      </c>
      <c r="L16" s="256">
        <v>28</v>
      </c>
      <c r="M16" s="256">
        <v>19</v>
      </c>
      <c r="N16" s="256"/>
      <c r="O16" s="256">
        <f t="shared" si="0"/>
        <v>122</v>
      </c>
      <c r="P16" s="256">
        <f t="shared" si="1"/>
        <v>95</v>
      </c>
      <c r="Q16" s="256" t="str">
        <f t="shared" si="2"/>
        <v>HW</v>
      </c>
      <c r="R16" s="256" t="str">
        <f t="shared" si="3"/>
        <v>HW</v>
      </c>
      <c r="S16" s="256" t="str">
        <f t="shared" si="4"/>
        <v>HL</v>
      </c>
      <c r="T16" s="256" t="str">
        <f t="shared" si="5"/>
        <v>HW</v>
      </c>
      <c r="U16" s="256" t="str">
        <f t="shared" si="6"/>
        <v>O</v>
      </c>
      <c r="V16" s="256" t="str">
        <f t="shared" si="7"/>
        <v>O</v>
      </c>
      <c r="W16" s="256" t="str">
        <f t="shared" si="8"/>
        <v>U</v>
      </c>
      <c r="X16" s="256" t="str">
        <f t="shared" si="9"/>
        <v>U</v>
      </c>
      <c r="Z16">
        <v>54.5</v>
      </c>
      <c r="AA16" s="256" t="str">
        <f t="shared" si="10"/>
        <v>LAC/ORL</v>
      </c>
    </row>
    <row r="17" spans="1:27" x14ac:dyDescent="0.3">
      <c r="A17" s="256">
        <v>200118</v>
      </c>
      <c r="B17" s="257">
        <v>0.375</v>
      </c>
      <c r="C17" s="256" t="s">
        <v>400</v>
      </c>
      <c r="D17" s="256" t="s">
        <v>420</v>
      </c>
      <c r="E17" s="256">
        <v>32</v>
      </c>
      <c r="F17" s="256">
        <v>35</v>
      </c>
      <c r="G17" s="256">
        <v>32</v>
      </c>
      <c r="H17" s="256">
        <v>17</v>
      </c>
      <c r="I17" s="256"/>
      <c r="J17" s="256">
        <v>26</v>
      </c>
      <c r="K17" s="256">
        <v>35</v>
      </c>
      <c r="L17" s="256">
        <v>32</v>
      </c>
      <c r="M17" s="256">
        <v>21</v>
      </c>
      <c r="N17" s="256"/>
      <c r="O17" s="256">
        <f t="shared" si="0"/>
        <v>116</v>
      </c>
      <c r="P17" s="256">
        <f t="shared" si="1"/>
        <v>114</v>
      </c>
      <c r="Q17" s="256" t="str">
        <f t="shared" si="2"/>
        <v>HW</v>
      </c>
      <c r="R17" s="256" t="str">
        <f t="shared" si="3"/>
        <v>TT</v>
      </c>
      <c r="S17" s="256" t="str">
        <f t="shared" si="4"/>
        <v>TT</v>
      </c>
      <c r="T17" s="256" t="str">
        <f t="shared" si="5"/>
        <v>HL</v>
      </c>
      <c r="U17" s="256" t="str">
        <f t="shared" si="6"/>
        <v>O</v>
      </c>
      <c r="V17" s="256" t="str">
        <f t="shared" si="7"/>
        <v>O</v>
      </c>
      <c r="W17" s="256" t="str">
        <f t="shared" si="8"/>
        <v>O</v>
      </c>
      <c r="X17" s="256" t="str">
        <f t="shared" si="9"/>
        <v>U</v>
      </c>
      <c r="Z17">
        <v>54.5</v>
      </c>
      <c r="AA17" s="256" t="str">
        <f t="shared" si="10"/>
        <v>IND/MIN</v>
      </c>
    </row>
    <row r="18" spans="1:27" x14ac:dyDescent="0.3">
      <c r="A18" s="256">
        <v>200118</v>
      </c>
      <c r="B18" s="257">
        <v>0.375</v>
      </c>
      <c r="C18" s="256" t="s">
        <v>401</v>
      </c>
      <c r="D18" s="256" t="s">
        <v>412</v>
      </c>
      <c r="E18" s="256">
        <v>21</v>
      </c>
      <c r="F18" s="256">
        <v>25</v>
      </c>
      <c r="G18" s="256">
        <v>35</v>
      </c>
      <c r="H18" s="256">
        <v>19</v>
      </c>
      <c r="I18" s="256"/>
      <c r="J18" s="256">
        <v>24</v>
      </c>
      <c r="K18" s="256">
        <v>23</v>
      </c>
      <c r="L18" s="256">
        <v>24</v>
      </c>
      <c r="M18" s="256">
        <v>18</v>
      </c>
      <c r="N18" s="256"/>
      <c r="O18" s="256">
        <f t="shared" si="0"/>
        <v>100</v>
      </c>
      <c r="P18" s="256">
        <f t="shared" si="1"/>
        <v>89</v>
      </c>
      <c r="Q18" s="256" t="str">
        <f t="shared" si="2"/>
        <v>HL</v>
      </c>
      <c r="R18" s="256" t="str">
        <f t="shared" si="3"/>
        <v>HW</v>
      </c>
      <c r="S18" s="256" t="str">
        <f t="shared" si="4"/>
        <v>HW</v>
      </c>
      <c r="T18" s="256" t="str">
        <f t="shared" si="5"/>
        <v>HW</v>
      </c>
      <c r="U18" s="256" t="str">
        <f t="shared" si="6"/>
        <v>U</v>
      </c>
      <c r="V18" s="256" t="str">
        <f t="shared" si="7"/>
        <v>U</v>
      </c>
      <c r="W18" s="256" t="str">
        <f t="shared" si="8"/>
        <v>O</v>
      </c>
      <c r="X18" s="256" t="str">
        <f t="shared" si="9"/>
        <v>U</v>
      </c>
      <c r="Z18">
        <v>53.5</v>
      </c>
      <c r="AA18" s="256" t="str">
        <f t="shared" si="10"/>
        <v>PHI/CHI</v>
      </c>
    </row>
    <row r="19" spans="1:27" x14ac:dyDescent="0.3">
      <c r="A19" s="256">
        <v>200118</v>
      </c>
      <c r="B19" s="257">
        <v>0.375</v>
      </c>
      <c r="C19" s="256" t="s">
        <v>413</v>
      </c>
      <c r="D19" s="256" t="s">
        <v>414</v>
      </c>
      <c r="E19" s="256">
        <v>38</v>
      </c>
      <c r="F19" s="256">
        <v>27</v>
      </c>
      <c r="G19" s="256">
        <v>35</v>
      </c>
      <c r="H19" s="256">
        <v>40</v>
      </c>
      <c r="I19" s="256"/>
      <c r="J19" s="256">
        <v>26</v>
      </c>
      <c r="K19" s="256">
        <v>25</v>
      </c>
      <c r="L19" s="256">
        <v>25</v>
      </c>
      <c r="M19" s="256">
        <v>35</v>
      </c>
      <c r="N19" s="256"/>
      <c r="O19" s="256">
        <f t="shared" si="0"/>
        <v>140</v>
      </c>
      <c r="P19" s="256">
        <f t="shared" si="1"/>
        <v>111</v>
      </c>
      <c r="Q19" s="256" t="str">
        <f t="shared" si="2"/>
        <v>HW</v>
      </c>
      <c r="R19" s="256" t="str">
        <f t="shared" si="3"/>
        <v>HW</v>
      </c>
      <c r="S19" s="256" t="str">
        <f t="shared" si="4"/>
        <v>HW</v>
      </c>
      <c r="T19" s="256" t="str">
        <f t="shared" si="5"/>
        <v>HW</v>
      </c>
      <c r="U19" s="256" t="str">
        <f t="shared" si="6"/>
        <v>O</v>
      </c>
      <c r="V19" s="256" t="str">
        <f t="shared" si="7"/>
        <v>U</v>
      </c>
      <c r="W19" s="256" t="str">
        <f t="shared" si="8"/>
        <v>O</v>
      </c>
      <c r="X19" s="256" t="str">
        <f t="shared" si="9"/>
        <v>O</v>
      </c>
      <c r="Z19">
        <v>58</v>
      </c>
      <c r="AA19" s="256" t="str">
        <f t="shared" si="10"/>
        <v>TOR/WAS</v>
      </c>
    </row>
    <row r="20" spans="1:27" x14ac:dyDescent="0.3">
      <c r="A20" s="256">
        <v>200118</v>
      </c>
      <c r="B20" s="257">
        <v>0.41666666666666669</v>
      </c>
      <c r="C20" s="256" t="s">
        <v>418</v>
      </c>
      <c r="D20" s="256" t="s">
        <v>411</v>
      </c>
      <c r="E20" s="256">
        <v>26</v>
      </c>
      <c r="F20" s="256">
        <v>21</v>
      </c>
      <c r="G20" s="256">
        <v>31</v>
      </c>
      <c r="H20" s="256">
        <v>30</v>
      </c>
      <c r="I20" s="256"/>
      <c r="J20" s="256">
        <v>40</v>
      </c>
      <c r="K20" s="256">
        <v>21</v>
      </c>
      <c r="L20" s="256">
        <v>31</v>
      </c>
      <c r="M20" s="256">
        <v>23</v>
      </c>
      <c r="N20" s="256"/>
      <c r="O20" s="256">
        <f t="shared" si="0"/>
        <v>108</v>
      </c>
      <c r="P20" s="256">
        <f t="shared" si="1"/>
        <v>115</v>
      </c>
      <c r="Q20" s="256" t="str">
        <f t="shared" si="2"/>
        <v>HL</v>
      </c>
      <c r="R20" s="256" t="str">
        <f t="shared" si="3"/>
        <v>TT</v>
      </c>
      <c r="S20" s="256" t="str">
        <f t="shared" si="4"/>
        <v>TT</v>
      </c>
      <c r="T20" s="256" t="str">
        <f t="shared" si="5"/>
        <v>HW</v>
      </c>
      <c r="U20" s="256" t="str">
        <f t="shared" si="6"/>
        <v>O</v>
      </c>
      <c r="V20" s="256" t="str">
        <f t="shared" si="7"/>
        <v>U</v>
      </c>
      <c r="W20" s="256" t="str">
        <f t="shared" si="8"/>
        <v>O</v>
      </c>
      <c r="X20" s="256" t="str">
        <f t="shared" si="9"/>
        <v>U</v>
      </c>
      <c r="Z20">
        <v>54.5</v>
      </c>
      <c r="AA20" s="256" t="str">
        <f t="shared" si="10"/>
        <v>OKC/MIA</v>
      </c>
    </row>
    <row r="21" spans="1:27" x14ac:dyDescent="0.3">
      <c r="A21" s="256">
        <v>200118</v>
      </c>
      <c r="B21" s="257">
        <v>0.41666666666666669</v>
      </c>
      <c r="C21" s="256" t="s">
        <v>406</v>
      </c>
      <c r="D21" s="256" t="s">
        <v>402</v>
      </c>
      <c r="E21" s="256">
        <v>27</v>
      </c>
      <c r="F21" s="256">
        <v>27</v>
      </c>
      <c r="G21" s="256">
        <v>38</v>
      </c>
      <c r="H21" s="256">
        <v>21</v>
      </c>
      <c r="I21" s="256"/>
      <c r="J21" s="256">
        <v>25</v>
      </c>
      <c r="K21" s="256">
        <v>31</v>
      </c>
      <c r="L21" s="256">
        <v>20</v>
      </c>
      <c r="M21" s="256">
        <v>33</v>
      </c>
      <c r="N21" s="256"/>
      <c r="O21" s="256">
        <f t="shared" si="0"/>
        <v>113</v>
      </c>
      <c r="P21" s="256">
        <f t="shared" si="1"/>
        <v>109</v>
      </c>
      <c r="Q21" s="256" t="str">
        <f t="shared" si="2"/>
        <v>HW</v>
      </c>
      <c r="R21" s="256" t="str">
        <f t="shared" si="3"/>
        <v>HL</v>
      </c>
      <c r="S21" s="256" t="str">
        <f t="shared" si="4"/>
        <v>HW</v>
      </c>
      <c r="T21" s="256" t="str">
        <f t="shared" si="5"/>
        <v>HL</v>
      </c>
      <c r="U21" s="256" t="str">
        <f t="shared" si="6"/>
        <v>U</v>
      </c>
      <c r="V21" s="256" t="str">
        <f t="shared" si="7"/>
        <v>O</v>
      </c>
      <c r="W21" s="256" t="str">
        <f t="shared" si="8"/>
        <v>O</v>
      </c>
      <c r="X21" s="256" t="str">
        <f t="shared" si="9"/>
        <v>U</v>
      </c>
      <c r="Z21">
        <v>57.5</v>
      </c>
      <c r="AA21" s="256" t="str">
        <f t="shared" si="10"/>
        <v>MEM/CLE</v>
      </c>
    </row>
    <row r="22" spans="1:27" x14ac:dyDescent="0.3">
      <c r="A22" s="256">
        <v>200118</v>
      </c>
      <c r="B22" s="257">
        <v>0.4375</v>
      </c>
      <c r="C22" s="256" t="s">
        <v>426</v>
      </c>
      <c r="D22" s="256" t="s">
        <v>410</v>
      </c>
      <c r="E22" s="256">
        <v>27</v>
      </c>
      <c r="F22" s="256">
        <v>31</v>
      </c>
      <c r="G22" s="256">
        <v>41</v>
      </c>
      <c r="H22" s="256">
        <v>21</v>
      </c>
      <c r="I22" s="256"/>
      <c r="J22" s="256">
        <v>29</v>
      </c>
      <c r="K22" s="256">
        <v>38</v>
      </c>
      <c r="L22" s="256">
        <v>21</v>
      </c>
      <c r="M22" s="256">
        <v>33</v>
      </c>
      <c r="N22" s="256"/>
      <c r="O22" s="256">
        <f t="shared" si="0"/>
        <v>120</v>
      </c>
      <c r="P22" s="256">
        <f t="shared" si="1"/>
        <v>121</v>
      </c>
      <c r="Q22" s="256" t="str">
        <f t="shared" si="2"/>
        <v>HL</v>
      </c>
      <c r="R22" s="256" t="str">
        <f t="shared" si="3"/>
        <v>HL</v>
      </c>
      <c r="S22" s="256" t="str">
        <f t="shared" si="4"/>
        <v>HW</v>
      </c>
      <c r="T22" s="256" t="str">
        <f t="shared" si="5"/>
        <v>HL</v>
      </c>
      <c r="U22" s="256" t="str">
        <f t="shared" si="6"/>
        <v>U</v>
      </c>
      <c r="V22" s="256" t="str">
        <f t="shared" si="7"/>
        <v>O</v>
      </c>
      <c r="W22" s="256" t="str">
        <f t="shared" si="8"/>
        <v>O</v>
      </c>
      <c r="X22" s="256" t="str">
        <f t="shared" si="9"/>
        <v>U</v>
      </c>
      <c r="Z22">
        <v>58</v>
      </c>
      <c r="AA22" s="256" t="str">
        <f t="shared" si="10"/>
        <v>SAS/ATL</v>
      </c>
    </row>
    <row r="23" spans="1:27" x14ac:dyDescent="0.3">
      <c r="A23" s="256">
        <v>200118</v>
      </c>
      <c r="B23" s="257">
        <v>0.47916666666666669</v>
      </c>
      <c r="C23" s="256" t="s">
        <v>397</v>
      </c>
      <c r="D23" s="256" t="s">
        <v>417</v>
      </c>
      <c r="E23" s="256">
        <v>38</v>
      </c>
      <c r="F23" s="256">
        <v>34</v>
      </c>
      <c r="G23" s="256">
        <v>26</v>
      </c>
      <c r="H23" s="256">
        <v>22</v>
      </c>
      <c r="I23" s="256"/>
      <c r="J23" s="256">
        <v>37</v>
      </c>
      <c r="K23" s="256">
        <v>26</v>
      </c>
      <c r="L23" s="256">
        <v>26</v>
      </c>
      <c r="M23" s="256">
        <v>23</v>
      </c>
      <c r="N23" s="256"/>
      <c r="O23" s="256">
        <f t="shared" si="0"/>
        <v>120</v>
      </c>
      <c r="P23" s="256">
        <f t="shared" si="1"/>
        <v>112</v>
      </c>
      <c r="Q23" s="256" t="str">
        <f t="shared" si="2"/>
        <v>HW</v>
      </c>
      <c r="R23" s="256" t="str">
        <f t="shared" si="3"/>
        <v>HW</v>
      </c>
      <c r="S23" s="256" t="str">
        <f t="shared" si="4"/>
        <v>TT</v>
      </c>
      <c r="T23" s="256" t="str">
        <f t="shared" si="5"/>
        <v>HL</v>
      </c>
      <c r="U23" s="256" t="str">
        <f t="shared" si="6"/>
        <v>O</v>
      </c>
      <c r="V23" s="256" t="str">
        <f t="shared" si="7"/>
        <v>O</v>
      </c>
      <c r="W23" s="256" t="str">
        <f t="shared" si="8"/>
        <v>U</v>
      </c>
      <c r="X23" s="256" t="str">
        <f t="shared" si="9"/>
        <v>U</v>
      </c>
      <c r="Z23">
        <v>57.5</v>
      </c>
      <c r="AA23" s="256" t="str">
        <f t="shared" si="10"/>
        <v>DAL/POR</v>
      </c>
    </row>
    <row r="24" spans="1:27" x14ac:dyDescent="0.3">
      <c r="A24" s="256">
        <v>200119</v>
      </c>
      <c r="B24" s="257">
        <v>0.22916666666666666</v>
      </c>
      <c r="C24" s="256" t="s">
        <v>398</v>
      </c>
      <c r="D24" s="256" t="s">
        <v>415</v>
      </c>
      <c r="E24" s="256">
        <v>35</v>
      </c>
      <c r="F24" s="256">
        <v>45</v>
      </c>
      <c r="G24" s="256">
        <v>30</v>
      </c>
      <c r="H24" s="256">
        <v>20</v>
      </c>
      <c r="I24" s="256"/>
      <c r="J24" s="256">
        <v>33</v>
      </c>
      <c r="K24" s="256">
        <v>39</v>
      </c>
      <c r="L24" s="256">
        <v>30</v>
      </c>
      <c r="M24" s="256">
        <v>31</v>
      </c>
      <c r="N24" s="256"/>
      <c r="O24" s="256">
        <f t="shared" si="0"/>
        <v>130</v>
      </c>
      <c r="P24" s="256">
        <f t="shared" si="1"/>
        <v>133</v>
      </c>
      <c r="Q24" s="256" t="str">
        <f t="shared" si="2"/>
        <v>HW</v>
      </c>
      <c r="R24" s="256" t="str">
        <f t="shared" si="3"/>
        <v>HW</v>
      </c>
      <c r="S24" s="256" t="str">
        <f t="shared" si="4"/>
        <v>TT</v>
      </c>
      <c r="T24" s="256" t="str">
        <f t="shared" si="5"/>
        <v>HL</v>
      </c>
      <c r="U24" s="256" t="str">
        <f t="shared" si="6"/>
        <v>O</v>
      </c>
      <c r="V24" s="256" t="str">
        <f t="shared" si="7"/>
        <v>O</v>
      </c>
      <c r="W24" s="256" t="str">
        <f t="shared" si="8"/>
        <v>O</v>
      </c>
      <c r="X24" s="256" t="str">
        <f t="shared" si="9"/>
        <v>U</v>
      </c>
      <c r="Z24">
        <v>59</v>
      </c>
      <c r="AA24" s="256" t="str">
        <f t="shared" si="10"/>
        <v>NO/LAC</v>
      </c>
    </row>
    <row r="25" spans="1:27" x14ac:dyDescent="0.3">
      <c r="A25" s="256">
        <v>200119</v>
      </c>
      <c r="B25" s="257">
        <v>0.33333333333333331</v>
      </c>
      <c r="C25" s="256" t="s">
        <v>407</v>
      </c>
      <c r="D25" s="256" t="s">
        <v>423</v>
      </c>
      <c r="E25" s="256">
        <v>22</v>
      </c>
      <c r="F25" s="256">
        <v>20</v>
      </c>
      <c r="G25" s="256">
        <v>29</v>
      </c>
      <c r="H25" s="256">
        <v>26</v>
      </c>
      <c r="I25" s="256"/>
      <c r="J25" s="256">
        <v>30</v>
      </c>
      <c r="K25" s="256">
        <v>27</v>
      </c>
      <c r="L25" s="256">
        <v>36</v>
      </c>
      <c r="M25" s="256">
        <v>24</v>
      </c>
      <c r="N25" s="256"/>
      <c r="O25" s="256">
        <f t="shared" si="0"/>
        <v>97</v>
      </c>
      <c r="P25" s="256">
        <f t="shared" si="1"/>
        <v>117</v>
      </c>
      <c r="Q25" s="256" t="str">
        <f t="shared" si="2"/>
        <v>HL</v>
      </c>
      <c r="R25" s="256" t="str">
        <f t="shared" si="3"/>
        <v>HL</v>
      </c>
      <c r="S25" s="256" t="str">
        <f t="shared" si="4"/>
        <v>HL</v>
      </c>
      <c r="T25" s="256" t="str">
        <f t="shared" si="5"/>
        <v>HW</v>
      </c>
      <c r="U25" s="256" t="str">
        <f t="shared" si="6"/>
        <v>U</v>
      </c>
      <c r="V25" s="256" t="str">
        <f t="shared" si="7"/>
        <v>U</v>
      </c>
      <c r="W25" s="256" t="str">
        <f t="shared" si="8"/>
        <v>O</v>
      </c>
      <c r="X25" s="256" t="str">
        <f t="shared" si="9"/>
        <v>U</v>
      </c>
      <c r="Z25">
        <v>59.5</v>
      </c>
      <c r="AA25" s="256" t="str">
        <f t="shared" si="10"/>
        <v>BKN/MIL</v>
      </c>
    </row>
    <row r="26" spans="1:27" x14ac:dyDescent="0.3">
      <c r="A26" s="256">
        <v>200119</v>
      </c>
      <c r="B26" s="257">
        <v>0.375</v>
      </c>
      <c r="C26" s="256" t="s">
        <v>421</v>
      </c>
      <c r="D26" s="256" t="s">
        <v>404</v>
      </c>
      <c r="E26" s="256">
        <v>20</v>
      </c>
      <c r="F26" s="256">
        <v>31</v>
      </c>
      <c r="G26" s="256">
        <v>25</v>
      </c>
      <c r="H26" s="256">
        <v>43</v>
      </c>
      <c r="I26" s="256"/>
      <c r="J26" s="256">
        <v>26</v>
      </c>
      <c r="K26" s="256">
        <v>34</v>
      </c>
      <c r="L26" s="256">
        <v>27</v>
      </c>
      <c r="M26" s="256">
        <v>36</v>
      </c>
      <c r="N26" s="256"/>
      <c r="O26" s="256">
        <f t="shared" si="0"/>
        <v>119</v>
      </c>
      <c r="P26" s="256">
        <f t="shared" si="1"/>
        <v>123</v>
      </c>
      <c r="Q26" s="256" t="str">
        <f t="shared" si="2"/>
        <v>HL</v>
      </c>
      <c r="R26" s="256" t="str">
        <f t="shared" si="3"/>
        <v>HL</v>
      </c>
      <c r="S26" s="256" t="str">
        <f t="shared" si="4"/>
        <v>HL</v>
      </c>
      <c r="T26" s="256" t="str">
        <f t="shared" si="5"/>
        <v>HW</v>
      </c>
      <c r="U26" s="256" t="str">
        <f t="shared" si="6"/>
        <v>U</v>
      </c>
      <c r="V26" s="256" t="str">
        <f t="shared" si="7"/>
        <v>O</v>
      </c>
      <c r="W26" s="256" t="str">
        <f t="shared" si="8"/>
        <v>U</v>
      </c>
      <c r="X26" s="256" t="str">
        <f t="shared" si="9"/>
        <v>O</v>
      </c>
      <c r="Z26">
        <v>55.5</v>
      </c>
      <c r="AA26" s="256" t="str">
        <f t="shared" si="10"/>
        <v>BOS/PHO</v>
      </c>
    </row>
    <row r="27" spans="1:27" x14ac:dyDescent="0.3">
      <c r="A27" s="256">
        <v>200119</v>
      </c>
      <c r="B27" s="257">
        <v>0.39583333333333331</v>
      </c>
      <c r="C27" s="256" t="s">
        <v>410</v>
      </c>
      <c r="D27" s="256" t="s">
        <v>422</v>
      </c>
      <c r="E27" s="256">
        <v>29</v>
      </c>
      <c r="F27" s="256">
        <v>26</v>
      </c>
      <c r="G27" s="256">
        <v>21</v>
      </c>
      <c r="H27" s="256">
        <v>27</v>
      </c>
      <c r="I27" s="256"/>
      <c r="J27" s="256">
        <v>36</v>
      </c>
      <c r="K27" s="256">
        <v>35</v>
      </c>
      <c r="L27" s="256">
        <v>32</v>
      </c>
      <c r="M27" s="256">
        <v>33</v>
      </c>
      <c r="N27" s="256"/>
      <c r="O27" s="256">
        <f t="shared" si="0"/>
        <v>103</v>
      </c>
      <c r="P27" s="256">
        <f t="shared" si="1"/>
        <v>136</v>
      </c>
      <c r="Q27" s="256" t="str">
        <f t="shared" si="2"/>
        <v>HL</v>
      </c>
      <c r="R27" s="256" t="str">
        <f t="shared" si="3"/>
        <v>HL</v>
      </c>
      <c r="S27" s="256" t="str">
        <f t="shared" si="4"/>
        <v>HL</v>
      </c>
      <c r="T27" s="256" t="str">
        <f t="shared" si="5"/>
        <v>HL</v>
      </c>
      <c r="U27" s="256" t="str">
        <f t="shared" si="6"/>
        <v>O</v>
      </c>
      <c r="V27" s="256" t="str">
        <f t="shared" si="7"/>
        <v>O</v>
      </c>
      <c r="W27" s="256" t="str">
        <f t="shared" si="8"/>
        <v>U</v>
      </c>
      <c r="X27" s="256" t="str">
        <f t="shared" si="9"/>
        <v>O</v>
      </c>
      <c r="Z27">
        <v>57</v>
      </c>
      <c r="AA27" s="256" t="str">
        <f t="shared" si="10"/>
        <v>ATL/DET</v>
      </c>
    </row>
    <row r="28" spans="1:27" x14ac:dyDescent="0.3">
      <c r="A28" s="256">
        <v>200119</v>
      </c>
      <c r="B28" s="257">
        <v>0.39583333333333331</v>
      </c>
      <c r="C28" s="256" t="s">
        <v>399</v>
      </c>
      <c r="D28" s="256" t="s">
        <v>401</v>
      </c>
      <c r="E28" s="256">
        <v>25</v>
      </c>
      <c r="F28" s="256">
        <v>21</v>
      </c>
      <c r="G28" s="256">
        <v>23</v>
      </c>
      <c r="H28" s="256">
        <v>18</v>
      </c>
      <c r="I28" s="256"/>
      <c r="J28" s="256">
        <v>28</v>
      </c>
      <c r="K28" s="256">
        <v>24</v>
      </c>
      <c r="L28" s="256">
        <v>18</v>
      </c>
      <c r="M28" s="256">
        <v>20</v>
      </c>
      <c r="N28" s="256"/>
      <c r="O28" s="256">
        <f t="shared" si="0"/>
        <v>87</v>
      </c>
      <c r="P28" s="256">
        <f t="shared" si="1"/>
        <v>90</v>
      </c>
      <c r="Q28" s="256" t="str">
        <f t="shared" si="2"/>
        <v>HL</v>
      </c>
      <c r="R28" s="256" t="str">
        <f t="shared" si="3"/>
        <v>HL</v>
      </c>
      <c r="S28" s="256" t="str">
        <f t="shared" si="4"/>
        <v>HW</v>
      </c>
      <c r="T28" s="256" t="str">
        <f t="shared" si="5"/>
        <v>HL</v>
      </c>
      <c r="U28" s="256" t="str">
        <f t="shared" si="6"/>
        <v>U</v>
      </c>
      <c r="V28" s="256" t="str">
        <f t="shared" si="7"/>
        <v>U</v>
      </c>
      <c r="W28" s="256" t="str">
        <f t="shared" si="8"/>
        <v>U</v>
      </c>
      <c r="X28" s="256" t="str">
        <f t="shared" si="9"/>
        <v>U</v>
      </c>
      <c r="Z28">
        <v>55</v>
      </c>
      <c r="AA28" s="256" t="str">
        <f t="shared" si="10"/>
        <v>NYK/PHI</v>
      </c>
    </row>
    <row r="29" spans="1:27" x14ac:dyDescent="0.3">
      <c r="A29" s="256">
        <v>200119</v>
      </c>
      <c r="B29" s="257">
        <v>0.41666666666666669</v>
      </c>
      <c r="C29" s="256" t="s">
        <v>412</v>
      </c>
      <c r="D29" s="256" t="s">
        <v>402</v>
      </c>
      <c r="E29" s="256">
        <v>31</v>
      </c>
      <c r="F29" s="256">
        <v>25</v>
      </c>
      <c r="G29" s="256">
        <v>31</v>
      </c>
      <c r="H29" s="256">
        <v>31</v>
      </c>
      <c r="I29" s="256"/>
      <c r="J29" s="256">
        <v>33</v>
      </c>
      <c r="K29" s="256">
        <v>40</v>
      </c>
      <c r="L29" s="256">
        <v>29</v>
      </c>
      <c r="M29" s="256">
        <v>14</v>
      </c>
      <c r="N29" s="256"/>
      <c r="O29" s="256">
        <f t="shared" si="0"/>
        <v>118</v>
      </c>
      <c r="P29" s="256">
        <f t="shared" si="1"/>
        <v>116</v>
      </c>
      <c r="Q29" s="256" t="str">
        <f t="shared" si="2"/>
        <v>HL</v>
      </c>
      <c r="R29" s="256" t="str">
        <f t="shared" si="3"/>
        <v>HL</v>
      </c>
      <c r="S29" s="256" t="str">
        <f t="shared" si="4"/>
        <v>HW</v>
      </c>
      <c r="T29" s="256" t="str">
        <f t="shared" si="5"/>
        <v>HW</v>
      </c>
      <c r="U29" s="256" t="str">
        <f t="shared" si="6"/>
        <v>O</v>
      </c>
      <c r="V29" s="256" t="str">
        <f t="shared" si="7"/>
        <v>O</v>
      </c>
      <c r="W29" s="256" t="str">
        <f t="shared" si="8"/>
        <v>O</v>
      </c>
      <c r="X29" s="256" t="str">
        <f t="shared" si="9"/>
        <v>U</v>
      </c>
      <c r="Z29">
        <v>54</v>
      </c>
      <c r="AA29" s="256" t="str">
        <f t="shared" si="10"/>
        <v>CHI/CLE</v>
      </c>
    </row>
    <row r="30" spans="1:27" x14ac:dyDescent="0.3">
      <c r="A30" s="256">
        <v>200119</v>
      </c>
      <c r="B30" s="257">
        <v>0.41666666666666669</v>
      </c>
      <c r="C30" s="256" t="s">
        <v>420</v>
      </c>
      <c r="D30" s="256" t="s">
        <v>413</v>
      </c>
      <c r="E30" s="256">
        <v>39</v>
      </c>
      <c r="F30" s="256">
        <v>23</v>
      </c>
      <c r="G30" s="256">
        <v>22</v>
      </c>
      <c r="H30" s="256">
        <v>28</v>
      </c>
      <c r="I30" s="256"/>
      <c r="J30" s="256">
        <v>32</v>
      </c>
      <c r="K30" s="256">
        <v>26</v>
      </c>
      <c r="L30" s="256">
        <v>31</v>
      </c>
      <c r="M30" s="256">
        <v>33</v>
      </c>
      <c r="N30" s="256"/>
      <c r="O30" s="256">
        <f t="shared" si="0"/>
        <v>112</v>
      </c>
      <c r="P30" s="256">
        <f t="shared" si="1"/>
        <v>122</v>
      </c>
      <c r="Q30" s="256" t="str">
        <f t="shared" si="2"/>
        <v>HW</v>
      </c>
      <c r="R30" s="256" t="str">
        <f t="shared" si="3"/>
        <v>HL</v>
      </c>
      <c r="S30" s="256" t="str">
        <f t="shared" si="4"/>
        <v>HL</v>
      </c>
      <c r="T30" s="256" t="str">
        <f t="shared" si="5"/>
        <v>HL</v>
      </c>
      <c r="U30" s="256" t="str">
        <f t="shared" si="6"/>
        <v>O</v>
      </c>
      <c r="V30" s="256" t="str">
        <f t="shared" si="7"/>
        <v>U</v>
      </c>
      <c r="W30" s="256" t="str">
        <f t="shared" si="8"/>
        <v>U</v>
      </c>
      <c r="X30" s="256" t="str">
        <f t="shared" si="9"/>
        <v>O</v>
      </c>
      <c r="Z30">
        <v>56.5</v>
      </c>
      <c r="AA30" s="256" t="str">
        <f t="shared" si="10"/>
        <v>MIN/TOR</v>
      </c>
    </row>
    <row r="31" spans="1:27" x14ac:dyDescent="0.3">
      <c r="A31" s="256">
        <v>200119</v>
      </c>
      <c r="B31" s="257">
        <v>0.4375</v>
      </c>
      <c r="C31" s="256" t="s">
        <v>425</v>
      </c>
      <c r="D31" s="256" t="s">
        <v>424</v>
      </c>
      <c r="E31" s="256">
        <v>28</v>
      </c>
      <c r="F31" s="256">
        <v>25</v>
      </c>
      <c r="G31" s="256">
        <v>29</v>
      </c>
      <c r="H31" s="256">
        <v>27</v>
      </c>
      <c r="I31" s="256"/>
      <c r="J31" s="256">
        <v>25</v>
      </c>
      <c r="K31" s="256">
        <v>27</v>
      </c>
      <c r="L31" s="256">
        <v>19</v>
      </c>
      <c r="M31" s="256">
        <v>24</v>
      </c>
      <c r="N31" s="256"/>
      <c r="O31" s="256">
        <f t="shared" si="0"/>
        <v>109</v>
      </c>
      <c r="P31" s="256">
        <f t="shared" si="1"/>
        <v>95</v>
      </c>
      <c r="Q31" s="256" t="str">
        <f t="shared" si="2"/>
        <v>HW</v>
      </c>
      <c r="R31" s="256" t="str">
        <f t="shared" si="3"/>
        <v>HL</v>
      </c>
      <c r="S31" s="256" t="str">
        <f t="shared" si="4"/>
        <v>HW</v>
      </c>
      <c r="T31" s="256" t="str">
        <f t="shared" si="5"/>
        <v>HW</v>
      </c>
      <c r="U31" s="256" t="str">
        <f t="shared" si="6"/>
        <v>U</v>
      </c>
      <c r="V31" s="256" t="str">
        <f t="shared" si="7"/>
        <v>U</v>
      </c>
      <c r="W31" s="256" t="str">
        <f t="shared" si="8"/>
        <v>U</v>
      </c>
      <c r="X31" s="256" t="str">
        <f t="shared" si="9"/>
        <v>U</v>
      </c>
      <c r="Z31">
        <v>54</v>
      </c>
      <c r="AA31" s="256" t="str">
        <f t="shared" si="10"/>
        <v>GS/ORL</v>
      </c>
    </row>
    <row r="32" spans="1:27" x14ac:dyDescent="0.3">
      <c r="A32" s="256">
        <v>200119</v>
      </c>
      <c r="B32" s="257">
        <v>0.4375</v>
      </c>
      <c r="C32" s="256" t="s">
        <v>403</v>
      </c>
      <c r="D32" s="256" t="s">
        <v>419</v>
      </c>
      <c r="E32" s="256">
        <v>34</v>
      </c>
      <c r="F32" s="256">
        <v>31</v>
      </c>
      <c r="G32" s="256">
        <v>17</v>
      </c>
      <c r="H32" s="256">
        <v>33</v>
      </c>
      <c r="I32" s="256"/>
      <c r="J32" s="256">
        <v>27</v>
      </c>
      <c r="K32" s="256">
        <v>32</v>
      </c>
      <c r="L32" s="256">
        <v>32</v>
      </c>
      <c r="M32" s="256">
        <v>33</v>
      </c>
      <c r="N32" s="256"/>
      <c r="O32" s="256">
        <f t="shared" si="0"/>
        <v>115</v>
      </c>
      <c r="P32" s="256">
        <f t="shared" si="1"/>
        <v>124</v>
      </c>
      <c r="Q32" s="256" t="str">
        <f t="shared" si="2"/>
        <v>HW</v>
      </c>
      <c r="R32" s="256" t="str">
        <f t="shared" si="3"/>
        <v>HL</v>
      </c>
      <c r="S32" s="256" t="str">
        <f t="shared" si="4"/>
        <v>HL</v>
      </c>
      <c r="T32" s="256" t="str">
        <f t="shared" si="5"/>
        <v>TT</v>
      </c>
      <c r="U32" s="256" t="str">
        <f t="shared" si="6"/>
        <v>O</v>
      </c>
      <c r="V32" s="256" t="str">
        <f t="shared" si="7"/>
        <v>O</v>
      </c>
      <c r="W32" s="256" t="str">
        <f t="shared" si="8"/>
        <v>U</v>
      </c>
      <c r="X32" s="256" t="str">
        <f t="shared" si="9"/>
        <v>O</v>
      </c>
      <c r="Z32">
        <v>59.5</v>
      </c>
      <c r="AA32" s="256" t="str">
        <f t="shared" si="10"/>
        <v>HOU/LAL</v>
      </c>
    </row>
    <row r="33" spans="1:27" x14ac:dyDescent="0.3">
      <c r="A33" s="256">
        <v>200119</v>
      </c>
      <c r="B33" s="257">
        <v>0.45833333333333331</v>
      </c>
      <c r="C33" s="256" t="s">
        <v>418</v>
      </c>
      <c r="D33" s="256" t="s">
        <v>417</v>
      </c>
      <c r="E33" s="256">
        <v>32</v>
      </c>
      <c r="F33" s="256">
        <v>32</v>
      </c>
      <c r="G33" s="256">
        <v>23</v>
      </c>
      <c r="H33" s="256">
        <v>32</v>
      </c>
      <c r="I33" s="256"/>
      <c r="J33" s="256">
        <v>24</v>
      </c>
      <c r="K33" s="256">
        <v>33</v>
      </c>
      <c r="L33" s="256">
        <v>20</v>
      </c>
      <c r="M33" s="256">
        <v>29</v>
      </c>
      <c r="N33" s="256"/>
      <c r="O33" s="256">
        <f t="shared" si="0"/>
        <v>119</v>
      </c>
      <c r="P33" s="256">
        <f t="shared" si="1"/>
        <v>106</v>
      </c>
      <c r="Q33" s="256" t="str">
        <f t="shared" si="2"/>
        <v>HW</v>
      </c>
      <c r="R33" s="256" t="str">
        <f t="shared" si="3"/>
        <v>HL</v>
      </c>
      <c r="S33" s="256" t="str">
        <f t="shared" si="4"/>
        <v>HW</v>
      </c>
      <c r="T33" s="256" t="str">
        <f t="shared" si="5"/>
        <v>HW</v>
      </c>
      <c r="U33" s="256" t="str">
        <f t="shared" si="6"/>
        <v>O</v>
      </c>
      <c r="V33" s="256" t="str">
        <f t="shared" si="7"/>
        <v>O</v>
      </c>
      <c r="W33" s="256" t="str">
        <f t="shared" si="8"/>
        <v>U</v>
      </c>
      <c r="X33" s="256" t="str">
        <f t="shared" si="9"/>
        <v>O</v>
      </c>
      <c r="Z33">
        <v>54</v>
      </c>
      <c r="AA33" s="256" t="str">
        <f t="shared" si="10"/>
        <v>OKC/POR</v>
      </c>
    </row>
    <row r="34" spans="1:27" x14ac:dyDescent="0.3">
      <c r="A34" s="256">
        <v>200119</v>
      </c>
      <c r="B34" s="257">
        <v>0.45833333333333331</v>
      </c>
      <c r="C34" s="256" t="s">
        <v>405</v>
      </c>
      <c r="D34" s="256" t="s">
        <v>416</v>
      </c>
      <c r="E34" s="256">
        <v>38</v>
      </c>
      <c r="F34" s="256">
        <v>25</v>
      </c>
      <c r="G34" s="256">
        <v>32</v>
      </c>
      <c r="H34" s="256">
        <v>28</v>
      </c>
      <c r="I34" s="256"/>
      <c r="J34" s="256">
        <v>22</v>
      </c>
      <c r="K34" s="256">
        <v>27</v>
      </c>
      <c r="L34" s="256">
        <v>28</v>
      </c>
      <c r="M34" s="256">
        <v>24</v>
      </c>
      <c r="N34" s="256"/>
      <c r="O34" s="256">
        <f t="shared" si="0"/>
        <v>123</v>
      </c>
      <c r="P34" s="256">
        <f t="shared" si="1"/>
        <v>101</v>
      </c>
      <c r="Q34" s="256" t="str">
        <f t="shared" si="2"/>
        <v>HW</v>
      </c>
      <c r="R34" s="256" t="str">
        <f t="shared" si="3"/>
        <v>HL</v>
      </c>
      <c r="S34" s="256" t="str">
        <f t="shared" si="4"/>
        <v>HW</v>
      </c>
      <c r="T34" s="256" t="str">
        <f t="shared" si="5"/>
        <v>HW</v>
      </c>
      <c r="U34" s="256" t="str">
        <f t="shared" si="6"/>
        <v>O</v>
      </c>
      <c r="V34" s="256" t="str">
        <f t="shared" si="7"/>
        <v>U</v>
      </c>
      <c r="W34" s="256" t="str">
        <f t="shared" si="8"/>
        <v>O</v>
      </c>
      <c r="X34" s="256" t="str">
        <f t="shared" si="9"/>
        <v>U</v>
      </c>
      <c r="Z34">
        <v>56</v>
      </c>
      <c r="AA34" s="256" t="str">
        <f t="shared" si="10"/>
        <v>UTA/SAC</v>
      </c>
    </row>
    <row r="35" spans="1:27" x14ac:dyDescent="0.3">
      <c r="A35" s="256">
        <v>200120</v>
      </c>
      <c r="B35" s="257">
        <v>0.20833333333333334</v>
      </c>
      <c r="C35" s="256" t="s">
        <v>426</v>
      </c>
      <c r="D35" s="256" t="s">
        <v>411</v>
      </c>
      <c r="E35" s="256">
        <v>28</v>
      </c>
      <c r="F35" s="256">
        <v>32</v>
      </c>
      <c r="G35" s="256">
        <v>26</v>
      </c>
      <c r="H35" s="256">
        <v>21</v>
      </c>
      <c r="I35" s="256"/>
      <c r="J35" s="256">
        <v>31</v>
      </c>
      <c r="K35" s="256">
        <v>23</v>
      </c>
      <c r="L35" s="256">
        <v>30</v>
      </c>
      <c r="M35" s="256">
        <v>18</v>
      </c>
      <c r="N35" s="256"/>
      <c r="O35" s="256">
        <f t="shared" si="0"/>
        <v>107</v>
      </c>
      <c r="P35" s="256">
        <f t="shared" si="1"/>
        <v>102</v>
      </c>
      <c r="Q35" s="256" t="str">
        <f t="shared" si="2"/>
        <v>HL</v>
      </c>
      <c r="R35" s="256" t="str">
        <f t="shared" si="3"/>
        <v>HW</v>
      </c>
      <c r="S35" s="256" t="str">
        <f t="shared" si="4"/>
        <v>HL</v>
      </c>
      <c r="T35" s="256" t="str">
        <f t="shared" si="5"/>
        <v>HW</v>
      </c>
      <c r="U35" s="256" t="str">
        <f t="shared" si="6"/>
        <v>O</v>
      </c>
      <c r="V35" s="256" t="str">
        <f t="shared" si="7"/>
        <v>U</v>
      </c>
      <c r="W35" s="256" t="str">
        <f t="shared" si="8"/>
        <v>T</v>
      </c>
      <c r="X35" s="256" t="str">
        <f t="shared" si="9"/>
        <v>U</v>
      </c>
      <c r="Z35">
        <v>56</v>
      </c>
      <c r="AA35" s="256" t="str">
        <f t="shared" si="10"/>
        <v>SAS/MIA</v>
      </c>
    </row>
    <row r="36" spans="1:27" x14ac:dyDescent="0.3">
      <c r="A36" s="256">
        <v>200120</v>
      </c>
      <c r="B36" s="257">
        <v>0.41666666666666669</v>
      </c>
      <c r="C36" s="256" t="s">
        <v>408</v>
      </c>
      <c r="D36" s="256" t="s">
        <v>400</v>
      </c>
      <c r="E36" s="256">
        <v>21</v>
      </c>
      <c r="F36" s="256">
        <v>29</v>
      </c>
      <c r="G36" s="256">
        <v>31</v>
      </c>
      <c r="H36" s="256">
        <v>26</v>
      </c>
      <c r="I36" s="256"/>
      <c r="J36" s="256">
        <v>15</v>
      </c>
      <c r="K36" s="256">
        <v>29</v>
      </c>
      <c r="L36" s="256">
        <v>30</v>
      </c>
      <c r="M36" s="256">
        <v>41</v>
      </c>
      <c r="N36" s="256"/>
      <c r="O36" s="256">
        <f t="shared" si="0"/>
        <v>107</v>
      </c>
      <c r="P36" s="256">
        <f t="shared" si="1"/>
        <v>115</v>
      </c>
      <c r="Q36" s="256" t="str">
        <f t="shared" si="2"/>
        <v>HW</v>
      </c>
      <c r="R36" s="256" t="str">
        <f t="shared" si="3"/>
        <v>TT</v>
      </c>
      <c r="S36" s="256" t="str">
        <f t="shared" si="4"/>
        <v>HW</v>
      </c>
      <c r="T36" s="256" t="str">
        <f t="shared" si="5"/>
        <v>HL</v>
      </c>
      <c r="U36" s="256" t="str">
        <f t="shared" si="6"/>
        <v>U</v>
      </c>
      <c r="V36" s="256" t="str">
        <f t="shared" si="7"/>
        <v>O</v>
      </c>
      <c r="W36" s="256" t="str">
        <f t="shared" si="8"/>
        <v>O</v>
      </c>
      <c r="X36" s="256" t="str">
        <f t="shared" si="9"/>
        <v>O</v>
      </c>
      <c r="Z36">
        <v>53.5</v>
      </c>
      <c r="AA36" s="256" t="str">
        <f t="shared" si="10"/>
        <v>DEN/IND</v>
      </c>
    </row>
    <row r="37" spans="1:27" x14ac:dyDescent="0.3">
      <c r="A37" s="256">
        <v>200121</v>
      </c>
      <c r="B37" s="257">
        <v>0.16666666666666666</v>
      </c>
      <c r="C37" s="256" t="s">
        <v>414</v>
      </c>
      <c r="D37" s="256" t="s">
        <v>422</v>
      </c>
      <c r="E37" s="256">
        <v>30</v>
      </c>
      <c r="F37" s="256">
        <v>30</v>
      </c>
      <c r="G37" s="256">
        <v>23</v>
      </c>
      <c r="H37" s="256">
        <v>23</v>
      </c>
      <c r="I37" s="256"/>
      <c r="J37" s="256">
        <v>35</v>
      </c>
      <c r="K37" s="256">
        <v>23</v>
      </c>
      <c r="L37" s="256">
        <v>23</v>
      </c>
      <c r="M37" s="256">
        <v>19</v>
      </c>
      <c r="N37" s="256" t="s">
        <v>427</v>
      </c>
      <c r="O37" s="256">
        <f t="shared" si="0"/>
        <v>106</v>
      </c>
      <c r="P37" s="256">
        <f t="shared" si="1"/>
        <v>100</v>
      </c>
      <c r="Q37" s="256" t="str">
        <f t="shared" si="2"/>
        <v>HL</v>
      </c>
      <c r="R37" s="256" t="str">
        <f t="shared" si="3"/>
        <v>HW</v>
      </c>
      <c r="S37" s="256" t="str">
        <f t="shared" si="4"/>
        <v>TT</v>
      </c>
      <c r="T37" s="256" t="str">
        <f t="shared" si="5"/>
        <v>HW</v>
      </c>
      <c r="U37" s="256" t="str">
        <f t="shared" si="6"/>
        <v>O</v>
      </c>
      <c r="V37" s="256" t="str">
        <f t="shared" si="7"/>
        <v>U</v>
      </c>
      <c r="W37" s="256" t="str">
        <f t="shared" si="8"/>
        <v>U</v>
      </c>
      <c r="X37" s="256" t="str">
        <f t="shared" si="9"/>
        <v>U</v>
      </c>
      <c r="Z37">
        <v>58.5</v>
      </c>
      <c r="AA37" s="256" t="str">
        <f t="shared" si="10"/>
        <v>WAS/DET</v>
      </c>
    </row>
    <row r="38" spans="1:27" x14ac:dyDescent="0.3">
      <c r="A38" s="256">
        <v>200121</v>
      </c>
      <c r="B38" s="257">
        <v>0.1875</v>
      </c>
      <c r="C38" s="256" t="s">
        <v>410</v>
      </c>
      <c r="D38" s="256" t="s">
        <v>413</v>
      </c>
      <c r="E38" s="256">
        <v>25</v>
      </c>
      <c r="F38" s="256">
        <v>35</v>
      </c>
      <c r="G38" s="256">
        <v>22</v>
      </c>
      <c r="H38" s="256">
        <v>35</v>
      </c>
      <c r="I38" s="256"/>
      <c r="J38" s="256">
        <v>36</v>
      </c>
      <c r="K38" s="256">
        <v>21</v>
      </c>
      <c r="L38" s="256">
        <v>26</v>
      </c>
      <c r="M38" s="256">
        <v>39</v>
      </c>
      <c r="N38" s="256"/>
      <c r="O38" s="256">
        <f t="shared" si="0"/>
        <v>117</v>
      </c>
      <c r="P38" s="256">
        <f t="shared" si="1"/>
        <v>122</v>
      </c>
      <c r="Q38" s="256" t="str">
        <f t="shared" si="2"/>
        <v>HL</v>
      </c>
      <c r="R38" s="256" t="str">
        <f t="shared" si="3"/>
        <v>HW</v>
      </c>
      <c r="S38" s="256" t="str">
        <f t="shared" si="4"/>
        <v>HL</v>
      </c>
      <c r="T38" s="256" t="str">
        <f t="shared" si="5"/>
        <v>HL</v>
      </c>
      <c r="U38" s="256" t="str">
        <f t="shared" si="6"/>
        <v>O</v>
      </c>
      <c r="V38" s="256" t="str">
        <f t="shared" si="7"/>
        <v>U</v>
      </c>
      <c r="W38" s="256" t="str">
        <f t="shared" si="8"/>
        <v>U</v>
      </c>
      <c r="X38" s="256" t="str">
        <f t="shared" si="9"/>
        <v>O</v>
      </c>
      <c r="Z38">
        <v>58</v>
      </c>
      <c r="AA38" s="256" t="str">
        <f t="shared" si="10"/>
        <v>ATL/TOR</v>
      </c>
    </row>
    <row r="39" spans="1:27" x14ac:dyDescent="0.3">
      <c r="A39" s="256">
        <v>200121</v>
      </c>
      <c r="B39" s="257">
        <v>0.20833333333333334</v>
      </c>
      <c r="C39" s="256" t="s">
        <v>407</v>
      </c>
      <c r="D39" s="256" t="s">
        <v>401</v>
      </c>
      <c r="E39" s="256">
        <v>32</v>
      </c>
      <c r="F39" s="256">
        <v>36</v>
      </c>
      <c r="G39" s="256">
        <v>23</v>
      </c>
      <c r="H39" s="256">
        <v>20</v>
      </c>
      <c r="I39" s="256"/>
      <c r="J39" s="256">
        <v>29</v>
      </c>
      <c r="K39" s="256">
        <v>35</v>
      </c>
      <c r="L39" s="256">
        <v>26</v>
      </c>
      <c r="M39" s="256">
        <v>27</v>
      </c>
      <c r="N39" s="256"/>
      <c r="O39" s="256">
        <f t="shared" si="0"/>
        <v>111</v>
      </c>
      <c r="P39" s="256">
        <f t="shared" si="1"/>
        <v>117</v>
      </c>
      <c r="Q39" s="256" t="str">
        <f t="shared" si="2"/>
        <v>HW</v>
      </c>
      <c r="R39" s="256" t="str">
        <f t="shared" si="3"/>
        <v>HW</v>
      </c>
      <c r="S39" s="256" t="str">
        <f t="shared" si="4"/>
        <v>HL</v>
      </c>
      <c r="T39" s="256" t="str">
        <f t="shared" si="5"/>
        <v>HL</v>
      </c>
      <c r="U39" s="256" t="str">
        <f t="shared" si="6"/>
        <v>O</v>
      </c>
      <c r="V39" s="256" t="str">
        <f t="shared" si="7"/>
        <v>O</v>
      </c>
      <c r="W39" s="256" t="str">
        <f t="shared" si="8"/>
        <v>U</v>
      </c>
      <c r="X39" s="256" t="str">
        <f t="shared" si="9"/>
        <v>U</v>
      </c>
      <c r="Z39">
        <v>55</v>
      </c>
      <c r="AA39" s="256" t="str">
        <f t="shared" si="10"/>
        <v>BKN/PHI</v>
      </c>
    </row>
    <row r="40" spans="1:27" x14ac:dyDescent="0.3">
      <c r="A40" s="256">
        <v>200121</v>
      </c>
      <c r="B40" s="257">
        <v>0.29166666666666669</v>
      </c>
      <c r="C40" s="256" t="s">
        <v>402</v>
      </c>
      <c r="D40" s="256" t="s">
        <v>399</v>
      </c>
      <c r="E40" s="256">
        <v>26</v>
      </c>
      <c r="F40" s="256">
        <v>24</v>
      </c>
      <c r="G40" s="256">
        <v>14</v>
      </c>
      <c r="H40" s="256">
        <v>22</v>
      </c>
      <c r="I40" s="256"/>
      <c r="J40" s="256">
        <v>26</v>
      </c>
      <c r="K40" s="256">
        <v>23</v>
      </c>
      <c r="L40" s="256">
        <v>30</v>
      </c>
      <c r="M40" s="256">
        <v>27</v>
      </c>
      <c r="N40" s="256" t="s">
        <v>427</v>
      </c>
      <c r="O40" s="256">
        <f t="shared" si="0"/>
        <v>86</v>
      </c>
      <c r="P40" s="256">
        <f t="shared" si="1"/>
        <v>106</v>
      </c>
      <c r="Q40" s="256" t="str">
        <f t="shared" si="2"/>
        <v>TT</v>
      </c>
      <c r="R40" s="256" t="str">
        <f t="shared" si="3"/>
        <v>HW</v>
      </c>
      <c r="S40" s="256" t="str">
        <f t="shared" si="4"/>
        <v>HL</v>
      </c>
      <c r="T40" s="256" t="str">
        <f t="shared" si="5"/>
        <v>HL</v>
      </c>
      <c r="U40" s="256" t="str">
        <f t="shared" si="6"/>
        <v>U</v>
      </c>
      <c r="V40" s="256" t="str">
        <f t="shared" si="7"/>
        <v>U</v>
      </c>
      <c r="W40" s="256" t="str">
        <f t="shared" si="8"/>
        <v>U</v>
      </c>
      <c r="X40" s="256" t="str">
        <f t="shared" si="9"/>
        <v>U</v>
      </c>
      <c r="Z40">
        <v>56</v>
      </c>
      <c r="AA40" s="256" t="str">
        <f t="shared" si="10"/>
        <v>CLE/NYK</v>
      </c>
    </row>
    <row r="41" spans="1:27" x14ac:dyDescent="0.3">
      <c r="A41" s="256">
        <v>200121</v>
      </c>
      <c r="B41" s="257">
        <v>0.29166666666666669</v>
      </c>
      <c r="C41" s="256" t="s">
        <v>403</v>
      </c>
      <c r="D41" s="256" t="s">
        <v>418</v>
      </c>
      <c r="E41" s="256">
        <v>25</v>
      </c>
      <c r="F41" s="256">
        <v>39</v>
      </c>
      <c r="G41" s="256">
        <v>23</v>
      </c>
      <c r="H41" s="256">
        <v>20</v>
      </c>
      <c r="I41" s="256"/>
      <c r="J41" s="256">
        <v>22</v>
      </c>
      <c r="K41" s="256">
        <v>35</v>
      </c>
      <c r="L41" s="256">
        <v>14</v>
      </c>
      <c r="M41" s="256">
        <v>41</v>
      </c>
      <c r="N41" s="256" t="s">
        <v>427</v>
      </c>
      <c r="O41" s="256">
        <f t="shared" si="0"/>
        <v>107</v>
      </c>
      <c r="P41" s="256">
        <f t="shared" si="1"/>
        <v>112</v>
      </c>
      <c r="Q41" s="256" t="str">
        <f t="shared" si="2"/>
        <v>HW</v>
      </c>
      <c r="R41" s="256" t="str">
        <f t="shared" si="3"/>
        <v>HW</v>
      </c>
      <c r="S41" s="256" t="str">
        <f t="shared" si="4"/>
        <v>HW</v>
      </c>
      <c r="T41" s="256" t="str">
        <f t="shared" si="5"/>
        <v>HL</v>
      </c>
      <c r="U41" s="256" t="str">
        <f t="shared" si="6"/>
        <v>U</v>
      </c>
      <c r="V41" s="256" t="str">
        <f t="shared" si="7"/>
        <v>O</v>
      </c>
      <c r="W41" s="256" t="str">
        <f t="shared" si="8"/>
        <v>U</v>
      </c>
      <c r="X41" s="256" t="str">
        <f t="shared" si="9"/>
        <v>O</v>
      </c>
      <c r="Z41">
        <v>58</v>
      </c>
      <c r="AA41" s="256" t="str">
        <f t="shared" si="10"/>
        <v>HOU/OKC</v>
      </c>
    </row>
    <row r="42" spans="1:27" x14ac:dyDescent="0.3">
      <c r="A42" s="256">
        <v>200121</v>
      </c>
      <c r="B42" s="257">
        <v>0.29166666666666669</v>
      </c>
      <c r="C42" s="256" t="s">
        <v>411</v>
      </c>
      <c r="D42" s="256" t="s">
        <v>416</v>
      </c>
      <c r="E42" s="256">
        <v>21</v>
      </c>
      <c r="F42" s="256">
        <v>35</v>
      </c>
      <c r="G42" s="256">
        <v>20</v>
      </c>
      <c r="H42" s="256">
        <v>29</v>
      </c>
      <c r="I42" s="256">
        <v>13</v>
      </c>
      <c r="J42" s="256">
        <v>24</v>
      </c>
      <c r="K42" s="256">
        <v>34</v>
      </c>
      <c r="L42" s="256">
        <v>20</v>
      </c>
      <c r="M42" s="256">
        <v>27</v>
      </c>
      <c r="N42" s="256">
        <v>8</v>
      </c>
      <c r="O42" s="256">
        <f t="shared" si="0"/>
        <v>118</v>
      </c>
      <c r="P42" s="256">
        <f t="shared" si="1"/>
        <v>113</v>
      </c>
      <c r="Q42" s="256" t="str">
        <f t="shared" si="2"/>
        <v>HL</v>
      </c>
      <c r="R42" s="256" t="str">
        <f t="shared" si="3"/>
        <v>HW</v>
      </c>
      <c r="S42" s="256" t="str">
        <f t="shared" si="4"/>
        <v>TT</v>
      </c>
      <c r="T42" s="256" t="str">
        <f t="shared" si="5"/>
        <v>HW</v>
      </c>
      <c r="U42" s="256" t="str">
        <f t="shared" si="6"/>
        <v>U</v>
      </c>
      <c r="V42" s="256" t="str">
        <f t="shared" si="7"/>
        <v>O</v>
      </c>
      <c r="W42" s="256" t="str">
        <f t="shared" si="8"/>
        <v>U</v>
      </c>
      <c r="X42" s="256" t="str">
        <f t="shared" si="9"/>
        <v>O</v>
      </c>
      <c r="Z42">
        <v>55.5</v>
      </c>
      <c r="AA42" s="256" t="str">
        <f t="shared" si="10"/>
        <v>MIA/SAC</v>
      </c>
    </row>
    <row r="43" spans="1:27" x14ac:dyDescent="0.3">
      <c r="A43" s="256">
        <v>200121</v>
      </c>
      <c r="B43" s="257">
        <v>0.29166666666666669</v>
      </c>
      <c r="C43" s="256" t="s">
        <v>423</v>
      </c>
      <c r="D43" s="256" t="s">
        <v>412</v>
      </c>
      <c r="E43" s="256">
        <v>30</v>
      </c>
      <c r="F43" s="256">
        <v>23</v>
      </c>
      <c r="G43" s="256">
        <v>31</v>
      </c>
      <c r="H43" s="256">
        <v>27</v>
      </c>
      <c r="I43" s="256"/>
      <c r="J43" s="256">
        <v>23</v>
      </c>
      <c r="K43" s="256">
        <v>29</v>
      </c>
      <c r="L43" s="256">
        <v>25</v>
      </c>
      <c r="M43" s="256">
        <v>21</v>
      </c>
      <c r="N43" s="256" t="s">
        <v>427</v>
      </c>
      <c r="O43" s="256">
        <f t="shared" si="0"/>
        <v>111</v>
      </c>
      <c r="P43" s="256">
        <f t="shared" si="1"/>
        <v>98</v>
      </c>
      <c r="Q43" s="256" t="str">
        <f t="shared" si="2"/>
        <v>HW</v>
      </c>
      <c r="R43" s="256" t="str">
        <f t="shared" si="3"/>
        <v>HL</v>
      </c>
      <c r="S43" s="256" t="str">
        <f t="shared" si="4"/>
        <v>HW</v>
      </c>
      <c r="T43" s="256" t="str">
        <f t="shared" si="5"/>
        <v>HW</v>
      </c>
      <c r="U43" s="256" t="str">
        <f t="shared" si="6"/>
        <v>U</v>
      </c>
      <c r="V43" s="256" t="str">
        <f t="shared" si="7"/>
        <v>U</v>
      </c>
      <c r="W43" s="256" t="str">
        <f t="shared" si="8"/>
        <v>U</v>
      </c>
      <c r="X43" s="256" t="str">
        <f t="shared" si="9"/>
        <v>U</v>
      </c>
      <c r="Z43">
        <v>56.5</v>
      </c>
      <c r="AA43" s="256" t="str">
        <f t="shared" si="10"/>
        <v>MIL/CHI</v>
      </c>
    </row>
    <row r="44" spans="1:27" x14ac:dyDescent="0.3">
      <c r="A44" s="256">
        <v>200121</v>
      </c>
      <c r="B44" s="257">
        <v>0.29166666666666669</v>
      </c>
      <c r="C44" s="256" t="s">
        <v>406</v>
      </c>
      <c r="D44" s="256" t="s">
        <v>398</v>
      </c>
      <c r="E44" s="256">
        <v>30</v>
      </c>
      <c r="F44" s="256">
        <v>20</v>
      </c>
      <c r="G44" s="256">
        <v>27</v>
      </c>
      <c r="H44" s="256">
        <v>39</v>
      </c>
      <c r="I44" s="256"/>
      <c r="J44" s="256">
        <v>31</v>
      </c>
      <c r="K44" s="256">
        <v>38</v>
      </c>
      <c r="L44" s="256">
        <v>29</v>
      </c>
      <c r="M44" s="256">
        <v>28</v>
      </c>
      <c r="N44" s="256" t="s">
        <v>427</v>
      </c>
      <c r="O44" s="256">
        <f t="shared" si="0"/>
        <v>116</v>
      </c>
      <c r="P44" s="256">
        <f t="shared" si="1"/>
        <v>126</v>
      </c>
      <c r="Q44" s="256" t="str">
        <f t="shared" si="2"/>
        <v>HL</v>
      </c>
      <c r="R44" s="256" t="str">
        <f t="shared" si="3"/>
        <v>HL</v>
      </c>
      <c r="S44" s="256" t="str">
        <f t="shared" si="4"/>
        <v>HL</v>
      </c>
      <c r="T44" s="256" t="str">
        <f t="shared" si="5"/>
        <v>HW</v>
      </c>
      <c r="U44" s="256" t="str">
        <f t="shared" si="6"/>
        <v>T</v>
      </c>
      <c r="V44" s="256" t="str">
        <f t="shared" si="7"/>
        <v>U</v>
      </c>
      <c r="W44" s="256" t="str">
        <f t="shared" si="8"/>
        <v>U</v>
      </c>
      <c r="X44" s="256" t="str">
        <f t="shared" si="9"/>
        <v>O</v>
      </c>
      <c r="Z44">
        <v>61</v>
      </c>
      <c r="AA44" s="256" t="str">
        <f t="shared" si="10"/>
        <v>MEM/NO</v>
      </c>
    </row>
    <row r="45" spans="1:27" x14ac:dyDescent="0.3">
      <c r="A45" s="256">
        <v>200121</v>
      </c>
      <c r="B45" s="257">
        <v>0.29166666666666669</v>
      </c>
      <c r="C45" s="256" t="s">
        <v>409</v>
      </c>
      <c r="D45" s="256" t="s">
        <v>424</v>
      </c>
      <c r="E45" s="256">
        <v>27</v>
      </c>
      <c r="F45" s="256">
        <v>18</v>
      </c>
      <c r="G45" s="256">
        <v>20</v>
      </c>
      <c r="H45" s="256">
        <v>18</v>
      </c>
      <c r="I45" s="256"/>
      <c r="J45" s="256">
        <v>19</v>
      </c>
      <c r="K45" s="256">
        <v>32</v>
      </c>
      <c r="L45" s="256">
        <v>21</v>
      </c>
      <c r="M45" s="256">
        <v>34</v>
      </c>
      <c r="N45" s="256"/>
      <c r="O45" s="256">
        <f t="shared" si="0"/>
        <v>83</v>
      </c>
      <c r="P45" s="256">
        <f t="shared" si="1"/>
        <v>106</v>
      </c>
      <c r="Q45" s="256" t="str">
        <f t="shared" si="2"/>
        <v>HW</v>
      </c>
      <c r="R45" s="256" t="str">
        <f t="shared" si="3"/>
        <v>HL</v>
      </c>
      <c r="S45" s="256" t="str">
        <f t="shared" si="4"/>
        <v>HL</v>
      </c>
      <c r="T45" s="256" t="str">
        <f t="shared" si="5"/>
        <v>HL</v>
      </c>
      <c r="U45" s="256" t="str">
        <f t="shared" si="6"/>
        <v>U</v>
      </c>
      <c r="V45" s="256" t="str">
        <f t="shared" si="7"/>
        <v>U</v>
      </c>
      <c r="W45" s="256" t="str">
        <f t="shared" si="8"/>
        <v>U</v>
      </c>
      <c r="X45" s="256" t="str">
        <f t="shared" si="9"/>
        <v>T</v>
      </c>
      <c r="Z45">
        <v>52</v>
      </c>
      <c r="AA45" s="256" t="str">
        <f t="shared" si="10"/>
        <v>CHA/ORL</v>
      </c>
    </row>
    <row r="46" spans="1:27" x14ac:dyDescent="0.3">
      <c r="A46" s="256">
        <v>200121</v>
      </c>
      <c r="B46" s="257">
        <v>0.39583333333333331</v>
      </c>
      <c r="C46" s="256" t="s">
        <v>421</v>
      </c>
      <c r="D46" s="256" t="s">
        <v>419</v>
      </c>
      <c r="E46" s="256">
        <v>33</v>
      </c>
      <c r="F46" s="256">
        <v>36</v>
      </c>
      <c r="G46" s="256">
        <v>35</v>
      </c>
      <c r="H46" s="256">
        <v>35</v>
      </c>
      <c r="I46" s="256"/>
      <c r="J46" s="256">
        <v>30</v>
      </c>
      <c r="K46" s="256">
        <v>25</v>
      </c>
      <c r="L46" s="256">
        <v>25</v>
      </c>
      <c r="M46" s="256">
        <v>27</v>
      </c>
      <c r="N46" s="256"/>
      <c r="O46" s="256">
        <f t="shared" si="0"/>
        <v>139</v>
      </c>
      <c r="P46" s="256">
        <f t="shared" si="1"/>
        <v>107</v>
      </c>
      <c r="Q46" s="256" t="str">
        <f t="shared" si="2"/>
        <v>HW</v>
      </c>
      <c r="R46" s="256" t="str">
        <f t="shared" si="3"/>
        <v>HW</v>
      </c>
      <c r="S46" s="256" t="str">
        <f t="shared" si="4"/>
        <v>HW</v>
      </c>
      <c r="T46" s="256" t="str">
        <f t="shared" si="5"/>
        <v>HW</v>
      </c>
      <c r="U46" s="256" t="str">
        <f t="shared" si="6"/>
        <v>O</v>
      </c>
      <c r="V46" s="256" t="str">
        <f t="shared" si="7"/>
        <v>O</v>
      </c>
      <c r="W46" s="256" t="str">
        <f t="shared" si="8"/>
        <v>O</v>
      </c>
      <c r="X46" s="256" t="str">
        <f t="shared" si="9"/>
        <v>O</v>
      </c>
      <c r="Z46">
        <v>57</v>
      </c>
      <c r="AA46" s="256" t="str">
        <f t="shared" si="10"/>
        <v>BOS/LAL</v>
      </c>
    </row>
    <row r="47" spans="1:27" x14ac:dyDescent="0.3">
      <c r="A47" s="256">
        <v>200121</v>
      </c>
      <c r="B47" s="257">
        <v>0.41666666666666669</v>
      </c>
      <c r="C47" s="256" t="s">
        <v>420</v>
      </c>
      <c r="D47" s="256" t="s">
        <v>408</v>
      </c>
      <c r="E47" s="256">
        <v>29</v>
      </c>
      <c r="F47" s="256">
        <v>25</v>
      </c>
      <c r="G47" s="256">
        <v>25</v>
      </c>
      <c r="H47" s="256">
        <v>21</v>
      </c>
      <c r="I47" s="256"/>
      <c r="J47" s="256">
        <v>26</v>
      </c>
      <c r="K47" s="256">
        <v>29</v>
      </c>
      <c r="L47" s="256">
        <v>26</v>
      </c>
      <c r="M47" s="256">
        <v>26</v>
      </c>
      <c r="N47" s="256" t="s">
        <v>427</v>
      </c>
      <c r="O47" s="256">
        <f t="shared" si="0"/>
        <v>100</v>
      </c>
      <c r="P47" s="256">
        <f t="shared" si="1"/>
        <v>107</v>
      </c>
      <c r="Q47" s="256" t="str">
        <f t="shared" si="2"/>
        <v>HW</v>
      </c>
      <c r="R47" s="256" t="str">
        <f t="shared" si="3"/>
        <v>HL</v>
      </c>
      <c r="S47" s="256" t="str">
        <f t="shared" si="4"/>
        <v>HL</v>
      </c>
      <c r="T47" s="256" t="str">
        <f t="shared" si="5"/>
        <v>HL</v>
      </c>
      <c r="U47" s="256" t="str">
        <f t="shared" si="6"/>
        <v>U</v>
      </c>
      <c r="V47" s="256" t="str">
        <f t="shared" si="7"/>
        <v>U</v>
      </c>
      <c r="W47" s="256" t="str">
        <f t="shared" si="8"/>
        <v>U</v>
      </c>
      <c r="X47" s="256" t="str">
        <f t="shared" si="9"/>
        <v>U</v>
      </c>
      <c r="Z47">
        <v>55.5</v>
      </c>
      <c r="AA47" s="256" t="str">
        <f t="shared" si="10"/>
        <v>MIN/DEN</v>
      </c>
    </row>
    <row r="48" spans="1:27" x14ac:dyDescent="0.3">
      <c r="A48" s="256">
        <v>200121</v>
      </c>
      <c r="B48" s="257">
        <v>0.45833333333333331</v>
      </c>
      <c r="C48" s="256" t="s">
        <v>404</v>
      </c>
      <c r="D48" s="256" t="s">
        <v>426</v>
      </c>
      <c r="E48" s="256">
        <v>26</v>
      </c>
      <c r="F48" s="256">
        <v>25</v>
      </c>
      <c r="G48" s="256">
        <v>32</v>
      </c>
      <c r="H48" s="256">
        <v>35</v>
      </c>
      <c r="I48" s="256"/>
      <c r="J48" s="256">
        <v>28</v>
      </c>
      <c r="K48" s="256">
        <v>38</v>
      </c>
      <c r="L48" s="256">
        <v>30</v>
      </c>
      <c r="M48" s="256">
        <v>24</v>
      </c>
      <c r="N48" s="256" t="s">
        <v>427</v>
      </c>
      <c r="O48" s="256">
        <f t="shared" si="0"/>
        <v>118</v>
      </c>
      <c r="P48" s="256">
        <f t="shared" si="1"/>
        <v>120</v>
      </c>
      <c r="Q48" s="256" t="str">
        <f t="shared" si="2"/>
        <v>HL</v>
      </c>
      <c r="R48" s="256" t="str">
        <f t="shared" si="3"/>
        <v>HL</v>
      </c>
      <c r="S48" s="256" t="str">
        <f t="shared" si="4"/>
        <v>HW</v>
      </c>
      <c r="T48" s="256" t="str">
        <f t="shared" si="5"/>
        <v>HW</v>
      </c>
      <c r="U48" s="256" t="str">
        <f t="shared" si="6"/>
        <v>U</v>
      </c>
      <c r="V48" s="256" t="str">
        <f t="shared" si="7"/>
        <v>O</v>
      </c>
      <c r="W48" s="256" t="str">
        <f t="shared" si="8"/>
        <v>O</v>
      </c>
      <c r="X48" s="256" t="str">
        <f t="shared" si="9"/>
        <v>O</v>
      </c>
      <c r="Z48">
        <v>58</v>
      </c>
      <c r="AA48" s="256" t="str">
        <f t="shared" si="10"/>
        <v>PHO/SAS</v>
      </c>
    </row>
    <row r="49" spans="1:27" x14ac:dyDescent="0.3">
      <c r="A49" s="256">
        <v>200121</v>
      </c>
      <c r="B49" s="257">
        <v>0.45833333333333331</v>
      </c>
      <c r="C49" s="256" t="s">
        <v>405</v>
      </c>
      <c r="D49" s="256" t="s">
        <v>400</v>
      </c>
      <c r="E49" s="256">
        <v>29</v>
      </c>
      <c r="F49" s="256">
        <v>27</v>
      </c>
      <c r="G49" s="256">
        <v>24</v>
      </c>
      <c r="H49" s="256">
        <v>38</v>
      </c>
      <c r="I49" s="256"/>
      <c r="J49" s="256">
        <v>23</v>
      </c>
      <c r="K49" s="256">
        <v>21</v>
      </c>
      <c r="L49" s="256">
        <v>19</v>
      </c>
      <c r="M49" s="256">
        <v>25</v>
      </c>
      <c r="N49" s="256" t="s">
        <v>427</v>
      </c>
      <c r="O49" s="256">
        <f t="shared" si="0"/>
        <v>118</v>
      </c>
      <c r="P49" s="256">
        <f t="shared" si="1"/>
        <v>88</v>
      </c>
      <c r="Q49" s="256" t="str">
        <f t="shared" si="2"/>
        <v>HW</v>
      </c>
      <c r="R49" s="256" t="str">
        <f t="shared" si="3"/>
        <v>HW</v>
      </c>
      <c r="S49" s="256" t="str">
        <f t="shared" si="4"/>
        <v>HW</v>
      </c>
      <c r="T49" s="256" t="str">
        <f t="shared" si="5"/>
        <v>HW</v>
      </c>
      <c r="U49" s="256" t="str">
        <f t="shared" si="6"/>
        <v>U</v>
      </c>
      <c r="V49" s="256" t="str">
        <f t="shared" si="7"/>
        <v>U</v>
      </c>
      <c r="W49" s="256" t="str">
        <f t="shared" si="8"/>
        <v>U</v>
      </c>
      <c r="X49" s="256" t="str">
        <f t="shared" si="9"/>
        <v>O</v>
      </c>
      <c r="Z49">
        <v>54</v>
      </c>
      <c r="AA49" s="256" t="str">
        <f t="shared" si="10"/>
        <v>UTA/IND</v>
      </c>
    </row>
    <row r="50" spans="1:27" x14ac:dyDescent="0.3">
      <c r="A50" s="256">
        <v>200121</v>
      </c>
      <c r="B50" s="257">
        <v>0.5</v>
      </c>
      <c r="C50" s="256" t="s">
        <v>417</v>
      </c>
      <c r="D50" s="256" t="s">
        <v>425</v>
      </c>
      <c r="E50" s="256">
        <v>27</v>
      </c>
      <c r="F50" s="256">
        <v>26</v>
      </c>
      <c r="G50" s="256">
        <v>34</v>
      </c>
      <c r="H50" s="256">
        <v>26</v>
      </c>
      <c r="I50" s="256">
        <v>16</v>
      </c>
      <c r="J50" s="256">
        <v>23</v>
      </c>
      <c r="K50" s="256">
        <v>34</v>
      </c>
      <c r="L50" s="256">
        <v>35</v>
      </c>
      <c r="M50" s="256">
        <v>21</v>
      </c>
      <c r="N50" s="256">
        <v>11</v>
      </c>
      <c r="O50" s="256">
        <f t="shared" si="0"/>
        <v>129</v>
      </c>
      <c r="P50" s="256">
        <f t="shared" si="1"/>
        <v>124</v>
      </c>
      <c r="Q50" s="256" t="str">
        <f t="shared" si="2"/>
        <v>HW</v>
      </c>
      <c r="R50" s="256" t="str">
        <f t="shared" si="3"/>
        <v>HL</v>
      </c>
      <c r="S50" s="256" t="str">
        <f t="shared" si="4"/>
        <v>HL</v>
      </c>
      <c r="T50" s="256" t="str">
        <f t="shared" si="5"/>
        <v>HW</v>
      </c>
      <c r="U50" s="256" t="str">
        <f t="shared" si="6"/>
        <v>U</v>
      </c>
      <c r="V50" s="256" t="str">
        <f t="shared" si="7"/>
        <v>O</v>
      </c>
      <c r="W50" s="256" t="str">
        <f t="shared" si="8"/>
        <v>O</v>
      </c>
      <c r="X50" s="256" t="str">
        <f t="shared" si="9"/>
        <v>U</v>
      </c>
      <c r="Z50">
        <v>56</v>
      </c>
      <c r="AA50" s="256" t="str">
        <f t="shared" si="10"/>
        <v>POR/GS</v>
      </c>
    </row>
    <row r="51" spans="1:27" x14ac:dyDescent="0.3">
      <c r="A51" s="256">
        <v>200122</v>
      </c>
      <c r="B51" s="257">
        <v>0.4375</v>
      </c>
      <c r="C51" s="256" t="s">
        <v>397</v>
      </c>
      <c r="D51" s="256" t="s">
        <v>415</v>
      </c>
      <c r="E51" s="256">
        <v>24</v>
      </c>
      <c r="F51" s="256">
        <v>25</v>
      </c>
      <c r="G51" s="256">
        <v>29</v>
      </c>
      <c r="H51" s="256">
        <v>29</v>
      </c>
      <c r="I51" s="256"/>
      <c r="J51" s="256">
        <v>24</v>
      </c>
      <c r="K51" s="256">
        <v>36</v>
      </c>
      <c r="L51" s="256">
        <v>22</v>
      </c>
      <c r="M51" s="256">
        <v>28</v>
      </c>
      <c r="N51" s="256"/>
      <c r="O51" s="256">
        <f t="shared" si="0"/>
        <v>107</v>
      </c>
      <c r="P51" s="256">
        <f t="shared" si="1"/>
        <v>110</v>
      </c>
      <c r="Q51" s="256" t="str">
        <f t="shared" si="2"/>
        <v>TT</v>
      </c>
      <c r="R51" s="256" t="str">
        <f t="shared" si="3"/>
        <v>HL</v>
      </c>
      <c r="S51" s="256" t="str">
        <f t="shared" si="4"/>
        <v>HW</v>
      </c>
      <c r="T51" s="256" t="str">
        <f t="shared" si="5"/>
        <v>HW</v>
      </c>
      <c r="U51" s="256" t="str">
        <f t="shared" si="6"/>
        <v>U</v>
      </c>
      <c r="V51" s="256" t="str">
        <f t="shared" si="7"/>
        <v>O</v>
      </c>
      <c r="W51" s="256" t="str">
        <f t="shared" si="8"/>
        <v>U</v>
      </c>
      <c r="X51" s="256" t="str">
        <f t="shared" si="9"/>
        <v>U</v>
      </c>
      <c r="Z51">
        <v>60</v>
      </c>
      <c r="AA51" s="256" t="str">
        <f t="shared" si="10"/>
        <v>DAL/LAC</v>
      </c>
    </row>
    <row r="52" spans="1:27" x14ac:dyDescent="0.3">
      <c r="A52" s="256">
        <v>200123</v>
      </c>
      <c r="B52" s="257">
        <v>0.375</v>
      </c>
      <c r="C52" s="256" t="s">
        <v>422</v>
      </c>
      <c r="D52" s="256" t="s">
        <v>416</v>
      </c>
      <c r="E52" s="256">
        <v>26</v>
      </c>
      <c r="F52" s="256">
        <v>31</v>
      </c>
      <c r="G52" s="256">
        <v>36</v>
      </c>
      <c r="H52" s="256">
        <v>34</v>
      </c>
      <c r="I52" s="256"/>
      <c r="J52" s="256">
        <v>27</v>
      </c>
      <c r="K52" s="256">
        <v>23</v>
      </c>
      <c r="L52" s="256">
        <v>25</v>
      </c>
      <c r="M52" s="256">
        <v>31</v>
      </c>
      <c r="N52" s="256"/>
      <c r="O52" s="256">
        <f t="shared" si="0"/>
        <v>127</v>
      </c>
      <c r="P52" s="256">
        <f t="shared" si="1"/>
        <v>106</v>
      </c>
      <c r="Q52" s="256" t="str">
        <f t="shared" si="2"/>
        <v>HL</v>
      </c>
      <c r="R52" s="256" t="str">
        <f t="shared" si="3"/>
        <v>HW</v>
      </c>
      <c r="S52" s="256" t="str">
        <f t="shared" si="4"/>
        <v>HW</v>
      </c>
      <c r="T52" s="256" t="str">
        <f t="shared" si="5"/>
        <v>HW</v>
      </c>
      <c r="U52" s="256" t="str">
        <f t="shared" si="6"/>
        <v>U</v>
      </c>
      <c r="V52" s="256" t="str">
        <f t="shared" si="7"/>
        <v>U</v>
      </c>
      <c r="W52" s="256" t="str">
        <f t="shared" si="8"/>
        <v>O</v>
      </c>
      <c r="X52" s="256" t="str">
        <f t="shared" si="9"/>
        <v>O</v>
      </c>
      <c r="Z52">
        <v>57</v>
      </c>
      <c r="AA52" s="256" t="str">
        <f t="shared" si="10"/>
        <v>DET/SAC</v>
      </c>
    </row>
    <row r="53" spans="1:27" x14ac:dyDescent="0.3">
      <c r="A53" s="256">
        <v>200123</v>
      </c>
      <c r="B53" s="257">
        <v>0.375</v>
      </c>
      <c r="C53" s="256" t="s">
        <v>424</v>
      </c>
      <c r="D53" s="256" t="s">
        <v>418</v>
      </c>
      <c r="E53" s="256">
        <v>21</v>
      </c>
      <c r="F53" s="256">
        <v>30</v>
      </c>
      <c r="G53" s="256">
        <v>38</v>
      </c>
      <c r="H53" s="256">
        <v>25</v>
      </c>
      <c r="I53" s="256"/>
      <c r="J53" s="256">
        <v>24</v>
      </c>
      <c r="K53" s="256">
        <v>36</v>
      </c>
      <c r="L53" s="256">
        <v>32</v>
      </c>
      <c r="M53" s="256">
        <v>28</v>
      </c>
      <c r="N53" s="256"/>
      <c r="O53" s="256">
        <f t="shared" si="0"/>
        <v>114</v>
      </c>
      <c r="P53" s="256">
        <f t="shared" si="1"/>
        <v>120</v>
      </c>
      <c r="Q53" s="256" t="str">
        <f t="shared" si="2"/>
        <v>HL</v>
      </c>
      <c r="R53" s="256" t="str">
        <f t="shared" si="3"/>
        <v>HL</v>
      </c>
      <c r="S53" s="256" t="str">
        <f t="shared" si="4"/>
        <v>HW</v>
      </c>
      <c r="T53" s="256" t="str">
        <f t="shared" si="5"/>
        <v>HL</v>
      </c>
      <c r="U53" s="256" t="str">
        <f t="shared" si="6"/>
        <v>U</v>
      </c>
      <c r="V53" s="256" t="str">
        <f t="shared" si="7"/>
        <v>O</v>
      </c>
      <c r="W53" s="256" t="str">
        <f t="shared" si="8"/>
        <v>O</v>
      </c>
      <c r="X53" s="256" t="str">
        <f t="shared" si="9"/>
        <v>U</v>
      </c>
      <c r="Z53">
        <v>54</v>
      </c>
      <c r="AA53" s="256" t="str">
        <f t="shared" si="10"/>
        <v>ORL/OKC</v>
      </c>
    </row>
    <row r="54" spans="1:27" x14ac:dyDescent="0.3">
      <c r="A54" s="256">
        <v>200123</v>
      </c>
      <c r="B54" s="257">
        <v>0.375</v>
      </c>
      <c r="C54" s="256" t="s">
        <v>413</v>
      </c>
      <c r="D54" s="256" t="s">
        <v>401</v>
      </c>
      <c r="E54" s="256">
        <v>26</v>
      </c>
      <c r="F54" s="256">
        <v>24</v>
      </c>
      <c r="G54" s="256">
        <v>26</v>
      </c>
      <c r="H54" s="256">
        <v>31</v>
      </c>
      <c r="I54" s="256"/>
      <c r="J54" s="256">
        <v>35</v>
      </c>
      <c r="K54" s="256">
        <v>15</v>
      </c>
      <c r="L54" s="256">
        <v>22</v>
      </c>
      <c r="M54" s="256">
        <v>23</v>
      </c>
      <c r="N54" s="256"/>
      <c r="O54" s="256">
        <f t="shared" si="0"/>
        <v>107</v>
      </c>
      <c r="P54" s="256">
        <f t="shared" si="1"/>
        <v>95</v>
      </c>
      <c r="Q54" s="256" t="str">
        <f t="shared" si="2"/>
        <v>HL</v>
      </c>
      <c r="R54" s="256" t="str">
        <f t="shared" si="3"/>
        <v>HW</v>
      </c>
      <c r="S54" s="256" t="str">
        <f t="shared" si="4"/>
        <v>HW</v>
      </c>
      <c r="T54" s="256" t="str">
        <f t="shared" si="5"/>
        <v>HW</v>
      </c>
      <c r="U54" s="256" t="str">
        <f t="shared" si="6"/>
        <v>O</v>
      </c>
      <c r="V54" s="256" t="str">
        <f t="shared" si="7"/>
        <v>U</v>
      </c>
      <c r="W54" s="256" t="str">
        <f t="shared" si="8"/>
        <v>U</v>
      </c>
      <c r="X54" s="256" t="str">
        <f t="shared" si="9"/>
        <v>U</v>
      </c>
      <c r="Z54">
        <v>55.5</v>
      </c>
      <c r="AA54" s="256" t="str">
        <f t="shared" si="10"/>
        <v>TOR/PHI</v>
      </c>
    </row>
    <row r="55" spans="1:27" x14ac:dyDescent="0.3">
      <c r="A55" s="256">
        <v>200123</v>
      </c>
      <c r="B55" s="257">
        <v>0.39583333333333331</v>
      </c>
      <c r="C55" s="256" t="s">
        <v>410</v>
      </c>
      <c r="D55" s="256" t="s">
        <v>415</v>
      </c>
      <c r="E55" s="256">
        <v>16</v>
      </c>
      <c r="F55" s="256">
        <v>25</v>
      </c>
      <c r="G55" s="256">
        <v>28</v>
      </c>
      <c r="H55" s="256">
        <v>33</v>
      </c>
      <c r="I55" s="256"/>
      <c r="J55" s="256">
        <v>32</v>
      </c>
      <c r="K55" s="256">
        <v>28</v>
      </c>
      <c r="L55" s="256">
        <v>15</v>
      </c>
      <c r="M55" s="256">
        <v>20</v>
      </c>
      <c r="N55" s="256"/>
      <c r="O55" s="256">
        <f t="shared" si="0"/>
        <v>102</v>
      </c>
      <c r="P55" s="256">
        <f t="shared" si="1"/>
        <v>95</v>
      </c>
      <c r="Q55" s="256" t="str">
        <f t="shared" si="2"/>
        <v>HL</v>
      </c>
      <c r="R55" s="256" t="str">
        <f t="shared" si="3"/>
        <v>HL</v>
      </c>
      <c r="S55" s="256" t="str">
        <f t="shared" si="4"/>
        <v>HW</v>
      </c>
      <c r="T55" s="256" t="str">
        <f t="shared" si="5"/>
        <v>HW</v>
      </c>
      <c r="U55" s="256" t="str">
        <f t="shared" si="6"/>
        <v>U</v>
      </c>
      <c r="V55" s="256" t="str">
        <f t="shared" si="7"/>
        <v>U</v>
      </c>
      <c r="W55" s="256" t="str">
        <f t="shared" si="8"/>
        <v>U</v>
      </c>
      <c r="X55" s="256" t="str">
        <f t="shared" si="9"/>
        <v>U</v>
      </c>
      <c r="Z55">
        <v>59.5</v>
      </c>
      <c r="AA55" s="256" t="str">
        <f t="shared" si="10"/>
        <v>ATL/LAC</v>
      </c>
    </row>
    <row r="56" spans="1:27" x14ac:dyDescent="0.3">
      <c r="A56" s="256">
        <v>200123</v>
      </c>
      <c r="B56" s="257">
        <v>0.39583333333333331</v>
      </c>
      <c r="C56" s="256" t="s">
        <v>421</v>
      </c>
      <c r="D56" s="256" t="s">
        <v>406</v>
      </c>
      <c r="E56" s="256">
        <v>25</v>
      </c>
      <c r="F56" s="256">
        <v>33</v>
      </c>
      <c r="G56" s="256">
        <v>41</v>
      </c>
      <c r="H56" s="256">
        <v>20</v>
      </c>
      <c r="I56" s="256"/>
      <c r="J56" s="256">
        <v>27</v>
      </c>
      <c r="K56" s="256">
        <v>17</v>
      </c>
      <c r="L56" s="256">
        <v>19</v>
      </c>
      <c r="M56" s="256">
        <v>32</v>
      </c>
      <c r="N56" s="256"/>
      <c r="O56" s="256">
        <f t="shared" si="0"/>
        <v>119</v>
      </c>
      <c r="P56" s="256">
        <f t="shared" si="1"/>
        <v>95</v>
      </c>
      <c r="Q56" s="256" t="str">
        <f t="shared" si="2"/>
        <v>HL</v>
      </c>
      <c r="R56" s="256" t="str">
        <f t="shared" si="3"/>
        <v>HW</v>
      </c>
      <c r="S56" s="256" t="str">
        <f t="shared" si="4"/>
        <v>HW</v>
      </c>
      <c r="T56" s="256" t="str">
        <f t="shared" si="5"/>
        <v>HL</v>
      </c>
      <c r="U56" s="256" t="str">
        <f t="shared" si="6"/>
        <v>U</v>
      </c>
      <c r="V56" s="256" t="str">
        <f t="shared" si="7"/>
        <v>U</v>
      </c>
      <c r="W56" s="256" t="str">
        <f t="shared" si="8"/>
        <v>O</v>
      </c>
      <c r="X56" s="256" t="str">
        <f t="shared" si="9"/>
        <v>U</v>
      </c>
      <c r="Z56">
        <v>57</v>
      </c>
      <c r="AA56" s="256" t="str">
        <f t="shared" si="10"/>
        <v>BOS/MEM</v>
      </c>
    </row>
    <row r="57" spans="1:27" x14ac:dyDescent="0.3">
      <c r="A57" s="256">
        <v>200123</v>
      </c>
      <c r="B57" s="257">
        <v>0.39583333333333331</v>
      </c>
      <c r="C57" s="256" t="s">
        <v>411</v>
      </c>
      <c r="D57" s="256" t="s">
        <v>414</v>
      </c>
      <c r="E57" s="256">
        <v>30</v>
      </c>
      <c r="F57" s="256">
        <v>39</v>
      </c>
      <c r="G57" s="256">
        <v>21</v>
      </c>
      <c r="H57" s="256">
        <v>28</v>
      </c>
      <c r="I57" s="256">
        <v>16</v>
      </c>
      <c r="J57" s="256">
        <v>27</v>
      </c>
      <c r="K57" s="256">
        <v>23</v>
      </c>
      <c r="L57" s="256">
        <v>33</v>
      </c>
      <c r="M57" s="256">
        <v>35</v>
      </c>
      <c r="N57" s="256">
        <v>11</v>
      </c>
      <c r="O57" s="256">
        <f t="shared" si="0"/>
        <v>134</v>
      </c>
      <c r="P57" s="256">
        <f t="shared" si="1"/>
        <v>129</v>
      </c>
      <c r="Q57" s="256" t="str">
        <f t="shared" si="2"/>
        <v>HW</v>
      </c>
      <c r="R57" s="256" t="str">
        <f t="shared" si="3"/>
        <v>HW</v>
      </c>
      <c r="S57" s="256" t="str">
        <f t="shared" si="4"/>
        <v>HL</v>
      </c>
      <c r="T57" s="256" t="str">
        <f t="shared" si="5"/>
        <v>HL</v>
      </c>
      <c r="U57" s="256" t="str">
        <f t="shared" si="6"/>
        <v>U</v>
      </c>
      <c r="V57" s="256" t="str">
        <f t="shared" si="7"/>
        <v>O</v>
      </c>
      <c r="W57" s="256" t="str">
        <f t="shared" si="8"/>
        <v>U</v>
      </c>
      <c r="X57" s="256" t="str">
        <f t="shared" si="9"/>
        <v>O</v>
      </c>
      <c r="Z57">
        <v>60</v>
      </c>
      <c r="AA57" s="256" t="str">
        <f t="shared" si="10"/>
        <v>MIA/WAS</v>
      </c>
    </row>
    <row r="58" spans="1:27" x14ac:dyDescent="0.3">
      <c r="A58" s="256">
        <v>200123</v>
      </c>
      <c r="B58" s="257">
        <v>0.39583333333333331</v>
      </c>
      <c r="C58" s="256" t="s">
        <v>399</v>
      </c>
      <c r="D58" s="256" t="s">
        <v>419</v>
      </c>
      <c r="E58" s="256">
        <v>25</v>
      </c>
      <c r="F58" s="256">
        <v>23</v>
      </c>
      <c r="G58" s="256">
        <v>22</v>
      </c>
      <c r="H58" s="256">
        <v>22</v>
      </c>
      <c r="I58" s="256"/>
      <c r="J58" s="256">
        <v>28</v>
      </c>
      <c r="K58" s="256">
        <v>20</v>
      </c>
      <c r="L58" s="256">
        <v>28</v>
      </c>
      <c r="M58" s="256">
        <v>24</v>
      </c>
      <c r="N58" s="256"/>
      <c r="O58" s="256">
        <f t="shared" si="0"/>
        <v>92</v>
      </c>
      <c r="P58" s="256">
        <f t="shared" si="1"/>
        <v>100</v>
      </c>
      <c r="Q58" s="256" t="str">
        <f t="shared" si="2"/>
        <v>HL</v>
      </c>
      <c r="R58" s="256" t="str">
        <f t="shared" si="3"/>
        <v>HW</v>
      </c>
      <c r="S58" s="256" t="str">
        <f t="shared" si="4"/>
        <v>HL</v>
      </c>
      <c r="T58" s="256" t="str">
        <f t="shared" si="5"/>
        <v>HL</v>
      </c>
      <c r="U58" s="256" t="str">
        <f t="shared" si="6"/>
        <v>U</v>
      </c>
      <c r="V58" s="256" t="str">
        <f t="shared" si="7"/>
        <v>U</v>
      </c>
      <c r="W58" s="256" t="str">
        <f t="shared" si="8"/>
        <v>U</v>
      </c>
      <c r="X58" s="256" t="str">
        <f t="shared" si="9"/>
        <v>U</v>
      </c>
      <c r="Z58">
        <v>57.5</v>
      </c>
      <c r="AA58" s="256" t="str">
        <f t="shared" si="10"/>
        <v>NYK/LAL</v>
      </c>
    </row>
    <row r="59" spans="1:27" x14ac:dyDescent="0.3">
      <c r="A59" s="256">
        <v>200123</v>
      </c>
      <c r="B59" s="257">
        <v>0.41666666666666669</v>
      </c>
      <c r="C59" s="256" t="s">
        <v>412</v>
      </c>
      <c r="D59" s="256" t="s">
        <v>420</v>
      </c>
      <c r="E59" s="256">
        <v>35</v>
      </c>
      <c r="F59" s="256">
        <v>24</v>
      </c>
      <c r="G59" s="256">
        <v>22</v>
      </c>
      <c r="H59" s="256">
        <v>36</v>
      </c>
      <c r="I59" s="256"/>
      <c r="J59" s="256">
        <v>26</v>
      </c>
      <c r="K59" s="256">
        <v>26</v>
      </c>
      <c r="L59" s="256">
        <v>27</v>
      </c>
      <c r="M59" s="256">
        <v>31</v>
      </c>
      <c r="N59" s="256"/>
      <c r="O59" s="256">
        <f t="shared" si="0"/>
        <v>117</v>
      </c>
      <c r="P59" s="256">
        <f t="shared" si="1"/>
        <v>110</v>
      </c>
      <c r="Q59" s="256" t="str">
        <f t="shared" si="2"/>
        <v>HW</v>
      </c>
      <c r="R59" s="256" t="str">
        <f t="shared" si="3"/>
        <v>HL</v>
      </c>
      <c r="S59" s="256" t="str">
        <f t="shared" si="4"/>
        <v>HL</v>
      </c>
      <c r="T59" s="256" t="str">
        <f t="shared" si="5"/>
        <v>HW</v>
      </c>
      <c r="U59" s="256" t="str">
        <f t="shared" si="6"/>
        <v>O</v>
      </c>
      <c r="V59" s="256" t="str">
        <f t="shared" si="7"/>
        <v>U</v>
      </c>
      <c r="W59" s="256" t="str">
        <f t="shared" si="8"/>
        <v>U</v>
      </c>
      <c r="X59" s="256" t="str">
        <f t="shared" si="9"/>
        <v>O</v>
      </c>
      <c r="Z59">
        <v>56.5</v>
      </c>
      <c r="AA59" s="256" t="str">
        <f t="shared" si="10"/>
        <v>CHI/MIN</v>
      </c>
    </row>
    <row r="60" spans="1:27" x14ac:dyDescent="0.3">
      <c r="A60" s="256">
        <v>200123</v>
      </c>
      <c r="B60" s="257">
        <v>0.41666666666666669</v>
      </c>
      <c r="C60" s="256" t="s">
        <v>403</v>
      </c>
      <c r="D60" s="256" t="s">
        <v>408</v>
      </c>
      <c r="E60" s="256">
        <v>35</v>
      </c>
      <c r="F60" s="256">
        <v>25</v>
      </c>
      <c r="G60" s="256">
        <v>32</v>
      </c>
      <c r="H60" s="256">
        <v>29</v>
      </c>
      <c r="I60" s="256"/>
      <c r="J60" s="256">
        <v>28</v>
      </c>
      <c r="K60" s="256">
        <v>15</v>
      </c>
      <c r="L60" s="256">
        <v>28</v>
      </c>
      <c r="M60" s="256">
        <v>34</v>
      </c>
      <c r="N60" s="256"/>
      <c r="O60" s="256">
        <f t="shared" si="0"/>
        <v>121</v>
      </c>
      <c r="P60" s="256">
        <f t="shared" si="1"/>
        <v>105</v>
      </c>
      <c r="Q60" s="256" t="str">
        <f t="shared" si="2"/>
        <v>HW</v>
      </c>
      <c r="R60" s="256" t="str">
        <f t="shared" si="3"/>
        <v>HW</v>
      </c>
      <c r="S60" s="256" t="str">
        <f t="shared" si="4"/>
        <v>HW</v>
      </c>
      <c r="T60" s="256" t="str">
        <f t="shared" si="5"/>
        <v>HL</v>
      </c>
      <c r="U60" s="256" t="str">
        <f t="shared" si="6"/>
        <v>O</v>
      </c>
      <c r="V60" s="256" t="str">
        <f t="shared" si="7"/>
        <v>U</v>
      </c>
      <c r="W60" s="256" t="str">
        <f t="shared" si="8"/>
        <v>O</v>
      </c>
      <c r="X60" s="256" t="str">
        <f t="shared" si="9"/>
        <v>O</v>
      </c>
      <c r="Z60">
        <v>58.5</v>
      </c>
      <c r="AA60" s="256" t="str">
        <f t="shared" ref="AA60:AA123" si="11">C60&amp;"/"&amp;D60</f>
        <v>HOU/DEN</v>
      </c>
    </row>
    <row r="61" spans="1:27" x14ac:dyDescent="0.3">
      <c r="A61" s="256">
        <v>200123</v>
      </c>
      <c r="B61" s="257">
        <v>0.45833333333333331</v>
      </c>
      <c r="C61" s="256" t="s">
        <v>404</v>
      </c>
      <c r="D61" s="256" t="s">
        <v>400</v>
      </c>
      <c r="E61" s="256">
        <v>24</v>
      </c>
      <c r="F61" s="256">
        <v>24</v>
      </c>
      <c r="G61" s="256">
        <v>17</v>
      </c>
      <c r="H61" s="256">
        <v>22</v>
      </c>
      <c r="I61" s="256"/>
      <c r="J61" s="256">
        <v>30</v>
      </c>
      <c r="K61" s="256">
        <v>24</v>
      </c>
      <c r="L61" s="256">
        <v>29</v>
      </c>
      <c r="M61" s="256">
        <v>29</v>
      </c>
      <c r="N61" s="256"/>
      <c r="O61" s="256">
        <f t="shared" si="0"/>
        <v>87</v>
      </c>
      <c r="P61" s="256">
        <f t="shared" si="1"/>
        <v>112</v>
      </c>
      <c r="Q61" s="256" t="str">
        <f t="shared" si="2"/>
        <v>HL</v>
      </c>
      <c r="R61" s="256" t="str">
        <f t="shared" si="3"/>
        <v>TT</v>
      </c>
      <c r="S61" s="256" t="str">
        <f t="shared" si="4"/>
        <v>HL</v>
      </c>
      <c r="T61" s="256" t="str">
        <f t="shared" si="5"/>
        <v>HL</v>
      </c>
      <c r="U61" s="256" t="str">
        <f t="shared" si="6"/>
        <v>U</v>
      </c>
      <c r="V61" s="256" t="str">
        <f t="shared" si="7"/>
        <v>U</v>
      </c>
      <c r="W61" s="256" t="str">
        <f t="shared" si="8"/>
        <v>U</v>
      </c>
      <c r="X61" s="256" t="str">
        <f t="shared" si="9"/>
        <v>U</v>
      </c>
      <c r="Z61">
        <v>56.5</v>
      </c>
      <c r="AA61" s="256" t="str">
        <f t="shared" si="11"/>
        <v>PHO/IND</v>
      </c>
    </row>
    <row r="62" spans="1:27" x14ac:dyDescent="0.3">
      <c r="A62" s="256">
        <v>200123</v>
      </c>
      <c r="B62" s="257">
        <v>0.47916666666666669</v>
      </c>
      <c r="C62" s="256" t="s">
        <v>398</v>
      </c>
      <c r="D62" s="256" t="s">
        <v>426</v>
      </c>
      <c r="E62" s="256">
        <v>24</v>
      </c>
      <c r="F62" s="256">
        <v>27</v>
      </c>
      <c r="G62" s="256">
        <v>31</v>
      </c>
      <c r="H62" s="256">
        <v>35</v>
      </c>
      <c r="I62" s="256"/>
      <c r="J62" s="256">
        <v>31</v>
      </c>
      <c r="K62" s="256">
        <v>29</v>
      </c>
      <c r="L62" s="256">
        <v>34</v>
      </c>
      <c r="M62" s="256">
        <v>27</v>
      </c>
      <c r="N62" s="256"/>
      <c r="O62" s="256">
        <f t="shared" si="0"/>
        <v>117</v>
      </c>
      <c r="P62" s="256">
        <f t="shared" si="1"/>
        <v>121</v>
      </c>
      <c r="Q62" s="256" t="str">
        <f t="shared" si="2"/>
        <v>HL</v>
      </c>
      <c r="R62" s="256" t="str">
        <f t="shared" si="3"/>
        <v>HL</v>
      </c>
      <c r="S62" s="256" t="str">
        <f t="shared" si="4"/>
        <v>HL</v>
      </c>
      <c r="T62" s="256" t="str">
        <f t="shared" si="5"/>
        <v>HW</v>
      </c>
      <c r="U62" s="256" t="str">
        <f t="shared" si="6"/>
        <v>U</v>
      </c>
      <c r="V62" s="256" t="str">
        <f t="shared" si="7"/>
        <v>U</v>
      </c>
      <c r="W62" s="256" t="str">
        <f t="shared" si="8"/>
        <v>O</v>
      </c>
      <c r="X62" s="256" t="str">
        <f t="shared" si="9"/>
        <v>O</v>
      </c>
      <c r="Z62">
        <v>58</v>
      </c>
      <c r="AA62" s="256" t="str">
        <f t="shared" si="11"/>
        <v>NO/SAS</v>
      </c>
    </row>
    <row r="63" spans="1:27" x14ac:dyDescent="0.3">
      <c r="A63" s="256">
        <v>200123</v>
      </c>
      <c r="B63" s="257">
        <v>0.5</v>
      </c>
      <c r="C63" s="256" t="s">
        <v>425</v>
      </c>
      <c r="D63" s="256" t="s">
        <v>405</v>
      </c>
      <c r="E63" s="256">
        <v>17</v>
      </c>
      <c r="F63" s="256">
        <v>26</v>
      </c>
      <c r="G63" s="256">
        <v>26</v>
      </c>
      <c r="H63" s="256">
        <v>27</v>
      </c>
      <c r="I63" s="256"/>
      <c r="J63" s="256">
        <v>31</v>
      </c>
      <c r="K63" s="256">
        <v>34</v>
      </c>
      <c r="L63" s="256">
        <v>35</v>
      </c>
      <c r="M63" s="256">
        <v>29</v>
      </c>
      <c r="N63" s="256"/>
      <c r="O63" s="256">
        <f t="shared" si="0"/>
        <v>96</v>
      </c>
      <c r="P63" s="256">
        <f t="shared" si="1"/>
        <v>129</v>
      </c>
      <c r="Q63" s="256" t="str">
        <f t="shared" si="2"/>
        <v>HL</v>
      </c>
      <c r="R63" s="256" t="str">
        <f t="shared" si="3"/>
        <v>HL</v>
      </c>
      <c r="S63" s="256" t="str">
        <f t="shared" si="4"/>
        <v>HL</v>
      </c>
      <c r="T63" s="256" t="str">
        <f t="shared" si="5"/>
        <v>HL</v>
      </c>
      <c r="U63" s="256" t="str">
        <f t="shared" si="6"/>
        <v>U</v>
      </c>
      <c r="V63" s="256" t="str">
        <f t="shared" si="7"/>
        <v>O</v>
      </c>
      <c r="W63" s="256" t="str">
        <f t="shared" si="8"/>
        <v>O</v>
      </c>
      <c r="X63" s="256" t="str">
        <f t="shared" si="9"/>
        <v>O</v>
      </c>
      <c r="Z63">
        <v>53.5</v>
      </c>
      <c r="AA63" s="256" t="str">
        <f t="shared" si="11"/>
        <v>GS/UTA</v>
      </c>
    </row>
    <row r="64" spans="1:27" x14ac:dyDescent="0.3">
      <c r="A64" s="256">
        <v>200124</v>
      </c>
      <c r="B64" s="257">
        <v>0.375</v>
      </c>
      <c r="C64" s="256" t="s">
        <v>402</v>
      </c>
      <c r="D64" s="256" t="s">
        <v>414</v>
      </c>
      <c r="E64" s="256">
        <v>24</v>
      </c>
      <c r="F64" s="256">
        <v>37</v>
      </c>
      <c r="G64" s="256">
        <v>25</v>
      </c>
      <c r="H64" s="256">
        <v>26</v>
      </c>
      <c r="I64" s="256"/>
      <c r="J64" s="256">
        <v>29</v>
      </c>
      <c r="K64" s="256">
        <v>39</v>
      </c>
      <c r="L64" s="256">
        <v>32</v>
      </c>
      <c r="M64" s="256">
        <v>24</v>
      </c>
      <c r="N64" s="256"/>
      <c r="O64" s="256">
        <f t="shared" si="0"/>
        <v>112</v>
      </c>
      <c r="P64" s="256">
        <f t="shared" si="1"/>
        <v>124</v>
      </c>
      <c r="Q64" s="256" t="str">
        <f t="shared" si="2"/>
        <v>HL</v>
      </c>
      <c r="R64" s="256" t="str">
        <f t="shared" si="3"/>
        <v>HL</v>
      </c>
      <c r="S64" s="256" t="str">
        <f t="shared" si="4"/>
        <v>HL</v>
      </c>
      <c r="T64" s="256" t="str">
        <f t="shared" si="5"/>
        <v>HW</v>
      </c>
      <c r="U64" s="256" t="str">
        <f t="shared" si="6"/>
        <v>U</v>
      </c>
      <c r="V64" s="256" t="str">
        <f t="shared" si="7"/>
        <v>O</v>
      </c>
      <c r="W64" s="256" t="str">
        <f t="shared" si="8"/>
        <v>U</v>
      </c>
      <c r="X64" s="256" t="str">
        <f t="shared" si="9"/>
        <v>U</v>
      </c>
      <c r="Z64">
        <v>60.5</v>
      </c>
      <c r="AA64" s="256" t="str">
        <f t="shared" si="11"/>
        <v>CLE/WAS</v>
      </c>
    </row>
    <row r="65" spans="1:27" x14ac:dyDescent="0.3">
      <c r="A65" s="256">
        <v>200124</v>
      </c>
      <c r="B65" s="257">
        <v>0.41666666666666669</v>
      </c>
      <c r="C65" s="256" t="s">
        <v>407</v>
      </c>
      <c r="D65" s="256" t="s">
        <v>419</v>
      </c>
      <c r="E65" s="256">
        <v>35</v>
      </c>
      <c r="F65" s="256">
        <v>35</v>
      </c>
      <c r="G65" s="256">
        <v>24</v>
      </c>
      <c r="H65" s="256">
        <v>19</v>
      </c>
      <c r="I65" s="256"/>
      <c r="J65" s="256">
        <v>38</v>
      </c>
      <c r="K65" s="256">
        <v>37</v>
      </c>
      <c r="L65" s="256">
        <v>29</v>
      </c>
      <c r="M65" s="256">
        <v>24</v>
      </c>
      <c r="N65" s="256"/>
      <c r="O65" s="256">
        <f t="shared" si="0"/>
        <v>113</v>
      </c>
      <c r="P65" s="256">
        <f t="shared" si="1"/>
        <v>128</v>
      </c>
      <c r="Q65" s="256" t="str">
        <f t="shared" si="2"/>
        <v>HL</v>
      </c>
      <c r="R65" s="256" t="str">
        <f t="shared" si="3"/>
        <v>HL</v>
      </c>
      <c r="S65" s="256" t="str">
        <f t="shared" si="4"/>
        <v>HL</v>
      </c>
      <c r="T65" s="256" t="str">
        <f t="shared" si="5"/>
        <v>HL</v>
      </c>
      <c r="U65" s="256" t="str">
        <f t="shared" si="6"/>
        <v>O</v>
      </c>
      <c r="V65" s="256" t="str">
        <f t="shared" si="7"/>
        <v>O</v>
      </c>
      <c r="W65" s="256" t="str">
        <f t="shared" si="8"/>
        <v>U</v>
      </c>
      <c r="X65" s="256" t="str">
        <f t="shared" si="9"/>
        <v>U</v>
      </c>
      <c r="Z65">
        <v>59</v>
      </c>
      <c r="AA65" s="256" t="str">
        <f t="shared" si="11"/>
        <v>BKN/LAL</v>
      </c>
    </row>
    <row r="66" spans="1:27" x14ac:dyDescent="0.3">
      <c r="A66" s="256">
        <v>200124</v>
      </c>
      <c r="B66" s="257">
        <v>0.52083333333333337</v>
      </c>
      <c r="C66" s="256" t="s">
        <v>417</v>
      </c>
      <c r="D66" s="256" t="s">
        <v>397</v>
      </c>
      <c r="E66" s="256">
        <v>37</v>
      </c>
      <c r="F66" s="256">
        <v>26</v>
      </c>
      <c r="G66" s="256">
        <v>27</v>
      </c>
      <c r="H66" s="256">
        <v>35</v>
      </c>
      <c r="I66" s="256"/>
      <c r="J66" s="256">
        <v>45</v>
      </c>
      <c r="K66" s="256">
        <v>33</v>
      </c>
      <c r="L66" s="256">
        <v>25</v>
      </c>
      <c r="M66" s="256">
        <v>30</v>
      </c>
      <c r="N66" s="256"/>
      <c r="O66" s="256">
        <f t="shared" ref="O66:O123" si="12">SUM(E66:I66)</f>
        <v>125</v>
      </c>
      <c r="P66" s="256">
        <f t="shared" ref="P66:P123" si="13">SUM(J66:N66)</f>
        <v>133</v>
      </c>
      <c r="Q66" s="256" t="str">
        <f t="shared" ref="Q66:Q123" si="14">IF(E66=J66,"TT",IF(E66&gt;J66,"HW","HL"))</f>
        <v>HL</v>
      </c>
      <c r="R66" s="256" t="str">
        <f t="shared" ref="R66:R123" si="15">IF(F66=K66,"TT",IF(F66&gt;K66,"HW","HL"))</f>
        <v>HL</v>
      </c>
      <c r="S66" s="256" t="str">
        <f t="shared" ref="S66:S123" si="16">IF(G66=L66,"TT",IF(G66&gt;L66,"HW","HL"))</f>
        <v>HW</v>
      </c>
      <c r="T66" s="256" t="str">
        <f t="shared" ref="T66:T123" si="17">IF(H66=M66,"TT",IF(H66&gt;M66,"HW","HL"))</f>
        <v>HW</v>
      </c>
      <c r="U66" s="256" t="str">
        <f t="shared" ref="U66:U123" si="18">IF(SUM(E66,J66)=$Z66,"T",IF(SUM(E66,J66)&gt;$Z66,"O","U"))</f>
        <v>O</v>
      </c>
      <c r="V66" s="256" t="str">
        <f t="shared" ref="V66:V123" si="19">IF(SUM(F66,K66)=$Z66,"T",IF(SUM(F66,K66)&gt;$Z66,"O","U"))</f>
        <v>O</v>
      </c>
      <c r="W66" s="256" t="str">
        <f t="shared" ref="W66:W123" si="20">IF(SUM(G66,L66)=$Z66,"T",IF(SUM(G66,L66)&gt;$Z66,"O","U"))</f>
        <v>U</v>
      </c>
      <c r="X66" s="256" t="str">
        <f t="shared" ref="X66:X123" si="21">IF(SUM(H66,M66)=$Z66,"T",IF(SUM(H66,M66)&gt;$Z66,"O","U"))</f>
        <v>O</v>
      </c>
      <c r="Z66">
        <v>58.5</v>
      </c>
      <c r="AA66" s="256" t="str">
        <f t="shared" si="11"/>
        <v>POR/DAL</v>
      </c>
    </row>
    <row r="67" spans="1:27" x14ac:dyDescent="0.3">
      <c r="A67" s="256">
        <v>200125</v>
      </c>
      <c r="B67" s="257">
        <v>0.20833333333333334</v>
      </c>
      <c r="C67" s="256" t="s">
        <v>409</v>
      </c>
      <c r="D67" s="256" t="s">
        <v>423</v>
      </c>
      <c r="E67" s="256">
        <v>31</v>
      </c>
      <c r="F67" s="256">
        <v>24</v>
      </c>
      <c r="G67" s="256">
        <v>23</v>
      </c>
      <c r="H67" s="256">
        <v>25</v>
      </c>
      <c r="I67" s="256"/>
      <c r="J67" s="256">
        <v>24</v>
      </c>
      <c r="K67" s="256">
        <v>26</v>
      </c>
      <c r="L67" s="256">
        <v>28</v>
      </c>
      <c r="M67" s="256">
        <v>38</v>
      </c>
      <c r="N67" s="256"/>
      <c r="O67" s="256">
        <f t="shared" si="12"/>
        <v>103</v>
      </c>
      <c r="P67" s="256">
        <f t="shared" si="13"/>
        <v>116</v>
      </c>
      <c r="Q67" s="256" t="str">
        <f t="shared" si="14"/>
        <v>HW</v>
      </c>
      <c r="R67" s="256" t="str">
        <f t="shared" si="15"/>
        <v>HL</v>
      </c>
      <c r="S67" s="256" t="str">
        <f t="shared" si="16"/>
        <v>HL</v>
      </c>
      <c r="T67" s="256" t="str">
        <f t="shared" si="17"/>
        <v>HL</v>
      </c>
      <c r="U67" s="256" t="str">
        <f t="shared" si="18"/>
        <v>O</v>
      </c>
      <c r="V67" s="256" t="str">
        <f t="shared" si="19"/>
        <v>U</v>
      </c>
      <c r="W67" s="256" t="str">
        <f t="shared" si="20"/>
        <v>U</v>
      </c>
      <c r="X67" s="256" t="str">
        <f t="shared" si="21"/>
        <v>O</v>
      </c>
      <c r="Z67">
        <v>54</v>
      </c>
      <c r="AA67" s="256" t="str">
        <f t="shared" si="11"/>
        <v>CHA/MIL</v>
      </c>
    </row>
    <row r="68" spans="1:27" x14ac:dyDescent="0.3">
      <c r="A68" s="256">
        <v>200125</v>
      </c>
      <c r="B68" s="257">
        <v>0.375</v>
      </c>
      <c r="C68" s="256" t="s">
        <v>422</v>
      </c>
      <c r="D68" s="256" t="s">
        <v>406</v>
      </c>
      <c r="E68" s="256">
        <v>23</v>
      </c>
      <c r="F68" s="256">
        <v>38</v>
      </c>
      <c r="G68" s="256">
        <v>24</v>
      </c>
      <c r="H68" s="256">
        <v>27</v>
      </c>
      <c r="I68" s="256"/>
      <c r="J68" s="256">
        <v>35</v>
      </c>
      <c r="K68" s="256">
        <v>31</v>
      </c>
      <c r="L68" s="256">
        <v>26</v>
      </c>
      <c r="M68" s="256">
        <v>33</v>
      </c>
      <c r="N68" s="256"/>
      <c r="O68" s="256">
        <f t="shared" si="12"/>
        <v>112</v>
      </c>
      <c r="P68" s="256">
        <f t="shared" si="13"/>
        <v>125</v>
      </c>
      <c r="Q68" s="256" t="str">
        <f t="shared" si="14"/>
        <v>HL</v>
      </c>
      <c r="R68" s="256" t="str">
        <f t="shared" si="15"/>
        <v>HW</v>
      </c>
      <c r="S68" s="256" t="str">
        <f t="shared" si="16"/>
        <v>HL</v>
      </c>
      <c r="T68" s="256" t="str">
        <f t="shared" si="17"/>
        <v>HL</v>
      </c>
      <c r="U68" s="256" t="str">
        <f t="shared" si="18"/>
        <v>O</v>
      </c>
      <c r="V68" s="256" t="str">
        <f t="shared" si="19"/>
        <v>O</v>
      </c>
      <c r="W68" s="256" t="str">
        <f t="shared" si="20"/>
        <v>U</v>
      </c>
      <c r="X68" s="256" t="str">
        <f t="shared" si="21"/>
        <v>O</v>
      </c>
      <c r="Z68">
        <v>56.5</v>
      </c>
      <c r="AA68" s="256" t="str">
        <f t="shared" si="11"/>
        <v>DET/MEM</v>
      </c>
    </row>
    <row r="69" spans="1:27" x14ac:dyDescent="0.3">
      <c r="A69" s="256">
        <v>200125</v>
      </c>
      <c r="B69" s="257">
        <v>0.375</v>
      </c>
      <c r="C69" s="256" t="s">
        <v>424</v>
      </c>
      <c r="D69" s="256" t="s">
        <v>421</v>
      </c>
      <c r="E69" s="256">
        <v>30</v>
      </c>
      <c r="F69" s="256">
        <v>27</v>
      </c>
      <c r="G69" s="256">
        <v>20</v>
      </c>
      <c r="H69" s="256">
        <v>21</v>
      </c>
      <c r="I69" s="256"/>
      <c r="J69" s="256">
        <v>24</v>
      </c>
      <c r="K69" s="256">
        <v>29</v>
      </c>
      <c r="L69" s="256">
        <v>29</v>
      </c>
      <c r="M69" s="256">
        <v>27</v>
      </c>
      <c r="N69" s="256"/>
      <c r="O69" s="256">
        <f t="shared" si="12"/>
        <v>98</v>
      </c>
      <c r="P69" s="256">
        <f t="shared" si="13"/>
        <v>109</v>
      </c>
      <c r="Q69" s="256" t="str">
        <f t="shared" si="14"/>
        <v>HW</v>
      </c>
      <c r="R69" s="256" t="str">
        <f t="shared" si="15"/>
        <v>HL</v>
      </c>
      <c r="S69" s="256" t="str">
        <f t="shared" si="16"/>
        <v>HL</v>
      </c>
      <c r="T69" s="256" t="str">
        <f t="shared" si="17"/>
        <v>HL</v>
      </c>
      <c r="U69" s="256" t="str">
        <f t="shared" si="18"/>
        <v>O</v>
      </c>
      <c r="V69" s="256" t="str">
        <f t="shared" si="19"/>
        <v>O</v>
      </c>
      <c r="W69" s="256" t="str">
        <f t="shared" si="20"/>
        <v>U</v>
      </c>
      <c r="X69" s="256" t="str">
        <f t="shared" si="21"/>
        <v>U</v>
      </c>
      <c r="Z69">
        <v>52.5</v>
      </c>
      <c r="AA69" s="256" t="str">
        <f t="shared" si="11"/>
        <v>ORL/BOS</v>
      </c>
    </row>
    <row r="70" spans="1:27" x14ac:dyDescent="0.3">
      <c r="A70" s="256">
        <v>200125</v>
      </c>
      <c r="B70" s="257">
        <v>0.39583333333333331</v>
      </c>
      <c r="C70" s="256" t="s">
        <v>399</v>
      </c>
      <c r="D70" s="256" t="s">
        <v>413</v>
      </c>
      <c r="E70" s="256">
        <v>28</v>
      </c>
      <c r="F70" s="256">
        <v>25</v>
      </c>
      <c r="G70" s="256">
        <v>26</v>
      </c>
      <c r="H70" s="256">
        <v>33</v>
      </c>
      <c r="I70" s="256"/>
      <c r="J70" s="256">
        <v>20</v>
      </c>
      <c r="K70" s="256">
        <v>36</v>
      </c>
      <c r="L70" s="256">
        <v>29</v>
      </c>
      <c r="M70" s="256">
        <v>33</v>
      </c>
      <c r="N70" s="256"/>
      <c r="O70" s="256">
        <f t="shared" si="12"/>
        <v>112</v>
      </c>
      <c r="P70" s="256">
        <f t="shared" si="13"/>
        <v>118</v>
      </c>
      <c r="Q70" s="256" t="str">
        <f t="shared" si="14"/>
        <v>HW</v>
      </c>
      <c r="R70" s="256" t="str">
        <f t="shared" si="15"/>
        <v>HL</v>
      </c>
      <c r="S70" s="256" t="str">
        <f t="shared" si="16"/>
        <v>HL</v>
      </c>
      <c r="T70" s="256" t="str">
        <f t="shared" si="17"/>
        <v>TT</v>
      </c>
      <c r="U70" s="256" t="str">
        <f t="shared" si="18"/>
        <v>U</v>
      </c>
      <c r="V70" s="256" t="str">
        <f t="shared" si="19"/>
        <v>O</v>
      </c>
      <c r="W70" s="256" t="str">
        <f t="shared" si="20"/>
        <v>U</v>
      </c>
      <c r="X70" s="256" t="str">
        <f t="shared" si="21"/>
        <v>O</v>
      </c>
      <c r="Z70">
        <v>55.5</v>
      </c>
      <c r="AA70" s="256" t="str">
        <f t="shared" si="11"/>
        <v>NYK/TOR</v>
      </c>
    </row>
    <row r="71" spans="1:27" x14ac:dyDescent="0.3">
      <c r="A71" s="256">
        <v>200125</v>
      </c>
      <c r="B71" s="257">
        <v>0.41666666666666669</v>
      </c>
      <c r="C71" s="256" t="s">
        <v>398</v>
      </c>
      <c r="D71" s="256" t="s">
        <v>408</v>
      </c>
      <c r="E71" s="256">
        <v>28</v>
      </c>
      <c r="F71" s="256">
        <v>28</v>
      </c>
      <c r="G71" s="256">
        <v>26</v>
      </c>
      <c r="H71" s="256">
        <v>24</v>
      </c>
      <c r="I71" s="256"/>
      <c r="J71" s="256">
        <v>37</v>
      </c>
      <c r="K71" s="256">
        <v>26</v>
      </c>
      <c r="L71" s="256">
        <v>31</v>
      </c>
      <c r="M71" s="256">
        <v>19</v>
      </c>
      <c r="N71" s="256"/>
      <c r="O71" s="256">
        <f t="shared" si="12"/>
        <v>106</v>
      </c>
      <c r="P71" s="256">
        <f t="shared" si="13"/>
        <v>113</v>
      </c>
      <c r="Q71" s="256" t="str">
        <f t="shared" si="14"/>
        <v>HL</v>
      </c>
      <c r="R71" s="256" t="str">
        <f t="shared" si="15"/>
        <v>HW</v>
      </c>
      <c r="S71" s="256" t="str">
        <f t="shared" si="16"/>
        <v>HL</v>
      </c>
      <c r="T71" s="256" t="str">
        <f t="shared" si="17"/>
        <v>HW</v>
      </c>
      <c r="U71" s="256" t="str">
        <f t="shared" si="18"/>
        <v>O</v>
      </c>
      <c r="V71" s="256" t="str">
        <f t="shared" si="19"/>
        <v>U</v>
      </c>
      <c r="W71" s="256" t="str">
        <f t="shared" si="20"/>
        <v>U</v>
      </c>
      <c r="X71" s="256" t="str">
        <f t="shared" si="21"/>
        <v>U</v>
      </c>
      <c r="Z71">
        <v>59.5</v>
      </c>
      <c r="AA71" s="256" t="str">
        <f t="shared" si="11"/>
        <v>NO/DEN</v>
      </c>
    </row>
    <row r="72" spans="1:27" x14ac:dyDescent="0.3">
      <c r="A72" s="256">
        <v>200125</v>
      </c>
      <c r="B72" s="257">
        <v>0.41666666666666669</v>
      </c>
      <c r="C72" s="256" t="s">
        <v>412</v>
      </c>
      <c r="D72" s="256" t="s">
        <v>416</v>
      </c>
      <c r="E72" s="256">
        <v>21</v>
      </c>
      <c r="F72" s="256">
        <v>23</v>
      </c>
      <c r="G72" s="256">
        <v>25</v>
      </c>
      <c r="H72" s="256">
        <v>12</v>
      </c>
      <c r="I72" s="256"/>
      <c r="J72" s="256">
        <v>29</v>
      </c>
      <c r="K72" s="256">
        <v>25</v>
      </c>
      <c r="L72" s="256">
        <v>21</v>
      </c>
      <c r="M72" s="256">
        <v>23</v>
      </c>
      <c r="N72" s="256"/>
      <c r="O72" s="256">
        <f t="shared" si="12"/>
        <v>81</v>
      </c>
      <c r="P72" s="256">
        <f t="shared" si="13"/>
        <v>98</v>
      </c>
      <c r="Q72" s="256" t="str">
        <f t="shared" si="14"/>
        <v>HL</v>
      </c>
      <c r="R72" s="256" t="str">
        <f t="shared" si="15"/>
        <v>HL</v>
      </c>
      <c r="S72" s="256" t="str">
        <f t="shared" si="16"/>
        <v>HW</v>
      </c>
      <c r="T72" s="256" t="str">
        <f t="shared" si="17"/>
        <v>HL</v>
      </c>
      <c r="U72" s="256" t="str">
        <f t="shared" si="18"/>
        <v>U</v>
      </c>
      <c r="V72" s="256" t="str">
        <f t="shared" si="19"/>
        <v>U</v>
      </c>
      <c r="W72" s="256" t="str">
        <f t="shared" si="20"/>
        <v>U</v>
      </c>
      <c r="X72" s="256" t="str">
        <f t="shared" si="21"/>
        <v>U</v>
      </c>
      <c r="Z72">
        <v>56</v>
      </c>
      <c r="AA72" s="256" t="str">
        <f t="shared" si="11"/>
        <v>CHI/SAC</v>
      </c>
    </row>
    <row r="73" spans="1:27" x14ac:dyDescent="0.3">
      <c r="A73" s="256">
        <v>200125</v>
      </c>
      <c r="B73" s="257">
        <v>0.41666666666666669</v>
      </c>
      <c r="C73" s="256" t="s">
        <v>411</v>
      </c>
      <c r="D73" s="256" t="s">
        <v>415</v>
      </c>
      <c r="E73" s="256">
        <v>30</v>
      </c>
      <c r="F73" s="256">
        <v>35</v>
      </c>
      <c r="G73" s="256">
        <v>20</v>
      </c>
      <c r="H73" s="256">
        <v>32</v>
      </c>
      <c r="I73" s="256"/>
      <c r="J73" s="256">
        <v>22</v>
      </c>
      <c r="K73" s="256">
        <v>41</v>
      </c>
      <c r="L73" s="256">
        <v>38</v>
      </c>
      <c r="M73" s="256">
        <v>21</v>
      </c>
      <c r="N73" s="256"/>
      <c r="O73" s="256">
        <f t="shared" si="12"/>
        <v>117</v>
      </c>
      <c r="P73" s="256">
        <f t="shared" si="13"/>
        <v>122</v>
      </c>
      <c r="Q73" s="256" t="str">
        <f t="shared" si="14"/>
        <v>HW</v>
      </c>
      <c r="R73" s="256" t="str">
        <f t="shared" si="15"/>
        <v>HL</v>
      </c>
      <c r="S73" s="256" t="str">
        <f t="shared" si="16"/>
        <v>HL</v>
      </c>
      <c r="T73" s="256" t="str">
        <f t="shared" si="17"/>
        <v>HW</v>
      </c>
      <c r="U73" s="256" t="str">
        <f t="shared" si="18"/>
        <v>U</v>
      </c>
      <c r="V73" s="256" t="str">
        <f t="shared" si="19"/>
        <v>O</v>
      </c>
      <c r="W73" s="256" t="str">
        <f t="shared" si="20"/>
        <v>O</v>
      </c>
      <c r="X73" s="256" t="str">
        <f t="shared" si="21"/>
        <v>U</v>
      </c>
      <c r="Z73">
        <v>56.5</v>
      </c>
      <c r="AA73" s="256" t="str">
        <f t="shared" si="11"/>
        <v>MIA/LAC</v>
      </c>
    </row>
    <row r="74" spans="1:27" x14ac:dyDescent="0.3">
      <c r="A74" s="256">
        <v>200125</v>
      </c>
      <c r="B74" s="257">
        <v>0.41666666666666669</v>
      </c>
      <c r="C74" s="256" t="s">
        <v>420</v>
      </c>
      <c r="D74" s="256" t="s">
        <v>403</v>
      </c>
      <c r="E74" s="256">
        <v>26</v>
      </c>
      <c r="F74" s="256">
        <v>34</v>
      </c>
      <c r="G74" s="256">
        <v>24</v>
      </c>
      <c r="H74" s="256">
        <v>40</v>
      </c>
      <c r="I74" s="256"/>
      <c r="J74" s="256">
        <v>36</v>
      </c>
      <c r="K74" s="256">
        <v>27</v>
      </c>
      <c r="L74" s="256">
        <v>31</v>
      </c>
      <c r="M74" s="256">
        <v>37</v>
      </c>
      <c r="N74" s="256"/>
      <c r="O74" s="256">
        <f t="shared" si="12"/>
        <v>124</v>
      </c>
      <c r="P74" s="256">
        <f t="shared" si="13"/>
        <v>131</v>
      </c>
      <c r="Q74" s="256" t="str">
        <f t="shared" si="14"/>
        <v>HL</v>
      </c>
      <c r="R74" s="256" t="str">
        <f t="shared" si="15"/>
        <v>HW</v>
      </c>
      <c r="S74" s="256" t="str">
        <f t="shared" si="16"/>
        <v>HL</v>
      </c>
      <c r="T74" s="256" t="str">
        <f t="shared" si="17"/>
        <v>HW</v>
      </c>
      <c r="U74" s="256" t="str">
        <f t="shared" si="18"/>
        <v>O</v>
      </c>
      <c r="V74" s="256" t="str">
        <f t="shared" si="19"/>
        <v>O</v>
      </c>
      <c r="W74" s="256" t="str">
        <f t="shared" si="20"/>
        <v>U</v>
      </c>
      <c r="X74" s="256" t="str">
        <f t="shared" si="21"/>
        <v>O</v>
      </c>
      <c r="Z74">
        <v>60.5</v>
      </c>
      <c r="AA74" s="256" t="str">
        <f t="shared" si="11"/>
        <v>MIN/HOU</v>
      </c>
    </row>
    <row r="75" spans="1:27" x14ac:dyDescent="0.3">
      <c r="A75" s="256">
        <v>200125</v>
      </c>
      <c r="B75" s="257">
        <v>0.41666666666666669</v>
      </c>
      <c r="C75" s="256" t="s">
        <v>418</v>
      </c>
      <c r="D75" s="256" t="s">
        <v>410</v>
      </c>
      <c r="E75" s="256">
        <v>33</v>
      </c>
      <c r="F75" s="256">
        <v>33</v>
      </c>
      <c r="G75" s="256">
        <v>38</v>
      </c>
      <c r="H75" s="256">
        <v>36</v>
      </c>
      <c r="I75" s="256"/>
      <c r="J75" s="256">
        <v>30</v>
      </c>
      <c r="K75" s="256">
        <v>28</v>
      </c>
      <c r="L75" s="256">
        <v>32</v>
      </c>
      <c r="M75" s="256">
        <v>21</v>
      </c>
      <c r="N75" s="256"/>
      <c r="O75" s="256">
        <f t="shared" si="12"/>
        <v>140</v>
      </c>
      <c r="P75" s="256">
        <f t="shared" si="13"/>
        <v>111</v>
      </c>
      <c r="Q75" s="256" t="str">
        <f t="shared" si="14"/>
        <v>HW</v>
      </c>
      <c r="R75" s="256" t="str">
        <f t="shared" si="15"/>
        <v>HW</v>
      </c>
      <c r="S75" s="256" t="str">
        <f t="shared" si="16"/>
        <v>HW</v>
      </c>
      <c r="T75" s="256" t="str">
        <f t="shared" si="17"/>
        <v>HW</v>
      </c>
      <c r="U75" s="256" t="str">
        <f t="shared" si="18"/>
        <v>O</v>
      </c>
      <c r="V75" s="256" t="str">
        <f t="shared" si="19"/>
        <v>O</v>
      </c>
      <c r="W75" s="256" t="str">
        <f t="shared" si="20"/>
        <v>O</v>
      </c>
      <c r="X75" s="256" t="str">
        <f t="shared" si="21"/>
        <v>U</v>
      </c>
      <c r="Z75">
        <v>59</v>
      </c>
      <c r="AA75" s="256" t="str">
        <f t="shared" si="11"/>
        <v>OKC/ATL</v>
      </c>
    </row>
    <row r="76" spans="1:27" x14ac:dyDescent="0.3">
      <c r="A76" s="256">
        <v>200125</v>
      </c>
      <c r="B76" s="257">
        <v>0.4375</v>
      </c>
      <c r="C76" s="256" t="s">
        <v>426</v>
      </c>
      <c r="D76" s="256" t="s">
        <v>404</v>
      </c>
      <c r="E76" s="256">
        <v>28</v>
      </c>
      <c r="F76" s="256">
        <v>16</v>
      </c>
      <c r="G76" s="256">
        <v>28</v>
      </c>
      <c r="H76" s="256">
        <v>27</v>
      </c>
      <c r="I76" s="256"/>
      <c r="J76" s="256">
        <v>22</v>
      </c>
      <c r="K76" s="256">
        <v>34</v>
      </c>
      <c r="L76" s="256">
        <v>22</v>
      </c>
      <c r="M76" s="256">
        <v>25</v>
      </c>
      <c r="N76" s="256"/>
      <c r="O76" s="256">
        <f t="shared" si="12"/>
        <v>99</v>
      </c>
      <c r="P76" s="256">
        <f t="shared" si="13"/>
        <v>103</v>
      </c>
      <c r="Q76" s="256" t="str">
        <f t="shared" si="14"/>
        <v>HW</v>
      </c>
      <c r="R76" s="256" t="str">
        <f t="shared" si="15"/>
        <v>HL</v>
      </c>
      <c r="S76" s="256" t="str">
        <f t="shared" si="16"/>
        <v>HW</v>
      </c>
      <c r="T76" s="256" t="str">
        <f t="shared" si="17"/>
        <v>HW</v>
      </c>
      <c r="U76" s="256" t="str">
        <f t="shared" si="18"/>
        <v>U</v>
      </c>
      <c r="V76" s="256" t="str">
        <f t="shared" si="19"/>
        <v>U</v>
      </c>
      <c r="W76" s="256" t="str">
        <f t="shared" si="20"/>
        <v>U</v>
      </c>
      <c r="X76" s="256" t="str">
        <f t="shared" si="21"/>
        <v>U</v>
      </c>
      <c r="Z76">
        <v>55.5</v>
      </c>
      <c r="AA76" s="256" t="str">
        <f t="shared" si="11"/>
        <v>SAS/PHO</v>
      </c>
    </row>
    <row r="77" spans="1:27" x14ac:dyDescent="0.3">
      <c r="A77" s="256">
        <v>200125</v>
      </c>
      <c r="B77" s="257">
        <v>0.52083333333333337</v>
      </c>
      <c r="C77" s="256" t="s">
        <v>425</v>
      </c>
      <c r="D77" s="256" t="s">
        <v>400</v>
      </c>
      <c r="E77" s="256">
        <v>30</v>
      </c>
      <c r="F77" s="256">
        <v>21</v>
      </c>
      <c r="G77" s="256">
        <v>35</v>
      </c>
      <c r="H77" s="256">
        <v>32</v>
      </c>
      <c r="I77" s="256"/>
      <c r="J77" s="256">
        <v>35</v>
      </c>
      <c r="K77" s="256">
        <v>32</v>
      </c>
      <c r="L77" s="256">
        <v>31</v>
      </c>
      <c r="M77" s="256">
        <v>31</v>
      </c>
      <c r="N77" s="256"/>
      <c r="O77" s="256">
        <f t="shared" si="12"/>
        <v>118</v>
      </c>
      <c r="P77" s="256">
        <f t="shared" si="13"/>
        <v>129</v>
      </c>
      <c r="Q77" s="256" t="str">
        <f t="shared" si="14"/>
        <v>HL</v>
      </c>
      <c r="R77" s="256" t="str">
        <f t="shared" si="15"/>
        <v>HL</v>
      </c>
      <c r="S77" s="256" t="str">
        <f t="shared" si="16"/>
        <v>HW</v>
      </c>
      <c r="T77" s="256" t="str">
        <f t="shared" si="17"/>
        <v>HW</v>
      </c>
      <c r="U77" s="256" t="str">
        <f t="shared" si="18"/>
        <v>O</v>
      </c>
      <c r="V77" s="256" t="str">
        <f t="shared" si="19"/>
        <v>U</v>
      </c>
      <c r="W77" s="256" t="str">
        <f t="shared" si="20"/>
        <v>O</v>
      </c>
      <c r="X77" s="256" t="str">
        <f t="shared" si="21"/>
        <v>O</v>
      </c>
      <c r="Z77">
        <v>55</v>
      </c>
      <c r="AA77" s="256" t="str">
        <f t="shared" si="11"/>
        <v>GS/IND</v>
      </c>
    </row>
    <row r="78" spans="1:27" x14ac:dyDescent="0.3">
      <c r="A78" s="256">
        <v>200126</v>
      </c>
      <c r="B78" s="257">
        <v>0.29166666666666669</v>
      </c>
      <c r="C78" s="256" t="s">
        <v>405</v>
      </c>
      <c r="D78" s="256" t="s">
        <v>397</v>
      </c>
      <c r="E78" s="256">
        <v>25</v>
      </c>
      <c r="F78" s="256">
        <v>30</v>
      </c>
      <c r="G78" s="256">
        <v>25</v>
      </c>
      <c r="H78" s="256">
        <v>32</v>
      </c>
      <c r="I78" s="256"/>
      <c r="J78" s="256">
        <v>36</v>
      </c>
      <c r="K78" s="256">
        <v>22</v>
      </c>
      <c r="L78" s="256">
        <v>26</v>
      </c>
      <c r="M78" s="256">
        <v>23</v>
      </c>
      <c r="N78" s="256"/>
      <c r="O78" s="256">
        <f t="shared" si="12"/>
        <v>112</v>
      </c>
      <c r="P78" s="256">
        <f t="shared" si="13"/>
        <v>107</v>
      </c>
      <c r="Q78" s="256" t="str">
        <f t="shared" si="14"/>
        <v>HL</v>
      </c>
      <c r="R78" s="256" t="str">
        <f t="shared" si="15"/>
        <v>HW</v>
      </c>
      <c r="S78" s="256" t="str">
        <f t="shared" si="16"/>
        <v>HL</v>
      </c>
      <c r="T78" s="256" t="str">
        <f t="shared" si="17"/>
        <v>HW</v>
      </c>
      <c r="U78" s="256" t="str">
        <f t="shared" si="18"/>
        <v>O</v>
      </c>
      <c r="V78" s="256" t="str">
        <f t="shared" si="19"/>
        <v>U</v>
      </c>
      <c r="W78" s="256" t="str">
        <f t="shared" si="20"/>
        <v>U</v>
      </c>
      <c r="X78" s="256" t="str">
        <f t="shared" si="21"/>
        <v>U</v>
      </c>
      <c r="Z78">
        <v>58.5</v>
      </c>
      <c r="AA78" s="256" t="str">
        <f t="shared" si="11"/>
        <v>UTA/DAL</v>
      </c>
    </row>
    <row r="79" spans="1:27" x14ac:dyDescent="0.3">
      <c r="A79" s="256">
        <v>200126</v>
      </c>
      <c r="B79" s="257">
        <v>0.375</v>
      </c>
      <c r="C79" s="256" t="s">
        <v>422</v>
      </c>
      <c r="D79" s="256" t="s">
        <v>407</v>
      </c>
      <c r="E79" s="256">
        <v>25</v>
      </c>
      <c r="F79" s="256">
        <v>35</v>
      </c>
      <c r="G79" s="256">
        <v>17</v>
      </c>
      <c r="H79" s="256">
        <v>29</v>
      </c>
      <c r="I79" s="256">
        <v>5</v>
      </c>
      <c r="J79" s="256">
        <v>26</v>
      </c>
      <c r="K79" s="256">
        <v>24</v>
      </c>
      <c r="L79" s="256">
        <v>30</v>
      </c>
      <c r="M79" s="256">
        <v>26</v>
      </c>
      <c r="N79" s="256">
        <v>15</v>
      </c>
      <c r="O79" s="256">
        <f t="shared" si="12"/>
        <v>111</v>
      </c>
      <c r="P79" s="256">
        <f t="shared" si="13"/>
        <v>121</v>
      </c>
      <c r="Q79" s="256" t="str">
        <f t="shared" si="14"/>
        <v>HL</v>
      </c>
      <c r="R79" s="256" t="str">
        <f t="shared" si="15"/>
        <v>HW</v>
      </c>
      <c r="S79" s="256" t="str">
        <f t="shared" si="16"/>
        <v>HL</v>
      </c>
      <c r="T79" s="256" t="str">
        <f t="shared" si="17"/>
        <v>HW</v>
      </c>
      <c r="U79" s="256" t="str">
        <f t="shared" si="18"/>
        <v>U</v>
      </c>
      <c r="V79" s="256" t="str">
        <f t="shared" si="19"/>
        <v>O</v>
      </c>
      <c r="W79" s="256" t="str">
        <f t="shared" si="20"/>
        <v>U</v>
      </c>
      <c r="X79" s="256" t="str">
        <f t="shared" si="21"/>
        <v>U</v>
      </c>
      <c r="Z79">
        <v>55.5</v>
      </c>
      <c r="AA79" s="256" t="str">
        <f t="shared" si="11"/>
        <v>DET/BKN</v>
      </c>
    </row>
    <row r="80" spans="1:27" x14ac:dyDescent="0.3">
      <c r="A80" s="256">
        <v>200126</v>
      </c>
      <c r="B80" s="257">
        <v>0.41666666666666669</v>
      </c>
      <c r="C80" s="256" t="s">
        <v>402</v>
      </c>
      <c r="D80" s="256" t="s">
        <v>412</v>
      </c>
      <c r="E80" s="256">
        <v>31</v>
      </c>
      <c r="F80" s="256">
        <v>26</v>
      </c>
      <c r="G80" s="256">
        <v>19</v>
      </c>
      <c r="H80" s="256">
        <v>30</v>
      </c>
      <c r="I80" s="256"/>
      <c r="J80" s="256">
        <v>25</v>
      </c>
      <c r="K80" s="256">
        <v>34</v>
      </c>
      <c r="L80" s="256">
        <v>40</v>
      </c>
      <c r="M80" s="256">
        <v>19</v>
      </c>
      <c r="N80" s="256"/>
      <c r="O80" s="256">
        <f t="shared" si="12"/>
        <v>106</v>
      </c>
      <c r="P80" s="256">
        <f t="shared" si="13"/>
        <v>118</v>
      </c>
      <c r="Q80" s="256" t="str">
        <f t="shared" si="14"/>
        <v>HW</v>
      </c>
      <c r="R80" s="256" t="str">
        <f t="shared" si="15"/>
        <v>HL</v>
      </c>
      <c r="S80" s="256" t="str">
        <f t="shared" si="16"/>
        <v>HL</v>
      </c>
      <c r="T80" s="256" t="str">
        <f t="shared" si="17"/>
        <v>HW</v>
      </c>
      <c r="U80" s="256" t="str">
        <f t="shared" si="18"/>
        <v>O</v>
      </c>
      <c r="V80" s="256" t="str">
        <f t="shared" si="19"/>
        <v>O</v>
      </c>
      <c r="W80" s="256" t="str">
        <f t="shared" si="20"/>
        <v>O</v>
      </c>
      <c r="X80" s="256" t="str">
        <f t="shared" si="21"/>
        <v>U</v>
      </c>
      <c r="Z80">
        <v>54.5</v>
      </c>
      <c r="AA80" s="256" t="str">
        <f t="shared" si="11"/>
        <v>CLE/CHI</v>
      </c>
    </row>
    <row r="81" spans="1:27" x14ac:dyDescent="0.3">
      <c r="A81" s="256">
        <v>200126</v>
      </c>
      <c r="B81" s="257">
        <v>0.41666666666666669</v>
      </c>
      <c r="C81" s="256" t="s">
        <v>420</v>
      </c>
      <c r="D81" s="256" t="s">
        <v>418</v>
      </c>
      <c r="E81" s="256">
        <v>22</v>
      </c>
      <c r="F81" s="256">
        <v>26</v>
      </c>
      <c r="G81" s="256">
        <v>24</v>
      </c>
      <c r="H81" s="256">
        <v>32</v>
      </c>
      <c r="I81" s="256"/>
      <c r="J81" s="256">
        <v>28</v>
      </c>
      <c r="K81" s="256">
        <v>24</v>
      </c>
      <c r="L81" s="256">
        <v>39</v>
      </c>
      <c r="M81" s="256">
        <v>22</v>
      </c>
      <c r="N81" s="256"/>
      <c r="O81" s="256">
        <f t="shared" si="12"/>
        <v>104</v>
      </c>
      <c r="P81" s="256">
        <f t="shared" si="13"/>
        <v>113</v>
      </c>
      <c r="Q81" s="256" t="str">
        <f t="shared" si="14"/>
        <v>HL</v>
      </c>
      <c r="R81" s="256" t="str">
        <f t="shared" si="15"/>
        <v>HW</v>
      </c>
      <c r="S81" s="256" t="str">
        <f t="shared" si="16"/>
        <v>HL</v>
      </c>
      <c r="T81" s="256" t="str">
        <f t="shared" si="17"/>
        <v>HW</v>
      </c>
      <c r="U81" s="256" t="str">
        <f t="shared" si="18"/>
        <v>U</v>
      </c>
      <c r="V81" s="256" t="str">
        <f t="shared" si="19"/>
        <v>U</v>
      </c>
      <c r="W81" s="256" t="str">
        <f t="shared" si="20"/>
        <v>O</v>
      </c>
      <c r="X81" s="256" t="str">
        <f t="shared" si="21"/>
        <v>U</v>
      </c>
      <c r="Z81">
        <v>58</v>
      </c>
      <c r="AA81" s="256" t="str">
        <f t="shared" si="11"/>
        <v>MIN/OKC</v>
      </c>
    </row>
    <row r="82" spans="1:27" x14ac:dyDescent="0.3">
      <c r="A82" s="256">
        <v>200126</v>
      </c>
      <c r="B82" s="257">
        <v>0.4375</v>
      </c>
      <c r="C82" s="256" t="s">
        <v>401</v>
      </c>
      <c r="D82" s="256" t="s">
        <v>419</v>
      </c>
      <c r="E82" s="256">
        <v>35</v>
      </c>
      <c r="F82" s="256">
        <v>24</v>
      </c>
      <c r="G82" s="256">
        <v>26</v>
      </c>
      <c r="H82" s="256">
        <v>23</v>
      </c>
      <c r="I82" s="256"/>
      <c r="J82" s="256">
        <v>25</v>
      </c>
      <c r="K82" s="256">
        <v>25</v>
      </c>
      <c r="L82" s="256">
        <v>23</v>
      </c>
      <c r="M82" s="256">
        <v>18</v>
      </c>
      <c r="N82" s="256"/>
      <c r="O82" s="256">
        <f t="shared" si="12"/>
        <v>108</v>
      </c>
      <c r="P82" s="256">
        <f t="shared" si="13"/>
        <v>91</v>
      </c>
      <c r="Q82" s="256" t="str">
        <f t="shared" si="14"/>
        <v>HW</v>
      </c>
      <c r="R82" s="256" t="str">
        <f t="shared" si="15"/>
        <v>HL</v>
      </c>
      <c r="S82" s="256" t="str">
        <f t="shared" si="16"/>
        <v>HW</v>
      </c>
      <c r="T82" s="256" t="str">
        <f t="shared" si="17"/>
        <v>HW</v>
      </c>
      <c r="U82" s="256" t="str">
        <f t="shared" si="18"/>
        <v>O</v>
      </c>
      <c r="V82" s="256" t="str">
        <f t="shared" si="19"/>
        <v>U</v>
      </c>
      <c r="W82" s="256" t="str">
        <f t="shared" si="20"/>
        <v>U</v>
      </c>
      <c r="X82" s="256" t="str">
        <f t="shared" si="21"/>
        <v>U</v>
      </c>
      <c r="Z82">
        <v>57</v>
      </c>
      <c r="AA82" s="256" t="str">
        <f t="shared" si="11"/>
        <v>PHI/LAL</v>
      </c>
    </row>
    <row r="83" spans="1:27" x14ac:dyDescent="0.3">
      <c r="A83" s="256">
        <v>200127</v>
      </c>
      <c r="B83" s="257">
        <v>0.22916666666666666</v>
      </c>
      <c r="C83" s="256" t="s">
        <v>408</v>
      </c>
      <c r="D83" s="256" t="s">
        <v>403</v>
      </c>
      <c r="E83" s="256">
        <v>27</v>
      </c>
      <c r="F83" s="256">
        <v>30</v>
      </c>
      <c r="G83" s="256">
        <v>33</v>
      </c>
      <c r="H83" s="256">
        <v>27</v>
      </c>
      <c r="I83" s="256"/>
      <c r="J83" s="256">
        <v>36</v>
      </c>
      <c r="K83" s="256">
        <v>23</v>
      </c>
      <c r="L83" s="256">
        <v>30</v>
      </c>
      <c r="M83" s="256">
        <v>21</v>
      </c>
      <c r="N83" s="256"/>
      <c r="O83" s="256">
        <f t="shared" si="12"/>
        <v>117</v>
      </c>
      <c r="P83" s="256">
        <f t="shared" si="13"/>
        <v>110</v>
      </c>
      <c r="Q83" s="256" t="str">
        <f t="shared" si="14"/>
        <v>HL</v>
      </c>
      <c r="R83" s="256" t="str">
        <f t="shared" si="15"/>
        <v>HW</v>
      </c>
      <c r="S83" s="256" t="str">
        <f t="shared" si="16"/>
        <v>HW</v>
      </c>
      <c r="T83" s="256" t="str">
        <f t="shared" si="17"/>
        <v>HW</v>
      </c>
      <c r="U83" s="256" t="str">
        <f t="shared" si="18"/>
        <v>O</v>
      </c>
      <c r="V83" s="256" t="str">
        <f t="shared" si="19"/>
        <v>U</v>
      </c>
      <c r="W83" s="256" t="str">
        <f t="shared" si="20"/>
        <v>O</v>
      </c>
      <c r="X83" s="256" t="str">
        <f t="shared" si="21"/>
        <v>U</v>
      </c>
      <c r="Z83">
        <v>58</v>
      </c>
      <c r="AA83" s="256" t="str">
        <f t="shared" si="11"/>
        <v>DEN/HOU</v>
      </c>
    </row>
    <row r="84" spans="1:27" x14ac:dyDescent="0.3">
      <c r="A84" s="256">
        <v>200127</v>
      </c>
      <c r="B84" s="257">
        <v>0.25</v>
      </c>
      <c r="C84" s="256" t="s">
        <v>426</v>
      </c>
      <c r="D84" s="256" t="s">
        <v>413</v>
      </c>
      <c r="E84" s="256">
        <v>21</v>
      </c>
      <c r="F84" s="256">
        <v>30</v>
      </c>
      <c r="G84" s="256">
        <v>34</v>
      </c>
      <c r="H84" s="256">
        <v>21</v>
      </c>
      <c r="I84" s="256"/>
      <c r="J84" s="256">
        <v>37</v>
      </c>
      <c r="K84" s="256">
        <v>26</v>
      </c>
      <c r="L84" s="256">
        <v>23</v>
      </c>
      <c r="M84" s="256">
        <v>24</v>
      </c>
      <c r="N84" s="256"/>
      <c r="O84" s="256">
        <f t="shared" si="12"/>
        <v>106</v>
      </c>
      <c r="P84" s="256">
        <f t="shared" si="13"/>
        <v>110</v>
      </c>
      <c r="Q84" s="256" t="str">
        <f t="shared" si="14"/>
        <v>HL</v>
      </c>
      <c r="R84" s="256" t="str">
        <f t="shared" si="15"/>
        <v>HW</v>
      </c>
      <c r="S84" s="256" t="str">
        <f t="shared" si="16"/>
        <v>HW</v>
      </c>
      <c r="T84" s="256" t="str">
        <f t="shared" si="17"/>
        <v>HL</v>
      </c>
      <c r="U84" s="256" t="str">
        <f t="shared" si="18"/>
        <v>O</v>
      </c>
      <c r="V84" s="256" t="str">
        <f t="shared" si="19"/>
        <v>U</v>
      </c>
      <c r="W84" s="256" t="str">
        <f t="shared" si="20"/>
        <v>T</v>
      </c>
      <c r="X84" s="256" t="str">
        <f t="shared" si="21"/>
        <v>U</v>
      </c>
      <c r="Z84">
        <v>57</v>
      </c>
      <c r="AA84" s="256" t="str">
        <f t="shared" si="11"/>
        <v>SAS/TOR</v>
      </c>
    </row>
    <row r="85" spans="1:27" x14ac:dyDescent="0.3">
      <c r="A85" s="256">
        <v>200127</v>
      </c>
      <c r="B85" s="257">
        <v>0.33333333333333331</v>
      </c>
      <c r="C85" s="256" t="s">
        <v>410</v>
      </c>
      <c r="D85" s="256" t="s">
        <v>414</v>
      </c>
      <c r="E85" s="256">
        <v>31</v>
      </c>
      <c r="F85" s="256">
        <v>47</v>
      </c>
      <c r="G85" s="256">
        <v>41</v>
      </c>
      <c r="H85" s="256">
        <v>33</v>
      </c>
      <c r="I85" s="256"/>
      <c r="J85" s="256">
        <v>33</v>
      </c>
      <c r="K85" s="256">
        <v>39</v>
      </c>
      <c r="L85" s="256">
        <v>30</v>
      </c>
      <c r="M85" s="256">
        <v>31</v>
      </c>
      <c r="N85" s="256"/>
      <c r="O85" s="256">
        <f t="shared" si="12"/>
        <v>152</v>
      </c>
      <c r="P85" s="256">
        <f t="shared" si="13"/>
        <v>133</v>
      </c>
      <c r="Q85" s="256" t="str">
        <f t="shared" si="14"/>
        <v>HL</v>
      </c>
      <c r="R85" s="256" t="str">
        <f t="shared" si="15"/>
        <v>HW</v>
      </c>
      <c r="S85" s="256" t="str">
        <f t="shared" si="16"/>
        <v>HW</v>
      </c>
      <c r="T85" s="256" t="str">
        <f t="shared" si="17"/>
        <v>HW</v>
      </c>
      <c r="U85" s="256" t="str">
        <f t="shared" si="18"/>
        <v>O</v>
      </c>
      <c r="V85" s="256" t="str">
        <f t="shared" si="19"/>
        <v>O</v>
      </c>
      <c r="W85" s="256" t="str">
        <f t="shared" si="20"/>
        <v>O</v>
      </c>
      <c r="X85" s="256" t="str">
        <f t="shared" si="21"/>
        <v>O</v>
      </c>
      <c r="Z85">
        <v>61</v>
      </c>
      <c r="AA85" s="256" t="str">
        <f t="shared" si="11"/>
        <v>ATL/WAS</v>
      </c>
    </row>
    <row r="86" spans="1:27" x14ac:dyDescent="0.3">
      <c r="A86" s="256">
        <v>200127</v>
      </c>
      <c r="B86" s="257">
        <v>0.33333333333333331</v>
      </c>
      <c r="C86" s="256" t="s">
        <v>398</v>
      </c>
      <c r="D86" s="256" t="s">
        <v>421</v>
      </c>
      <c r="E86" s="256">
        <v>32</v>
      </c>
      <c r="F86" s="256">
        <v>30</v>
      </c>
      <c r="G86" s="256">
        <v>29</v>
      </c>
      <c r="H86" s="256">
        <v>32</v>
      </c>
      <c r="I86" s="256"/>
      <c r="J86" s="256">
        <v>20</v>
      </c>
      <c r="K86" s="256">
        <v>22</v>
      </c>
      <c r="L86" s="256">
        <v>39</v>
      </c>
      <c r="M86" s="256">
        <v>27</v>
      </c>
      <c r="N86" s="256"/>
      <c r="O86" s="256">
        <f t="shared" si="12"/>
        <v>123</v>
      </c>
      <c r="P86" s="256">
        <f t="shared" si="13"/>
        <v>108</v>
      </c>
      <c r="Q86" s="256" t="str">
        <f t="shared" si="14"/>
        <v>HW</v>
      </c>
      <c r="R86" s="256" t="str">
        <f t="shared" si="15"/>
        <v>HW</v>
      </c>
      <c r="S86" s="256" t="str">
        <f t="shared" si="16"/>
        <v>HL</v>
      </c>
      <c r="T86" s="256" t="str">
        <f t="shared" si="17"/>
        <v>HW</v>
      </c>
      <c r="U86" s="256" t="str">
        <f t="shared" si="18"/>
        <v>U</v>
      </c>
      <c r="V86" s="256" t="str">
        <f t="shared" si="19"/>
        <v>U</v>
      </c>
      <c r="W86" s="256" t="str">
        <f t="shared" si="20"/>
        <v>O</v>
      </c>
      <c r="X86" s="256" t="str">
        <f t="shared" si="21"/>
        <v>O</v>
      </c>
      <c r="Z86">
        <v>55.5</v>
      </c>
      <c r="AA86" s="256" t="str">
        <f t="shared" si="11"/>
        <v>NO/BOS</v>
      </c>
    </row>
    <row r="87" spans="1:27" x14ac:dyDescent="0.3">
      <c r="A87" s="256">
        <v>200127</v>
      </c>
      <c r="B87" s="257">
        <v>0.33333333333333331</v>
      </c>
      <c r="C87" s="256" t="s">
        <v>399</v>
      </c>
      <c r="D87" s="256" t="s">
        <v>407</v>
      </c>
      <c r="E87" s="256">
        <v>30</v>
      </c>
      <c r="F87" s="256">
        <v>25</v>
      </c>
      <c r="G87" s="256">
        <v>30</v>
      </c>
      <c r="H87" s="256">
        <v>25</v>
      </c>
      <c r="I87" s="256"/>
      <c r="J87" s="256">
        <v>28</v>
      </c>
      <c r="K87" s="256">
        <v>24</v>
      </c>
      <c r="L87" s="256">
        <v>24</v>
      </c>
      <c r="M87" s="256">
        <v>21</v>
      </c>
      <c r="N87" s="256"/>
      <c r="O87" s="256">
        <f t="shared" si="12"/>
        <v>110</v>
      </c>
      <c r="P87" s="256">
        <f t="shared" si="13"/>
        <v>97</v>
      </c>
      <c r="Q87" s="256" t="str">
        <f t="shared" si="14"/>
        <v>HW</v>
      </c>
      <c r="R87" s="256" t="str">
        <f t="shared" si="15"/>
        <v>HW</v>
      </c>
      <c r="S87" s="256" t="str">
        <f t="shared" si="16"/>
        <v>HW</v>
      </c>
      <c r="T87" s="256" t="str">
        <f t="shared" si="17"/>
        <v>HW</v>
      </c>
      <c r="U87" s="256" t="str">
        <f t="shared" si="18"/>
        <v>O</v>
      </c>
      <c r="V87" s="256" t="str">
        <f t="shared" si="19"/>
        <v>U</v>
      </c>
      <c r="W87" s="256" t="str">
        <f t="shared" si="20"/>
        <v>O</v>
      </c>
      <c r="X87" s="256" t="str">
        <f t="shared" si="21"/>
        <v>U</v>
      </c>
      <c r="Z87">
        <v>53.5</v>
      </c>
      <c r="AA87" s="256" t="str">
        <f t="shared" si="11"/>
        <v>NYK/BKN</v>
      </c>
    </row>
    <row r="88" spans="1:27" x14ac:dyDescent="0.3">
      <c r="A88" s="256">
        <v>200127</v>
      </c>
      <c r="B88" s="257">
        <v>0.33333333333333331</v>
      </c>
      <c r="C88" s="256" t="s">
        <v>424</v>
      </c>
      <c r="D88" s="256" t="s">
        <v>415</v>
      </c>
      <c r="E88" s="256">
        <v>28</v>
      </c>
      <c r="F88" s="256">
        <v>24</v>
      </c>
      <c r="G88" s="256">
        <v>20</v>
      </c>
      <c r="H88" s="256">
        <v>25</v>
      </c>
      <c r="I88" s="256"/>
      <c r="J88" s="256">
        <v>26</v>
      </c>
      <c r="K88" s="256">
        <v>28</v>
      </c>
      <c r="L88" s="256">
        <v>31</v>
      </c>
      <c r="M88" s="256">
        <v>27</v>
      </c>
      <c r="N88" s="256"/>
      <c r="O88" s="256">
        <f t="shared" si="12"/>
        <v>97</v>
      </c>
      <c r="P88" s="256">
        <f t="shared" si="13"/>
        <v>112</v>
      </c>
      <c r="Q88" s="256" t="str">
        <f t="shared" si="14"/>
        <v>HW</v>
      </c>
      <c r="R88" s="256" t="str">
        <f t="shared" si="15"/>
        <v>HL</v>
      </c>
      <c r="S88" s="256" t="str">
        <f t="shared" si="16"/>
        <v>HL</v>
      </c>
      <c r="T88" s="256" t="str">
        <f t="shared" si="17"/>
        <v>HL</v>
      </c>
      <c r="U88" s="256" t="str">
        <f t="shared" si="18"/>
        <v>U</v>
      </c>
      <c r="V88" s="256" t="str">
        <f t="shared" si="19"/>
        <v>U</v>
      </c>
      <c r="W88" s="256" t="str">
        <f t="shared" si="20"/>
        <v>U</v>
      </c>
      <c r="X88" s="256" t="str">
        <f t="shared" si="21"/>
        <v>U</v>
      </c>
      <c r="Z88">
        <v>54.5</v>
      </c>
      <c r="AA88" s="256" t="str">
        <f t="shared" si="11"/>
        <v>ORL/LAC</v>
      </c>
    </row>
    <row r="89" spans="1:27" x14ac:dyDescent="0.3">
      <c r="A89" s="256">
        <v>200127</v>
      </c>
      <c r="B89" s="257">
        <v>0.33333333333333331</v>
      </c>
      <c r="C89" s="256" t="s">
        <v>406</v>
      </c>
      <c r="D89" s="256" t="s">
        <v>404</v>
      </c>
      <c r="E89" s="256">
        <v>30</v>
      </c>
      <c r="F89" s="256">
        <v>26</v>
      </c>
      <c r="G89" s="256">
        <v>25</v>
      </c>
      <c r="H89" s="256">
        <v>33</v>
      </c>
      <c r="I89" s="256"/>
      <c r="J89" s="256">
        <v>18</v>
      </c>
      <c r="K89" s="256">
        <v>27</v>
      </c>
      <c r="L89" s="256">
        <v>33</v>
      </c>
      <c r="M89" s="256">
        <v>31</v>
      </c>
      <c r="N89" s="256"/>
      <c r="O89" s="256">
        <f t="shared" si="12"/>
        <v>114</v>
      </c>
      <c r="P89" s="256">
        <f t="shared" si="13"/>
        <v>109</v>
      </c>
      <c r="Q89" s="256" t="str">
        <f t="shared" si="14"/>
        <v>HW</v>
      </c>
      <c r="R89" s="256" t="str">
        <f t="shared" si="15"/>
        <v>HL</v>
      </c>
      <c r="S89" s="256" t="str">
        <f t="shared" si="16"/>
        <v>HL</v>
      </c>
      <c r="T89" s="256" t="str">
        <f t="shared" si="17"/>
        <v>HW</v>
      </c>
      <c r="U89" s="256" t="str">
        <f t="shared" si="18"/>
        <v>U</v>
      </c>
      <c r="V89" s="256" t="str">
        <f t="shared" si="19"/>
        <v>U</v>
      </c>
      <c r="W89" s="256" t="str">
        <f t="shared" si="20"/>
        <v>O</v>
      </c>
      <c r="X89" s="256" t="str">
        <f t="shared" si="21"/>
        <v>O</v>
      </c>
      <c r="Z89">
        <v>57</v>
      </c>
      <c r="AA89" s="256" t="str">
        <f t="shared" si="11"/>
        <v>MEM/PHO</v>
      </c>
    </row>
    <row r="90" spans="1:27" x14ac:dyDescent="0.3">
      <c r="A90" s="256">
        <v>200127</v>
      </c>
      <c r="B90" s="257">
        <v>0.45833333333333331</v>
      </c>
      <c r="C90" s="256" t="s">
        <v>417</v>
      </c>
      <c r="D90" s="256" t="s">
        <v>400</v>
      </c>
      <c r="E90" s="256">
        <v>36</v>
      </c>
      <c r="F90" s="256">
        <v>30</v>
      </c>
      <c r="G90" s="256">
        <v>40</v>
      </c>
      <c r="H90" s="256">
        <v>33</v>
      </c>
      <c r="I90" s="256"/>
      <c r="J90" s="256">
        <v>27</v>
      </c>
      <c r="K90" s="256">
        <v>29</v>
      </c>
      <c r="L90" s="256">
        <v>37</v>
      </c>
      <c r="M90" s="256">
        <v>36</v>
      </c>
      <c r="N90" s="256"/>
      <c r="O90" s="256">
        <f t="shared" si="12"/>
        <v>139</v>
      </c>
      <c r="P90" s="256">
        <f t="shared" si="13"/>
        <v>129</v>
      </c>
      <c r="Q90" s="256" t="str">
        <f t="shared" si="14"/>
        <v>HW</v>
      </c>
      <c r="R90" s="256" t="str">
        <f t="shared" si="15"/>
        <v>HW</v>
      </c>
      <c r="S90" s="256" t="str">
        <f t="shared" si="16"/>
        <v>HW</v>
      </c>
      <c r="T90" s="256" t="str">
        <f t="shared" si="17"/>
        <v>HL</v>
      </c>
      <c r="U90" s="256" t="str">
        <f t="shared" si="18"/>
        <v>O</v>
      </c>
      <c r="V90" s="256" t="str">
        <f t="shared" si="19"/>
        <v>O</v>
      </c>
      <c r="W90" s="256" t="str">
        <f t="shared" si="20"/>
        <v>O</v>
      </c>
      <c r="X90" s="256" t="str">
        <f t="shared" si="21"/>
        <v>O</v>
      </c>
      <c r="Z90">
        <v>55</v>
      </c>
      <c r="AA90" s="256" t="str">
        <f t="shared" si="11"/>
        <v>POR/IND</v>
      </c>
    </row>
    <row r="91" spans="1:27" x14ac:dyDescent="0.3">
      <c r="A91" s="256">
        <v>200128</v>
      </c>
      <c r="B91" s="257">
        <v>0.375</v>
      </c>
      <c r="C91" s="256" t="s">
        <v>422</v>
      </c>
      <c r="D91" s="256" t="s">
        <v>402</v>
      </c>
      <c r="E91" s="256">
        <v>23</v>
      </c>
      <c r="F91" s="256">
        <v>22</v>
      </c>
      <c r="G91" s="256">
        <v>27</v>
      </c>
      <c r="H91" s="256">
        <v>28</v>
      </c>
      <c r="I91" s="256"/>
      <c r="J91" s="256">
        <v>24</v>
      </c>
      <c r="K91" s="256">
        <v>29</v>
      </c>
      <c r="L91" s="256">
        <v>36</v>
      </c>
      <c r="M91" s="256">
        <v>26</v>
      </c>
      <c r="N91" s="256"/>
      <c r="O91" s="256">
        <f t="shared" si="12"/>
        <v>100</v>
      </c>
      <c r="P91" s="256">
        <f t="shared" si="13"/>
        <v>115</v>
      </c>
      <c r="Q91" s="256" t="str">
        <f t="shared" si="14"/>
        <v>HL</v>
      </c>
      <c r="R91" s="256" t="str">
        <f t="shared" si="15"/>
        <v>HL</v>
      </c>
      <c r="S91" s="256" t="str">
        <f t="shared" si="16"/>
        <v>HL</v>
      </c>
      <c r="T91" s="256" t="str">
        <f t="shared" si="17"/>
        <v>HW</v>
      </c>
      <c r="U91" s="256" t="str">
        <f t="shared" si="18"/>
        <v>U</v>
      </c>
      <c r="V91" s="256" t="str">
        <f t="shared" si="19"/>
        <v>U</v>
      </c>
      <c r="W91" s="256" t="str">
        <f t="shared" si="20"/>
        <v>O</v>
      </c>
      <c r="X91" s="256" t="str">
        <f t="shared" si="21"/>
        <v>O</v>
      </c>
      <c r="Z91">
        <v>52.5</v>
      </c>
      <c r="AA91" s="256" t="str">
        <f t="shared" si="11"/>
        <v>DET/CLE</v>
      </c>
    </row>
    <row r="92" spans="1:27" x14ac:dyDescent="0.3">
      <c r="A92" s="256">
        <v>200128</v>
      </c>
      <c r="B92" s="257">
        <v>0.39583333333333331</v>
      </c>
      <c r="C92" s="256" t="s">
        <v>411</v>
      </c>
      <c r="D92" s="256" t="s">
        <v>424</v>
      </c>
      <c r="E92" s="256">
        <v>31</v>
      </c>
      <c r="F92" s="256">
        <v>23</v>
      </c>
      <c r="G92" s="256">
        <v>31</v>
      </c>
      <c r="H92" s="256">
        <v>28</v>
      </c>
      <c r="I92" s="256"/>
      <c r="J92" s="256">
        <v>21</v>
      </c>
      <c r="K92" s="256">
        <v>27</v>
      </c>
      <c r="L92" s="256">
        <v>23</v>
      </c>
      <c r="M92" s="256">
        <v>21</v>
      </c>
      <c r="N92" s="256"/>
      <c r="O92" s="256">
        <f t="shared" si="12"/>
        <v>113</v>
      </c>
      <c r="P92" s="256">
        <f t="shared" si="13"/>
        <v>92</v>
      </c>
      <c r="Q92" s="256" t="str">
        <f t="shared" si="14"/>
        <v>HW</v>
      </c>
      <c r="R92" s="256" t="str">
        <f t="shared" si="15"/>
        <v>HL</v>
      </c>
      <c r="S92" s="256" t="str">
        <f t="shared" si="16"/>
        <v>HW</v>
      </c>
      <c r="T92" s="256" t="str">
        <f t="shared" si="17"/>
        <v>HW</v>
      </c>
      <c r="U92" s="256" t="str">
        <f t="shared" si="18"/>
        <v>U</v>
      </c>
      <c r="V92" s="256" t="str">
        <f t="shared" si="19"/>
        <v>U</v>
      </c>
      <c r="W92" s="256" t="str">
        <f t="shared" si="20"/>
        <v>O</v>
      </c>
      <c r="X92" s="256" t="str">
        <f t="shared" si="21"/>
        <v>U</v>
      </c>
      <c r="Z92">
        <v>53</v>
      </c>
      <c r="AA92" s="256" t="str">
        <f t="shared" si="11"/>
        <v>MIA/ORL</v>
      </c>
    </row>
    <row r="93" spans="1:27" x14ac:dyDescent="0.3">
      <c r="A93" s="256">
        <v>200128</v>
      </c>
      <c r="B93" s="257">
        <v>0.41666666666666669</v>
      </c>
      <c r="C93" s="256" t="s">
        <v>412</v>
      </c>
      <c r="D93" s="256" t="s">
        <v>426</v>
      </c>
      <c r="E93" s="256">
        <v>21</v>
      </c>
      <c r="F93" s="256">
        <v>29</v>
      </c>
      <c r="G93" s="256">
        <v>25</v>
      </c>
      <c r="H93" s="256">
        <v>35</v>
      </c>
      <c r="I93" s="256"/>
      <c r="J93" s="256">
        <v>28</v>
      </c>
      <c r="K93" s="256">
        <v>20</v>
      </c>
      <c r="L93" s="256">
        <v>37</v>
      </c>
      <c r="M93" s="256">
        <v>24</v>
      </c>
      <c r="N93" s="256"/>
      <c r="O93" s="256">
        <f t="shared" si="12"/>
        <v>110</v>
      </c>
      <c r="P93" s="256">
        <f t="shared" si="13"/>
        <v>109</v>
      </c>
      <c r="Q93" s="256" t="str">
        <f t="shared" si="14"/>
        <v>HL</v>
      </c>
      <c r="R93" s="256" t="str">
        <f t="shared" si="15"/>
        <v>HW</v>
      </c>
      <c r="S93" s="256" t="str">
        <f t="shared" si="16"/>
        <v>HL</v>
      </c>
      <c r="T93" s="256" t="str">
        <f t="shared" si="17"/>
        <v>HW</v>
      </c>
      <c r="U93" s="256" t="str">
        <f t="shared" si="18"/>
        <v>U</v>
      </c>
      <c r="V93" s="256" t="str">
        <f t="shared" si="19"/>
        <v>U</v>
      </c>
      <c r="W93" s="256" t="str">
        <f t="shared" si="20"/>
        <v>O</v>
      </c>
      <c r="X93" s="256" t="str">
        <f t="shared" si="21"/>
        <v>O</v>
      </c>
      <c r="Z93">
        <v>51.5</v>
      </c>
      <c r="AA93" s="256" t="str">
        <f t="shared" si="11"/>
        <v>CHI/SAS</v>
      </c>
    </row>
    <row r="94" spans="1:27" x14ac:dyDescent="0.3">
      <c r="A94" s="256">
        <v>200128</v>
      </c>
      <c r="B94" s="257">
        <v>0.41666666666666669</v>
      </c>
      <c r="C94" s="256" t="s">
        <v>420</v>
      </c>
      <c r="D94" s="256" t="s">
        <v>416</v>
      </c>
      <c r="E94" s="256">
        <v>37</v>
      </c>
      <c r="F94" s="256">
        <v>31</v>
      </c>
      <c r="G94" s="256">
        <v>29</v>
      </c>
      <c r="H94" s="256">
        <v>22</v>
      </c>
      <c r="I94" s="256">
        <v>10</v>
      </c>
      <c r="J94" s="256">
        <v>24</v>
      </c>
      <c r="K94" s="256">
        <v>26</v>
      </c>
      <c r="L94" s="256">
        <v>28</v>
      </c>
      <c r="M94" s="256">
        <v>41</v>
      </c>
      <c r="N94" s="256">
        <v>14</v>
      </c>
      <c r="O94" s="256">
        <f t="shared" si="12"/>
        <v>129</v>
      </c>
      <c r="P94" s="256">
        <f t="shared" si="13"/>
        <v>133</v>
      </c>
      <c r="Q94" s="256" t="str">
        <f t="shared" si="14"/>
        <v>HW</v>
      </c>
      <c r="R94" s="256" t="str">
        <f t="shared" si="15"/>
        <v>HW</v>
      </c>
      <c r="S94" s="256" t="str">
        <f t="shared" si="16"/>
        <v>HW</v>
      </c>
      <c r="T94" s="256" t="str">
        <f t="shared" si="17"/>
        <v>HL</v>
      </c>
      <c r="U94" s="256" t="str">
        <f t="shared" si="18"/>
        <v>O</v>
      </c>
      <c r="V94" s="256" t="str">
        <f t="shared" si="19"/>
        <v>O</v>
      </c>
      <c r="W94" s="256" t="str">
        <f t="shared" si="20"/>
        <v>O</v>
      </c>
      <c r="X94" s="256" t="str">
        <f t="shared" si="21"/>
        <v>O</v>
      </c>
      <c r="Z94">
        <v>56.5</v>
      </c>
      <c r="AA94" s="256" t="str">
        <f t="shared" si="11"/>
        <v>MIN/SAC</v>
      </c>
    </row>
    <row r="95" spans="1:27" x14ac:dyDescent="0.3">
      <c r="A95" s="256">
        <v>200128</v>
      </c>
      <c r="B95" s="257">
        <v>0.41666666666666669</v>
      </c>
      <c r="C95" s="256" t="s">
        <v>418</v>
      </c>
      <c r="D95" s="256" t="s">
        <v>397</v>
      </c>
      <c r="E95" s="256">
        <v>22</v>
      </c>
      <c r="F95" s="256">
        <v>25</v>
      </c>
      <c r="G95" s="256">
        <v>30</v>
      </c>
      <c r="H95" s="256">
        <v>20</v>
      </c>
      <c r="I95" s="256"/>
      <c r="J95" s="256">
        <v>25</v>
      </c>
      <c r="K95" s="256">
        <v>34</v>
      </c>
      <c r="L95" s="256">
        <v>29</v>
      </c>
      <c r="M95" s="256">
        <v>19</v>
      </c>
      <c r="N95" s="256"/>
      <c r="O95" s="256">
        <f t="shared" si="12"/>
        <v>97</v>
      </c>
      <c r="P95" s="256">
        <f t="shared" si="13"/>
        <v>107</v>
      </c>
      <c r="Q95" s="256" t="str">
        <f t="shared" si="14"/>
        <v>HL</v>
      </c>
      <c r="R95" s="256" t="str">
        <f t="shared" si="15"/>
        <v>HL</v>
      </c>
      <c r="S95" s="256" t="str">
        <f t="shared" si="16"/>
        <v>HW</v>
      </c>
      <c r="T95" s="256" t="str">
        <f t="shared" si="17"/>
        <v>HW</v>
      </c>
      <c r="U95" s="256" t="str">
        <f t="shared" si="18"/>
        <v>U</v>
      </c>
      <c r="V95" s="256" t="str">
        <f t="shared" si="19"/>
        <v>O</v>
      </c>
      <c r="W95" s="256" t="str">
        <f t="shared" si="20"/>
        <v>O</v>
      </c>
      <c r="X95" s="256" t="str">
        <f t="shared" si="21"/>
        <v>U</v>
      </c>
      <c r="Z95">
        <v>56.5</v>
      </c>
      <c r="AA95" s="256" t="str">
        <f t="shared" si="11"/>
        <v>OKC/DAL</v>
      </c>
    </row>
    <row r="96" spans="1:27" x14ac:dyDescent="0.3">
      <c r="A96" s="256">
        <v>200128</v>
      </c>
      <c r="B96" s="257">
        <v>0.45833333333333331</v>
      </c>
      <c r="C96" s="256" t="s">
        <v>405</v>
      </c>
      <c r="D96" s="256" t="s">
        <v>403</v>
      </c>
      <c r="E96" s="256">
        <v>20</v>
      </c>
      <c r="F96" s="256">
        <v>26</v>
      </c>
      <c r="G96" s="256">
        <v>29</v>
      </c>
      <c r="H96" s="256">
        <v>42</v>
      </c>
      <c r="I96" s="256"/>
      <c r="J96" s="256">
        <v>28</v>
      </c>
      <c r="K96" s="256">
        <v>31</v>
      </c>
      <c r="L96" s="256">
        <v>28</v>
      </c>
      <c r="M96" s="256">
        <v>39</v>
      </c>
      <c r="N96" s="256"/>
      <c r="O96" s="256">
        <f t="shared" si="12"/>
        <v>117</v>
      </c>
      <c r="P96" s="256">
        <f t="shared" si="13"/>
        <v>126</v>
      </c>
      <c r="Q96" s="256" t="str">
        <f t="shared" si="14"/>
        <v>HL</v>
      </c>
      <c r="R96" s="256" t="str">
        <f t="shared" si="15"/>
        <v>HL</v>
      </c>
      <c r="S96" s="256" t="str">
        <f t="shared" si="16"/>
        <v>HW</v>
      </c>
      <c r="T96" s="256" t="str">
        <f t="shared" si="17"/>
        <v>HW</v>
      </c>
      <c r="U96" s="256" t="str">
        <f t="shared" si="18"/>
        <v>U</v>
      </c>
      <c r="V96" s="256" t="str">
        <f t="shared" si="19"/>
        <v>O</v>
      </c>
      <c r="W96" s="256" t="str">
        <f t="shared" si="20"/>
        <v>O</v>
      </c>
      <c r="X96" s="256" t="str">
        <f t="shared" si="21"/>
        <v>O</v>
      </c>
      <c r="Z96">
        <v>55.5</v>
      </c>
      <c r="AA96" s="256" t="str">
        <f t="shared" si="11"/>
        <v>UTA/HOU</v>
      </c>
    </row>
    <row r="97" spans="1:27" x14ac:dyDescent="0.3">
      <c r="A97" s="256">
        <v>200129</v>
      </c>
      <c r="B97" s="257">
        <v>0.375</v>
      </c>
      <c r="C97" s="256" t="s">
        <v>401</v>
      </c>
      <c r="D97" s="256" t="s">
        <v>425</v>
      </c>
      <c r="E97" s="256">
        <v>26</v>
      </c>
      <c r="F97" s="256">
        <v>33</v>
      </c>
      <c r="G97" s="256">
        <v>27</v>
      </c>
      <c r="H97" s="256">
        <v>29</v>
      </c>
      <c r="I97" s="256"/>
      <c r="J97" s="256">
        <v>27</v>
      </c>
      <c r="K97" s="256">
        <v>27</v>
      </c>
      <c r="L97" s="256">
        <v>28</v>
      </c>
      <c r="M97" s="256">
        <v>22</v>
      </c>
      <c r="N97" s="256"/>
      <c r="O97" s="256">
        <f t="shared" si="12"/>
        <v>115</v>
      </c>
      <c r="P97" s="256">
        <f t="shared" si="13"/>
        <v>104</v>
      </c>
      <c r="Q97" s="256" t="str">
        <f t="shared" si="14"/>
        <v>HL</v>
      </c>
      <c r="R97" s="256" t="str">
        <f t="shared" si="15"/>
        <v>HW</v>
      </c>
      <c r="S97" s="256" t="str">
        <f t="shared" si="16"/>
        <v>HL</v>
      </c>
      <c r="T97" s="256" t="str">
        <f t="shared" si="17"/>
        <v>HW</v>
      </c>
      <c r="U97" s="256" t="str">
        <f t="shared" si="18"/>
        <v>U</v>
      </c>
      <c r="V97" s="256" t="str">
        <f t="shared" si="19"/>
        <v>O</v>
      </c>
      <c r="W97" s="256" t="str">
        <f t="shared" si="20"/>
        <v>O</v>
      </c>
      <c r="X97" s="256" t="str">
        <f t="shared" si="21"/>
        <v>U</v>
      </c>
      <c r="Z97">
        <v>54.5</v>
      </c>
      <c r="AA97" s="256" t="str">
        <f t="shared" si="11"/>
        <v>PHI/GS</v>
      </c>
    </row>
    <row r="98" spans="1:27" x14ac:dyDescent="0.3">
      <c r="A98" s="256">
        <v>200129</v>
      </c>
      <c r="B98" s="257">
        <v>0.375</v>
      </c>
      <c r="C98" s="256" t="s">
        <v>438</v>
      </c>
      <c r="D98" s="256" t="s">
        <v>399</v>
      </c>
      <c r="E98" s="256">
        <v>15</v>
      </c>
      <c r="F98" s="256">
        <v>32</v>
      </c>
      <c r="G98" s="256">
        <v>21</v>
      </c>
      <c r="H98" s="256">
        <v>29</v>
      </c>
      <c r="I98" s="256"/>
      <c r="J98" s="256">
        <v>26</v>
      </c>
      <c r="K98" s="256">
        <v>24</v>
      </c>
      <c r="L98" s="256">
        <v>16</v>
      </c>
      <c r="M98" s="256">
        <v>26</v>
      </c>
      <c r="N98" s="256"/>
      <c r="O98" s="256">
        <f t="shared" si="12"/>
        <v>97</v>
      </c>
      <c r="P98" s="256">
        <f t="shared" si="13"/>
        <v>92</v>
      </c>
      <c r="Q98" s="256" t="str">
        <f t="shared" si="14"/>
        <v>HL</v>
      </c>
      <c r="R98" s="256" t="str">
        <f t="shared" si="15"/>
        <v>HW</v>
      </c>
      <c r="S98" s="256" t="str">
        <f t="shared" si="16"/>
        <v>HW</v>
      </c>
      <c r="T98" s="256" t="str">
        <f t="shared" si="17"/>
        <v>HW</v>
      </c>
      <c r="U98" s="256" t="str">
        <f t="shared" si="18"/>
        <v>U</v>
      </c>
      <c r="V98" s="256" t="str">
        <f t="shared" si="19"/>
        <v>O</v>
      </c>
      <c r="W98" s="256" t="str">
        <f t="shared" si="20"/>
        <v>U</v>
      </c>
      <c r="X98" s="256" t="str">
        <f t="shared" si="21"/>
        <v>O</v>
      </c>
      <c r="Z98">
        <v>53</v>
      </c>
      <c r="AA98" s="256" t="str">
        <f t="shared" si="11"/>
        <v>CHA/NYK</v>
      </c>
    </row>
    <row r="99" spans="1:27" x14ac:dyDescent="0.3">
      <c r="A99" s="256">
        <v>200129</v>
      </c>
      <c r="B99" s="257">
        <v>0.39583333333333331</v>
      </c>
      <c r="C99" s="256" t="s">
        <v>402</v>
      </c>
      <c r="D99" s="256" t="s">
        <v>398</v>
      </c>
      <c r="E99" s="256">
        <v>34</v>
      </c>
      <c r="F99" s="256">
        <v>31</v>
      </c>
      <c r="G99" s="256">
        <v>25</v>
      </c>
      <c r="H99" s="256">
        <v>21</v>
      </c>
      <c r="I99" s="256"/>
      <c r="J99" s="256">
        <v>40</v>
      </c>
      <c r="K99" s="256">
        <v>34</v>
      </c>
      <c r="L99" s="256">
        <v>30</v>
      </c>
      <c r="M99" s="256">
        <v>21</v>
      </c>
      <c r="N99" s="256"/>
      <c r="O99" s="256">
        <f t="shared" si="12"/>
        <v>111</v>
      </c>
      <c r="P99" s="256">
        <f t="shared" si="13"/>
        <v>125</v>
      </c>
      <c r="Q99" s="256" t="str">
        <f t="shared" si="14"/>
        <v>HL</v>
      </c>
      <c r="R99" s="256" t="str">
        <f t="shared" si="15"/>
        <v>HL</v>
      </c>
      <c r="S99" s="256" t="str">
        <f t="shared" si="16"/>
        <v>HL</v>
      </c>
      <c r="T99" s="256" t="str">
        <f t="shared" si="17"/>
        <v>TT</v>
      </c>
      <c r="U99" s="256" t="str">
        <f t="shared" si="18"/>
        <v>O</v>
      </c>
      <c r="V99" s="256" t="str">
        <f t="shared" si="19"/>
        <v>O</v>
      </c>
      <c r="W99" s="256" t="str">
        <f t="shared" si="20"/>
        <v>U</v>
      </c>
      <c r="X99" s="256" t="str">
        <f t="shared" si="21"/>
        <v>U</v>
      </c>
      <c r="Z99">
        <v>59</v>
      </c>
      <c r="AA99" s="256" t="str">
        <f t="shared" si="11"/>
        <v>CLE/NO</v>
      </c>
    </row>
    <row r="100" spans="1:27" x14ac:dyDescent="0.3">
      <c r="A100" s="256">
        <v>200129</v>
      </c>
      <c r="B100" s="257">
        <v>0.39583333333333331</v>
      </c>
      <c r="C100" s="256" t="s">
        <v>413</v>
      </c>
      <c r="D100" s="256" t="s">
        <v>410</v>
      </c>
      <c r="E100" s="256">
        <v>33</v>
      </c>
      <c r="F100" s="256">
        <v>35</v>
      </c>
      <c r="G100" s="256">
        <v>29</v>
      </c>
      <c r="H100" s="256">
        <v>33</v>
      </c>
      <c r="I100" s="256"/>
      <c r="J100" s="256">
        <v>23</v>
      </c>
      <c r="K100" s="256">
        <v>33</v>
      </c>
      <c r="L100" s="256">
        <v>27</v>
      </c>
      <c r="M100" s="256">
        <v>31</v>
      </c>
      <c r="N100" s="256"/>
      <c r="O100" s="256">
        <f t="shared" si="12"/>
        <v>130</v>
      </c>
      <c r="P100" s="256">
        <f t="shared" si="13"/>
        <v>114</v>
      </c>
      <c r="Q100" s="256" t="str">
        <f t="shared" si="14"/>
        <v>HW</v>
      </c>
      <c r="R100" s="256" t="str">
        <f t="shared" si="15"/>
        <v>HW</v>
      </c>
      <c r="S100" s="256" t="str">
        <f t="shared" si="16"/>
        <v>HW</v>
      </c>
      <c r="T100" s="256" t="str">
        <f t="shared" si="17"/>
        <v>HW</v>
      </c>
      <c r="U100" s="256" t="str">
        <f t="shared" si="18"/>
        <v>U</v>
      </c>
      <c r="V100" s="256" t="str">
        <f t="shared" si="19"/>
        <v>O</v>
      </c>
      <c r="W100" s="256" t="str">
        <f t="shared" si="20"/>
        <v>U</v>
      </c>
      <c r="X100" s="256" t="str">
        <f t="shared" si="21"/>
        <v>O</v>
      </c>
      <c r="Z100">
        <v>60</v>
      </c>
      <c r="AA100" s="256" t="str">
        <f t="shared" si="11"/>
        <v>TOR/ATL</v>
      </c>
    </row>
    <row r="101" spans="1:27" x14ac:dyDescent="0.3">
      <c r="A101" s="256">
        <v>200129</v>
      </c>
      <c r="B101" s="257">
        <v>0.41666666666666669</v>
      </c>
      <c r="C101" s="256" t="s">
        <v>411</v>
      </c>
      <c r="D101" s="256" t="s">
        <v>421</v>
      </c>
      <c r="E101" s="256">
        <v>28</v>
      </c>
      <c r="F101" s="256">
        <v>20</v>
      </c>
      <c r="G101" s="256">
        <v>28</v>
      </c>
      <c r="H101" s="256">
        <v>25</v>
      </c>
      <c r="I101" s="256"/>
      <c r="J101" s="256">
        <v>36</v>
      </c>
      <c r="K101" s="256">
        <v>17</v>
      </c>
      <c r="L101" s="256">
        <v>27</v>
      </c>
      <c r="M101" s="256">
        <v>29</v>
      </c>
      <c r="N101" s="256"/>
      <c r="O101" s="256">
        <f t="shared" si="12"/>
        <v>101</v>
      </c>
      <c r="P101" s="256">
        <f t="shared" si="13"/>
        <v>109</v>
      </c>
      <c r="Q101" s="256" t="str">
        <f t="shared" si="14"/>
        <v>HL</v>
      </c>
      <c r="R101" s="256" t="str">
        <f t="shared" si="15"/>
        <v>HW</v>
      </c>
      <c r="S101" s="256" t="str">
        <f t="shared" si="16"/>
        <v>HW</v>
      </c>
      <c r="T101" s="256" t="str">
        <f t="shared" si="17"/>
        <v>HL</v>
      </c>
      <c r="U101" s="256" t="str">
        <f t="shared" si="18"/>
        <v>O</v>
      </c>
      <c r="V101" s="256" t="str">
        <f t="shared" si="19"/>
        <v>U</v>
      </c>
      <c r="W101" s="256" t="str">
        <f t="shared" si="20"/>
        <v>O</v>
      </c>
      <c r="X101" s="256" t="str">
        <f t="shared" si="21"/>
        <v>O</v>
      </c>
      <c r="Z101">
        <v>53.5</v>
      </c>
      <c r="AA101" s="256" t="str">
        <f t="shared" si="11"/>
        <v>MIA/BOS</v>
      </c>
    </row>
    <row r="102" spans="1:27" x14ac:dyDescent="0.3">
      <c r="A102" s="256">
        <v>200129</v>
      </c>
      <c r="B102" s="257">
        <v>0.41666666666666669</v>
      </c>
      <c r="C102" s="256" t="s">
        <v>423</v>
      </c>
      <c r="D102" s="256" t="s">
        <v>414</v>
      </c>
      <c r="E102" s="256">
        <v>42</v>
      </c>
      <c r="F102" s="256">
        <v>46</v>
      </c>
      <c r="G102" s="256">
        <v>29</v>
      </c>
      <c r="H102" s="256">
        <v>34</v>
      </c>
      <c r="I102" s="256"/>
      <c r="J102" s="256">
        <v>28</v>
      </c>
      <c r="K102" s="256">
        <v>35</v>
      </c>
      <c r="L102" s="256">
        <v>41</v>
      </c>
      <c r="M102" s="256">
        <v>27</v>
      </c>
      <c r="N102" s="256"/>
      <c r="O102" s="256">
        <f t="shared" si="12"/>
        <v>151</v>
      </c>
      <c r="P102" s="256">
        <f t="shared" si="13"/>
        <v>131</v>
      </c>
      <c r="Q102" s="256" t="str">
        <f t="shared" si="14"/>
        <v>HW</v>
      </c>
      <c r="R102" s="256" t="str">
        <f t="shared" si="15"/>
        <v>HW</v>
      </c>
      <c r="S102" s="256" t="str">
        <f t="shared" si="16"/>
        <v>HL</v>
      </c>
      <c r="T102" s="256" t="str">
        <f t="shared" si="17"/>
        <v>HW</v>
      </c>
      <c r="U102" s="256" t="str">
        <f t="shared" si="18"/>
        <v>O</v>
      </c>
      <c r="V102" s="256" t="str">
        <f t="shared" si="19"/>
        <v>O</v>
      </c>
      <c r="W102" s="256" t="str">
        <f t="shared" si="20"/>
        <v>O</v>
      </c>
      <c r="X102" s="256" t="str">
        <f t="shared" si="21"/>
        <v>T</v>
      </c>
      <c r="Z102">
        <v>61</v>
      </c>
      <c r="AA102" s="256" t="str">
        <f t="shared" si="11"/>
        <v>MIL/WAS</v>
      </c>
    </row>
    <row r="103" spans="1:27" x14ac:dyDescent="0.3">
      <c r="A103" s="256">
        <v>200129</v>
      </c>
      <c r="B103" s="257">
        <v>0.41666666666666669</v>
      </c>
      <c r="C103" s="256" t="s">
        <v>406</v>
      </c>
      <c r="D103" s="256" t="s">
        <v>408</v>
      </c>
      <c r="E103" s="256">
        <v>31</v>
      </c>
      <c r="F103" s="256">
        <v>32</v>
      </c>
      <c r="G103" s="256">
        <v>19</v>
      </c>
      <c r="H103" s="256">
        <v>22</v>
      </c>
      <c r="I103" s="256"/>
      <c r="J103" s="256">
        <v>18</v>
      </c>
      <c r="K103" s="256">
        <v>32</v>
      </c>
      <c r="L103" s="256">
        <v>16</v>
      </c>
      <c r="M103" s="256">
        <v>30</v>
      </c>
      <c r="N103" s="256"/>
      <c r="O103" s="256">
        <f t="shared" si="12"/>
        <v>104</v>
      </c>
      <c r="P103" s="256">
        <f t="shared" si="13"/>
        <v>96</v>
      </c>
      <c r="Q103" s="256" t="str">
        <f t="shared" si="14"/>
        <v>HW</v>
      </c>
      <c r="R103" s="256" t="str">
        <f t="shared" si="15"/>
        <v>TT</v>
      </c>
      <c r="S103" s="256" t="str">
        <f t="shared" si="16"/>
        <v>HW</v>
      </c>
      <c r="T103" s="256" t="str">
        <f t="shared" si="17"/>
        <v>HL</v>
      </c>
      <c r="U103" s="256" t="str">
        <f t="shared" si="18"/>
        <v>U</v>
      </c>
      <c r="V103" s="256" t="str">
        <f t="shared" si="19"/>
        <v>O</v>
      </c>
      <c r="W103" s="256" t="str">
        <f t="shared" si="20"/>
        <v>U</v>
      </c>
      <c r="X103" s="256" t="str">
        <f t="shared" si="21"/>
        <v>U</v>
      </c>
      <c r="Z103">
        <v>57</v>
      </c>
      <c r="AA103" s="256" t="str">
        <f t="shared" si="11"/>
        <v>MEM/DEN</v>
      </c>
    </row>
    <row r="104" spans="1:27" x14ac:dyDescent="0.3">
      <c r="A104" s="256">
        <v>200129</v>
      </c>
      <c r="B104" s="257">
        <v>0.4375</v>
      </c>
      <c r="C104" s="256" t="s">
        <v>397</v>
      </c>
      <c r="D104" s="256" t="s">
        <v>404</v>
      </c>
      <c r="E104" s="256">
        <v>19</v>
      </c>
      <c r="F104" s="256">
        <v>36</v>
      </c>
      <c r="G104" s="256">
        <v>22</v>
      </c>
      <c r="H104" s="256">
        <v>27</v>
      </c>
      <c r="I104" s="256"/>
      <c r="J104" s="256">
        <v>32</v>
      </c>
      <c r="K104" s="256">
        <v>28</v>
      </c>
      <c r="L104" s="256">
        <v>48</v>
      </c>
      <c r="M104" s="256">
        <v>25</v>
      </c>
      <c r="N104" s="256"/>
      <c r="O104" s="256">
        <f t="shared" si="12"/>
        <v>104</v>
      </c>
      <c r="P104" s="256">
        <f t="shared" si="13"/>
        <v>133</v>
      </c>
      <c r="Q104" s="256" t="str">
        <f t="shared" si="14"/>
        <v>HL</v>
      </c>
      <c r="R104" s="256" t="str">
        <f t="shared" si="15"/>
        <v>HW</v>
      </c>
      <c r="S104" s="256" t="str">
        <f t="shared" si="16"/>
        <v>HL</v>
      </c>
      <c r="T104" s="256" t="str">
        <f t="shared" si="17"/>
        <v>HW</v>
      </c>
      <c r="U104" s="256" t="str">
        <f t="shared" si="18"/>
        <v>U</v>
      </c>
      <c r="V104" s="256" t="str">
        <f t="shared" si="19"/>
        <v>O</v>
      </c>
      <c r="W104" s="256" t="str">
        <f t="shared" si="20"/>
        <v>O</v>
      </c>
      <c r="X104" s="256" t="str">
        <f t="shared" si="21"/>
        <v>U</v>
      </c>
      <c r="Z104">
        <v>55.5</v>
      </c>
      <c r="AA104" s="256" t="str">
        <f t="shared" si="11"/>
        <v>DAL/PHO</v>
      </c>
    </row>
    <row r="105" spans="1:27" x14ac:dyDescent="0.3">
      <c r="A105" s="256">
        <v>200130</v>
      </c>
      <c r="B105" s="257">
        <v>0.375</v>
      </c>
      <c r="C105" s="256" t="s">
        <v>400</v>
      </c>
      <c r="D105" s="256" t="s">
        <v>412</v>
      </c>
      <c r="E105" s="256">
        <v>25</v>
      </c>
      <c r="F105" s="256">
        <v>30</v>
      </c>
      <c r="G105" s="256">
        <v>25</v>
      </c>
      <c r="H105" s="256">
        <v>20</v>
      </c>
      <c r="I105" s="256">
        <v>15</v>
      </c>
      <c r="J105" s="256">
        <v>24</v>
      </c>
      <c r="K105" s="256">
        <v>27</v>
      </c>
      <c r="L105" s="256">
        <v>29</v>
      </c>
      <c r="M105" s="256">
        <v>20</v>
      </c>
      <c r="N105" s="256">
        <v>6</v>
      </c>
      <c r="O105" s="256">
        <f t="shared" si="12"/>
        <v>115</v>
      </c>
      <c r="P105" s="256">
        <f t="shared" si="13"/>
        <v>106</v>
      </c>
      <c r="Q105" s="256" t="str">
        <f t="shared" si="14"/>
        <v>HW</v>
      </c>
      <c r="R105" s="256" t="str">
        <f t="shared" si="15"/>
        <v>HW</v>
      </c>
      <c r="S105" s="256" t="str">
        <f t="shared" si="16"/>
        <v>HL</v>
      </c>
      <c r="T105" s="256" t="str">
        <f t="shared" si="17"/>
        <v>TT</v>
      </c>
      <c r="U105" s="256" t="str">
        <f t="shared" si="18"/>
        <v>U</v>
      </c>
      <c r="V105" s="256" t="str">
        <f t="shared" si="19"/>
        <v>O</v>
      </c>
      <c r="W105" s="256" t="str">
        <f t="shared" si="20"/>
        <v>U</v>
      </c>
      <c r="X105" s="256" t="str">
        <f t="shared" si="21"/>
        <v>U</v>
      </c>
      <c r="Z105">
        <v>54.5</v>
      </c>
      <c r="AA105" s="256" t="str">
        <f t="shared" si="11"/>
        <v>IND/CHI</v>
      </c>
    </row>
    <row r="106" spans="1:27" x14ac:dyDescent="0.3">
      <c r="A106" s="256">
        <v>200130</v>
      </c>
      <c r="B106" s="257">
        <v>0.39583333333333331</v>
      </c>
      <c r="C106" s="256" t="s">
        <v>407</v>
      </c>
      <c r="D106" s="256" t="s">
        <v>422</v>
      </c>
      <c r="E106" s="256">
        <v>32</v>
      </c>
      <c r="F106" s="256">
        <v>38</v>
      </c>
      <c r="G106" s="256">
        <v>29</v>
      </c>
      <c r="H106" s="256">
        <v>26</v>
      </c>
      <c r="I106" s="256"/>
      <c r="J106" s="256">
        <v>30</v>
      </c>
      <c r="K106" s="256">
        <v>38</v>
      </c>
      <c r="L106" s="256">
        <v>25</v>
      </c>
      <c r="M106" s="256">
        <v>22</v>
      </c>
      <c r="N106" s="256"/>
      <c r="O106" s="256">
        <f t="shared" si="12"/>
        <v>125</v>
      </c>
      <c r="P106" s="256">
        <f t="shared" si="13"/>
        <v>115</v>
      </c>
      <c r="Q106" s="256" t="str">
        <f t="shared" si="14"/>
        <v>HW</v>
      </c>
      <c r="R106" s="256" t="str">
        <f t="shared" si="15"/>
        <v>TT</v>
      </c>
      <c r="S106" s="256" t="str">
        <f t="shared" si="16"/>
        <v>HW</v>
      </c>
      <c r="T106" s="256" t="str">
        <f t="shared" si="17"/>
        <v>HW</v>
      </c>
      <c r="U106" s="256" t="str">
        <f t="shared" si="18"/>
        <v>O</v>
      </c>
      <c r="V106" s="256" t="str">
        <f t="shared" si="19"/>
        <v>O</v>
      </c>
      <c r="W106" s="256" t="str">
        <f t="shared" si="20"/>
        <v>U</v>
      </c>
      <c r="X106" s="256" t="str">
        <f t="shared" si="21"/>
        <v>U</v>
      </c>
      <c r="Z106">
        <v>58.5</v>
      </c>
      <c r="AA106" s="256" t="str">
        <f t="shared" si="11"/>
        <v>BKN/DET</v>
      </c>
    </row>
    <row r="107" spans="1:27" x14ac:dyDescent="0.3">
      <c r="A107" s="256">
        <v>200130</v>
      </c>
      <c r="B107" s="257">
        <v>0.39583333333333331</v>
      </c>
      <c r="C107" s="256" t="s">
        <v>399</v>
      </c>
      <c r="D107" s="256" t="s">
        <v>406</v>
      </c>
      <c r="E107" s="256">
        <v>32</v>
      </c>
      <c r="F107" s="256">
        <v>20</v>
      </c>
      <c r="G107" s="256">
        <v>32</v>
      </c>
      <c r="H107" s="256">
        <v>22</v>
      </c>
      <c r="I107" s="256"/>
      <c r="J107" s="256">
        <v>32</v>
      </c>
      <c r="K107" s="256">
        <v>27</v>
      </c>
      <c r="L107" s="256">
        <v>37</v>
      </c>
      <c r="M107" s="256">
        <v>31</v>
      </c>
      <c r="N107" s="256"/>
      <c r="O107" s="256">
        <f t="shared" si="12"/>
        <v>106</v>
      </c>
      <c r="P107" s="256">
        <f t="shared" si="13"/>
        <v>127</v>
      </c>
      <c r="Q107" s="256" t="str">
        <f t="shared" si="14"/>
        <v>TT</v>
      </c>
      <c r="R107" s="256" t="str">
        <f t="shared" si="15"/>
        <v>HL</v>
      </c>
      <c r="S107" s="256" t="str">
        <f t="shared" si="16"/>
        <v>HL</v>
      </c>
      <c r="T107" s="256" t="str">
        <f t="shared" si="17"/>
        <v>HL</v>
      </c>
      <c r="U107" s="256" t="str">
        <f t="shared" si="18"/>
        <v>O</v>
      </c>
      <c r="V107" s="256" t="str">
        <f t="shared" si="19"/>
        <v>U</v>
      </c>
      <c r="W107" s="256" t="str">
        <f t="shared" si="20"/>
        <v>O</v>
      </c>
      <c r="X107" s="256" t="str">
        <f t="shared" si="21"/>
        <v>U</v>
      </c>
      <c r="Z107">
        <v>54.5</v>
      </c>
      <c r="AA107" s="256" t="str">
        <f t="shared" si="11"/>
        <v>NYK/MEM</v>
      </c>
    </row>
    <row r="108" spans="1:27" x14ac:dyDescent="0.3">
      <c r="A108" s="256">
        <v>200130</v>
      </c>
      <c r="B108" s="257">
        <v>0.4375</v>
      </c>
      <c r="C108" s="256" t="s">
        <v>426</v>
      </c>
      <c r="D108" s="256" t="s">
        <v>405</v>
      </c>
      <c r="E108" s="256">
        <v>37</v>
      </c>
      <c r="F108" s="256">
        <v>33</v>
      </c>
      <c r="G108" s="256">
        <v>28</v>
      </c>
      <c r="H108" s="256">
        <v>29</v>
      </c>
      <c r="I108" s="256"/>
      <c r="J108" s="256">
        <v>29</v>
      </c>
      <c r="K108" s="256">
        <v>33</v>
      </c>
      <c r="L108" s="256">
        <v>32</v>
      </c>
      <c r="M108" s="256">
        <v>26</v>
      </c>
      <c r="N108" s="256"/>
      <c r="O108" s="256">
        <f t="shared" si="12"/>
        <v>127</v>
      </c>
      <c r="P108" s="256">
        <f t="shared" si="13"/>
        <v>120</v>
      </c>
      <c r="Q108" s="256" t="str">
        <f t="shared" si="14"/>
        <v>HW</v>
      </c>
      <c r="R108" s="256" t="str">
        <f t="shared" si="15"/>
        <v>TT</v>
      </c>
      <c r="S108" s="256" t="str">
        <f t="shared" si="16"/>
        <v>HL</v>
      </c>
      <c r="T108" s="256" t="str">
        <f t="shared" si="17"/>
        <v>HW</v>
      </c>
      <c r="U108" s="256" t="str">
        <f t="shared" si="18"/>
        <v>O</v>
      </c>
      <c r="V108" s="256" t="str">
        <f t="shared" si="19"/>
        <v>O</v>
      </c>
      <c r="W108" s="256" t="str">
        <f t="shared" si="20"/>
        <v>O</v>
      </c>
      <c r="X108" s="256" t="str">
        <f t="shared" si="21"/>
        <v>O</v>
      </c>
      <c r="Z108">
        <v>53.5</v>
      </c>
      <c r="AA108" s="256" t="str">
        <f t="shared" si="11"/>
        <v>SAS/UTA</v>
      </c>
    </row>
    <row r="109" spans="1:27" x14ac:dyDescent="0.3">
      <c r="A109" s="256">
        <v>200130</v>
      </c>
      <c r="B109" s="257">
        <v>0.5</v>
      </c>
      <c r="C109" s="256" t="s">
        <v>417</v>
      </c>
      <c r="D109" s="256" t="s">
        <v>403</v>
      </c>
      <c r="E109" s="256">
        <v>30</v>
      </c>
      <c r="F109" s="256">
        <v>41</v>
      </c>
      <c r="G109" s="256">
        <v>26</v>
      </c>
      <c r="H109" s="256">
        <v>28</v>
      </c>
      <c r="I109" s="256"/>
      <c r="J109" s="256">
        <v>36</v>
      </c>
      <c r="K109" s="256">
        <v>24</v>
      </c>
      <c r="L109" s="256">
        <v>22</v>
      </c>
      <c r="M109" s="256">
        <v>30</v>
      </c>
      <c r="N109" s="256"/>
      <c r="O109" s="256">
        <f t="shared" si="12"/>
        <v>125</v>
      </c>
      <c r="P109" s="256">
        <f t="shared" si="13"/>
        <v>112</v>
      </c>
      <c r="Q109" s="256" t="str">
        <f t="shared" si="14"/>
        <v>HL</v>
      </c>
      <c r="R109" s="256" t="str">
        <f t="shared" si="15"/>
        <v>HW</v>
      </c>
      <c r="S109" s="256" t="str">
        <f t="shared" si="16"/>
        <v>HW</v>
      </c>
      <c r="T109" s="256" t="str">
        <f t="shared" si="17"/>
        <v>HL</v>
      </c>
      <c r="U109" s="256" t="str">
        <f t="shared" si="18"/>
        <v>O</v>
      </c>
      <c r="V109" s="256" t="str">
        <f t="shared" si="19"/>
        <v>O</v>
      </c>
      <c r="W109" s="256" t="str">
        <f t="shared" si="20"/>
        <v>U</v>
      </c>
      <c r="X109" s="256" t="str">
        <f t="shared" si="21"/>
        <v>U</v>
      </c>
      <c r="Z109">
        <v>62</v>
      </c>
      <c r="AA109" s="256" t="str">
        <f t="shared" si="11"/>
        <v>POR/HOU</v>
      </c>
    </row>
    <row r="110" spans="1:27" x14ac:dyDescent="0.3">
      <c r="A110" s="256">
        <v>200130</v>
      </c>
      <c r="B110" s="257">
        <v>0.5</v>
      </c>
      <c r="C110" s="256" t="s">
        <v>416</v>
      </c>
      <c r="D110" s="256" t="s">
        <v>418</v>
      </c>
      <c r="E110" s="256">
        <v>16</v>
      </c>
      <c r="F110" s="256">
        <v>31</v>
      </c>
      <c r="G110" s="256">
        <v>29</v>
      </c>
      <c r="H110" s="256">
        <v>24</v>
      </c>
      <c r="I110" s="256"/>
      <c r="J110" s="256">
        <v>23</v>
      </c>
      <c r="K110" s="256">
        <v>36</v>
      </c>
      <c r="L110" s="256">
        <v>37</v>
      </c>
      <c r="M110" s="256">
        <v>24</v>
      </c>
      <c r="N110" s="256"/>
      <c r="O110" s="256">
        <f t="shared" si="12"/>
        <v>100</v>
      </c>
      <c r="P110" s="256">
        <f t="shared" si="13"/>
        <v>120</v>
      </c>
      <c r="Q110" s="256" t="str">
        <f t="shared" si="14"/>
        <v>HL</v>
      </c>
      <c r="R110" s="256" t="str">
        <f t="shared" si="15"/>
        <v>HL</v>
      </c>
      <c r="S110" s="256" t="str">
        <f t="shared" si="16"/>
        <v>HL</v>
      </c>
      <c r="T110" s="256" t="str">
        <f t="shared" si="17"/>
        <v>TT</v>
      </c>
      <c r="U110" s="256" t="str">
        <f t="shared" si="18"/>
        <v>U</v>
      </c>
      <c r="V110" s="256" t="str">
        <f t="shared" si="19"/>
        <v>O</v>
      </c>
      <c r="W110" s="256" t="str">
        <f t="shared" si="20"/>
        <v>O</v>
      </c>
      <c r="X110" s="256" t="str">
        <f t="shared" si="21"/>
        <v>U</v>
      </c>
      <c r="Z110">
        <v>55.5</v>
      </c>
      <c r="AA110" s="256" t="str">
        <f t="shared" si="11"/>
        <v>SAC/OKC</v>
      </c>
    </row>
    <row r="111" spans="1:27" x14ac:dyDescent="0.3">
      <c r="A111" s="256">
        <v>200131</v>
      </c>
      <c r="B111" s="257">
        <v>0.375</v>
      </c>
      <c r="C111" s="256" t="s">
        <v>402</v>
      </c>
      <c r="D111" s="256" t="s">
        <v>413</v>
      </c>
      <c r="E111" s="256">
        <v>26</v>
      </c>
      <c r="F111" s="256">
        <v>26</v>
      </c>
      <c r="G111" s="256">
        <v>24</v>
      </c>
      <c r="H111" s="256">
        <v>33</v>
      </c>
      <c r="I111" s="256"/>
      <c r="J111" s="256">
        <v>31</v>
      </c>
      <c r="K111" s="256">
        <v>25</v>
      </c>
      <c r="L111" s="256">
        <v>32</v>
      </c>
      <c r="M111" s="256">
        <v>27</v>
      </c>
      <c r="N111" s="256"/>
      <c r="O111" s="256">
        <f t="shared" si="12"/>
        <v>109</v>
      </c>
      <c r="P111" s="256">
        <f t="shared" si="13"/>
        <v>115</v>
      </c>
      <c r="Q111" s="256" t="str">
        <f t="shared" si="14"/>
        <v>HL</v>
      </c>
      <c r="R111" s="256" t="str">
        <f t="shared" si="15"/>
        <v>HW</v>
      </c>
      <c r="S111" s="256" t="str">
        <f t="shared" si="16"/>
        <v>HL</v>
      </c>
      <c r="T111" s="256" t="str">
        <f t="shared" si="17"/>
        <v>HW</v>
      </c>
      <c r="U111" s="256" t="str">
        <f t="shared" si="18"/>
        <v>T</v>
      </c>
      <c r="V111" s="256" t="str">
        <f t="shared" si="19"/>
        <v>U</v>
      </c>
      <c r="W111" s="256" t="str">
        <f t="shared" si="20"/>
        <v>U</v>
      </c>
      <c r="X111" s="256" t="str">
        <f t="shared" si="21"/>
        <v>O</v>
      </c>
      <c r="Z111">
        <v>57</v>
      </c>
      <c r="AA111" s="256" t="str">
        <f t="shared" si="11"/>
        <v>CLE/TOR</v>
      </c>
    </row>
    <row r="112" spans="1:27" x14ac:dyDescent="0.3">
      <c r="A112" s="256">
        <v>200131</v>
      </c>
      <c r="B112" s="257">
        <v>0.375</v>
      </c>
      <c r="C112" s="256" t="s">
        <v>414</v>
      </c>
      <c r="D112" s="256" t="s">
        <v>409</v>
      </c>
      <c r="E112" s="256">
        <v>26</v>
      </c>
      <c r="F112" s="256">
        <v>29</v>
      </c>
      <c r="G112" s="256">
        <v>31</v>
      </c>
      <c r="H112" s="256">
        <v>35</v>
      </c>
      <c r="I112" s="256"/>
      <c r="J112" s="256">
        <v>33</v>
      </c>
      <c r="K112" s="256">
        <v>27</v>
      </c>
      <c r="L112" s="256">
        <v>19</v>
      </c>
      <c r="M112" s="256">
        <v>28</v>
      </c>
      <c r="N112" s="256"/>
      <c r="O112" s="256">
        <f t="shared" si="12"/>
        <v>121</v>
      </c>
      <c r="P112" s="256">
        <f t="shared" si="13"/>
        <v>107</v>
      </c>
      <c r="Q112" s="256" t="str">
        <f t="shared" si="14"/>
        <v>HL</v>
      </c>
      <c r="R112" s="256" t="str">
        <f t="shared" si="15"/>
        <v>HW</v>
      </c>
      <c r="S112" s="256" t="str">
        <f t="shared" si="16"/>
        <v>HW</v>
      </c>
      <c r="T112" s="256" t="str">
        <f t="shared" si="17"/>
        <v>HW</v>
      </c>
      <c r="U112" s="256" t="str">
        <f t="shared" si="18"/>
        <v>O</v>
      </c>
      <c r="V112" s="256" t="str">
        <f t="shared" si="19"/>
        <v>U</v>
      </c>
      <c r="W112" s="256" t="str">
        <f t="shared" si="20"/>
        <v>U</v>
      </c>
      <c r="X112" s="256" t="str">
        <f t="shared" si="21"/>
        <v>O</v>
      </c>
      <c r="Z112">
        <v>58</v>
      </c>
      <c r="AA112" s="256" t="str">
        <f t="shared" si="11"/>
        <v>WAS/CHA</v>
      </c>
    </row>
    <row r="113" spans="1:27" x14ac:dyDescent="0.3">
      <c r="A113" s="256">
        <v>200131</v>
      </c>
      <c r="B113" s="257">
        <v>0.39583333333333331</v>
      </c>
      <c r="C113" s="256" t="s">
        <v>410</v>
      </c>
      <c r="D113" s="256" t="s">
        <v>401</v>
      </c>
      <c r="E113" s="256">
        <v>39</v>
      </c>
      <c r="F113" s="256">
        <v>35</v>
      </c>
      <c r="G113" s="256">
        <v>25</v>
      </c>
      <c r="H113" s="256">
        <v>28</v>
      </c>
      <c r="I113" s="256"/>
      <c r="J113" s="256">
        <v>31</v>
      </c>
      <c r="K113" s="256">
        <v>36</v>
      </c>
      <c r="L113" s="256">
        <v>25</v>
      </c>
      <c r="M113" s="256">
        <v>25</v>
      </c>
      <c r="N113" s="256"/>
      <c r="O113" s="256">
        <f t="shared" si="12"/>
        <v>127</v>
      </c>
      <c r="P113" s="256">
        <f t="shared" si="13"/>
        <v>117</v>
      </c>
      <c r="Q113" s="256" t="str">
        <f t="shared" si="14"/>
        <v>HW</v>
      </c>
      <c r="R113" s="256" t="str">
        <f t="shared" si="15"/>
        <v>HL</v>
      </c>
      <c r="S113" s="256" t="str">
        <f t="shared" si="16"/>
        <v>TT</v>
      </c>
      <c r="T113" s="256" t="str">
        <f t="shared" si="17"/>
        <v>HW</v>
      </c>
      <c r="U113" s="256" t="str">
        <f t="shared" si="18"/>
        <v>O</v>
      </c>
      <c r="V113" s="256" t="str">
        <f t="shared" si="19"/>
        <v>O</v>
      </c>
      <c r="W113" s="256" t="str">
        <f t="shared" si="20"/>
        <v>U</v>
      </c>
      <c r="X113" s="256" t="str">
        <f t="shared" si="21"/>
        <v>U</v>
      </c>
      <c r="Z113">
        <v>58</v>
      </c>
      <c r="AA113" s="256" t="str">
        <f t="shared" si="11"/>
        <v>ATL/PHI</v>
      </c>
    </row>
    <row r="114" spans="1:27" x14ac:dyDescent="0.3">
      <c r="A114" s="256">
        <v>200131</v>
      </c>
      <c r="B114" s="257">
        <v>0.41666666666666669</v>
      </c>
      <c r="C114" s="256" t="s">
        <v>421</v>
      </c>
      <c r="D114" s="256" t="s">
        <v>425</v>
      </c>
      <c r="E114" s="256">
        <v>29</v>
      </c>
      <c r="F114" s="256">
        <v>31</v>
      </c>
      <c r="G114" s="256">
        <v>31</v>
      </c>
      <c r="H114" s="256">
        <v>28</v>
      </c>
      <c r="I114" s="256"/>
      <c r="J114" s="256">
        <v>22</v>
      </c>
      <c r="K114" s="256">
        <v>28</v>
      </c>
      <c r="L114" s="256">
        <v>29</v>
      </c>
      <c r="M114" s="256">
        <v>25</v>
      </c>
      <c r="N114" s="256"/>
      <c r="O114" s="256">
        <f t="shared" si="12"/>
        <v>119</v>
      </c>
      <c r="P114" s="256">
        <f t="shared" si="13"/>
        <v>104</v>
      </c>
      <c r="Q114" s="256" t="str">
        <f t="shared" si="14"/>
        <v>HW</v>
      </c>
      <c r="R114" s="256" t="str">
        <f t="shared" si="15"/>
        <v>HW</v>
      </c>
      <c r="S114" s="256" t="str">
        <f t="shared" si="16"/>
        <v>HW</v>
      </c>
      <c r="T114" s="256" t="str">
        <f t="shared" si="17"/>
        <v>HW</v>
      </c>
      <c r="U114" s="256" t="str">
        <f t="shared" si="18"/>
        <v>U</v>
      </c>
      <c r="V114" s="256" t="str">
        <f t="shared" si="19"/>
        <v>O</v>
      </c>
      <c r="W114" s="256" t="str">
        <f t="shared" si="20"/>
        <v>O</v>
      </c>
      <c r="X114" s="256" t="str">
        <f t="shared" si="21"/>
        <v>U</v>
      </c>
      <c r="Z114">
        <v>57</v>
      </c>
      <c r="AA114" s="256" t="str">
        <f t="shared" si="11"/>
        <v>BOS/GS</v>
      </c>
    </row>
    <row r="115" spans="1:27" x14ac:dyDescent="0.3">
      <c r="A115" s="256">
        <v>200131</v>
      </c>
      <c r="B115" s="257">
        <v>0.52083333333333337</v>
      </c>
      <c r="C115" s="256" t="s">
        <v>408</v>
      </c>
      <c r="D115" s="256" t="s">
        <v>405</v>
      </c>
      <c r="E115" s="256">
        <v>21</v>
      </c>
      <c r="F115" s="256">
        <v>22</v>
      </c>
      <c r="G115" s="256">
        <v>33</v>
      </c>
      <c r="H115" s="256">
        <v>30</v>
      </c>
      <c r="I115" s="256"/>
      <c r="J115" s="256">
        <v>23</v>
      </c>
      <c r="K115" s="256">
        <v>25</v>
      </c>
      <c r="L115" s="256">
        <v>22</v>
      </c>
      <c r="M115" s="256">
        <v>30</v>
      </c>
      <c r="N115" s="256"/>
      <c r="O115" s="256">
        <f t="shared" si="12"/>
        <v>106</v>
      </c>
      <c r="P115" s="256">
        <f t="shared" si="13"/>
        <v>100</v>
      </c>
      <c r="Q115" s="256" t="str">
        <f t="shared" si="14"/>
        <v>HL</v>
      </c>
      <c r="R115" s="256" t="str">
        <f t="shared" si="15"/>
        <v>HL</v>
      </c>
      <c r="S115" s="256" t="str">
        <f t="shared" si="16"/>
        <v>HW</v>
      </c>
      <c r="T115" s="256" t="str">
        <f t="shared" si="17"/>
        <v>TT</v>
      </c>
      <c r="U115" s="256" t="str">
        <f t="shared" si="18"/>
        <v>U</v>
      </c>
      <c r="V115" s="256" t="str">
        <f t="shared" si="19"/>
        <v>U</v>
      </c>
      <c r="W115" s="256" t="str">
        <f t="shared" si="20"/>
        <v>O</v>
      </c>
      <c r="X115" s="256" t="str">
        <f t="shared" si="21"/>
        <v>O</v>
      </c>
      <c r="Z115">
        <v>52.5</v>
      </c>
      <c r="AA115" s="256" t="str">
        <f t="shared" si="11"/>
        <v>DEN/UTA</v>
      </c>
    </row>
    <row r="116" spans="1:27" x14ac:dyDescent="0.3">
      <c r="A116" s="256">
        <v>200131</v>
      </c>
      <c r="B116" s="257">
        <v>0.52083333333333337</v>
      </c>
      <c r="C116" s="256" t="s">
        <v>415</v>
      </c>
      <c r="D116" s="256" t="s">
        <v>416</v>
      </c>
      <c r="E116" s="256">
        <v>33</v>
      </c>
      <c r="F116" s="256">
        <v>14</v>
      </c>
      <c r="G116" s="256">
        <v>24</v>
      </c>
      <c r="H116" s="256">
        <v>32</v>
      </c>
      <c r="I116" s="256"/>
      <c r="J116" s="256">
        <v>28</v>
      </c>
      <c r="K116" s="256">
        <v>36</v>
      </c>
      <c r="L116" s="256">
        <v>21</v>
      </c>
      <c r="M116" s="256">
        <v>39</v>
      </c>
      <c r="N116" s="256"/>
      <c r="O116" s="256">
        <f t="shared" si="12"/>
        <v>103</v>
      </c>
      <c r="P116" s="256">
        <f t="shared" si="13"/>
        <v>124</v>
      </c>
      <c r="Q116" s="256" t="str">
        <f t="shared" si="14"/>
        <v>HW</v>
      </c>
      <c r="R116" s="256" t="str">
        <f t="shared" si="15"/>
        <v>HL</v>
      </c>
      <c r="S116" s="256" t="str">
        <f t="shared" si="16"/>
        <v>HW</v>
      </c>
      <c r="T116" s="256" t="str">
        <f t="shared" si="17"/>
        <v>HL</v>
      </c>
      <c r="U116" s="256" t="str">
        <f t="shared" si="18"/>
        <v>O</v>
      </c>
      <c r="V116" s="256" t="str">
        <f t="shared" si="19"/>
        <v>U</v>
      </c>
      <c r="W116" s="256" t="str">
        <f t="shared" si="20"/>
        <v>U</v>
      </c>
      <c r="X116" s="256" t="str">
        <f t="shared" si="21"/>
        <v>O</v>
      </c>
      <c r="Z116">
        <v>57.5</v>
      </c>
      <c r="AA116" s="256" t="str">
        <f t="shared" si="11"/>
        <v>LAC/SAC</v>
      </c>
    </row>
    <row r="117" spans="1:27" x14ac:dyDescent="0.3">
      <c r="A117" s="256">
        <v>200201</v>
      </c>
      <c r="B117" s="257">
        <v>0.375</v>
      </c>
      <c r="C117" s="256" t="s">
        <v>422</v>
      </c>
      <c r="D117" s="256" t="s">
        <v>413</v>
      </c>
      <c r="E117" s="256">
        <v>20</v>
      </c>
      <c r="F117" s="256">
        <v>27</v>
      </c>
      <c r="G117" s="256">
        <v>22</v>
      </c>
      <c r="H117" s="256">
        <v>23</v>
      </c>
      <c r="I117" s="256"/>
      <c r="J117" s="256">
        <v>30</v>
      </c>
      <c r="K117" s="256">
        <v>30</v>
      </c>
      <c r="L117" s="256">
        <v>18</v>
      </c>
      <c r="M117" s="256">
        <v>27</v>
      </c>
      <c r="N117" s="256"/>
      <c r="O117" s="256">
        <f t="shared" si="12"/>
        <v>92</v>
      </c>
      <c r="P117" s="256">
        <f t="shared" si="13"/>
        <v>105</v>
      </c>
      <c r="Q117" s="256" t="str">
        <f t="shared" si="14"/>
        <v>HL</v>
      </c>
      <c r="R117" s="256" t="str">
        <f t="shared" si="15"/>
        <v>HL</v>
      </c>
      <c r="S117" s="256" t="str">
        <f t="shared" si="16"/>
        <v>HW</v>
      </c>
      <c r="T117" s="256" t="str">
        <f t="shared" si="17"/>
        <v>HL</v>
      </c>
      <c r="U117" s="256" t="str">
        <f t="shared" si="18"/>
        <v>U</v>
      </c>
      <c r="V117" s="256" t="str">
        <f t="shared" si="19"/>
        <v>T</v>
      </c>
      <c r="W117" s="256" t="str">
        <f t="shared" si="20"/>
        <v>U</v>
      </c>
      <c r="X117" s="256" t="str">
        <f t="shared" si="21"/>
        <v>U</v>
      </c>
      <c r="Z117">
        <v>57</v>
      </c>
      <c r="AA117" s="256" t="str">
        <f t="shared" si="11"/>
        <v>DET/TOR</v>
      </c>
    </row>
    <row r="118" spans="1:27" x14ac:dyDescent="0.3">
      <c r="A118" s="256">
        <v>200201</v>
      </c>
      <c r="B118" s="257">
        <v>0.39583333333333331</v>
      </c>
      <c r="C118" s="256" t="s">
        <v>403</v>
      </c>
      <c r="D118" s="256" t="s">
        <v>397</v>
      </c>
      <c r="E118" s="256">
        <v>35</v>
      </c>
      <c r="F118" s="256">
        <v>30</v>
      </c>
      <c r="G118" s="256">
        <v>36</v>
      </c>
      <c r="H118" s="256">
        <v>27</v>
      </c>
      <c r="I118" s="256"/>
      <c r="J118" s="256">
        <v>28</v>
      </c>
      <c r="K118" s="256">
        <v>32</v>
      </c>
      <c r="L118" s="256">
        <v>25</v>
      </c>
      <c r="M118" s="256">
        <v>36</v>
      </c>
      <c r="N118" s="256"/>
      <c r="O118" s="256">
        <f t="shared" si="12"/>
        <v>128</v>
      </c>
      <c r="P118" s="256">
        <f t="shared" si="13"/>
        <v>121</v>
      </c>
      <c r="Q118" s="256" t="str">
        <f t="shared" si="14"/>
        <v>HW</v>
      </c>
      <c r="R118" s="256" t="str">
        <f t="shared" si="15"/>
        <v>HL</v>
      </c>
      <c r="S118" s="256" t="str">
        <f t="shared" si="16"/>
        <v>HW</v>
      </c>
      <c r="T118" s="256" t="str">
        <f t="shared" si="17"/>
        <v>HL</v>
      </c>
      <c r="U118" s="256" t="str">
        <f t="shared" si="18"/>
        <v>O</v>
      </c>
      <c r="V118" s="256" t="str">
        <f t="shared" si="19"/>
        <v>O</v>
      </c>
      <c r="W118" s="256" t="str">
        <f t="shared" si="20"/>
        <v>O</v>
      </c>
      <c r="X118" s="256" t="str">
        <f t="shared" si="21"/>
        <v>O</v>
      </c>
      <c r="Z118">
        <v>59.5</v>
      </c>
      <c r="AA118" s="256" t="str">
        <f t="shared" si="11"/>
        <v>HOU/DAL</v>
      </c>
    </row>
    <row r="119" spans="1:27" x14ac:dyDescent="0.3">
      <c r="A119" s="256">
        <v>200201</v>
      </c>
      <c r="B119" s="257">
        <v>0.39583333333333331</v>
      </c>
      <c r="C119" s="256" t="s">
        <v>407</v>
      </c>
      <c r="D119" s="256" t="s">
        <v>412</v>
      </c>
      <c r="E119" s="256">
        <v>35</v>
      </c>
      <c r="F119" s="256">
        <v>38</v>
      </c>
      <c r="G119" s="256">
        <v>30</v>
      </c>
      <c r="H119" s="256">
        <v>30</v>
      </c>
      <c r="I119" s="256"/>
      <c r="J119" s="256">
        <v>23</v>
      </c>
      <c r="K119" s="256">
        <v>34</v>
      </c>
      <c r="L119" s="256">
        <v>39</v>
      </c>
      <c r="M119" s="256">
        <v>22</v>
      </c>
      <c r="N119" s="256"/>
      <c r="O119" s="256">
        <f t="shared" si="12"/>
        <v>133</v>
      </c>
      <c r="P119" s="256">
        <f t="shared" si="13"/>
        <v>118</v>
      </c>
      <c r="Q119" s="256" t="str">
        <f t="shared" si="14"/>
        <v>HW</v>
      </c>
      <c r="R119" s="256" t="str">
        <f t="shared" si="15"/>
        <v>HW</v>
      </c>
      <c r="S119" s="256" t="str">
        <f t="shared" si="16"/>
        <v>HL</v>
      </c>
      <c r="T119" s="256" t="str">
        <f t="shared" si="17"/>
        <v>HW</v>
      </c>
      <c r="U119" s="256" t="str">
        <f t="shared" si="18"/>
        <v>O</v>
      </c>
      <c r="V119" s="256" t="str">
        <f t="shared" si="19"/>
        <v>O</v>
      </c>
      <c r="W119" s="256" t="str">
        <f t="shared" si="20"/>
        <v>O</v>
      </c>
      <c r="X119" s="256" t="str">
        <f t="shared" si="21"/>
        <v>U</v>
      </c>
      <c r="Z119">
        <v>56.5</v>
      </c>
      <c r="AA119" s="256" t="str">
        <f t="shared" si="11"/>
        <v>BKN/CHI</v>
      </c>
    </row>
    <row r="120" spans="1:27" x14ac:dyDescent="0.3">
      <c r="A120" s="256">
        <v>200201</v>
      </c>
      <c r="B120" s="257">
        <v>0.41666666666666669</v>
      </c>
      <c r="C120" s="256" t="s">
        <v>398</v>
      </c>
      <c r="D120" s="256" t="s">
        <v>406</v>
      </c>
      <c r="E120" s="256">
        <v>31</v>
      </c>
      <c r="F120" s="256">
        <v>35</v>
      </c>
      <c r="G120" s="256">
        <v>44</v>
      </c>
      <c r="H120" s="256">
        <v>29</v>
      </c>
      <c r="I120" s="256"/>
      <c r="J120" s="256">
        <v>22</v>
      </c>
      <c r="K120" s="256">
        <v>37</v>
      </c>
      <c r="L120" s="256">
        <v>27</v>
      </c>
      <c r="M120" s="256">
        <v>25</v>
      </c>
      <c r="N120" s="256"/>
      <c r="O120" s="256">
        <f t="shared" si="12"/>
        <v>139</v>
      </c>
      <c r="P120" s="256">
        <f t="shared" si="13"/>
        <v>111</v>
      </c>
      <c r="Q120" s="256" t="str">
        <f t="shared" si="14"/>
        <v>HW</v>
      </c>
      <c r="R120" s="256" t="str">
        <f t="shared" si="15"/>
        <v>HL</v>
      </c>
      <c r="S120" s="256" t="str">
        <f t="shared" si="16"/>
        <v>HW</v>
      </c>
      <c r="T120" s="256" t="str">
        <f t="shared" si="17"/>
        <v>HW</v>
      </c>
      <c r="U120" s="256" t="str">
        <f t="shared" si="18"/>
        <v>U</v>
      </c>
      <c r="V120" s="256" t="str">
        <f t="shared" si="19"/>
        <v>O</v>
      </c>
      <c r="W120" s="256" t="str">
        <f t="shared" si="20"/>
        <v>O</v>
      </c>
      <c r="X120" s="256" t="str">
        <f t="shared" si="21"/>
        <v>U</v>
      </c>
      <c r="Z120">
        <v>59.5</v>
      </c>
      <c r="AA120" s="256" t="str">
        <f t="shared" si="11"/>
        <v>NO/MEM</v>
      </c>
    </row>
    <row r="121" spans="1:27" x14ac:dyDescent="0.3">
      <c r="A121" s="256">
        <v>200201</v>
      </c>
      <c r="B121" s="257">
        <v>0.45833333333333331</v>
      </c>
      <c r="C121" s="256" t="s">
        <v>423</v>
      </c>
      <c r="D121" s="256" t="s">
        <v>408</v>
      </c>
      <c r="E121" s="256">
        <v>43</v>
      </c>
      <c r="F121" s="256">
        <v>24</v>
      </c>
      <c r="G121" s="256">
        <v>24</v>
      </c>
      <c r="H121" s="256">
        <v>24</v>
      </c>
      <c r="I121" s="256"/>
      <c r="J121" s="256">
        <v>35</v>
      </c>
      <c r="K121" s="256">
        <v>25</v>
      </c>
      <c r="L121" s="256">
        <v>40</v>
      </c>
      <c r="M121" s="256">
        <v>27</v>
      </c>
      <c r="N121" s="256"/>
      <c r="O121" s="256">
        <f t="shared" si="12"/>
        <v>115</v>
      </c>
      <c r="P121" s="256">
        <f t="shared" si="13"/>
        <v>127</v>
      </c>
      <c r="Q121" s="256" t="str">
        <f t="shared" si="14"/>
        <v>HW</v>
      </c>
      <c r="R121" s="256" t="str">
        <f t="shared" si="15"/>
        <v>HL</v>
      </c>
      <c r="S121" s="256" t="str">
        <f t="shared" si="16"/>
        <v>HL</v>
      </c>
      <c r="T121" s="256" t="str">
        <f t="shared" si="17"/>
        <v>HL</v>
      </c>
      <c r="U121" s="256" t="str">
        <f t="shared" si="18"/>
        <v>O</v>
      </c>
      <c r="V121" s="256" t="str">
        <f t="shared" si="19"/>
        <v>U</v>
      </c>
      <c r="W121" s="256" t="str">
        <f t="shared" si="20"/>
        <v>O</v>
      </c>
      <c r="X121" s="256" t="str">
        <f t="shared" si="21"/>
        <v>U</v>
      </c>
      <c r="Z121">
        <v>57.5</v>
      </c>
      <c r="AA121" s="256" t="str">
        <f t="shared" si="11"/>
        <v>MIL/DEN</v>
      </c>
    </row>
    <row r="122" spans="1:27" x14ac:dyDescent="0.3">
      <c r="A122" s="256">
        <v>200201</v>
      </c>
      <c r="B122" s="257">
        <v>0.45833333333333331</v>
      </c>
      <c r="C122" s="256" t="s">
        <v>404</v>
      </c>
      <c r="D122" s="256" t="s">
        <v>418</v>
      </c>
      <c r="E122" s="256">
        <v>27</v>
      </c>
      <c r="F122" s="256">
        <v>25</v>
      </c>
      <c r="G122" s="256">
        <v>29</v>
      </c>
      <c r="H122" s="256">
        <v>26</v>
      </c>
      <c r="I122" s="256"/>
      <c r="J122" s="256">
        <v>25</v>
      </c>
      <c r="K122" s="256">
        <v>28</v>
      </c>
      <c r="L122" s="256">
        <v>26</v>
      </c>
      <c r="M122" s="256">
        <v>32</v>
      </c>
      <c r="N122" s="256"/>
      <c r="O122" s="256">
        <f t="shared" si="12"/>
        <v>107</v>
      </c>
      <c r="P122" s="256">
        <f t="shared" si="13"/>
        <v>111</v>
      </c>
      <c r="Q122" s="256" t="str">
        <f t="shared" si="14"/>
        <v>HW</v>
      </c>
      <c r="R122" s="256" t="str">
        <f t="shared" si="15"/>
        <v>HL</v>
      </c>
      <c r="S122" s="256" t="str">
        <f t="shared" si="16"/>
        <v>HW</v>
      </c>
      <c r="T122" s="256" t="str">
        <f t="shared" si="17"/>
        <v>HL</v>
      </c>
      <c r="U122" s="256" t="str">
        <f t="shared" si="18"/>
        <v>U</v>
      </c>
      <c r="V122" s="256" t="str">
        <f t="shared" si="19"/>
        <v>U</v>
      </c>
      <c r="W122" s="256" t="str">
        <f t="shared" si="20"/>
        <v>U</v>
      </c>
      <c r="X122" s="256" t="str">
        <f t="shared" si="21"/>
        <v>O</v>
      </c>
      <c r="Z122">
        <v>56.5</v>
      </c>
      <c r="AA122" s="256" t="str">
        <f t="shared" si="11"/>
        <v>PHO/OKC</v>
      </c>
    </row>
    <row r="123" spans="1:27" x14ac:dyDescent="0.3">
      <c r="A123" s="256">
        <v>200201</v>
      </c>
      <c r="B123" s="257">
        <v>0.52083333333333337</v>
      </c>
      <c r="C123" s="256" t="s">
        <v>419</v>
      </c>
      <c r="D123" s="256" t="s">
        <v>417</v>
      </c>
      <c r="E123" s="256">
        <v>36</v>
      </c>
      <c r="F123" s="256">
        <v>26</v>
      </c>
      <c r="G123" s="256">
        <v>34</v>
      </c>
      <c r="H123" s="256">
        <v>23</v>
      </c>
      <c r="I123" s="256"/>
      <c r="J123" s="256">
        <v>38</v>
      </c>
      <c r="K123" s="256">
        <v>22</v>
      </c>
      <c r="L123" s="256">
        <v>43</v>
      </c>
      <c r="M123" s="256">
        <v>24</v>
      </c>
      <c r="N123" s="256"/>
      <c r="O123" s="256">
        <f t="shared" si="12"/>
        <v>119</v>
      </c>
      <c r="P123" s="256">
        <f t="shared" si="13"/>
        <v>127</v>
      </c>
      <c r="Q123" s="256" t="str">
        <f t="shared" si="14"/>
        <v>HL</v>
      </c>
      <c r="R123" s="256" t="str">
        <f t="shared" si="15"/>
        <v>HW</v>
      </c>
      <c r="S123" s="256" t="str">
        <f t="shared" si="16"/>
        <v>HL</v>
      </c>
      <c r="T123" s="256" t="str">
        <f t="shared" si="17"/>
        <v>HL</v>
      </c>
      <c r="U123" s="256" t="str">
        <f t="shared" si="18"/>
        <v>O</v>
      </c>
      <c r="V123" s="256" t="str">
        <f t="shared" si="19"/>
        <v>U</v>
      </c>
      <c r="W123" s="256" t="str">
        <f t="shared" si="20"/>
        <v>O</v>
      </c>
      <c r="X123" s="256" t="str">
        <f t="shared" si="21"/>
        <v>U</v>
      </c>
      <c r="Z123">
        <v>58.5</v>
      </c>
      <c r="AA123" s="256" t="str">
        <f t="shared" si="11"/>
        <v>LAL/POR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</vt:lpstr>
      <vt:lpstr>T (2)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2019-10-26T09:51:06Z</dcterms:created>
  <dcterms:modified xsi:type="dcterms:W3CDTF">2020-02-01T16:23:35Z</dcterms:modified>
</cp:coreProperties>
</file>