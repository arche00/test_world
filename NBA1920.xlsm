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05" yWindow="-105" windowWidth="19425" windowHeight="10425" activeTab="1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AD1" i="5" l="1"/>
  <c r="AC1" i="5"/>
  <c r="AA51" i="4"/>
  <c r="X51" i="4"/>
  <c r="W51" i="4"/>
  <c r="V51" i="4"/>
  <c r="U51" i="4"/>
  <c r="T51" i="4"/>
  <c r="S51" i="4"/>
  <c r="R51" i="4"/>
  <c r="Q51" i="4"/>
  <c r="P51" i="4"/>
  <c r="O51" i="4"/>
  <c r="AA50" i="4"/>
  <c r="X50" i="4"/>
  <c r="W50" i="4"/>
  <c r="V50" i="4"/>
  <c r="U50" i="4"/>
  <c r="T50" i="4"/>
  <c r="S50" i="4"/>
  <c r="R50" i="4"/>
  <c r="Q50" i="4"/>
  <c r="P50" i="4"/>
  <c r="O50" i="4"/>
  <c r="AA49" i="4"/>
  <c r="X49" i="4"/>
  <c r="W49" i="4"/>
  <c r="V49" i="4"/>
  <c r="U49" i="4"/>
  <c r="T49" i="4"/>
  <c r="S49" i="4"/>
  <c r="R49" i="4"/>
  <c r="Q49" i="4"/>
  <c r="P49" i="4"/>
  <c r="O49" i="4"/>
  <c r="AA48" i="4"/>
  <c r="X48" i="4"/>
  <c r="W48" i="4"/>
  <c r="V48" i="4"/>
  <c r="U48" i="4"/>
  <c r="T48" i="4"/>
  <c r="S48" i="4"/>
  <c r="R48" i="4"/>
  <c r="Q48" i="4"/>
  <c r="P48" i="4"/>
  <c r="O48" i="4"/>
  <c r="AA47" i="4"/>
  <c r="X47" i="4"/>
  <c r="W47" i="4"/>
  <c r="V47" i="4"/>
  <c r="U47" i="4"/>
  <c r="T47" i="4"/>
  <c r="S47" i="4"/>
  <c r="R47" i="4"/>
  <c r="Q47" i="4"/>
  <c r="P47" i="4"/>
  <c r="O47" i="4"/>
  <c r="AA46" i="4"/>
  <c r="X46" i="4"/>
  <c r="W46" i="4"/>
  <c r="V46" i="4"/>
  <c r="U46" i="4"/>
  <c r="T46" i="4"/>
  <c r="S46" i="4"/>
  <c r="R46" i="4"/>
  <c r="Q46" i="4"/>
  <c r="P46" i="4"/>
  <c r="O46" i="4"/>
  <c r="AA45" i="4"/>
  <c r="X45" i="4"/>
  <c r="W45" i="4"/>
  <c r="V45" i="4"/>
  <c r="U45" i="4"/>
  <c r="T45" i="4"/>
  <c r="S45" i="4"/>
  <c r="R45" i="4"/>
  <c r="Q45" i="4"/>
  <c r="P45" i="4"/>
  <c r="O45" i="4"/>
  <c r="AA44" i="4"/>
  <c r="X44" i="4"/>
  <c r="W44" i="4"/>
  <c r="V44" i="4"/>
  <c r="U44" i="4"/>
  <c r="T44" i="4"/>
  <c r="S44" i="4"/>
  <c r="R44" i="4"/>
  <c r="Q44" i="4"/>
  <c r="P44" i="4"/>
  <c r="O44" i="4"/>
  <c r="AA43" i="4"/>
  <c r="X43" i="4"/>
  <c r="W43" i="4"/>
  <c r="V43" i="4"/>
  <c r="U43" i="4"/>
  <c r="T43" i="4"/>
  <c r="S43" i="4"/>
  <c r="R43" i="4"/>
  <c r="Q43" i="4"/>
  <c r="P43" i="4"/>
  <c r="O43" i="4"/>
  <c r="AA42" i="4"/>
  <c r="X42" i="4"/>
  <c r="W42" i="4"/>
  <c r="V42" i="4"/>
  <c r="U42" i="4"/>
  <c r="T42" i="4"/>
  <c r="S42" i="4"/>
  <c r="R42" i="4"/>
  <c r="Q42" i="4"/>
  <c r="P42" i="4"/>
  <c r="O42" i="4"/>
  <c r="AA41" i="4"/>
  <c r="X41" i="4"/>
  <c r="W41" i="4"/>
  <c r="V41" i="4"/>
  <c r="U41" i="4"/>
  <c r="T41" i="4"/>
  <c r="S41" i="4"/>
  <c r="R41" i="4"/>
  <c r="Q41" i="4"/>
  <c r="P41" i="4"/>
  <c r="O41" i="4"/>
  <c r="AA40" i="4"/>
  <c r="X40" i="4"/>
  <c r="W40" i="4"/>
  <c r="V40" i="4"/>
  <c r="U40" i="4"/>
  <c r="T40" i="4"/>
  <c r="S40" i="4"/>
  <c r="R40" i="4"/>
  <c r="Q40" i="4"/>
  <c r="P40" i="4"/>
  <c r="O40" i="4"/>
  <c r="AA39" i="4"/>
  <c r="X39" i="4"/>
  <c r="W39" i="4"/>
  <c r="V39" i="4"/>
  <c r="U39" i="4"/>
  <c r="T39" i="4"/>
  <c r="S39" i="4"/>
  <c r="R39" i="4"/>
  <c r="Q39" i="4"/>
  <c r="P39" i="4"/>
  <c r="O39" i="4"/>
  <c r="AA38" i="4"/>
  <c r="X38" i="4"/>
  <c r="W38" i="4"/>
  <c r="V38" i="4"/>
  <c r="U38" i="4"/>
  <c r="T38" i="4"/>
  <c r="S38" i="4"/>
  <c r="R38" i="4"/>
  <c r="Q38" i="4"/>
  <c r="P38" i="4"/>
  <c r="O38" i="4"/>
  <c r="AA37" i="4"/>
  <c r="X37" i="4"/>
  <c r="W37" i="4"/>
  <c r="V37" i="4"/>
  <c r="U37" i="4"/>
  <c r="T37" i="4"/>
  <c r="S37" i="4"/>
  <c r="R37" i="4"/>
  <c r="Q37" i="4"/>
  <c r="P37" i="4"/>
  <c r="O37" i="4"/>
  <c r="AA36" i="4"/>
  <c r="X36" i="4"/>
  <c r="W36" i="4"/>
  <c r="V36" i="4"/>
  <c r="U36" i="4"/>
  <c r="T36" i="4"/>
  <c r="S36" i="4"/>
  <c r="R36" i="4"/>
  <c r="Q36" i="4"/>
  <c r="P36" i="4"/>
  <c r="O36" i="4"/>
  <c r="AA35" i="4"/>
  <c r="X35" i="4"/>
  <c r="W35" i="4"/>
  <c r="V35" i="4"/>
  <c r="U35" i="4"/>
  <c r="T35" i="4"/>
  <c r="S35" i="4"/>
  <c r="R35" i="4"/>
  <c r="Q35" i="4"/>
  <c r="P35" i="4"/>
  <c r="O35" i="4"/>
  <c r="AA34" i="4"/>
  <c r="X34" i="4"/>
  <c r="W34" i="4"/>
  <c r="V34" i="4"/>
  <c r="U34" i="4"/>
  <c r="T34" i="4"/>
  <c r="S34" i="4"/>
  <c r="R34" i="4"/>
  <c r="Q34" i="4"/>
  <c r="P34" i="4"/>
  <c r="O34" i="4"/>
  <c r="AA33" i="4"/>
  <c r="X33" i="4"/>
  <c r="W33" i="4"/>
  <c r="V33" i="4"/>
  <c r="U33" i="4"/>
  <c r="T33" i="4"/>
  <c r="S33" i="4"/>
  <c r="R33" i="4"/>
  <c r="Q33" i="4"/>
  <c r="P33" i="4"/>
  <c r="O33" i="4"/>
  <c r="AA32" i="4"/>
  <c r="X32" i="4"/>
  <c r="W32" i="4"/>
  <c r="V32" i="4"/>
  <c r="U32" i="4"/>
  <c r="T32" i="4"/>
  <c r="S32" i="4"/>
  <c r="R32" i="4"/>
  <c r="Q32" i="4"/>
  <c r="P32" i="4"/>
  <c r="O32" i="4"/>
  <c r="AA31" i="4"/>
  <c r="X31" i="4"/>
  <c r="W31" i="4"/>
  <c r="V31" i="4"/>
  <c r="U31" i="4"/>
  <c r="T31" i="4"/>
  <c r="S31" i="4"/>
  <c r="R31" i="4"/>
  <c r="Q31" i="4"/>
  <c r="P31" i="4"/>
  <c r="O31" i="4"/>
  <c r="AA30" i="4"/>
  <c r="X30" i="4"/>
  <c r="W30" i="4"/>
  <c r="V30" i="4"/>
  <c r="U30" i="4"/>
  <c r="T30" i="4"/>
  <c r="S30" i="4"/>
  <c r="R30" i="4"/>
  <c r="Q30" i="4"/>
  <c r="P30" i="4"/>
  <c r="O30" i="4"/>
  <c r="AA29" i="4"/>
  <c r="X29" i="4"/>
  <c r="W29" i="4"/>
  <c r="V29" i="4"/>
  <c r="U29" i="4"/>
  <c r="T29" i="4"/>
  <c r="S29" i="4"/>
  <c r="R29" i="4"/>
  <c r="Q29" i="4"/>
  <c r="P29" i="4"/>
  <c r="O29" i="4"/>
  <c r="AA28" i="4"/>
  <c r="X28" i="4"/>
  <c r="W28" i="4"/>
  <c r="V28" i="4"/>
  <c r="U28" i="4"/>
  <c r="T28" i="4"/>
  <c r="S28" i="4"/>
  <c r="R28" i="4"/>
  <c r="Q28" i="4"/>
  <c r="P28" i="4"/>
  <c r="O28" i="4"/>
  <c r="AA27" i="4"/>
  <c r="X27" i="4"/>
  <c r="W27" i="4"/>
  <c r="V27" i="4"/>
  <c r="U27" i="4"/>
  <c r="T27" i="4"/>
  <c r="S27" i="4"/>
  <c r="R27" i="4"/>
  <c r="Q27" i="4"/>
  <c r="P27" i="4"/>
  <c r="O27" i="4"/>
  <c r="AA26" i="4"/>
  <c r="X26" i="4"/>
  <c r="W26" i="4"/>
  <c r="V26" i="4"/>
  <c r="U26" i="4"/>
  <c r="T26" i="4"/>
  <c r="S26" i="4"/>
  <c r="R26" i="4"/>
  <c r="Q26" i="4"/>
  <c r="P26" i="4"/>
  <c r="O26" i="4"/>
  <c r="AA25" i="4"/>
  <c r="X25" i="4"/>
  <c r="W25" i="4"/>
  <c r="V25" i="4"/>
  <c r="U25" i="4"/>
  <c r="T25" i="4"/>
  <c r="S25" i="4"/>
  <c r="R25" i="4"/>
  <c r="Q25" i="4"/>
  <c r="P25" i="4"/>
  <c r="O25" i="4"/>
  <c r="AA24" i="4"/>
  <c r="X24" i="4"/>
  <c r="W24" i="4"/>
  <c r="V24" i="4"/>
  <c r="U24" i="4"/>
  <c r="T24" i="4"/>
  <c r="S24" i="4"/>
  <c r="R24" i="4"/>
  <c r="Q24" i="4"/>
  <c r="P24" i="4"/>
  <c r="O24" i="4"/>
  <c r="AA23" i="4"/>
  <c r="X23" i="4"/>
  <c r="W23" i="4"/>
  <c r="V23" i="4"/>
  <c r="U23" i="4"/>
  <c r="T23" i="4"/>
  <c r="S23" i="4"/>
  <c r="R23" i="4"/>
  <c r="Q23" i="4"/>
  <c r="P23" i="4"/>
  <c r="O23" i="4"/>
  <c r="AA22" i="4"/>
  <c r="X22" i="4"/>
  <c r="W22" i="4"/>
  <c r="V22" i="4"/>
  <c r="U22" i="4"/>
  <c r="T22" i="4"/>
  <c r="S22" i="4"/>
  <c r="R22" i="4"/>
  <c r="Q22" i="4"/>
  <c r="P22" i="4"/>
  <c r="O22" i="4"/>
  <c r="AA21" i="4"/>
  <c r="X21" i="4"/>
  <c r="W21" i="4"/>
  <c r="V21" i="4"/>
  <c r="U21" i="4"/>
  <c r="T21" i="4"/>
  <c r="S21" i="4"/>
  <c r="R21" i="4"/>
  <c r="Q21" i="4"/>
  <c r="P21" i="4"/>
  <c r="O21" i="4"/>
  <c r="AA20" i="4"/>
  <c r="X20" i="4"/>
  <c r="W20" i="4"/>
  <c r="V20" i="4"/>
  <c r="U20" i="4"/>
  <c r="T20" i="4"/>
  <c r="S20" i="4"/>
  <c r="R20" i="4"/>
  <c r="Q20" i="4"/>
  <c r="P20" i="4"/>
  <c r="O20" i="4"/>
  <c r="AA19" i="4"/>
  <c r="X19" i="4"/>
  <c r="W19" i="4"/>
  <c r="V19" i="4"/>
  <c r="U19" i="4"/>
  <c r="T19" i="4"/>
  <c r="S19" i="4"/>
  <c r="R19" i="4"/>
  <c r="Q19" i="4"/>
  <c r="P19" i="4"/>
  <c r="O19" i="4"/>
  <c r="AA18" i="4"/>
  <c r="X18" i="4"/>
  <c r="W18" i="4"/>
  <c r="V18" i="4"/>
  <c r="U18" i="4"/>
  <c r="T18" i="4"/>
  <c r="S18" i="4"/>
  <c r="R18" i="4"/>
  <c r="Q18" i="4"/>
  <c r="P18" i="4"/>
  <c r="O18" i="4"/>
  <c r="AA17" i="4"/>
  <c r="X17" i="4"/>
  <c r="W17" i="4"/>
  <c r="V17" i="4"/>
  <c r="U17" i="4"/>
  <c r="T17" i="4"/>
  <c r="S17" i="4"/>
  <c r="R17" i="4"/>
  <c r="Q17" i="4"/>
  <c r="P17" i="4"/>
  <c r="O17" i="4"/>
  <c r="AA16" i="4"/>
  <c r="X16" i="4"/>
  <c r="W16" i="4"/>
  <c r="V16" i="4"/>
  <c r="U16" i="4"/>
  <c r="T16" i="4"/>
  <c r="S16" i="4"/>
  <c r="R16" i="4"/>
  <c r="Q16" i="4"/>
  <c r="P16" i="4"/>
  <c r="O16" i="4"/>
  <c r="AA15" i="4"/>
  <c r="X15" i="4"/>
  <c r="W15" i="4"/>
  <c r="V15" i="4"/>
  <c r="U15" i="4"/>
  <c r="T15" i="4"/>
  <c r="S15" i="4"/>
  <c r="R15" i="4"/>
  <c r="Q15" i="4"/>
  <c r="P15" i="4"/>
  <c r="O15" i="4"/>
  <c r="AA14" i="4"/>
  <c r="X14" i="4"/>
  <c r="W14" i="4"/>
  <c r="V14" i="4"/>
  <c r="U14" i="4"/>
  <c r="T14" i="4"/>
  <c r="S14" i="4"/>
  <c r="R14" i="4"/>
  <c r="Q14" i="4"/>
  <c r="P14" i="4"/>
  <c r="O14" i="4"/>
  <c r="AA13" i="4"/>
  <c r="X13" i="4"/>
  <c r="W13" i="4"/>
  <c r="V13" i="4"/>
  <c r="U13" i="4"/>
  <c r="T13" i="4"/>
  <c r="S13" i="4"/>
  <c r="R13" i="4"/>
  <c r="Q13" i="4"/>
  <c r="P13" i="4"/>
  <c r="O13" i="4"/>
  <c r="AA12" i="4"/>
  <c r="X12" i="4"/>
  <c r="W12" i="4"/>
  <c r="V12" i="4"/>
  <c r="U12" i="4"/>
  <c r="T12" i="4"/>
  <c r="S12" i="4"/>
  <c r="R12" i="4"/>
  <c r="Q12" i="4"/>
  <c r="P12" i="4"/>
  <c r="O12" i="4"/>
  <c r="AA11" i="4"/>
  <c r="X11" i="4"/>
  <c r="W11" i="4"/>
  <c r="V11" i="4"/>
  <c r="U11" i="4"/>
  <c r="T11" i="4"/>
  <c r="S11" i="4"/>
  <c r="R11" i="4"/>
  <c r="Q11" i="4"/>
  <c r="P11" i="4"/>
  <c r="O11" i="4"/>
  <c r="AA10" i="4"/>
  <c r="X10" i="4"/>
  <c r="W10" i="4"/>
  <c r="V10" i="4"/>
  <c r="U10" i="4"/>
  <c r="T10" i="4"/>
  <c r="S10" i="4"/>
  <c r="R10" i="4"/>
  <c r="Q10" i="4"/>
  <c r="P10" i="4"/>
  <c r="O10" i="4"/>
  <c r="AA9" i="4"/>
  <c r="X9" i="4"/>
  <c r="W9" i="4"/>
  <c r="V9" i="4"/>
  <c r="U9" i="4"/>
  <c r="T9" i="4"/>
  <c r="S9" i="4"/>
  <c r="R9" i="4"/>
  <c r="Q9" i="4"/>
  <c r="P9" i="4"/>
  <c r="O9" i="4"/>
  <c r="AA8" i="4"/>
  <c r="X8" i="4"/>
  <c r="W8" i="4"/>
  <c r="V8" i="4"/>
  <c r="U8" i="4"/>
  <c r="T8" i="4"/>
  <c r="S8" i="4"/>
  <c r="R8" i="4"/>
  <c r="Q8" i="4"/>
  <c r="P8" i="4"/>
  <c r="O8" i="4"/>
  <c r="AA7" i="4"/>
  <c r="X7" i="4"/>
  <c r="W7" i="4"/>
  <c r="V7" i="4"/>
  <c r="U7" i="4"/>
  <c r="T7" i="4"/>
  <c r="S7" i="4"/>
  <c r="R7" i="4"/>
  <c r="Q7" i="4"/>
  <c r="P7" i="4"/>
  <c r="O7" i="4"/>
  <c r="AA6" i="4"/>
  <c r="X6" i="4"/>
  <c r="W6" i="4"/>
  <c r="V6" i="4"/>
  <c r="U6" i="4"/>
  <c r="T6" i="4"/>
  <c r="S6" i="4"/>
  <c r="R6" i="4"/>
  <c r="Q6" i="4"/>
  <c r="P6" i="4"/>
  <c r="O6" i="4"/>
  <c r="AA5" i="4"/>
  <c r="X5" i="4"/>
  <c r="W5" i="4"/>
  <c r="V5" i="4"/>
  <c r="U5" i="4"/>
  <c r="T5" i="4"/>
  <c r="S5" i="4"/>
  <c r="R5" i="4"/>
  <c r="Q5" i="4"/>
  <c r="P5" i="4"/>
  <c r="O5" i="4"/>
  <c r="AA4" i="4"/>
  <c r="X4" i="4"/>
  <c r="W4" i="4"/>
  <c r="V4" i="4"/>
  <c r="U4" i="4"/>
  <c r="T4" i="4"/>
  <c r="S4" i="4"/>
  <c r="R4" i="4"/>
  <c r="Q4" i="4"/>
  <c r="P4" i="4"/>
  <c r="O4" i="4"/>
  <c r="AA3" i="4"/>
  <c r="X3" i="4"/>
  <c r="W3" i="4"/>
  <c r="V3" i="4"/>
  <c r="U3" i="4"/>
  <c r="T3" i="4"/>
  <c r="S3" i="4"/>
  <c r="R3" i="4"/>
  <c r="Q3" i="4"/>
  <c r="P3" i="4"/>
  <c r="O3" i="4"/>
  <c r="AA2" i="4"/>
  <c r="X2" i="4"/>
  <c r="W2" i="4"/>
  <c r="V2" i="4"/>
  <c r="U2" i="4"/>
  <c r="T2" i="4"/>
  <c r="S2" i="4"/>
  <c r="R2" i="4"/>
  <c r="Q2" i="4"/>
  <c r="P2" i="4"/>
  <c r="O2" i="4"/>
  <c r="O727" i="3"/>
  <c r="P727" i="3"/>
  <c r="Q727" i="3"/>
  <c r="R727" i="3"/>
  <c r="S727" i="3"/>
  <c r="T727" i="3"/>
  <c r="U727" i="3"/>
  <c r="V727" i="3"/>
  <c r="W727" i="3"/>
  <c r="X727" i="3"/>
  <c r="O728" i="3"/>
  <c r="P728" i="3"/>
  <c r="Q728" i="3"/>
  <c r="R728" i="3"/>
  <c r="S728" i="3"/>
  <c r="T728" i="3"/>
  <c r="U728" i="3"/>
  <c r="V728" i="3"/>
  <c r="W728" i="3"/>
  <c r="X728" i="3"/>
  <c r="O729" i="3"/>
  <c r="P729" i="3"/>
  <c r="Q729" i="3"/>
  <c r="R729" i="3"/>
  <c r="S729" i="3"/>
  <c r="T729" i="3"/>
  <c r="U729" i="3"/>
  <c r="V729" i="3"/>
  <c r="W729" i="3"/>
  <c r="X729" i="3"/>
  <c r="O730" i="3"/>
  <c r="P730" i="3"/>
  <c r="Q730" i="3"/>
  <c r="R730" i="3"/>
  <c r="S730" i="3"/>
  <c r="T730" i="3"/>
  <c r="U730" i="3"/>
  <c r="V730" i="3"/>
  <c r="W730" i="3"/>
  <c r="X730" i="3"/>
  <c r="O731" i="3"/>
  <c r="P731" i="3"/>
  <c r="Q731" i="3"/>
  <c r="R731" i="3"/>
  <c r="S731" i="3"/>
  <c r="T731" i="3"/>
  <c r="U731" i="3"/>
  <c r="V731" i="3"/>
  <c r="W731" i="3"/>
  <c r="X731" i="3"/>
  <c r="O732" i="3"/>
  <c r="P732" i="3"/>
  <c r="Q732" i="3"/>
  <c r="R732" i="3"/>
  <c r="S732" i="3"/>
  <c r="T732" i="3"/>
  <c r="U732" i="3"/>
  <c r="V732" i="3"/>
  <c r="W732" i="3"/>
  <c r="X732" i="3"/>
  <c r="O733" i="3"/>
  <c r="P733" i="3"/>
  <c r="Q733" i="3"/>
  <c r="R733" i="3"/>
  <c r="S733" i="3"/>
  <c r="T733" i="3"/>
  <c r="U733" i="3"/>
  <c r="V733" i="3"/>
  <c r="W733" i="3"/>
  <c r="X733" i="3"/>
  <c r="O734" i="3"/>
  <c r="P734" i="3"/>
  <c r="Q734" i="3"/>
  <c r="R734" i="3"/>
  <c r="S734" i="3"/>
  <c r="T734" i="3"/>
  <c r="U734" i="3"/>
  <c r="V734" i="3"/>
  <c r="W734" i="3"/>
  <c r="X734" i="3"/>
  <c r="O735" i="3"/>
  <c r="P735" i="3"/>
  <c r="Q735" i="3"/>
  <c r="R735" i="3"/>
  <c r="S735" i="3"/>
  <c r="T735" i="3"/>
  <c r="U735" i="3"/>
  <c r="V735" i="3"/>
  <c r="W735" i="3"/>
  <c r="X735" i="3"/>
  <c r="O736" i="3"/>
  <c r="P736" i="3"/>
  <c r="Q736" i="3"/>
  <c r="R736" i="3"/>
  <c r="S736" i="3"/>
  <c r="T736" i="3"/>
  <c r="U736" i="3"/>
  <c r="V736" i="3"/>
  <c r="W736" i="3"/>
  <c r="X736" i="3"/>
  <c r="O737" i="3"/>
  <c r="P737" i="3"/>
  <c r="Q737" i="3"/>
  <c r="R737" i="3"/>
  <c r="S737" i="3"/>
  <c r="T737" i="3"/>
  <c r="U737" i="3"/>
  <c r="V737" i="3"/>
  <c r="W737" i="3"/>
  <c r="X737" i="3"/>
  <c r="O738" i="3"/>
  <c r="P738" i="3"/>
  <c r="Q738" i="3"/>
  <c r="R738" i="3"/>
  <c r="S738" i="3"/>
  <c r="T738" i="3"/>
  <c r="U738" i="3"/>
  <c r="V738" i="3"/>
  <c r="W738" i="3"/>
  <c r="X738" i="3"/>
  <c r="O739" i="3"/>
  <c r="P739" i="3"/>
  <c r="Q739" i="3"/>
  <c r="R739" i="3"/>
  <c r="S739" i="3"/>
  <c r="T739" i="3"/>
  <c r="U739" i="3"/>
  <c r="V739" i="3"/>
  <c r="W739" i="3"/>
  <c r="X739" i="3"/>
  <c r="O740" i="3"/>
  <c r="P740" i="3"/>
  <c r="Q740" i="3"/>
  <c r="R740" i="3"/>
  <c r="S740" i="3"/>
  <c r="T740" i="3"/>
  <c r="U740" i="3"/>
  <c r="V740" i="3"/>
  <c r="W740" i="3"/>
  <c r="X740" i="3"/>
  <c r="O741" i="3"/>
  <c r="P741" i="3"/>
  <c r="Q741" i="3"/>
  <c r="R741" i="3"/>
  <c r="S741" i="3"/>
  <c r="T741" i="3"/>
  <c r="U741" i="3"/>
  <c r="V741" i="3"/>
  <c r="W741" i="3"/>
  <c r="X741" i="3"/>
  <c r="O742" i="3"/>
  <c r="P742" i="3"/>
  <c r="Q742" i="3"/>
  <c r="R742" i="3"/>
  <c r="S742" i="3"/>
  <c r="T742" i="3"/>
  <c r="U742" i="3"/>
  <c r="V742" i="3"/>
  <c r="W742" i="3"/>
  <c r="X742" i="3"/>
  <c r="O743" i="3"/>
  <c r="P743" i="3"/>
  <c r="Q743" i="3"/>
  <c r="R743" i="3"/>
  <c r="S743" i="3"/>
  <c r="T743" i="3"/>
  <c r="U743" i="3"/>
  <c r="V743" i="3"/>
  <c r="W743" i="3"/>
  <c r="X743" i="3"/>
  <c r="O744" i="3"/>
  <c r="P744" i="3"/>
  <c r="Q744" i="3"/>
  <c r="R744" i="3"/>
  <c r="S744" i="3"/>
  <c r="T744" i="3"/>
  <c r="U744" i="3"/>
  <c r="V744" i="3"/>
  <c r="W744" i="3"/>
  <c r="X744" i="3"/>
  <c r="O745" i="3"/>
  <c r="P745" i="3"/>
  <c r="Q745" i="3"/>
  <c r="R745" i="3"/>
  <c r="S745" i="3"/>
  <c r="T745" i="3"/>
  <c r="U745" i="3"/>
  <c r="V745" i="3"/>
  <c r="W745" i="3"/>
  <c r="X745" i="3"/>
  <c r="O746" i="3"/>
  <c r="P746" i="3"/>
  <c r="Q746" i="3"/>
  <c r="R746" i="3"/>
  <c r="S746" i="3"/>
  <c r="T746" i="3"/>
  <c r="U746" i="3"/>
  <c r="V746" i="3"/>
  <c r="W746" i="3"/>
  <c r="X746" i="3"/>
  <c r="O747" i="3"/>
  <c r="P747" i="3"/>
  <c r="Q747" i="3"/>
  <c r="R747" i="3"/>
  <c r="S747" i="3"/>
  <c r="T747" i="3"/>
  <c r="U747" i="3"/>
  <c r="V747" i="3"/>
  <c r="W747" i="3"/>
  <c r="X747" i="3"/>
  <c r="O748" i="3"/>
  <c r="P748" i="3"/>
  <c r="Q748" i="3"/>
  <c r="R748" i="3"/>
  <c r="S748" i="3"/>
  <c r="T748" i="3"/>
  <c r="U748" i="3"/>
  <c r="V748" i="3"/>
  <c r="W748" i="3"/>
  <c r="X748" i="3"/>
  <c r="O749" i="3"/>
  <c r="P749" i="3"/>
  <c r="Q749" i="3"/>
  <c r="R749" i="3"/>
  <c r="S749" i="3"/>
  <c r="T749" i="3"/>
  <c r="U749" i="3"/>
  <c r="V749" i="3"/>
  <c r="W749" i="3"/>
  <c r="X749" i="3"/>
  <c r="O750" i="3"/>
  <c r="P750" i="3"/>
  <c r="Q750" i="3"/>
  <c r="R750" i="3"/>
  <c r="S750" i="3"/>
  <c r="T750" i="3"/>
  <c r="U750" i="3"/>
  <c r="V750" i="3"/>
  <c r="W750" i="3"/>
  <c r="X750" i="3"/>
  <c r="O751" i="3"/>
  <c r="P751" i="3"/>
  <c r="Q751" i="3"/>
  <c r="R751" i="3"/>
  <c r="S751" i="3"/>
  <c r="T751" i="3"/>
  <c r="U751" i="3"/>
  <c r="V751" i="3"/>
  <c r="W751" i="3"/>
  <c r="X751" i="3"/>
  <c r="O752" i="3"/>
  <c r="P752" i="3"/>
  <c r="Q752" i="3"/>
  <c r="R752" i="3"/>
  <c r="S752" i="3"/>
  <c r="T752" i="3"/>
  <c r="U752" i="3"/>
  <c r="V752" i="3"/>
  <c r="W752" i="3"/>
  <c r="X752" i="3"/>
  <c r="O753" i="3"/>
  <c r="P753" i="3"/>
  <c r="Q753" i="3"/>
  <c r="R753" i="3"/>
  <c r="S753" i="3"/>
  <c r="T753" i="3"/>
  <c r="U753" i="3"/>
  <c r="V753" i="3"/>
  <c r="W753" i="3"/>
  <c r="X753" i="3"/>
  <c r="O754" i="3"/>
  <c r="P754" i="3"/>
  <c r="Q754" i="3"/>
  <c r="R754" i="3"/>
  <c r="S754" i="3"/>
  <c r="T754" i="3"/>
  <c r="U754" i="3"/>
  <c r="V754" i="3"/>
  <c r="W754" i="3"/>
  <c r="X754" i="3"/>
  <c r="O755" i="3"/>
  <c r="P755" i="3"/>
  <c r="Q755" i="3"/>
  <c r="R755" i="3"/>
  <c r="S755" i="3"/>
  <c r="T755" i="3"/>
  <c r="U755" i="3"/>
  <c r="V755" i="3"/>
  <c r="W755" i="3"/>
  <c r="X755" i="3"/>
  <c r="O756" i="3"/>
  <c r="P756" i="3"/>
  <c r="Q756" i="3"/>
  <c r="R756" i="3"/>
  <c r="S756" i="3"/>
  <c r="T756" i="3"/>
  <c r="U756" i="3"/>
  <c r="V756" i="3"/>
  <c r="W756" i="3"/>
  <c r="X756" i="3"/>
  <c r="O757" i="3"/>
  <c r="P757" i="3"/>
  <c r="Q757" i="3"/>
  <c r="R757" i="3"/>
  <c r="S757" i="3"/>
  <c r="T757" i="3"/>
  <c r="U757" i="3"/>
  <c r="V757" i="3"/>
  <c r="W757" i="3"/>
  <c r="X757" i="3"/>
  <c r="O758" i="3"/>
  <c r="P758" i="3"/>
  <c r="Q758" i="3"/>
  <c r="R758" i="3"/>
  <c r="S758" i="3"/>
  <c r="T758" i="3"/>
  <c r="U758" i="3"/>
  <c r="V758" i="3"/>
  <c r="W758" i="3"/>
  <c r="X758" i="3"/>
  <c r="O759" i="3"/>
  <c r="P759" i="3"/>
  <c r="Q759" i="3"/>
  <c r="R759" i="3"/>
  <c r="S759" i="3"/>
  <c r="T759" i="3"/>
  <c r="U759" i="3"/>
  <c r="V759" i="3"/>
  <c r="W759" i="3"/>
  <c r="X759" i="3"/>
  <c r="O760" i="3"/>
  <c r="P760" i="3"/>
  <c r="Q760" i="3"/>
  <c r="R760" i="3"/>
  <c r="S760" i="3"/>
  <c r="T760" i="3"/>
  <c r="U760" i="3"/>
  <c r="V760" i="3"/>
  <c r="W760" i="3"/>
  <c r="X760" i="3"/>
  <c r="O761" i="3"/>
  <c r="P761" i="3"/>
  <c r="Q761" i="3"/>
  <c r="R761" i="3"/>
  <c r="S761" i="3"/>
  <c r="T761" i="3"/>
  <c r="U761" i="3"/>
  <c r="V761" i="3"/>
  <c r="W761" i="3"/>
  <c r="X761" i="3"/>
  <c r="O762" i="3"/>
  <c r="P762" i="3"/>
  <c r="Q762" i="3"/>
  <c r="R762" i="3"/>
  <c r="S762" i="3"/>
  <c r="T762" i="3"/>
  <c r="U762" i="3"/>
  <c r="V762" i="3"/>
  <c r="W762" i="3"/>
  <c r="X762" i="3"/>
  <c r="O763" i="3"/>
  <c r="P763" i="3"/>
  <c r="Q763" i="3"/>
  <c r="R763" i="3"/>
  <c r="S763" i="3"/>
  <c r="T763" i="3"/>
  <c r="U763" i="3"/>
  <c r="V763" i="3"/>
  <c r="W763" i="3"/>
  <c r="X763" i="3"/>
  <c r="O764" i="3"/>
  <c r="P764" i="3"/>
  <c r="Q764" i="3"/>
  <c r="R764" i="3"/>
  <c r="S764" i="3"/>
  <c r="T764" i="3"/>
  <c r="U764" i="3"/>
  <c r="V764" i="3"/>
  <c r="W764" i="3"/>
  <c r="X764" i="3"/>
  <c r="O765" i="3"/>
  <c r="P765" i="3"/>
  <c r="Q765" i="3"/>
  <c r="R765" i="3"/>
  <c r="S765" i="3"/>
  <c r="T765" i="3"/>
  <c r="U765" i="3"/>
  <c r="V765" i="3"/>
  <c r="W765" i="3"/>
  <c r="X765" i="3"/>
  <c r="O766" i="3"/>
  <c r="P766" i="3"/>
  <c r="Q766" i="3"/>
  <c r="R766" i="3"/>
  <c r="S766" i="3"/>
  <c r="T766" i="3"/>
  <c r="U766" i="3"/>
  <c r="V766" i="3"/>
  <c r="W766" i="3"/>
  <c r="X766" i="3"/>
  <c r="O767" i="3"/>
  <c r="P767" i="3"/>
  <c r="Q767" i="3"/>
  <c r="R767" i="3"/>
  <c r="S767" i="3"/>
  <c r="T767" i="3"/>
  <c r="U767" i="3"/>
  <c r="V767" i="3"/>
  <c r="W767" i="3"/>
  <c r="X767" i="3"/>
  <c r="O768" i="3"/>
  <c r="P768" i="3"/>
  <c r="Q768" i="3"/>
  <c r="R768" i="3"/>
  <c r="S768" i="3"/>
  <c r="T768" i="3"/>
  <c r="U768" i="3"/>
  <c r="V768" i="3"/>
  <c r="W768" i="3"/>
  <c r="X768" i="3"/>
  <c r="O769" i="3"/>
  <c r="P769" i="3"/>
  <c r="Q769" i="3"/>
  <c r="R769" i="3"/>
  <c r="S769" i="3"/>
  <c r="T769" i="3"/>
  <c r="U769" i="3"/>
  <c r="V769" i="3"/>
  <c r="W769" i="3"/>
  <c r="X769" i="3"/>
  <c r="O770" i="3"/>
  <c r="P770" i="3"/>
  <c r="Q770" i="3"/>
  <c r="R770" i="3"/>
  <c r="S770" i="3"/>
  <c r="T770" i="3"/>
  <c r="U770" i="3"/>
  <c r="V770" i="3"/>
  <c r="W770" i="3"/>
  <c r="X770" i="3"/>
  <c r="O771" i="3"/>
  <c r="P771" i="3"/>
  <c r="Q771" i="3"/>
  <c r="R771" i="3"/>
  <c r="S771" i="3"/>
  <c r="T771" i="3"/>
  <c r="U771" i="3"/>
  <c r="V771" i="3"/>
  <c r="W771" i="3"/>
  <c r="X771" i="3"/>
  <c r="O772" i="3"/>
  <c r="P772" i="3"/>
  <c r="Q772" i="3"/>
  <c r="R772" i="3"/>
  <c r="S772" i="3"/>
  <c r="T772" i="3"/>
  <c r="U772" i="3"/>
  <c r="V772" i="3"/>
  <c r="W772" i="3"/>
  <c r="X772" i="3"/>
  <c r="O773" i="3"/>
  <c r="P773" i="3"/>
  <c r="Q773" i="3"/>
  <c r="R773" i="3"/>
  <c r="S773" i="3"/>
  <c r="T773" i="3"/>
  <c r="U773" i="3"/>
  <c r="V773" i="3"/>
  <c r="W773" i="3"/>
  <c r="X773" i="3"/>
  <c r="O774" i="3"/>
  <c r="P774" i="3"/>
  <c r="Q774" i="3"/>
  <c r="R774" i="3"/>
  <c r="S774" i="3"/>
  <c r="T774" i="3"/>
  <c r="U774" i="3"/>
  <c r="V774" i="3"/>
  <c r="W774" i="3"/>
  <c r="X774" i="3"/>
  <c r="O775" i="3"/>
  <c r="P775" i="3"/>
  <c r="Q775" i="3"/>
  <c r="R775" i="3"/>
  <c r="S775" i="3"/>
  <c r="T775" i="3"/>
  <c r="U775" i="3"/>
  <c r="V775" i="3"/>
  <c r="W775" i="3"/>
  <c r="X775" i="3"/>
  <c r="O776" i="3"/>
  <c r="P776" i="3"/>
  <c r="Q776" i="3"/>
  <c r="R776" i="3"/>
  <c r="S776" i="3"/>
  <c r="T776" i="3"/>
  <c r="U776" i="3"/>
  <c r="V776" i="3"/>
  <c r="W776" i="3"/>
  <c r="X77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B727" i="5"/>
  <c r="AB728" i="5"/>
  <c r="AD728" i="5"/>
  <c r="AB729" i="5"/>
  <c r="AB730" i="5"/>
  <c r="AD730" i="5"/>
  <c r="AB731" i="5"/>
  <c r="AB732" i="5"/>
  <c r="AD732" i="5"/>
  <c r="AB733" i="5"/>
  <c r="AB734" i="5"/>
  <c r="AB735" i="5"/>
  <c r="AB736" i="5"/>
  <c r="AB737" i="5"/>
  <c r="AB738" i="5"/>
  <c r="AB739" i="5"/>
  <c r="AB740" i="5"/>
  <c r="AB741" i="5"/>
  <c r="AB742" i="5"/>
  <c r="AB743" i="5"/>
  <c r="AB744" i="5"/>
  <c r="AC744" i="5"/>
  <c r="AB745" i="5"/>
  <c r="AB746" i="5"/>
  <c r="AB747" i="5"/>
  <c r="AB748" i="5"/>
  <c r="AB749" i="5"/>
  <c r="AC749" i="5"/>
  <c r="AB750" i="5"/>
  <c r="AB751" i="5"/>
  <c r="AB752" i="5"/>
  <c r="AC752" i="5"/>
  <c r="AB753" i="5"/>
  <c r="AB754" i="5"/>
  <c r="AB755" i="5"/>
  <c r="AC755" i="5"/>
  <c r="AB756" i="5"/>
  <c r="AB757" i="5"/>
  <c r="AB758" i="5"/>
  <c r="AB759" i="5"/>
  <c r="AD759" i="5"/>
  <c r="AB760" i="5"/>
  <c r="AD760" i="5"/>
  <c r="AB761" i="5"/>
  <c r="AB762" i="5"/>
  <c r="AC762" i="5"/>
  <c r="AB763" i="5"/>
  <c r="AD763" i="5"/>
  <c r="AB764" i="5"/>
  <c r="AD764" i="5"/>
  <c r="AB765" i="5"/>
  <c r="AB766" i="5"/>
  <c r="AD766" i="5"/>
  <c r="AB767" i="5"/>
  <c r="AB768" i="5"/>
  <c r="AC768" i="5"/>
  <c r="AB769" i="5"/>
  <c r="AB770" i="5"/>
  <c r="AB771" i="5"/>
  <c r="AB772" i="5"/>
  <c r="AB773" i="5"/>
  <c r="AC773" i="5"/>
  <c r="AB774" i="5"/>
  <c r="AB775" i="5"/>
  <c r="AB776" i="5"/>
  <c r="AD776" i="5"/>
  <c r="O727" i="5"/>
  <c r="P727" i="5"/>
  <c r="Q727" i="5"/>
  <c r="R727" i="5"/>
  <c r="S727" i="5"/>
  <c r="T727" i="5"/>
  <c r="U727" i="5"/>
  <c r="V727" i="5"/>
  <c r="AC727" i="5" s="1"/>
  <c r="W727" i="5"/>
  <c r="X727" i="5"/>
  <c r="O728" i="5"/>
  <c r="P728" i="5"/>
  <c r="Q728" i="5"/>
  <c r="R728" i="5"/>
  <c r="S728" i="5"/>
  <c r="T728" i="5"/>
  <c r="U728" i="5"/>
  <c r="V728" i="5"/>
  <c r="W728" i="5"/>
  <c r="X728" i="5"/>
  <c r="AC728" i="5" s="1"/>
  <c r="O729" i="5"/>
  <c r="P729" i="5"/>
  <c r="Q729" i="5"/>
  <c r="R729" i="5"/>
  <c r="S729" i="5"/>
  <c r="T729" i="5"/>
  <c r="U729" i="5"/>
  <c r="AC729" i="5" s="1"/>
  <c r="V729" i="5"/>
  <c r="W729" i="5"/>
  <c r="X729" i="5"/>
  <c r="O730" i="5"/>
  <c r="P730" i="5"/>
  <c r="Q730" i="5"/>
  <c r="R730" i="5"/>
  <c r="S730" i="5"/>
  <c r="T730" i="5"/>
  <c r="U730" i="5"/>
  <c r="AC730" i="5" s="1"/>
  <c r="V730" i="5"/>
  <c r="W730" i="5"/>
  <c r="X730" i="5"/>
  <c r="O731" i="5"/>
  <c r="P731" i="5"/>
  <c r="Q731" i="5"/>
  <c r="R731" i="5"/>
  <c r="S731" i="5"/>
  <c r="T731" i="5"/>
  <c r="U731" i="5"/>
  <c r="AC731" i="5" s="1"/>
  <c r="V731" i="5"/>
  <c r="W731" i="5"/>
  <c r="X731" i="5"/>
  <c r="O732" i="5"/>
  <c r="P732" i="5"/>
  <c r="Q732" i="5"/>
  <c r="R732" i="5"/>
  <c r="S732" i="5"/>
  <c r="T732" i="5"/>
  <c r="U732" i="5"/>
  <c r="AC732" i="5" s="1"/>
  <c r="V732" i="5"/>
  <c r="W732" i="5"/>
  <c r="X732" i="5"/>
  <c r="O733" i="5"/>
  <c r="P733" i="5"/>
  <c r="Q733" i="5"/>
  <c r="R733" i="5"/>
  <c r="S733" i="5"/>
  <c r="T733" i="5"/>
  <c r="U733" i="5"/>
  <c r="AD733" i="5" s="1"/>
  <c r="V733" i="5"/>
  <c r="W733" i="5"/>
  <c r="X733" i="5"/>
  <c r="O734" i="5"/>
  <c r="P734" i="5"/>
  <c r="Q734" i="5"/>
  <c r="R734" i="5"/>
  <c r="S734" i="5"/>
  <c r="T734" i="5"/>
  <c r="U734" i="5"/>
  <c r="AD734" i="5" s="1"/>
  <c r="V734" i="5"/>
  <c r="W734" i="5"/>
  <c r="X734" i="5"/>
  <c r="O735" i="5"/>
  <c r="P735" i="5"/>
  <c r="Q735" i="5"/>
  <c r="R735" i="5"/>
  <c r="S735" i="5"/>
  <c r="T735" i="5"/>
  <c r="U735" i="5"/>
  <c r="AC735" i="5" s="1"/>
  <c r="V735" i="5"/>
  <c r="W735" i="5"/>
  <c r="X735" i="5"/>
  <c r="O736" i="5"/>
  <c r="P736" i="5"/>
  <c r="Q736" i="5"/>
  <c r="R736" i="5"/>
  <c r="S736" i="5"/>
  <c r="T736" i="5"/>
  <c r="U736" i="5"/>
  <c r="AC736" i="5" s="1"/>
  <c r="V736" i="5"/>
  <c r="W736" i="5"/>
  <c r="X736" i="5"/>
  <c r="O737" i="5"/>
  <c r="P737" i="5"/>
  <c r="Q737" i="5"/>
  <c r="R737" i="5"/>
  <c r="S737" i="5"/>
  <c r="T737" i="5"/>
  <c r="U737" i="5"/>
  <c r="AC737" i="5" s="1"/>
  <c r="V737" i="5"/>
  <c r="W737" i="5"/>
  <c r="X737" i="5"/>
  <c r="O738" i="5"/>
  <c r="P738" i="5"/>
  <c r="Q738" i="5"/>
  <c r="R738" i="5"/>
  <c r="S738" i="5"/>
  <c r="T738" i="5"/>
  <c r="U738" i="5"/>
  <c r="AD738" i="5" s="1"/>
  <c r="V738" i="5"/>
  <c r="W738" i="5"/>
  <c r="X738" i="5"/>
  <c r="O739" i="5"/>
  <c r="P739" i="5"/>
  <c r="Q739" i="5"/>
  <c r="R739" i="5"/>
  <c r="S739" i="5"/>
  <c r="T739" i="5"/>
  <c r="U739" i="5"/>
  <c r="AC739" i="5" s="1"/>
  <c r="V739" i="5"/>
  <c r="W739" i="5"/>
  <c r="X739" i="5"/>
  <c r="O740" i="5"/>
  <c r="P740" i="5"/>
  <c r="Q740" i="5"/>
  <c r="R740" i="5"/>
  <c r="S740" i="5"/>
  <c r="T740" i="5"/>
  <c r="U740" i="5"/>
  <c r="AC740" i="5" s="1"/>
  <c r="V740" i="5"/>
  <c r="W740" i="5"/>
  <c r="X740" i="5"/>
  <c r="O741" i="5"/>
  <c r="P741" i="5"/>
  <c r="Q741" i="5"/>
  <c r="R741" i="5"/>
  <c r="S741" i="5"/>
  <c r="T741" i="5"/>
  <c r="U741" i="5"/>
  <c r="V741" i="5"/>
  <c r="AC741" i="5" s="1"/>
  <c r="W741" i="5"/>
  <c r="X741" i="5"/>
  <c r="O742" i="5"/>
  <c r="P742" i="5"/>
  <c r="Q742" i="5"/>
  <c r="R742" i="5"/>
  <c r="S742" i="5"/>
  <c r="T742" i="5"/>
  <c r="U742" i="5"/>
  <c r="AC742" i="5" s="1"/>
  <c r="V742" i="5"/>
  <c r="AD742" i="5" s="1"/>
  <c r="W742" i="5"/>
  <c r="X742" i="5"/>
  <c r="O743" i="5"/>
  <c r="P743" i="5"/>
  <c r="Q743" i="5"/>
  <c r="R743" i="5"/>
  <c r="S743" i="5"/>
  <c r="T743" i="5"/>
  <c r="U743" i="5"/>
  <c r="AD743" i="5" s="1"/>
  <c r="V743" i="5"/>
  <c r="W743" i="5"/>
  <c r="AC743" i="5" s="1"/>
  <c r="X743" i="5"/>
  <c r="O744" i="5"/>
  <c r="P744" i="5"/>
  <c r="Q744" i="5"/>
  <c r="R744" i="5"/>
  <c r="S744" i="5"/>
  <c r="T744" i="5"/>
  <c r="U744" i="5"/>
  <c r="AD744" i="5" s="1"/>
  <c r="V744" i="5"/>
  <c r="W744" i="5"/>
  <c r="X744" i="5"/>
  <c r="O745" i="5"/>
  <c r="P745" i="5"/>
  <c r="Q745" i="5"/>
  <c r="R745" i="5"/>
  <c r="S745" i="5"/>
  <c r="T745" i="5"/>
  <c r="U745" i="5"/>
  <c r="AD745" i="5" s="1"/>
  <c r="V745" i="5"/>
  <c r="W745" i="5"/>
  <c r="X745" i="5"/>
  <c r="O746" i="5"/>
  <c r="P746" i="5"/>
  <c r="Q746" i="5"/>
  <c r="R746" i="5"/>
  <c r="S746" i="5"/>
  <c r="T746" i="5"/>
  <c r="U746" i="5"/>
  <c r="V746" i="5"/>
  <c r="W746" i="5"/>
  <c r="X746" i="5"/>
  <c r="AC746" i="5" s="1"/>
  <c r="O747" i="5"/>
  <c r="P747" i="5"/>
  <c r="Q747" i="5"/>
  <c r="R747" i="5"/>
  <c r="S747" i="5"/>
  <c r="T747" i="5"/>
  <c r="U747" i="5"/>
  <c r="V747" i="5"/>
  <c r="W747" i="5"/>
  <c r="AD747" i="5" s="1"/>
  <c r="X747" i="5"/>
  <c r="O748" i="5"/>
  <c r="P748" i="5"/>
  <c r="Q748" i="5"/>
  <c r="R748" i="5"/>
  <c r="S748" i="5"/>
  <c r="T748" i="5"/>
  <c r="U748" i="5"/>
  <c r="AC748" i="5" s="1"/>
  <c r="V748" i="5"/>
  <c r="W748" i="5"/>
  <c r="X748" i="5"/>
  <c r="O749" i="5"/>
  <c r="P749" i="5"/>
  <c r="Q749" i="5"/>
  <c r="R749" i="5"/>
  <c r="S749" i="5"/>
  <c r="T749" i="5"/>
  <c r="U749" i="5"/>
  <c r="AD749" i="5" s="1"/>
  <c r="V749" i="5"/>
  <c r="W749" i="5"/>
  <c r="X749" i="5"/>
  <c r="O750" i="5"/>
  <c r="P750" i="5"/>
  <c r="Q750" i="5"/>
  <c r="R750" i="5"/>
  <c r="S750" i="5"/>
  <c r="T750" i="5"/>
  <c r="U750" i="5"/>
  <c r="V750" i="5"/>
  <c r="AD750" i="5" s="1"/>
  <c r="W750" i="5"/>
  <c r="X750" i="5"/>
  <c r="O751" i="5"/>
  <c r="P751" i="5"/>
  <c r="Q751" i="5"/>
  <c r="R751" i="5"/>
  <c r="S751" i="5"/>
  <c r="T751" i="5"/>
  <c r="U751" i="5"/>
  <c r="V751" i="5"/>
  <c r="W751" i="5"/>
  <c r="AC751" i="5" s="1"/>
  <c r="X751" i="5"/>
  <c r="O752" i="5"/>
  <c r="P752" i="5"/>
  <c r="Q752" i="5"/>
  <c r="R752" i="5"/>
  <c r="S752" i="5"/>
  <c r="T752" i="5"/>
  <c r="U752" i="5"/>
  <c r="AD752" i="5" s="1"/>
  <c r="V752" i="5"/>
  <c r="W752" i="5"/>
  <c r="X752" i="5"/>
  <c r="O753" i="5"/>
  <c r="P753" i="5"/>
  <c r="Q753" i="5"/>
  <c r="R753" i="5"/>
  <c r="S753" i="5"/>
  <c r="T753" i="5"/>
  <c r="U753" i="5"/>
  <c r="AC753" i="5" s="1"/>
  <c r="V753" i="5"/>
  <c r="AD753" i="5" s="1"/>
  <c r="W753" i="5"/>
  <c r="X753" i="5"/>
  <c r="O754" i="5"/>
  <c r="P754" i="5"/>
  <c r="Q754" i="5"/>
  <c r="R754" i="5"/>
  <c r="S754" i="5"/>
  <c r="T754" i="5"/>
  <c r="U754" i="5"/>
  <c r="V754" i="5"/>
  <c r="AC754" i="5" s="1"/>
  <c r="W754" i="5"/>
  <c r="X754" i="5"/>
  <c r="O755" i="5"/>
  <c r="P755" i="5"/>
  <c r="Q755" i="5"/>
  <c r="R755" i="5"/>
  <c r="S755" i="5"/>
  <c r="T755" i="5"/>
  <c r="U755" i="5"/>
  <c r="AD755" i="5" s="1"/>
  <c r="V755" i="5"/>
  <c r="W755" i="5"/>
  <c r="X755" i="5"/>
  <c r="O756" i="5"/>
  <c r="P756" i="5"/>
  <c r="Q756" i="5"/>
  <c r="R756" i="5"/>
  <c r="S756" i="5"/>
  <c r="T756" i="5"/>
  <c r="U756" i="5"/>
  <c r="AC756" i="5" s="1"/>
  <c r="V756" i="5"/>
  <c r="AD756" i="5" s="1"/>
  <c r="W756" i="5"/>
  <c r="X756" i="5"/>
  <c r="O757" i="5"/>
  <c r="P757" i="5"/>
  <c r="Q757" i="5"/>
  <c r="R757" i="5"/>
  <c r="S757" i="5"/>
  <c r="T757" i="5"/>
  <c r="U757" i="5"/>
  <c r="AC757" i="5" s="1"/>
  <c r="V757" i="5"/>
  <c r="W757" i="5"/>
  <c r="X757" i="5"/>
  <c r="O758" i="5"/>
  <c r="P758" i="5"/>
  <c r="Q758" i="5"/>
  <c r="R758" i="5"/>
  <c r="S758" i="5"/>
  <c r="T758" i="5"/>
  <c r="U758" i="5"/>
  <c r="V758" i="5"/>
  <c r="W758" i="5"/>
  <c r="AD758" i="5" s="1"/>
  <c r="X758" i="5"/>
  <c r="O759" i="5"/>
  <c r="P759" i="5"/>
  <c r="Q759" i="5"/>
  <c r="R759" i="5"/>
  <c r="S759" i="5"/>
  <c r="T759" i="5"/>
  <c r="U759" i="5"/>
  <c r="V759" i="5"/>
  <c r="W759" i="5"/>
  <c r="X759" i="5"/>
  <c r="AC759" i="5" s="1"/>
  <c r="O760" i="5"/>
  <c r="P760" i="5"/>
  <c r="Q760" i="5"/>
  <c r="R760" i="5"/>
  <c r="S760" i="5"/>
  <c r="T760" i="5"/>
  <c r="U760" i="5"/>
  <c r="AC760" i="5" s="1"/>
  <c r="V760" i="5"/>
  <c r="W760" i="5"/>
  <c r="X760" i="5"/>
  <c r="O761" i="5"/>
  <c r="P761" i="5"/>
  <c r="Q761" i="5"/>
  <c r="R761" i="5"/>
  <c r="S761" i="5"/>
  <c r="T761" i="5"/>
  <c r="U761" i="5"/>
  <c r="AC761" i="5" s="1"/>
  <c r="V761" i="5"/>
  <c r="W761" i="5"/>
  <c r="X761" i="5"/>
  <c r="O762" i="5"/>
  <c r="P762" i="5"/>
  <c r="Q762" i="5"/>
  <c r="R762" i="5"/>
  <c r="S762" i="5"/>
  <c r="T762" i="5"/>
  <c r="U762" i="5"/>
  <c r="AD762" i="5" s="1"/>
  <c r="V762" i="5"/>
  <c r="W762" i="5"/>
  <c r="X762" i="5"/>
  <c r="O763" i="5"/>
  <c r="P763" i="5"/>
  <c r="Q763" i="5"/>
  <c r="R763" i="5"/>
  <c r="S763" i="5"/>
  <c r="T763" i="5"/>
  <c r="U763" i="5"/>
  <c r="AC763" i="5" s="1"/>
  <c r="V763" i="5"/>
  <c r="W763" i="5"/>
  <c r="X763" i="5"/>
  <c r="O764" i="5"/>
  <c r="P764" i="5"/>
  <c r="Q764" i="5"/>
  <c r="R764" i="5"/>
  <c r="S764" i="5"/>
  <c r="T764" i="5"/>
  <c r="U764" i="5"/>
  <c r="AC764" i="5" s="1"/>
  <c r="V764" i="5"/>
  <c r="W764" i="5"/>
  <c r="X764" i="5"/>
  <c r="O765" i="5"/>
  <c r="P765" i="5"/>
  <c r="Q765" i="5"/>
  <c r="R765" i="5"/>
  <c r="S765" i="5"/>
  <c r="T765" i="5"/>
  <c r="U765" i="5"/>
  <c r="AD765" i="5" s="1"/>
  <c r="V765" i="5"/>
  <c r="W765" i="5"/>
  <c r="X765" i="5"/>
  <c r="O766" i="5"/>
  <c r="P766" i="5"/>
  <c r="Q766" i="5"/>
  <c r="R766" i="5"/>
  <c r="S766" i="5"/>
  <c r="T766" i="5"/>
  <c r="U766" i="5"/>
  <c r="V766" i="5"/>
  <c r="AC766" i="5" s="1"/>
  <c r="W766" i="5"/>
  <c r="X766" i="5"/>
  <c r="O767" i="5"/>
  <c r="P767" i="5"/>
  <c r="Q767" i="5"/>
  <c r="R767" i="5"/>
  <c r="S767" i="5"/>
  <c r="T767" i="5"/>
  <c r="U767" i="5"/>
  <c r="V767" i="5"/>
  <c r="W767" i="5"/>
  <c r="AD767" i="5" s="1"/>
  <c r="X767" i="5"/>
  <c r="O768" i="5"/>
  <c r="P768" i="5"/>
  <c r="Q768" i="5"/>
  <c r="R768" i="5"/>
  <c r="S768" i="5"/>
  <c r="T768" i="5"/>
  <c r="U768" i="5"/>
  <c r="V768" i="5"/>
  <c r="W768" i="5"/>
  <c r="AD768" i="5" s="1"/>
  <c r="X768" i="5"/>
  <c r="O769" i="5"/>
  <c r="P769" i="5"/>
  <c r="Q769" i="5"/>
  <c r="R769" i="5"/>
  <c r="S769" i="5"/>
  <c r="T769" i="5"/>
  <c r="U769" i="5"/>
  <c r="AC769" i="5" s="1"/>
  <c r="V769" i="5"/>
  <c r="W769" i="5"/>
  <c r="X769" i="5"/>
  <c r="O770" i="5"/>
  <c r="P770" i="5"/>
  <c r="Q770" i="5"/>
  <c r="R770" i="5"/>
  <c r="S770" i="5"/>
  <c r="T770" i="5"/>
  <c r="U770" i="5"/>
  <c r="AC770" i="5" s="1"/>
  <c r="V770" i="5"/>
  <c r="W770" i="5"/>
  <c r="X770" i="5"/>
  <c r="O771" i="5"/>
  <c r="P771" i="5"/>
  <c r="Q771" i="5"/>
  <c r="R771" i="5"/>
  <c r="S771" i="5"/>
  <c r="T771" i="5"/>
  <c r="U771" i="5"/>
  <c r="V771" i="5"/>
  <c r="AD771" i="5" s="1"/>
  <c r="W771" i="5"/>
  <c r="X771" i="5"/>
  <c r="O772" i="5"/>
  <c r="P772" i="5"/>
  <c r="Q772" i="5"/>
  <c r="R772" i="5"/>
  <c r="S772" i="5"/>
  <c r="T772" i="5"/>
  <c r="U772" i="5"/>
  <c r="AC772" i="5" s="1"/>
  <c r="V772" i="5"/>
  <c r="W772" i="5"/>
  <c r="X772" i="5"/>
  <c r="O773" i="5"/>
  <c r="P773" i="5"/>
  <c r="Q773" i="5"/>
  <c r="R773" i="5"/>
  <c r="S773" i="5"/>
  <c r="T773" i="5"/>
  <c r="U773" i="5"/>
  <c r="AD773" i="5" s="1"/>
  <c r="V773" i="5"/>
  <c r="W773" i="5"/>
  <c r="X773" i="5"/>
  <c r="O774" i="5"/>
  <c r="P774" i="5"/>
  <c r="Q774" i="5"/>
  <c r="R774" i="5"/>
  <c r="S774" i="5"/>
  <c r="T774" i="5"/>
  <c r="U774" i="5"/>
  <c r="AD774" i="5" s="1"/>
  <c r="V774" i="5"/>
  <c r="W774" i="5"/>
  <c r="X774" i="5"/>
  <c r="O775" i="5"/>
  <c r="P775" i="5"/>
  <c r="Q775" i="5"/>
  <c r="R775" i="5"/>
  <c r="S775" i="5"/>
  <c r="T775" i="5"/>
  <c r="U775" i="5"/>
  <c r="AC775" i="5" s="1"/>
  <c r="V775" i="5"/>
  <c r="W775" i="5"/>
  <c r="X775" i="5"/>
  <c r="O776" i="5"/>
  <c r="P776" i="5"/>
  <c r="Q776" i="5"/>
  <c r="R776" i="5"/>
  <c r="S776" i="5"/>
  <c r="T776" i="5"/>
  <c r="U776" i="5"/>
  <c r="AC776" i="5" s="1"/>
  <c r="V776" i="5"/>
  <c r="W776" i="5"/>
  <c r="X776" i="5"/>
  <c r="AD775" i="5" l="1"/>
  <c r="AC774" i="5"/>
  <c r="AD772" i="5"/>
  <c r="AD770" i="5"/>
  <c r="AD769" i="5"/>
  <c r="AC771" i="5"/>
  <c r="AC767" i="5"/>
  <c r="AC765" i="5"/>
  <c r="AC758" i="5"/>
  <c r="AD761" i="5"/>
  <c r="AD757" i="5"/>
  <c r="AD754" i="5"/>
  <c r="AD751" i="5"/>
  <c r="AC750" i="5"/>
  <c r="AD748" i="5"/>
  <c r="AC745" i="5"/>
  <c r="AD746" i="5"/>
  <c r="AC747" i="5"/>
  <c r="AD741" i="5"/>
  <c r="AD740" i="5"/>
  <c r="AD739" i="5"/>
  <c r="AC738" i="5"/>
  <c r="AD737" i="5"/>
  <c r="AD736" i="5"/>
  <c r="AD735" i="5"/>
  <c r="AC734" i="5"/>
  <c r="AC733" i="5"/>
  <c r="AD731" i="5"/>
  <c r="AD729" i="5"/>
  <c r="AD727" i="5"/>
  <c r="AC605" i="5"/>
  <c r="AD605" i="5"/>
  <c r="AC606" i="5"/>
  <c r="AD606" i="5"/>
  <c r="AC607" i="5"/>
  <c r="AD607" i="5"/>
  <c r="AC608" i="5"/>
  <c r="AD608" i="5"/>
  <c r="AC609" i="5"/>
  <c r="AD609" i="5"/>
  <c r="AC610" i="5"/>
  <c r="AD610" i="5"/>
  <c r="AC611" i="5"/>
  <c r="AD611" i="5"/>
  <c r="AC612" i="5"/>
  <c r="AD612" i="5"/>
  <c r="AC613" i="5"/>
  <c r="AD613" i="5"/>
  <c r="AC614" i="5"/>
  <c r="AD614" i="5"/>
  <c r="AC615" i="5"/>
  <c r="AD615" i="5"/>
  <c r="AC616" i="5"/>
  <c r="AD616" i="5"/>
  <c r="AC617" i="5"/>
  <c r="AD617" i="5"/>
  <c r="AC618" i="5"/>
  <c r="AD618" i="5"/>
  <c r="AC619" i="5"/>
  <c r="AD619" i="5"/>
  <c r="AC620" i="5"/>
  <c r="AD620" i="5"/>
  <c r="AC621" i="5"/>
  <c r="AD621" i="5"/>
  <c r="AC622" i="5"/>
  <c r="AD622" i="5"/>
  <c r="AC623" i="5"/>
  <c r="AD623" i="5"/>
  <c r="AC624" i="5"/>
  <c r="AD624" i="5"/>
  <c r="AC625" i="5"/>
  <c r="AD625" i="5"/>
  <c r="AC626" i="5"/>
  <c r="AD626" i="5"/>
  <c r="AC627" i="5"/>
  <c r="AD627" i="5"/>
  <c r="AC628" i="5"/>
  <c r="AD628" i="5"/>
  <c r="AC629" i="5"/>
  <c r="AD629" i="5"/>
  <c r="AC630" i="5"/>
  <c r="AD630" i="5"/>
  <c r="AC631" i="5"/>
  <c r="AD631" i="5"/>
  <c r="AC632" i="5"/>
  <c r="AD632" i="5"/>
  <c r="AC633" i="5"/>
  <c r="AD633" i="5"/>
  <c r="AC634" i="5"/>
  <c r="AD634" i="5"/>
  <c r="AC635" i="5"/>
  <c r="AD635" i="5"/>
  <c r="AC636" i="5"/>
  <c r="AD636" i="5"/>
  <c r="AC637" i="5"/>
  <c r="AD637" i="5"/>
  <c r="AC638" i="5"/>
  <c r="AD638" i="5"/>
  <c r="AC639" i="5"/>
  <c r="AD639" i="5"/>
  <c r="AC640" i="5"/>
  <c r="AD640" i="5"/>
  <c r="AC641" i="5"/>
  <c r="AD641" i="5"/>
  <c r="AC642" i="5"/>
  <c r="AD642" i="5"/>
  <c r="AC643" i="5"/>
  <c r="AD643" i="5"/>
  <c r="AC644" i="5"/>
  <c r="AD644" i="5"/>
  <c r="AC645" i="5"/>
  <c r="AD645" i="5"/>
  <c r="AC646" i="5"/>
  <c r="AD646" i="5"/>
  <c r="AC647" i="5"/>
  <c r="AD647" i="5"/>
  <c r="AC648" i="5"/>
  <c r="AD648" i="5"/>
  <c r="AC649" i="5"/>
  <c r="AD649" i="5"/>
  <c r="AC650" i="5"/>
  <c r="AD650" i="5"/>
  <c r="AC651" i="5"/>
  <c r="AD651" i="5"/>
  <c r="AC652" i="5"/>
  <c r="AD652" i="5"/>
  <c r="AC653" i="5"/>
  <c r="AD653" i="5"/>
  <c r="AC654" i="5"/>
  <c r="AD654" i="5"/>
  <c r="AC655" i="5"/>
  <c r="AD655" i="5"/>
  <c r="AC656" i="5"/>
  <c r="AD656" i="5"/>
  <c r="AC657" i="5"/>
  <c r="AD657" i="5"/>
  <c r="AC658" i="5"/>
  <c r="AD658" i="5"/>
  <c r="AC659" i="5"/>
  <c r="AD659" i="5"/>
  <c r="AC660" i="5"/>
  <c r="AD660" i="5"/>
  <c r="AC661" i="5"/>
  <c r="AD661" i="5"/>
  <c r="AC662" i="5"/>
  <c r="AD662" i="5"/>
  <c r="AC663" i="5"/>
  <c r="AD663" i="5"/>
  <c r="AC664" i="5"/>
  <c r="AD664" i="5"/>
  <c r="AC665" i="5"/>
  <c r="AD665" i="5"/>
  <c r="AC666" i="5"/>
  <c r="AD666" i="5"/>
  <c r="AC667" i="5"/>
  <c r="AD667" i="5"/>
  <c r="AC668" i="5"/>
  <c r="AD668" i="5"/>
  <c r="AC669" i="5"/>
  <c r="AD669" i="5"/>
  <c r="AC670" i="5"/>
  <c r="AD670" i="5"/>
  <c r="AC671" i="5"/>
  <c r="AD671" i="5"/>
  <c r="AC672" i="5"/>
  <c r="AD672" i="5"/>
  <c r="AC673" i="5"/>
  <c r="AD673" i="5"/>
  <c r="AC674" i="5"/>
  <c r="AD674" i="5"/>
  <c r="AC675" i="5"/>
  <c r="AD675" i="5"/>
  <c r="AC676" i="5"/>
  <c r="AD676" i="5"/>
  <c r="AC677" i="5"/>
  <c r="AD677" i="5"/>
  <c r="AC678" i="5"/>
  <c r="AD678" i="5"/>
  <c r="AC679" i="5"/>
  <c r="AD679" i="5"/>
  <c r="AC680" i="5"/>
  <c r="AD680" i="5"/>
  <c r="AC681" i="5"/>
  <c r="AD681" i="5"/>
  <c r="AC682" i="5"/>
  <c r="AD682" i="5"/>
  <c r="AC683" i="5"/>
  <c r="AD683" i="5"/>
  <c r="AC684" i="5"/>
  <c r="AD684" i="5"/>
  <c r="AC685" i="5"/>
  <c r="AD685" i="5"/>
  <c r="AC686" i="5"/>
  <c r="AD686" i="5"/>
  <c r="AC687" i="5"/>
  <c r="AD687" i="5"/>
  <c r="AC688" i="5"/>
  <c r="AD688" i="5"/>
  <c r="AC689" i="5"/>
  <c r="AD689" i="5"/>
  <c r="AC690" i="5"/>
  <c r="AD690" i="5"/>
  <c r="AC691" i="5"/>
  <c r="AD691" i="5"/>
  <c r="AC692" i="5"/>
  <c r="AD692" i="5"/>
  <c r="AC693" i="5"/>
  <c r="AD693" i="5"/>
  <c r="AC694" i="5"/>
  <c r="AD694" i="5"/>
  <c r="AC695" i="5"/>
  <c r="AD695" i="5"/>
  <c r="AC696" i="5"/>
  <c r="AD696" i="5"/>
  <c r="AC697" i="5"/>
  <c r="AD697" i="5"/>
  <c r="AC698" i="5"/>
  <c r="AD698" i="5"/>
  <c r="AC699" i="5"/>
  <c r="AD699" i="5"/>
  <c r="AC700" i="5"/>
  <c r="AD700" i="5"/>
  <c r="AC701" i="5"/>
  <c r="AD701" i="5"/>
  <c r="AC702" i="5"/>
  <c r="AD702" i="5"/>
  <c r="AC703" i="5"/>
  <c r="AD703" i="5"/>
  <c r="AC704" i="5"/>
  <c r="AD704" i="5"/>
  <c r="AC705" i="5"/>
  <c r="AD705" i="5"/>
  <c r="AC706" i="5"/>
  <c r="AD706" i="5"/>
  <c r="AC707" i="5"/>
  <c r="AD707" i="5"/>
  <c r="AC708" i="5"/>
  <c r="AD708" i="5"/>
  <c r="AC709" i="5"/>
  <c r="AD709" i="5"/>
  <c r="AC710" i="5"/>
  <c r="AD710" i="5"/>
  <c r="AC711" i="5"/>
  <c r="AD711" i="5"/>
  <c r="AC712" i="5"/>
  <c r="AD712" i="5"/>
  <c r="AC713" i="5"/>
  <c r="AD713" i="5"/>
  <c r="AC714" i="5"/>
  <c r="AD714" i="5"/>
  <c r="AC715" i="5"/>
  <c r="AD715" i="5"/>
  <c r="AC716" i="5"/>
  <c r="AD716" i="5"/>
  <c r="AC717" i="5"/>
  <c r="AD717" i="5"/>
  <c r="AC718" i="5"/>
  <c r="AD718" i="5"/>
  <c r="AC719" i="5"/>
  <c r="AD719" i="5"/>
  <c r="AC720" i="5"/>
  <c r="AD720" i="5"/>
  <c r="AC721" i="5"/>
  <c r="AD721" i="5"/>
  <c r="AC722" i="5"/>
  <c r="AD722" i="5"/>
  <c r="AC723" i="5"/>
  <c r="AD723" i="5"/>
  <c r="AC724" i="5"/>
  <c r="AD724" i="5"/>
  <c r="AC725" i="5"/>
  <c r="AD725" i="5"/>
  <c r="AC726" i="5"/>
  <c r="AD726" i="5"/>
  <c r="O605" i="5"/>
  <c r="P605" i="5"/>
  <c r="Q605" i="5"/>
  <c r="R605" i="5"/>
  <c r="S605" i="5"/>
  <c r="T605" i="5"/>
  <c r="U605" i="5"/>
  <c r="V605" i="5"/>
  <c r="W605" i="5"/>
  <c r="X605" i="5"/>
  <c r="O606" i="5"/>
  <c r="P606" i="5"/>
  <c r="Q606" i="5"/>
  <c r="R606" i="5"/>
  <c r="S606" i="5"/>
  <c r="T606" i="5"/>
  <c r="U606" i="5"/>
  <c r="V606" i="5"/>
  <c r="W606" i="5"/>
  <c r="X606" i="5"/>
  <c r="O607" i="5"/>
  <c r="P607" i="5"/>
  <c r="Q607" i="5"/>
  <c r="R607" i="5"/>
  <c r="S607" i="5"/>
  <c r="T607" i="5"/>
  <c r="U607" i="5"/>
  <c r="V607" i="5"/>
  <c r="W607" i="5"/>
  <c r="X607" i="5"/>
  <c r="O608" i="5"/>
  <c r="P608" i="5"/>
  <c r="Q608" i="5"/>
  <c r="R608" i="5"/>
  <c r="S608" i="5"/>
  <c r="T608" i="5"/>
  <c r="U608" i="5"/>
  <c r="V608" i="5"/>
  <c r="W608" i="5"/>
  <c r="X608" i="5"/>
  <c r="O609" i="5"/>
  <c r="P609" i="5"/>
  <c r="Q609" i="5"/>
  <c r="R609" i="5"/>
  <c r="S609" i="5"/>
  <c r="T609" i="5"/>
  <c r="U609" i="5"/>
  <c r="V609" i="5"/>
  <c r="W609" i="5"/>
  <c r="X609" i="5"/>
  <c r="O610" i="5"/>
  <c r="P610" i="5"/>
  <c r="Q610" i="5"/>
  <c r="R610" i="5"/>
  <c r="S610" i="5"/>
  <c r="T610" i="5"/>
  <c r="U610" i="5"/>
  <c r="V610" i="5"/>
  <c r="W610" i="5"/>
  <c r="X610" i="5"/>
  <c r="O611" i="5"/>
  <c r="P611" i="5"/>
  <c r="Q611" i="5"/>
  <c r="R611" i="5"/>
  <c r="S611" i="5"/>
  <c r="T611" i="5"/>
  <c r="U611" i="5"/>
  <c r="V611" i="5"/>
  <c r="W611" i="5"/>
  <c r="X611" i="5"/>
  <c r="O612" i="5"/>
  <c r="P612" i="5"/>
  <c r="Q612" i="5"/>
  <c r="R612" i="5"/>
  <c r="S612" i="5"/>
  <c r="T612" i="5"/>
  <c r="U612" i="5"/>
  <c r="V612" i="5"/>
  <c r="W612" i="5"/>
  <c r="X612" i="5"/>
  <c r="O613" i="5"/>
  <c r="P613" i="5"/>
  <c r="Q613" i="5"/>
  <c r="R613" i="5"/>
  <c r="S613" i="5"/>
  <c r="T613" i="5"/>
  <c r="U613" i="5"/>
  <c r="V613" i="5"/>
  <c r="W613" i="5"/>
  <c r="X613" i="5"/>
  <c r="O614" i="5"/>
  <c r="P614" i="5"/>
  <c r="Q614" i="5"/>
  <c r="R614" i="5"/>
  <c r="S614" i="5"/>
  <c r="T614" i="5"/>
  <c r="U614" i="5"/>
  <c r="V614" i="5"/>
  <c r="W614" i="5"/>
  <c r="X614" i="5"/>
  <c r="O615" i="5"/>
  <c r="P615" i="5"/>
  <c r="Q615" i="5"/>
  <c r="R615" i="5"/>
  <c r="S615" i="5"/>
  <c r="T615" i="5"/>
  <c r="U615" i="5"/>
  <c r="V615" i="5"/>
  <c r="W615" i="5"/>
  <c r="X615" i="5"/>
  <c r="O616" i="5"/>
  <c r="P616" i="5"/>
  <c r="Q616" i="5"/>
  <c r="R616" i="5"/>
  <c r="S616" i="5"/>
  <c r="T616" i="5"/>
  <c r="U616" i="5"/>
  <c r="V616" i="5"/>
  <c r="W616" i="5"/>
  <c r="X616" i="5"/>
  <c r="O617" i="5"/>
  <c r="P617" i="5"/>
  <c r="Q617" i="5"/>
  <c r="R617" i="5"/>
  <c r="S617" i="5"/>
  <c r="T617" i="5"/>
  <c r="U617" i="5"/>
  <c r="V617" i="5"/>
  <c r="W617" i="5"/>
  <c r="X617" i="5"/>
  <c r="O618" i="5"/>
  <c r="P618" i="5"/>
  <c r="Q618" i="5"/>
  <c r="R618" i="5"/>
  <c r="S618" i="5"/>
  <c r="T618" i="5"/>
  <c r="U618" i="5"/>
  <c r="V618" i="5"/>
  <c r="W618" i="5"/>
  <c r="X618" i="5"/>
  <c r="O619" i="5"/>
  <c r="P619" i="5"/>
  <c r="Q619" i="5"/>
  <c r="R619" i="5"/>
  <c r="S619" i="5"/>
  <c r="T619" i="5"/>
  <c r="U619" i="5"/>
  <c r="V619" i="5"/>
  <c r="W619" i="5"/>
  <c r="X619" i="5"/>
  <c r="O620" i="5"/>
  <c r="P620" i="5"/>
  <c r="Q620" i="5"/>
  <c r="R620" i="5"/>
  <c r="S620" i="5"/>
  <c r="T620" i="5"/>
  <c r="U620" i="5"/>
  <c r="V620" i="5"/>
  <c r="W620" i="5"/>
  <c r="X620" i="5"/>
  <c r="O621" i="5"/>
  <c r="P621" i="5"/>
  <c r="Q621" i="5"/>
  <c r="R621" i="5"/>
  <c r="S621" i="5"/>
  <c r="T621" i="5"/>
  <c r="U621" i="5"/>
  <c r="V621" i="5"/>
  <c r="W621" i="5"/>
  <c r="X621" i="5"/>
  <c r="O622" i="5"/>
  <c r="P622" i="5"/>
  <c r="Q622" i="5"/>
  <c r="R622" i="5"/>
  <c r="S622" i="5"/>
  <c r="T622" i="5"/>
  <c r="U622" i="5"/>
  <c r="V622" i="5"/>
  <c r="W622" i="5"/>
  <c r="X622" i="5"/>
  <c r="O623" i="5"/>
  <c r="P623" i="5"/>
  <c r="Q623" i="5"/>
  <c r="R623" i="5"/>
  <c r="S623" i="5"/>
  <c r="T623" i="5"/>
  <c r="U623" i="5"/>
  <c r="V623" i="5"/>
  <c r="W623" i="5"/>
  <c r="X623" i="5"/>
  <c r="O624" i="5"/>
  <c r="P624" i="5"/>
  <c r="Q624" i="5"/>
  <c r="R624" i="5"/>
  <c r="S624" i="5"/>
  <c r="T624" i="5"/>
  <c r="U624" i="5"/>
  <c r="V624" i="5"/>
  <c r="W624" i="5"/>
  <c r="X624" i="5"/>
  <c r="O625" i="5"/>
  <c r="P625" i="5"/>
  <c r="Q625" i="5"/>
  <c r="R625" i="5"/>
  <c r="S625" i="5"/>
  <c r="T625" i="5"/>
  <c r="U625" i="5"/>
  <c r="V625" i="5"/>
  <c r="W625" i="5"/>
  <c r="X625" i="5"/>
  <c r="O626" i="5"/>
  <c r="P626" i="5"/>
  <c r="Q626" i="5"/>
  <c r="R626" i="5"/>
  <c r="S626" i="5"/>
  <c r="T626" i="5"/>
  <c r="U626" i="5"/>
  <c r="V626" i="5"/>
  <c r="W626" i="5"/>
  <c r="X626" i="5"/>
  <c r="O627" i="5"/>
  <c r="P627" i="5"/>
  <c r="Q627" i="5"/>
  <c r="R627" i="5"/>
  <c r="S627" i="5"/>
  <c r="T627" i="5"/>
  <c r="U627" i="5"/>
  <c r="V627" i="5"/>
  <c r="W627" i="5"/>
  <c r="X627" i="5"/>
  <c r="O628" i="5"/>
  <c r="P628" i="5"/>
  <c r="Q628" i="5"/>
  <c r="R628" i="5"/>
  <c r="S628" i="5"/>
  <c r="T628" i="5"/>
  <c r="U628" i="5"/>
  <c r="V628" i="5"/>
  <c r="W628" i="5"/>
  <c r="X628" i="5"/>
  <c r="O629" i="5"/>
  <c r="P629" i="5"/>
  <c r="Q629" i="5"/>
  <c r="R629" i="5"/>
  <c r="S629" i="5"/>
  <c r="T629" i="5"/>
  <c r="U629" i="5"/>
  <c r="V629" i="5"/>
  <c r="W629" i="5"/>
  <c r="X629" i="5"/>
  <c r="O630" i="5"/>
  <c r="P630" i="5"/>
  <c r="Q630" i="5"/>
  <c r="R630" i="5"/>
  <c r="S630" i="5"/>
  <c r="T630" i="5"/>
  <c r="U630" i="5"/>
  <c r="V630" i="5"/>
  <c r="W630" i="5"/>
  <c r="X630" i="5"/>
  <c r="O631" i="5"/>
  <c r="P631" i="5"/>
  <c r="Q631" i="5"/>
  <c r="R631" i="5"/>
  <c r="S631" i="5"/>
  <c r="T631" i="5"/>
  <c r="U631" i="5"/>
  <c r="V631" i="5"/>
  <c r="W631" i="5"/>
  <c r="X631" i="5"/>
  <c r="O632" i="5"/>
  <c r="P632" i="5"/>
  <c r="Q632" i="5"/>
  <c r="R632" i="5"/>
  <c r="S632" i="5"/>
  <c r="T632" i="5"/>
  <c r="U632" i="5"/>
  <c r="V632" i="5"/>
  <c r="W632" i="5"/>
  <c r="X632" i="5"/>
  <c r="O633" i="5"/>
  <c r="P633" i="5"/>
  <c r="Q633" i="5"/>
  <c r="R633" i="5"/>
  <c r="S633" i="5"/>
  <c r="T633" i="5"/>
  <c r="U633" i="5"/>
  <c r="V633" i="5"/>
  <c r="W633" i="5"/>
  <c r="X633" i="5"/>
  <c r="O634" i="5"/>
  <c r="P634" i="5"/>
  <c r="Q634" i="5"/>
  <c r="R634" i="5"/>
  <c r="S634" i="5"/>
  <c r="T634" i="5"/>
  <c r="U634" i="5"/>
  <c r="V634" i="5"/>
  <c r="W634" i="5"/>
  <c r="X634" i="5"/>
  <c r="O635" i="5"/>
  <c r="P635" i="5"/>
  <c r="Q635" i="5"/>
  <c r="R635" i="5"/>
  <c r="S635" i="5"/>
  <c r="T635" i="5"/>
  <c r="U635" i="5"/>
  <c r="V635" i="5"/>
  <c r="W635" i="5"/>
  <c r="X635" i="5"/>
  <c r="O636" i="5"/>
  <c r="P636" i="5"/>
  <c r="Q636" i="5"/>
  <c r="R636" i="5"/>
  <c r="S636" i="5"/>
  <c r="T636" i="5"/>
  <c r="U636" i="5"/>
  <c r="V636" i="5"/>
  <c r="W636" i="5"/>
  <c r="X636" i="5"/>
  <c r="O637" i="5"/>
  <c r="P637" i="5"/>
  <c r="Q637" i="5"/>
  <c r="R637" i="5"/>
  <c r="S637" i="5"/>
  <c r="T637" i="5"/>
  <c r="U637" i="5"/>
  <c r="V637" i="5"/>
  <c r="W637" i="5"/>
  <c r="X637" i="5"/>
  <c r="O638" i="5"/>
  <c r="P638" i="5"/>
  <c r="Q638" i="5"/>
  <c r="R638" i="5"/>
  <c r="S638" i="5"/>
  <c r="T638" i="5"/>
  <c r="U638" i="5"/>
  <c r="V638" i="5"/>
  <c r="W638" i="5"/>
  <c r="X638" i="5"/>
  <c r="O639" i="5"/>
  <c r="P639" i="5"/>
  <c r="Q639" i="5"/>
  <c r="R639" i="5"/>
  <c r="S639" i="5"/>
  <c r="T639" i="5"/>
  <c r="U639" i="5"/>
  <c r="V639" i="5"/>
  <c r="W639" i="5"/>
  <c r="X639" i="5"/>
  <c r="O640" i="5"/>
  <c r="P640" i="5"/>
  <c r="Q640" i="5"/>
  <c r="R640" i="5"/>
  <c r="S640" i="5"/>
  <c r="T640" i="5"/>
  <c r="U640" i="5"/>
  <c r="V640" i="5"/>
  <c r="W640" i="5"/>
  <c r="X640" i="5"/>
  <c r="O641" i="5"/>
  <c r="P641" i="5"/>
  <c r="Q641" i="5"/>
  <c r="R641" i="5"/>
  <c r="S641" i="5"/>
  <c r="T641" i="5"/>
  <c r="U641" i="5"/>
  <c r="V641" i="5"/>
  <c r="W641" i="5"/>
  <c r="X641" i="5"/>
  <c r="O642" i="5"/>
  <c r="P642" i="5"/>
  <c r="Q642" i="5"/>
  <c r="R642" i="5"/>
  <c r="S642" i="5"/>
  <c r="T642" i="5"/>
  <c r="U642" i="5"/>
  <c r="V642" i="5"/>
  <c r="W642" i="5"/>
  <c r="X642" i="5"/>
  <c r="O643" i="5"/>
  <c r="P643" i="5"/>
  <c r="Q643" i="5"/>
  <c r="R643" i="5"/>
  <c r="S643" i="5"/>
  <c r="T643" i="5"/>
  <c r="U643" i="5"/>
  <c r="V643" i="5"/>
  <c r="W643" i="5"/>
  <c r="X643" i="5"/>
  <c r="O644" i="5"/>
  <c r="P644" i="5"/>
  <c r="Q644" i="5"/>
  <c r="R644" i="5"/>
  <c r="S644" i="5"/>
  <c r="T644" i="5"/>
  <c r="U644" i="5"/>
  <c r="V644" i="5"/>
  <c r="W644" i="5"/>
  <c r="X644" i="5"/>
  <c r="O645" i="5"/>
  <c r="P645" i="5"/>
  <c r="Q645" i="5"/>
  <c r="R645" i="5"/>
  <c r="S645" i="5"/>
  <c r="T645" i="5"/>
  <c r="U645" i="5"/>
  <c r="V645" i="5"/>
  <c r="W645" i="5"/>
  <c r="X645" i="5"/>
  <c r="O646" i="5"/>
  <c r="P646" i="5"/>
  <c r="Q646" i="5"/>
  <c r="R646" i="5"/>
  <c r="S646" i="5"/>
  <c r="T646" i="5"/>
  <c r="U646" i="5"/>
  <c r="V646" i="5"/>
  <c r="W646" i="5"/>
  <c r="X646" i="5"/>
  <c r="O647" i="5"/>
  <c r="P647" i="5"/>
  <c r="Q647" i="5"/>
  <c r="R647" i="5"/>
  <c r="S647" i="5"/>
  <c r="T647" i="5"/>
  <c r="U647" i="5"/>
  <c r="V647" i="5"/>
  <c r="W647" i="5"/>
  <c r="X647" i="5"/>
  <c r="O648" i="5"/>
  <c r="P648" i="5"/>
  <c r="Q648" i="5"/>
  <c r="R648" i="5"/>
  <c r="S648" i="5"/>
  <c r="T648" i="5"/>
  <c r="U648" i="5"/>
  <c r="V648" i="5"/>
  <c r="W648" i="5"/>
  <c r="X648" i="5"/>
  <c r="O649" i="5"/>
  <c r="P649" i="5"/>
  <c r="Q649" i="5"/>
  <c r="R649" i="5"/>
  <c r="S649" i="5"/>
  <c r="T649" i="5"/>
  <c r="U649" i="5"/>
  <c r="V649" i="5"/>
  <c r="W649" i="5"/>
  <c r="X649" i="5"/>
  <c r="O650" i="5"/>
  <c r="P650" i="5"/>
  <c r="Q650" i="5"/>
  <c r="R650" i="5"/>
  <c r="S650" i="5"/>
  <c r="T650" i="5"/>
  <c r="U650" i="5"/>
  <c r="V650" i="5"/>
  <c r="W650" i="5"/>
  <c r="X650" i="5"/>
  <c r="O651" i="5"/>
  <c r="P651" i="5"/>
  <c r="Q651" i="5"/>
  <c r="R651" i="5"/>
  <c r="S651" i="5"/>
  <c r="T651" i="5"/>
  <c r="U651" i="5"/>
  <c r="V651" i="5"/>
  <c r="W651" i="5"/>
  <c r="X651" i="5"/>
  <c r="O652" i="5"/>
  <c r="P652" i="5"/>
  <c r="Q652" i="5"/>
  <c r="R652" i="5"/>
  <c r="S652" i="5"/>
  <c r="T652" i="5"/>
  <c r="U652" i="5"/>
  <c r="V652" i="5"/>
  <c r="W652" i="5"/>
  <c r="X652" i="5"/>
  <c r="O653" i="5"/>
  <c r="P653" i="5"/>
  <c r="Q653" i="5"/>
  <c r="R653" i="5"/>
  <c r="S653" i="5"/>
  <c r="T653" i="5"/>
  <c r="U653" i="5"/>
  <c r="V653" i="5"/>
  <c r="W653" i="5"/>
  <c r="X653" i="5"/>
  <c r="O654" i="5"/>
  <c r="P654" i="5"/>
  <c r="Q654" i="5"/>
  <c r="R654" i="5"/>
  <c r="S654" i="5"/>
  <c r="T654" i="5"/>
  <c r="U654" i="5"/>
  <c r="V654" i="5"/>
  <c r="W654" i="5"/>
  <c r="X654" i="5"/>
  <c r="O655" i="5"/>
  <c r="P655" i="5"/>
  <c r="Q655" i="5"/>
  <c r="R655" i="5"/>
  <c r="S655" i="5"/>
  <c r="T655" i="5"/>
  <c r="U655" i="5"/>
  <c r="V655" i="5"/>
  <c r="W655" i="5"/>
  <c r="X655" i="5"/>
  <c r="O656" i="5"/>
  <c r="P656" i="5"/>
  <c r="Q656" i="5"/>
  <c r="R656" i="5"/>
  <c r="S656" i="5"/>
  <c r="T656" i="5"/>
  <c r="U656" i="5"/>
  <c r="V656" i="5"/>
  <c r="W656" i="5"/>
  <c r="X656" i="5"/>
  <c r="O657" i="5"/>
  <c r="P657" i="5"/>
  <c r="Q657" i="5"/>
  <c r="R657" i="5"/>
  <c r="S657" i="5"/>
  <c r="T657" i="5"/>
  <c r="U657" i="5"/>
  <c r="V657" i="5"/>
  <c r="W657" i="5"/>
  <c r="X657" i="5"/>
  <c r="O658" i="5"/>
  <c r="P658" i="5"/>
  <c r="Q658" i="5"/>
  <c r="R658" i="5"/>
  <c r="S658" i="5"/>
  <c r="T658" i="5"/>
  <c r="U658" i="5"/>
  <c r="V658" i="5"/>
  <c r="W658" i="5"/>
  <c r="X658" i="5"/>
  <c r="O659" i="5"/>
  <c r="P659" i="5"/>
  <c r="Q659" i="5"/>
  <c r="R659" i="5"/>
  <c r="S659" i="5"/>
  <c r="T659" i="5"/>
  <c r="U659" i="5"/>
  <c r="V659" i="5"/>
  <c r="W659" i="5"/>
  <c r="X659" i="5"/>
  <c r="O660" i="5"/>
  <c r="P660" i="5"/>
  <c r="Q660" i="5"/>
  <c r="R660" i="5"/>
  <c r="S660" i="5"/>
  <c r="T660" i="5"/>
  <c r="U660" i="5"/>
  <c r="V660" i="5"/>
  <c r="W660" i="5"/>
  <c r="X660" i="5"/>
  <c r="O661" i="5"/>
  <c r="P661" i="5"/>
  <c r="Q661" i="5"/>
  <c r="R661" i="5"/>
  <c r="S661" i="5"/>
  <c r="T661" i="5"/>
  <c r="U661" i="5"/>
  <c r="V661" i="5"/>
  <c r="W661" i="5"/>
  <c r="X661" i="5"/>
  <c r="O662" i="5"/>
  <c r="P662" i="5"/>
  <c r="Q662" i="5"/>
  <c r="R662" i="5"/>
  <c r="S662" i="5"/>
  <c r="T662" i="5"/>
  <c r="U662" i="5"/>
  <c r="V662" i="5"/>
  <c r="W662" i="5"/>
  <c r="X662" i="5"/>
  <c r="O663" i="5"/>
  <c r="P663" i="5"/>
  <c r="Q663" i="5"/>
  <c r="R663" i="5"/>
  <c r="S663" i="5"/>
  <c r="T663" i="5"/>
  <c r="U663" i="5"/>
  <c r="V663" i="5"/>
  <c r="W663" i="5"/>
  <c r="X663" i="5"/>
  <c r="O664" i="5"/>
  <c r="P664" i="5"/>
  <c r="Q664" i="5"/>
  <c r="R664" i="5"/>
  <c r="S664" i="5"/>
  <c r="T664" i="5"/>
  <c r="U664" i="5"/>
  <c r="V664" i="5"/>
  <c r="W664" i="5"/>
  <c r="X664" i="5"/>
  <c r="O665" i="5"/>
  <c r="P665" i="5"/>
  <c r="Q665" i="5"/>
  <c r="R665" i="5"/>
  <c r="S665" i="5"/>
  <c r="T665" i="5"/>
  <c r="U665" i="5"/>
  <c r="V665" i="5"/>
  <c r="W665" i="5"/>
  <c r="X665" i="5"/>
  <c r="O666" i="5"/>
  <c r="P666" i="5"/>
  <c r="Q666" i="5"/>
  <c r="R666" i="5"/>
  <c r="S666" i="5"/>
  <c r="T666" i="5"/>
  <c r="U666" i="5"/>
  <c r="V666" i="5"/>
  <c r="W666" i="5"/>
  <c r="X666" i="5"/>
  <c r="O667" i="5"/>
  <c r="P667" i="5"/>
  <c r="Q667" i="5"/>
  <c r="R667" i="5"/>
  <c r="S667" i="5"/>
  <c r="T667" i="5"/>
  <c r="U667" i="5"/>
  <c r="V667" i="5"/>
  <c r="W667" i="5"/>
  <c r="X667" i="5"/>
  <c r="O668" i="5"/>
  <c r="P668" i="5"/>
  <c r="Q668" i="5"/>
  <c r="R668" i="5"/>
  <c r="S668" i="5"/>
  <c r="T668" i="5"/>
  <c r="U668" i="5"/>
  <c r="V668" i="5"/>
  <c r="W668" i="5"/>
  <c r="X668" i="5"/>
  <c r="O669" i="5"/>
  <c r="P669" i="5"/>
  <c r="Q669" i="5"/>
  <c r="R669" i="5"/>
  <c r="S669" i="5"/>
  <c r="T669" i="5"/>
  <c r="U669" i="5"/>
  <c r="V669" i="5"/>
  <c r="W669" i="5"/>
  <c r="X669" i="5"/>
  <c r="O670" i="5"/>
  <c r="P670" i="5"/>
  <c r="Q670" i="5"/>
  <c r="R670" i="5"/>
  <c r="S670" i="5"/>
  <c r="T670" i="5"/>
  <c r="U670" i="5"/>
  <c r="V670" i="5"/>
  <c r="W670" i="5"/>
  <c r="X670" i="5"/>
  <c r="O671" i="5"/>
  <c r="P671" i="5"/>
  <c r="Q671" i="5"/>
  <c r="R671" i="5"/>
  <c r="S671" i="5"/>
  <c r="T671" i="5"/>
  <c r="U671" i="5"/>
  <c r="V671" i="5"/>
  <c r="W671" i="5"/>
  <c r="X671" i="5"/>
  <c r="O672" i="5"/>
  <c r="P672" i="5"/>
  <c r="Q672" i="5"/>
  <c r="R672" i="5"/>
  <c r="S672" i="5"/>
  <c r="T672" i="5"/>
  <c r="U672" i="5"/>
  <c r="V672" i="5"/>
  <c r="W672" i="5"/>
  <c r="X672" i="5"/>
  <c r="O673" i="5"/>
  <c r="P673" i="5"/>
  <c r="Q673" i="5"/>
  <c r="R673" i="5"/>
  <c r="S673" i="5"/>
  <c r="T673" i="5"/>
  <c r="U673" i="5"/>
  <c r="V673" i="5"/>
  <c r="W673" i="5"/>
  <c r="X673" i="5"/>
  <c r="O674" i="5"/>
  <c r="P674" i="5"/>
  <c r="Q674" i="5"/>
  <c r="R674" i="5"/>
  <c r="S674" i="5"/>
  <c r="T674" i="5"/>
  <c r="U674" i="5"/>
  <c r="V674" i="5"/>
  <c r="W674" i="5"/>
  <c r="X674" i="5"/>
  <c r="O675" i="5"/>
  <c r="P675" i="5"/>
  <c r="Q675" i="5"/>
  <c r="R675" i="5"/>
  <c r="S675" i="5"/>
  <c r="T675" i="5"/>
  <c r="U675" i="5"/>
  <c r="V675" i="5"/>
  <c r="W675" i="5"/>
  <c r="X675" i="5"/>
  <c r="O676" i="5"/>
  <c r="P676" i="5"/>
  <c r="Q676" i="5"/>
  <c r="R676" i="5"/>
  <c r="S676" i="5"/>
  <c r="T676" i="5"/>
  <c r="U676" i="5"/>
  <c r="V676" i="5"/>
  <c r="W676" i="5"/>
  <c r="X676" i="5"/>
  <c r="O677" i="5"/>
  <c r="P677" i="5"/>
  <c r="Q677" i="5"/>
  <c r="R677" i="5"/>
  <c r="S677" i="5"/>
  <c r="T677" i="5"/>
  <c r="U677" i="5"/>
  <c r="V677" i="5"/>
  <c r="W677" i="5"/>
  <c r="X677" i="5"/>
  <c r="O678" i="5"/>
  <c r="P678" i="5"/>
  <c r="Q678" i="5"/>
  <c r="R678" i="5"/>
  <c r="S678" i="5"/>
  <c r="T678" i="5"/>
  <c r="U678" i="5"/>
  <c r="V678" i="5"/>
  <c r="W678" i="5"/>
  <c r="X678" i="5"/>
  <c r="O679" i="5"/>
  <c r="P679" i="5"/>
  <c r="Q679" i="5"/>
  <c r="R679" i="5"/>
  <c r="S679" i="5"/>
  <c r="T679" i="5"/>
  <c r="U679" i="5"/>
  <c r="V679" i="5"/>
  <c r="W679" i="5"/>
  <c r="X679" i="5"/>
  <c r="O680" i="5"/>
  <c r="P680" i="5"/>
  <c r="Q680" i="5"/>
  <c r="R680" i="5"/>
  <c r="S680" i="5"/>
  <c r="T680" i="5"/>
  <c r="U680" i="5"/>
  <c r="V680" i="5"/>
  <c r="W680" i="5"/>
  <c r="X680" i="5"/>
  <c r="O681" i="5"/>
  <c r="P681" i="5"/>
  <c r="Q681" i="5"/>
  <c r="R681" i="5"/>
  <c r="S681" i="5"/>
  <c r="T681" i="5"/>
  <c r="U681" i="5"/>
  <c r="V681" i="5"/>
  <c r="W681" i="5"/>
  <c r="X681" i="5"/>
  <c r="O682" i="5"/>
  <c r="P682" i="5"/>
  <c r="Q682" i="5"/>
  <c r="R682" i="5"/>
  <c r="S682" i="5"/>
  <c r="T682" i="5"/>
  <c r="U682" i="5"/>
  <c r="V682" i="5"/>
  <c r="W682" i="5"/>
  <c r="X682" i="5"/>
  <c r="O683" i="5"/>
  <c r="P683" i="5"/>
  <c r="Q683" i="5"/>
  <c r="R683" i="5"/>
  <c r="S683" i="5"/>
  <c r="T683" i="5"/>
  <c r="U683" i="5"/>
  <c r="V683" i="5"/>
  <c r="W683" i="5"/>
  <c r="X683" i="5"/>
  <c r="O684" i="5"/>
  <c r="P684" i="5"/>
  <c r="Q684" i="5"/>
  <c r="R684" i="5"/>
  <c r="S684" i="5"/>
  <c r="T684" i="5"/>
  <c r="U684" i="5"/>
  <c r="V684" i="5"/>
  <c r="W684" i="5"/>
  <c r="X684" i="5"/>
  <c r="O685" i="5"/>
  <c r="P685" i="5"/>
  <c r="Q685" i="5"/>
  <c r="R685" i="5"/>
  <c r="S685" i="5"/>
  <c r="T685" i="5"/>
  <c r="U685" i="5"/>
  <c r="V685" i="5"/>
  <c r="W685" i="5"/>
  <c r="X685" i="5"/>
  <c r="O686" i="5"/>
  <c r="P686" i="5"/>
  <c r="Q686" i="5"/>
  <c r="R686" i="5"/>
  <c r="S686" i="5"/>
  <c r="T686" i="5"/>
  <c r="U686" i="5"/>
  <c r="V686" i="5"/>
  <c r="W686" i="5"/>
  <c r="X686" i="5"/>
  <c r="O687" i="5"/>
  <c r="P687" i="5"/>
  <c r="Q687" i="5"/>
  <c r="R687" i="5"/>
  <c r="S687" i="5"/>
  <c r="T687" i="5"/>
  <c r="U687" i="5"/>
  <c r="V687" i="5"/>
  <c r="W687" i="5"/>
  <c r="X687" i="5"/>
  <c r="O688" i="5"/>
  <c r="P688" i="5"/>
  <c r="Q688" i="5"/>
  <c r="R688" i="5"/>
  <c r="S688" i="5"/>
  <c r="T688" i="5"/>
  <c r="U688" i="5"/>
  <c r="V688" i="5"/>
  <c r="W688" i="5"/>
  <c r="X688" i="5"/>
  <c r="O689" i="5"/>
  <c r="P689" i="5"/>
  <c r="Q689" i="5"/>
  <c r="R689" i="5"/>
  <c r="S689" i="5"/>
  <c r="T689" i="5"/>
  <c r="U689" i="5"/>
  <c r="V689" i="5"/>
  <c r="W689" i="5"/>
  <c r="X689" i="5"/>
  <c r="O690" i="5"/>
  <c r="P690" i="5"/>
  <c r="Q690" i="5"/>
  <c r="R690" i="5"/>
  <c r="S690" i="5"/>
  <c r="T690" i="5"/>
  <c r="U690" i="5"/>
  <c r="V690" i="5"/>
  <c r="W690" i="5"/>
  <c r="X690" i="5"/>
  <c r="O691" i="5"/>
  <c r="P691" i="5"/>
  <c r="Q691" i="5"/>
  <c r="R691" i="5"/>
  <c r="S691" i="5"/>
  <c r="T691" i="5"/>
  <c r="U691" i="5"/>
  <c r="V691" i="5"/>
  <c r="W691" i="5"/>
  <c r="X691" i="5"/>
  <c r="O692" i="5"/>
  <c r="P692" i="5"/>
  <c r="Q692" i="5"/>
  <c r="R692" i="5"/>
  <c r="S692" i="5"/>
  <c r="T692" i="5"/>
  <c r="U692" i="5"/>
  <c r="V692" i="5"/>
  <c r="W692" i="5"/>
  <c r="X692" i="5"/>
  <c r="O693" i="5"/>
  <c r="P693" i="5"/>
  <c r="Q693" i="5"/>
  <c r="R693" i="5"/>
  <c r="S693" i="5"/>
  <c r="T693" i="5"/>
  <c r="U693" i="5"/>
  <c r="V693" i="5"/>
  <c r="W693" i="5"/>
  <c r="X693" i="5"/>
  <c r="O694" i="5"/>
  <c r="P694" i="5"/>
  <c r="Q694" i="5"/>
  <c r="R694" i="5"/>
  <c r="S694" i="5"/>
  <c r="T694" i="5"/>
  <c r="U694" i="5"/>
  <c r="V694" i="5"/>
  <c r="W694" i="5"/>
  <c r="X694" i="5"/>
  <c r="O695" i="5"/>
  <c r="P695" i="5"/>
  <c r="Q695" i="5"/>
  <c r="R695" i="5"/>
  <c r="S695" i="5"/>
  <c r="T695" i="5"/>
  <c r="U695" i="5"/>
  <c r="V695" i="5"/>
  <c r="W695" i="5"/>
  <c r="X695" i="5"/>
  <c r="O696" i="5"/>
  <c r="P696" i="5"/>
  <c r="Q696" i="5"/>
  <c r="R696" i="5"/>
  <c r="S696" i="5"/>
  <c r="T696" i="5"/>
  <c r="U696" i="5"/>
  <c r="V696" i="5"/>
  <c r="W696" i="5"/>
  <c r="X696" i="5"/>
  <c r="O697" i="5"/>
  <c r="P697" i="5"/>
  <c r="Q697" i="5"/>
  <c r="R697" i="5"/>
  <c r="S697" i="5"/>
  <c r="T697" i="5"/>
  <c r="U697" i="5"/>
  <c r="V697" i="5"/>
  <c r="W697" i="5"/>
  <c r="X697" i="5"/>
  <c r="O698" i="5"/>
  <c r="P698" i="5"/>
  <c r="Q698" i="5"/>
  <c r="R698" i="5"/>
  <c r="S698" i="5"/>
  <c r="T698" i="5"/>
  <c r="U698" i="5"/>
  <c r="V698" i="5"/>
  <c r="W698" i="5"/>
  <c r="X698" i="5"/>
  <c r="O699" i="5"/>
  <c r="P699" i="5"/>
  <c r="Q699" i="5"/>
  <c r="R699" i="5"/>
  <c r="S699" i="5"/>
  <c r="T699" i="5"/>
  <c r="U699" i="5"/>
  <c r="V699" i="5"/>
  <c r="W699" i="5"/>
  <c r="X699" i="5"/>
  <c r="O700" i="5"/>
  <c r="P700" i="5"/>
  <c r="Q700" i="5"/>
  <c r="R700" i="5"/>
  <c r="S700" i="5"/>
  <c r="T700" i="5"/>
  <c r="U700" i="5"/>
  <c r="V700" i="5"/>
  <c r="W700" i="5"/>
  <c r="X700" i="5"/>
  <c r="O701" i="5"/>
  <c r="P701" i="5"/>
  <c r="Q701" i="5"/>
  <c r="R701" i="5"/>
  <c r="S701" i="5"/>
  <c r="T701" i="5"/>
  <c r="U701" i="5"/>
  <c r="V701" i="5"/>
  <c r="W701" i="5"/>
  <c r="X701" i="5"/>
  <c r="O702" i="5"/>
  <c r="P702" i="5"/>
  <c r="Q702" i="5"/>
  <c r="R702" i="5"/>
  <c r="S702" i="5"/>
  <c r="T702" i="5"/>
  <c r="U702" i="5"/>
  <c r="V702" i="5"/>
  <c r="W702" i="5"/>
  <c r="X702" i="5"/>
  <c r="O703" i="5"/>
  <c r="P703" i="5"/>
  <c r="Q703" i="5"/>
  <c r="R703" i="5"/>
  <c r="S703" i="5"/>
  <c r="T703" i="5"/>
  <c r="U703" i="5"/>
  <c r="V703" i="5"/>
  <c r="W703" i="5"/>
  <c r="X703" i="5"/>
  <c r="O704" i="5"/>
  <c r="P704" i="5"/>
  <c r="Q704" i="5"/>
  <c r="R704" i="5"/>
  <c r="S704" i="5"/>
  <c r="T704" i="5"/>
  <c r="U704" i="5"/>
  <c r="V704" i="5"/>
  <c r="W704" i="5"/>
  <c r="X704" i="5"/>
  <c r="O705" i="5"/>
  <c r="P705" i="5"/>
  <c r="Q705" i="5"/>
  <c r="R705" i="5"/>
  <c r="S705" i="5"/>
  <c r="T705" i="5"/>
  <c r="U705" i="5"/>
  <c r="V705" i="5"/>
  <c r="W705" i="5"/>
  <c r="X705" i="5"/>
  <c r="O706" i="5"/>
  <c r="P706" i="5"/>
  <c r="Q706" i="5"/>
  <c r="R706" i="5"/>
  <c r="S706" i="5"/>
  <c r="T706" i="5"/>
  <c r="U706" i="5"/>
  <c r="V706" i="5"/>
  <c r="W706" i="5"/>
  <c r="X706" i="5"/>
  <c r="O707" i="5"/>
  <c r="P707" i="5"/>
  <c r="Q707" i="5"/>
  <c r="R707" i="5"/>
  <c r="S707" i="5"/>
  <c r="T707" i="5"/>
  <c r="U707" i="5"/>
  <c r="V707" i="5"/>
  <c r="W707" i="5"/>
  <c r="X707" i="5"/>
  <c r="O708" i="5"/>
  <c r="P708" i="5"/>
  <c r="Q708" i="5"/>
  <c r="R708" i="5"/>
  <c r="S708" i="5"/>
  <c r="T708" i="5"/>
  <c r="U708" i="5"/>
  <c r="V708" i="5"/>
  <c r="W708" i="5"/>
  <c r="X708" i="5"/>
  <c r="O709" i="5"/>
  <c r="P709" i="5"/>
  <c r="Q709" i="5"/>
  <c r="R709" i="5"/>
  <c r="S709" i="5"/>
  <c r="T709" i="5"/>
  <c r="U709" i="5"/>
  <c r="V709" i="5"/>
  <c r="W709" i="5"/>
  <c r="X709" i="5"/>
  <c r="O710" i="5"/>
  <c r="P710" i="5"/>
  <c r="Q710" i="5"/>
  <c r="R710" i="5"/>
  <c r="S710" i="5"/>
  <c r="T710" i="5"/>
  <c r="U710" i="5"/>
  <c r="V710" i="5"/>
  <c r="W710" i="5"/>
  <c r="X710" i="5"/>
  <c r="O711" i="5"/>
  <c r="P711" i="5"/>
  <c r="Q711" i="5"/>
  <c r="R711" i="5"/>
  <c r="S711" i="5"/>
  <c r="T711" i="5"/>
  <c r="U711" i="5"/>
  <c r="V711" i="5"/>
  <c r="W711" i="5"/>
  <c r="X711" i="5"/>
  <c r="O712" i="5"/>
  <c r="P712" i="5"/>
  <c r="Q712" i="5"/>
  <c r="R712" i="5"/>
  <c r="S712" i="5"/>
  <c r="T712" i="5"/>
  <c r="U712" i="5"/>
  <c r="V712" i="5"/>
  <c r="W712" i="5"/>
  <c r="X712" i="5"/>
  <c r="O713" i="5"/>
  <c r="P713" i="5"/>
  <c r="Q713" i="5"/>
  <c r="R713" i="5"/>
  <c r="S713" i="5"/>
  <c r="T713" i="5"/>
  <c r="U713" i="5"/>
  <c r="V713" i="5"/>
  <c r="W713" i="5"/>
  <c r="X713" i="5"/>
  <c r="O714" i="5"/>
  <c r="P714" i="5"/>
  <c r="Q714" i="5"/>
  <c r="R714" i="5"/>
  <c r="S714" i="5"/>
  <c r="T714" i="5"/>
  <c r="U714" i="5"/>
  <c r="V714" i="5"/>
  <c r="W714" i="5"/>
  <c r="X714" i="5"/>
  <c r="O715" i="5"/>
  <c r="P715" i="5"/>
  <c r="Q715" i="5"/>
  <c r="R715" i="5"/>
  <c r="S715" i="5"/>
  <c r="T715" i="5"/>
  <c r="U715" i="5"/>
  <c r="V715" i="5"/>
  <c r="W715" i="5"/>
  <c r="X715" i="5"/>
  <c r="O716" i="5"/>
  <c r="P716" i="5"/>
  <c r="Q716" i="5"/>
  <c r="R716" i="5"/>
  <c r="S716" i="5"/>
  <c r="T716" i="5"/>
  <c r="U716" i="5"/>
  <c r="V716" i="5"/>
  <c r="W716" i="5"/>
  <c r="X716" i="5"/>
  <c r="O717" i="5"/>
  <c r="P717" i="5"/>
  <c r="Q717" i="5"/>
  <c r="R717" i="5"/>
  <c r="S717" i="5"/>
  <c r="T717" i="5"/>
  <c r="U717" i="5"/>
  <c r="V717" i="5"/>
  <c r="W717" i="5"/>
  <c r="X717" i="5"/>
  <c r="O718" i="5"/>
  <c r="P718" i="5"/>
  <c r="Q718" i="5"/>
  <c r="R718" i="5"/>
  <c r="S718" i="5"/>
  <c r="T718" i="5"/>
  <c r="U718" i="5"/>
  <c r="V718" i="5"/>
  <c r="W718" i="5"/>
  <c r="X718" i="5"/>
  <c r="O719" i="5"/>
  <c r="P719" i="5"/>
  <c r="Q719" i="5"/>
  <c r="R719" i="5"/>
  <c r="S719" i="5"/>
  <c r="T719" i="5"/>
  <c r="U719" i="5"/>
  <c r="V719" i="5"/>
  <c r="W719" i="5"/>
  <c r="X719" i="5"/>
  <c r="O720" i="5"/>
  <c r="P720" i="5"/>
  <c r="Q720" i="5"/>
  <c r="R720" i="5"/>
  <c r="S720" i="5"/>
  <c r="T720" i="5"/>
  <c r="U720" i="5"/>
  <c r="V720" i="5"/>
  <c r="W720" i="5"/>
  <c r="X720" i="5"/>
  <c r="O721" i="5"/>
  <c r="P721" i="5"/>
  <c r="Q721" i="5"/>
  <c r="R721" i="5"/>
  <c r="S721" i="5"/>
  <c r="T721" i="5"/>
  <c r="U721" i="5"/>
  <c r="V721" i="5"/>
  <c r="W721" i="5"/>
  <c r="X721" i="5"/>
  <c r="O722" i="5"/>
  <c r="P722" i="5"/>
  <c r="Q722" i="5"/>
  <c r="R722" i="5"/>
  <c r="S722" i="5"/>
  <c r="T722" i="5"/>
  <c r="U722" i="5"/>
  <c r="V722" i="5"/>
  <c r="W722" i="5"/>
  <c r="X722" i="5"/>
  <c r="O723" i="5"/>
  <c r="P723" i="5"/>
  <c r="Q723" i="5"/>
  <c r="R723" i="5"/>
  <c r="S723" i="5"/>
  <c r="T723" i="5"/>
  <c r="U723" i="5"/>
  <c r="V723" i="5"/>
  <c r="W723" i="5"/>
  <c r="X723" i="5"/>
  <c r="O724" i="5"/>
  <c r="P724" i="5"/>
  <c r="Q724" i="5"/>
  <c r="R724" i="5"/>
  <c r="S724" i="5"/>
  <c r="T724" i="5"/>
  <c r="U724" i="5"/>
  <c r="V724" i="5"/>
  <c r="W724" i="5"/>
  <c r="X724" i="5"/>
  <c r="O725" i="5"/>
  <c r="P725" i="5"/>
  <c r="Q725" i="5"/>
  <c r="R725" i="5"/>
  <c r="S725" i="5"/>
  <c r="T725" i="5"/>
  <c r="U725" i="5"/>
  <c r="V725" i="5"/>
  <c r="W725" i="5"/>
  <c r="X725" i="5"/>
  <c r="O726" i="5"/>
  <c r="P726" i="5"/>
  <c r="Q726" i="5"/>
  <c r="R726" i="5"/>
  <c r="S726" i="5"/>
  <c r="T726" i="5"/>
  <c r="U726" i="5"/>
  <c r="V726" i="5"/>
  <c r="W726" i="5"/>
  <c r="X726" i="5"/>
  <c r="AB605" i="5"/>
  <c r="AB606" i="5"/>
  <c r="AB607" i="5"/>
  <c r="AB608" i="5"/>
  <c r="AB609" i="5"/>
  <c r="AB610" i="5"/>
  <c r="AB611" i="5"/>
  <c r="AB612" i="5"/>
  <c r="AB613" i="5"/>
  <c r="AB614" i="5"/>
  <c r="AB615" i="5"/>
  <c r="AB616" i="5"/>
  <c r="AB617" i="5"/>
  <c r="AB618" i="5"/>
  <c r="AB619" i="5"/>
  <c r="AB620" i="5"/>
  <c r="AB621" i="5"/>
  <c r="AB622" i="5"/>
  <c r="AB623" i="5"/>
  <c r="AB624" i="5"/>
  <c r="AB625" i="5"/>
  <c r="AB626" i="5"/>
  <c r="AB627" i="5"/>
  <c r="AB628" i="5"/>
  <c r="AB629" i="5"/>
  <c r="AB630" i="5"/>
  <c r="AB631" i="5"/>
  <c r="AB632" i="5"/>
  <c r="AB633" i="5"/>
  <c r="AB634" i="5"/>
  <c r="AB635" i="5"/>
  <c r="AB636" i="5"/>
  <c r="AB637" i="5"/>
  <c r="AB638" i="5"/>
  <c r="AB639" i="5"/>
  <c r="AB640" i="5"/>
  <c r="AB641" i="5"/>
  <c r="AB642" i="5"/>
  <c r="AB643" i="5"/>
  <c r="AB644" i="5"/>
  <c r="AB645" i="5"/>
  <c r="AB646" i="5"/>
  <c r="AB647" i="5"/>
  <c r="AB648" i="5"/>
  <c r="AB649" i="5"/>
  <c r="AB650" i="5"/>
  <c r="AB651" i="5"/>
  <c r="AB652" i="5"/>
  <c r="AB653" i="5"/>
  <c r="AB654" i="5"/>
  <c r="AB655" i="5"/>
  <c r="AB656" i="5"/>
  <c r="AB657" i="5"/>
  <c r="AB658" i="5"/>
  <c r="AB659" i="5"/>
  <c r="AB660" i="5"/>
  <c r="AB661" i="5"/>
  <c r="AB662" i="5"/>
  <c r="AB663" i="5"/>
  <c r="AB664" i="5"/>
  <c r="AB665" i="5"/>
  <c r="AB666" i="5"/>
  <c r="AB667" i="5"/>
  <c r="AB668" i="5"/>
  <c r="AB669" i="5"/>
  <c r="AB670" i="5"/>
  <c r="AB671" i="5"/>
  <c r="AB672" i="5"/>
  <c r="AB673" i="5"/>
  <c r="AB674" i="5"/>
  <c r="AB675" i="5"/>
  <c r="AB676" i="5"/>
  <c r="AB677" i="5"/>
  <c r="AB678" i="5"/>
  <c r="AB679" i="5"/>
  <c r="AB680" i="5"/>
  <c r="AB681" i="5"/>
  <c r="AB682" i="5"/>
  <c r="AB683" i="5"/>
  <c r="AB684" i="5"/>
  <c r="AB685" i="5"/>
  <c r="AB686" i="5"/>
  <c r="AB687" i="5"/>
  <c r="AB688" i="5"/>
  <c r="AB689" i="5"/>
  <c r="AB690" i="5"/>
  <c r="AB691" i="5"/>
  <c r="AB692" i="5"/>
  <c r="AB693" i="5"/>
  <c r="AB694" i="5"/>
  <c r="AB695" i="5"/>
  <c r="AB696" i="5"/>
  <c r="AB697" i="5"/>
  <c r="AB698" i="5"/>
  <c r="AB699" i="5"/>
  <c r="AB700" i="5"/>
  <c r="AB701" i="5"/>
  <c r="AB702" i="5"/>
  <c r="AB703" i="5"/>
  <c r="AB704" i="5"/>
  <c r="AB705" i="5"/>
  <c r="AB706" i="5"/>
  <c r="AB707" i="5"/>
  <c r="AB708" i="5"/>
  <c r="AB709" i="5"/>
  <c r="AB710" i="5"/>
  <c r="AB711" i="5"/>
  <c r="AB712" i="5"/>
  <c r="AB713" i="5"/>
  <c r="AB714" i="5"/>
  <c r="AB715" i="5"/>
  <c r="AB716" i="5"/>
  <c r="AB717" i="5"/>
  <c r="AB718" i="5"/>
  <c r="AB719" i="5"/>
  <c r="AB720" i="5"/>
  <c r="AB721" i="5"/>
  <c r="AB722" i="5"/>
  <c r="AB723" i="5"/>
  <c r="AB724" i="5"/>
  <c r="AB725" i="5"/>
  <c r="AB726" i="5"/>
  <c r="U612" i="3"/>
  <c r="X619" i="3"/>
  <c r="X628" i="3"/>
  <c r="V631" i="3"/>
  <c r="X635" i="3"/>
  <c r="W644" i="3"/>
  <c r="V647" i="3"/>
  <c r="X651" i="3"/>
  <c r="W606" i="3"/>
  <c r="W614" i="3"/>
  <c r="V622" i="3"/>
  <c r="X630" i="3"/>
  <c r="V638" i="3"/>
  <c r="W646" i="3"/>
  <c r="W609" i="3"/>
  <c r="U624" i="3"/>
  <c r="W625" i="3"/>
  <c r="W633" i="3"/>
  <c r="W641" i="3"/>
  <c r="V64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O605" i="3"/>
  <c r="P605" i="3"/>
  <c r="Q605" i="3"/>
  <c r="R605" i="3"/>
  <c r="S605" i="3"/>
  <c r="T605" i="3"/>
  <c r="X605" i="3"/>
  <c r="O606" i="3"/>
  <c r="P606" i="3"/>
  <c r="Q606" i="3"/>
  <c r="R606" i="3"/>
  <c r="S606" i="3"/>
  <c r="T606" i="3"/>
  <c r="O607" i="3"/>
  <c r="P607" i="3"/>
  <c r="Q607" i="3"/>
  <c r="R607" i="3"/>
  <c r="S607" i="3"/>
  <c r="T607" i="3"/>
  <c r="U607" i="3"/>
  <c r="W607" i="3"/>
  <c r="X607" i="3"/>
  <c r="O608" i="3"/>
  <c r="P608" i="3"/>
  <c r="Q608" i="3"/>
  <c r="R608" i="3"/>
  <c r="S608" i="3"/>
  <c r="T608" i="3"/>
  <c r="O609" i="3"/>
  <c r="P609" i="3"/>
  <c r="Q609" i="3"/>
  <c r="R609" i="3"/>
  <c r="S609" i="3"/>
  <c r="T609" i="3"/>
  <c r="V609" i="3"/>
  <c r="O610" i="3"/>
  <c r="P610" i="3"/>
  <c r="Q610" i="3"/>
  <c r="R610" i="3"/>
  <c r="S610" i="3"/>
  <c r="T610" i="3"/>
  <c r="O611" i="3"/>
  <c r="P611" i="3"/>
  <c r="Q611" i="3"/>
  <c r="R611" i="3"/>
  <c r="S611" i="3"/>
  <c r="T611" i="3"/>
  <c r="U611" i="3"/>
  <c r="V611" i="3"/>
  <c r="W611" i="3"/>
  <c r="O612" i="3"/>
  <c r="P612" i="3"/>
  <c r="Q612" i="3"/>
  <c r="R612" i="3"/>
  <c r="S612" i="3"/>
  <c r="T612" i="3"/>
  <c r="O613" i="3"/>
  <c r="P613" i="3"/>
  <c r="Q613" i="3"/>
  <c r="R613" i="3"/>
  <c r="S613" i="3"/>
  <c r="T613" i="3"/>
  <c r="V613" i="3"/>
  <c r="O614" i="3"/>
  <c r="P614" i="3"/>
  <c r="Q614" i="3"/>
  <c r="R614" i="3"/>
  <c r="S614" i="3"/>
  <c r="T614" i="3"/>
  <c r="O615" i="3"/>
  <c r="P615" i="3"/>
  <c r="Q615" i="3"/>
  <c r="R615" i="3"/>
  <c r="S615" i="3"/>
  <c r="T615" i="3"/>
  <c r="U615" i="3"/>
  <c r="W615" i="3"/>
  <c r="X615" i="3"/>
  <c r="O616" i="3"/>
  <c r="P616" i="3"/>
  <c r="Q616" i="3"/>
  <c r="R616" i="3"/>
  <c r="S616" i="3"/>
  <c r="T616" i="3"/>
  <c r="O617" i="3"/>
  <c r="P617" i="3"/>
  <c r="Q617" i="3"/>
  <c r="R617" i="3"/>
  <c r="S617" i="3"/>
  <c r="T617" i="3"/>
  <c r="V617" i="3"/>
  <c r="O618" i="3"/>
  <c r="P618" i="3"/>
  <c r="Q618" i="3"/>
  <c r="R618" i="3"/>
  <c r="S618" i="3"/>
  <c r="T618" i="3"/>
  <c r="O619" i="3"/>
  <c r="P619" i="3"/>
  <c r="Q619" i="3"/>
  <c r="R619" i="3"/>
  <c r="S619" i="3"/>
  <c r="T619" i="3"/>
  <c r="U619" i="3"/>
  <c r="V619" i="3"/>
  <c r="W619" i="3"/>
  <c r="O620" i="3"/>
  <c r="P620" i="3"/>
  <c r="Q620" i="3"/>
  <c r="R620" i="3"/>
  <c r="S620" i="3"/>
  <c r="T620" i="3"/>
  <c r="O621" i="3"/>
  <c r="P621" i="3"/>
  <c r="Q621" i="3"/>
  <c r="R621" i="3"/>
  <c r="S621" i="3"/>
  <c r="T621" i="3"/>
  <c r="V621" i="3"/>
  <c r="O622" i="3"/>
  <c r="P622" i="3"/>
  <c r="Q622" i="3"/>
  <c r="R622" i="3"/>
  <c r="S622" i="3"/>
  <c r="T622" i="3"/>
  <c r="O623" i="3"/>
  <c r="P623" i="3"/>
  <c r="Q623" i="3"/>
  <c r="R623" i="3"/>
  <c r="S623" i="3"/>
  <c r="T623" i="3"/>
  <c r="U623" i="3"/>
  <c r="W623" i="3"/>
  <c r="X623" i="3"/>
  <c r="O624" i="3"/>
  <c r="P624" i="3"/>
  <c r="Q624" i="3"/>
  <c r="R624" i="3"/>
  <c r="S624" i="3"/>
  <c r="T624" i="3"/>
  <c r="O625" i="3"/>
  <c r="P625" i="3"/>
  <c r="Q625" i="3"/>
  <c r="R625" i="3"/>
  <c r="S625" i="3"/>
  <c r="T625" i="3"/>
  <c r="V625" i="3"/>
  <c r="O626" i="3"/>
  <c r="P626" i="3"/>
  <c r="Q626" i="3"/>
  <c r="R626" i="3"/>
  <c r="S626" i="3"/>
  <c r="T626" i="3"/>
  <c r="O627" i="3"/>
  <c r="P627" i="3"/>
  <c r="Q627" i="3"/>
  <c r="R627" i="3"/>
  <c r="S627" i="3"/>
  <c r="T627" i="3"/>
  <c r="U627" i="3"/>
  <c r="V627" i="3"/>
  <c r="W627" i="3"/>
  <c r="O628" i="3"/>
  <c r="P628" i="3"/>
  <c r="Q628" i="3"/>
  <c r="R628" i="3"/>
  <c r="S628" i="3"/>
  <c r="T628" i="3"/>
  <c r="O629" i="3"/>
  <c r="P629" i="3"/>
  <c r="Q629" i="3"/>
  <c r="R629" i="3"/>
  <c r="S629" i="3"/>
  <c r="T629" i="3"/>
  <c r="V629" i="3"/>
  <c r="O630" i="3"/>
  <c r="P630" i="3"/>
  <c r="Q630" i="3"/>
  <c r="R630" i="3"/>
  <c r="S630" i="3"/>
  <c r="T630" i="3"/>
  <c r="O631" i="3"/>
  <c r="P631" i="3"/>
  <c r="Q631" i="3"/>
  <c r="R631" i="3"/>
  <c r="S631" i="3"/>
  <c r="T631" i="3"/>
  <c r="U631" i="3"/>
  <c r="W631" i="3"/>
  <c r="X631" i="3"/>
  <c r="O632" i="3"/>
  <c r="P632" i="3"/>
  <c r="Q632" i="3"/>
  <c r="R632" i="3"/>
  <c r="S632" i="3"/>
  <c r="T632" i="3"/>
  <c r="O633" i="3"/>
  <c r="P633" i="3"/>
  <c r="Q633" i="3"/>
  <c r="R633" i="3"/>
  <c r="S633" i="3"/>
  <c r="T633" i="3"/>
  <c r="V633" i="3"/>
  <c r="O634" i="3"/>
  <c r="P634" i="3"/>
  <c r="Q634" i="3"/>
  <c r="R634" i="3"/>
  <c r="S634" i="3"/>
  <c r="T634" i="3"/>
  <c r="O635" i="3"/>
  <c r="P635" i="3"/>
  <c r="Q635" i="3"/>
  <c r="R635" i="3"/>
  <c r="S635" i="3"/>
  <c r="T635" i="3"/>
  <c r="U635" i="3"/>
  <c r="V635" i="3"/>
  <c r="W635" i="3"/>
  <c r="O636" i="3"/>
  <c r="P636" i="3"/>
  <c r="Q636" i="3"/>
  <c r="R636" i="3"/>
  <c r="S636" i="3"/>
  <c r="T636" i="3"/>
  <c r="O637" i="3"/>
  <c r="P637" i="3"/>
  <c r="Q637" i="3"/>
  <c r="R637" i="3"/>
  <c r="S637" i="3"/>
  <c r="T637" i="3"/>
  <c r="V637" i="3"/>
  <c r="O638" i="3"/>
  <c r="P638" i="3"/>
  <c r="Q638" i="3"/>
  <c r="R638" i="3"/>
  <c r="S638" i="3"/>
  <c r="T638" i="3"/>
  <c r="O639" i="3"/>
  <c r="P639" i="3"/>
  <c r="Q639" i="3"/>
  <c r="R639" i="3"/>
  <c r="S639" i="3"/>
  <c r="T639" i="3"/>
  <c r="U639" i="3"/>
  <c r="W639" i="3"/>
  <c r="X639" i="3"/>
  <c r="O640" i="3"/>
  <c r="P640" i="3"/>
  <c r="Q640" i="3"/>
  <c r="R640" i="3"/>
  <c r="S640" i="3"/>
  <c r="T640" i="3"/>
  <c r="O641" i="3"/>
  <c r="P641" i="3"/>
  <c r="Q641" i="3"/>
  <c r="R641" i="3"/>
  <c r="S641" i="3"/>
  <c r="T641" i="3"/>
  <c r="V641" i="3"/>
  <c r="O642" i="3"/>
  <c r="P642" i="3"/>
  <c r="Q642" i="3"/>
  <c r="R642" i="3"/>
  <c r="S642" i="3"/>
  <c r="T642" i="3"/>
  <c r="O643" i="3"/>
  <c r="P643" i="3"/>
  <c r="Q643" i="3"/>
  <c r="R643" i="3"/>
  <c r="S643" i="3"/>
  <c r="T643" i="3"/>
  <c r="U643" i="3"/>
  <c r="V643" i="3"/>
  <c r="W643" i="3"/>
  <c r="O644" i="3"/>
  <c r="P644" i="3"/>
  <c r="Q644" i="3"/>
  <c r="R644" i="3"/>
  <c r="S644" i="3"/>
  <c r="T644" i="3"/>
  <c r="O645" i="3"/>
  <c r="P645" i="3"/>
  <c r="Q645" i="3"/>
  <c r="R645" i="3"/>
  <c r="S645" i="3"/>
  <c r="T645" i="3"/>
  <c r="V645" i="3"/>
  <c r="O646" i="3"/>
  <c r="P646" i="3"/>
  <c r="Q646" i="3"/>
  <c r="R646" i="3"/>
  <c r="S646" i="3"/>
  <c r="T646" i="3"/>
  <c r="O647" i="3"/>
  <c r="P647" i="3"/>
  <c r="Q647" i="3"/>
  <c r="R647" i="3"/>
  <c r="S647" i="3"/>
  <c r="T647" i="3"/>
  <c r="U647" i="3"/>
  <c r="W647" i="3"/>
  <c r="X647" i="3"/>
  <c r="O648" i="3"/>
  <c r="P648" i="3"/>
  <c r="Q648" i="3"/>
  <c r="R648" i="3"/>
  <c r="S648" i="3"/>
  <c r="T648" i="3"/>
  <c r="O649" i="3"/>
  <c r="P649" i="3"/>
  <c r="Q649" i="3"/>
  <c r="R649" i="3"/>
  <c r="S649" i="3"/>
  <c r="T649" i="3"/>
  <c r="V649" i="3"/>
  <c r="O650" i="3"/>
  <c r="P650" i="3"/>
  <c r="Q650" i="3"/>
  <c r="R650" i="3"/>
  <c r="S650" i="3"/>
  <c r="T650" i="3"/>
  <c r="O651" i="3"/>
  <c r="P651" i="3"/>
  <c r="Q651" i="3"/>
  <c r="R651" i="3"/>
  <c r="S651" i="3"/>
  <c r="T651" i="3"/>
  <c r="U651" i="3"/>
  <c r="V651" i="3"/>
  <c r="W651" i="3"/>
  <c r="O652" i="3"/>
  <c r="P652" i="3"/>
  <c r="Q652" i="3"/>
  <c r="R652" i="3"/>
  <c r="S652" i="3"/>
  <c r="T652" i="3"/>
  <c r="O653" i="3"/>
  <c r="P653" i="3"/>
  <c r="Q653" i="3"/>
  <c r="R653" i="3"/>
  <c r="S653" i="3"/>
  <c r="T653" i="3"/>
  <c r="V653" i="3"/>
  <c r="O654" i="3"/>
  <c r="P654" i="3"/>
  <c r="Q654" i="3"/>
  <c r="R654" i="3"/>
  <c r="S654" i="3"/>
  <c r="T654" i="3"/>
  <c r="U654" i="3"/>
  <c r="V654" i="3"/>
  <c r="W654" i="3"/>
  <c r="X654" i="3"/>
  <c r="O655" i="3"/>
  <c r="P655" i="3"/>
  <c r="Q655" i="3"/>
  <c r="R655" i="3"/>
  <c r="S655" i="3"/>
  <c r="T655" i="3"/>
  <c r="U655" i="3"/>
  <c r="V655" i="3"/>
  <c r="W655" i="3"/>
  <c r="X655" i="3"/>
  <c r="O656" i="3"/>
  <c r="P656" i="3"/>
  <c r="Q656" i="3"/>
  <c r="R656" i="3"/>
  <c r="S656" i="3"/>
  <c r="T656" i="3"/>
  <c r="U656" i="3"/>
  <c r="V656" i="3"/>
  <c r="W656" i="3"/>
  <c r="X656" i="3"/>
  <c r="O657" i="3"/>
  <c r="P657" i="3"/>
  <c r="Q657" i="3"/>
  <c r="R657" i="3"/>
  <c r="S657" i="3"/>
  <c r="T657" i="3"/>
  <c r="U657" i="3"/>
  <c r="V657" i="3"/>
  <c r="W657" i="3"/>
  <c r="X657" i="3"/>
  <c r="O658" i="3"/>
  <c r="P658" i="3"/>
  <c r="Q658" i="3"/>
  <c r="R658" i="3"/>
  <c r="S658" i="3"/>
  <c r="T658" i="3"/>
  <c r="U658" i="3"/>
  <c r="V658" i="3"/>
  <c r="W658" i="3"/>
  <c r="X658" i="3"/>
  <c r="O659" i="3"/>
  <c r="P659" i="3"/>
  <c r="Q659" i="3"/>
  <c r="R659" i="3"/>
  <c r="S659" i="3"/>
  <c r="T659" i="3"/>
  <c r="U659" i="3"/>
  <c r="V659" i="3"/>
  <c r="W659" i="3"/>
  <c r="X659" i="3"/>
  <c r="O660" i="3"/>
  <c r="P660" i="3"/>
  <c r="Q660" i="3"/>
  <c r="R660" i="3"/>
  <c r="S660" i="3"/>
  <c r="T660" i="3"/>
  <c r="U660" i="3"/>
  <c r="V660" i="3"/>
  <c r="W660" i="3"/>
  <c r="X660" i="3"/>
  <c r="O661" i="3"/>
  <c r="P661" i="3"/>
  <c r="Q661" i="3"/>
  <c r="R661" i="3"/>
  <c r="S661" i="3"/>
  <c r="T661" i="3"/>
  <c r="U661" i="3"/>
  <c r="V661" i="3"/>
  <c r="W661" i="3"/>
  <c r="X661" i="3"/>
  <c r="O662" i="3"/>
  <c r="P662" i="3"/>
  <c r="Q662" i="3"/>
  <c r="R662" i="3"/>
  <c r="S662" i="3"/>
  <c r="T662" i="3"/>
  <c r="U662" i="3"/>
  <c r="V662" i="3"/>
  <c r="W662" i="3"/>
  <c r="X662" i="3"/>
  <c r="O663" i="3"/>
  <c r="P663" i="3"/>
  <c r="Q663" i="3"/>
  <c r="R663" i="3"/>
  <c r="S663" i="3"/>
  <c r="T663" i="3"/>
  <c r="U663" i="3"/>
  <c r="V663" i="3"/>
  <c r="W663" i="3"/>
  <c r="X663" i="3"/>
  <c r="O664" i="3"/>
  <c r="P664" i="3"/>
  <c r="Q664" i="3"/>
  <c r="R664" i="3"/>
  <c r="S664" i="3"/>
  <c r="T664" i="3"/>
  <c r="U664" i="3"/>
  <c r="V664" i="3"/>
  <c r="W664" i="3"/>
  <c r="X664" i="3"/>
  <c r="O665" i="3"/>
  <c r="P665" i="3"/>
  <c r="Q665" i="3"/>
  <c r="R665" i="3"/>
  <c r="S665" i="3"/>
  <c r="T665" i="3"/>
  <c r="U665" i="3"/>
  <c r="V665" i="3"/>
  <c r="W665" i="3"/>
  <c r="X665" i="3"/>
  <c r="O666" i="3"/>
  <c r="P666" i="3"/>
  <c r="Q666" i="3"/>
  <c r="R666" i="3"/>
  <c r="S666" i="3"/>
  <c r="T666" i="3"/>
  <c r="U666" i="3"/>
  <c r="V666" i="3"/>
  <c r="W666" i="3"/>
  <c r="X666" i="3"/>
  <c r="O667" i="3"/>
  <c r="P667" i="3"/>
  <c r="Q667" i="3"/>
  <c r="R667" i="3"/>
  <c r="S667" i="3"/>
  <c r="T667" i="3"/>
  <c r="U667" i="3"/>
  <c r="V667" i="3"/>
  <c r="W667" i="3"/>
  <c r="X667" i="3"/>
  <c r="O668" i="3"/>
  <c r="P668" i="3"/>
  <c r="Q668" i="3"/>
  <c r="R668" i="3"/>
  <c r="S668" i="3"/>
  <c r="T668" i="3"/>
  <c r="U668" i="3"/>
  <c r="V668" i="3"/>
  <c r="W668" i="3"/>
  <c r="X668" i="3"/>
  <c r="O669" i="3"/>
  <c r="P669" i="3"/>
  <c r="Q669" i="3"/>
  <c r="R669" i="3"/>
  <c r="S669" i="3"/>
  <c r="T669" i="3"/>
  <c r="U669" i="3"/>
  <c r="V669" i="3"/>
  <c r="W669" i="3"/>
  <c r="X669" i="3"/>
  <c r="O670" i="3"/>
  <c r="P670" i="3"/>
  <c r="Q670" i="3"/>
  <c r="R670" i="3"/>
  <c r="S670" i="3"/>
  <c r="T670" i="3"/>
  <c r="U670" i="3"/>
  <c r="V670" i="3"/>
  <c r="W670" i="3"/>
  <c r="X670" i="3"/>
  <c r="O671" i="3"/>
  <c r="P671" i="3"/>
  <c r="Q671" i="3"/>
  <c r="R671" i="3"/>
  <c r="S671" i="3"/>
  <c r="T671" i="3"/>
  <c r="U671" i="3"/>
  <c r="V671" i="3"/>
  <c r="W671" i="3"/>
  <c r="X671" i="3"/>
  <c r="O672" i="3"/>
  <c r="P672" i="3"/>
  <c r="Q672" i="3"/>
  <c r="R672" i="3"/>
  <c r="S672" i="3"/>
  <c r="T672" i="3"/>
  <c r="U672" i="3"/>
  <c r="V672" i="3"/>
  <c r="W672" i="3"/>
  <c r="X672" i="3"/>
  <c r="O673" i="3"/>
  <c r="P673" i="3"/>
  <c r="Q673" i="3"/>
  <c r="R673" i="3"/>
  <c r="S673" i="3"/>
  <c r="T673" i="3"/>
  <c r="U673" i="3"/>
  <c r="V673" i="3"/>
  <c r="W673" i="3"/>
  <c r="X673" i="3"/>
  <c r="O674" i="3"/>
  <c r="P674" i="3"/>
  <c r="Q674" i="3"/>
  <c r="R674" i="3"/>
  <c r="S674" i="3"/>
  <c r="T674" i="3"/>
  <c r="U674" i="3"/>
  <c r="V674" i="3"/>
  <c r="W674" i="3"/>
  <c r="X674" i="3"/>
  <c r="O675" i="3"/>
  <c r="P675" i="3"/>
  <c r="Q675" i="3"/>
  <c r="R675" i="3"/>
  <c r="S675" i="3"/>
  <c r="T675" i="3"/>
  <c r="U675" i="3"/>
  <c r="V675" i="3"/>
  <c r="W675" i="3"/>
  <c r="X675" i="3"/>
  <c r="O676" i="3"/>
  <c r="P676" i="3"/>
  <c r="Q676" i="3"/>
  <c r="R676" i="3"/>
  <c r="S676" i="3"/>
  <c r="T676" i="3"/>
  <c r="U676" i="3"/>
  <c r="V676" i="3"/>
  <c r="W676" i="3"/>
  <c r="X676" i="3"/>
  <c r="O677" i="3"/>
  <c r="P677" i="3"/>
  <c r="Q677" i="3"/>
  <c r="R677" i="3"/>
  <c r="S677" i="3"/>
  <c r="T677" i="3"/>
  <c r="U677" i="3"/>
  <c r="V677" i="3"/>
  <c r="W677" i="3"/>
  <c r="X677" i="3"/>
  <c r="O678" i="3"/>
  <c r="P678" i="3"/>
  <c r="Q678" i="3"/>
  <c r="R678" i="3"/>
  <c r="S678" i="3"/>
  <c r="T678" i="3"/>
  <c r="U678" i="3"/>
  <c r="V678" i="3"/>
  <c r="W678" i="3"/>
  <c r="X678" i="3"/>
  <c r="O679" i="3"/>
  <c r="P679" i="3"/>
  <c r="Q679" i="3"/>
  <c r="R679" i="3"/>
  <c r="S679" i="3"/>
  <c r="T679" i="3"/>
  <c r="U679" i="3"/>
  <c r="V679" i="3"/>
  <c r="W679" i="3"/>
  <c r="X679" i="3"/>
  <c r="O680" i="3"/>
  <c r="P680" i="3"/>
  <c r="Q680" i="3"/>
  <c r="R680" i="3"/>
  <c r="S680" i="3"/>
  <c r="T680" i="3"/>
  <c r="U680" i="3"/>
  <c r="V680" i="3"/>
  <c r="W680" i="3"/>
  <c r="X680" i="3"/>
  <c r="O681" i="3"/>
  <c r="P681" i="3"/>
  <c r="Q681" i="3"/>
  <c r="R681" i="3"/>
  <c r="S681" i="3"/>
  <c r="T681" i="3"/>
  <c r="U681" i="3"/>
  <c r="V681" i="3"/>
  <c r="W681" i="3"/>
  <c r="X681" i="3"/>
  <c r="O682" i="3"/>
  <c r="P682" i="3"/>
  <c r="Q682" i="3"/>
  <c r="R682" i="3"/>
  <c r="S682" i="3"/>
  <c r="T682" i="3"/>
  <c r="U682" i="3"/>
  <c r="V682" i="3"/>
  <c r="W682" i="3"/>
  <c r="X682" i="3"/>
  <c r="O683" i="3"/>
  <c r="P683" i="3"/>
  <c r="Q683" i="3"/>
  <c r="R683" i="3"/>
  <c r="S683" i="3"/>
  <c r="T683" i="3"/>
  <c r="U683" i="3"/>
  <c r="V683" i="3"/>
  <c r="W683" i="3"/>
  <c r="X683" i="3"/>
  <c r="O684" i="3"/>
  <c r="P684" i="3"/>
  <c r="Q684" i="3"/>
  <c r="R684" i="3"/>
  <c r="S684" i="3"/>
  <c r="T684" i="3"/>
  <c r="U684" i="3"/>
  <c r="V684" i="3"/>
  <c r="W684" i="3"/>
  <c r="X684" i="3"/>
  <c r="O685" i="3"/>
  <c r="P685" i="3"/>
  <c r="Q685" i="3"/>
  <c r="R685" i="3"/>
  <c r="S685" i="3"/>
  <c r="T685" i="3"/>
  <c r="U685" i="3"/>
  <c r="V685" i="3"/>
  <c r="W685" i="3"/>
  <c r="X685" i="3"/>
  <c r="O686" i="3"/>
  <c r="P686" i="3"/>
  <c r="Q686" i="3"/>
  <c r="R686" i="3"/>
  <c r="S686" i="3"/>
  <c r="T686" i="3"/>
  <c r="U686" i="3"/>
  <c r="V686" i="3"/>
  <c r="W686" i="3"/>
  <c r="X686" i="3"/>
  <c r="O687" i="3"/>
  <c r="P687" i="3"/>
  <c r="Q687" i="3"/>
  <c r="R687" i="3"/>
  <c r="S687" i="3"/>
  <c r="T687" i="3"/>
  <c r="U687" i="3"/>
  <c r="V687" i="3"/>
  <c r="W687" i="3"/>
  <c r="X687" i="3"/>
  <c r="O688" i="3"/>
  <c r="P688" i="3"/>
  <c r="Q688" i="3"/>
  <c r="R688" i="3"/>
  <c r="S688" i="3"/>
  <c r="T688" i="3"/>
  <c r="U688" i="3"/>
  <c r="V688" i="3"/>
  <c r="W688" i="3"/>
  <c r="X688" i="3"/>
  <c r="O689" i="3"/>
  <c r="P689" i="3"/>
  <c r="Q689" i="3"/>
  <c r="R689" i="3"/>
  <c r="S689" i="3"/>
  <c r="T689" i="3"/>
  <c r="U689" i="3"/>
  <c r="V689" i="3"/>
  <c r="W689" i="3"/>
  <c r="X689" i="3"/>
  <c r="O690" i="3"/>
  <c r="P690" i="3"/>
  <c r="Q690" i="3"/>
  <c r="R690" i="3"/>
  <c r="S690" i="3"/>
  <c r="T690" i="3"/>
  <c r="U690" i="3"/>
  <c r="V690" i="3"/>
  <c r="W690" i="3"/>
  <c r="X690" i="3"/>
  <c r="O691" i="3"/>
  <c r="P691" i="3"/>
  <c r="Q691" i="3"/>
  <c r="R691" i="3"/>
  <c r="S691" i="3"/>
  <c r="T691" i="3"/>
  <c r="U691" i="3"/>
  <c r="V691" i="3"/>
  <c r="W691" i="3"/>
  <c r="X691" i="3"/>
  <c r="O692" i="3"/>
  <c r="P692" i="3"/>
  <c r="Q692" i="3"/>
  <c r="R692" i="3"/>
  <c r="S692" i="3"/>
  <c r="T692" i="3"/>
  <c r="U692" i="3"/>
  <c r="V692" i="3"/>
  <c r="W692" i="3"/>
  <c r="X692" i="3"/>
  <c r="O693" i="3"/>
  <c r="P693" i="3"/>
  <c r="Q693" i="3"/>
  <c r="R693" i="3"/>
  <c r="S693" i="3"/>
  <c r="T693" i="3"/>
  <c r="U693" i="3"/>
  <c r="V693" i="3"/>
  <c r="W693" i="3"/>
  <c r="X693" i="3"/>
  <c r="O694" i="3"/>
  <c r="P694" i="3"/>
  <c r="Q694" i="3"/>
  <c r="R694" i="3"/>
  <c r="S694" i="3"/>
  <c r="T694" i="3"/>
  <c r="U694" i="3"/>
  <c r="V694" i="3"/>
  <c r="W694" i="3"/>
  <c r="X694" i="3"/>
  <c r="O695" i="3"/>
  <c r="P695" i="3"/>
  <c r="Q695" i="3"/>
  <c r="R695" i="3"/>
  <c r="S695" i="3"/>
  <c r="T695" i="3"/>
  <c r="U695" i="3"/>
  <c r="V695" i="3"/>
  <c r="W695" i="3"/>
  <c r="X695" i="3"/>
  <c r="O696" i="3"/>
  <c r="P696" i="3"/>
  <c r="Q696" i="3"/>
  <c r="R696" i="3"/>
  <c r="S696" i="3"/>
  <c r="T696" i="3"/>
  <c r="U696" i="3"/>
  <c r="V696" i="3"/>
  <c r="W696" i="3"/>
  <c r="X696" i="3"/>
  <c r="O697" i="3"/>
  <c r="P697" i="3"/>
  <c r="Q697" i="3"/>
  <c r="R697" i="3"/>
  <c r="S697" i="3"/>
  <c r="T697" i="3"/>
  <c r="U697" i="3"/>
  <c r="V697" i="3"/>
  <c r="W697" i="3"/>
  <c r="X697" i="3"/>
  <c r="O698" i="3"/>
  <c r="P698" i="3"/>
  <c r="Q698" i="3"/>
  <c r="R698" i="3"/>
  <c r="S698" i="3"/>
  <c r="T698" i="3"/>
  <c r="U698" i="3"/>
  <c r="V698" i="3"/>
  <c r="W698" i="3"/>
  <c r="X698" i="3"/>
  <c r="O699" i="3"/>
  <c r="P699" i="3"/>
  <c r="Q699" i="3"/>
  <c r="R699" i="3"/>
  <c r="S699" i="3"/>
  <c r="T699" i="3"/>
  <c r="U699" i="3"/>
  <c r="V699" i="3"/>
  <c r="W699" i="3"/>
  <c r="X699" i="3"/>
  <c r="O700" i="3"/>
  <c r="P700" i="3"/>
  <c r="Q700" i="3"/>
  <c r="R700" i="3"/>
  <c r="S700" i="3"/>
  <c r="T700" i="3"/>
  <c r="U700" i="3"/>
  <c r="V700" i="3"/>
  <c r="W700" i="3"/>
  <c r="X700" i="3"/>
  <c r="O701" i="3"/>
  <c r="P701" i="3"/>
  <c r="Q701" i="3"/>
  <c r="R701" i="3"/>
  <c r="S701" i="3"/>
  <c r="T701" i="3"/>
  <c r="U701" i="3"/>
  <c r="V701" i="3"/>
  <c r="W701" i="3"/>
  <c r="X701" i="3"/>
  <c r="O702" i="3"/>
  <c r="P702" i="3"/>
  <c r="Q702" i="3"/>
  <c r="R702" i="3"/>
  <c r="S702" i="3"/>
  <c r="T702" i="3"/>
  <c r="U702" i="3"/>
  <c r="V702" i="3"/>
  <c r="W702" i="3"/>
  <c r="X702" i="3"/>
  <c r="O703" i="3"/>
  <c r="P703" i="3"/>
  <c r="Q703" i="3"/>
  <c r="R703" i="3"/>
  <c r="S703" i="3"/>
  <c r="T703" i="3"/>
  <c r="U703" i="3"/>
  <c r="V703" i="3"/>
  <c r="W703" i="3"/>
  <c r="X703" i="3"/>
  <c r="O704" i="3"/>
  <c r="P704" i="3"/>
  <c r="Q704" i="3"/>
  <c r="R704" i="3"/>
  <c r="S704" i="3"/>
  <c r="T704" i="3"/>
  <c r="U704" i="3"/>
  <c r="V704" i="3"/>
  <c r="W704" i="3"/>
  <c r="X704" i="3"/>
  <c r="O705" i="3"/>
  <c r="P705" i="3"/>
  <c r="Q705" i="3"/>
  <c r="R705" i="3"/>
  <c r="S705" i="3"/>
  <c r="T705" i="3"/>
  <c r="U705" i="3"/>
  <c r="V705" i="3"/>
  <c r="W705" i="3"/>
  <c r="X705" i="3"/>
  <c r="O706" i="3"/>
  <c r="P706" i="3"/>
  <c r="Q706" i="3"/>
  <c r="R706" i="3"/>
  <c r="S706" i="3"/>
  <c r="T706" i="3"/>
  <c r="U706" i="3"/>
  <c r="V706" i="3"/>
  <c r="W706" i="3"/>
  <c r="X706" i="3"/>
  <c r="O707" i="3"/>
  <c r="P707" i="3"/>
  <c r="Q707" i="3"/>
  <c r="R707" i="3"/>
  <c r="S707" i="3"/>
  <c r="T707" i="3"/>
  <c r="U707" i="3"/>
  <c r="V707" i="3"/>
  <c r="W707" i="3"/>
  <c r="X707" i="3"/>
  <c r="O708" i="3"/>
  <c r="P708" i="3"/>
  <c r="Q708" i="3"/>
  <c r="R708" i="3"/>
  <c r="S708" i="3"/>
  <c r="T708" i="3"/>
  <c r="U708" i="3"/>
  <c r="V708" i="3"/>
  <c r="W708" i="3"/>
  <c r="X708" i="3"/>
  <c r="O709" i="3"/>
  <c r="P709" i="3"/>
  <c r="Q709" i="3"/>
  <c r="R709" i="3"/>
  <c r="S709" i="3"/>
  <c r="T709" i="3"/>
  <c r="U709" i="3"/>
  <c r="V709" i="3"/>
  <c r="W709" i="3"/>
  <c r="X709" i="3"/>
  <c r="O710" i="3"/>
  <c r="P710" i="3"/>
  <c r="Q710" i="3"/>
  <c r="R710" i="3"/>
  <c r="S710" i="3"/>
  <c r="T710" i="3"/>
  <c r="U710" i="3"/>
  <c r="V710" i="3"/>
  <c r="W710" i="3"/>
  <c r="X710" i="3"/>
  <c r="O711" i="3"/>
  <c r="P711" i="3"/>
  <c r="Q711" i="3"/>
  <c r="R711" i="3"/>
  <c r="S711" i="3"/>
  <c r="T711" i="3"/>
  <c r="U711" i="3"/>
  <c r="V711" i="3"/>
  <c r="W711" i="3"/>
  <c r="X711" i="3"/>
  <c r="O712" i="3"/>
  <c r="P712" i="3"/>
  <c r="Q712" i="3"/>
  <c r="R712" i="3"/>
  <c r="S712" i="3"/>
  <c r="T712" i="3"/>
  <c r="U712" i="3"/>
  <c r="V712" i="3"/>
  <c r="W712" i="3"/>
  <c r="X712" i="3"/>
  <c r="O713" i="3"/>
  <c r="P713" i="3"/>
  <c r="Q713" i="3"/>
  <c r="R713" i="3"/>
  <c r="S713" i="3"/>
  <c r="T713" i="3"/>
  <c r="U713" i="3"/>
  <c r="V713" i="3"/>
  <c r="W713" i="3"/>
  <c r="X713" i="3"/>
  <c r="O714" i="3"/>
  <c r="P714" i="3"/>
  <c r="Q714" i="3"/>
  <c r="R714" i="3"/>
  <c r="S714" i="3"/>
  <c r="T714" i="3"/>
  <c r="U714" i="3"/>
  <c r="V714" i="3"/>
  <c r="W714" i="3"/>
  <c r="X714" i="3"/>
  <c r="O715" i="3"/>
  <c r="P715" i="3"/>
  <c r="Q715" i="3"/>
  <c r="R715" i="3"/>
  <c r="S715" i="3"/>
  <c r="T715" i="3"/>
  <c r="U715" i="3"/>
  <c r="V715" i="3"/>
  <c r="W715" i="3"/>
  <c r="X715" i="3"/>
  <c r="O716" i="3"/>
  <c r="P716" i="3"/>
  <c r="Q716" i="3"/>
  <c r="R716" i="3"/>
  <c r="S716" i="3"/>
  <c r="T716" i="3"/>
  <c r="U716" i="3"/>
  <c r="V716" i="3"/>
  <c r="W716" i="3"/>
  <c r="X716" i="3"/>
  <c r="O717" i="3"/>
  <c r="P717" i="3"/>
  <c r="Q717" i="3"/>
  <c r="R717" i="3"/>
  <c r="S717" i="3"/>
  <c r="T717" i="3"/>
  <c r="U717" i="3"/>
  <c r="V717" i="3"/>
  <c r="W717" i="3"/>
  <c r="X717" i="3"/>
  <c r="O718" i="3"/>
  <c r="P718" i="3"/>
  <c r="Q718" i="3"/>
  <c r="R718" i="3"/>
  <c r="S718" i="3"/>
  <c r="T718" i="3"/>
  <c r="U718" i="3"/>
  <c r="V718" i="3"/>
  <c r="W718" i="3"/>
  <c r="X718" i="3"/>
  <c r="O719" i="3"/>
  <c r="P719" i="3"/>
  <c r="Q719" i="3"/>
  <c r="R719" i="3"/>
  <c r="S719" i="3"/>
  <c r="T719" i="3"/>
  <c r="U719" i="3"/>
  <c r="V719" i="3"/>
  <c r="W719" i="3"/>
  <c r="X719" i="3"/>
  <c r="O720" i="3"/>
  <c r="P720" i="3"/>
  <c r="Q720" i="3"/>
  <c r="R720" i="3"/>
  <c r="S720" i="3"/>
  <c r="T720" i="3"/>
  <c r="U720" i="3"/>
  <c r="V720" i="3"/>
  <c r="W720" i="3"/>
  <c r="X720" i="3"/>
  <c r="O721" i="3"/>
  <c r="P721" i="3"/>
  <c r="Q721" i="3"/>
  <c r="R721" i="3"/>
  <c r="S721" i="3"/>
  <c r="T721" i="3"/>
  <c r="U721" i="3"/>
  <c r="V721" i="3"/>
  <c r="W721" i="3"/>
  <c r="X721" i="3"/>
  <c r="O722" i="3"/>
  <c r="P722" i="3"/>
  <c r="Q722" i="3"/>
  <c r="R722" i="3"/>
  <c r="S722" i="3"/>
  <c r="T722" i="3"/>
  <c r="U722" i="3"/>
  <c r="V722" i="3"/>
  <c r="W722" i="3"/>
  <c r="X722" i="3"/>
  <c r="O723" i="3"/>
  <c r="P723" i="3"/>
  <c r="Q723" i="3"/>
  <c r="R723" i="3"/>
  <c r="S723" i="3"/>
  <c r="T723" i="3"/>
  <c r="U723" i="3"/>
  <c r="V723" i="3"/>
  <c r="W723" i="3"/>
  <c r="X723" i="3"/>
  <c r="O724" i="3"/>
  <c r="P724" i="3"/>
  <c r="Q724" i="3"/>
  <c r="R724" i="3"/>
  <c r="S724" i="3"/>
  <c r="T724" i="3"/>
  <c r="U724" i="3"/>
  <c r="V724" i="3"/>
  <c r="W724" i="3"/>
  <c r="X724" i="3"/>
  <c r="O725" i="3"/>
  <c r="P725" i="3"/>
  <c r="Q725" i="3"/>
  <c r="R725" i="3"/>
  <c r="S725" i="3"/>
  <c r="T725" i="3"/>
  <c r="U725" i="3"/>
  <c r="V725" i="3"/>
  <c r="W725" i="3"/>
  <c r="X725" i="3"/>
  <c r="O726" i="3"/>
  <c r="P726" i="3"/>
  <c r="Q726" i="3"/>
  <c r="R726" i="3"/>
  <c r="S726" i="3"/>
  <c r="T726" i="3"/>
  <c r="U726" i="3"/>
  <c r="V726" i="3"/>
  <c r="W726" i="3"/>
  <c r="X726" i="3"/>
  <c r="W648" i="3" l="1"/>
  <c r="W640" i="3"/>
  <c r="W632" i="3"/>
  <c r="W624" i="3"/>
  <c r="X616" i="3"/>
  <c r="X608" i="3"/>
  <c r="V652" i="3"/>
  <c r="U632" i="3"/>
  <c r="U620" i="3"/>
  <c r="X643" i="3"/>
  <c r="V639" i="3"/>
  <c r="X627" i="3"/>
  <c r="V623" i="3"/>
  <c r="V615" i="3"/>
  <c r="X611" i="3"/>
  <c r="V607" i="3"/>
  <c r="W649" i="3"/>
  <c r="U640" i="3"/>
  <c r="U628" i="3"/>
  <c r="W617" i="3"/>
  <c r="W652" i="3"/>
  <c r="X636" i="3"/>
  <c r="X620" i="3"/>
  <c r="X612" i="3"/>
  <c r="V648" i="3"/>
  <c r="U636" i="3"/>
  <c r="X650" i="3"/>
  <c r="X646" i="3"/>
  <c r="X642" i="3"/>
  <c r="W638" i="3"/>
  <c r="X634" i="3"/>
  <c r="W630" i="3"/>
  <c r="X626" i="3"/>
  <c r="W622" i="3"/>
  <c r="X618" i="3"/>
  <c r="X614" i="3"/>
  <c r="X610" i="3"/>
  <c r="X606" i="3"/>
  <c r="W650" i="3"/>
  <c r="W642" i="3"/>
  <c r="U634" i="3"/>
  <c r="W626" i="3"/>
  <c r="V618" i="3"/>
  <c r="V650" i="3"/>
  <c r="V646" i="3"/>
  <c r="V642" i="3"/>
  <c r="U638" i="3"/>
  <c r="V634" i="3"/>
  <c r="U630" i="3"/>
  <c r="V626" i="3"/>
  <c r="U622" i="3"/>
  <c r="U618" i="3"/>
  <c r="U614" i="3"/>
  <c r="U610" i="3"/>
  <c r="U606" i="3"/>
  <c r="U605" i="3"/>
  <c r="V614" i="3"/>
  <c r="V606" i="3"/>
  <c r="W653" i="3"/>
  <c r="W645" i="3"/>
  <c r="W637" i="3"/>
  <c r="W629" i="3"/>
  <c r="W621" i="3"/>
  <c r="W613" i="3"/>
  <c r="U652" i="3"/>
  <c r="U650" i="3"/>
  <c r="U648" i="3"/>
  <c r="U646" i="3"/>
  <c r="U644" i="3"/>
  <c r="U642" i="3"/>
  <c r="X638" i="3"/>
  <c r="W634" i="3"/>
  <c r="X632" i="3"/>
  <c r="V630" i="3"/>
  <c r="W628" i="3"/>
  <c r="U626" i="3"/>
  <c r="X622" i="3"/>
  <c r="W618" i="3"/>
  <c r="W616" i="3"/>
  <c r="W610" i="3"/>
  <c r="W608" i="3"/>
  <c r="U616" i="3"/>
  <c r="V610" i="3"/>
  <c r="X652" i="3"/>
  <c r="X648" i="3"/>
  <c r="X644" i="3"/>
  <c r="X640" i="3"/>
  <c r="W636" i="3"/>
  <c r="X624" i="3"/>
  <c r="W620" i="3"/>
  <c r="W612" i="3"/>
  <c r="U608" i="3"/>
  <c r="U653" i="3"/>
  <c r="U645" i="3"/>
  <c r="U633" i="3"/>
  <c r="U625" i="3"/>
  <c r="U621" i="3"/>
  <c r="U617" i="3"/>
  <c r="U613" i="3"/>
  <c r="U609" i="3"/>
  <c r="X653" i="3"/>
  <c r="X649" i="3"/>
  <c r="X645" i="3"/>
  <c r="X641" i="3"/>
  <c r="V640" i="3"/>
  <c r="X637" i="3"/>
  <c r="V636" i="3"/>
  <c r="X633" i="3"/>
  <c r="V632" i="3"/>
  <c r="X629" i="3"/>
  <c r="V628" i="3"/>
  <c r="X625" i="3"/>
  <c r="V624" i="3"/>
  <c r="X621" i="3"/>
  <c r="V620" i="3"/>
  <c r="X617" i="3"/>
  <c r="V616" i="3"/>
  <c r="X613" i="3"/>
  <c r="V612" i="3"/>
  <c r="X609" i="3"/>
  <c r="V608" i="3"/>
  <c r="U649" i="3"/>
  <c r="U641" i="3"/>
  <c r="U637" i="3"/>
  <c r="U629" i="3"/>
  <c r="W605" i="3"/>
  <c r="V605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O535" i="3"/>
  <c r="P535" i="3"/>
  <c r="Q535" i="3"/>
  <c r="R535" i="3"/>
  <c r="S535" i="3"/>
  <c r="T535" i="3"/>
  <c r="U535" i="3"/>
  <c r="V535" i="3"/>
  <c r="W535" i="3"/>
  <c r="X535" i="3"/>
  <c r="O536" i="3"/>
  <c r="P536" i="3"/>
  <c r="Q536" i="3"/>
  <c r="R536" i="3"/>
  <c r="S536" i="3"/>
  <c r="T536" i="3"/>
  <c r="U536" i="3"/>
  <c r="V536" i="3"/>
  <c r="W536" i="3"/>
  <c r="X536" i="3"/>
  <c r="O537" i="3"/>
  <c r="P537" i="3"/>
  <c r="Q537" i="3"/>
  <c r="R537" i="3"/>
  <c r="S537" i="3"/>
  <c r="T537" i="3"/>
  <c r="U537" i="3"/>
  <c r="V537" i="3"/>
  <c r="W537" i="3"/>
  <c r="X537" i="3"/>
  <c r="O538" i="3"/>
  <c r="P538" i="3"/>
  <c r="Q538" i="3"/>
  <c r="R538" i="3"/>
  <c r="S538" i="3"/>
  <c r="T538" i="3"/>
  <c r="U538" i="3"/>
  <c r="V538" i="3"/>
  <c r="W538" i="3"/>
  <c r="X538" i="3"/>
  <c r="O539" i="3"/>
  <c r="P539" i="3"/>
  <c r="Q539" i="3"/>
  <c r="R539" i="3"/>
  <c r="S539" i="3"/>
  <c r="T539" i="3"/>
  <c r="U539" i="3"/>
  <c r="V539" i="3"/>
  <c r="W539" i="3"/>
  <c r="X539" i="3"/>
  <c r="O540" i="3"/>
  <c r="P540" i="3"/>
  <c r="Q540" i="3"/>
  <c r="R540" i="3"/>
  <c r="S540" i="3"/>
  <c r="T540" i="3"/>
  <c r="U540" i="3"/>
  <c r="V540" i="3"/>
  <c r="W540" i="3"/>
  <c r="X540" i="3"/>
  <c r="O541" i="3"/>
  <c r="P541" i="3"/>
  <c r="Q541" i="3"/>
  <c r="R541" i="3"/>
  <c r="S541" i="3"/>
  <c r="T541" i="3"/>
  <c r="U541" i="3"/>
  <c r="V541" i="3"/>
  <c r="W541" i="3"/>
  <c r="X541" i="3"/>
  <c r="O542" i="3"/>
  <c r="P542" i="3"/>
  <c r="Q542" i="3"/>
  <c r="R542" i="3"/>
  <c r="S542" i="3"/>
  <c r="T542" i="3"/>
  <c r="U542" i="3"/>
  <c r="V542" i="3"/>
  <c r="W542" i="3"/>
  <c r="X542" i="3"/>
  <c r="O543" i="3"/>
  <c r="P543" i="3"/>
  <c r="Q543" i="3"/>
  <c r="R543" i="3"/>
  <c r="S543" i="3"/>
  <c r="T543" i="3"/>
  <c r="U543" i="3"/>
  <c r="V543" i="3"/>
  <c r="W543" i="3"/>
  <c r="X543" i="3"/>
  <c r="O544" i="3"/>
  <c r="P544" i="3"/>
  <c r="Q544" i="3"/>
  <c r="R544" i="3"/>
  <c r="S544" i="3"/>
  <c r="T544" i="3"/>
  <c r="U544" i="3"/>
  <c r="V544" i="3"/>
  <c r="W544" i="3"/>
  <c r="X544" i="3"/>
  <c r="O545" i="3"/>
  <c r="P545" i="3"/>
  <c r="Q545" i="3"/>
  <c r="R545" i="3"/>
  <c r="S545" i="3"/>
  <c r="T545" i="3"/>
  <c r="U545" i="3"/>
  <c r="V545" i="3"/>
  <c r="W545" i="3"/>
  <c r="X545" i="3"/>
  <c r="O546" i="3"/>
  <c r="P546" i="3"/>
  <c r="Q546" i="3"/>
  <c r="R546" i="3"/>
  <c r="S546" i="3"/>
  <c r="T546" i="3"/>
  <c r="U546" i="3"/>
  <c r="V546" i="3"/>
  <c r="W546" i="3"/>
  <c r="X546" i="3"/>
  <c r="O547" i="3"/>
  <c r="P547" i="3"/>
  <c r="Q547" i="3"/>
  <c r="R547" i="3"/>
  <c r="S547" i="3"/>
  <c r="T547" i="3"/>
  <c r="U547" i="3"/>
  <c r="V547" i="3"/>
  <c r="W547" i="3"/>
  <c r="X547" i="3"/>
  <c r="O548" i="3"/>
  <c r="P548" i="3"/>
  <c r="Q548" i="3"/>
  <c r="R548" i="3"/>
  <c r="S548" i="3"/>
  <c r="T548" i="3"/>
  <c r="U548" i="3"/>
  <c r="V548" i="3"/>
  <c r="W548" i="3"/>
  <c r="X548" i="3"/>
  <c r="O549" i="3"/>
  <c r="P549" i="3"/>
  <c r="Q549" i="3"/>
  <c r="R549" i="3"/>
  <c r="S549" i="3"/>
  <c r="T549" i="3"/>
  <c r="U549" i="3"/>
  <c r="V549" i="3"/>
  <c r="W549" i="3"/>
  <c r="X549" i="3"/>
  <c r="O550" i="3"/>
  <c r="P550" i="3"/>
  <c r="Q550" i="3"/>
  <c r="R550" i="3"/>
  <c r="S550" i="3"/>
  <c r="T550" i="3"/>
  <c r="U550" i="3"/>
  <c r="V550" i="3"/>
  <c r="W550" i="3"/>
  <c r="X550" i="3"/>
  <c r="O551" i="3"/>
  <c r="P551" i="3"/>
  <c r="Q551" i="3"/>
  <c r="R551" i="3"/>
  <c r="S551" i="3"/>
  <c r="T551" i="3"/>
  <c r="U551" i="3"/>
  <c r="V551" i="3"/>
  <c r="W551" i="3"/>
  <c r="X551" i="3"/>
  <c r="O552" i="3"/>
  <c r="P552" i="3"/>
  <c r="Q552" i="3"/>
  <c r="R552" i="3"/>
  <c r="S552" i="3"/>
  <c r="T552" i="3"/>
  <c r="U552" i="3"/>
  <c r="V552" i="3"/>
  <c r="W552" i="3"/>
  <c r="X552" i="3"/>
  <c r="O553" i="3"/>
  <c r="P553" i="3"/>
  <c r="Q553" i="3"/>
  <c r="R553" i="3"/>
  <c r="S553" i="3"/>
  <c r="T553" i="3"/>
  <c r="U553" i="3"/>
  <c r="V553" i="3"/>
  <c r="W553" i="3"/>
  <c r="X553" i="3"/>
  <c r="O554" i="3"/>
  <c r="P554" i="3"/>
  <c r="Q554" i="3"/>
  <c r="R554" i="3"/>
  <c r="S554" i="3"/>
  <c r="T554" i="3"/>
  <c r="U554" i="3"/>
  <c r="V554" i="3"/>
  <c r="W554" i="3"/>
  <c r="X554" i="3"/>
  <c r="O555" i="3"/>
  <c r="P555" i="3"/>
  <c r="Q555" i="3"/>
  <c r="R555" i="3"/>
  <c r="S555" i="3"/>
  <c r="T555" i="3"/>
  <c r="U555" i="3"/>
  <c r="V555" i="3"/>
  <c r="W555" i="3"/>
  <c r="X555" i="3"/>
  <c r="O556" i="3"/>
  <c r="P556" i="3"/>
  <c r="Q556" i="3"/>
  <c r="R556" i="3"/>
  <c r="S556" i="3"/>
  <c r="T556" i="3"/>
  <c r="U556" i="3"/>
  <c r="V556" i="3"/>
  <c r="W556" i="3"/>
  <c r="X556" i="3"/>
  <c r="O557" i="3"/>
  <c r="P557" i="3"/>
  <c r="Q557" i="3"/>
  <c r="R557" i="3"/>
  <c r="S557" i="3"/>
  <c r="T557" i="3"/>
  <c r="U557" i="3"/>
  <c r="V557" i="3"/>
  <c r="W557" i="3"/>
  <c r="X557" i="3"/>
  <c r="O558" i="3"/>
  <c r="P558" i="3"/>
  <c r="Q558" i="3"/>
  <c r="R558" i="3"/>
  <c r="S558" i="3"/>
  <c r="T558" i="3"/>
  <c r="U558" i="3"/>
  <c r="V558" i="3"/>
  <c r="W558" i="3"/>
  <c r="X558" i="3"/>
  <c r="O559" i="3"/>
  <c r="P559" i="3"/>
  <c r="Q559" i="3"/>
  <c r="R559" i="3"/>
  <c r="S559" i="3"/>
  <c r="T559" i="3"/>
  <c r="U559" i="3"/>
  <c r="V559" i="3"/>
  <c r="W559" i="3"/>
  <c r="X559" i="3"/>
  <c r="O560" i="3"/>
  <c r="P560" i="3"/>
  <c r="Q560" i="3"/>
  <c r="R560" i="3"/>
  <c r="S560" i="3"/>
  <c r="T560" i="3"/>
  <c r="U560" i="3"/>
  <c r="V560" i="3"/>
  <c r="W560" i="3"/>
  <c r="X560" i="3"/>
  <c r="O561" i="3"/>
  <c r="P561" i="3"/>
  <c r="Q561" i="3"/>
  <c r="R561" i="3"/>
  <c r="S561" i="3"/>
  <c r="T561" i="3"/>
  <c r="U561" i="3"/>
  <c r="V561" i="3"/>
  <c r="W561" i="3"/>
  <c r="X561" i="3"/>
  <c r="O562" i="3"/>
  <c r="P562" i="3"/>
  <c r="Q562" i="3"/>
  <c r="R562" i="3"/>
  <c r="S562" i="3"/>
  <c r="T562" i="3"/>
  <c r="U562" i="3"/>
  <c r="V562" i="3"/>
  <c r="W562" i="3"/>
  <c r="X562" i="3"/>
  <c r="O563" i="3"/>
  <c r="P563" i="3"/>
  <c r="Q563" i="3"/>
  <c r="R563" i="3"/>
  <c r="S563" i="3"/>
  <c r="T563" i="3"/>
  <c r="U563" i="3"/>
  <c r="V563" i="3"/>
  <c r="W563" i="3"/>
  <c r="X563" i="3"/>
  <c r="O564" i="3"/>
  <c r="P564" i="3"/>
  <c r="Q564" i="3"/>
  <c r="R564" i="3"/>
  <c r="S564" i="3"/>
  <c r="T564" i="3"/>
  <c r="U564" i="3"/>
  <c r="V564" i="3"/>
  <c r="W564" i="3"/>
  <c r="X564" i="3"/>
  <c r="O565" i="3"/>
  <c r="P565" i="3"/>
  <c r="Q565" i="3"/>
  <c r="R565" i="3"/>
  <c r="S565" i="3"/>
  <c r="T565" i="3"/>
  <c r="U565" i="3"/>
  <c r="V565" i="3"/>
  <c r="W565" i="3"/>
  <c r="X565" i="3"/>
  <c r="O566" i="3"/>
  <c r="P566" i="3"/>
  <c r="Q566" i="3"/>
  <c r="R566" i="3"/>
  <c r="S566" i="3"/>
  <c r="T566" i="3"/>
  <c r="U566" i="3"/>
  <c r="V566" i="3"/>
  <c r="W566" i="3"/>
  <c r="X566" i="3"/>
  <c r="O567" i="3"/>
  <c r="P567" i="3"/>
  <c r="Q567" i="3"/>
  <c r="R567" i="3"/>
  <c r="S567" i="3"/>
  <c r="T567" i="3"/>
  <c r="U567" i="3"/>
  <c r="V567" i="3"/>
  <c r="W567" i="3"/>
  <c r="X567" i="3"/>
  <c r="O568" i="3"/>
  <c r="P568" i="3"/>
  <c r="Q568" i="3"/>
  <c r="R568" i="3"/>
  <c r="S568" i="3"/>
  <c r="T568" i="3"/>
  <c r="U568" i="3"/>
  <c r="V568" i="3"/>
  <c r="W568" i="3"/>
  <c r="X568" i="3"/>
  <c r="O569" i="3"/>
  <c r="P569" i="3"/>
  <c r="Q569" i="3"/>
  <c r="R569" i="3"/>
  <c r="S569" i="3"/>
  <c r="T569" i="3"/>
  <c r="U569" i="3"/>
  <c r="V569" i="3"/>
  <c r="W569" i="3"/>
  <c r="X569" i="3"/>
  <c r="O570" i="3"/>
  <c r="P570" i="3"/>
  <c r="Q570" i="3"/>
  <c r="R570" i="3"/>
  <c r="S570" i="3"/>
  <c r="T570" i="3"/>
  <c r="U570" i="3"/>
  <c r="V570" i="3"/>
  <c r="W570" i="3"/>
  <c r="X570" i="3"/>
  <c r="O571" i="3"/>
  <c r="P571" i="3"/>
  <c r="Q571" i="3"/>
  <c r="R571" i="3"/>
  <c r="S571" i="3"/>
  <c r="T571" i="3"/>
  <c r="U571" i="3"/>
  <c r="V571" i="3"/>
  <c r="W571" i="3"/>
  <c r="X571" i="3"/>
  <c r="O572" i="3"/>
  <c r="P572" i="3"/>
  <c r="Q572" i="3"/>
  <c r="R572" i="3"/>
  <c r="S572" i="3"/>
  <c r="T572" i="3"/>
  <c r="U572" i="3"/>
  <c r="V572" i="3"/>
  <c r="W572" i="3"/>
  <c r="X572" i="3"/>
  <c r="O573" i="3"/>
  <c r="P573" i="3"/>
  <c r="Q573" i="3"/>
  <c r="R573" i="3"/>
  <c r="S573" i="3"/>
  <c r="T573" i="3"/>
  <c r="U573" i="3"/>
  <c r="V573" i="3"/>
  <c r="W573" i="3"/>
  <c r="X573" i="3"/>
  <c r="O574" i="3"/>
  <c r="P574" i="3"/>
  <c r="Q574" i="3"/>
  <c r="R574" i="3"/>
  <c r="S574" i="3"/>
  <c r="T574" i="3"/>
  <c r="U574" i="3"/>
  <c r="V574" i="3"/>
  <c r="W574" i="3"/>
  <c r="X574" i="3"/>
  <c r="O575" i="3"/>
  <c r="P575" i="3"/>
  <c r="Q575" i="3"/>
  <c r="R575" i="3"/>
  <c r="S575" i="3"/>
  <c r="T575" i="3"/>
  <c r="U575" i="3"/>
  <c r="V575" i="3"/>
  <c r="W575" i="3"/>
  <c r="X575" i="3"/>
  <c r="O576" i="3"/>
  <c r="P576" i="3"/>
  <c r="Q576" i="3"/>
  <c r="R576" i="3"/>
  <c r="S576" i="3"/>
  <c r="T576" i="3"/>
  <c r="U576" i="3"/>
  <c r="V576" i="3"/>
  <c r="W576" i="3"/>
  <c r="X576" i="3"/>
  <c r="O577" i="3"/>
  <c r="P577" i="3"/>
  <c r="Q577" i="3"/>
  <c r="R577" i="3"/>
  <c r="S577" i="3"/>
  <c r="T577" i="3"/>
  <c r="U577" i="3"/>
  <c r="V577" i="3"/>
  <c r="W577" i="3"/>
  <c r="X577" i="3"/>
  <c r="O578" i="3"/>
  <c r="P578" i="3"/>
  <c r="Q578" i="3"/>
  <c r="R578" i="3"/>
  <c r="S578" i="3"/>
  <c r="T578" i="3"/>
  <c r="U578" i="3"/>
  <c r="V578" i="3"/>
  <c r="W578" i="3"/>
  <c r="X578" i="3"/>
  <c r="O579" i="3"/>
  <c r="P579" i="3"/>
  <c r="Q579" i="3"/>
  <c r="R579" i="3"/>
  <c r="S579" i="3"/>
  <c r="T579" i="3"/>
  <c r="U579" i="3"/>
  <c r="V579" i="3"/>
  <c r="W579" i="3"/>
  <c r="X579" i="3"/>
  <c r="O580" i="3"/>
  <c r="P580" i="3"/>
  <c r="Q580" i="3"/>
  <c r="R580" i="3"/>
  <c r="S580" i="3"/>
  <c r="T580" i="3"/>
  <c r="U580" i="3"/>
  <c r="V580" i="3"/>
  <c r="W580" i="3"/>
  <c r="X580" i="3"/>
  <c r="O581" i="3"/>
  <c r="P581" i="3"/>
  <c r="Q581" i="3"/>
  <c r="R581" i="3"/>
  <c r="S581" i="3"/>
  <c r="T581" i="3"/>
  <c r="U581" i="3"/>
  <c r="V581" i="3"/>
  <c r="W581" i="3"/>
  <c r="X581" i="3"/>
  <c r="O582" i="3"/>
  <c r="P582" i="3"/>
  <c r="Q582" i="3"/>
  <c r="R582" i="3"/>
  <c r="S582" i="3"/>
  <c r="T582" i="3"/>
  <c r="U582" i="3"/>
  <c r="V582" i="3"/>
  <c r="W582" i="3"/>
  <c r="X582" i="3"/>
  <c r="O583" i="3"/>
  <c r="P583" i="3"/>
  <c r="Q583" i="3"/>
  <c r="R583" i="3"/>
  <c r="S583" i="3"/>
  <c r="T583" i="3"/>
  <c r="U583" i="3"/>
  <c r="V583" i="3"/>
  <c r="W583" i="3"/>
  <c r="X583" i="3"/>
  <c r="O584" i="3"/>
  <c r="P584" i="3"/>
  <c r="Q584" i="3"/>
  <c r="R584" i="3"/>
  <c r="S584" i="3"/>
  <c r="T584" i="3"/>
  <c r="U584" i="3"/>
  <c r="V584" i="3"/>
  <c r="W584" i="3"/>
  <c r="X584" i="3"/>
  <c r="O585" i="3"/>
  <c r="P585" i="3"/>
  <c r="Q585" i="3"/>
  <c r="R585" i="3"/>
  <c r="S585" i="3"/>
  <c r="T585" i="3"/>
  <c r="U585" i="3"/>
  <c r="V585" i="3"/>
  <c r="W585" i="3"/>
  <c r="X585" i="3"/>
  <c r="O586" i="3"/>
  <c r="P586" i="3"/>
  <c r="Q586" i="3"/>
  <c r="R586" i="3"/>
  <c r="S586" i="3"/>
  <c r="T586" i="3"/>
  <c r="U586" i="3"/>
  <c r="V586" i="3"/>
  <c r="W586" i="3"/>
  <c r="X586" i="3"/>
  <c r="O587" i="3"/>
  <c r="P587" i="3"/>
  <c r="Q587" i="3"/>
  <c r="R587" i="3"/>
  <c r="S587" i="3"/>
  <c r="T587" i="3"/>
  <c r="U587" i="3"/>
  <c r="V587" i="3"/>
  <c r="W587" i="3"/>
  <c r="X587" i="3"/>
  <c r="O588" i="3"/>
  <c r="P588" i="3"/>
  <c r="Q588" i="3"/>
  <c r="R588" i="3"/>
  <c r="S588" i="3"/>
  <c r="T588" i="3"/>
  <c r="U588" i="3"/>
  <c r="V588" i="3"/>
  <c r="W588" i="3"/>
  <c r="X588" i="3"/>
  <c r="O589" i="3"/>
  <c r="P589" i="3"/>
  <c r="Q589" i="3"/>
  <c r="R589" i="3"/>
  <c r="S589" i="3"/>
  <c r="T589" i="3"/>
  <c r="U589" i="3"/>
  <c r="V589" i="3"/>
  <c r="W589" i="3"/>
  <c r="X589" i="3"/>
  <c r="O590" i="3"/>
  <c r="P590" i="3"/>
  <c r="Q590" i="3"/>
  <c r="R590" i="3"/>
  <c r="S590" i="3"/>
  <c r="T590" i="3"/>
  <c r="U590" i="3"/>
  <c r="V590" i="3"/>
  <c r="W590" i="3"/>
  <c r="X590" i="3"/>
  <c r="O591" i="3"/>
  <c r="P591" i="3"/>
  <c r="Q591" i="3"/>
  <c r="R591" i="3"/>
  <c r="S591" i="3"/>
  <c r="T591" i="3"/>
  <c r="U591" i="3"/>
  <c r="V591" i="3"/>
  <c r="W591" i="3"/>
  <c r="X591" i="3"/>
  <c r="O592" i="3"/>
  <c r="P592" i="3"/>
  <c r="Q592" i="3"/>
  <c r="R592" i="3"/>
  <c r="S592" i="3"/>
  <c r="T592" i="3"/>
  <c r="U592" i="3"/>
  <c r="V592" i="3"/>
  <c r="W592" i="3"/>
  <c r="X592" i="3"/>
  <c r="O593" i="3"/>
  <c r="P593" i="3"/>
  <c r="Q593" i="3"/>
  <c r="R593" i="3"/>
  <c r="S593" i="3"/>
  <c r="T593" i="3"/>
  <c r="U593" i="3"/>
  <c r="V593" i="3"/>
  <c r="W593" i="3"/>
  <c r="X593" i="3"/>
  <c r="O594" i="3"/>
  <c r="P594" i="3"/>
  <c r="Q594" i="3"/>
  <c r="R594" i="3"/>
  <c r="S594" i="3"/>
  <c r="T594" i="3"/>
  <c r="U594" i="3"/>
  <c r="V594" i="3"/>
  <c r="W594" i="3"/>
  <c r="X594" i="3"/>
  <c r="O595" i="3"/>
  <c r="P595" i="3"/>
  <c r="Q595" i="3"/>
  <c r="R595" i="3"/>
  <c r="S595" i="3"/>
  <c r="T595" i="3"/>
  <c r="U595" i="3"/>
  <c r="V595" i="3"/>
  <c r="W595" i="3"/>
  <c r="X595" i="3"/>
  <c r="O596" i="3"/>
  <c r="P596" i="3"/>
  <c r="Q596" i="3"/>
  <c r="R596" i="3"/>
  <c r="S596" i="3"/>
  <c r="T596" i="3"/>
  <c r="U596" i="3"/>
  <c r="V596" i="3"/>
  <c r="W596" i="3"/>
  <c r="X596" i="3"/>
  <c r="O597" i="3"/>
  <c r="P597" i="3"/>
  <c r="Q597" i="3"/>
  <c r="R597" i="3"/>
  <c r="S597" i="3"/>
  <c r="T597" i="3"/>
  <c r="U597" i="3"/>
  <c r="V597" i="3"/>
  <c r="W597" i="3"/>
  <c r="X597" i="3"/>
  <c r="O598" i="3"/>
  <c r="P598" i="3"/>
  <c r="Q598" i="3"/>
  <c r="R598" i="3"/>
  <c r="S598" i="3"/>
  <c r="T598" i="3"/>
  <c r="U598" i="3"/>
  <c r="V598" i="3"/>
  <c r="W598" i="3"/>
  <c r="X598" i="3"/>
  <c r="O599" i="3"/>
  <c r="P599" i="3"/>
  <c r="Q599" i="3"/>
  <c r="R599" i="3"/>
  <c r="S599" i="3"/>
  <c r="T599" i="3"/>
  <c r="U599" i="3"/>
  <c r="V599" i="3"/>
  <c r="W599" i="3"/>
  <c r="X599" i="3"/>
  <c r="O600" i="3"/>
  <c r="P600" i="3"/>
  <c r="Q600" i="3"/>
  <c r="R600" i="3"/>
  <c r="S600" i="3"/>
  <c r="T600" i="3"/>
  <c r="U600" i="3"/>
  <c r="V600" i="3"/>
  <c r="W600" i="3"/>
  <c r="X600" i="3"/>
  <c r="O601" i="3"/>
  <c r="P601" i="3"/>
  <c r="Q601" i="3"/>
  <c r="R601" i="3"/>
  <c r="S601" i="3"/>
  <c r="T601" i="3"/>
  <c r="U601" i="3"/>
  <c r="V601" i="3"/>
  <c r="W601" i="3"/>
  <c r="X601" i="3"/>
  <c r="O602" i="3"/>
  <c r="P602" i="3"/>
  <c r="Q602" i="3"/>
  <c r="R602" i="3"/>
  <c r="S602" i="3"/>
  <c r="T602" i="3"/>
  <c r="U602" i="3"/>
  <c r="V602" i="3"/>
  <c r="W602" i="3"/>
  <c r="X602" i="3"/>
  <c r="O603" i="3"/>
  <c r="P603" i="3"/>
  <c r="Q603" i="3"/>
  <c r="R603" i="3"/>
  <c r="S603" i="3"/>
  <c r="T603" i="3"/>
  <c r="U603" i="3"/>
  <c r="V603" i="3"/>
  <c r="W603" i="3"/>
  <c r="X603" i="3"/>
  <c r="O604" i="3"/>
  <c r="P604" i="3"/>
  <c r="Q604" i="3"/>
  <c r="R604" i="3"/>
  <c r="S604" i="3"/>
  <c r="T604" i="3"/>
  <c r="U604" i="3"/>
  <c r="V604" i="3"/>
  <c r="W604" i="3"/>
  <c r="X604" i="3"/>
  <c r="AC535" i="5"/>
  <c r="AD535" i="5"/>
  <c r="AC536" i="5"/>
  <c r="AD536" i="5"/>
  <c r="AC537" i="5"/>
  <c r="AD537" i="5"/>
  <c r="AC538" i="5"/>
  <c r="AD538" i="5"/>
  <c r="AC539" i="5"/>
  <c r="AD539" i="5"/>
  <c r="AC540" i="5"/>
  <c r="AD540" i="5"/>
  <c r="AC541" i="5"/>
  <c r="AD541" i="5"/>
  <c r="AC542" i="5"/>
  <c r="AD542" i="5"/>
  <c r="AC543" i="5"/>
  <c r="AD543" i="5"/>
  <c r="AC544" i="5"/>
  <c r="AD544" i="5"/>
  <c r="AC545" i="5"/>
  <c r="AD545" i="5"/>
  <c r="AC546" i="5"/>
  <c r="AD546" i="5"/>
  <c r="AC547" i="5"/>
  <c r="AD547" i="5"/>
  <c r="AC548" i="5"/>
  <c r="AD548" i="5"/>
  <c r="AC549" i="5"/>
  <c r="AD549" i="5"/>
  <c r="AC550" i="5"/>
  <c r="AD550" i="5"/>
  <c r="AC551" i="5"/>
  <c r="AD551" i="5"/>
  <c r="AC552" i="5"/>
  <c r="AD552" i="5"/>
  <c r="AC553" i="5"/>
  <c r="AD553" i="5"/>
  <c r="AC554" i="5"/>
  <c r="AD554" i="5"/>
  <c r="AC555" i="5"/>
  <c r="AD555" i="5"/>
  <c r="AC556" i="5"/>
  <c r="AD556" i="5"/>
  <c r="AC557" i="5"/>
  <c r="AD557" i="5"/>
  <c r="AC558" i="5"/>
  <c r="AD558" i="5"/>
  <c r="AC559" i="5"/>
  <c r="AD559" i="5"/>
  <c r="AC560" i="5"/>
  <c r="AD560" i="5"/>
  <c r="AC561" i="5"/>
  <c r="AD561" i="5"/>
  <c r="AC562" i="5"/>
  <c r="AD562" i="5"/>
  <c r="AC563" i="5"/>
  <c r="AD563" i="5"/>
  <c r="AC564" i="5"/>
  <c r="AD564" i="5"/>
  <c r="AC565" i="5"/>
  <c r="AD565" i="5"/>
  <c r="AC566" i="5"/>
  <c r="AD566" i="5"/>
  <c r="AC567" i="5"/>
  <c r="AD567" i="5"/>
  <c r="AC568" i="5"/>
  <c r="AD568" i="5"/>
  <c r="AC569" i="5"/>
  <c r="AD569" i="5"/>
  <c r="AC570" i="5"/>
  <c r="AD570" i="5"/>
  <c r="AC571" i="5"/>
  <c r="AD571" i="5"/>
  <c r="AC572" i="5"/>
  <c r="AD572" i="5"/>
  <c r="AC573" i="5"/>
  <c r="AD573" i="5"/>
  <c r="AC574" i="5"/>
  <c r="AD574" i="5"/>
  <c r="AC575" i="5"/>
  <c r="AD575" i="5"/>
  <c r="AC576" i="5"/>
  <c r="AD576" i="5"/>
  <c r="AC577" i="5"/>
  <c r="AD577" i="5"/>
  <c r="AC578" i="5"/>
  <c r="AD578" i="5"/>
  <c r="AC579" i="5"/>
  <c r="AD579" i="5"/>
  <c r="AC580" i="5"/>
  <c r="AD580" i="5"/>
  <c r="AC581" i="5"/>
  <c r="AD581" i="5"/>
  <c r="AC582" i="5"/>
  <c r="AD582" i="5"/>
  <c r="AC583" i="5"/>
  <c r="AD583" i="5"/>
  <c r="AC584" i="5"/>
  <c r="AD584" i="5"/>
  <c r="AC585" i="5"/>
  <c r="AD585" i="5"/>
  <c r="AC586" i="5"/>
  <c r="AD586" i="5"/>
  <c r="AC587" i="5"/>
  <c r="AD587" i="5"/>
  <c r="AC588" i="5"/>
  <c r="AD588" i="5"/>
  <c r="AC589" i="5"/>
  <c r="AD589" i="5"/>
  <c r="AC590" i="5"/>
  <c r="AD590" i="5"/>
  <c r="AC591" i="5"/>
  <c r="AD591" i="5"/>
  <c r="AC592" i="5"/>
  <c r="AD592" i="5"/>
  <c r="AC593" i="5"/>
  <c r="AD593" i="5"/>
  <c r="AC594" i="5"/>
  <c r="AD594" i="5"/>
  <c r="AC595" i="5"/>
  <c r="AD595" i="5"/>
  <c r="AC596" i="5"/>
  <c r="AD596" i="5"/>
  <c r="AC597" i="5"/>
  <c r="AD597" i="5"/>
  <c r="AC598" i="5"/>
  <c r="AD598" i="5"/>
  <c r="AC599" i="5"/>
  <c r="AD599" i="5"/>
  <c r="AC600" i="5"/>
  <c r="AD600" i="5"/>
  <c r="AC601" i="5"/>
  <c r="AD601" i="5"/>
  <c r="AC602" i="5"/>
  <c r="AD602" i="5"/>
  <c r="AC603" i="5"/>
  <c r="AD603" i="5"/>
  <c r="AC604" i="5"/>
  <c r="AD604" i="5"/>
  <c r="O535" i="5"/>
  <c r="P535" i="5"/>
  <c r="Q535" i="5"/>
  <c r="R535" i="5"/>
  <c r="S535" i="5"/>
  <c r="T535" i="5"/>
  <c r="U535" i="5"/>
  <c r="V535" i="5"/>
  <c r="W535" i="5"/>
  <c r="X535" i="5"/>
  <c r="O536" i="5"/>
  <c r="P536" i="5"/>
  <c r="Q536" i="5"/>
  <c r="R536" i="5"/>
  <c r="S536" i="5"/>
  <c r="T536" i="5"/>
  <c r="U536" i="5"/>
  <c r="V536" i="5"/>
  <c r="W536" i="5"/>
  <c r="X536" i="5"/>
  <c r="O537" i="5"/>
  <c r="P537" i="5"/>
  <c r="Q537" i="5"/>
  <c r="R537" i="5"/>
  <c r="S537" i="5"/>
  <c r="T537" i="5"/>
  <c r="U537" i="5"/>
  <c r="V537" i="5"/>
  <c r="W537" i="5"/>
  <c r="X537" i="5"/>
  <c r="O538" i="5"/>
  <c r="P538" i="5"/>
  <c r="Q538" i="5"/>
  <c r="R538" i="5"/>
  <c r="S538" i="5"/>
  <c r="T538" i="5"/>
  <c r="U538" i="5"/>
  <c r="V538" i="5"/>
  <c r="W538" i="5"/>
  <c r="X538" i="5"/>
  <c r="O539" i="5"/>
  <c r="P539" i="5"/>
  <c r="Q539" i="5"/>
  <c r="R539" i="5"/>
  <c r="S539" i="5"/>
  <c r="T539" i="5"/>
  <c r="U539" i="5"/>
  <c r="V539" i="5"/>
  <c r="W539" i="5"/>
  <c r="X539" i="5"/>
  <c r="O540" i="5"/>
  <c r="P540" i="5"/>
  <c r="Q540" i="5"/>
  <c r="R540" i="5"/>
  <c r="S540" i="5"/>
  <c r="T540" i="5"/>
  <c r="U540" i="5"/>
  <c r="V540" i="5"/>
  <c r="W540" i="5"/>
  <c r="X540" i="5"/>
  <c r="O541" i="5"/>
  <c r="P541" i="5"/>
  <c r="Q541" i="5"/>
  <c r="R541" i="5"/>
  <c r="S541" i="5"/>
  <c r="T541" i="5"/>
  <c r="U541" i="5"/>
  <c r="V541" i="5"/>
  <c r="W541" i="5"/>
  <c r="X541" i="5"/>
  <c r="O542" i="5"/>
  <c r="P542" i="5"/>
  <c r="Q542" i="5"/>
  <c r="R542" i="5"/>
  <c r="S542" i="5"/>
  <c r="T542" i="5"/>
  <c r="U542" i="5"/>
  <c r="V542" i="5"/>
  <c r="W542" i="5"/>
  <c r="X542" i="5"/>
  <c r="O543" i="5"/>
  <c r="P543" i="5"/>
  <c r="Q543" i="5"/>
  <c r="R543" i="5"/>
  <c r="S543" i="5"/>
  <c r="T543" i="5"/>
  <c r="U543" i="5"/>
  <c r="V543" i="5"/>
  <c r="W543" i="5"/>
  <c r="X543" i="5"/>
  <c r="O544" i="5"/>
  <c r="P544" i="5"/>
  <c r="Q544" i="5"/>
  <c r="R544" i="5"/>
  <c r="S544" i="5"/>
  <c r="T544" i="5"/>
  <c r="U544" i="5"/>
  <c r="V544" i="5"/>
  <c r="W544" i="5"/>
  <c r="X544" i="5"/>
  <c r="O545" i="5"/>
  <c r="P545" i="5"/>
  <c r="Q545" i="5"/>
  <c r="R545" i="5"/>
  <c r="S545" i="5"/>
  <c r="T545" i="5"/>
  <c r="U545" i="5"/>
  <c r="V545" i="5"/>
  <c r="W545" i="5"/>
  <c r="X545" i="5"/>
  <c r="O546" i="5"/>
  <c r="P546" i="5"/>
  <c r="Q546" i="5"/>
  <c r="R546" i="5"/>
  <c r="S546" i="5"/>
  <c r="T546" i="5"/>
  <c r="U546" i="5"/>
  <c r="V546" i="5"/>
  <c r="W546" i="5"/>
  <c r="X546" i="5"/>
  <c r="O547" i="5"/>
  <c r="P547" i="5"/>
  <c r="Q547" i="5"/>
  <c r="R547" i="5"/>
  <c r="S547" i="5"/>
  <c r="T547" i="5"/>
  <c r="U547" i="5"/>
  <c r="V547" i="5"/>
  <c r="W547" i="5"/>
  <c r="X547" i="5"/>
  <c r="O548" i="5"/>
  <c r="P548" i="5"/>
  <c r="Q548" i="5"/>
  <c r="R548" i="5"/>
  <c r="S548" i="5"/>
  <c r="T548" i="5"/>
  <c r="U548" i="5"/>
  <c r="V548" i="5"/>
  <c r="W548" i="5"/>
  <c r="X548" i="5"/>
  <c r="O549" i="5"/>
  <c r="P549" i="5"/>
  <c r="Q549" i="5"/>
  <c r="R549" i="5"/>
  <c r="S549" i="5"/>
  <c r="T549" i="5"/>
  <c r="U549" i="5"/>
  <c r="V549" i="5"/>
  <c r="W549" i="5"/>
  <c r="X549" i="5"/>
  <c r="O550" i="5"/>
  <c r="P550" i="5"/>
  <c r="Q550" i="5"/>
  <c r="R550" i="5"/>
  <c r="S550" i="5"/>
  <c r="T550" i="5"/>
  <c r="U550" i="5"/>
  <c r="V550" i="5"/>
  <c r="W550" i="5"/>
  <c r="X550" i="5"/>
  <c r="O551" i="5"/>
  <c r="P551" i="5"/>
  <c r="Q551" i="5"/>
  <c r="R551" i="5"/>
  <c r="S551" i="5"/>
  <c r="T551" i="5"/>
  <c r="U551" i="5"/>
  <c r="V551" i="5"/>
  <c r="W551" i="5"/>
  <c r="X551" i="5"/>
  <c r="O552" i="5"/>
  <c r="P552" i="5"/>
  <c r="Q552" i="5"/>
  <c r="R552" i="5"/>
  <c r="S552" i="5"/>
  <c r="T552" i="5"/>
  <c r="U552" i="5"/>
  <c r="V552" i="5"/>
  <c r="W552" i="5"/>
  <c r="X552" i="5"/>
  <c r="O553" i="5"/>
  <c r="P553" i="5"/>
  <c r="Q553" i="5"/>
  <c r="R553" i="5"/>
  <c r="S553" i="5"/>
  <c r="T553" i="5"/>
  <c r="U553" i="5"/>
  <c r="V553" i="5"/>
  <c r="W553" i="5"/>
  <c r="X553" i="5"/>
  <c r="O554" i="5"/>
  <c r="P554" i="5"/>
  <c r="Q554" i="5"/>
  <c r="R554" i="5"/>
  <c r="S554" i="5"/>
  <c r="T554" i="5"/>
  <c r="U554" i="5"/>
  <c r="V554" i="5"/>
  <c r="W554" i="5"/>
  <c r="X554" i="5"/>
  <c r="O555" i="5"/>
  <c r="P555" i="5"/>
  <c r="Q555" i="5"/>
  <c r="R555" i="5"/>
  <c r="S555" i="5"/>
  <c r="T555" i="5"/>
  <c r="U555" i="5"/>
  <c r="V555" i="5"/>
  <c r="W555" i="5"/>
  <c r="X555" i="5"/>
  <c r="O556" i="5"/>
  <c r="P556" i="5"/>
  <c r="Q556" i="5"/>
  <c r="R556" i="5"/>
  <c r="S556" i="5"/>
  <c r="T556" i="5"/>
  <c r="U556" i="5"/>
  <c r="V556" i="5"/>
  <c r="W556" i="5"/>
  <c r="X556" i="5"/>
  <c r="O557" i="5"/>
  <c r="P557" i="5"/>
  <c r="Q557" i="5"/>
  <c r="R557" i="5"/>
  <c r="S557" i="5"/>
  <c r="T557" i="5"/>
  <c r="U557" i="5"/>
  <c r="V557" i="5"/>
  <c r="W557" i="5"/>
  <c r="X557" i="5"/>
  <c r="O558" i="5"/>
  <c r="P558" i="5"/>
  <c r="Q558" i="5"/>
  <c r="R558" i="5"/>
  <c r="S558" i="5"/>
  <c r="T558" i="5"/>
  <c r="U558" i="5"/>
  <c r="V558" i="5"/>
  <c r="W558" i="5"/>
  <c r="X558" i="5"/>
  <c r="O559" i="5"/>
  <c r="P559" i="5"/>
  <c r="Q559" i="5"/>
  <c r="R559" i="5"/>
  <c r="S559" i="5"/>
  <c r="T559" i="5"/>
  <c r="U559" i="5"/>
  <c r="V559" i="5"/>
  <c r="W559" i="5"/>
  <c r="X559" i="5"/>
  <c r="O560" i="5"/>
  <c r="P560" i="5"/>
  <c r="Q560" i="5"/>
  <c r="R560" i="5"/>
  <c r="S560" i="5"/>
  <c r="T560" i="5"/>
  <c r="U560" i="5"/>
  <c r="V560" i="5"/>
  <c r="W560" i="5"/>
  <c r="X560" i="5"/>
  <c r="O561" i="5"/>
  <c r="P561" i="5"/>
  <c r="Q561" i="5"/>
  <c r="R561" i="5"/>
  <c r="S561" i="5"/>
  <c r="T561" i="5"/>
  <c r="U561" i="5"/>
  <c r="V561" i="5"/>
  <c r="W561" i="5"/>
  <c r="X561" i="5"/>
  <c r="O562" i="5"/>
  <c r="P562" i="5"/>
  <c r="Q562" i="5"/>
  <c r="R562" i="5"/>
  <c r="S562" i="5"/>
  <c r="T562" i="5"/>
  <c r="U562" i="5"/>
  <c r="V562" i="5"/>
  <c r="W562" i="5"/>
  <c r="X562" i="5"/>
  <c r="O563" i="5"/>
  <c r="P563" i="5"/>
  <c r="Q563" i="5"/>
  <c r="R563" i="5"/>
  <c r="S563" i="5"/>
  <c r="T563" i="5"/>
  <c r="U563" i="5"/>
  <c r="V563" i="5"/>
  <c r="W563" i="5"/>
  <c r="X563" i="5"/>
  <c r="O564" i="5"/>
  <c r="P564" i="5"/>
  <c r="Q564" i="5"/>
  <c r="R564" i="5"/>
  <c r="S564" i="5"/>
  <c r="T564" i="5"/>
  <c r="U564" i="5"/>
  <c r="V564" i="5"/>
  <c r="W564" i="5"/>
  <c r="X564" i="5"/>
  <c r="O565" i="5"/>
  <c r="P565" i="5"/>
  <c r="Q565" i="5"/>
  <c r="R565" i="5"/>
  <c r="S565" i="5"/>
  <c r="T565" i="5"/>
  <c r="U565" i="5"/>
  <c r="V565" i="5"/>
  <c r="W565" i="5"/>
  <c r="X565" i="5"/>
  <c r="O566" i="5"/>
  <c r="P566" i="5"/>
  <c r="Q566" i="5"/>
  <c r="R566" i="5"/>
  <c r="S566" i="5"/>
  <c r="T566" i="5"/>
  <c r="U566" i="5"/>
  <c r="V566" i="5"/>
  <c r="W566" i="5"/>
  <c r="X566" i="5"/>
  <c r="O567" i="5"/>
  <c r="P567" i="5"/>
  <c r="Q567" i="5"/>
  <c r="R567" i="5"/>
  <c r="S567" i="5"/>
  <c r="T567" i="5"/>
  <c r="U567" i="5"/>
  <c r="V567" i="5"/>
  <c r="W567" i="5"/>
  <c r="X567" i="5"/>
  <c r="O568" i="5"/>
  <c r="P568" i="5"/>
  <c r="Q568" i="5"/>
  <c r="R568" i="5"/>
  <c r="S568" i="5"/>
  <c r="T568" i="5"/>
  <c r="U568" i="5"/>
  <c r="V568" i="5"/>
  <c r="W568" i="5"/>
  <c r="X568" i="5"/>
  <c r="O569" i="5"/>
  <c r="P569" i="5"/>
  <c r="Q569" i="5"/>
  <c r="R569" i="5"/>
  <c r="S569" i="5"/>
  <c r="T569" i="5"/>
  <c r="U569" i="5"/>
  <c r="V569" i="5"/>
  <c r="W569" i="5"/>
  <c r="X569" i="5"/>
  <c r="O570" i="5"/>
  <c r="P570" i="5"/>
  <c r="Q570" i="5"/>
  <c r="R570" i="5"/>
  <c r="S570" i="5"/>
  <c r="T570" i="5"/>
  <c r="U570" i="5"/>
  <c r="V570" i="5"/>
  <c r="W570" i="5"/>
  <c r="X570" i="5"/>
  <c r="O571" i="5"/>
  <c r="P571" i="5"/>
  <c r="Q571" i="5"/>
  <c r="R571" i="5"/>
  <c r="S571" i="5"/>
  <c r="T571" i="5"/>
  <c r="U571" i="5"/>
  <c r="V571" i="5"/>
  <c r="W571" i="5"/>
  <c r="X571" i="5"/>
  <c r="O572" i="5"/>
  <c r="P572" i="5"/>
  <c r="Q572" i="5"/>
  <c r="R572" i="5"/>
  <c r="S572" i="5"/>
  <c r="T572" i="5"/>
  <c r="U572" i="5"/>
  <c r="V572" i="5"/>
  <c r="W572" i="5"/>
  <c r="X572" i="5"/>
  <c r="O573" i="5"/>
  <c r="P573" i="5"/>
  <c r="Q573" i="5"/>
  <c r="R573" i="5"/>
  <c r="S573" i="5"/>
  <c r="T573" i="5"/>
  <c r="U573" i="5"/>
  <c r="V573" i="5"/>
  <c r="W573" i="5"/>
  <c r="X573" i="5"/>
  <c r="O574" i="5"/>
  <c r="P574" i="5"/>
  <c r="Q574" i="5"/>
  <c r="R574" i="5"/>
  <c r="S574" i="5"/>
  <c r="T574" i="5"/>
  <c r="U574" i="5"/>
  <c r="V574" i="5"/>
  <c r="W574" i="5"/>
  <c r="X574" i="5"/>
  <c r="O575" i="5"/>
  <c r="P575" i="5"/>
  <c r="Q575" i="5"/>
  <c r="R575" i="5"/>
  <c r="S575" i="5"/>
  <c r="T575" i="5"/>
  <c r="U575" i="5"/>
  <c r="V575" i="5"/>
  <c r="W575" i="5"/>
  <c r="X575" i="5"/>
  <c r="O576" i="5"/>
  <c r="P576" i="5"/>
  <c r="Q576" i="5"/>
  <c r="R576" i="5"/>
  <c r="S576" i="5"/>
  <c r="T576" i="5"/>
  <c r="U576" i="5"/>
  <c r="V576" i="5"/>
  <c r="W576" i="5"/>
  <c r="X576" i="5"/>
  <c r="O577" i="5"/>
  <c r="P577" i="5"/>
  <c r="Q577" i="5"/>
  <c r="R577" i="5"/>
  <c r="S577" i="5"/>
  <c r="T577" i="5"/>
  <c r="U577" i="5"/>
  <c r="V577" i="5"/>
  <c r="W577" i="5"/>
  <c r="X577" i="5"/>
  <c r="O578" i="5"/>
  <c r="P578" i="5"/>
  <c r="Q578" i="5"/>
  <c r="R578" i="5"/>
  <c r="S578" i="5"/>
  <c r="T578" i="5"/>
  <c r="U578" i="5"/>
  <c r="V578" i="5"/>
  <c r="W578" i="5"/>
  <c r="X578" i="5"/>
  <c r="O579" i="5"/>
  <c r="P579" i="5"/>
  <c r="Q579" i="5"/>
  <c r="R579" i="5"/>
  <c r="S579" i="5"/>
  <c r="T579" i="5"/>
  <c r="U579" i="5"/>
  <c r="V579" i="5"/>
  <c r="W579" i="5"/>
  <c r="X579" i="5"/>
  <c r="O580" i="5"/>
  <c r="P580" i="5"/>
  <c r="Q580" i="5"/>
  <c r="R580" i="5"/>
  <c r="S580" i="5"/>
  <c r="T580" i="5"/>
  <c r="U580" i="5"/>
  <c r="V580" i="5"/>
  <c r="W580" i="5"/>
  <c r="X580" i="5"/>
  <c r="O581" i="5"/>
  <c r="P581" i="5"/>
  <c r="Q581" i="5"/>
  <c r="R581" i="5"/>
  <c r="S581" i="5"/>
  <c r="T581" i="5"/>
  <c r="U581" i="5"/>
  <c r="V581" i="5"/>
  <c r="W581" i="5"/>
  <c r="X581" i="5"/>
  <c r="O582" i="5"/>
  <c r="P582" i="5"/>
  <c r="Q582" i="5"/>
  <c r="R582" i="5"/>
  <c r="S582" i="5"/>
  <c r="T582" i="5"/>
  <c r="U582" i="5"/>
  <c r="V582" i="5"/>
  <c r="W582" i="5"/>
  <c r="X582" i="5"/>
  <c r="O583" i="5"/>
  <c r="P583" i="5"/>
  <c r="Q583" i="5"/>
  <c r="R583" i="5"/>
  <c r="S583" i="5"/>
  <c r="T583" i="5"/>
  <c r="U583" i="5"/>
  <c r="V583" i="5"/>
  <c r="W583" i="5"/>
  <c r="X583" i="5"/>
  <c r="O584" i="5"/>
  <c r="P584" i="5"/>
  <c r="Q584" i="5"/>
  <c r="R584" i="5"/>
  <c r="S584" i="5"/>
  <c r="T584" i="5"/>
  <c r="U584" i="5"/>
  <c r="V584" i="5"/>
  <c r="W584" i="5"/>
  <c r="X584" i="5"/>
  <c r="O585" i="5"/>
  <c r="P585" i="5"/>
  <c r="Q585" i="5"/>
  <c r="R585" i="5"/>
  <c r="S585" i="5"/>
  <c r="T585" i="5"/>
  <c r="U585" i="5"/>
  <c r="V585" i="5"/>
  <c r="W585" i="5"/>
  <c r="X585" i="5"/>
  <c r="O586" i="5"/>
  <c r="P586" i="5"/>
  <c r="Q586" i="5"/>
  <c r="R586" i="5"/>
  <c r="S586" i="5"/>
  <c r="T586" i="5"/>
  <c r="U586" i="5"/>
  <c r="V586" i="5"/>
  <c r="W586" i="5"/>
  <c r="X586" i="5"/>
  <c r="O587" i="5"/>
  <c r="P587" i="5"/>
  <c r="Q587" i="5"/>
  <c r="R587" i="5"/>
  <c r="S587" i="5"/>
  <c r="T587" i="5"/>
  <c r="U587" i="5"/>
  <c r="V587" i="5"/>
  <c r="W587" i="5"/>
  <c r="X587" i="5"/>
  <c r="O588" i="5"/>
  <c r="P588" i="5"/>
  <c r="Q588" i="5"/>
  <c r="R588" i="5"/>
  <c r="S588" i="5"/>
  <c r="T588" i="5"/>
  <c r="U588" i="5"/>
  <c r="V588" i="5"/>
  <c r="W588" i="5"/>
  <c r="X588" i="5"/>
  <c r="O589" i="5"/>
  <c r="P589" i="5"/>
  <c r="Q589" i="5"/>
  <c r="R589" i="5"/>
  <c r="S589" i="5"/>
  <c r="T589" i="5"/>
  <c r="U589" i="5"/>
  <c r="V589" i="5"/>
  <c r="W589" i="5"/>
  <c r="X589" i="5"/>
  <c r="O590" i="5"/>
  <c r="P590" i="5"/>
  <c r="Q590" i="5"/>
  <c r="R590" i="5"/>
  <c r="S590" i="5"/>
  <c r="T590" i="5"/>
  <c r="U590" i="5"/>
  <c r="V590" i="5"/>
  <c r="W590" i="5"/>
  <c r="X590" i="5"/>
  <c r="O591" i="5"/>
  <c r="P591" i="5"/>
  <c r="Q591" i="5"/>
  <c r="R591" i="5"/>
  <c r="S591" i="5"/>
  <c r="T591" i="5"/>
  <c r="U591" i="5"/>
  <c r="V591" i="5"/>
  <c r="W591" i="5"/>
  <c r="X591" i="5"/>
  <c r="O592" i="5"/>
  <c r="P592" i="5"/>
  <c r="Q592" i="5"/>
  <c r="R592" i="5"/>
  <c r="S592" i="5"/>
  <c r="T592" i="5"/>
  <c r="U592" i="5"/>
  <c r="V592" i="5"/>
  <c r="W592" i="5"/>
  <c r="X592" i="5"/>
  <c r="O593" i="5"/>
  <c r="P593" i="5"/>
  <c r="Q593" i="5"/>
  <c r="R593" i="5"/>
  <c r="S593" i="5"/>
  <c r="T593" i="5"/>
  <c r="U593" i="5"/>
  <c r="V593" i="5"/>
  <c r="W593" i="5"/>
  <c r="X593" i="5"/>
  <c r="O594" i="5"/>
  <c r="P594" i="5"/>
  <c r="Q594" i="5"/>
  <c r="R594" i="5"/>
  <c r="S594" i="5"/>
  <c r="T594" i="5"/>
  <c r="U594" i="5"/>
  <c r="V594" i="5"/>
  <c r="W594" i="5"/>
  <c r="X594" i="5"/>
  <c r="O595" i="5"/>
  <c r="P595" i="5"/>
  <c r="Q595" i="5"/>
  <c r="R595" i="5"/>
  <c r="S595" i="5"/>
  <c r="T595" i="5"/>
  <c r="U595" i="5"/>
  <c r="V595" i="5"/>
  <c r="W595" i="5"/>
  <c r="X595" i="5"/>
  <c r="O596" i="5"/>
  <c r="P596" i="5"/>
  <c r="Q596" i="5"/>
  <c r="R596" i="5"/>
  <c r="S596" i="5"/>
  <c r="T596" i="5"/>
  <c r="U596" i="5"/>
  <c r="V596" i="5"/>
  <c r="W596" i="5"/>
  <c r="X596" i="5"/>
  <c r="O597" i="5"/>
  <c r="P597" i="5"/>
  <c r="Q597" i="5"/>
  <c r="R597" i="5"/>
  <c r="S597" i="5"/>
  <c r="T597" i="5"/>
  <c r="U597" i="5"/>
  <c r="V597" i="5"/>
  <c r="W597" i="5"/>
  <c r="X597" i="5"/>
  <c r="O598" i="5"/>
  <c r="P598" i="5"/>
  <c r="Q598" i="5"/>
  <c r="R598" i="5"/>
  <c r="S598" i="5"/>
  <c r="T598" i="5"/>
  <c r="U598" i="5"/>
  <c r="V598" i="5"/>
  <c r="W598" i="5"/>
  <c r="X598" i="5"/>
  <c r="O599" i="5"/>
  <c r="P599" i="5"/>
  <c r="Q599" i="5"/>
  <c r="R599" i="5"/>
  <c r="S599" i="5"/>
  <c r="T599" i="5"/>
  <c r="U599" i="5"/>
  <c r="V599" i="5"/>
  <c r="W599" i="5"/>
  <c r="X599" i="5"/>
  <c r="O600" i="5"/>
  <c r="P600" i="5"/>
  <c r="Q600" i="5"/>
  <c r="R600" i="5"/>
  <c r="S600" i="5"/>
  <c r="T600" i="5"/>
  <c r="U600" i="5"/>
  <c r="V600" i="5"/>
  <c r="W600" i="5"/>
  <c r="X600" i="5"/>
  <c r="O601" i="5"/>
  <c r="P601" i="5"/>
  <c r="Q601" i="5"/>
  <c r="R601" i="5"/>
  <c r="S601" i="5"/>
  <c r="T601" i="5"/>
  <c r="U601" i="5"/>
  <c r="V601" i="5"/>
  <c r="W601" i="5"/>
  <c r="X601" i="5"/>
  <c r="O602" i="5"/>
  <c r="P602" i="5"/>
  <c r="Q602" i="5"/>
  <c r="R602" i="5"/>
  <c r="S602" i="5"/>
  <c r="T602" i="5"/>
  <c r="U602" i="5"/>
  <c r="V602" i="5"/>
  <c r="W602" i="5"/>
  <c r="X602" i="5"/>
  <c r="O603" i="5"/>
  <c r="P603" i="5"/>
  <c r="Q603" i="5"/>
  <c r="R603" i="5"/>
  <c r="S603" i="5"/>
  <c r="T603" i="5"/>
  <c r="U603" i="5"/>
  <c r="V603" i="5"/>
  <c r="W603" i="5"/>
  <c r="X603" i="5"/>
  <c r="O604" i="5"/>
  <c r="P604" i="5"/>
  <c r="Q604" i="5"/>
  <c r="R604" i="5"/>
  <c r="S604" i="5"/>
  <c r="T604" i="5"/>
  <c r="U604" i="5"/>
  <c r="V604" i="5"/>
  <c r="W604" i="5"/>
  <c r="X604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B580" i="5"/>
  <c r="AB581" i="5"/>
  <c r="AB582" i="5"/>
  <c r="AB583" i="5"/>
  <c r="AB584" i="5"/>
  <c r="AB585" i="5"/>
  <c r="AB586" i="5"/>
  <c r="AB587" i="5"/>
  <c r="AB588" i="5"/>
  <c r="AB589" i="5"/>
  <c r="AB590" i="5"/>
  <c r="AB591" i="5"/>
  <c r="AB592" i="5"/>
  <c r="AB593" i="5"/>
  <c r="AB594" i="5"/>
  <c r="AB595" i="5"/>
  <c r="AB596" i="5"/>
  <c r="AB597" i="5"/>
  <c r="AB598" i="5"/>
  <c r="AB599" i="5"/>
  <c r="AB600" i="5"/>
  <c r="AB601" i="5"/>
  <c r="AB602" i="5"/>
  <c r="AB603" i="5"/>
  <c r="AB604" i="5"/>
  <c r="AA535" i="3" l="1"/>
  <c r="AA536" i="3"/>
  <c r="AA537" i="3"/>
  <c r="AA538" i="3"/>
  <c r="AA539" i="3"/>
  <c r="O524" i="3" l="1"/>
  <c r="P524" i="3"/>
  <c r="Q524" i="3"/>
  <c r="R524" i="3"/>
  <c r="S524" i="3"/>
  <c r="T524" i="3"/>
  <c r="U524" i="3"/>
  <c r="V524" i="3"/>
  <c r="W524" i="3"/>
  <c r="X524" i="3"/>
  <c r="AA524" i="3"/>
  <c r="O525" i="3"/>
  <c r="P525" i="3"/>
  <c r="Q525" i="3"/>
  <c r="R525" i="3"/>
  <c r="S525" i="3"/>
  <c r="T525" i="3"/>
  <c r="U525" i="3"/>
  <c r="V525" i="3"/>
  <c r="W525" i="3"/>
  <c r="X525" i="3"/>
  <c r="AA525" i="3"/>
  <c r="O526" i="3"/>
  <c r="P526" i="3"/>
  <c r="Q526" i="3"/>
  <c r="R526" i="3"/>
  <c r="S526" i="3"/>
  <c r="T526" i="3"/>
  <c r="U526" i="3"/>
  <c r="V526" i="3"/>
  <c r="W526" i="3"/>
  <c r="X526" i="3"/>
  <c r="AA526" i="3"/>
  <c r="O527" i="3"/>
  <c r="P527" i="3"/>
  <c r="Q527" i="3"/>
  <c r="R527" i="3"/>
  <c r="S527" i="3"/>
  <c r="T527" i="3"/>
  <c r="U527" i="3"/>
  <c r="V527" i="3"/>
  <c r="W527" i="3"/>
  <c r="X527" i="3"/>
  <c r="AA527" i="3"/>
  <c r="O528" i="3"/>
  <c r="P528" i="3"/>
  <c r="Q528" i="3"/>
  <c r="R528" i="3"/>
  <c r="S528" i="3"/>
  <c r="T528" i="3"/>
  <c r="U528" i="3"/>
  <c r="V528" i="3"/>
  <c r="W528" i="3"/>
  <c r="X528" i="3"/>
  <c r="AA528" i="3"/>
  <c r="O529" i="3"/>
  <c r="P529" i="3"/>
  <c r="Q529" i="3"/>
  <c r="R529" i="3"/>
  <c r="S529" i="3"/>
  <c r="T529" i="3"/>
  <c r="U529" i="3"/>
  <c r="V529" i="3"/>
  <c r="W529" i="3"/>
  <c r="X529" i="3"/>
  <c r="AA529" i="3"/>
  <c r="O530" i="3"/>
  <c r="P530" i="3"/>
  <c r="Q530" i="3"/>
  <c r="R530" i="3"/>
  <c r="S530" i="3"/>
  <c r="T530" i="3"/>
  <c r="U530" i="3"/>
  <c r="V530" i="3"/>
  <c r="W530" i="3"/>
  <c r="X530" i="3"/>
  <c r="AA530" i="3"/>
  <c r="O531" i="3"/>
  <c r="P531" i="3"/>
  <c r="Q531" i="3"/>
  <c r="R531" i="3"/>
  <c r="S531" i="3"/>
  <c r="T531" i="3"/>
  <c r="U531" i="3"/>
  <c r="V531" i="3"/>
  <c r="W531" i="3"/>
  <c r="X531" i="3"/>
  <c r="AA531" i="3"/>
  <c r="O532" i="3"/>
  <c r="P532" i="3"/>
  <c r="Q532" i="3"/>
  <c r="R532" i="3"/>
  <c r="S532" i="3"/>
  <c r="T532" i="3"/>
  <c r="U532" i="3"/>
  <c r="V532" i="3"/>
  <c r="W532" i="3"/>
  <c r="X532" i="3"/>
  <c r="AA532" i="3"/>
  <c r="O533" i="3"/>
  <c r="P533" i="3"/>
  <c r="Q533" i="3"/>
  <c r="R533" i="3"/>
  <c r="S533" i="3"/>
  <c r="T533" i="3"/>
  <c r="U533" i="3"/>
  <c r="V533" i="3"/>
  <c r="W533" i="3"/>
  <c r="X533" i="3"/>
  <c r="AA533" i="3"/>
  <c r="O534" i="3"/>
  <c r="P534" i="3"/>
  <c r="Q534" i="3"/>
  <c r="R534" i="3"/>
  <c r="S534" i="3"/>
  <c r="T534" i="3"/>
  <c r="U534" i="3"/>
  <c r="V534" i="3"/>
  <c r="W534" i="3"/>
  <c r="X534" i="3"/>
  <c r="AA534" i="3"/>
  <c r="AB535" i="5"/>
  <c r="AB536" i="5"/>
  <c r="AB537" i="5"/>
  <c r="AB538" i="5"/>
  <c r="AB539" i="5"/>
  <c r="O524" i="5"/>
  <c r="P524" i="5"/>
  <c r="Q524" i="5"/>
  <c r="R524" i="5"/>
  <c r="S524" i="5"/>
  <c r="T524" i="5"/>
  <c r="U524" i="5"/>
  <c r="V524" i="5"/>
  <c r="W524" i="5"/>
  <c r="AC524" i="5" s="1"/>
  <c r="X524" i="5"/>
  <c r="AB524" i="5"/>
  <c r="AD524" i="5"/>
  <c r="O525" i="5"/>
  <c r="P525" i="5"/>
  <c r="Q525" i="5"/>
  <c r="R525" i="5"/>
  <c r="S525" i="5"/>
  <c r="T525" i="5"/>
  <c r="U525" i="5"/>
  <c r="V525" i="5"/>
  <c r="AC525" i="5" s="1"/>
  <c r="W525" i="5"/>
  <c r="X525" i="5"/>
  <c r="AB525" i="5"/>
  <c r="O526" i="5"/>
  <c r="P526" i="5"/>
  <c r="Q526" i="5"/>
  <c r="R526" i="5"/>
  <c r="S526" i="5"/>
  <c r="T526" i="5"/>
  <c r="U526" i="5"/>
  <c r="V526" i="5"/>
  <c r="W526" i="5"/>
  <c r="X526" i="5"/>
  <c r="AD526" i="5" s="1"/>
  <c r="AB526" i="5"/>
  <c r="O527" i="5"/>
  <c r="P527" i="5"/>
  <c r="Q527" i="5"/>
  <c r="R527" i="5"/>
  <c r="S527" i="5"/>
  <c r="T527" i="5"/>
  <c r="U527" i="5"/>
  <c r="AC527" i="5" s="1"/>
  <c r="V527" i="5"/>
  <c r="W527" i="5"/>
  <c r="X527" i="5"/>
  <c r="AB527" i="5"/>
  <c r="O528" i="5"/>
  <c r="P528" i="5"/>
  <c r="Q528" i="5"/>
  <c r="R528" i="5"/>
  <c r="S528" i="5"/>
  <c r="T528" i="5"/>
  <c r="U528" i="5"/>
  <c r="V528" i="5"/>
  <c r="W528" i="5"/>
  <c r="X528" i="5"/>
  <c r="AB528" i="5"/>
  <c r="AD528" i="5"/>
  <c r="O529" i="5"/>
  <c r="P529" i="5"/>
  <c r="Q529" i="5"/>
  <c r="R529" i="5"/>
  <c r="S529" i="5"/>
  <c r="T529" i="5"/>
  <c r="U529" i="5"/>
  <c r="V529" i="5"/>
  <c r="W529" i="5"/>
  <c r="AC529" i="5" s="1"/>
  <c r="X529" i="5"/>
  <c r="AB529" i="5"/>
  <c r="O530" i="5"/>
  <c r="P530" i="5"/>
  <c r="Q530" i="5"/>
  <c r="R530" i="5"/>
  <c r="S530" i="5"/>
  <c r="T530" i="5"/>
  <c r="U530" i="5"/>
  <c r="V530" i="5"/>
  <c r="W530" i="5"/>
  <c r="X530" i="5"/>
  <c r="AB530" i="5"/>
  <c r="O531" i="5"/>
  <c r="P531" i="5"/>
  <c r="Q531" i="5"/>
  <c r="R531" i="5"/>
  <c r="S531" i="5"/>
  <c r="T531" i="5"/>
  <c r="U531" i="5"/>
  <c r="V531" i="5"/>
  <c r="W531" i="5"/>
  <c r="X531" i="5"/>
  <c r="AB531" i="5"/>
  <c r="O532" i="5"/>
  <c r="P532" i="5"/>
  <c r="Q532" i="5"/>
  <c r="R532" i="5"/>
  <c r="S532" i="5"/>
  <c r="T532" i="5"/>
  <c r="U532" i="5"/>
  <c r="V532" i="5"/>
  <c r="W532" i="5"/>
  <c r="X532" i="5"/>
  <c r="AB532" i="5"/>
  <c r="O533" i="5"/>
  <c r="P533" i="5"/>
  <c r="Q533" i="5"/>
  <c r="R533" i="5"/>
  <c r="S533" i="5"/>
  <c r="T533" i="5"/>
  <c r="U533" i="5"/>
  <c r="V533" i="5"/>
  <c r="W533" i="5"/>
  <c r="AC533" i="5" s="1"/>
  <c r="X533" i="5"/>
  <c r="AB533" i="5"/>
  <c r="O534" i="5"/>
  <c r="P534" i="5"/>
  <c r="Q534" i="5"/>
  <c r="R534" i="5"/>
  <c r="S534" i="5"/>
  <c r="T534" i="5"/>
  <c r="U534" i="5"/>
  <c r="V534" i="5"/>
  <c r="W534" i="5"/>
  <c r="X534" i="5"/>
  <c r="AB534" i="5"/>
  <c r="AD532" i="5" l="1"/>
  <c r="AC531" i="5"/>
  <c r="AD529" i="5"/>
  <c r="AC530" i="5"/>
  <c r="AD527" i="5"/>
  <c r="AD525" i="5"/>
  <c r="AC534" i="5"/>
  <c r="AC532" i="5"/>
  <c r="AD533" i="5"/>
  <c r="AC528" i="5"/>
  <c r="AC526" i="5"/>
  <c r="AD531" i="5"/>
  <c r="AD534" i="5"/>
  <c r="AD530" i="5"/>
  <c r="AD518" i="5"/>
  <c r="AD522" i="5"/>
  <c r="O518" i="5"/>
  <c r="P518" i="5"/>
  <c r="Q518" i="5"/>
  <c r="R518" i="5"/>
  <c r="S518" i="5"/>
  <c r="T518" i="5"/>
  <c r="U518" i="5"/>
  <c r="AC518" i="5" s="1"/>
  <c r="V518" i="5"/>
  <c r="W518" i="5"/>
  <c r="X518" i="5"/>
  <c r="O519" i="5"/>
  <c r="P519" i="5"/>
  <c r="Q519" i="5"/>
  <c r="R519" i="5"/>
  <c r="S519" i="5"/>
  <c r="T519" i="5"/>
  <c r="U519" i="5"/>
  <c r="AC519" i="5" s="1"/>
  <c r="V519" i="5"/>
  <c r="W519" i="5"/>
  <c r="X519" i="5"/>
  <c r="O520" i="5"/>
  <c r="P520" i="5"/>
  <c r="Q520" i="5"/>
  <c r="R520" i="5"/>
  <c r="S520" i="5"/>
  <c r="T520" i="5"/>
  <c r="U520" i="5"/>
  <c r="AC520" i="5" s="1"/>
  <c r="V520" i="5"/>
  <c r="W520" i="5"/>
  <c r="X520" i="5"/>
  <c r="O521" i="5"/>
  <c r="P521" i="5"/>
  <c r="Q521" i="5"/>
  <c r="R521" i="5"/>
  <c r="S521" i="5"/>
  <c r="T521" i="5"/>
  <c r="U521" i="5"/>
  <c r="AC521" i="5" s="1"/>
  <c r="V521" i="5"/>
  <c r="W521" i="5"/>
  <c r="X521" i="5"/>
  <c r="O522" i="5"/>
  <c r="P522" i="5"/>
  <c r="Q522" i="5"/>
  <c r="R522" i="5"/>
  <c r="S522" i="5"/>
  <c r="T522" i="5"/>
  <c r="U522" i="5"/>
  <c r="AC522" i="5" s="1"/>
  <c r="V522" i="5"/>
  <c r="W522" i="5"/>
  <c r="X522" i="5"/>
  <c r="O523" i="5"/>
  <c r="P523" i="5"/>
  <c r="Q523" i="5"/>
  <c r="R523" i="5"/>
  <c r="S523" i="5"/>
  <c r="T523" i="5"/>
  <c r="U523" i="5"/>
  <c r="AC523" i="5" s="1"/>
  <c r="V523" i="5"/>
  <c r="W523" i="5"/>
  <c r="X523" i="5"/>
  <c r="O518" i="3"/>
  <c r="P518" i="3"/>
  <c r="Q518" i="3"/>
  <c r="R518" i="3"/>
  <c r="S518" i="3"/>
  <c r="T518" i="3"/>
  <c r="U518" i="3"/>
  <c r="V518" i="3"/>
  <c r="W518" i="3"/>
  <c r="X518" i="3"/>
  <c r="O519" i="3"/>
  <c r="P519" i="3"/>
  <c r="Q519" i="3"/>
  <c r="R519" i="3"/>
  <c r="S519" i="3"/>
  <c r="T519" i="3"/>
  <c r="U519" i="3"/>
  <c r="V519" i="3"/>
  <c r="W519" i="3"/>
  <c r="X519" i="3"/>
  <c r="O520" i="3"/>
  <c r="P520" i="3"/>
  <c r="Q520" i="3"/>
  <c r="R520" i="3"/>
  <c r="S520" i="3"/>
  <c r="T520" i="3"/>
  <c r="U520" i="3"/>
  <c r="V520" i="3"/>
  <c r="W520" i="3"/>
  <c r="X520" i="3"/>
  <c r="O521" i="3"/>
  <c r="P521" i="3"/>
  <c r="Q521" i="3"/>
  <c r="R521" i="3"/>
  <c r="S521" i="3"/>
  <c r="T521" i="3"/>
  <c r="U521" i="3"/>
  <c r="V521" i="3"/>
  <c r="W521" i="3"/>
  <c r="X521" i="3"/>
  <c r="O522" i="3"/>
  <c r="P522" i="3"/>
  <c r="Q522" i="3"/>
  <c r="R522" i="3"/>
  <c r="S522" i="3"/>
  <c r="T522" i="3"/>
  <c r="U522" i="3"/>
  <c r="V522" i="3"/>
  <c r="W522" i="3"/>
  <c r="X522" i="3"/>
  <c r="O523" i="3"/>
  <c r="P523" i="3"/>
  <c r="Q523" i="3"/>
  <c r="R523" i="3"/>
  <c r="S523" i="3"/>
  <c r="T523" i="3"/>
  <c r="U523" i="3"/>
  <c r="V523" i="3"/>
  <c r="W523" i="3"/>
  <c r="X523" i="3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O431" i="5"/>
  <c r="P431" i="5"/>
  <c r="Q431" i="5"/>
  <c r="R431" i="5"/>
  <c r="S431" i="5"/>
  <c r="T431" i="5"/>
  <c r="U431" i="5"/>
  <c r="AC431" i="5" s="1"/>
  <c r="V431" i="5"/>
  <c r="W431" i="5"/>
  <c r="X431" i="5"/>
  <c r="O432" i="5"/>
  <c r="P432" i="5"/>
  <c r="Q432" i="5"/>
  <c r="R432" i="5"/>
  <c r="S432" i="5"/>
  <c r="T432" i="5"/>
  <c r="U432" i="5"/>
  <c r="AC432" i="5" s="1"/>
  <c r="V432" i="5"/>
  <c r="W432" i="5"/>
  <c r="X432" i="5"/>
  <c r="O433" i="5"/>
  <c r="P433" i="5"/>
  <c r="Q433" i="5"/>
  <c r="R433" i="5"/>
  <c r="S433" i="5"/>
  <c r="T433" i="5"/>
  <c r="U433" i="5"/>
  <c r="AC433" i="5" s="1"/>
  <c r="V433" i="5"/>
  <c r="W433" i="5"/>
  <c r="X433" i="5"/>
  <c r="AD433" i="5" s="1"/>
  <c r="O434" i="5"/>
  <c r="P434" i="5"/>
  <c r="Q434" i="5"/>
  <c r="R434" i="5"/>
  <c r="S434" i="5"/>
  <c r="T434" i="5"/>
  <c r="U434" i="5"/>
  <c r="AC434" i="5" s="1"/>
  <c r="V434" i="5"/>
  <c r="W434" i="5"/>
  <c r="X434" i="5"/>
  <c r="O435" i="5"/>
  <c r="P435" i="5"/>
  <c r="Q435" i="5"/>
  <c r="R435" i="5"/>
  <c r="S435" i="5"/>
  <c r="T435" i="5"/>
  <c r="U435" i="5"/>
  <c r="AC435" i="5" s="1"/>
  <c r="V435" i="5"/>
  <c r="W435" i="5"/>
  <c r="X435" i="5"/>
  <c r="O436" i="5"/>
  <c r="P436" i="5"/>
  <c r="Q436" i="5"/>
  <c r="R436" i="5"/>
  <c r="S436" i="5"/>
  <c r="T436" i="5"/>
  <c r="U436" i="5"/>
  <c r="AC436" i="5" s="1"/>
  <c r="V436" i="5"/>
  <c r="W436" i="5"/>
  <c r="X436" i="5"/>
  <c r="O437" i="5"/>
  <c r="P437" i="5"/>
  <c r="Q437" i="5"/>
  <c r="R437" i="5"/>
  <c r="S437" i="5"/>
  <c r="T437" i="5"/>
  <c r="U437" i="5"/>
  <c r="AC437" i="5" s="1"/>
  <c r="V437" i="5"/>
  <c r="W437" i="5"/>
  <c r="X437" i="5"/>
  <c r="AD437" i="5" s="1"/>
  <c r="O438" i="5"/>
  <c r="P438" i="5"/>
  <c r="Q438" i="5"/>
  <c r="R438" i="5"/>
  <c r="S438" i="5"/>
  <c r="T438" i="5"/>
  <c r="U438" i="5"/>
  <c r="AC438" i="5" s="1"/>
  <c r="V438" i="5"/>
  <c r="W438" i="5"/>
  <c r="X438" i="5"/>
  <c r="O439" i="5"/>
  <c r="P439" i="5"/>
  <c r="Q439" i="5"/>
  <c r="R439" i="5"/>
  <c r="S439" i="5"/>
  <c r="T439" i="5"/>
  <c r="U439" i="5"/>
  <c r="AC439" i="5" s="1"/>
  <c r="V439" i="5"/>
  <c r="W439" i="5"/>
  <c r="X439" i="5"/>
  <c r="O440" i="5"/>
  <c r="P440" i="5"/>
  <c r="Q440" i="5"/>
  <c r="R440" i="5"/>
  <c r="S440" i="5"/>
  <c r="T440" i="5"/>
  <c r="U440" i="5"/>
  <c r="AC440" i="5" s="1"/>
  <c r="V440" i="5"/>
  <c r="W440" i="5"/>
  <c r="X440" i="5"/>
  <c r="O441" i="5"/>
  <c r="P441" i="5"/>
  <c r="Q441" i="5"/>
  <c r="R441" i="5"/>
  <c r="S441" i="5"/>
  <c r="T441" i="5"/>
  <c r="U441" i="5"/>
  <c r="AC441" i="5" s="1"/>
  <c r="V441" i="5"/>
  <c r="W441" i="5"/>
  <c r="X441" i="5"/>
  <c r="AD441" i="5" s="1"/>
  <c r="O442" i="5"/>
  <c r="P442" i="5"/>
  <c r="Q442" i="5"/>
  <c r="R442" i="5"/>
  <c r="S442" i="5"/>
  <c r="T442" i="5"/>
  <c r="U442" i="5"/>
  <c r="AC442" i="5" s="1"/>
  <c r="V442" i="5"/>
  <c r="W442" i="5"/>
  <c r="X442" i="5"/>
  <c r="O443" i="5"/>
  <c r="P443" i="5"/>
  <c r="Q443" i="5"/>
  <c r="R443" i="5"/>
  <c r="S443" i="5"/>
  <c r="T443" i="5"/>
  <c r="U443" i="5"/>
  <c r="AC443" i="5" s="1"/>
  <c r="V443" i="5"/>
  <c r="W443" i="5"/>
  <c r="X443" i="5"/>
  <c r="O444" i="5"/>
  <c r="P444" i="5"/>
  <c r="Q444" i="5"/>
  <c r="R444" i="5"/>
  <c r="S444" i="5"/>
  <c r="T444" i="5"/>
  <c r="U444" i="5"/>
  <c r="AC444" i="5" s="1"/>
  <c r="V444" i="5"/>
  <c r="W444" i="5"/>
  <c r="X444" i="5"/>
  <c r="O445" i="5"/>
  <c r="P445" i="5"/>
  <c r="Q445" i="5"/>
  <c r="R445" i="5"/>
  <c r="S445" i="5"/>
  <c r="T445" i="5"/>
  <c r="U445" i="5"/>
  <c r="AC445" i="5" s="1"/>
  <c r="V445" i="5"/>
  <c r="W445" i="5"/>
  <c r="X445" i="5"/>
  <c r="AD445" i="5" s="1"/>
  <c r="O446" i="5"/>
  <c r="P446" i="5"/>
  <c r="Q446" i="5"/>
  <c r="R446" i="5"/>
  <c r="S446" i="5"/>
  <c r="T446" i="5"/>
  <c r="U446" i="5"/>
  <c r="AC446" i="5" s="1"/>
  <c r="V446" i="5"/>
  <c r="W446" i="5"/>
  <c r="X446" i="5"/>
  <c r="O447" i="5"/>
  <c r="P447" i="5"/>
  <c r="Q447" i="5"/>
  <c r="R447" i="5"/>
  <c r="S447" i="5"/>
  <c r="T447" i="5"/>
  <c r="U447" i="5"/>
  <c r="AC447" i="5" s="1"/>
  <c r="V447" i="5"/>
  <c r="W447" i="5"/>
  <c r="X447" i="5"/>
  <c r="O448" i="5"/>
  <c r="P448" i="5"/>
  <c r="Q448" i="5"/>
  <c r="R448" i="5"/>
  <c r="S448" i="5"/>
  <c r="T448" i="5"/>
  <c r="U448" i="5"/>
  <c r="AC448" i="5" s="1"/>
  <c r="V448" i="5"/>
  <c r="W448" i="5"/>
  <c r="X448" i="5"/>
  <c r="O449" i="5"/>
  <c r="P449" i="5"/>
  <c r="Q449" i="5"/>
  <c r="R449" i="5"/>
  <c r="S449" i="5"/>
  <c r="T449" i="5"/>
  <c r="U449" i="5"/>
  <c r="AC449" i="5" s="1"/>
  <c r="V449" i="5"/>
  <c r="W449" i="5"/>
  <c r="X449" i="5"/>
  <c r="AD449" i="5" s="1"/>
  <c r="O450" i="5"/>
  <c r="P450" i="5"/>
  <c r="Q450" i="5"/>
  <c r="R450" i="5"/>
  <c r="S450" i="5"/>
  <c r="T450" i="5"/>
  <c r="U450" i="5"/>
  <c r="AC450" i="5" s="1"/>
  <c r="V450" i="5"/>
  <c r="W450" i="5"/>
  <c r="X450" i="5"/>
  <c r="O451" i="5"/>
  <c r="P451" i="5"/>
  <c r="Q451" i="5"/>
  <c r="R451" i="5"/>
  <c r="S451" i="5"/>
  <c r="T451" i="5"/>
  <c r="U451" i="5"/>
  <c r="AC451" i="5" s="1"/>
  <c r="V451" i="5"/>
  <c r="W451" i="5"/>
  <c r="X451" i="5"/>
  <c r="O452" i="5"/>
  <c r="P452" i="5"/>
  <c r="Q452" i="5"/>
  <c r="R452" i="5"/>
  <c r="S452" i="5"/>
  <c r="T452" i="5"/>
  <c r="U452" i="5"/>
  <c r="AC452" i="5" s="1"/>
  <c r="V452" i="5"/>
  <c r="W452" i="5"/>
  <c r="X452" i="5"/>
  <c r="O453" i="5"/>
  <c r="P453" i="5"/>
  <c r="Q453" i="5"/>
  <c r="R453" i="5"/>
  <c r="S453" i="5"/>
  <c r="T453" i="5"/>
  <c r="U453" i="5"/>
  <c r="AC453" i="5" s="1"/>
  <c r="V453" i="5"/>
  <c r="W453" i="5"/>
  <c r="X453" i="5"/>
  <c r="AD453" i="5" s="1"/>
  <c r="O454" i="5"/>
  <c r="P454" i="5"/>
  <c r="Q454" i="5"/>
  <c r="R454" i="5"/>
  <c r="S454" i="5"/>
  <c r="T454" i="5"/>
  <c r="U454" i="5"/>
  <c r="AC454" i="5" s="1"/>
  <c r="V454" i="5"/>
  <c r="W454" i="5"/>
  <c r="X454" i="5"/>
  <c r="O455" i="5"/>
  <c r="P455" i="5"/>
  <c r="Q455" i="5"/>
  <c r="R455" i="5"/>
  <c r="S455" i="5"/>
  <c r="T455" i="5"/>
  <c r="U455" i="5"/>
  <c r="AC455" i="5" s="1"/>
  <c r="V455" i="5"/>
  <c r="W455" i="5"/>
  <c r="X455" i="5"/>
  <c r="O456" i="5"/>
  <c r="P456" i="5"/>
  <c r="Q456" i="5"/>
  <c r="R456" i="5"/>
  <c r="S456" i="5"/>
  <c r="T456" i="5"/>
  <c r="U456" i="5"/>
  <c r="AC456" i="5" s="1"/>
  <c r="V456" i="5"/>
  <c r="W456" i="5"/>
  <c r="X456" i="5"/>
  <c r="O457" i="5"/>
  <c r="P457" i="5"/>
  <c r="Q457" i="5"/>
  <c r="R457" i="5"/>
  <c r="S457" i="5"/>
  <c r="T457" i="5"/>
  <c r="U457" i="5"/>
  <c r="AC457" i="5" s="1"/>
  <c r="V457" i="5"/>
  <c r="W457" i="5"/>
  <c r="X457" i="5"/>
  <c r="AD457" i="5" s="1"/>
  <c r="O458" i="5"/>
  <c r="P458" i="5"/>
  <c r="Q458" i="5"/>
  <c r="R458" i="5"/>
  <c r="S458" i="5"/>
  <c r="T458" i="5"/>
  <c r="U458" i="5"/>
  <c r="AC458" i="5" s="1"/>
  <c r="V458" i="5"/>
  <c r="W458" i="5"/>
  <c r="X458" i="5"/>
  <c r="O459" i="5"/>
  <c r="P459" i="5"/>
  <c r="Q459" i="5"/>
  <c r="R459" i="5"/>
  <c r="S459" i="5"/>
  <c r="T459" i="5"/>
  <c r="U459" i="5"/>
  <c r="AC459" i="5" s="1"/>
  <c r="V459" i="5"/>
  <c r="W459" i="5"/>
  <c r="X459" i="5"/>
  <c r="O460" i="5"/>
  <c r="P460" i="5"/>
  <c r="Q460" i="5"/>
  <c r="R460" i="5"/>
  <c r="S460" i="5"/>
  <c r="T460" i="5"/>
  <c r="U460" i="5"/>
  <c r="AC460" i="5" s="1"/>
  <c r="V460" i="5"/>
  <c r="W460" i="5"/>
  <c r="X460" i="5"/>
  <c r="O461" i="5"/>
  <c r="P461" i="5"/>
  <c r="Q461" i="5"/>
  <c r="R461" i="5"/>
  <c r="S461" i="5"/>
  <c r="T461" i="5"/>
  <c r="U461" i="5"/>
  <c r="AC461" i="5" s="1"/>
  <c r="V461" i="5"/>
  <c r="W461" i="5"/>
  <c r="X461" i="5"/>
  <c r="AD461" i="5" s="1"/>
  <c r="O462" i="5"/>
  <c r="P462" i="5"/>
  <c r="Q462" i="5"/>
  <c r="R462" i="5"/>
  <c r="S462" i="5"/>
  <c r="T462" i="5"/>
  <c r="U462" i="5"/>
  <c r="AC462" i="5" s="1"/>
  <c r="V462" i="5"/>
  <c r="W462" i="5"/>
  <c r="X462" i="5"/>
  <c r="O463" i="5"/>
  <c r="P463" i="5"/>
  <c r="Q463" i="5"/>
  <c r="R463" i="5"/>
  <c r="S463" i="5"/>
  <c r="T463" i="5"/>
  <c r="U463" i="5"/>
  <c r="AC463" i="5" s="1"/>
  <c r="V463" i="5"/>
  <c r="W463" i="5"/>
  <c r="X463" i="5"/>
  <c r="O464" i="5"/>
  <c r="P464" i="5"/>
  <c r="Q464" i="5"/>
  <c r="R464" i="5"/>
  <c r="S464" i="5"/>
  <c r="T464" i="5"/>
  <c r="U464" i="5"/>
  <c r="AC464" i="5" s="1"/>
  <c r="V464" i="5"/>
  <c r="W464" i="5"/>
  <c r="X464" i="5"/>
  <c r="O465" i="5"/>
  <c r="P465" i="5"/>
  <c r="Q465" i="5"/>
  <c r="R465" i="5"/>
  <c r="S465" i="5"/>
  <c r="T465" i="5"/>
  <c r="U465" i="5"/>
  <c r="AC465" i="5" s="1"/>
  <c r="V465" i="5"/>
  <c r="W465" i="5"/>
  <c r="X465" i="5"/>
  <c r="AD465" i="5" s="1"/>
  <c r="O466" i="5"/>
  <c r="P466" i="5"/>
  <c r="Q466" i="5"/>
  <c r="R466" i="5"/>
  <c r="S466" i="5"/>
  <c r="T466" i="5"/>
  <c r="U466" i="5"/>
  <c r="AC466" i="5" s="1"/>
  <c r="V466" i="5"/>
  <c r="W466" i="5"/>
  <c r="X466" i="5"/>
  <c r="O467" i="5"/>
  <c r="P467" i="5"/>
  <c r="Q467" i="5"/>
  <c r="R467" i="5"/>
  <c r="S467" i="5"/>
  <c r="T467" i="5"/>
  <c r="U467" i="5"/>
  <c r="AC467" i="5" s="1"/>
  <c r="V467" i="5"/>
  <c r="W467" i="5"/>
  <c r="X467" i="5"/>
  <c r="O468" i="5"/>
  <c r="P468" i="5"/>
  <c r="Q468" i="5"/>
  <c r="R468" i="5"/>
  <c r="S468" i="5"/>
  <c r="T468" i="5"/>
  <c r="U468" i="5"/>
  <c r="AC468" i="5" s="1"/>
  <c r="V468" i="5"/>
  <c r="W468" i="5"/>
  <c r="X468" i="5"/>
  <c r="O469" i="5"/>
  <c r="P469" i="5"/>
  <c r="Q469" i="5"/>
  <c r="R469" i="5"/>
  <c r="S469" i="5"/>
  <c r="T469" i="5"/>
  <c r="U469" i="5"/>
  <c r="AC469" i="5" s="1"/>
  <c r="V469" i="5"/>
  <c r="W469" i="5"/>
  <c r="X469" i="5"/>
  <c r="AD469" i="5" s="1"/>
  <c r="O470" i="5"/>
  <c r="P470" i="5"/>
  <c r="Q470" i="5"/>
  <c r="R470" i="5"/>
  <c r="S470" i="5"/>
  <c r="T470" i="5"/>
  <c r="U470" i="5"/>
  <c r="AC470" i="5" s="1"/>
  <c r="V470" i="5"/>
  <c r="W470" i="5"/>
  <c r="X470" i="5"/>
  <c r="O471" i="5"/>
  <c r="P471" i="5"/>
  <c r="Q471" i="5"/>
  <c r="R471" i="5"/>
  <c r="S471" i="5"/>
  <c r="T471" i="5"/>
  <c r="U471" i="5"/>
  <c r="AC471" i="5" s="1"/>
  <c r="V471" i="5"/>
  <c r="W471" i="5"/>
  <c r="X471" i="5"/>
  <c r="O472" i="5"/>
  <c r="P472" i="5"/>
  <c r="Q472" i="5"/>
  <c r="R472" i="5"/>
  <c r="S472" i="5"/>
  <c r="T472" i="5"/>
  <c r="U472" i="5"/>
  <c r="AC472" i="5" s="1"/>
  <c r="V472" i="5"/>
  <c r="W472" i="5"/>
  <c r="X472" i="5"/>
  <c r="O473" i="5"/>
  <c r="P473" i="5"/>
  <c r="Q473" i="5"/>
  <c r="R473" i="5"/>
  <c r="S473" i="5"/>
  <c r="T473" i="5"/>
  <c r="U473" i="5"/>
  <c r="AC473" i="5" s="1"/>
  <c r="V473" i="5"/>
  <c r="W473" i="5"/>
  <c r="X473" i="5"/>
  <c r="AD473" i="5" s="1"/>
  <c r="O474" i="5"/>
  <c r="P474" i="5"/>
  <c r="Q474" i="5"/>
  <c r="R474" i="5"/>
  <c r="S474" i="5"/>
  <c r="T474" i="5"/>
  <c r="U474" i="5"/>
  <c r="AC474" i="5" s="1"/>
  <c r="V474" i="5"/>
  <c r="W474" i="5"/>
  <c r="X474" i="5"/>
  <c r="O475" i="5"/>
  <c r="P475" i="5"/>
  <c r="Q475" i="5"/>
  <c r="R475" i="5"/>
  <c r="S475" i="5"/>
  <c r="T475" i="5"/>
  <c r="U475" i="5"/>
  <c r="AC475" i="5" s="1"/>
  <c r="V475" i="5"/>
  <c r="W475" i="5"/>
  <c r="X475" i="5"/>
  <c r="O476" i="5"/>
  <c r="P476" i="5"/>
  <c r="Q476" i="5"/>
  <c r="R476" i="5"/>
  <c r="S476" i="5"/>
  <c r="T476" i="5"/>
  <c r="U476" i="5"/>
  <c r="AC476" i="5" s="1"/>
  <c r="V476" i="5"/>
  <c r="W476" i="5"/>
  <c r="X476" i="5"/>
  <c r="O477" i="5"/>
  <c r="P477" i="5"/>
  <c r="Q477" i="5"/>
  <c r="R477" i="5"/>
  <c r="S477" i="5"/>
  <c r="T477" i="5"/>
  <c r="U477" i="5"/>
  <c r="AC477" i="5" s="1"/>
  <c r="V477" i="5"/>
  <c r="W477" i="5"/>
  <c r="X477" i="5"/>
  <c r="AD477" i="5" s="1"/>
  <c r="O478" i="5"/>
  <c r="P478" i="5"/>
  <c r="Q478" i="5"/>
  <c r="R478" i="5"/>
  <c r="S478" i="5"/>
  <c r="T478" i="5"/>
  <c r="U478" i="5"/>
  <c r="AC478" i="5" s="1"/>
  <c r="V478" i="5"/>
  <c r="W478" i="5"/>
  <c r="X478" i="5"/>
  <c r="O479" i="5"/>
  <c r="P479" i="5"/>
  <c r="Q479" i="5"/>
  <c r="R479" i="5"/>
  <c r="S479" i="5"/>
  <c r="T479" i="5"/>
  <c r="U479" i="5"/>
  <c r="AC479" i="5" s="1"/>
  <c r="V479" i="5"/>
  <c r="W479" i="5"/>
  <c r="X479" i="5"/>
  <c r="O480" i="5"/>
  <c r="P480" i="5"/>
  <c r="Q480" i="5"/>
  <c r="R480" i="5"/>
  <c r="S480" i="5"/>
  <c r="T480" i="5"/>
  <c r="U480" i="5"/>
  <c r="AC480" i="5" s="1"/>
  <c r="V480" i="5"/>
  <c r="W480" i="5"/>
  <c r="X480" i="5"/>
  <c r="O481" i="5"/>
  <c r="P481" i="5"/>
  <c r="Q481" i="5"/>
  <c r="R481" i="5"/>
  <c r="S481" i="5"/>
  <c r="T481" i="5"/>
  <c r="U481" i="5"/>
  <c r="AC481" i="5" s="1"/>
  <c r="V481" i="5"/>
  <c r="W481" i="5"/>
  <c r="X481" i="5"/>
  <c r="AD481" i="5" s="1"/>
  <c r="O482" i="5"/>
  <c r="P482" i="5"/>
  <c r="Q482" i="5"/>
  <c r="R482" i="5"/>
  <c r="S482" i="5"/>
  <c r="T482" i="5"/>
  <c r="U482" i="5"/>
  <c r="AC482" i="5" s="1"/>
  <c r="V482" i="5"/>
  <c r="W482" i="5"/>
  <c r="X482" i="5"/>
  <c r="O483" i="5"/>
  <c r="P483" i="5"/>
  <c r="Q483" i="5"/>
  <c r="R483" i="5"/>
  <c r="S483" i="5"/>
  <c r="T483" i="5"/>
  <c r="U483" i="5"/>
  <c r="AC483" i="5" s="1"/>
  <c r="V483" i="5"/>
  <c r="W483" i="5"/>
  <c r="X483" i="5"/>
  <c r="O484" i="5"/>
  <c r="P484" i="5"/>
  <c r="Q484" i="5"/>
  <c r="R484" i="5"/>
  <c r="S484" i="5"/>
  <c r="T484" i="5"/>
  <c r="U484" i="5"/>
  <c r="AC484" i="5" s="1"/>
  <c r="V484" i="5"/>
  <c r="W484" i="5"/>
  <c r="X484" i="5"/>
  <c r="O485" i="5"/>
  <c r="P485" i="5"/>
  <c r="Q485" i="5"/>
  <c r="R485" i="5"/>
  <c r="S485" i="5"/>
  <c r="T485" i="5"/>
  <c r="U485" i="5"/>
  <c r="AC485" i="5" s="1"/>
  <c r="V485" i="5"/>
  <c r="W485" i="5"/>
  <c r="X485" i="5"/>
  <c r="AD485" i="5" s="1"/>
  <c r="O486" i="5"/>
  <c r="P486" i="5"/>
  <c r="Q486" i="5"/>
  <c r="R486" i="5"/>
  <c r="S486" i="5"/>
  <c r="T486" i="5"/>
  <c r="U486" i="5"/>
  <c r="AC486" i="5" s="1"/>
  <c r="V486" i="5"/>
  <c r="W486" i="5"/>
  <c r="X486" i="5"/>
  <c r="O487" i="5"/>
  <c r="P487" i="5"/>
  <c r="Q487" i="5"/>
  <c r="R487" i="5"/>
  <c r="S487" i="5"/>
  <c r="T487" i="5"/>
  <c r="U487" i="5"/>
  <c r="AC487" i="5" s="1"/>
  <c r="V487" i="5"/>
  <c r="W487" i="5"/>
  <c r="X487" i="5"/>
  <c r="O488" i="5"/>
  <c r="P488" i="5"/>
  <c r="Q488" i="5"/>
  <c r="R488" i="5"/>
  <c r="S488" i="5"/>
  <c r="T488" i="5"/>
  <c r="U488" i="5"/>
  <c r="AC488" i="5" s="1"/>
  <c r="V488" i="5"/>
  <c r="W488" i="5"/>
  <c r="X488" i="5"/>
  <c r="O489" i="5"/>
  <c r="P489" i="5"/>
  <c r="Q489" i="5"/>
  <c r="R489" i="5"/>
  <c r="S489" i="5"/>
  <c r="T489" i="5"/>
  <c r="U489" i="5"/>
  <c r="AC489" i="5" s="1"/>
  <c r="V489" i="5"/>
  <c r="W489" i="5"/>
  <c r="X489" i="5"/>
  <c r="AD489" i="5" s="1"/>
  <c r="O490" i="5"/>
  <c r="P490" i="5"/>
  <c r="Q490" i="5"/>
  <c r="R490" i="5"/>
  <c r="S490" i="5"/>
  <c r="T490" i="5"/>
  <c r="U490" i="5"/>
  <c r="AC490" i="5" s="1"/>
  <c r="V490" i="5"/>
  <c r="W490" i="5"/>
  <c r="X490" i="5"/>
  <c r="O491" i="5"/>
  <c r="P491" i="5"/>
  <c r="Q491" i="5"/>
  <c r="R491" i="5"/>
  <c r="S491" i="5"/>
  <c r="T491" i="5"/>
  <c r="U491" i="5"/>
  <c r="AC491" i="5" s="1"/>
  <c r="V491" i="5"/>
  <c r="W491" i="5"/>
  <c r="X491" i="5"/>
  <c r="O492" i="5"/>
  <c r="P492" i="5"/>
  <c r="Q492" i="5"/>
  <c r="R492" i="5"/>
  <c r="S492" i="5"/>
  <c r="T492" i="5"/>
  <c r="U492" i="5"/>
  <c r="AC492" i="5" s="1"/>
  <c r="V492" i="5"/>
  <c r="W492" i="5"/>
  <c r="X492" i="5"/>
  <c r="O493" i="5"/>
  <c r="P493" i="5"/>
  <c r="Q493" i="5"/>
  <c r="R493" i="5"/>
  <c r="S493" i="5"/>
  <c r="T493" i="5"/>
  <c r="U493" i="5"/>
  <c r="AC493" i="5" s="1"/>
  <c r="V493" i="5"/>
  <c r="W493" i="5"/>
  <c r="X493" i="5"/>
  <c r="AD493" i="5" s="1"/>
  <c r="O494" i="5"/>
  <c r="P494" i="5"/>
  <c r="Q494" i="5"/>
  <c r="R494" i="5"/>
  <c r="S494" i="5"/>
  <c r="T494" i="5"/>
  <c r="U494" i="5"/>
  <c r="AC494" i="5" s="1"/>
  <c r="V494" i="5"/>
  <c r="W494" i="5"/>
  <c r="X494" i="5"/>
  <c r="O495" i="5"/>
  <c r="P495" i="5"/>
  <c r="Q495" i="5"/>
  <c r="R495" i="5"/>
  <c r="S495" i="5"/>
  <c r="T495" i="5"/>
  <c r="U495" i="5"/>
  <c r="AC495" i="5" s="1"/>
  <c r="V495" i="5"/>
  <c r="W495" i="5"/>
  <c r="X495" i="5"/>
  <c r="O496" i="5"/>
  <c r="P496" i="5"/>
  <c r="Q496" i="5"/>
  <c r="R496" i="5"/>
  <c r="S496" i="5"/>
  <c r="T496" i="5"/>
  <c r="U496" i="5"/>
  <c r="AC496" i="5" s="1"/>
  <c r="V496" i="5"/>
  <c r="W496" i="5"/>
  <c r="X496" i="5"/>
  <c r="O497" i="5"/>
  <c r="P497" i="5"/>
  <c r="Q497" i="5"/>
  <c r="R497" i="5"/>
  <c r="S497" i="5"/>
  <c r="T497" i="5"/>
  <c r="U497" i="5"/>
  <c r="AC497" i="5" s="1"/>
  <c r="V497" i="5"/>
  <c r="W497" i="5"/>
  <c r="X497" i="5"/>
  <c r="AD497" i="5" s="1"/>
  <c r="O498" i="5"/>
  <c r="P498" i="5"/>
  <c r="Q498" i="5"/>
  <c r="R498" i="5"/>
  <c r="S498" i="5"/>
  <c r="T498" i="5"/>
  <c r="U498" i="5"/>
  <c r="AC498" i="5" s="1"/>
  <c r="V498" i="5"/>
  <c r="W498" i="5"/>
  <c r="X498" i="5"/>
  <c r="O499" i="5"/>
  <c r="P499" i="5"/>
  <c r="Q499" i="5"/>
  <c r="R499" i="5"/>
  <c r="S499" i="5"/>
  <c r="T499" i="5"/>
  <c r="U499" i="5"/>
  <c r="AC499" i="5" s="1"/>
  <c r="V499" i="5"/>
  <c r="W499" i="5"/>
  <c r="X499" i="5"/>
  <c r="O500" i="5"/>
  <c r="P500" i="5"/>
  <c r="Q500" i="5"/>
  <c r="R500" i="5"/>
  <c r="S500" i="5"/>
  <c r="T500" i="5"/>
  <c r="U500" i="5"/>
  <c r="AC500" i="5" s="1"/>
  <c r="V500" i="5"/>
  <c r="W500" i="5"/>
  <c r="X500" i="5"/>
  <c r="O501" i="5"/>
  <c r="P501" i="5"/>
  <c r="Q501" i="5"/>
  <c r="R501" i="5"/>
  <c r="S501" i="5"/>
  <c r="T501" i="5"/>
  <c r="U501" i="5"/>
  <c r="AC501" i="5" s="1"/>
  <c r="V501" i="5"/>
  <c r="W501" i="5"/>
  <c r="X501" i="5"/>
  <c r="AD501" i="5" s="1"/>
  <c r="O502" i="5"/>
  <c r="P502" i="5"/>
  <c r="Q502" i="5"/>
  <c r="R502" i="5"/>
  <c r="S502" i="5"/>
  <c r="T502" i="5"/>
  <c r="U502" i="5"/>
  <c r="AC502" i="5" s="1"/>
  <c r="V502" i="5"/>
  <c r="W502" i="5"/>
  <c r="X502" i="5"/>
  <c r="O503" i="5"/>
  <c r="P503" i="5"/>
  <c r="Q503" i="5"/>
  <c r="R503" i="5"/>
  <c r="S503" i="5"/>
  <c r="T503" i="5"/>
  <c r="U503" i="5"/>
  <c r="AC503" i="5" s="1"/>
  <c r="V503" i="5"/>
  <c r="W503" i="5"/>
  <c r="X503" i="5"/>
  <c r="O504" i="5"/>
  <c r="P504" i="5"/>
  <c r="Q504" i="5"/>
  <c r="R504" i="5"/>
  <c r="S504" i="5"/>
  <c r="T504" i="5"/>
  <c r="U504" i="5"/>
  <c r="AC504" i="5" s="1"/>
  <c r="V504" i="5"/>
  <c r="W504" i="5"/>
  <c r="X504" i="5"/>
  <c r="O505" i="5"/>
  <c r="P505" i="5"/>
  <c r="Q505" i="5"/>
  <c r="R505" i="5"/>
  <c r="S505" i="5"/>
  <c r="T505" i="5"/>
  <c r="U505" i="5"/>
  <c r="AC505" i="5" s="1"/>
  <c r="V505" i="5"/>
  <c r="W505" i="5"/>
  <c r="X505" i="5"/>
  <c r="AD505" i="5" s="1"/>
  <c r="O506" i="5"/>
  <c r="P506" i="5"/>
  <c r="Q506" i="5"/>
  <c r="R506" i="5"/>
  <c r="S506" i="5"/>
  <c r="T506" i="5"/>
  <c r="U506" i="5"/>
  <c r="AC506" i="5" s="1"/>
  <c r="V506" i="5"/>
  <c r="W506" i="5"/>
  <c r="X506" i="5"/>
  <c r="O507" i="5"/>
  <c r="P507" i="5"/>
  <c r="Q507" i="5"/>
  <c r="R507" i="5"/>
  <c r="S507" i="5"/>
  <c r="T507" i="5"/>
  <c r="U507" i="5"/>
  <c r="AC507" i="5" s="1"/>
  <c r="V507" i="5"/>
  <c r="W507" i="5"/>
  <c r="X507" i="5"/>
  <c r="O508" i="5"/>
  <c r="P508" i="5"/>
  <c r="Q508" i="5"/>
  <c r="R508" i="5"/>
  <c r="S508" i="5"/>
  <c r="T508" i="5"/>
  <c r="U508" i="5"/>
  <c r="AC508" i="5" s="1"/>
  <c r="V508" i="5"/>
  <c r="W508" i="5"/>
  <c r="X508" i="5"/>
  <c r="O509" i="5"/>
  <c r="P509" i="5"/>
  <c r="Q509" i="5"/>
  <c r="R509" i="5"/>
  <c r="S509" i="5"/>
  <c r="T509" i="5"/>
  <c r="U509" i="5"/>
  <c r="AC509" i="5" s="1"/>
  <c r="V509" i="5"/>
  <c r="W509" i="5"/>
  <c r="X509" i="5"/>
  <c r="AD509" i="5" s="1"/>
  <c r="O510" i="5"/>
  <c r="P510" i="5"/>
  <c r="Q510" i="5"/>
  <c r="R510" i="5"/>
  <c r="S510" i="5"/>
  <c r="T510" i="5"/>
  <c r="U510" i="5"/>
  <c r="AC510" i="5" s="1"/>
  <c r="V510" i="5"/>
  <c r="W510" i="5"/>
  <c r="X510" i="5"/>
  <c r="O511" i="5"/>
  <c r="P511" i="5"/>
  <c r="Q511" i="5"/>
  <c r="R511" i="5"/>
  <c r="S511" i="5"/>
  <c r="T511" i="5"/>
  <c r="U511" i="5"/>
  <c r="AC511" i="5" s="1"/>
  <c r="V511" i="5"/>
  <c r="W511" i="5"/>
  <c r="X511" i="5"/>
  <c r="O512" i="5"/>
  <c r="P512" i="5"/>
  <c r="Q512" i="5"/>
  <c r="R512" i="5"/>
  <c r="S512" i="5"/>
  <c r="T512" i="5"/>
  <c r="U512" i="5"/>
  <c r="AC512" i="5" s="1"/>
  <c r="V512" i="5"/>
  <c r="W512" i="5"/>
  <c r="X512" i="5"/>
  <c r="O513" i="5"/>
  <c r="P513" i="5"/>
  <c r="Q513" i="5"/>
  <c r="R513" i="5"/>
  <c r="S513" i="5"/>
  <c r="T513" i="5"/>
  <c r="U513" i="5"/>
  <c r="AC513" i="5" s="1"/>
  <c r="V513" i="5"/>
  <c r="W513" i="5"/>
  <c r="X513" i="5"/>
  <c r="AD513" i="5" s="1"/>
  <c r="O514" i="5"/>
  <c r="P514" i="5"/>
  <c r="Q514" i="5"/>
  <c r="R514" i="5"/>
  <c r="S514" i="5"/>
  <c r="T514" i="5"/>
  <c r="U514" i="5"/>
  <c r="AC514" i="5" s="1"/>
  <c r="V514" i="5"/>
  <c r="W514" i="5"/>
  <c r="X514" i="5"/>
  <c r="O515" i="5"/>
  <c r="P515" i="5"/>
  <c r="Q515" i="5"/>
  <c r="R515" i="5"/>
  <c r="S515" i="5"/>
  <c r="T515" i="5"/>
  <c r="U515" i="5"/>
  <c r="AC515" i="5" s="1"/>
  <c r="V515" i="5"/>
  <c r="W515" i="5"/>
  <c r="X515" i="5"/>
  <c r="O516" i="5"/>
  <c r="P516" i="5"/>
  <c r="Q516" i="5"/>
  <c r="R516" i="5"/>
  <c r="S516" i="5"/>
  <c r="T516" i="5"/>
  <c r="U516" i="5"/>
  <c r="AC516" i="5" s="1"/>
  <c r="V516" i="5"/>
  <c r="W516" i="5"/>
  <c r="X516" i="5"/>
  <c r="O517" i="5"/>
  <c r="P517" i="5"/>
  <c r="Q517" i="5"/>
  <c r="R517" i="5"/>
  <c r="S517" i="5"/>
  <c r="T517" i="5"/>
  <c r="U517" i="5"/>
  <c r="AC517" i="5" s="1"/>
  <c r="V517" i="5"/>
  <c r="W517" i="5"/>
  <c r="X517" i="5"/>
  <c r="AD517" i="5" s="1"/>
  <c r="O431" i="3"/>
  <c r="P431" i="3"/>
  <c r="Q431" i="3"/>
  <c r="R431" i="3"/>
  <c r="S431" i="3"/>
  <c r="T431" i="3"/>
  <c r="U431" i="3"/>
  <c r="V431" i="3"/>
  <c r="W431" i="3"/>
  <c r="X431" i="3"/>
  <c r="O432" i="3"/>
  <c r="P432" i="3"/>
  <c r="Q432" i="3"/>
  <c r="R432" i="3"/>
  <c r="S432" i="3"/>
  <c r="T432" i="3"/>
  <c r="U432" i="3"/>
  <c r="V432" i="3"/>
  <c r="W432" i="3"/>
  <c r="X432" i="3"/>
  <c r="O433" i="3"/>
  <c r="P433" i="3"/>
  <c r="Q433" i="3"/>
  <c r="R433" i="3"/>
  <c r="S433" i="3"/>
  <c r="T433" i="3"/>
  <c r="U433" i="3"/>
  <c r="V433" i="3"/>
  <c r="W433" i="3"/>
  <c r="X433" i="3"/>
  <c r="O434" i="3"/>
  <c r="P434" i="3"/>
  <c r="Q434" i="3"/>
  <c r="R434" i="3"/>
  <c r="S434" i="3"/>
  <c r="T434" i="3"/>
  <c r="U434" i="3"/>
  <c r="V434" i="3"/>
  <c r="W434" i="3"/>
  <c r="X434" i="3"/>
  <c r="O435" i="3"/>
  <c r="P435" i="3"/>
  <c r="Q435" i="3"/>
  <c r="R435" i="3"/>
  <c r="S435" i="3"/>
  <c r="T435" i="3"/>
  <c r="U435" i="3"/>
  <c r="V435" i="3"/>
  <c r="W435" i="3"/>
  <c r="X435" i="3"/>
  <c r="O436" i="3"/>
  <c r="P436" i="3"/>
  <c r="Q436" i="3"/>
  <c r="R436" i="3"/>
  <c r="S436" i="3"/>
  <c r="T436" i="3"/>
  <c r="U436" i="3"/>
  <c r="V436" i="3"/>
  <c r="W436" i="3"/>
  <c r="X436" i="3"/>
  <c r="O437" i="3"/>
  <c r="P437" i="3"/>
  <c r="Q437" i="3"/>
  <c r="R437" i="3"/>
  <c r="S437" i="3"/>
  <c r="T437" i="3"/>
  <c r="U437" i="3"/>
  <c r="V437" i="3"/>
  <c r="W437" i="3"/>
  <c r="X437" i="3"/>
  <c r="O438" i="3"/>
  <c r="P438" i="3"/>
  <c r="Q438" i="3"/>
  <c r="R438" i="3"/>
  <c r="S438" i="3"/>
  <c r="T438" i="3"/>
  <c r="U438" i="3"/>
  <c r="V438" i="3"/>
  <c r="W438" i="3"/>
  <c r="X438" i="3"/>
  <c r="O439" i="3"/>
  <c r="P439" i="3"/>
  <c r="Q439" i="3"/>
  <c r="R439" i="3"/>
  <c r="S439" i="3"/>
  <c r="T439" i="3"/>
  <c r="U439" i="3"/>
  <c r="V439" i="3"/>
  <c r="W439" i="3"/>
  <c r="X439" i="3"/>
  <c r="O440" i="3"/>
  <c r="P440" i="3"/>
  <c r="Q440" i="3"/>
  <c r="R440" i="3"/>
  <c r="S440" i="3"/>
  <c r="T440" i="3"/>
  <c r="U440" i="3"/>
  <c r="V440" i="3"/>
  <c r="W440" i="3"/>
  <c r="X440" i="3"/>
  <c r="O441" i="3"/>
  <c r="P441" i="3"/>
  <c r="Q441" i="3"/>
  <c r="R441" i="3"/>
  <c r="S441" i="3"/>
  <c r="T441" i="3"/>
  <c r="U441" i="3"/>
  <c r="V441" i="3"/>
  <c r="W441" i="3"/>
  <c r="X441" i="3"/>
  <c r="O442" i="3"/>
  <c r="P442" i="3"/>
  <c r="Q442" i="3"/>
  <c r="R442" i="3"/>
  <c r="S442" i="3"/>
  <c r="T442" i="3"/>
  <c r="U442" i="3"/>
  <c r="V442" i="3"/>
  <c r="W442" i="3"/>
  <c r="X442" i="3"/>
  <c r="O443" i="3"/>
  <c r="P443" i="3"/>
  <c r="Q443" i="3"/>
  <c r="R443" i="3"/>
  <c r="S443" i="3"/>
  <c r="T443" i="3"/>
  <c r="U443" i="3"/>
  <c r="V443" i="3"/>
  <c r="W443" i="3"/>
  <c r="X443" i="3"/>
  <c r="O444" i="3"/>
  <c r="P444" i="3"/>
  <c r="Q444" i="3"/>
  <c r="R444" i="3"/>
  <c r="S444" i="3"/>
  <c r="T444" i="3"/>
  <c r="U444" i="3"/>
  <c r="V444" i="3"/>
  <c r="W444" i="3"/>
  <c r="X444" i="3"/>
  <c r="O445" i="3"/>
  <c r="P445" i="3"/>
  <c r="Q445" i="3"/>
  <c r="R445" i="3"/>
  <c r="S445" i="3"/>
  <c r="T445" i="3"/>
  <c r="U445" i="3"/>
  <c r="V445" i="3"/>
  <c r="W445" i="3"/>
  <c r="X445" i="3"/>
  <c r="O446" i="3"/>
  <c r="P446" i="3"/>
  <c r="Q446" i="3"/>
  <c r="R446" i="3"/>
  <c r="S446" i="3"/>
  <c r="T446" i="3"/>
  <c r="U446" i="3"/>
  <c r="V446" i="3"/>
  <c r="W446" i="3"/>
  <c r="X446" i="3"/>
  <c r="O447" i="3"/>
  <c r="P447" i="3"/>
  <c r="Q447" i="3"/>
  <c r="R447" i="3"/>
  <c r="S447" i="3"/>
  <c r="T447" i="3"/>
  <c r="U447" i="3"/>
  <c r="V447" i="3"/>
  <c r="W447" i="3"/>
  <c r="X447" i="3"/>
  <c r="O448" i="3"/>
  <c r="P448" i="3"/>
  <c r="Q448" i="3"/>
  <c r="R448" i="3"/>
  <c r="S448" i="3"/>
  <c r="T448" i="3"/>
  <c r="U448" i="3"/>
  <c r="V448" i="3"/>
  <c r="W448" i="3"/>
  <c r="X448" i="3"/>
  <c r="O449" i="3"/>
  <c r="P449" i="3"/>
  <c r="Q449" i="3"/>
  <c r="R449" i="3"/>
  <c r="S449" i="3"/>
  <c r="T449" i="3"/>
  <c r="U449" i="3"/>
  <c r="V449" i="3"/>
  <c r="W449" i="3"/>
  <c r="X449" i="3"/>
  <c r="O450" i="3"/>
  <c r="P450" i="3"/>
  <c r="Q450" i="3"/>
  <c r="R450" i="3"/>
  <c r="S450" i="3"/>
  <c r="T450" i="3"/>
  <c r="U450" i="3"/>
  <c r="V450" i="3"/>
  <c r="W450" i="3"/>
  <c r="X450" i="3"/>
  <c r="O451" i="3"/>
  <c r="P451" i="3"/>
  <c r="Q451" i="3"/>
  <c r="R451" i="3"/>
  <c r="S451" i="3"/>
  <c r="T451" i="3"/>
  <c r="U451" i="3"/>
  <c r="V451" i="3"/>
  <c r="W451" i="3"/>
  <c r="X451" i="3"/>
  <c r="O452" i="3"/>
  <c r="P452" i="3"/>
  <c r="Q452" i="3"/>
  <c r="R452" i="3"/>
  <c r="S452" i="3"/>
  <c r="T452" i="3"/>
  <c r="U452" i="3"/>
  <c r="V452" i="3"/>
  <c r="W452" i="3"/>
  <c r="X452" i="3"/>
  <c r="O453" i="3"/>
  <c r="P453" i="3"/>
  <c r="Q453" i="3"/>
  <c r="R453" i="3"/>
  <c r="S453" i="3"/>
  <c r="T453" i="3"/>
  <c r="U453" i="3"/>
  <c r="V453" i="3"/>
  <c r="W453" i="3"/>
  <c r="X453" i="3"/>
  <c r="O454" i="3"/>
  <c r="P454" i="3"/>
  <c r="Q454" i="3"/>
  <c r="R454" i="3"/>
  <c r="S454" i="3"/>
  <c r="T454" i="3"/>
  <c r="U454" i="3"/>
  <c r="V454" i="3"/>
  <c r="W454" i="3"/>
  <c r="X454" i="3"/>
  <c r="O455" i="3"/>
  <c r="P455" i="3"/>
  <c r="Q455" i="3"/>
  <c r="R455" i="3"/>
  <c r="S455" i="3"/>
  <c r="T455" i="3"/>
  <c r="U455" i="3"/>
  <c r="V455" i="3"/>
  <c r="W455" i="3"/>
  <c r="X455" i="3"/>
  <c r="O456" i="3"/>
  <c r="P456" i="3"/>
  <c r="Q456" i="3"/>
  <c r="R456" i="3"/>
  <c r="S456" i="3"/>
  <c r="T456" i="3"/>
  <c r="U456" i="3"/>
  <c r="V456" i="3"/>
  <c r="W456" i="3"/>
  <c r="X456" i="3"/>
  <c r="O457" i="3"/>
  <c r="P457" i="3"/>
  <c r="Q457" i="3"/>
  <c r="R457" i="3"/>
  <c r="S457" i="3"/>
  <c r="T457" i="3"/>
  <c r="U457" i="3"/>
  <c r="V457" i="3"/>
  <c r="W457" i="3"/>
  <c r="X457" i="3"/>
  <c r="O458" i="3"/>
  <c r="P458" i="3"/>
  <c r="Q458" i="3"/>
  <c r="R458" i="3"/>
  <c r="S458" i="3"/>
  <c r="T458" i="3"/>
  <c r="U458" i="3"/>
  <c r="V458" i="3"/>
  <c r="W458" i="3"/>
  <c r="X458" i="3"/>
  <c r="O459" i="3"/>
  <c r="P459" i="3"/>
  <c r="Q459" i="3"/>
  <c r="R459" i="3"/>
  <c r="S459" i="3"/>
  <c r="T459" i="3"/>
  <c r="U459" i="3"/>
  <c r="V459" i="3"/>
  <c r="W459" i="3"/>
  <c r="X459" i="3"/>
  <c r="O460" i="3"/>
  <c r="P460" i="3"/>
  <c r="Q460" i="3"/>
  <c r="R460" i="3"/>
  <c r="S460" i="3"/>
  <c r="T460" i="3"/>
  <c r="U460" i="3"/>
  <c r="V460" i="3"/>
  <c r="W460" i="3"/>
  <c r="X460" i="3"/>
  <c r="O461" i="3"/>
  <c r="P461" i="3"/>
  <c r="Q461" i="3"/>
  <c r="R461" i="3"/>
  <c r="S461" i="3"/>
  <c r="T461" i="3"/>
  <c r="U461" i="3"/>
  <c r="V461" i="3"/>
  <c r="W461" i="3"/>
  <c r="X461" i="3"/>
  <c r="O462" i="3"/>
  <c r="P462" i="3"/>
  <c r="Q462" i="3"/>
  <c r="R462" i="3"/>
  <c r="S462" i="3"/>
  <c r="T462" i="3"/>
  <c r="U462" i="3"/>
  <c r="V462" i="3"/>
  <c r="W462" i="3"/>
  <c r="X462" i="3"/>
  <c r="O463" i="3"/>
  <c r="P463" i="3"/>
  <c r="Q463" i="3"/>
  <c r="R463" i="3"/>
  <c r="S463" i="3"/>
  <c r="T463" i="3"/>
  <c r="U463" i="3"/>
  <c r="V463" i="3"/>
  <c r="W463" i="3"/>
  <c r="X463" i="3"/>
  <c r="O464" i="3"/>
  <c r="P464" i="3"/>
  <c r="Q464" i="3"/>
  <c r="R464" i="3"/>
  <c r="S464" i="3"/>
  <c r="T464" i="3"/>
  <c r="U464" i="3"/>
  <c r="V464" i="3"/>
  <c r="W464" i="3"/>
  <c r="X464" i="3"/>
  <c r="O465" i="3"/>
  <c r="P465" i="3"/>
  <c r="Q465" i="3"/>
  <c r="R465" i="3"/>
  <c r="S465" i="3"/>
  <c r="T465" i="3"/>
  <c r="U465" i="3"/>
  <c r="V465" i="3"/>
  <c r="W465" i="3"/>
  <c r="X465" i="3"/>
  <c r="O466" i="3"/>
  <c r="P466" i="3"/>
  <c r="Q466" i="3"/>
  <c r="R466" i="3"/>
  <c r="S466" i="3"/>
  <c r="T466" i="3"/>
  <c r="U466" i="3"/>
  <c r="V466" i="3"/>
  <c r="W466" i="3"/>
  <c r="X466" i="3"/>
  <c r="O467" i="3"/>
  <c r="P467" i="3"/>
  <c r="Q467" i="3"/>
  <c r="R467" i="3"/>
  <c r="S467" i="3"/>
  <c r="T467" i="3"/>
  <c r="U467" i="3"/>
  <c r="V467" i="3"/>
  <c r="W467" i="3"/>
  <c r="X467" i="3"/>
  <c r="O468" i="3"/>
  <c r="P468" i="3"/>
  <c r="Q468" i="3"/>
  <c r="R468" i="3"/>
  <c r="S468" i="3"/>
  <c r="T468" i="3"/>
  <c r="U468" i="3"/>
  <c r="V468" i="3"/>
  <c r="W468" i="3"/>
  <c r="X468" i="3"/>
  <c r="O469" i="3"/>
  <c r="P469" i="3"/>
  <c r="Q469" i="3"/>
  <c r="R469" i="3"/>
  <c r="S469" i="3"/>
  <c r="T469" i="3"/>
  <c r="U469" i="3"/>
  <c r="V469" i="3"/>
  <c r="W469" i="3"/>
  <c r="X469" i="3"/>
  <c r="O470" i="3"/>
  <c r="P470" i="3"/>
  <c r="Q470" i="3"/>
  <c r="R470" i="3"/>
  <c r="S470" i="3"/>
  <c r="T470" i="3"/>
  <c r="U470" i="3"/>
  <c r="V470" i="3"/>
  <c r="W470" i="3"/>
  <c r="X470" i="3"/>
  <c r="O471" i="3"/>
  <c r="P471" i="3"/>
  <c r="Q471" i="3"/>
  <c r="R471" i="3"/>
  <c r="S471" i="3"/>
  <c r="T471" i="3"/>
  <c r="U471" i="3"/>
  <c r="V471" i="3"/>
  <c r="W471" i="3"/>
  <c r="X471" i="3"/>
  <c r="O472" i="3"/>
  <c r="P472" i="3"/>
  <c r="Q472" i="3"/>
  <c r="R472" i="3"/>
  <c r="S472" i="3"/>
  <c r="T472" i="3"/>
  <c r="U472" i="3"/>
  <c r="V472" i="3"/>
  <c r="W472" i="3"/>
  <c r="X472" i="3"/>
  <c r="O473" i="3"/>
  <c r="P473" i="3"/>
  <c r="Q473" i="3"/>
  <c r="R473" i="3"/>
  <c r="S473" i="3"/>
  <c r="T473" i="3"/>
  <c r="U473" i="3"/>
  <c r="V473" i="3"/>
  <c r="W473" i="3"/>
  <c r="X473" i="3"/>
  <c r="O474" i="3"/>
  <c r="P474" i="3"/>
  <c r="Q474" i="3"/>
  <c r="R474" i="3"/>
  <c r="S474" i="3"/>
  <c r="T474" i="3"/>
  <c r="U474" i="3"/>
  <c r="V474" i="3"/>
  <c r="W474" i="3"/>
  <c r="X474" i="3"/>
  <c r="O475" i="3"/>
  <c r="P475" i="3"/>
  <c r="Q475" i="3"/>
  <c r="R475" i="3"/>
  <c r="S475" i="3"/>
  <c r="T475" i="3"/>
  <c r="U475" i="3"/>
  <c r="V475" i="3"/>
  <c r="W475" i="3"/>
  <c r="X475" i="3"/>
  <c r="O476" i="3"/>
  <c r="P476" i="3"/>
  <c r="Q476" i="3"/>
  <c r="R476" i="3"/>
  <c r="S476" i="3"/>
  <c r="T476" i="3"/>
  <c r="U476" i="3"/>
  <c r="V476" i="3"/>
  <c r="W476" i="3"/>
  <c r="X476" i="3"/>
  <c r="O477" i="3"/>
  <c r="P477" i="3"/>
  <c r="Q477" i="3"/>
  <c r="R477" i="3"/>
  <c r="S477" i="3"/>
  <c r="T477" i="3"/>
  <c r="U477" i="3"/>
  <c r="V477" i="3"/>
  <c r="W477" i="3"/>
  <c r="X477" i="3"/>
  <c r="O478" i="3"/>
  <c r="P478" i="3"/>
  <c r="Q478" i="3"/>
  <c r="R478" i="3"/>
  <c r="S478" i="3"/>
  <c r="T478" i="3"/>
  <c r="U478" i="3"/>
  <c r="V478" i="3"/>
  <c r="W478" i="3"/>
  <c r="X478" i="3"/>
  <c r="O479" i="3"/>
  <c r="P479" i="3"/>
  <c r="Q479" i="3"/>
  <c r="R479" i="3"/>
  <c r="S479" i="3"/>
  <c r="T479" i="3"/>
  <c r="U479" i="3"/>
  <c r="V479" i="3"/>
  <c r="W479" i="3"/>
  <c r="X479" i="3"/>
  <c r="O480" i="3"/>
  <c r="P480" i="3"/>
  <c r="Q480" i="3"/>
  <c r="R480" i="3"/>
  <c r="S480" i="3"/>
  <c r="T480" i="3"/>
  <c r="U480" i="3"/>
  <c r="V480" i="3"/>
  <c r="W480" i="3"/>
  <c r="X480" i="3"/>
  <c r="O481" i="3"/>
  <c r="P481" i="3"/>
  <c r="Q481" i="3"/>
  <c r="R481" i="3"/>
  <c r="S481" i="3"/>
  <c r="T481" i="3"/>
  <c r="U481" i="3"/>
  <c r="V481" i="3"/>
  <c r="W481" i="3"/>
  <c r="X481" i="3"/>
  <c r="O482" i="3"/>
  <c r="P482" i="3"/>
  <c r="Q482" i="3"/>
  <c r="R482" i="3"/>
  <c r="S482" i="3"/>
  <c r="T482" i="3"/>
  <c r="U482" i="3"/>
  <c r="V482" i="3"/>
  <c r="W482" i="3"/>
  <c r="X482" i="3"/>
  <c r="O483" i="3"/>
  <c r="P483" i="3"/>
  <c r="Q483" i="3"/>
  <c r="R483" i="3"/>
  <c r="S483" i="3"/>
  <c r="T483" i="3"/>
  <c r="U483" i="3"/>
  <c r="V483" i="3"/>
  <c r="W483" i="3"/>
  <c r="X483" i="3"/>
  <c r="O484" i="3"/>
  <c r="P484" i="3"/>
  <c r="Q484" i="3"/>
  <c r="R484" i="3"/>
  <c r="S484" i="3"/>
  <c r="T484" i="3"/>
  <c r="U484" i="3"/>
  <c r="V484" i="3"/>
  <c r="W484" i="3"/>
  <c r="X484" i="3"/>
  <c r="O485" i="3"/>
  <c r="P485" i="3"/>
  <c r="Q485" i="3"/>
  <c r="R485" i="3"/>
  <c r="S485" i="3"/>
  <c r="T485" i="3"/>
  <c r="U485" i="3"/>
  <c r="V485" i="3"/>
  <c r="W485" i="3"/>
  <c r="X485" i="3"/>
  <c r="O486" i="3"/>
  <c r="P486" i="3"/>
  <c r="Q486" i="3"/>
  <c r="R486" i="3"/>
  <c r="S486" i="3"/>
  <c r="T486" i="3"/>
  <c r="U486" i="3"/>
  <c r="V486" i="3"/>
  <c r="W486" i="3"/>
  <c r="X486" i="3"/>
  <c r="O487" i="3"/>
  <c r="P487" i="3"/>
  <c r="Q487" i="3"/>
  <c r="R487" i="3"/>
  <c r="S487" i="3"/>
  <c r="T487" i="3"/>
  <c r="U487" i="3"/>
  <c r="V487" i="3"/>
  <c r="W487" i="3"/>
  <c r="X487" i="3"/>
  <c r="O488" i="3"/>
  <c r="P488" i="3"/>
  <c r="Q488" i="3"/>
  <c r="R488" i="3"/>
  <c r="S488" i="3"/>
  <c r="T488" i="3"/>
  <c r="U488" i="3"/>
  <c r="V488" i="3"/>
  <c r="W488" i="3"/>
  <c r="X488" i="3"/>
  <c r="O489" i="3"/>
  <c r="P489" i="3"/>
  <c r="Q489" i="3"/>
  <c r="R489" i="3"/>
  <c r="S489" i="3"/>
  <c r="T489" i="3"/>
  <c r="U489" i="3"/>
  <c r="V489" i="3"/>
  <c r="W489" i="3"/>
  <c r="X489" i="3"/>
  <c r="O490" i="3"/>
  <c r="P490" i="3"/>
  <c r="Q490" i="3"/>
  <c r="R490" i="3"/>
  <c r="S490" i="3"/>
  <c r="T490" i="3"/>
  <c r="U490" i="3"/>
  <c r="V490" i="3"/>
  <c r="W490" i="3"/>
  <c r="X490" i="3"/>
  <c r="O491" i="3"/>
  <c r="P491" i="3"/>
  <c r="Q491" i="3"/>
  <c r="R491" i="3"/>
  <c r="S491" i="3"/>
  <c r="T491" i="3"/>
  <c r="U491" i="3"/>
  <c r="V491" i="3"/>
  <c r="W491" i="3"/>
  <c r="X491" i="3"/>
  <c r="O492" i="3"/>
  <c r="P492" i="3"/>
  <c r="Q492" i="3"/>
  <c r="R492" i="3"/>
  <c r="S492" i="3"/>
  <c r="T492" i="3"/>
  <c r="U492" i="3"/>
  <c r="V492" i="3"/>
  <c r="W492" i="3"/>
  <c r="X492" i="3"/>
  <c r="O493" i="3"/>
  <c r="P493" i="3"/>
  <c r="Q493" i="3"/>
  <c r="R493" i="3"/>
  <c r="S493" i="3"/>
  <c r="T493" i="3"/>
  <c r="U493" i="3"/>
  <c r="V493" i="3"/>
  <c r="W493" i="3"/>
  <c r="X493" i="3"/>
  <c r="O494" i="3"/>
  <c r="P494" i="3"/>
  <c r="Q494" i="3"/>
  <c r="R494" i="3"/>
  <c r="S494" i="3"/>
  <c r="T494" i="3"/>
  <c r="U494" i="3"/>
  <c r="V494" i="3"/>
  <c r="W494" i="3"/>
  <c r="X494" i="3"/>
  <c r="O495" i="3"/>
  <c r="P495" i="3"/>
  <c r="Q495" i="3"/>
  <c r="R495" i="3"/>
  <c r="S495" i="3"/>
  <c r="T495" i="3"/>
  <c r="U495" i="3"/>
  <c r="V495" i="3"/>
  <c r="W495" i="3"/>
  <c r="X495" i="3"/>
  <c r="O496" i="3"/>
  <c r="P496" i="3"/>
  <c r="Q496" i="3"/>
  <c r="R496" i="3"/>
  <c r="S496" i="3"/>
  <c r="T496" i="3"/>
  <c r="U496" i="3"/>
  <c r="V496" i="3"/>
  <c r="W496" i="3"/>
  <c r="X496" i="3"/>
  <c r="O497" i="3"/>
  <c r="P497" i="3"/>
  <c r="Q497" i="3"/>
  <c r="R497" i="3"/>
  <c r="S497" i="3"/>
  <c r="T497" i="3"/>
  <c r="U497" i="3"/>
  <c r="V497" i="3"/>
  <c r="W497" i="3"/>
  <c r="X497" i="3"/>
  <c r="O498" i="3"/>
  <c r="P498" i="3"/>
  <c r="Q498" i="3"/>
  <c r="R498" i="3"/>
  <c r="S498" i="3"/>
  <c r="T498" i="3"/>
  <c r="U498" i="3"/>
  <c r="V498" i="3"/>
  <c r="W498" i="3"/>
  <c r="X498" i="3"/>
  <c r="O499" i="3"/>
  <c r="P499" i="3"/>
  <c r="Q499" i="3"/>
  <c r="R499" i="3"/>
  <c r="S499" i="3"/>
  <c r="T499" i="3"/>
  <c r="U499" i="3"/>
  <c r="V499" i="3"/>
  <c r="W499" i="3"/>
  <c r="X499" i="3"/>
  <c r="O500" i="3"/>
  <c r="P500" i="3"/>
  <c r="Q500" i="3"/>
  <c r="R500" i="3"/>
  <c r="S500" i="3"/>
  <c r="T500" i="3"/>
  <c r="U500" i="3"/>
  <c r="V500" i="3"/>
  <c r="W500" i="3"/>
  <c r="X500" i="3"/>
  <c r="O501" i="3"/>
  <c r="P501" i="3"/>
  <c r="Q501" i="3"/>
  <c r="R501" i="3"/>
  <c r="S501" i="3"/>
  <c r="T501" i="3"/>
  <c r="U501" i="3"/>
  <c r="V501" i="3"/>
  <c r="W501" i="3"/>
  <c r="X501" i="3"/>
  <c r="O502" i="3"/>
  <c r="P502" i="3"/>
  <c r="Q502" i="3"/>
  <c r="R502" i="3"/>
  <c r="S502" i="3"/>
  <c r="T502" i="3"/>
  <c r="U502" i="3"/>
  <c r="V502" i="3"/>
  <c r="W502" i="3"/>
  <c r="X502" i="3"/>
  <c r="O503" i="3"/>
  <c r="P503" i="3"/>
  <c r="Q503" i="3"/>
  <c r="R503" i="3"/>
  <c r="S503" i="3"/>
  <c r="T503" i="3"/>
  <c r="U503" i="3"/>
  <c r="V503" i="3"/>
  <c r="W503" i="3"/>
  <c r="X503" i="3"/>
  <c r="O504" i="3"/>
  <c r="P504" i="3"/>
  <c r="Q504" i="3"/>
  <c r="R504" i="3"/>
  <c r="S504" i="3"/>
  <c r="T504" i="3"/>
  <c r="U504" i="3"/>
  <c r="V504" i="3"/>
  <c r="W504" i="3"/>
  <c r="X504" i="3"/>
  <c r="O505" i="3"/>
  <c r="P505" i="3"/>
  <c r="Q505" i="3"/>
  <c r="R505" i="3"/>
  <c r="S505" i="3"/>
  <c r="T505" i="3"/>
  <c r="U505" i="3"/>
  <c r="V505" i="3"/>
  <c r="W505" i="3"/>
  <c r="X505" i="3"/>
  <c r="O506" i="3"/>
  <c r="P506" i="3"/>
  <c r="Q506" i="3"/>
  <c r="R506" i="3"/>
  <c r="S506" i="3"/>
  <c r="T506" i="3"/>
  <c r="U506" i="3"/>
  <c r="V506" i="3"/>
  <c r="W506" i="3"/>
  <c r="X506" i="3"/>
  <c r="O507" i="3"/>
  <c r="P507" i="3"/>
  <c r="Q507" i="3"/>
  <c r="R507" i="3"/>
  <c r="S507" i="3"/>
  <c r="T507" i="3"/>
  <c r="U507" i="3"/>
  <c r="V507" i="3"/>
  <c r="W507" i="3"/>
  <c r="X507" i="3"/>
  <c r="O508" i="3"/>
  <c r="P508" i="3"/>
  <c r="Q508" i="3"/>
  <c r="R508" i="3"/>
  <c r="S508" i="3"/>
  <c r="T508" i="3"/>
  <c r="U508" i="3"/>
  <c r="V508" i="3"/>
  <c r="W508" i="3"/>
  <c r="X508" i="3"/>
  <c r="O509" i="3"/>
  <c r="P509" i="3"/>
  <c r="Q509" i="3"/>
  <c r="R509" i="3"/>
  <c r="S509" i="3"/>
  <c r="T509" i="3"/>
  <c r="U509" i="3"/>
  <c r="V509" i="3"/>
  <c r="W509" i="3"/>
  <c r="X509" i="3"/>
  <c r="O510" i="3"/>
  <c r="P510" i="3"/>
  <c r="Q510" i="3"/>
  <c r="R510" i="3"/>
  <c r="S510" i="3"/>
  <c r="T510" i="3"/>
  <c r="U510" i="3"/>
  <c r="V510" i="3"/>
  <c r="W510" i="3"/>
  <c r="X510" i="3"/>
  <c r="O511" i="3"/>
  <c r="P511" i="3"/>
  <c r="Q511" i="3"/>
  <c r="R511" i="3"/>
  <c r="S511" i="3"/>
  <c r="T511" i="3"/>
  <c r="U511" i="3"/>
  <c r="V511" i="3"/>
  <c r="W511" i="3"/>
  <c r="X511" i="3"/>
  <c r="O512" i="3"/>
  <c r="P512" i="3"/>
  <c r="Q512" i="3"/>
  <c r="R512" i="3"/>
  <c r="S512" i="3"/>
  <c r="T512" i="3"/>
  <c r="U512" i="3"/>
  <c r="V512" i="3"/>
  <c r="W512" i="3"/>
  <c r="X512" i="3"/>
  <c r="O513" i="3"/>
  <c r="P513" i="3"/>
  <c r="Q513" i="3"/>
  <c r="R513" i="3"/>
  <c r="S513" i="3"/>
  <c r="T513" i="3"/>
  <c r="U513" i="3"/>
  <c r="V513" i="3"/>
  <c r="W513" i="3"/>
  <c r="X513" i="3"/>
  <c r="O514" i="3"/>
  <c r="P514" i="3"/>
  <c r="Q514" i="3"/>
  <c r="R514" i="3"/>
  <c r="S514" i="3"/>
  <c r="T514" i="3"/>
  <c r="U514" i="3"/>
  <c r="V514" i="3"/>
  <c r="W514" i="3"/>
  <c r="X514" i="3"/>
  <c r="O515" i="3"/>
  <c r="P515" i="3"/>
  <c r="Q515" i="3"/>
  <c r="R515" i="3"/>
  <c r="S515" i="3"/>
  <c r="T515" i="3"/>
  <c r="U515" i="3"/>
  <c r="V515" i="3"/>
  <c r="W515" i="3"/>
  <c r="X515" i="3"/>
  <c r="O516" i="3"/>
  <c r="P516" i="3"/>
  <c r="Q516" i="3"/>
  <c r="R516" i="3"/>
  <c r="S516" i="3"/>
  <c r="T516" i="3"/>
  <c r="U516" i="3"/>
  <c r="V516" i="3"/>
  <c r="W516" i="3"/>
  <c r="X516" i="3"/>
  <c r="O517" i="3"/>
  <c r="P517" i="3"/>
  <c r="Q517" i="3"/>
  <c r="R517" i="3"/>
  <c r="S517" i="3"/>
  <c r="T517" i="3"/>
  <c r="U517" i="3"/>
  <c r="V517" i="3"/>
  <c r="W517" i="3"/>
  <c r="X51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D516" i="5" l="1"/>
  <c r="AD512" i="5"/>
  <c r="AD508" i="5"/>
  <c r="AD504" i="5"/>
  <c r="AD500" i="5"/>
  <c r="AD496" i="5"/>
  <c r="AD492" i="5"/>
  <c r="AD488" i="5"/>
  <c r="AD484" i="5"/>
  <c r="AD480" i="5"/>
  <c r="AD476" i="5"/>
  <c r="AD472" i="5"/>
  <c r="AD468" i="5"/>
  <c r="AD464" i="5"/>
  <c r="AD460" i="5"/>
  <c r="AD456" i="5"/>
  <c r="AD452" i="5"/>
  <c r="AD448" i="5"/>
  <c r="AD444" i="5"/>
  <c r="AD440" i="5"/>
  <c r="AD436" i="5"/>
  <c r="AD432" i="5"/>
  <c r="AD521" i="5"/>
  <c r="AD515" i="5"/>
  <c r="AD511" i="5"/>
  <c r="AD507" i="5"/>
  <c r="AD503" i="5"/>
  <c r="AD499" i="5"/>
  <c r="AD495" i="5"/>
  <c r="AD491" i="5"/>
  <c r="AD487" i="5"/>
  <c r="AD483" i="5"/>
  <c r="AD479" i="5"/>
  <c r="AD475" i="5"/>
  <c r="AD471" i="5"/>
  <c r="AD467" i="5"/>
  <c r="AD463" i="5"/>
  <c r="AD459" i="5"/>
  <c r="AD455" i="5"/>
  <c r="AD451" i="5"/>
  <c r="AD447" i="5"/>
  <c r="AD443" i="5"/>
  <c r="AD439" i="5"/>
  <c r="AD435" i="5"/>
  <c r="AD431" i="5"/>
  <c r="AD520" i="5"/>
  <c r="AD514" i="5"/>
  <c r="AD510" i="5"/>
  <c r="AD506" i="5"/>
  <c r="AD502" i="5"/>
  <c r="AD498" i="5"/>
  <c r="AD494" i="5"/>
  <c r="AD490" i="5"/>
  <c r="AD486" i="5"/>
  <c r="AD482" i="5"/>
  <c r="AD478" i="5"/>
  <c r="AD474" i="5"/>
  <c r="AD470" i="5"/>
  <c r="AD466" i="5"/>
  <c r="AD462" i="5"/>
  <c r="AD458" i="5"/>
  <c r="AD454" i="5"/>
  <c r="AD450" i="5"/>
  <c r="AD446" i="5"/>
  <c r="AD442" i="5"/>
  <c r="AD438" i="5"/>
  <c r="AD434" i="5"/>
  <c r="AD523" i="5"/>
  <c r="AD519" i="5"/>
  <c r="O408" i="5"/>
  <c r="P408" i="5"/>
  <c r="Q408" i="5"/>
  <c r="R408" i="5"/>
  <c r="S408" i="5"/>
  <c r="T408" i="5"/>
  <c r="U408" i="5"/>
  <c r="V408" i="5"/>
  <c r="W408" i="5"/>
  <c r="AC408" i="5" s="1"/>
  <c r="X408" i="5"/>
  <c r="O409" i="5"/>
  <c r="P409" i="5"/>
  <c r="Q409" i="5"/>
  <c r="R409" i="5"/>
  <c r="S409" i="5"/>
  <c r="T409" i="5"/>
  <c r="U409" i="5"/>
  <c r="AD409" i="5" s="1"/>
  <c r="V409" i="5"/>
  <c r="W409" i="5"/>
  <c r="X409" i="5"/>
  <c r="O410" i="5"/>
  <c r="P410" i="5"/>
  <c r="Q410" i="5"/>
  <c r="R410" i="5"/>
  <c r="S410" i="5"/>
  <c r="T410" i="5"/>
  <c r="U410" i="5"/>
  <c r="V410" i="5"/>
  <c r="W410" i="5"/>
  <c r="X410" i="5"/>
  <c r="O411" i="5"/>
  <c r="P411" i="5"/>
  <c r="Q411" i="5"/>
  <c r="R411" i="5"/>
  <c r="S411" i="5"/>
  <c r="T411" i="5"/>
  <c r="U411" i="5"/>
  <c r="V411" i="5"/>
  <c r="W411" i="5"/>
  <c r="X411" i="5"/>
  <c r="O412" i="5"/>
  <c r="P412" i="5"/>
  <c r="Q412" i="5"/>
  <c r="R412" i="5"/>
  <c r="S412" i="5"/>
  <c r="T412" i="5"/>
  <c r="U412" i="5"/>
  <c r="V412" i="5"/>
  <c r="W412" i="5"/>
  <c r="AC412" i="5" s="1"/>
  <c r="X412" i="5"/>
  <c r="O413" i="5"/>
  <c r="P413" i="5"/>
  <c r="Q413" i="5"/>
  <c r="R413" i="5"/>
  <c r="S413" i="5"/>
  <c r="T413" i="5"/>
  <c r="U413" i="5"/>
  <c r="AD413" i="5" s="1"/>
  <c r="V413" i="5"/>
  <c r="W413" i="5"/>
  <c r="X413" i="5"/>
  <c r="O414" i="5"/>
  <c r="P414" i="5"/>
  <c r="Q414" i="5"/>
  <c r="R414" i="5"/>
  <c r="S414" i="5"/>
  <c r="T414" i="5"/>
  <c r="U414" i="5"/>
  <c r="V414" i="5"/>
  <c r="W414" i="5"/>
  <c r="X414" i="5"/>
  <c r="O415" i="5"/>
  <c r="P415" i="5"/>
  <c r="Q415" i="5"/>
  <c r="R415" i="5"/>
  <c r="S415" i="5"/>
  <c r="T415" i="5"/>
  <c r="U415" i="5"/>
  <c r="V415" i="5"/>
  <c r="W415" i="5"/>
  <c r="X415" i="5"/>
  <c r="O416" i="5"/>
  <c r="P416" i="5"/>
  <c r="Q416" i="5"/>
  <c r="R416" i="5"/>
  <c r="S416" i="5"/>
  <c r="T416" i="5"/>
  <c r="U416" i="5"/>
  <c r="V416" i="5"/>
  <c r="W416" i="5"/>
  <c r="AC416" i="5" s="1"/>
  <c r="X416" i="5"/>
  <c r="O417" i="5"/>
  <c r="P417" i="5"/>
  <c r="Q417" i="5"/>
  <c r="R417" i="5"/>
  <c r="S417" i="5"/>
  <c r="T417" i="5"/>
  <c r="U417" i="5"/>
  <c r="AD417" i="5" s="1"/>
  <c r="V417" i="5"/>
  <c r="W417" i="5"/>
  <c r="X417" i="5"/>
  <c r="O418" i="5"/>
  <c r="P418" i="5"/>
  <c r="Q418" i="5"/>
  <c r="R418" i="5"/>
  <c r="S418" i="5"/>
  <c r="T418" i="5"/>
  <c r="U418" i="5"/>
  <c r="V418" i="5"/>
  <c r="W418" i="5"/>
  <c r="X418" i="5"/>
  <c r="O419" i="5"/>
  <c r="P419" i="5"/>
  <c r="Q419" i="5"/>
  <c r="R419" i="5"/>
  <c r="S419" i="5"/>
  <c r="T419" i="5"/>
  <c r="U419" i="5"/>
  <c r="V419" i="5"/>
  <c r="W419" i="5"/>
  <c r="X419" i="5"/>
  <c r="O420" i="5"/>
  <c r="P420" i="5"/>
  <c r="Q420" i="5"/>
  <c r="R420" i="5"/>
  <c r="S420" i="5"/>
  <c r="T420" i="5"/>
  <c r="U420" i="5"/>
  <c r="V420" i="5"/>
  <c r="W420" i="5"/>
  <c r="AC420" i="5" s="1"/>
  <c r="X420" i="5"/>
  <c r="O421" i="5"/>
  <c r="P421" i="5"/>
  <c r="Q421" i="5"/>
  <c r="R421" i="5"/>
  <c r="S421" i="5"/>
  <c r="T421" i="5"/>
  <c r="U421" i="5"/>
  <c r="AD421" i="5" s="1"/>
  <c r="V421" i="5"/>
  <c r="W421" i="5"/>
  <c r="X421" i="5"/>
  <c r="O422" i="5"/>
  <c r="P422" i="5"/>
  <c r="Q422" i="5"/>
  <c r="R422" i="5"/>
  <c r="S422" i="5"/>
  <c r="T422" i="5"/>
  <c r="U422" i="5"/>
  <c r="V422" i="5"/>
  <c r="W422" i="5"/>
  <c r="X422" i="5"/>
  <c r="O423" i="5"/>
  <c r="P423" i="5"/>
  <c r="Q423" i="5"/>
  <c r="R423" i="5"/>
  <c r="S423" i="5"/>
  <c r="T423" i="5"/>
  <c r="U423" i="5"/>
  <c r="V423" i="5"/>
  <c r="W423" i="5"/>
  <c r="X423" i="5"/>
  <c r="O424" i="5"/>
  <c r="P424" i="5"/>
  <c r="Q424" i="5"/>
  <c r="R424" i="5"/>
  <c r="S424" i="5"/>
  <c r="T424" i="5"/>
  <c r="U424" i="5"/>
  <c r="V424" i="5"/>
  <c r="W424" i="5"/>
  <c r="AC424" i="5" s="1"/>
  <c r="X424" i="5"/>
  <c r="O425" i="5"/>
  <c r="P425" i="5"/>
  <c r="Q425" i="5"/>
  <c r="R425" i="5"/>
  <c r="S425" i="5"/>
  <c r="T425" i="5"/>
  <c r="U425" i="5"/>
  <c r="AD425" i="5" s="1"/>
  <c r="V425" i="5"/>
  <c r="W425" i="5"/>
  <c r="X425" i="5"/>
  <c r="O426" i="5"/>
  <c r="P426" i="5"/>
  <c r="Q426" i="5"/>
  <c r="R426" i="5"/>
  <c r="S426" i="5"/>
  <c r="T426" i="5"/>
  <c r="U426" i="5"/>
  <c r="V426" i="5"/>
  <c r="W426" i="5"/>
  <c r="X426" i="5"/>
  <c r="O427" i="5"/>
  <c r="P427" i="5"/>
  <c r="Q427" i="5"/>
  <c r="R427" i="5"/>
  <c r="S427" i="5"/>
  <c r="T427" i="5"/>
  <c r="U427" i="5"/>
  <c r="V427" i="5"/>
  <c r="W427" i="5"/>
  <c r="X427" i="5"/>
  <c r="O428" i="5"/>
  <c r="P428" i="5"/>
  <c r="Q428" i="5"/>
  <c r="R428" i="5"/>
  <c r="S428" i="5"/>
  <c r="T428" i="5"/>
  <c r="U428" i="5"/>
  <c r="V428" i="5"/>
  <c r="W428" i="5"/>
  <c r="AC428" i="5" s="1"/>
  <c r="X428" i="5"/>
  <c r="O429" i="5"/>
  <c r="P429" i="5"/>
  <c r="Q429" i="5"/>
  <c r="R429" i="5"/>
  <c r="S429" i="5"/>
  <c r="T429" i="5"/>
  <c r="U429" i="5"/>
  <c r="AD429" i="5" s="1"/>
  <c r="V429" i="5"/>
  <c r="W429" i="5"/>
  <c r="X429" i="5"/>
  <c r="O430" i="5"/>
  <c r="P430" i="5"/>
  <c r="Q430" i="5"/>
  <c r="R430" i="5"/>
  <c r="S430" i="5"/>
  <c r="T430" i="5"/>
  <c r="U430" i="5"/>
  <c r="V430" i="5"/>
  <c r="W430" i="5"/>
  <c r="X430" i="5"/>
  <c r="AB408" i="5"/>
  <c r="AB409" i="5"/>
  <c r="AB410" i="5"/>
  <c r="AC410" i="5"/>
  <c r="AB411" i="5"/>
  <c r="AD411" i="5"/>
  <c r="AB412" i="5"/>
  <c r="AB413" i="5"/>
  <c r="AB414" i="5"/>
  <c r="AC414" i="5"/>
  <c r="AB415" i="5"/>
  <c r="AD415" i="5"/>
  <c r="AB416" i="5"/>
  <c r="AB417" i="5"/>
  <c r="AB418" i="5"/>
  <c r="AC418" i="5"/>
  <c r="AB419" i="5"/>
  <c r="AD419" i="5"/>
  <c r="AB420" i="5"/>
  <c r="AB421" i="5"/>
  <c r="AB422" i="5"/>
  <c r="AC422" i="5"/>
  <c r="AB423" i="5"/>
  <c r="AD423" i="5"/>
  <c r="AB424" i="5"/>
  <c r="AB425" i="5"/>
  <c r="AB426" i="5"/>
  <c r="AC426" i="5"/>
  <c r="AB427" i="5"/>
  <c r="AD427" i="5"/>
  <c r="AB428" i="5"/>
  <c r="AB429" i="5"/>
  <c r="AB430" i="5"/>
  <c r="AC430" i="5"/>
  <c r="AA431" i="3"/>
  <c r="AA432" i="3"/>
  <c r="AA433" i="3"/>
  <c r="AA434" i="3"/>
  <c r="AA435" i="3"/>
  <c r="AA436" i="3"/>
  <c r="AA437" i="3"/>
  <c r="AA438" i="3"/>
  <c r="AA439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O408" i="3"/>
  <c r="P408" i="3"/>
  <c r="Q408" i="3"/>
  <c r="R408" i="3"/>
  <c r="S408" i="3"/>
  <c r="T408" i="3"/>
  <c r="U408" i="3"/>
  <c r="V408" i="3"/>
  <c r="W408" i="3"/>
  <c r="X408" i="3"/>
  <c r="O409" i="3"/>
  <c r="P409" i="3"/>
  <c r="Q409" i="3"/>
  <c r="R409" i="3"/>
  <c r="S409" i="3"/>
  <c r="T409" i="3"/>
  <c r="U409" i="3"/>
  <c r="V409" i="3"/>
  <c r="W409" i="3"/>
  <c r="X409" i="3"/>
  <c r="O410" i="3"/>
  <c r="P410" i="3"/>
  <c r="Q410" i="3"/>
  <c r="R410" i="3"/>
  <c r="S410" i="3"/>
  <c r="T410" i="3"/>
  <c r="U410" i="3"/>
  <c r="V410" i="3"/>
  <c r="W410" i="3"/>
  <c r="X410" i="3"/>
  <c r="O411" i="3"/>
  <c r="P411" i="3"/>
  <c r="Q411" i="3"/>
  <c r="R411" i="3"/>
  <c r="S411" i="3"/>
  <c r="T411" i="3"/>
  <c r="U411" i="3"/>
  <c r="V411" i="3"/>
  <c r="W411" i="3"/>
  <c r="X411" i="3"/>
  <c r="O412" i="3"/>
  <c r="P412" i="3"/>
  <c r="Q412" i="3"/>
  <c r="R412" i="3"/>
  <c r="S412" i="3"/>
  <c r="T412" i="3"/>
  <c r="U412" i="3"/>
  <c r="V412" i="3"/>
  <c r="W412" i="3"/>
  <c r="X412" i="3"/>
  <c r="O413" i="3"/>
  <c r="P413" i="3"/>
  <c r="Q413" i="3"/>
  <c r="R413" i="3"/>
  <c r="S413" i="3"/>
  <c r="T413" i="3"/>
  <c r="U413" i="3"/>
  <c r="V413" i="3"/>
  <c r="W413" i="3"/>
  <c r="X413" i="3"/>
  <c r="O414" i="3"/>
  <c r="P414" i="3"/>
  <c r="Q414" i="3"/>
  <c r="R414" i="3"/>
  <c r="S414" i="3"/>
  <c r="T414" i="3"/>
  <c r="U414" i="3"/>
  <c r="V414" i="3"/>
  <c r="W414" i="3"/>
  <c r="X414" i="3"/>
  <c r="O415" i="3"/>
  <c r="P415" i="3"/>
  <c r="Q415" i="3"/>
  <c r="R415" i="3"/>
  <c r="S415" i="3"/>
  <c r="T415" i="3"/>
  <c r="U415" i="3"/>
  <c r="V415" i="3"/>
  <c r="W415" i="3"/>
  <c r="X415" i="3"/>
  <c r="O416" i="3"/>
  <c r="P416" i="3"/>
  <c r="Q416" i="3"/>
  <c r="R416" i="3"/>
  <c r="S416" i="3"/>
  <c r="T416" i="3"/>
  <c r="U416" i="3"/>
  <c r="V416" i="3"/>
  <c r="W416" i="3"/>
  <c r="X416" i="3"/>
  <c r="O417" i="3"/>
  <c r="P417" i="3"/>
  <c r="Q417" i="3"/>
  <c r="R417" i="3"/>
  <c r="S417" i="3"/>
  <c r="T417" i="3"/>
  <c r="U417" i="3"/>
  <c r="V417" i="3"/>
  <c r="W417" i="3"/>
  <c r="X417" i="3"/>
  <c r="O418" i="3"/>
  <c r="P418" i="3"/>
  <c r="Q418" i="3"/>
  <c r="R418" i="3"/>
  <c r="S418" i="3"/>
  <c r="T418" i="3"/>
  <c r="U418" i="3"/>
  <c r="V418" i="3"/>
  <c r="W418" i="3"/>
  <c r="X418" i="3"/>
  <c r="O419" i="3"/>
  <c r="P419" i="3"/>
  <c r="Q419" i="3"/>
  <c r="R419" i="3"/>
  <c r="S419" i="3"/>
  <c r="T419" i="3"/>
  <c r="U419" i="3"/>
  <c r="V419" i="3"/>
  <c r="W419" i="3"/>
  <c r="X419" i="3"/>
  <c r="O420" i="3"/>
  <c r="P420" i="3"/>
  <c r="Q420" i="3"/>
  <c r="R420" i="3"/>
  <c r="S420" i="3"/>
  <c r="T420" i="3"/>
  <c r="U420" i="3"/>
  <c r="V420" i="3"/>
  <c r="W420" i="3"/>
  <c r="X420" i="3"/>
  <c r="O421" i="3"/>
  <c r="P421" i="3"/>
  <c r="Q421" i="3"/>
  <c r="R421" i="3"/>
  <c r="S421" i="3"/>
  <c r="T421" i="3"/>
  <c r="U421" i="3"/>
  <c r="V421" i="3"/>
  <c r="W421" i="3"/>
  <c r="X421" i="3"/>
  <c r="O422" i="3"/>
  <c r="P422" i="3"/>
  <c r="Q422" i="3"/>
  <c r="R422" i="3"/>
  <c r="S422" i="3"/>
  <c r="T422" i="3"/>
  <c r="U422" i="3"/>
  <c r="V422" i="3"/>
  <c r="W422" i="3"/>
  <c r="X422" i="3"/>
  <c r="O423" i="3"/>
  <c r="P423" i="3"/>
  <c r="Q423" i="3"/>
  <c r="R423" i="3"/>
  <c r="S423" i="3"/>
  <c r="T423" i="3"/>
  <c r="U423" i="3"/>
  <c r="V423" i="3"/>
  <c r="W423" i="3"/>
  <c r="X423" i="3"/>
  <c r="O424" i="3"/>
  <c r="P424" i="3"/>
  <c r="Q424" i="3"/>
  <c r="R424" i="3"/>
  <c r="S424" i="3"/>
  <c r="T424" i="3"/>
  <c r="U424" i="3"/>
  <c r="V424" i="3"/>
  <c r="W424" i="3"/>
  <c r="X424" i="3"/>
  <c r="O425" i="3"/>
  <c r="P425" i="3"/>
  <c r="Q425" i="3"/>
  <c r="R425" i="3"/>
  <c r="S425" i="3"/>
  <c r="T425" i="3"/>
  <c r="U425" i="3"/>
  <c r="V425" i="3"/>
  <c r="W425" i="3"/>
  <c r="X425" i="3"/>
  <c r="O426" i="3"/>
  <c r="P426" i="3"/>
  <c r="Q426" i="3"/>
  <c r="R426" i="3"/>
  <c r="S426" i="3"/>
  <c r="T426" i="3"/>
  <c r="U426" i="3"/>
  <c r="V426" i="3"/>
  <c r="W426" i="3"/>
  <c r="X426" i="3"/>
  <c r="O427" i="3"/>
  <c r="P427" i="3"/>
  <c r="Q427" i="3"/>
  <c r="R427" i="3"/>
  <c r="S427" i="3"/>
  <c r="T427" i="3"/>
  <c r="U427" i="3"/>
  <c r="V427" i="3"/>
  <c r="W427" i="3"/>
  <c r="X427" i="3"/>
  <c r="O428" i="3"/>
  <c r="P428" i="3"/>
  <c r="Q428" i="3"/>
  <c r="R428" i="3"/>
  <c r="S428" i="3"/>
  <c r="T428" i="3"/>
  <c r="U428" i="3"/>
  <c r="V428" i="3"/>
  <c r="W428" i="3"/>
  <c r="X428" i="3"/>
  <c r="O429" i="3"/>
  <c r="P429" i="3"/>
  <c r="Q429" i="3"/>
  <c r="R429" i="3"/>
  <c r="S429" i="3"/>
  <c r="T429" i="3"/>
  <c r="U429" i="3"/>
  <c r="V429" i="3"/>
  <c r="W429" i="3"/>
  <c r="X429" i="3"/>
  <c r="O430" i="3"/>
  <c r="P430" i="3"/>
  <c r="Q430" i="3"/>
  <c r="R430" i="3"/>
  <c r="S430" i="3"/>
  <c r="T430" i="3"/>
  <c r="U430" i="3"/>
  <c r="V430" i="3"/>
  <c r="W430" i="3"/>
  <c r="X430" i="3"/>
  <c r="AD408" i="5" l="1"/>
  <c r="AC427" i="5"/>
  <c r="AC423" i="5"/>
  <c r="AC419" i="5"/>
  <c r="AC415" i="5"/>
  <c r="AC411" i="5"/>
  <c r="AC429" i="5"/>
  <c r="AC425" i="5"/>
  <c r="AC421" i="5"/>
  <c r="AC417" i="5"/>
  <c r="AC413" i="5"/>
  <c r="AC409" i="5"/>
  <c r="AD430" i="5"/>
  <c r="AD428" i="5"/>
  <c r="AD426" i="5"/>
  <c r="AD424" i="5"/>
  <c r="AD422" i="5"/>
  <c r="AD420" i="5"/>
  <c r="AD418" i="5"/>
  <c r="AD416" i="5"/>
  <c r="AD414" i="5"/>
  <c r="AD412" i="5"/>
  <c r="AD410" i="5"/>
  <c r="AA412" i="3"/>
  <c r="AA413" i="3"/>
  <c r="AA414" i="3"/>
  <c r="AA415" i="3"/>
  <c r="AA416" i="3"/>
  <c r="AA408" i="3"/>
  <c r="AA409" i="3"/>
  <c r="AA410" i="3"/>
  <c r="AA411" i="3"/>
  <c r="AB321" i="5" l="1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V324" i="5"/>
  <c r="W324" i="5"/>
  <c r="X324" i="5"/>
  <c r="O325" i="5"/>
  <c r="P325" i="5"/>
  <c r="Q325" i="5"/>
  <c r="R325" i="5"/>
  <c r="S325" i="5"/>
  <c r="T325" i="5"/>
  <c r="U325" i="5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V328" i="5"/>
  <c r="W328" i="5"/>
  <c r="X328" i="5"/>
  <c r="O329" i="5"/>
  <c r="P329" i="5"/>
  <c r="Q329" i="5"/>
  <c r="R329" i="5"/>
  <c r="S329" i="5"/>
  <c r="T329" i="5"/>
  <c r="U329" i="5"/>
  <c r="V329" i="5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V337" i="5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V345" i="5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V353" i="5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V361" i="5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V369" i="5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V377" i="5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V385" i="5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V393" i="5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C401" i="5" l="1"/>
  <c r="AC393" i="5"/>
  <c r="AC385" i="5"/>
  <c r="AC377" i="5"/>
  <c r="AC369" i="5"/>
  <c r="AC361" i="5"/>
  <c r="AC353" i="5"/>
  <c r="AC345" i="5"/>
  <c r="AC337" i="5"/>
  <c r="AC329" i="5"/>
  <c r="AD405" i="5"/>
  <c r="AD397" i="5"/>
  <c r="AD393" i="5"/>
  <c r="AD389" i="5"/>
  <c r="AD385" i="5"/>
  <c r="AD381" i="5"/>
  <c r="AD377" i="5"/>
  <c r="AD373" i="5"/>
  <c r="AD369" i="5"/>
  <c r="AD365" i="5"/>
  <c r="AD361" i="5"/>
  <c r="AD357" i="5"/>
  <c r="AD353" i="5"/>
  <c r="AD349" i="5"/>
  <c r="AD345" i="5"/>
  <c r="AD341" i="5"/>
  <c r="AD337" i="5"/>
  <c r="AD333" i="5"/>
  <c r="AD329" i="5"/>
  <c r="AD325" i="5"/>
  <c r="AC321" i="5"/>
  <c r="AC328" i="5"/>
  <c r="AC324" i="5"/>
  <c r="AC407" i="5"/>
  <c r="AC399" i="5"/>
  <c r="AD395" i="5"/>
  <c r="AC391" i="5"/>
  <c r="AD387" i="5"/>
  <c r="AC383" i="5"/>
  <c r="AD379" i="5"/>
  <c r="AC375" i="5"/>
  <c r="AD371" i="5"/>
  <c r="AC367" i="5"/>
  <c r="AD363" i="5"/>
  <c r="AC359" i="5"/>
  <c r="AD403" i="5"/>
  <c r="AD394" i="5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V310" i="5"/>
  <c r="W310" i="5"/>
  <c r="X310" i="5"/>
  <c r="O311" i="5"/>
  <c r="P311" i="5"/>
  <c r="Q311" i="5"/>
  <c r="R311" i="5"/>
  <c r="S311" i="5"/>
  <c r="T311" i="5"/>
  <c r="U311" i="5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AD313" i="5" s="1"/>
  <c r="V313" i="5"/>
  <c r="W313" i="5"/>
  <c r="X313" i="5"/>
  <c r="O314" i="5"/>
  <c r="P314" i="5"/>
  <c r="Q314" i="5"/>
  <c r="R314" i="5"/>
  <c r="S314" i="5"/>
  <c r="T314" i="5"/>
  <c r="U314" i="5"/>
  <c r="V314" i="5"/>
  <c r="W314" i="5"/>
  <c r="X314" i="5"/>
  <c r="O315" i="5"/>
  <c r="P315" i="5"/>
  <c r="Q315" i="5"/>
  <c r="R315" i="5"/>
  <c r="S315" i="5"/>
  <c r="T315" i="5"/>
  <c r="U315" i="5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AC320" i="5" s="1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D318" i="5" l="1"/>
  <c r="AD314" i="5"/>
  <c r="AC313" i="5"/>
  <c r="AD310" i="5"/>
  <c r="AC316" i="5"/>
  <c r="AC308" i="5"/>
  <c r="AC311" i="5"/>
  <c r="AC315" i="5"/>
  <c r="AC314" i="5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B302" i="5"/>
  <c r="AB303" i="5"/>
  <c r="AB304" i="5"/>
  <c r="AB305" i="5"/>
  <c r="AC305" i="5"/>
  <c r="AB306" i="5"/>
  <c r="O300" i="5"/>
  <c r="P300" i="5"/>
  <c r="Q300" i="5"/>
  <c r="R300" i="5"/>
  <c r="S300" i="5"/>
  <c r="T300" i="5"/>
  <c r="U300" i="5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W303" i="5"/>
  <c r="X303" i="5"/>
  <c r="O304" i="5"/>
  <c r="P304" i="5"/>
  <c r="Q304" i="5"/>
  <c r="R304" i="5"/>
  <c r="S304" i="5"/>
  <c r="T304" i="5"/>
  <c r="U304" i="5"/>
  <c r="V304" i="5"/>
  <c r="W304" i="5"/>
  <c r="X304" i="5"/>
  <c r="O305" i="5"/>
  <c r="P305" i="5"/>
  <c r="Q305" i="5"/>
  <c r="R305" i="5"/>
  <c r="S305" i="5"/>
  <c r="T305" i="5"/>
  <c r="U305" i="5"/>
  <c r="AD305" i="5" s="1"/>
  <c r="V305" i="5"/>
  <c r="W305" i="5"/>
  <c r="X305" i="5"/>
  <c r="O306" i="5"/>
  <c r="P306" i="5"/>
  <c r="Q306" i="5"/>
  <c r="R306" i="5"/>
  <c r="S306" i="5"/>
  <c r="T306" i="5"/>
  <c r="U306" i="5"/>
  <c r="V306" i="5"/>
  <c r="AC306" i="5" s="1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D301" i="5" l="1"/>
  <c r="AC304" i="5"/>
  <c r="AD300" i="5"/>
  <c r="AC303" i="5"/>
  <c r="AD306" i="5"/>
  <c r="AC302" i="5"/>
  <c r="AC300" i="5"/>
  <c r="AD302" i="5"/>
  <c r="AD304" i="5"/>
  <c r="AA306" i="3"/>
  <c r="AA305" i="3"/>
  <c r="AA304" i="3"/>
  <c r="AA303" i="3"/>
  <c r="AA302" i="3"/>
  <c r="AA301" i="3"/>
  <c r="AA300" i="3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AC282" i="5" s="1"/>
  <c r="V282" i="5"/>
  <c r="W282" i="5"/>
  <c r="X282" i="5"/>
  <c r="O283" i="5"/>
  <c r="P283" i="5"/>
  <c r="Q283" i="5"/>
  <c r="R283" i="5"/>
  <c r="S283" i="5"/>
  <c r="T283" i="5"/>
  <c r="U283" i="5"/>
  <c r="AC283" i="5" s="1"/>
  <c r="V283" i="5"/>
  <c r="W283" i="5"/>
  <c r="X283" i="5"/>
  <c r="O284" i="5"/>
  <c r="P284" i="5"/>
  <c r="Q284" i="5"/>
  <c r="R284" i="5"/>
  <c r="S284" i="5"/>
  <c r="T284" i="5"/>
  <c r="U284" i="5"/>
  <c r="AC284" i="5" s="1"/>
  <c r="V284" i="5"/>
  <c r="W284" i="5"/>
  <c r="AD284" i="5" s="1"/>
  <c r="X284" i="5"/>
  <c r="O285" i="5"/>
  <c r="P285" i="5"/>
  <c r="Q285" i="5"/>
  <c r="R285" i="5"/>
  <c r="S285" i="5"/>
  <c r="T285" i="5"/>
  <c r="U285" i="5"/>
  <c r="AC285" i="5" s="1"/>
  <c r="V285" i="5"/>
  <c r="W285" i="5"/>
  <c r="X285" i="5"/>
  <c r="O286" i="5"/>
  <c r="P286" i="5"/>
  <c r="Q286" i="5"/>
  <c r="R286" i="5"/>
  <c r="S286" i="5"/>
  <c r="T286" i="5"/>
  <c r="U286" i="5"/>
  <c r="AC286" i="5" s="1"/>
  <c r="V286" i="5"/>
  <c r="W286" i="5"/>
  <c r="X286" i="5"/>
  <c r="O287" i="5"/>
  <c r="P287" i="5"/>
  <c r="Q287" i="5"/>
  <c r="R287" i="5"/>
  <c r="S287" i="5"/>
  <c r="T287" i="5"/>
  <c r="U287" i="5"/>
  <c r="AC287" i="5" s="1"/>
  <c r="V287" i="5"/>
  <c r="W287" i="5"/>
  <c r="X287" i="5"/>
  <c r="O288" i="5"/>
  <c r="P288" i="5"/>
  <c r="Q288" i="5"/>
  <c r="R288" i="5"/>
  <c r="S288" i="5"/>
  <c r="T288" i="5"/>
  <c r="U288" i="5"/>
  <c r="AC288" i="5" s="1"/>
  <c r="V288" i="5"/>
  <c r="W288" i="5"/>
  <c r="AD288" i="5" s="1"/>
  <c r="X288" i="5"/>
  <c r="O289" i="5"/>
  <c r="P289" i="5"/>
  <c r="Q289" i="5"/>
  <c r="R289" i="5"/>
  <c r="S289" i="5"/>
  <c r="T289" i="5"/>
  <c r="U289" i="5"/>
  <c r="AC289" i="5" s="1"/>
  <c r="V289" i="5"/>
  <c r="W289" i="5"/>
  <c r="X289" i="5"/>
  <c r="O290" i="5"/>
  <c r="P290" i="5"/>
  <c r="Q290" i="5"/>
  <c r="R290" i="5"/>
  <c r="S290" i="5"/>
  <c r="T290" i="5"/>
  <c r="U290" i="5"/>
  <c r="AC290" i="5" s="1"/>
  <c r="V290" i="5"/>
  <c r="W290" i="5"/>
  <c r="X290" i="5"/>
  <c r="O291" i="5"/>
  <c r="P291" i="5"/>
  <c r="Q291" i="5"/>
  <c r="R291" i="5"/>
  <c r="S291" i="5"/>
  <c r="T291" i="5"/>
  <c r="U291" i="5"/>
  <c r="AC291" i="5" s="1"/>
  <c r="V291" i="5"/>
  <c r="W291" i="5"/>
  <c r="X291" i="5"/>
  <c r="O292" i="5"/>
  <c r="P292" i="5"/>
  <c r="Q292" i="5"/>
  <c r="R292" i="5"/>
  <c r="S292" i="5"/>
  <c r="T292" i="5"/>
  <c r="U292" i="5"/>
  <c r="AC292" i="5" s="1"/>
  <c r="V292" i="5"/>
  <c r="W292" i="5"/>
  <c r="AD292" i="5" s="1"/>
  <c r="X292" i="5"/>
  <c r="O293" i="5"/>
  <c r="P293" i="5"/>
  <c r="Q293" i="5"/>
  <c r="R293" i="5"/>
  <c r="S293" i="5"/>
  <c r="T293" i="5"/>
  <c r="U293" i="5"/>
  <c r="AC293" i="5" s="1"/>
  <c r="V293" i="5"/>
  <c r="W293" i="5"/>
  <c r="X293" i="5"/>
  <c r="O294" i="5"/>
  <c r="P294" i="5"/>
  <c r="Q294" i="5"/>
  <c r="R294" i="5"/>
  <c r="S294" i="5"/>
  <c r="T294" i="5"/>
  <c r="U294" i="5"/>
  <c r="AC294" i="5" s="1"/>
  <c r="V294" i="5"/>
  <c r="W294" i="5"/>
  <c r="X294" i="5"/>
  <c r="O295" i="5"/>
  <c r="P295" i="5"/>
  <c r="Q295" i="5"/>
  <c r="R295" i="5"/>
  <c r="S295" i="5"/>
  <c r="T295" i="5"/>
  <c r="U295" i="5"/>
  <c r="AC295" i="5" s="1"/>
  <c r="V295" i="5"/>
  <c r="W295" i="5"/>
  <c r="X295" i="5"/>
  <c r="O296" i="5"/>
  <c r="P296" i="5"/>
  <c r="Q296" i="5"/>
  <c r="R296" i="5"/>
  <c r="S296" i="5"/>
  <c r="T296" i="5"/>
  <c r="U296" i="5"/>
  <c r="AC296" i="5" s="1"/>
  <c r="V296" i="5"/>
  <c r="W296" i="5"/>
  <c r="X296" i="5"/>
  <c r="O297" i="5"/>
  <c r="P297" i="5"/>
  <c r="Q297" i="5"/>
  <c r="R297" i="5"/>
  <c r="S297" i="5"/>
  <c r="T297" i="5"/>
  <c r="U297" i="5"/>
  <c r="AC297" i="5" s="1"/>
  <c r="V297" i="5"/>
  <c r="W297" i="5"/>
  <c r="X297" i="5"/>
  <c r="O298" i="5"/>
  <c r="P298" i="5"/>
  <c r="Q298" i="5"/>
  <c r="R298" i="5"/>
  <c r="S298" i="5"/>
  <c r="T298" i="5"/>
  <c r="U298" i="5"/>
  <c r="AC298" i="5" s="1"/>
  <c r="V298" i="5"/>
  <c r="W298" i="5"/>
  <c r="X298" i="5"/>
  <c r="O299" i="5"/>
  <c r="P299" i="5"/>
  <c r="Q299" i="5"/>
  <c r="R299" i="5"/>
  <c r="S299" i="5"/>
  <c r="T299" i="5"/>
  <c r="U299" i="5"/>
  <c r="AC299" i="5" s="1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D297" i="5" l="1"/>
  <c r="AD289" i="5"/>
  <c r="AD294" i="5"/>
  <c r="AD286" i="5"/>
  <c r="AD299" i="5"/>
  <c r="AD291" i="5"/>
  <c r="AD283" i="5"/>
  <c r="AD296" i="5"/>
  <c r="AD293" i="5"/>
  <c r="AD285" i="5"/>
  <c r="AD298" i="5"/>
  <c r="AD290" i="5"/>
  <c r="AD282" i="5"/>
  <c r="AD295" i="5"/>
  <c r="AD287" i="5"/>
  <c r="AB281" i="5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AD265" i="5" s="1"/>
  <c r="V265" i="5"/>
  <c r="W265" i="5"/>
  <c r="X265" i="5"/>
  <c r="AB265" i="5"/>
  <c r="O266" i="5"/>
  <c r="P266" i="5"/>
  <c r="Q266" i="5"/>
  <c r="R266" i="5"/>
  <c r="S266" i="5"/>
  <c r="T266" i="5"/>
  <c r="U266" i="5"/>
  <c r="V266" i="5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6" i="5" l="1"/>
  <c r="AC262" i="5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V221" i="5"/>
  <c r="W221" i="5"/>
  <c r="X221" i="5"/>
  <c r="O222" i="5"/>
  <c r="P222" i="5"/>
  <c r="Q222" i="5"/>
  <c r="R222" i="5"/>
  <c r="S222" i="5"/>
  <c r="T222" i="5"/>
  <c r="U222" i="5"/>
  <c r="V222" i="5"/>
  <c r="W222" i="5"/>
  <c r="X222" i="5"/>
  <c r="O223" i="5"/>
  <c r="P223" i="5"/>
  <c r="Q223" i="5"/>
  <c r="R223" i="5"/>
  <c r="S223" i="5"/>
  <c r="T223" i="5"/>
  <c r="U223" i="5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V225" i="5"/>
  <c r="W225" i="5"/>
  <c r="X225" i="5"/>
  <c r="O226" i="5"/>
  <c r="P226" i="5"/>
  <c r="Q226" i="5"/>
  <c r="R226" i="5"/>
  <c r="S226" i="5"/>
  <c r="T226" i="5"/>
  <c r="U226" i="5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V229" i="5"/>
  <c r="W229" i="5"/>
  <c r="X229" i="5"/>
  <c r="O230" i="5"/>
  <c r="P230" i="5"/>
  <c r="Q230" i="5"/>
  <c r="R230" i="5"/>
  <c r="S230" i="5"/>
  <c r="T230" i="5"/>
  <c r="U230" i="5"/>
  <c r="V230" i="5"/>
  <c r="W230" i="5"/>
  <c r="X230" i="5"/>
  <c r="O231" i="5"/>
  <c r="P231" i="5"/>
  <c r="Q231" i="5"/>
  <c r="R231" i="5"/>
  <c r="S231" i="5"/>
  <c r="T231" i="5"/>
  <c r="U231" i="5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V233" i="5"/>
  <c r="W233" i="5"/>
  <c r="X233" i="5"/>
  <c r="O234" i="5"/>
  <c r="P234" i="5"/>
  <c r="Q234" i="5"/>
  <c r="R234" i="5"/>
  <c r="S234" i="5"/>
  <c r="T234" i="5"/>
  <c r="U234" i="5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V237" i="5"/>
  <c r="W237" i="5"/>
  <c r="X237" i="5"/>
  <c r="O238" i="5"/>
  <c r="P238" i="5"/>
  <c r="Q238" i="5"/>
  <c r="R238" i="5"/>
  <c r="S238" i="5"/>
  <c r="T238" i="5"/>
  <c r="U238" i="5"/>
  <c r="V238" i="5"/>
  <c r="W238" i="5"/>
  <c r="X238" i="5"/>
  <c r="O239" i="5"/>
  <c r="P239" i="5"/>
  <c r="Q239" i="5"/>
  <c r="R239" i="5"/>
  <c r="S239" i="5"/>
  <c r="T239" i="5"/>
  <c r="U239" i="5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V246" i="5"/>
  <c r="W246" i="5"/>
  <c r="X246" i="5"/>
  <c r="O247" i="5"/>
  <c r="P247" i="5"/>
  <c r="Q247" i="5"/>
  <c r="R247" i="5"/>
  <c r="S247" i="5"/>
  <c r="T247" i="5"/>
  <c r="U247" i="5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27" i="5" l="1"/>
  <c r="AC243" i="5"/>
  <c r="AD231" i="5"/>
  <c r="AC223" i="5"/>
  <c r="AC219" i="5"/>
  <c r="AC215" i="5"/>
  <c r="AD230" i="5"/>
  <c r="AD251" i="5"/>
  <c r="AC238" i="5"/>
  <c r="AD234" i="5"/>
  <c r="AC230" i="5"/>
  <c r="AC226" i="5"/>
  <c r="AC222" i="5"/>
  <c r="AC247" i="5"/>
  <c r="AC246" i="5"/>
  <c r="AD239" i="5"/>
  <c r="AC249" i="5"/>
  <c r="AC241" i="5"/>
  <c r="AC237" i="5"/>
  <c r="AC233" i="5"/>
  <c r="AC229" i="5"/>
  <c r="AC225" i="5"/>
  <c r="AD221" i="5"/>
  <c r="AD235" i="5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08" i="5" l="1"/>
  <c r="AC212" i="5"/>
  <c r="AC206" i="5"/>
  <c r="AC211" i="5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49" i="5" l="1"/>
  <c r="AC154" i="5"/>
  <c r="AD156" i="5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A36" i="3" l="1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<sst xmlns="http://schemas.openxmlformats.org/spreadsheetml/2006/main" count="3855" uniqueCount="440">
  <si>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</si>
  <si>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</si>
  <si>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</si>
  <si>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</si>
  <si>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</si>
  <si>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</si>
  <si>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</si>
  <si>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</si>
  <si>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</si>
  <si>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</si>
  <si>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</si>
  <si>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</si>
  <si>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</si>
  <si>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</si>
  <si>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</si>
  <si>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</si>
  <si>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</si>
  <si>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</si>
  <si>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</si>
  <si>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</si>
  <si>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</si>
  <si>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</si>
  <si>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</si>
  <si>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</si>
  <si>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</si>
  <si>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</si>
  <si>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</si>
  <si>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</si>
  <si>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</si>
  <si>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</si>
  <si>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</si>
  <si>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</si>
  <si>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</si>
  <si>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</si>
  <si>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</si>
  <si>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</si>
  <si>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</si>
  <si>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</si>
  <si>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</si>
  <si>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</si>
  <si>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</si>
  <si>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</si>
  <si>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</si>
  <si>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</si>
  <si>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</si>
  <si>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</si>
  <si>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</si>
  <si>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</si>
  <si>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</si>
  <si>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</si>
  <si>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</si>
  <si>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</si>
  <si>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</si>
  <si>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</si>
  <si>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</si>
  <si>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</si>
  <si>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</si>
  <si>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</si>
  <si>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</si>
  <si>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</si>
  <si>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</si>
  <si>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</si>
  <si>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</si>
  <si>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</si>
  <si>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</si>
  <si>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</si>
  <si>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</si>
  <si>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</si>
  <si>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</si>
  <si>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</si>
  <si>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</si>
  <si>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</si>
  <si>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</si>
  <si>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</si>
  <si>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</si>
  <si>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</si>
  <si>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</si>
  <si>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</si>
  <si>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</si>
  <si>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</si>
  <si>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</si>
  <si>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</si>
  <si>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</si>
  <si>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</si>
  <si>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</si>
  <si>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</si>
  <si>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</si>
  <si>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</si>
  <si>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</si>
  <si>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</si>
  <si>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</si>
  <si>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</si>
  <si>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</si>
  <si>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</si>
  <si>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</si>
  <si>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</si>
  <si>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</si>
  <si>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</si>
  <si>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</si>
  <si>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</si>
  <si>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</si>
  <si>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</si>
  <si>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</si>
  <si>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</si>
  <si>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</si>
  <si>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</si>
  <si>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</si>
  <si>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</si>
  <si>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</si>
  <si>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</si>
  <si>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</si>
  <si>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</si>
  <si>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</si>
  <si>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</si>
  <si>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</si>
  <si>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</si>
  <si>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</si>
  <si>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</si>
  <si>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</si>
  <si>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</si>
  <si>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</si>
  <si>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</si>
  <si>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</si>
  <si>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</si>
  <si>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</si>
  <si>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</si>
  <si>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</si>
  <si>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</si>
  <si>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</si>
  <si>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</si>
  <si>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</si>
  <si>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</si>
  <si>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</si>
  <si>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</si>
  <si>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</si>
  <si>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</si>
  <si>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</si>
  <si>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</si>
  <si>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</si>
  <si>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</si>
  <si>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</si>
  <si>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</si>
  <si>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</si>
  <si>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</si>
  <si>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</si>
  <si>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</si>
  <si>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</si>
  <si>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</si>
  <si>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</si>
  <si>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</si>
  <si>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</si>
  <si>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</si>
  <si>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</si>
  <si>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</si>
  <si>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</si>
  <si>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</si>
  <si>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</si>
  <si>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</si>
  <si>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</si>
  <si>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</si>
  <si>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</si>
  <si>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</si>
  <si>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</si>
  <si>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</si>
  <si>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</si>
  <si>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</si>
  <si>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</si>
  <si>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</si>
  <si>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</si>
  <si>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</si>
  <si>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</si>
  <si>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</si>
  <si>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</si>
  <si>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</si>
  <si>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</si>
  <si>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</si>
  <si>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</si>
  <si>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</si>
  <si>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</si>
  <si>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</si>
  <si>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</si>
  <si>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</si>
  <si>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</si>
  <si>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</si>
  <si>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</si>
  <si>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</si>
  <si>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</si>
  <si>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</si>
  <si>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</si>
  <si>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</si>
  <si>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</si>
  <si>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</si>
  <si>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</si>
  <si>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</si>
  <si>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</si>
  <si>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</si>
  <si>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</si>
  <si>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</si>
  <si>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</si>
  <si>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</si>
  <si>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</si>
  <si>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</si>
  <si>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</si>
  <si>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</si>
  <si>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</si>
  <si>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</si>
  <si>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</si>
  <si>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</si>
  <si>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</si>
  <si>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</si>
  <si>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</si>
  <si>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</si>
  <si>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</si>
  <si>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</si>
  <si>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</si>
  <si>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</si>
  <si>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</si>
  <si>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</si>
  <si>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</si>
  <si>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</si>
  <si>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</si>
  <si>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</si>
  <si>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</si>
  <si>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</si>
  <si>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</si>
  <si>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</si>
  <si>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</si>
  <si>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</si>
  <si>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</si>
  <si>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</si>
  <si>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</si>
  <si>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</si>
  <si>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</si>
  <si>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</si>
  <si>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</si>
  <si>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</si>
  <si>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</si>
  <si>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</si>
  <si>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</si>
  <si>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</si>
  <si>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</si>
  <si>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</si>
  <si>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</si>
  <si>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</si>
  <si>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</si>
  <si>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</si>
  <si>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</si>
  <si>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</si>
  <si>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</si>
  <si>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</si>
  <si>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</si>
  <si>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</si>
  <si>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</si>
  <si>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</si>
  <si>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</si>
  <si>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</si>
  <si>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</si>
  <si>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</si>
  <si>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</si>
  <si>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</si>
  <si>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</si>
  <si>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</si>
  <si>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</si>
  <si>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</si>
  <si>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</si>
  <si>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</si>
  <si>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</si>
  <si>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</si>
  <si>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</si>
  <si>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</si>
  <si>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</si>
  <si>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</si>
  <si>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</si>
  <si>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</si>
  <si>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</si>
  <si>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</si>
  <si>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</si>
  <si>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</si>
  <si>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</si>
  <si>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</si>
  <si>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</si>
  <si>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</si>
  <si>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</si>
  <si>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</si>
  <si>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</si>
  <si>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</si>
  <si>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</si>
  <si>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</si>
  <si>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</si>
  <si>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</si>
  <si>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</si>
  <si>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</si>
  <si>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</si>
  <si>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</si>
  <si>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</si>
  <si>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</si>
  <si>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</si>
  <si>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</si>
  <si>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</si>
  <si>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</si>
  <si>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</si>
  <si>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</si>
  <si>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</si>
  <si>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</si>
  <si>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</si>
  <si>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</si>
  <si>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</si>
  <si>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</si>
  <si>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</si>
  <si>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</si>
  <si>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</si>
  <si>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</si>
  <si>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</si>
  <si>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</si>
  <si>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</si>
  <si>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</si>
  <si>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</si>
  <si>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</si>
  <si>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</si>
  <si>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</si>
  <si>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</si>
  <si>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</si>
  <si>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</si>
  <si>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</si>
  <si>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</si>
  <si>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</si>
  <si>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</si>
  <si>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</si>
  <si>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</si>
  <si>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</si>
  <si>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</si>
  <si>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</si>
  <si>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</si>
  <si>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</si>
  <si>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</si>
  <si>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</si>
  <si>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</si>
  <si>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</si>
  <si>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</si>
  <si>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</si>
  <si>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</si>
  <si>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</si>
  <si>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</si>
  <si>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</si>
  <si>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</si>
  <si>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</si>
  <si>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</si>
  <si>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</si>
  <si>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</si>
  <si>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</si>
  <si>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</si>
  <si>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</si>
  <si>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</si>
  <si>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</si>
  <si>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</si>
  <si>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</si>
  <si>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</si>
  <si>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</si>
  <si>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</si>
  <si>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</si>
  <si>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</si>
  <si>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</si>
  <si>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</si>
  <si>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</si>
  <si>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</si>
  <si>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</si>
  <si>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</si>
  <si>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</si>
  <si>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</si>
  <si>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</si>
  <si>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</si>
  <si>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</si>
  <si>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</si>
  <si>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</si>
  <si>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</si>
  <si>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</si>
  <si>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</si>
  <si>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</si>
  <si>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</si>
  <si>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</si>
  <si>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</si>
  <si>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</si>
  <si>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</si>
  <si>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</si>
  <si>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</si>
  <si>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</si>
  <si>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</si>
  <si>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</si>
  <si>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</si>
  <si>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</si>
  <si>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</si>
  <si>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</si>
  <si>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</si>
  <si>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</si>
  <si>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</si>
  <si>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</si>
  <si>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</si>
  <si>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</si>
  <si>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</si>
  <si>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</si>
  <si>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</si>
  <si>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</si>
  <si>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</si>
  <si>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</si>
  <si>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</si>
  <si>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</si>
  <si>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</si>
  <si>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</si>
  <si>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</si>
  <si>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</si>
  <si>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</si>
  <si>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</si>
  <si>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</si>
  <si>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</si>
  <si>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</si>
  <si>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</si>
  <si>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</si>
  <si>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</si>
  <si>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</si>
  <si>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</si>
  <si>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</si>
  <si>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</si>
  <si>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</si>
  <si>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</si>
  <si>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</si>
  <si>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</si>
  <si>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</si>
  <si>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</si>
  <si>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CHA</t>
    <phoneticPr fontId="1" type="noConversion"/>
  </si>
  <si>
    <t>NYK</t>
    <phoneticPr fontId="1" type="noConversion"/>
  </si>
  <si>
    <t>PHO</t>
    <phoneticPr fontId="1" type="noConversion"/>
  </si>
  <si>
    <t>ORL</t>
    <phoneticPr fontId="1" type="noConversion"/>
  </si>
  <si>
    <t>CHI</t>
    <phoneticPr fontId="1" type="noConversion"/>
  </si>
  <si>
    <t>WAS</t>
    <phoneticPr fontId="1" type="noConversion"/>
  </si>
  <si>
    <t>DAL</t>
    <phoneticPr fontId="1" type="noConversion"/>
  </si>
  <si>
    <t>PHO</t>
    <phoneticPr fontId="1" type="noConversion"/>
  </si>
  <si>
    <t>CHI</t>
    <phoneticPr fontId="1" type="noConversion"/>
  </si>
  <si>
    <t>DEN</t>
    <phoneticPr fontId="1" type="noConversion"/>
  </si>
  <si>
    <t>CHA</t>
    <phoneticPr fontId="1" type="noConversion"/>
  </si>
  <si>
    <t>UTA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</si>
</sst>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.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776"/>
  <sheetViews>
    <sheetView zoomScale="85" zoomScaleNormal="85" workbookViewId="0">
      <pane xSplit="1" ySplit="1" topLeftCell="B752" activePane="bottomRight" state="frozen"/>
      <selection pane="topRight" activeCell="B1" sqref="B1"/>
      <selection pane="bottomLeft" activeCell="A2" sqref="A2"/>
      <selection pane="bottomRight" activeCell="A776" sqref="A776"/>
    </sheetView>
  </sheetViews>
  <sheetFormatPr defaultRowHeight="16.5" x14ac:dyDescent="0.3"/>
  <cols>
    <col min="1" max="1" width="9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16.375" customWidth="1"/>
    <col min="27" max="27" width="13.5" bestFit="1" customWidth="1"/>
  </cols>
  <sheetData>
    <row r="1" spans="1:30" ht="17.100000000000001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ht="17.100000000000001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ht="17.100000000000001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ht="17.100000000000001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ht="17.100000000000001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ht="17.100000000000001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ht="17.100000000000001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ht="17.100000000000001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ht="17.100000000000001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ht="17.100000000000001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ht="17.100000000000001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ht="17.100000000000001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ht="17.100000000000001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ht="17.100000000000001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ht="17.100000000000001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ht="17.100000000000001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ht="17.100000000000001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ht="17.100000000000001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ht="17.100000000000001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ht="17.100000000000001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ht="17.100000000000001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ht="17.100000000000001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ht="17.100000000000001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ht="17.100000000000001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ht="17.100000000000001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ht="17.100000000000001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ht="17.100000000000001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ht="17.100000000000001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ht="17.100000000000001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ht="17.100000000000001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ht="17.100000000000001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ht="17.100000000000001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ht="17.100000000000001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ht="17.100000000000001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ht="17.100000000000001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ht="17.100000000000001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ht="17.100000000000001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ht="17.100000000000001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ht="17.100000000000001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ht="17.100000000000001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ht="17.100000000000001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ht="17.100000000000001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ht="17.100000000000001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ht="17.100000000000001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ht="17.100000000000001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ht="17.100000000000001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ht="17.100000000000001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ht="17.100000000000001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ht="17.100000000000001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ht="17.100000000000001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ht="17.100000000000001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ht="17.100000000000001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ht="17.100000000000001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ht="17.100000000000001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ht="17.100000000000001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ht="17.100000000000001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ht="17.100000000000001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ht="17.100000000000001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ht="17.100000000000001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ht="17.100000000000001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ht="17.100000000000001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ht="17.100000000000001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ht="17.100000000000001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ht="17.100000000000001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ht="17.100000000000001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ht="17.100000000000001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ht="17.100000000000001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ht="17.100000000000001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ht="17.100000000000001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ht="17.100000000000001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ht="17.100000000000001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ht="17.100000000000001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ht="17.100000000000001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ht="17.100000000000001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ht="17.100000000000001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ht="17.100000000000001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ht="17.100000000000001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ht="17.100000000000001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ht="17.100000000000001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ht="17.100000000000001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ht="17.100000000000001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ht="17.100000000000001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ht="17.100000000000001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ht="17.100000000000001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ht="17.100000000000001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ht="17.100000000000001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ht="17.100000000000001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ht="17.100000000000001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ht="17.100000000000001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ht="17.100000000000001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ht="17.100000000000001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ht="17.100000000000001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ht="17.100000000000001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ht="17.100000000000001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ht="17.100000000000001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ht="17.100000000000001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ht="17.10000000000000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ht="17.100000000000001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ht="17.100000000000001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ht="17.100000000000001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ht="17.100000000000001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ht="17.100000000000001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ht="17.100000000000001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ht="17.100000000000001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ht="17.100000000000001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ht="17.100000000000001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ht="17.100000000000001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ht="17.100000000000001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ht="17.100000000000001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ht="17.100000000000001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ht="17.100000000000001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ht="17.100000000000001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ht="17.100000000000001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ht="17.100000000000001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ht="17.100000000000001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ht="17.100000000000001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ht="17.100000000000001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ht="17.100000000000001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ht="17.100000000000001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ht="17.100000000000001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ht="17.100000000000001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ht="17.100000000000001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ht="17.100000000000001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ht="17.100000000000001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ht="17.100000000000001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ht="17.100000000000001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ht="17.100000000000001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ht="17.100000000000001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ht="17.100000000000001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ht="17.100000000000001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ht="17.100000000000001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ht="17.100000000000001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ht="17.100000000000001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ht="17.100000000000001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ht="17.100000000000001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ht="17.100000000000001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ht="17.100000000000001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ht="17.100000000000001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ht="17.100000000000001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ht="17.100000000000001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ht="17.100000000000001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ht="17.100000000000001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ht="17.100000000000001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ht="17.100000000000001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ht="17.100000000000001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ht="17.100000000000001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ht="17.100000000000001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ht="17.100000000000001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ht="17.100000000000001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ht="17.100000000000001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ht="17.100000000000001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ht="17.100000000000001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ht="17.100000000000001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ht="17.100000000000001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ht="17.100000000000001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ht="17.100000000000001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ht="17.100000000000001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ht="17.100000000000001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ht="17.100000000000001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ht="17.100000000000001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ht="17.100000000000001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ht="17.100000000000001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ht="17.100000000000001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ht="17.100000000000001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ht="17.100000000000001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ht="17.100000000000001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ht="17.100000000000001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ht="17.100000000000001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ht="17.100000000000001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ht="17.100000000000001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ht="17.100000000000001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ht="17.100000000000001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ht="17.100000000000001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ht="17.100000000000001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ht="17.100000000000001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ht="17.100000000000001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ht="17.100000000000001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ht="17.100000000000001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ht="17.100000000000001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ht="17.100000000000001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ht="17.100000000000001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ht="17.100000000000001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ht="17.100000000000001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ht="17.100000000000001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ht="17.100000000000001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ht="17.100000000000001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ht="17.100000000000001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ht="17.100000000000001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ht="17.100000000000001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ht="17.100000000000001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ht="17.100000000000001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ht="17.100000000000001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ht="17.100000000000001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ht="17.100000000000001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ht="17.100000000000001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ht="17.100000000000001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ht="17.100000000000001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ht="17.100000000000001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ht="17.100000000000001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ht="17.100000000000001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ht="17.100000000000001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ht="17.100000000000001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ht="17.100000000000001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ht="17.100000000000001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ht="17.100000000000001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ht="17.100000000000001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ht="17.100000000000001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ht="17.100000000000001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ht="17.100000000000001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ht="17.100000000000001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ht="17.100000000000001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ht="17.100000000000001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ht="17.100000000000001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ht="17.100000000000001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ht="17.100000000000001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ht="17.100000000000001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ht="17.100000000000001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ht="17.100000000000001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ht="17.100000000000001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ht="17.100000000000001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ht="17.100000000000001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ht="17.100000000000001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ht="17.100000000000001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ht="17.100000000000001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ht="17.100000000000001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ht="17.100000000000001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ht="17.100000000000001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ht="17.100000000000001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ht="17.100000000000001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ht="17.100000000000001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ht="17.100000000000001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ht="17.100000000000001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ht="17.100000000000001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ht="17.100000000000001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ht="17.100000000000001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ht="17.100000000000001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ht="17.100000000000001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ht="17.100000000000001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ht="17.100000000000001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ht="17.100000000000001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ht="17.100000000000001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ht="17.100000000000001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ht="17.100000000000001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ht="17.100000000000001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ht="17.100000000000001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ht="17.100000000000001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ht="17.100000000000001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ht="17.100000000000001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ht="17.100000000000001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ht="17.100000000000001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ht="17.100000000000001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ht="17.100000000000001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ht="17.100000000000001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ht="17.100000000000001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ht="17.100000000000001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ht="17.100000000000001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ht="17.100000000000001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ht="17.100000000000001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ht="17.100000000000001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ht="17.100000000000001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ht="17.100000000000001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ht="17.100000000000001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ht="17.100000000000001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ht="17.100000000000001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ht="17.100000000000001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ht="17.100000000000001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ht="17.100000000000001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ht="17.100000000000001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ht="17.100000000000001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ht="17.100000000000001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ht="17.100000000000001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ht="17.100000000000001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ht="17.100000000000001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ht="17.100000000000001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ht="17.100000000000001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ht="17.100000000000001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ht="17.100000000000001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ht="17.100000000000001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ht="17.100000000000001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ht="17.100000000000001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ht="17.100000000000001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ht="17.100000000000001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ht="17.100000000000001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ht="17.100000000000001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ht="17.100000000000001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ht="17.100000000000001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ht="17.100000000000001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ht="17.100000000000001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ht="17.100000000000001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ht="17.100000000000001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ht="17.100000000000001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ht="17.100000000000001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ht="17.100000000000001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ht="17.100000000000001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ht="17.100000000000001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ht="17.100000000000001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ht="17.100000000000001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ht="17.100000000000001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ht="17.100000000000001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ht="17.100000000000001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ht="17.100000000000001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ht="17.100000000000001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ht="17.100000000000001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ht="17.100000000000001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ht="17.100000000000001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ht="17.100000000000001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ht="17.100000000000001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ht="17.100000000000001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ht="17.100000000000001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ht="17.100000000000001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ht="17.100000000000001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ht="17.100000000000001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ht="17.100000000000001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ht="17.100000000000001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ht="17.100000000000001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ht="17.100000000000001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ht="17.100000000000001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ht="17.100000000000001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ht="17.100000000000001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ht="17.100000000000001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ht="17.100000000000001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ht="17.100000000000001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59" si="215">C396&amp;"/"&amp;D396</f>
        <v>TOR/CLE</v>
      </c>
    </row>
    <row r="397" spans="1:27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ht="17.100000000000001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ht="17.100000000000001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ht="17.100000000000001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ht="17.100000000000001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ht="17.100000000000001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ht="17.100000000000001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ht="17.100000000000001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ht="17.100000000000001" x14ac:dyDescent="0.45">
      <c r="A408" s="50">
        <v>191219</v>
      </c>
      <c r="B408" s="44">
        <v>0.375</v>
      </c>
      <c r="C408" s="50" t="s">
        <v>402</v>
      </c>
      <c r="D408" s="50" t="s">
        <v>409</v>
      </c>
      <c r="E408" s="52">
        <v>29</v>
      </c>
      <c r="F408" s="52">
        <v>24</v>
      </c>
      <c r="G408" s="52">
        <v>23</v>
      </c>
      <c r="H408" s="52">
        <v>24</v>
      </c>
      <c r="I408" s="52"/>
      <c r="J408" s="52">
        <v>21</v>
      </c>
      <c r="K408" s="52">
        <v>20</v>
      </c>
      <c r="L408" s="52">
        <v>23</v>
      </c>
      <c r="M408" s="52">
        <v>34</v>
      </c>
      <c r="N408" s="52" t="s">
        <v>427</v>
      </c>
      <c r="O408" s="74">
        <f t="shared" ref="O408:O430" si="216">SUM(E408:I408)</f>
        <v>100</v>
      </c>
      <c r="P408" s="74">
        <f t="shared" ref="P408:P430" si="217">SUM(J408:N408)</f>
        <v>98</v>
      </c>
      <c r="Q408" s="74" t="str">
        <f t="shared" ref="Q408:Q430" si="218">IF(E408=J408,"TT",IF(E408&gt;J408,"HW","HL"))</f>
        <v>HW</v>
      </c>
      <c r="R408" s="74" t="str">
        <f t="shared" ref="R408:R430" si="219">IF(F408=K408,"TT",IF(F408&gt;K408,"HW","HL"))</f>
        <v>HW</v>
      </c>
      <c r="S408" s="74" t="str">
        <f t="shared" ref="S408:S430" si="220">IF(G408=L408,"TT",IF(G408&gt;L408,"HW","HL"))</f>
        <v>TT</v>
      </c>
      <c r="T408" s="74" t="str">
        <f t="shared" ref="T408:T430" si="221">IF(H408=M408,"TT",IF(H408&gt;M408,"HW","HL"))</f>
        <v>HL</v>
      </c>
      <c r="U408" s="74" t="str">
        <f t="shared" ref="U408:U430" si="222">IF(SUM(E408,J408)=$Z408,"T",IF(SUM(E408,J408)&gt;$Z408,"O","U"))</f>
        <v>U</v>
      </c>
      <c r="V408" s="74" t="str">
        <f t="shared" ref="V408:V430" si="223">IF(SUM(F408,K408)=$Z408,"T",IF(SUM(F408,K408)&gt;$Z408,"O","U"))</f>
        <v>U</v>
      </c>
      <c r="W408" s="74" t="str">
        <f t="shared" ref="W408:W430" si="224">IF(SUM(G408,L408)=$Z408,"T",IF(SUM(G408,L408)&gt;$Z408,"O","U"))</f>
        <v>U</v>
      </c>
      <c r="X408" s="74" t="str">
        <f t="shared" ref="X408:X430" si="225">IF(SUM(H408,M408)=$Z408,"T",IF(SUM(H408,M408)&gt;$Z408,"O","U"))</f>
        <v>O</v>
      </c>
      <c r="Z408">
        <v>54.5</v>
      </c>
      <c r="AA408" s="42" t="str">
        <f t="shared" si="215"/>
        <v>CLE/CHA</v>
      </c>
    </row>
    <row r="409" spans="1:27" ht="17.100000000000001" x14ac:dyDescent="0.45">
      <c r="A409" s="50">
        <v>191219</v>
      </c>
      <c r="B409" s="44">
        <v>0.375</v>
      </c>
      <c r="C409" s="15" t="s">
        <v>422</v>
      </c>
      <c r="D409" s="15" t="s">
        <v>413</v>
      </c>
      <c r="E409" s="55">
        <v>29</v>
      </c>
      <c r="F409" s="55">
        <v>35</v>
      </c>
      <c r="G409" s="55">
        <v>15</v>
      </c>
      <c r="H409" s="55">
        <v>20</v>
      </c>
      <c r="I409" s="55"/>
      <c r="J409" s="55">
        <v>30</v>
      </c>
      <c r="K409" s="55">
        <v>40</v>
      </c>
      <c r="L409" s="55">
        <v>26</v>
      </c>
      <c r="M409" s="55">
        <v>16</v>
      </c>
      <c r="N409" s="55" t="s">
        <v>427</v>
      </c>
      <c r="O409" s="74">
        <f t="shared" si="216"/>
        <v>99</v>
      </c>
      <c r="P409" s="74">
        <f t="shared" si="217"/>
        <v>112</v>
      </c>
      <c r="Q409" s="74" t="str">
        <f t="shared" si="218"/>
        <v>HL</v>
      </c>
      <c r="R409" s="74" t="str">
        <f t="shared" si="219"/>
        <v>HL</v>
      </c>
      <c r="S409" s="74" t="str">
        <f t="shared" si="220"/>
        <v>HL</v>
      </c>
      <c r="T409" s="74" t="str">
        <f t="shared" si="221"/>
        <v>HW</v>
      </c>
      <c r="U409" s="74" t="str">
        <f t="shared" si="222"/>
        <v>O</v>
      </c>
      <c r="V409" s="74" t="str">
        <f t="shared" si="223"/>
        <v>O</v>
      </c>
      <c r="W409" s="74" t="str">
        <f t="shared" si="224"/>
        <v>U</v>
      </c>
      <c r="X409" s="74" t="str">
        <f t="shared" si="225"/>
        <v>U</v>
      </c>
      <c r="Z409">
        <v>56</v>
      </c>
      <c r="AA409" s="42" t="str">
        <f t="shared" si="215"/>
        <v>DET/TOR</v>
      </c>
    </row>
    <row r="410" spans="1:27" ht="17.100000000000001" x14ac:dyDescent="0.45">
      <c r="A410" s="50">
        <v>191219</v>
      </c>
      <c r="B410" s="44">
        <v>0.375</v>
      </c>
      <c r="C410" s="15" t="s">
        <v>401</v>
      </c>
      <c r="D410" s="15" t="s">
        <v>411</v>
      </c>
      <c r="E410" s="58">
        <v>29</v>
      </c>
      <c r="F410" s="58">
        <v>19</v>
      </c>
      <c r="G410" s="58">
        <v>26</v>
      </c>
      <c r="H410" s="58">
        <v>30</v>
      </c>
      <c r="I410" s="58"/>
      <c r="J410" s="58">
        <v>19</v>
      </c>
      <c r="K410" s="58">
        <v>37</v>
      </c>
      <c r="L410" s="58">
        <v>26</v>
      </c>
      <c r="M410" s="58">
        <v>26</v>
      </c>
      <c r="N410" s="58" t="s">
        <v>427</v>
      </c>
      <c r="O410" s="74">
        <f t="shared" si="216"/>
        <v>104</v>
      </c>
      <c r="P410" s="74">
        <f t="shared" si="217"/>
        <v>108</v>
      </c>
      <c r="Q410" s="74" t="str">
        <f t="shared" si="218"/>
        <v>HW</v>
      </c>
      <c r="R410" s="74" t="str">
        <f t="shared" si="219"/>
        <v>HL</v>
      </c>
      <c r="S410" s="74" t="str">
        <f t="shared" si="220"/>
        <v>TT</v>
      </c>
      <c r="T410" s="74" t="str">
        <f t="shared" si="221"/>
        <v>HW</v>
      </c>
      <c r="U410" s="74" t="str">
        <f t="shared" si="222"/>
        <v>U</v>
      </c>
      <c r="V410" s="74" t="str">
        <f t="shared" si="223"/>
        <v>O</v>
      </c>
      <c r="W410" s="74" t="str">
        <f t="shared" si="224"/>
        <v>U</v>
      </c>
      <c r="X410" s="74" t="str">
        <f t="shared" si="225"/>
        <v>O</v>
      </c>
      <c r="Z410">
        <v>54.5</v>
      </c>
      <c r="AA410" s="42" t="str">
        <f t="shared" si="215"/>
        <v>PHI/MIA</v>
      </c>
    </row>
    <row r="411" spans="1:27" ht="17.100000000000001" x14ac:dyDescent="0.45">
      <c r="A411" s="50">
        <v>191219</v>
      </c>
      <c r="B411" s="44">
        <v>0.375</v>
      </c>
      <c r="C411" s="50" t="s">
        <v>414</v>
      </c>
      <c r="D411" s="50" t="s">
        <v>412</v>
      </c>
      <c r="E411" s="60">
        <v>27</v>
      </c>
      <c r="F411" s="60">
        <v>31</v>
      </c>
      <c r="G411" s="60">
        <v>27</v>
      </c>
      <c r="H411" s="60">
        <v>13</v>
      </c>
      <c r="I411" s="60">
        <v>11</v>
      </c>
      <c r="J411" s="60">
        <v>23</v>
      </c>
      <c r="K411" s="60">
        <v>29</v>
      </c>
      <c r="L411" s="60">
        <v>21</v>
      </c>
      <c r="M411" s="60">
        <v>25</v>
      </c>
      <c r="N411" s="60">
        <v>12</v>
      </c>
      <c r="O411" s="74">
        <f t="shared" si="216"/>
        <v>109</v>
      </c>
      <c r="P411" s="74">
        <f t="shared" si="217"/>
        <v>110</v>
      </c>
      <c r="Q411" s="74" t="str">
        <f t="shared" si="218"/>
        <v>HW</v>
      </c>
      <c r="R411" s="74" t="str">
        <f t="shared" si="219"/>
        <v>HW</v>
      </c>
      <c r="S411" s="74" t="str">
        <f t="shared" si="220"/>
        <v>HW</v>
      </c>
      <c r="T411" s="74" t="str">
        <f t="shared" si="221"/>
        <v>HL</v>
      </c>
      <c r="U411" s="74" t="str">
        <f t="shared" si="222"/>
        <v>U</v>
      </c>
      <c r="V411" s="74" t="str">
        <f t="shared" si="223"/>
        <v>O</v>
      </c>
      <c r="W411" s="74" t="str">
        <f t="shared" si="224"/>
        <v>U</v>
      </c>
      <c r="X411" s="74" t="str">
        <f t="shared" si="225"/>
        <v>U</v>
      </c>
      <c r="Z411">
        <v>59</v>
      </c>
      <c r="AA411" s="42" t="str">
        <f t="shared" si="215"/>
        <v>WAS/CHI</v>
      </c>
    </row>
    <row r="412" spans="1:27" ht="17.100000000000001" x14ac:dyDescent="0.45">
      <c r="A412" s="50">
        <v>191219</v>
      </c>
      <c r="B412" s="44">
        <v>0.41666666666666669</v>
      </c>
      <c r="C412" s="15" t="s">
        <v>420</v>
      </c>
      <c r="D412" s="13" t="s">
        <v>398</v>
      </c>
      <c r="E412" s="56">
        <v>25</v>
      </c>
      <c r="F412" s="56">
        <v>25</v>
      </c>
      <c r="G412" s="56">
        <v>22</v>
      </c>
      <c r="H412" s="56">
        <v>27</v>
      </c>
      <c r="I412" s="56"/>
      <c r="J412" s="56">
        <v>32</v>
      </c>
      <c r="K412" s="56">
        <v>31</v>
      </c>
      <c r="L412" s="56">
        <v>24</v>
      </c>
      <c r="M412" s="56">
        <v>20</v>
      </c>
      <c r="N412" s="56" t="s">
        <v>427</v>
      </c>
      <c r="O412" s="74">
        <f t="shared" si="216"/>
        <v>99</v>
      </c>
      <c r="P412" s="74">
        <f t="shared" si="217"/>
        <v>107</v>
      </c>
      <c r="Q412" s="74" t="str">
        <f t="shared" si="218"/>
        <v>HL</v>
      </c>
      <c r="R412" s="74" t="str">
        <f t="shared" si="219"/>
        <v>HL</v>
      </c>
      <c r="S412" s="74" t="str">
        <f t="shared" si="220"/>
        <v>HL</v>
      </c>
      <c r="T412" s="74" t="str">
        <f t="shared" si="221"/>
        <v>HW</v>
      </c>
      <c r="U412" s="74" t="str">
        <f t="shared" si="222"/>
        <v>U</v>
      </c>
      <c r="V412" s="74" t="str">
        <f t="shared" si="223"/>
        <v>U</v>
      </c>
      <c r="W412" s="74" t="str">
        <f t="shared" si="224"/>
        <v>U</v>
      </c>
      <c r="X412" s="74" t="str">
        <f t="shared" si="225"/>
        <v>U</v>
      </c>
      <c r="Z412">
        <v>59</v>
      </c>
      <c r="AA412" s="42" t="str">
        <f t="shared" si="215"/>
        <v>MIN/NO</v>
      </c>
    </row>
    <row r="413" spans="1:27" ht="17.100000000000001" x14ac:dyDescent="0.45">
      <c r="A413" s="50">
        <v>191219</v>
      </c>
      <c r="B413" s="44">
        <v>0.41666666666666669</v>
      </c>
      <c r="C413" s="5" t="s">
        <v>418</v>
      </c>
      <c r="D413" s="5" t="s">
        <v>406</v>
      </c>
      <c r="E413" s="57">
        <v>27</v>
      </c>
      <c r="F413" s="57">
        <v>32</v>
      </c>
      <c r="G413" s="57">
        <v>34</v>
      </c>
      <c r="H413" s="57">
        <v>33</v>
      </c>
      <c r="I413" s="57"/>
      <c r="J413" s="57">
        <v>32</v>
      </c>
      <c r="K413" s="57">
        <v>36</v>
      </c>
      <c r="L413" s="57">
        <v>32</v>
      </c>
      <c r="M413" s="57">
        <v>22</v>
      </c>
      <c r="N413" s="57" t="s">
        <v>427</v>
      </c>
      <c r="O413" s="74">
        <f t="shared" si="216"/>
        <v>126</v>
      </c>
      <c r="P413" s="74">
        <f t="shared" si="217"/>
        <v>122</v>
      </c>
      <c r="Q413" s="74" t="str">
        <f t="shared" si="218"/>
        <v>HL</v>
      </c>
      <c r="R413" s="74" t="str">
        <f t="shared" si="219"/>
        <v>HL</v>
      </c>
      <c r="S413" s="74" t="str">
        <f t="shared" si="220"/>
        <v>HW</v>
      </c>
      <c r="T413" s="74" t="str">
        <f t="shared" si="221"/>
        <v>HW</v>
      </c>
      <c r="U413" s="74" t="str">
        <f t="shared" si="222"/>
        <v>O</v>
      </c>
      <c r="V413" s="74" t="str">
        <f t="shared" si="223"/>
        <v>O</v>
      </c>
      <c r="W413" s="74" t="str">
        <f t="shared" si="224"/>
        <v>O</v>
      </c>
      <c r="X413" s="74" t="str">
        <f t="shared" si="225"/>
        <v>O</v>
      </c>
      <c r="Z413">
        <v>54</v>
      </c>
      <c r="AA413" s="42" t="str">
        <f t="shared" si="215"/>
        <v>OKC/MEM</v>
      </c>
    </row>
    <row r="414" spans="1:27" ht="17.100000000000001" x14ac:dyDescent="0.45">
      <c r="A414" s="50">
        <v>191219</v>
      </c>
      <c r="B414" s="44">
        <v>0.45833333333333331</v>
      </c>
      <c r="C414" s="13" t="s">
        <v>46</v>
      </c>
      <c r="D414" s="15" t="s">
        <v>424</v>
      </c>
      <c r="E414" s="54">
        <v>27</v>
      </c>
      <c r="F414" s="54">
        <v>18</v>
      </c>
      <c r="G414" s="54">
        <v>39</v>
      </c>
      <c r="H414" s="54">
        <v>29</v>
      </c>
      <c r="I414" s="54"/>
      <c r="J414" s="54">
        <v>32</v>
      </c>
      <c r="K414" s="54">
        <v>28</v>
      </c>
      <c r="L414" s="54">
        <v>16</v>
      </c>
      <c r="M414" s="54">
        <v>28</v>
      </c>
      <c r="N414" s="54" t="s">
        <v>427</v>
      </c>
      <c r="O414" s="74">
        <f t="shared" si="216"/>
        <v>113</v>
      </c>
      <c r="P414" s="74">
        <f t="shared" si="217"/>
        <v>104</v>
      </c>
      <c r="Q414" s="74" t="str">
        <f t="shared" si="218"/>
        <v>HL</v>
      </c>
      <c r="R414" s="74" t="str">
        <f t="shared" si="219"/>
        <v>HL</v>
      </c>
      <c r="S414" s="74" t="str">
        <f t="shared" si="220"/>
        <v>HW</v>
      </c>
      <c r="T414" s="74" t="str">
        <f t="shared" si="221"/>
        <v>HW</v>
      </c>
      <c r="U414" s="74" t="str">
        <f t="shared" si="222"/>
        <v>O</v>
      </c>
      <c r="V414" s="74" t="str">
        <f t="shared" si="223"/>
        <v>U</v>
      </c>
      <c r="W414" s="74" t="str">
        <f t="shared" si="224"/>
        <v>O</v>
      </c>
      <c r="X414" s="74" t="str">
        <f t="shared" si="225"/>
        <v>O</v>
      </c>
      <c r="Z414">
        <v>52.5</v>
      </c>
      <c r="AA414" s="42" t="str">
        <f t="shared" si="215"/>
        <v>DEN/ORL</v>
      </c>
    </row>
    <row r="415" spans="1:27" ht="17.100000000000001" x14ac:dyDescent="0.45">
      <c r="A415" s="50">
        <v>191219</v>
      </c>
      <c r="B415" s="44">
        <v>0.47916666666666669</v>
      </c>
      <c r="C415" s="15" t="s">
        <v>98</v>
      </c>
      <c r="D415" s="48" t="s">
        <v>421</v>
      </c>
      <c r="E415" s="53">
        <v>29</v>
      </c>
      <c r="F415" s="53">
        <v>26</v>
      </c>
      <c r="G415" s="53">
        <v>18</v>
      </c>
      <c r="H415" s="53">
        <v>30</v>
      </c>
      <c r="I415" s="53"/>
      <c r="J415" s="53">
        <v>29</v>
      </c>
      <c r="K415" s="53">
        <v>21</v>
      </c>
      <c r="L415" s="53">
        <v>26</v>
      </c>
      <c r="M415" s="53">
        <v>33</v>
      </c>
      <c r="N415" s="53" t="s">
        <v>427</v>
      </c>
      <c r="O415" s="74">
        <f t="shared" si="216"/>
        <v>103</v>
      </c>
      <c r="P415" s="74">
        <f t="shared" si="217"/>
        <v>109</v>
      </c>
      <c r="Q415" s="74" t="str">
        <f t="shared" si="218"/>
        <v>TT</v>
      </c>
      <c r="R415" s="74" t="str">
        <f t="shared" si="219"/>
        <v>HW</v>
      </c>
      <c r="S415" s="74" t="str">
        <f t="shared" si="220"/>
        <v>HL</v>
      </c>
      <c r="T415" s="74" t="str">
        <f t="shared" si="221"/>
        <v>HL</v>
      </c>
      <c r="U415" s="74" t="str">
        <f t="shared" si="222"/>
        <v>O</v>
      </c>
      <c r="V415" s="74" t="str">
        <f t="shared" si="223"/>
        <v>U</v>
      </c>
      <c r="W415" s="74" t="str">
        <f t="shared" si="224"/>
        <v>U</v>
      </c>
      <c r="X415" s="74" t="str">
        <f t="shared" si="225"/>
        <v>O</v>
      </c>
      <c r="Z415">
        <v>52.5</v>
      </c>
      <c r="AA415" s="42" t="str">
        <f t="shared" si="215"/>
        <v>DAL/BOS</v>
      </c>
    </row>
    <row r="416" spans="1:27" ht="17.100000000000001" x14ac:dyDescent="0.45">
      <c r="A416" s="50">
        <v>191219</v>
      </c>
      <c r="B416" s="44">
        <v>0.5</v>
      </c>
      <c r="C416" s="50" t="s">
        <v>417</v>
      </c>
      <c r="D416" s="50" t="s">
        <v>425</v>
      </c>
      <c r="E416" s="59">
        <v>40</v>
      </c>
      <c r="F416" s="59">
        <v>27</v>
      </c>
      <c r="G416" s="59">
        <v>30</v>
      </c>
      <c r="H416" s="59">
        <v>25</v>
      </c>
      <c r="I416" s="59"/>
      <c r="J416" s="59">
        <v>29</v>
      </c>
      <c r="K416" s="59">
        <v>37</v>
      </c>
      <c r="L416" s="59">
        <v>26</v>
      </c>
      <c r="M416" s="59">
        <v>20</v>
      </c>
      <c r="N416" s="59" t="s">
        <v>427</v>
      </c>
      <c r="O416" s="74">
        <f t="shared" si="216"/>
        <v>122</v>
      </c>
      <c r="P416" s="74">
        <f t="shared" si="217"/>
        <v>112</v>
      </c>
      <c r="Q416" s="74" t="str">
        <f t="shared" si="218"/>
        <v>HW</v>
      </c>
      <c r="R416" s="74" t="str">
        <f t="shared" si="219"/>
        <v>HL</v>
      </c>
      <c r="S416" s="74" t="str">
        <f t="shared" si="220"/>
        <v>HW</v>
      </c>
      <c r="T416" s="74" t="str">
        <f t="shared" si="221"/>
        <v>HW</v>
      </c>
      <c r="U416" s="74" t="str">
        <f t="shared" si="222"/>
        <v>O</v>
      </c>
      <c r="V416" s="74" t="str">
        <f t="shared" si="223"/>
        <v>O</v>
      </c>
      <c r="W416" s="74" t="str">
        <f t="shared" si="224"/>
        <v>U</v>
      </c>
      <c r="X416" s="74" t="str">
        <f t="shared" si="225"/>
        <v>U</v>
      </c>
      <c r="Z416">
        <v>56.5</v>
      </c>
      <c r="AA416" s="42" t="str">
        <f t="shared" si="215"/>
        <v>POR/GS</v>
      </c>
    </row>
    <row r="417" spans="1:27" ht="17.100000000000001" x14ac:dyDescent="0.45">
      <c r="A417" s="50">
        <v>191220</v>
      </c>
      <c r="B417" s="51">
        <v>0.39583333333333331</v>
      </c>
      <c r="C417" s="50" t="s">
        <v>410</v>
      </c>
      <c r="D417" s="50" t="s">
        <v>405</v>
      </c>
      <c r="E417" s="61">
        <v>30</v>
      </c>
      <c r="F417" s="61">
        <v>26</v>
      </c>
      <c r="G417" s="61">
        <v>28</v>
      </c>
      <c r="H417" s="61">
        <v>22</v>
      </c>
      <c r="I417" s="61"/>
      <c r="J417" s="61">
        <v>28</v>
      </c>
      <c r="K417" s="61">
        <v>24</v>
      </c>
      <c r="L417" s="61">
        <v>31</v>
      </c>
      <c r="M417" s="61">
        <v>28</v>
      </c>
      <c r="N417" s="61" t="s">
        <v>427</v>
      </c>
      <c r="O417" s="74">
        <f t="shared" si="216"/>
        <v>106</v>
      </c>
      <c r="P417" s="74">
        <f t="shared" si="217"/>
        <v>111</v>
      </c>
      <c r="Q417" s="74" t="str">
        <f t="shared" si="218"/>
        <v>HW</v>
      </c>
      <c r="R417" s="74" t="str">
        <f t="shared" si="219"/>
        <v>HW</v>
      </c>
      <c r="S417" s="74" t="str">
        <f t="shared" si="220"/>
        <v>HL</v>
      </c>
      <c r="T417" s="74" t="str">
        <f t="shared" si="221"/>
        <v>HL</v>
      </c>
      <c r="U417" s="74" t="str">
        <f t="shared" si="222"/>
        <v>O</v>
      </c>
      <c r="V417" s="74" t="str">
        <f t="shared" si="223"/>
        <v>U</v>
      </c>
      <c r="W417" s="74" t="str">
        <f t="shared" si="224"/>
        <v>O</v>
      </c>
      <c r="X417" s="74" t="str">
        <f t="shared" si="225"/>
        <v>U</v>
      </c>
      <c r="Z417">
        <v>55</v>
      </c>
      <c r="AA417" s="74" t="str">
        <f t="shared" si="215"/>
        <v>ATL/UTA</v>
      </c>
    </row>
    <row r="418" spans="1:27" ht="17.100000000000001" x14ac:dyDescent="0.45">
      <c r="A418" s="50">
        <v>191220</v>
      </c>
      <c r="B418" s="51">
        <v>0.41666666666666669</v>
      </c>
      <c r="C418" s="50" t="s">
        <v>423</v>
      </c>
      <c r="D418" s="50" t="s">
        <v>419</v>
      </c>
      <c r="E418" s="63">
        <v>23</v>
      </c>
      <c r="F418" s="63">
        <v>42</v>
      </c>
      <c r="G418" s="63">
        <v>24</v>
      </c>
      <c r="H418" s="63">
        <v>22</v>
      </c>
      <c r="I418" s="63"/>
      <c r="J418" s="63">
        <v>17</v>
      </c>
      <c r="K418" s="63">
        <v>29</v>
      </c>
      <c r="L418" s="63">
        <v>35</v>
      </c>
      <c r="M418" s="63">
        <v>23</v>
      </c>
      <c r="N418" s="63" t="s">
        <v>427</v>
      </c>
      <c r="O418" s="74">
        <f t="shared" si="216"/>
        <v>111</v>
      </c>
      <c r="P418" s="74">
        <f t="shared" si="217"/>
        <v>104</v>
      </c>
      <c r="Q418" s="74" t="str">
        <f t="shared" si="218"/>
        <v>HW</v>
      </c>
      <c r="R418" s="74" t="str">
        <f t="shared" si="219"/>
        <v>HW</v>
      </c>
      <c r="S418" s="74" t="str">
        <f t="shared" si="220"/>
        <v>HL</v>
      </c>
      <c r="T418" s="74" t="str">
        <f t="shared" si="221"/>
        <v>HL</v>
      </c>
      <c r="U418" s="74" t="str">
        <f t="shared" si="222"/>
        <v>U</v>
      </c>
      <c r="V418" s="74" t="str">
        <f t="shared" si="223"/>
        <v>O</v>
      </c>
      <c r="W418" s="74" t="str">
        <f t="shared" si="224"/>
        <v>O</v>
      </c>
      <c r="X418" s="74" t="str">
        <f t="shared" si="225"/>
        <v>U</v>
      </c>
      <c r="Z418">
        <v>58.5</v>
      </c>
      <c r="AA418" s="74" t="str">
        <f t="shared" si="215"/>
        <v>MIL/LAL</v>
      </c>
    </row>
    <row r="419" spans="1:27" ht="17.100000000000001" x14ac:dyDescent="0.45">
      <c r="A419" s="50">
        <v>191220</v>
      </c>
      <c r="B419" s="51">
        <v>0.4375</v>
      </c>
      <c r="C419" s="50" t="s">
        <v>426</v>
      </c>
      <c r="D419" s="50" t="s">
        <v>407</v>
      </c>
      <c r="E419" s="64">
        <v>27</v>
      </c>
      <c r="F419" s="64">
        <v>23</v>
      </c>
      <c r="G419" s="64">
        <v>33</v>
      </c>
      <c r="H419" s="64">
        <v>35</v>
      </c>
      <c r="I419" s="64"/>
      <c r="J419" s="64">
        <v>33</v>
      </c>
      <c r="K419" s="64">
        <v>23</v>
      </c>
      <c r="L419" s="64">
        <v>25</v>
      </c>
      <c r="M419" s="64">
        <v>24</v>
      </c>
      <c r="N419" s="64" t="s">
        <v>427</v>
      </c>
      <c r="O419" s="74">
        <f t="shared" si="216"/>
        <v>118</v>
      </c>
      <c r="P419" s="74">
        <f t="shared" si="217"/>
        <v>105</v>
      </c>
      <c r="Q419" s="74" t="str">
        <f t="shared" si="218"/>
        <v>HL</v>
      </c>
      <c r="R419" s="74" t="str">
        <f t="shared" si="219"/>
        <v>TT</v>
      </c>
      <c r="S419" s="74" t="str">
        <f t="shared" si="220"/>
        <v>HW</v>
      </c>
      <c r="T419" s="74" t="str">
        <f t="shared" si="221"/>
        <v>HW</v>
      </c>
      <c r="U419" s="74" t="str">
        <f t="shared" si="222"/>
        <v>O</v>
      </c>
      <c r="V419" s="74" t="str">
        <f t="shared" si="223"/>
        <v>U</v>
      </c>
      <c r="W419" s="74" t="str">
        <f t="shared" si="224"/>
        <v>O</v>
      </c>
      <c r="X419" s="74" t="str">
        <f t="shared" si="225"/>
        <v>O</v>
      </c>
      <c r="Z419">
        <v>53.5</v>
      </c>
      <c r="AA419" s="74" t="str">
        <f t="shared" si="215"/>
        <v>SAS/BKN</v>
      </c>
    </row>
    <row r="420" spans="1:27" ht="17.100000000000001" x14ac:dyDescent="0.45">
      <c r="A420" s="50">
        <v>191220</v>
      </c>
      <c r="B420" s="51">
        <v>0.52083333333333337</v>
      </c>
      <c r="C420" s="50" t="s">
        <v>415</v>
      </c>
      <c r="D420" s="50" t="s">
        <v>403</v>
      </c>
      <c r="E420" s="62">
        <v>28</v>
      </c>
      <c r="F420" s="62">
        <v>41</v>
      </c>
      <c r="G420" s="62">
        <v>18</v>
      </c>
      <c r="H420" s="62">
        <v>30</v>
      </c>
      <c r="I420" s="62"/>
      <c r="J420" s="62">
        <v>27</v>
      </c>
      <c r="K420" s="62">
        <v>27</v>
      </c>
      <c r="L420" s="62">
        <v>36</v>
      </c>
      <c r="M420" s="62">
        <v>32</v>
      </c>
      <c r="N420" s="62" t="s">
        <v>427</v>
      </c>
      <c r="O420" s="74">
        <f t="shared" si="216"/>
        <v>117</v>
      </c>
      <c r="P420" s="74">
        <f t="shared" si="217"/>
        <v>122</v>
      </c>
      <c r="Q420" s="74" t="str">
        <f t="shared" si="218"/>
        <v>HW</v>
      </c>
      <c r="R420" s="74" t="str">
        <f t="shared" si="219"/>
        <v>HW</v>
      </c>
      <c r="S420" s="74" t="str">
        <f t="shared" si="220"/>
        <v>HL</v>
      </c>
      <c r="T420" s="74" t="str">
        <f t="shared" si="221"/>
        <v>HL</v>
      </c>
      <c r="U420" s="74" t="str">
        <f t="shared" si="222"/>
        <v>U</v>
      </c>
      <c r="V420" s="74" t="str">
        <f t="shared" si="223"/>
        <v>O</v>
      </c>
      <c r="W420" s="74" t="str">
        <f t="shared" si="224"/>
        <v>U</v>
      </c>
      <c r="X420" s="74" t="str">
        <f t="shared" si="225"/>
        <v>O</v>
      </c>
      <c r="Z420">
        <v>60.5</v>
      </c>
      <c r="AA420" s="74" t="str">
        <f t="shared" si="215"/>
        <v>LAC/HOU</v>
      </c>
    </row>
    <row r="421" spans="1:27" ht="17.100000000000001" x14ac:dyDescent="0.45">
      <c r="A421" s="50">
        <v>191221</v>
      </c>
      <c r="B421" s="51">
        <v>0.375</v>
      </c>
      <c r="C421" s="50" t="s">
        <v>402</v>
      </c>
      <c r="D421" s="50" t="s">
        <v>406</v>
      </c>
      <c r="E421" s="66">
        <v>25</v>
      </c>
      <c r="F421" s="66">
        <v>30</v>
      </c>
      <c r="G421" s="66">
        <v>26</v>
      </c>
      <c r="H421" s="66">
        <v>33</v>
      </c>
      <c r="I421" s="66"/>
      <c r="J421" s="66">
        <v>27</v>
      </c>
      <c r="K421" s="66">
        <v>24</v>
      </c>
      <c r="L421" s="66">
        <v>36</v>
      </c>
      <c r="M421" s="66">
        <v>20</v>
      </c>
      <c r="N421" s="66" t="s">
        <v>427</v>
      </c>
      <c r="O421" s="74">
        <f t="shared" si="216"/>
        <v>114</v>
      </c>
      <c r="P421" s="74">
        <f t="shared" si="217"/>
        <v>107</v>
      </c>
      <c r="Q421" s="74" t="str">
        <f t="shared" si="218"/>
        <v>HL</v>
      </c>
      <c r="R421" s="74" t="str">
        <f t="shared" si="219"/>
        <v>HW</v>
      </c>
      <c r="S421" s="74" t="str">
        <f t="shared" si="220"/>
        <v>HL</v>
      </c>
      <c r="T421" s="74" t="str">
        <f t="shared" si="221"/>
        <v>HW</v>
      </c>
      <c r="U421" s="74" t="str">
        <f t="shared" si="222"/>
        <v>U</v>
      </c>
      <c r="V421" s="74" t="str">
        <f t="shared" si="223"/>
        <v>U</v>
      </c>
      <c r="W421" s="74" t="str">
        <f t="shared" si="224"/>
        <v>O</v>
      </c>
      <c r="X421" s="74" t="str">
        <f t="shared" si="225"/>
        <v>U</v>
      </c>
      <c r="Z421">
        <v>55</v>
      </c>
      <c r="AA421" s="74" t="str">
        <f t="shared" si="215"/>
        <v>CLE/MEM</v>
      </c>
    </row>
    <row r="422" spans="1:27" ht="17.100000000000001" x14ac:dyDescent="0.45">
      <c r="A422" s="50">
        <v>191221</v>
      </c>
      <c r="B422" s="51">
        <v>0.375</v>
      </c>
      <c r="C422" s="50" t="s">
        <v>400</v>
      </c>
      <c r="D422" s="50" t="s">
        <v>416</v>
      </c>
      <c r="E422" s="69">
        <v>30</v>
      </c>
      <c r="F422" s="69">
        <v>38</v>
      </c>
      <c r="G422" s="69">
        <v>24</v>
      </c>
      <c r="H422" s="69">
        <v>27</v>
      </c>
      <c r="I422" s="69"/>
      <c r="J422" s="69">
        <v>32</v>
      </c>
      <c r="K422" s="69">
        <v>25</v>
      </c>
      <c r="L422" s="69">
        <v>22</v>
      </c>
      <c r="M422" s="69">
        <v>26</v>
      </c>
      <c r="N422" s="69" t="s">
        <v>427</v>
      </c>
      <c r="O422" s="74">
        <f t="shared" si="216"/>
        <v>119</v>
      </c>
      <c r="P422" s="74">
        <f t="shared" si="217"/>
        <v>105</v>
      </c>
      <c r="Q422" s="74" t="str">
        <f t="shared" si="218"/>
        <v>HL</v>
      </c>
      <c r="R422" s="74" t="str">
        <f t="shared" si="219"/>
        <v>HW</v>
      </c>
      <c r="S422" s="74" t="str">
        <f t="shared" si="220"/>
        <v>HW</v>
      </c>
      <c r="T422" s="74" t="str">
        <f t="shared" si="221"/>
        <v>HW</v>
      </c>
      <c r="U422" s="74" t="str">
        <f t="shared" si="222"/>
        <v>O</v>
      </c>
      <c r="V422" s="74" t="str">
        <f t="shared" si="223"/>
        <v>O</v>
      </c>
      <c r="W422" s="74" t="str">
        <f t="shared" si="224"/>
        <v>U</v>
      </c>
      <c r="X422" s="74" t="str">
        <f t="shared" si="225"/>
        <v>U</v>
      </c>
      <c r="Z422">
        <v>54</v>
      </c>
      <c r="AA422" s="74" t="str">
        <f t="shared" si="215"/>
        <v>IND/SAC</v>
      </c>
    </row>
    <row r="423" spans="1:27" ht="17.100000000000001" x14ac:dyDescent="0.45">
      <c r="A423" s="50">
        <v>191221</v>
      </c>
      <c r="B423" s="51">
        <v>0.39583333333333331</v>
      </c>
      <c r="C423" s="50" t="s">
        <v>421</v>
      </c>
      <c r="D423" s="50" t="s">
        <v>422</v>
      </c>
      <c r="E423" s="65">
        <v>28</v>
      </c>
      <c r="F423" s="65">
        <v>32</v>
      </c>
      <c r="G423" s="65">
        <v>31</v>
      </c>
      <c r="H423" s="65">
        <v>23</v>
      </c>
      <c r="I423" s="65"/>
      <c r="J423" s="65">
        <v>26</v>
      </c>
      <c r="K423" s="65">
        <v>22</v>
      </c>
      <c r="L423" s="65">
        <v>21</v>
      </c>
      <c r="M423" s="65">
        <v>24</v>
      </c>
      <c r="N423" s="65" t="s">
        <v>427</v>
      </c>
      <c r="O423" s="74">
        <f t="shared" si="216"/>
        <v>114</v>
      </c>
      <c r="P423" s="74">
        <f t="shared" si="217"/>
        <v>93</v>
      </c>
      <c r="Q423" s="74" t="str">
        <f t="shared" si="218"/>
        <v>HW</v>
      </c>
      <c r="R423" s="74" t="str">
        <f t="shared" si="219"/>
        <v>HW</v>
      </c>
      <c r="S423" s="74" t="str">
        <f t="shared" si="220"/>
        <v>HW</v>
      </c>
      <c r="T423" s="74" t="str">
        <f t="shared" si="221"/>
        <v>HL</v>
      </c>
      <c r="U423" s="74" t="str">
        <f t="shared" si="222"/>
        <v>U</v>
      </c>
      <c r="V423" s="74" t="str">
        <f t="shared" si="223"/>
        <v>U</v>
      </c>
      <c r="W423" s="74" t="str">
        <f t="shared" si="224"/>
        <v>U</v>
      </c>
      <c r="X423" s="74" t="str">
        <f t="shared" si="225"/>
        <v>U</v>
      </c>
      <c r="Z423">
        <v>54.5</v>
      </c>
      <c r="AA423" s="74" t="str">
        <f t="shared" si="215"/>
        <v>BOS/DET</v>
      </c>
    </row>
    <row r="424" spans="1:27" ht="17.100000000000001" x14ac:dyDescent="0.45">
      <c r="A424" s="50">
        <v>191221</v>
      </c>
      <c r="B424" s="51">
        <v>0.39583333333333331</v>
      </c>
      <c r="C424" s="50" t="s">
        <v>413</v>
      </c>
      <c r="D424" s="50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16"/>
        <v>122</v>
      </c>
      <c r="P424" s="74">
        <f t="shared" si="217"/>
        <v>118</v>
      </c>
      <c r="Q424" s="74" t="str">
        <f t="shared" si="218"/>
        <v>HW</v>
      </c>
      <c r="R424" s="74" t="str">
        <f t="shared" si="219"/>
        <v>HL</v>
      </c>
      <c r="S424" s="74" t="str">
        <f t="shared" si="220"/>
        <v>HL</v>
      </c>
      <c r="T424" s="74" t="str">
        <f t="shared" si="221"/>
        <v>HL</v>
      </c>
      <c r="U424" s="74" t="str">
        <f t="shared" si="222"/>
        <v>O</v>
      </c>
      <c r="V424" s="74" t="str">
        <f t="shared" si="223"/>
        <v>U</v>
      </c>
      <c r="W424" s="74" t="str">
        <f t="shared" si="224"/>
        <v>O</v>
      </c>
      <c r="X424" s="74" t="str">
        <f t="shared" si="225"/>
        <v>T</v>
      </c>
      <c r="Z424">
        <v>59</v>
      </c>
      <c r="AA424" s="74" t="str">
        <f t="shared" si="215"/>
        <v>TOR/WAS</v>
      </c>
    </row>
    <row r="425" spans="1:27" ht="17.100000000000001" x14ac:dyDescent="0.45">
      <c r="A425" s="50">
        <v>191221</v>
      </c>
      <c r="B425" s="51">
        <v>0.41666666666666669</v>
      </c>
      <c r="C425" s="50" t="s">
        <v>411</v>
      </c>
      <c r="D425" s="50" t="s">
        <v>399</v>
      </c>
      <c r="E425" s="70">
        <v>39</v>
      </c>
      <c r="F425" s="70">
        <v>31</v>
      </c>
      <c r="G425" s="70">
        <v>28</v>
      </c>
      <c r="H425" s="70">
        <v>31</v>
      </c>
      <c r="I425" s="70"/>
      <c r="J425" s="70">
        <v>20</v>
      </c>
      <c r="K425" s="70">
        <v>27</v>
      </c>
      <c r="L425" s="70">
        <v>27</v>
      </c>
      <c r="M425" s="70">
        <v>40</v>
      </c>
      <c r="N425" s="70" t="s">
        <v>427</v>
      </c>
      <c r="O425" s="74">
        <f t="shared" si="216"/>
        <v>129</v>
      </c>
      <c r="P425" s="74">
        <f t="shared" si="217"/>
        <v>114</v>
      </c>
      <c r="Q425" s="74" t="str">
        <f t="shared" si="218"/>
        <v>HW</v>
      </c>
      <c r="R425" s="74" t="str">
        <f t="shared" si="219"/>
        <v>HW</v>
      </c>
      <c r="S425" s="74" t="str">
        <f t="shared" si="220"/>
        <v>HW</v>
      </c>
      <c r="T425" s="74" t="str">
        <f t="shared" si="221"/>
        <v>HL</v>
      </c>
      <c r="U425" s="74" t="str">
        <f t="shared" si="222"/>
        <v>O</v>
      </c>
      <c r="V425" s="74" t="str">
        <f t="shared" si="223"/>
        <v>O</v>
      </c>
      <c r="W425" s="74" t="str">
        <f t="shared" si="224"/>
        <v>U</v>
      </c>
      <c r="X425" s="74" t="str">
        <f t="shared" si="225"/>
        <v>O</v>
      </c>
      <c r="Z425">
        <v>55.5</v>
      </c>
      <c r="AA425" s="74" t="str">
        <f t="shared" si="215"/>
        <v>MIA/NYK</v>
      </c>
    </row>
    <row r="426" spans="1:27" ht="17.100000000000001" x14ac:dyDescent="0.45">
      <c r="A426" s="50">
        <v>191221</v>
      </c>
      <c r="B426" s="51">
        <v>0.41666666666666669</v>
      </c>
      <c r="C426" s="50" t="s">
        <v>401</v>
      </c>
      <c r="D426" s="50" t="s">
        <v>397</v>
      </c>
      <c r="E426" s="72">
        <v>28</v>
      </c>
      <c r="F426" s="72">
        <v>29</v>
      </c>
      <c r="G426" s="72">
        <v>20</v>
      </c>
      <c r="H426" s="72">
        <v>21</v>
      </c>
      <c r="I426" s="72"/>
      <c r="J426" s="72">
        <v>35</v>
      </c>
      <c r="K426" s="72">
        <v>28</v>
      </c>
      <c r="L426" s="72">
        <v>25</v>
      </c>
      <c r="M426" s="72">
        <v>29</v>
      </c>
      <c r="N426" s="72" t="s">
        <v>427</v>
      </c>
      <c r="O426" s="74">
        <f t="shared" si="216"/>
        <v>98</v>
      </c>
      <c r="P426" s="74">
        <f t="shared" si="217"/>
        <v>117</v>
      </c>
      <c r="Q426" s="74" t="str">
        <f t="shared" si="218"/>
        <v>HL</v>
      </c>
      <c r="R426" s="74" t="str">
        <f t="shared" si="219"/>
        <v>HW</v>
      </c>
      <c r="S426" s="74" t="str">
        <f t="shared" si="220"/>
        <v>HL</v>
      </c>
      <c r="T426" s="74" t="str">
        <f t="shared" si="221"/>
        <v>HL</v>
      </c>
      <c r="U426" s="74" t="str">
        <f t="shared" si="222"/>
        <v>O</v>
      </c>
      <c r="V426" s="74" t="str">
        <f t="shared" si="223"/>
        <v>O</v>
      </c>
      <c r="W426" s="74" t="str">
        <f t="shared" si="224"/>
        <v>U</v>
      </c>
      <c r="X426" s="74" t="str">
        <f t="shared" si="225"/>
        <v>U</v>
      </c>
      <c r="Z426">
        <v>54.5</v>
      </c>
      <c r="AA426" s="74" t="str">
        <f t="shared" si="215"/>
        <v>PHI/DAL</v>
      </c>
    </row>
    <row r="427" spans="1:27" ht="17.100000000000001" x14ac:dyDescent="0.45">
      <c r="A427" s="50">
        <v>191221</v>
      </c>
      <c r="B427" s="51">
        <v>0.41666666666666669</v>
      </c>
      <c r="C427" s="50" t="s">
        <v>418</v>
      </c>
      <c r="D427" s="50" t="s">
        <v>404</v>
      </c>
      <c r="E427" s="71">
        <v>26</v>
      </c>
      <c r="F427" s="71">
        <v>31</v>
      </c>
      <c r="G427" s="71">
        <v>44</v>
      </c>
      <c r="H427" s="71">
        <v>25</v>
      </c>
      <c r="I427" s="71"/>
      <c r="J427" s="71">
        <v>23</v>
      </c>
      <c r="K427" s="71">
        <v>27</v>
      </c>
      <c r="L427" s="71">
        <v>41</v>
      </c>
      <c r="M427" s="71">
        <v>17</v>
      </c>
      <c r="N427" s="71" t="s">
        <v>427</v>
      </c>
      <c r="O427" s="74">
        <f t="shared" si="216"/>
        <v>126</v>
      </c>
      <c r="P427" s="74">
        <f t="shared" si="217"/>
        <v>108</v>
      </c>
      <c r="Q427" s="74" t="str">
        <f t="shared" si="218"/>
        <v>HW</v>
      </c>
      <c r="R427" s="74" t="str">
        <f t="shared" si="219"/>
        <v>HW</v>
      </c>
      <c r="S427" s="74" t="str">
        <f t="shared" si="220"/>
        <v>HW</v>
      </c>
      <c r="T427" s="74" t="str">
        <f t="shared" si="221"/>
        <v>HW</v>
      </c>
      <c r="U427" s="74" t="str">
        <f t="shared" si="222"/>
        <v>U</v>
      </c>
      <c r="V427" s="74" t="str">
        <f t="shared" si="223"/>
        <v>O</v>
      </c>
      <c r="W427" s="74" t="str">
        <f t="shared" si="224"/>
        <v>O</v>
      </c>
      <c r="X427" s="74" t="str">
        <f t="shared" si="225"/>
        <v>U</v>
      </c>
      <c r="Z427">
        <v>54</v>
      </c>
      <c r="AA427" s="74" t="str">
        <f t="shared" si="215"/>
        <v>OKC/PHO</v>
      </c>
    </row>
    <row r="428" spans="1:27" ht="17.100000000000001" x14ac:dyDescent="0.45">
      <c r="A428" s="50">
        <v>191221</v>
      </c>
      <c r="B428" s="51">
        <v>0.45833333333333331</v>
      </c>
      <c r="C428" s="50" t="s">
        <v>408</v>
      </c>
      <c r="D428" s="50" t="s">
        <v>420</v>
      </c>
      <c r="E428" s="67">
        <v>33</v>
      </c>
      <c r="F428" s="67">
        <v>28</v>
      </c>
      <c r="G428" s="67">
        <v>21</v>
      </c>
      <c r="H428" s="67">
        <v>27</v>
      </c>
      <c r="I428" s="67"/>
      <c r="J428" s="67">
        <v>20</v>
      </c>
      <c r="K428" s="67">
        <v>31</v>
      </c>
      <c r="L428" s="67">
        <v>24</v>
      </c>
      <c r="M428" s="67">
        <v>25</v>
      </c>
      <c r="N428" s="67" t="s">
        <v>427</v>
      </c>
      <c r="O428" s="74">
        <f t="shared" si="216"/>
        <v>109</v>
      </c>
      <c r="P428" s="74">
        <f t="shared" si="217"/>
        <v>100</v>
      </c>
      <c r="Q428" s="74" t="str">
        <f t="shared" si="218"/>
        <v>HW</v>
      </c>
      <c r="R428" s="74" t="str">
        <f t="shared" si="219"/>
        <v>HL</v>
      </c>
      <c r="S428" s="74" t="str">
        <f t="shared" si="220"/>
        <v>HL</v>
      </c>
      <c r="T428" s="74" t="str">
        <f t="shared" si="221"/>
        <v>HW</v>
      </c>
      <c r="U428" s="74" t="str">
        <f t="shared" si="222"/>
        <v>U</v>
      </c>
      <c r="V428" s="74" t="str">
        <f t="shared" si="223"/>
        <v>O</v>
      </c>
      <c r="W428" s="74" t="str">
        <f t="shared" si="224"/>
        <v>U</v>
      </c>
      <c r="X428" s="74" t="str">
        <f t="shared" si="225"/>
        <v>U</v>
      </c>
      <c r="Z428">
        <v>55.5</v>
      </c>
      <c r="AA428" s="74" t="str">
        <f t="shared" si="215"/>
        <v>DEN/MIN</v>
      </c>
    </row>
    <row r="429" spans="1:27" ht="17.100000000000001" x14ac:dyDescent="0.45">
      <c r="A429" s="50">
        <v>191221</v>
      </c>
      <c r="B429" s="51">
        <v>0.5</v>
      </c>
      <c r="C429" s="50" t="s">
        <v>417</v>
      </c>
      <c r="D429" s="50" t="s">
        <v>424</v>
      </c>
      <c r="E429" s="73">
        <v>31</v>
      </c>
      <c r="F429" s="73">
        <v>26</v>
      </c>
      <c r="G429" s="73">
        <v>36</v>
      </c>
      <c r="H429" s="73">
        <v>25</v>
      </c>
      <c r="I429" s="73"/>
      <c r="J429" s="73">
        <v>13</v>
      </c>
      <c r="K429" s="73">
        <v>31</v>
      </c>
      <c r="L429" s="73">
        <v>31</v>
      </c>
      <c r="M429" s="73">
        <v>28</v>
      </c>
      <c r="N429" s="73" t="s">
        <v>427</v>
      </c>
      <c r="O429" s="74">
        <f t="shared" si="216"/>
        <v>118</v>
      </c>
      <c r="P429" s="74">
        <f t="shared" si="217"/>
        <v>103</v>
      </c>
      <c r="Q429" s="74" t="str">
        <f t="shared" si="218"/>
        <v>HW</v>
      </c>
      <c r="R429" s="74" t="str">
        <f t="shared" si="219"/>
        <v>HL</v>
      </c>
      <c r="S429" s="74" t="str">
        <f t="shared" si="220"/>
        <v>HW</v>
      </c>
      <c r="T429" s="74" t="str">
        <f t="shared" si="221"/>
        <v>HL</v>
      </c>
      <c r="U429" s="74" t="str">
        <f t="shared" si="222"/>
        <v>U</v>
      </c>
      <c r="V429" s="74" t="str">
        <f t="shared" si="223"/>
        <v>O</v>
      </c>
      <c r="W429" s="74" t="str">
        <f t="shared" si="224"/>
        <v>O</v>
      </c>
      <c r="X429" s="74" t="str">
        <f t="shared" si="225"/>
        <v>U</v>
      </c>
      <c r="Z429">
        <v>56</v>
      </c>
      <c r="AA429" s="74" t="str">
        <f t="shared" si="215"/>
        <v>POR/ORL</v>
      </c>
    </row>
    <row r="430" spans="1:27" ht="17.100000000000001" x14ac:dyDescent="0.45">
      <c r="A430" s="50">
        <v>191221</v>
      </c>
      <c r="B430" s="51">
        <v>0.52083333333333337</v>
      </c>
      <c r="C430" s="50" t="s">
        <v>425</v>
      </c>
      <c r="D430" s="50" t="s">
        <v>398</v>
      </c>
      <c r="E430" s="68">
        <v>31</v>
      </c>
      <c r="F430" s="68">
        <v>25</v>
      </c>
      <c r="G430" s="68">
        <v>22</v>
      </c>
      <c r="H430" s="68">
        <v>28</v>
      </c>
      <c r="I430" s="68"/>
      <c r="J430" s="68">
        <v>16</v>
      </c>
      <c r="K430" s="68">
        <v>28</v>
      </c>
      <c r="L430" s="68">
        <v>37</v>
      </c>
      <c r="M430" s="68">
        <v>21</v>
      </c>
      <c r="N430" s="68" t="s">
        <v>427</v>
      </c>
      <c r="O430" s="74">
        <f t="shared" si="216"/>
        <v>106</v>
      </c>
      <c r="P430" s="74">
        <f t="shared" si="217"/>
        <v>102</v>
      </c>
      <c r="Q430" s="74" t="str">
        <f t="shared" si="218"/>
        <v>HW</v>
      </c>
      <c r="R430" s="74" t="str">
        <f t="shared" si="219"/>
        <v>HL</v>
      </c>
      <c r="S430" s="74" t="str">
        <f t="shared" si="220"/>
        <v>HL</v>
      </c>
      <c r="T430" s="74" t="str">
        <f t="shared" si="221"/>
        <v>HW</v>
      </c>
      <c r="U430" s="74" t="str">
        <f t="shared" si="222"/>
        <v>U</v>
      </c>
      <c r="V430" s="74" t="str">
        <f t="shared" si="223"/>
        <v>U</v>
      </c>
      <c r="W430" s="74" t="str">
        <f t="shared" si="224"/>
        <v>O</v>
      </c>
      <c r="X430" s="74" t="str">
        <f t="shared" si="225"/>
        <v>U</v>
      </c>
      <c r="Z430">
        <v>57.5</v>
      </c>
      <c r="AA430" s="74" t="str">
        <f t="shared" si="215"/>
        <v>GS/NO</v>
      </c>
    </row>
    <row r="431" spans="1:27" ht="17.100000000000001" x14ac:dyDescent="0.45">
      <c r="A431" s="50">
        <v>191222</v>
      </c>
      <c r="B431" s="51">
        <v>0.29166666666666669</v>
      </c>
      <c r="C431" s="13" t="s">
        <v>428</v>
      </c>
      <c r="D431" s="15" t="s">
        <v>405</v>
      </c>
      <c r="E431" s="186">
        <v>33</v>
      </c>
      <c r="F431" s="186">
        <v>31</v>
      </c>
      <c r="G431" s="186">
        <v>22</v>
      </c>
      <c r="H431" s="186">
        <v>21</v>
      </c>
      <c r="I431" s="186"/>
      <c r="J431" s="186">
        <v>31</v>
      </c>
      <c r="K431" s="186">
        <v>25</v>
      </c>
      <c r="L431" s="186">
        <v>28</v>
      </c>
      <c r="M431" s="186">
        <v>30</v>
      </c>
      <c r="N431" s="186" t="s">
        <v>427</v>
      </c>
      <c r="O431" s="186">
        <f t="shared" ref="O431:O494" si="226">SUM(E431:I431)</f>
        <v>107</v>
      </c>
      <c r="P431" s="186">
        <f t="shared" ref="P431:P494" si="227">SUM(J431:N431)</f>
        <v>114</v>
      </c>
      <c r="Q431" s="186" t="str">
        <f t="shared" ref="Q431:Q494" si="228">IF(E431=J431,"TT",IF(E431&gt;J431,"HW","HL"))</f>
        <v>HW</v>
      </c>
      <c r="R431" s="186" t="str">
        <f t="shared" ref="R431:R494" si="229">IF(F431=K431,"TT",IF(F431&gt;K431,"HW","HL"))</f>
        <v>HW</v>
      </c>
      <c r="S431" s="186" t="str">
        <f t="shared" ref="S431:S494" si="230">IF(G431=L431,"TT",IF(G431&gt;L431,"HW","HL"))</f>
        <v>HL</v>
      </c>
      <c r="T431" s="186" t="str">
        <f t="shared" ref="T431:T494" si="231">IF(H431=M431,"TT",IF(H431&gt;M431,"HW","HL"))</f>
        <v>HL</v>
      </c>
      <c r="U431" s="186" t="str">
        <f t="shared" ref="U431:U494" si="232">IF(SUM(E431,J431)=$Z431,"T",IF(SUM(E431,J431)&gt;$Z431,"O","U"))</f>
        <v>O</v>
      </c>
      <c r="V431" s="186" t="str">
        <f t="shared" ref="V431:V494" si="233">IF(SUM(F431,K431)=$Z431,"T",IF(SUM(F431,K431)&gt;$Z431,"O","U"))</f>
        <v>O</v>
      </c>
      <c r="W431" s="186" t="str">
        <f t="shared" ref="W431:W494" si="234">IF(SUM(G431,L431)=$Z431,"T",IF(SUM(G431,L431)&gt;$Z431,"O","U"))</f>
        <v>U</v>
      </c>
      <c r="X431" s="186" t="str">
        <f t="shared" ref="X431:X494" si="235">IF(SUM(H431,M431)=$Z431,"T",IF(SUM(H431,M431)&gt;$Z431,"O","U"))</f>
        <v>U</v>
      </c>
      <c r="Y431">
        <v>208.5</v>
      </c>
      <c r="Z431">
        <v>52.5</v>
      </c>
      <c r="AA431" s="74" t="str">
        <f t="shared" si="215"/>
        <v>CHA/UTA</v>
      </c>
    </row>
    <row r="432" spans="1:27" ht="17.100000000000001" x14ac:dyDescent="0.45">
      <c r="A432" s="50">
        <v>191222</v>
      </c>
      <c r="B432" s="51">
        <v>0.33333333333333331</v>
      </c>
      <c r="C432" s="15" t="s">
        <v>407</v>
      </c>
      <c r="D432" s="50" t="s">
        <v>410</v>
      </c>
      <c r="E432" s="186">
        <v>34</v>
      </c>
      <c r="F432" s="186">
        <v>26</v>
      </c>
      <c r="G432" s="186">
        <v>25</v>
      </c>
      <c r="H432" s="186">
        <v>37</v>
      </c>
      <c r="I432" s="186"/>
      <c r="J432" s="186">
        <v>34</v>
      </c>
      <c r="K432" s="186">
        <v>39</v>
      </c>
      <c r="L432" s="186">
        <v>25</v>
      </c>
      <c r="M432" s="186">
        <v>14</v>
      </c>
      <c r="N432" s="186"/>
      <c r="O432" s="186">
        <f t="shared" si="226"/>
        <v>122</v>
      </c>
      <c r="P432" s="186">
        <f t="shared" si="227"/>
        <v>112</v>
      </c>
      <c r="Q432" s="186" t="str">
        <f t="shared" si="228"/>
        <v>TT</v>
      </c>
      <c r="R432" s="186" t="str">
        <f t="shared" si="229"/>
        <v>HL</v>
      </c>
      <c r="S432" s="186" t="str">
        <f t="shared" si="230"/>
        <v>TT</v>
      </c>
      <c r="T432" s="186" t="str">
        <f t="shared" si="231"/>
        <v>HW</v>
      </c>
      <c r="U432" s="186" t="str">
        <f t="shared" si="232"/>
        <v>O</v>
      </c>
      <c r="V432" s="186" t="str">
        <f t="shared" si="233"/>
        <v>O</v>
      </c>
      <c r="W432" s="186" t="str">
        <f t="shared" si="234"/>
        <v>U</v>
      </c>
      <c r="X432" s="186" t="str">
        <f t="shared" si="235"/>
        <v>U</v>
      </c>
      <c r="Y432">
        <v>231</v>
      </c>
      <c r="Z432" s="98">
        <v>58</v>
      </c>
      <c r="AA432" s="74" t="str">
        <f t="shared" si="215"/>
        <v>BKN/ATL</v>
      </c>
    </row>
    <row r="433" spans="1:27" ht="17.100000000000001" x14ac:dyDescent="0.45">
      <c r="A433" s="50">
        <v>191222</v>
      </c>
      <c r="B433" s="51">
        <v>0.375</v>
      </c>
      <c r="C433" s="15" t="s">
        <v>422</v>
      </c>
      <c r="D433" s="13" t="s">
        <v>412</v>
      </c>
      <c r="E433" s="186">
        <v>28</v>
      </c>
      <c r="F433" s="186">
        <v>31</v>
      </c>
      <c r="G433" s="186">
        <v>30</v>
      </c>
      <c r="H433" s="186">
        <v>18</v>
      </c>
      <c r="I433" s="186"/>
      <c r="J433" s="186">
        <v>25</v>
      </c>
      <c r="K433" s="186">
        <v>28</v>
      </c>
      <c r="L433" s="186">
        <v>40</v>
      </c>
      <c r="M433" s="186">
        <v>26</v>
      </c>
      <c r="N433" s="186" t="s">
        <v>427</v>
      </c>
      <c r="O433" s="186">
        <f t="shared" si="226"/>
        <v>107</v>
      </c>
      <c r="P433" s="186">
        <f t="shared" si="227"/>
        <v>119</v>
      </c>
      <c r="Q433" s="186" t="str">
        <f t="shared" si="228"/>
        <v>HW</v>
      </c>
      <c r="R433" s="186" t="str">
        <f t="shared" si="229"/>
        <v>HW</v>
      </c>
      <c r="S433" s="186" t="str">
        <f t="shared" si="230"/>
        <v>HL</v>
      </c>
      <c r="T433" s="186" t="str">
        <f t="shared" si="231"/>
        <v>HL</v>
      </c>
      <c r="U433" s="186" t="str">
        <f t="shared" si="232"/>
        <v>O</v>
      </c>
      <c r="V433" s="186" t="str">
        <f t="shared" si="233"/>
        <v>O</v>
      </c>
      <c r="W433" s="186" t="str">
        <f t="shared" si="234"/>
        <v>O</v>
      </c>
      <c r="X433" s="186" t="str">
        <f t="shared" si="235"/>
        <v>U</v>
      </c>
      <c r="Y433">
        <v>209</v>
      </c>
      <c r="Z433" s="98">
        <v>52.5</v>
      </c>
      <c r="AA433" s="74" t="str">
        <f t="shared" si="215"/>
        <v>DET/CHI</v>
      </c>
    </row>
    <row r="434" spans="1:27" ht="17.100000000000001" x14ac:dyDescent="0.45">
      <c r="A434" s="50">
        <v>191222</v>
      </c>
      <c r="B434" s="51">
        <v>0.375</v>
      </c>
      <c r="C434" s="5" t="s">
        <v>401</v>
      </c>
      <c r="D434" s="50" t="s">
        <v>414</v>
      </c>
      <c r="E434" s="186">
        <v>32</v>
      </c>
      <c r="F434" s="186">
        <v>33</v>
      </c>
      <c r="G434" s="186">
        <v>23</v>
      </c>
      <c r="H434" s="186">
        <v>37</v>
      </c>
      <c r="I434" s="186"/>
      <c r="J434" s="186">
        <v>25</v>
      </c>
      <c r="K434" s="186">
        <v>28</v>
      </c>
      <c r="L434" s="186">
        <v>27</v>
      </c>
      <c r="M434" s="186">
        <v>28</v>
      </c>
      <c r="N434" s="186" t="s">
        <v>427</v>
      </c>
      <c r="O434" s="186">
        <f t="shared" si="226"/>
        <v>125</v>
      </c>
      <c r="P434" s="186">
        <f t="shared" si="227"/>
        <v>108</v>
      </c>
      <c r="Q434" s="186" t="str">
        <f t="shared" si="228"/>
        <v>HW</v>
      </c>
      <c r="R434" s="186" t="str">
        <f t="shared" si="229"/>
        <v>HW</v>
      </c>
      <c r="S434" s="186" t="str">
        <f t="shared" si="230"/>
        <v>HL</v>
      </c>
      <c r="T434" s="186" t="str">
        <f t="shared" si="231"/>
        <v>HW</v>
      </c>
      <c r="U434" s="186" t="str">
        <f t="shared" si="232"/>
        <v>T</v>
      </c>
      <c r="V434" s="186" t="str">
        <f t="shared" si="233"/>
        <v>O</v>
      </c>
      <c r="W434" s="186" t="str">
        <f t="shared" si="234"/>
        <v>U</v>
      </c>
      <c r="X434" s="186" t="str">
        <f t="shared" si="235"/>
        <v>O</v>
      </c>
      <c r="Y434">
        <v>227</v>
      </c>
      <c r="Z434" s="98">
        <v>57</v>
      </c>
      <c r="AA434" s="74" t="str">
        <f t="shared" si="215"/>
        <v>PHI/WAS</v>
      </c>
    </row>
    <row r="435" spans="1:27" ht="17.100000000000001" x14ac:dyDescent="0.45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86">
        <v>23</v>
      </c>
      <c r="F435" s="186">
        <v>31</v>
      </c>
      <c r="G435" s="186">
        <v>16</v>
      </c>
      <c r="H435" s="186">
        <v>32</v>
      </c>
      <c r="I435" s="186"/>
      <c r="J435" s="186">
        <v>37</v>
      </c>
      <c r="K435" s="186">
        <v>31</v>
      </c>
      <c r="L435" s="186">
        <v>27</v>
      </c>
      <c r="M435" s="186">
        <v>28</v>
      </c>
      <c r="N435" s="186" t="s">
        <v>427</v>
      </c>
      <c r="O435" s="186">
        <f t="shared" si="226"/>
        <v>102</v>
      </c>
      <c r="P435" s="186">
        <f t="shared" si="227"/>
        <v>123</v>
      </c>
      <c r="Q435" s="186" t="str">
        <f t="shared" si="228"/>
        <v>HL</v>
      </c>
      <c r="R435" s="186" t="str">
        <f t="shared" si="229"/>
        <v>TT</v>
      </c>
      <c r="S435" s="186" t="str">
        <f t="shared" si="230"/>
        <v>HL</v>
      </c>
      <c r="T435" s="186" t="str">
        <f t="shared" si="231"/>
        <v>HW</v>
      </c>
      <c r="U435" s="186" t="str">
        <f t="shared" si="232"/>
        <v>O</v>
      </c>
      <c r="V435" s="186" t="str">
        <f t="shared" si="233"/>
        <v>O</v>
      </c>
      <c r="W435" s="186" t="str">
        <f t="shared" si="234"/>
        <v>U</v>
      </c>
      <c r="X435" s="186" t="str">
        <f t="shared" si="235"/>
        <v>O</v>
      </c>
      <c r="Y435">
        <v>227</v>
      </c>
      <c r="Z435" s="98">
        <v>57</v>
      </c>
      <c r="AA435" s="74" t="str">
        <f t="shared" si="215"/>
        <v>NYK/MIL</v>
      </c>
    </row>
    <row r="436" spans="1:27" ht="17.100000000000001" x14ac:dyDescent="0.45">
      <c r="A436" s="50">
        <v>191222</v>
      </c>
      <c r="B436" s="51">
        <v>0.41666666666666669</v>
      </c>
      <c r="C436" s="5" t="s">
        <v>406</v>
      </c>
      <c r="D436" s="50" t="s">
        <v>416</v>
      </c>
      <c r="E436" s="186">
        <v>23</v>
      </c>
      <c r="F436" s="186">
        <v>37</v>
      </c>
      <c r="G436" s="186">
        <v>31</v>
      </c>
      <c r="H436" s="186">
        <v>28</v>
      </c>
      <c r="I436" s="186"/>
      <c r="J436" s="186">
        <v>21</v>
      </c>
      <c r="K436" s="186">
        <v>29</v>
      </c>
      <c r="L436" s="186">
        <v>28</v>
      </c>
      <c r="M436" s="186">
        <v>37</v>
      </c>
      <c r="N436" s="186" t="s">
        <v>427</v>
      </c>
      <c r="O436" s="186">
        <f t="shared" si="226"/>
        <v>119</v>
      </c>
      <c r="P436" s="186">
        <f t="shared" si="227"/>
        <v>115</v>
      </c>
      <c r="Q436" s="186" t="str">
        <f t="shared" si="228"/>
        <v>HW</v>
      </c>
      <c r="R436" s="186" t="str">
        <f t="shared" si="229"/>
        <v>HW</v>
      </c>
      <c r="S436" s="186" t="str">
        <f t="shared" si="230"/>
        <v>HW</v>
      </c>
      <c r="T436" s="186" t="str">
        <f t="shared" si="231"/>
        <v>HL</v>
      </c>
      <c r="U436" s="186" t="str">
        <f t="shared" si="232"/>
        <v>U</v>
      </c>
      <c r="V436" s="186" t="str">
        <f t="shared" si="233"/>
        <v>O</v>
      </c>
      <c r="W436" s="186" t="str">
        <f t="shared" si="234"/>
        <v>O</v>
      </c>
      <c r="X436" s="186" t="str">
        <f t="shared" si="235"/>
        <v>O</v>
      </c>
      <c r="Y436">
        <v>221.5</v>
      </c>
      <c r="Z436" s="98">
        <v>55.5</v>
      </c>
      <c r="AA436" s="74" t="str">
        <f t="shared" si="215"/>
        <v>MEM/SAC</v>
      </c>
    </row>
    <row r="437" spans="1:27" ht="17.100000000000001" x14ac:dyDescent="0.45">
      <c r="A437" s="50">
        <v>191222</v>
      </c>
      <c r="B437" s="51">
        <v>0.4375</v>
      </c>
      <c r="C437" s="15" t="s">
        <v>426</v>
      </c>
      <c r="D437" s="11" t="s">
        <v>415</v>
      </c>
      <c r="E437" s="186">
        <v>31</v>
      </c>
      <c r="F437" s="186">
        <v>30</v>
      </c>
      <c r="G437" s="186">
        <v>22</v>
      </c>
      <c r="H437" s="186">
        <v>26</v>
      </c>
      <c r="I437" s="186"/>
      <c r="J437" s="186">
        <v>33</v>
      </c>
      <c r="K437" s="186">
        <v>39</v>
      </c>
      <c r="L437" s="186">
        <v>38</v>
      </c>
      <c r="M437" s="186">
        <v>24</v>
      </c>
      <c r="N437" s="186" t="s">
        <v>427</v>
      </c>
      <c r="O437" s="186">
        <f t="shared" si="226"/>
        <v>109</v>
      </c>
      <c r="P437" s="186">
        <f t="shared" si="227"/>
        <v>134</v>
      </c>
      <c r="Q437" s="186" t="str">
        <f t="shared" si="228"/>
        <v>HL</v>
      </c>
      <c r="R437" s="186" t="str">
        <f t="shared" si="229"/>
        <v>HL</v>
      </c>
      <c r="S437" s="186" t="str">
        <f t="shared" si="230"/>
        <v>HL</v>
      </c>
      <c r="T437" s="186" t="str">
        <f t="shared" si="231"/>
        <v>HW</v>
      </c>
      <c r="U437" s="186" t="str">
        <f t="shared" si="232"/>
        <v>O</v>
      </c>
      <c r="V437" s="186" t="str">
        <f t="shared" si="233"/>
        <v>O</v>
      </c>
      <c r="W437" s="186" t="str">
        <f t="shared" si="234"/>
        <v>O</v>
      </c>
      <c r="X437" s="186" t="str">
        <f t="shared" si="235"/>
        <v>U</v>
      </c>
      <c r="Y437">
        <v>226</v>
      </c>
      <c r="Z437" s="98">
        <v>56.5</v>
      </c>
      <c r="AA437" s="74" t="str">
        <f t="shared" si="215"/>
        <v>SAS/LAC</v>
      </c>
    </row>
    <row r="438" spans="1:27" ht="17.100000000000001" x14ac:dyDescent="0.45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86">
        <v>35</v>
      </c>
      <c r="F438" s="186">
        <v>30</v>
      </c>
      <c r="G438" s="186">
        <v>30</v>
      </c>
      <c r="H438" s="186">
        <v>30</v>
      </c>
      <c r="I438" s="186"/>
      <c r="J438" s="186">
        <v>36</v>
      </c>
      <c r="K438" s="186">
        <v>34</v>
      </c>
      <c r="L438" s="186">
        <v>36</v>
      </c>
      <c r="M438" s="186">
        <v>33</v>
      </c>
      <c r="N438" s="186" t="s">
        <v>427</v>
      </c>
      <c r="O438" s="186">
        <f t="shared" si="226"/>
        <v>125</v>
      </c>
      <c r="P438" s="186">
        <f t="shared" si="227"/>
        <v>139</v>
      </c>
      <c r="Q438" s="186" t="str">
        <f t="shared" si="228"/>
        <v>HL</v>
      </c>
      <c r="R438" s="186" t="str">
        <f t="shared" si="229"/>
        <v>HL</v>
      </c>
      <c r="S438" s="186" t="str">
        <f t="shared" si="230"/>
        <v>HL</v>
      </c>
      <c r="T438" s="186" t="str">
        <f t="shared" si="231"/>
        <v>HL</v>
      </c>
      <c r="U438" s="186" t="str">
        <f t="shared" si="232"/>
        <v>O</v>
      </c>
      <c r="V438" s="186" t="str">
        <f t="shared" si="233"/>
        <v>O</v>
      </c>
      <c r="W438" s="186" t="str">
        <f t="shared" si="234"/>
        <v>O</v>
      </c>
      <c r="X438" s="186" t="str">
        <f t="shared" si="235"/>
        <v>O</v>
      </c>
      <c r="Y438">
        <v>235</v>
      </c>
      <c r="Z438" s="98">
        <v>59</v>
      </c>
      <c r="AA438" s="74" t="str">
        <f t="shared" si="215"/>
        <v>PHO/HOU</v>
      </c>
    </row>
    <row r="439" spans="1:27" ht="17.100000000000001" x14ac:dyDescent="0.45">
      <c r="A439" s="50">
        <v>191222</v>
      </c>
      <c r="B439" s="51">
        <v>0.5</v>
      </c>
      <c r="C439" s="50" t="s">
        <v>417</v>
      </c>
      <c r="D439" s="50" t="s">
        <v>420</v>
      </c>
      <c r="E439" s="186">
        <v>27</v>
      </c>
      <c r="F439" s="186">
        <v>34</v>
      </c>
      <c r="G439" s="186">
        <v>22</v>
      </c>
      <c r="H439" s="186">
        <v>30</v>
      </c>
      <c r="I439" s="186"/>
      <c r="J439" s="186">
        <v>23</v>
      </c>
      <c r="K439" s="186">
        <v>29</v>
      </c>
      <c r="L439" s="186">
        <v>28</v>
      </c>
      <c r="M439" s="186">
        <v>26</v>
      </c>
      <c r="N439" s="186" t="s">
        <v>427</v>
      </c>
      <c r="O439" s="186">
        <f t="shared" si="226"/>
        <v>113</v>
      </c>
      <c r="P439" s="186">
        <f t="shared" si="227"/>
        <v>106</v>
      </c>
      <c r="Q439" s="186" t="str">
        <f t="shared" si="228"/>
        <v>HW</v>
      </c>
      <c r="R439" s="186" t="str">
        <f t="shared" si="229"/>
        <v>HW</v>
      </c>
      <c r="S439" s="186" t="str">
        <f t="shared" si="230"/>
        <v>HL</v>
      </c>
      <c r="T439" s="186" t="str">
        <f t="shared" si="231"/>
        <v>HW</v>
      </c>
      <c r="U439" s="186" t="str">
        <f t="shared" si="232"/>
        <v>U</v>
      </c>
      <c r="V439" s="186" t="str">
        <f t="shared" si="233"/>
        <v>O</v>
      </c>
      <c r="W439" s="186" t="str">
        <f t="shared" si="234"/>
        <v>U</v>
      </c>
      <c r="X439" s="186" t="str">
        <f t="shared" si="235"/>
        <v>U</v>
      </c>
      <c r="Y439">
        <v>228</v>
      </c>
      <c r="Z439" s="98">
        <v>57</v>
      </c>
      <c r="AA439" s="74" t="str">
        <f t="shared" si="215"/>
        <v>POR/MIN</v>
      </c>
    </row>
    <row r="440" spans="1:27" ht="17.100000000000001" x14ac:dyDescent="0.45">
      <c r="A440" s="74">
        <v>191223</v>
      </c>
      <c r="B440" s="77">
        <v>0.22916666666666666</v>
      </c>
      <c r="C440" s="76" t="s">
        <v>413</v>
      </c>
      <c r="D440" s="76" t="s">
        <v>397</v>
      </c>
      <c r="E440" s="186">
        <v>20</v>
      </c>
      <c r="F440" s="186">
        <v>22</v>
      </c>
      <c r="G440" s="186">
        <v>21</v>
      </c>
      <c r="H440" s="186">
        <v>47</v>
      </c>
      <c r="I440" s="186"/>
      <c r="J440" s="186">
        <v>17</v>
      </c>
      <c r="K440" s="186">
        <v>34</v>
      </c>
      <c r="L440" s="186">
        <v>35</v>
      </c>
      <c r="M440" s="186">
        <v>21</v>
      </c>
      <c r="N440" s="186" t="s">
        <v>427</v>
      </c>
      <c r="O440" s="186">
        <f t="shared" si="226"/>
        <v>110</v>
      </c>
      <c r="P440" s="186">
        <f t="shared" si="227"/>
        <v>107</v>
      </c>
      <c r="Q440" s="186" t="str">
        <f t="shared" si="228"/>
        <v>HW</v>
      </c>
      <c r="R440" s="186" t="str">
        <f t="shared" si="229"/>
        <v>HL</v>
      </c>
      <c r="S440" s="186" t="str">
        <f t="shared" si="230"/>
        <v>HL</v>
      </c>
      <c r="T440" s="186" t="str">
        <f t="shared" si="231"/>
        <v>HW</v>
      </c>
      <c r="U440" s="186" t="str">
        <f t="shared" si="232"/>
        <v>U</v>
      </c>
      <c r="V440" s="186" t="str">
        <f t="shared" si="233"/>
        <v>O</v>
      </c>
      <c r="W440" s="186" t="str">
        <f t="shared" si="234"/>
        <v>O</v>
      </c>
      <c r="X440" s="186" t="str">
        <f t="shared" si="235"/>
        <v>O</v>
      </c>
      <c r="Y440">
        <v>218.5</v>
      </c>
      <c r="Z440" s="98">
        <v>55</v>
      </c>
      <c r="AA440" s="90" t="str">
        <f t="shared" si="215"/>
        <v>TOR/DAL</v>
      </c>
    </row>
    <row r="441" spans="1:27" ht="17.100000000000001" x14ac:dyDescent="0.45">
      <c r="A441" s="76">
        <v>191223</v>
      </c>
      <c r="B441" s="77">
        <v>0.33333333333333331</v>
      </c>
      <c r="C441" s="76" t="s">
        <v>421</v>
      </c>
      <c r="D441" s="76" t="s">
        <v>409</v>
      </c>
      <c r="E441" s="186">
        <v>30</v>
      </c>
      <c r="F441" s="186">
        <v>29</v>
      </c>
      <c r="G441" s="186">
        <v>25</v>
      </c>
      <c r="H441" s="186">
        <v>35</v>
      </c>
      <c r="I441" s="186"/>
      <c r="J441" s="186">
        <v>37</v>
      </c>
      <c r="K441" s="186">
        <v>19</v>
      </c>
      <c r="L441" s="186">
        <v>21</v>
      </c>
      <c r="M441" s="186">
        <v>16</v>
      </c>
      <c r="N441" s="186" t="s">
        <v>427</v>
      </c>
      <c r="O441" s="186">
        <f t="shared" si="226"/>
        <v>119</v>
      </c>
      <c r="P441" s="186">
        <f t="shared" si="227"/>
        <v>93</v>
      </c>
      <c r="Q441" s="186" t="str">
        <f t="shared" si="228"/>
        <v>HL</v>
      </c>
      <c r="R441" s="186" t="str">
        <f t="shared" si="229"/>
        <v>HW</v>
      </c>
      <c r="S441" s="186" t="str">
        <f t="shared" si="230"/>
        <v>HW</v>
      </c>
      <c r="T441" s="186" t="str">
        <f t="shared" si="231"/>
        <v>HW</v>
      </c>
      <c r="U441" s="186" t="str">
        <f t="shared" si="232"/>
        <v>O</v>
      </c>
      <c r="V441" s="186" t="str">
        <f t="shared" si="233"/>
        <v>U</v>
      </c>
      <c r="W441" s="186" t="str">
        <f t="shared" si="234"/>
        <v>U</v>
      </c>
      <c r="X441" s="186" t="str">
        <f t="shared" si="235"/>
        <v>U</v>
      </c>
      <c r="Y441">
        <v>209.5</v>
      </c>
      <c r="Z441" s="98">
        <v>52.5</v>
      </c>
      <c r="AA441" s="90" t="str">
        <f t="shared" si="215"/>
        <v>BOS/CHA</v>
      </c>
    </row>
    <row r="442" spans="1:27" ht="17.100000000000001" x14ac:dyDescent="0.45">
      <c r="A442" s="76">
        <v>191223</v>
      </c>
      <c r="B442" s="77">
        <v>0.375</v>
      </c>
      <c r="C442" s="76" t="s">
        <v>423</v>
      </c>
      <c r="D442" s="76" t="s">
        <v>400</v>
      </c>
      <c r="E442" s="186">
        <v>21</v>
      </c>
      <c r="F442" s="186">
        <v>38</v>
      </c>
      <c r="G442" s="186">
        <v>24</v>
      </c>
      <c r="H442" s="186">
        <v>34</v>
      </c>
      <c r="I442" s="186"/>
      <c r="J442" s="186">
        <v>22</v>
      </c>
      <c r="K442" s="186">
        <v>33</v>
      </c>
      <c r="L442" s="186">
        <v>18</v>
      </c>
      <c r="M442" s="186">
        <v>16</v>
      </c>
      <c r="N442" s="186"/>
      <c r="O442" s="186">
        <f t="shared" si="226"/>
        <v>117</v>
      </c>
      <c r="P442" s="186">
        <f t="shared" si="227"/>
        <v>89</v>
      </c>
      <c r="Q442" s="186" t="str">
        <f t="shared" si="228"/>
        <v>HL</v>
      </c>
      <c r="R442" s="186" t="str">
        <f t="shared" si="229"/>
        <v>HW</v>
      </c>
      <c r="S442" s="186" t="str">
        <f t="shared" si="230"/>
        <v>HW</v>
      </c>
      <c r="T442" s="186" t="str">
        <f t="shared" si="231"/>
        <v>HW</v>
      </c>
      <c r="U442" s="186" t="str">
        <f t="shared" si="232"/>
        <v>U</v>
      </c>
      <c r="V442" s="186" t="str">
        <f t="shared" si="233"/>
        <v>O</v>
      </c>
      <c r="W442" s="186" t="str">
        <f t="shared" si="234"/>
        <v>U</v>
      </c>
      <c r="X442" s="186" t="str">
        <f t="shared" si="235"/>
        <v>U</v>
      </c>
      <c r="Y442">
        <v>221</v>
      </c>
      <c r="Z442" s="98">
        <v>55.5</v>
      </c>
      <c r="AA442" s="90" t="str">
        <f t="shared" si="215"/>
        <v>MIL/IND</v>
      </c>
    </row>
    <row r="443" spans="1:27" ht="17.100000000000001" x14ac:dyDescent="0.45">
      <c r="A443" s="76">
        <v>191223</v>
      </c>
      <c r="B443" s="77">
        <v>0.375</v>
      </c>
      <c r="C443" s="76" t="s">
        <v>418</v>
      </c>
      <c r="D443" s="76" t="s">
        <v>415</v>
      </c>
      <c r="E443" s="186">
        <v>27</v>
      </c>
      <c r="F443" s="186">
        <v>30</v>
      </c>
      <c r="G443" s="186">
        <v>29</v>
      </c>
      <c r="H443" s="186">
        <v>32</v>
      </c>
      <c r="I443" s="186"/>
      <c r="J443" s="186">
        <v>33</v>
      </c>
      <c r="K443" s="186">
        <v>30</v>
      </c>
      <c r="L443" s="186">
        <v>26</v>
      </c>
      <c r="M443" s="186">
        <v>23</v>
      </c>
      <c r="N443" s="186" t="s">
        <v>427</v>
      </c>
      <c r="O443" s="186">
        <f t="shared" si="226"/>
        <v>118</v>
      </c>
      <c r="P443" s="186">
        <f t="shared" si="227"/>
        <v>112</v>
      </c>
      <c r="Q443" s="186" t="str">
        <f t="shared" si="228"/>
        <v>HL</v>
      </c>
      <c r="R443" s="186" t="str">
        <f t="shared" si="229"/>
        <v>TT</v>
      </c>
      <c r="S443" s="186" t="str">
        <f t="shared" si="230"/>
        <v>HW</v>
      </c>
      <c r="T443" s="186" t="str">
        <f t="shared" si="231"/>
        <v>HW</v>
      </c>
      <c r="U443" s="186" t="str">
        <f t="shared" si="232"/>
        <v>O</v>
      </c>
      <c r="V443" s="186" t="str">
        <f t="shared" si="233"/>
        <v>O</v>
      </c>
      <c r="W443" s="186" t="str">
        <f t="shared" si="234"/>
        <v>U</v>
      </c>
      <c r="X443" s="186" t="str">
        <f t="shared" si="235"/>
        <v>U</v>
      </c>
      <c r="Y443">
        <v>223.5</v>
      </c>
      <c r="Z443" s="98">
        <v>56</v>
      </c>
      <c r="AA443" s="90" t="str">
        <f t="shared" si="215"/>
        <v>OKC/LAC</v>
      </c>
    </row>
    <row r="444" spans="1:27" ht="17.100000000000001" x14ac:dyDescent="0.45">
      <c r="A444" s="76">
        <v>191223</v>
      </c>
      <c r="B444" s="77">
        <v>0.47916666666666669</v>
      </c>
      <c r="C444" s="76" t="s">
        <v>419</v>
      </c>
      <c r="D444" s="76" t="s">
        <v>408</v>
      </c>
      <c r="E444" s="186">
        <v>28</v>
      </c>
      <c r="F444" s="186">
        <v>25</v>
      </c>
      <c r="G444" s="186">
        <v>25</v>
      </c>
      <c r="H444" s="186">
        <v>26</v>
      </c>
      <c r="I444" s="186"/>
      <c r="J444" s="186">
        <v>23</v>
      </c>
      <c r="K444" s="186">
        <v>32</v>
      </c>
      <c r="L444" s="186">
        <v>36</v>
      </c>
      <c r="M444" s="186">
        <v>37</v>
      </c>
      <c r="N444" s="186" t="s">
        <v>427</v>
      </c>
      <c r="O444" s="186">
        <f t="shared" si="226"/>
        <v>104</v>
      </c>
      <c r="P444" s="186">
        <f t="shared" si="227"/>
        <v>128</v>
      </c>
      <c r="Q444" s="186" t="str">
        <f t="shared" si="228"/>
        <v>HW</v>
      </c>
      <c r="R444" s="186" t="str">
        <f t="shared" si="229"/>
        <v>HL</v>
      </c>
      <c r="S444" s="186" t="str">
        <f t="shared" si="230"/>
        <v>HL</v>
      </c>
      <c r="T444" s="186" t="str">
        <f t="shared" si="231"/>
        <v>HL</v>
      </c>
      <c r="U444" s="186" t="str">
        <f t="shared" si="232"/>
        <v>U</v>
      </c>
      <c r="V444" s="186" t="str">
        <f t="shared" si="233"/>
        <v>O</v>
      </c>
      <c r="W444" s="186" t="str">
        <f t="shared" si="234"/>
        <v>O</v>
      </c>
      <c r="X444" s="186" t="str">
        <f t="shared" si="235"/>
        <v>O</v>
      </c>
      <c r="Y444">
        <v>208</v>
      </c>
      <c r="Z444" s="98">
        <v>52</v>
      </c>
      <c r="AA444" s="90" t="str">
        <f t="shared" si="215"/>
        <v>LAL/DEN</v>
      </c>
    </row>
    <row r="445" spans="1:27" ht="17.100000000000001" x14ac:dyDescent="0.45">
      <c r="A445" s="76">
        <v>191224</v>
      </c>
      <c r="B445" s="79">
        <v>0.375</v>
      </c>
      <c r="C445" s="78" t="s">
        <v>402</v>
      </c>
      <c r="D445" s="78" t="s">
        <v>410</v>
      </c>
      <c r="E445" s="186">
        <v>42</v>
      </c>
      <c r="F445" s="186">
        <v>29</v>
      </c>
      <c r="G445" s="186">
        <v>23</v>
      </c>
      <c r="H445" s="186">
        <v>27</v>
      </c>
      <c r="I445" s="186"/>
      <c r="J445" s="186">
        <v>32</v>
      </c>
      <c r="K445" s="186">
        <v>32</v>
      </c>
      <c r="L445" s="186">
        <v>30</v>
      </c>
      <c r="M445" s="186">
        <v>24</v>
      </c>
      <c r="N445" s="186" t="s">
        <v>427</v>
      </c>
      <c r="O445" s="186">
        <f t="shared" si="226"/>
        <v>121</v>
      </c>
      <c r="P445" s="186">
        <f t="shared" si="227"/>
        <v>118</v>
      </c>
      <c r="Q445" s="186" t="str">
        <f t="shared" si="228"/>
        <v>HW</v>
      </c>
      <c r="R445" s="186" t="str">
        <f t="shared" si="229"/>
        <v>HL</v>
      </c>
      <c r="S445" s="186" t="str">
        <f t="shared" si="230"/>
        <v>HL</v>
      </c>
      <c r="T445" s="186" t="str">
        <f t="shared" si="231"/>
        <v>HW</v>
      </c>
      <c r="U445" s="186" t="str">
        <f t="shared" si="232"/>
        <v>O</v>
      </c>
      <c r="V445" s="186" t="str">
        <f t="shared" si="233"/>
        <v>O</v>
      </c>
      <c r="W445" s="186" t="str">
        <f t="shared" si="234"/>
        <v>U</v>
      </c>
      <c r="X445" s="186" t="str">
        <f t="shared" si="235"/>
        <v>U</v>
      </c>
      <c r="Y445">
        <v>229.5</v>
      </c>
      <c r="Z445" s="98">
        <v>57.5</v>
      </c>
      <c r="AA445" s="90" t="str">
        <f t="shared" si="215"/>
        <v>CLE/ATL</v>
      </c>
    </row>
    <row r="446" spans="1:27" ht="17.100000000000001" x14ac:dyDescent="0.45">
      <c r="A446" s="78">
        <v>191224</v>
      </c>
      <c r="B446" s="79">
        <v>0.375</v>
      </c>
      <c r="C446" s="78" t="s">
        <v>422</v>
      </c>
      <c r="D446" s="78" t="s">
        <v>401</v>
      </c>
      <c r="E446" s="186">
        <v>23</v>
      </c>
      <c r="F446" s="186">
        <v>29</v>
      </c>
      <c r="G446" s="186">
        <v>34</v>
      </c>
      <c r="H446" s="186">
        <v>23</v>
      </c>
      <c r="I446" s="186"/>
      <c r="J446" s="186">
        <v>30</v>
      </c>
      <c r="K446" s="186">
        <v>30</v>
      </c>
      <c r="L446" s="186">
        <v>34</v>
      </c>
      <c r="M446" s="186">
        <v>31</v>
      </c>
      <c r="N446" s="186" t="s">
        <v>427</v>
      </c>
      <c r="O446" s="186">
        <f t="shared" si="226"/>
        <v>109</v>
      </c>
      <c r="P446" s="186">
        <f t="shared" si="227"/>
        <v>125</v>
      </c>
      <c r="Q446" s="186" t="str">
        <f t="shared" si="228"/>
        <v>HL</v>
      </c>
      <c r="R446" s="186" t="str">
        <f t="shared" si="229"/>
        <v>HL</v>
      </c>
      <c r="S446" s="186" t="str">
        <f t="shared" si="230"/>
        <v>TT</v>
      </c>
      <c r="T446" s="186" t="str">
        <f t="shared" si="231"/>
        <v>HL</v>
      </c>
      <c r="U446" s="186" t="str">
        <f t="shared" si="232"/>
        <v>U</v>
      </c>
      <c r="V446" s="186" t="str">
        <f t="shared" si="233"/>
        <v>O</v>
      </c>
      <c r="W446" s="186" t="str">
        <f t="shared" si="234"/>
        <v>O</v>
      </c>
      <c r="X446" s="186" t="str">
        <f t="shared" si="235"/>
        <v>T</v>
      </c>
      <c r="Y446">
        <v>215</v>
      </c>
      <c r="Z446" s="98">
        <v>54</v>
      </c>
      <c r="AA446" s="90" t="str">
        <f t="shared" si="215"/>
        <v>DET/PHI</v>
      </c>
    </row>
    <row r="447" spans="1:27" ht="17.100000000000001" x14ac:dyDescent="0.45">
      <c r="A447" s="78">
        <v>191224</v>
      </c>
      <c r="B447" s="79">
        <v>0.375</v>
      </c>
      <c r="C447" s="78" t="s">
        <v>400</v>
      </c>
      <c r="D447" s="78" t="s">
        <v>413</v>
      </c>
      <c r="E447" s="186">
        <v>30</v>
      </c>
      <c r="F447" s="186">
        <v>24</v>
      </c>
      <c r="G447" s="186">
        <v>24</v>
      </c>
      <c r="H447" s="186">
        <v>29</v>
      </c>
      <c r="I447" s="186">
        <v>13</v>
      </c>
      <c r="J447" s="186">
        <v>19</v>
      </c>
      <c r="K447" s="186">
        <v>25</v>
      </c>
      <c r="L447" s="186">
        <v>35</v>
      </c>
      <c r="M447" s="186">
        <v>28</v>
      </c>
      <c r="N447" s="186">
        <v>8</v>
      </c>
      <c r="O447" s="186">
        <f t="shared" si="226"/>
        <v>120</v>
      </c>
      <c r="P447" s="186">
        <f t="shared" si="227"/>
        <v>115</v>
      </c>
      <c r="Q447" s="186" t="str">
        <f t="shared" si="228"/>
        <v>HW</v>
      </c>
      <c r="R447" s="186" t="str">
        <f t="shared" si="229"/>
        <v>HL</v>
      </c>
      <c r="S447" s="186" t="str">
        <f t="shared" si="230"/>
        <v>HL</v>
      </c>
      <c r="T447" s="186" t="str">
        <f t="shared" si="231"/>
        <v>HW</v>
      </c>
      <c r="U447" s="186" t="str">
        <f t="shared" si="232"/>
        <v>U</v>
      </c>
      <c r="V447" s="186" t="str">
        <f t="shared" si="233"/>
        <v>U</v>
      </c>
      <c r="W447" s="186" t="str">
        <f t="shared" si="234"/>
        <v>O</v>
      </c>
      <c r="X447" s="186" t="str">
        <f t="shared" si="235"/>
        <v>O</v>
      </c>
      <c r="Y447">
        <v>209.5</v>
      </c>
      <c r="Z447" s="98">
        <v>52.5</v>
      </c>
      <c r="AA447" s="90" t="str">
        <f t="shared" si="215"/>
        <v>IND/TOR</v>
      </c>
    </row>
    <row r="448" spans="1:27" ht="17.100000000000001" x14ac:dyDescent="0.45">
      <c r="A448" s="78">
        <v>191224</v>
      </c>
      <c r="B448" s="79">
        <v>0.375</v>
      </c>
      <c r="C448" s="78" t="s">
        <v>399</v>
      </c>
      <c r="D448" s="78" t="s">
        <v>414</v>
      </c>
      <c r="E448" s="186">
        <v>37</v>
      </c>
      <c r="F448" s="186">
        <v>27</v>
      </c>
      <c r="G448" s="186">
        <v>27</v>
      </c>
      <c r="H448" s="186">
        <v>24</v>
      </c>
      <c r="I448" s="186"/>
      <c r="J448" s="186">
        <v>32</v>
      </c>
      <c r="K448" s="186">
        <v>31</v>
      </c>
      <c r="L448" s="186">
        <v>31</v>
      </c>
      <c r="M448" s="186">
        <v>27</v>
      </c>
      <c r="N448" s="186" t="s">
        <v>427</v>
      </c>
      <c r="O448" s="186">
        <f t="shared" si="226"/>
        <v>115</v>
      </c>
      <c r="P448" s="186">
        <f t="shared" si="227"/>
        <v>121</v>
      </c>
      <c r="Q448" s="186" t="str">
        <f t="shared" si="228"/>
        <v>HW</v>
      </c>
      <c r="R448" s="186" t="str">
        <f t="shared" si="229"/>
        <v>HL</v>
      </c>
      <c r="S448" s="186" t="str">
        <f t="shared" si="230"/>
        <v>HL</v>
      </c>
      <c r="T448" s="186" t="str">
        <f t="shared" si="231"/>
        <v>HL</v>
      </c>
      <c r="U448" s="186" t="str">
        <f t="shared" si="232"/>
        <v>O</v>
      </c>
      <c r="V448" s="186" t="str">
        <f t="shared" si="233"/>
        <v>O</v>
      </c>
      <c r="W448" s="186" t="str">
        <f t="shared" si="234"/>
        <v>O</v>
      </c>
      <c r="X448" s="186" t="str">
        <f t="shared" si="235"/>
        <v>U</v>
      </c>
      <c r="Y448">
        <v>228</v>
      </c>
      <c r="Z448" s="98">
        <v>57</v>
      </c>
      <c r="AA448" s="90" t="str">
        <f t="shared" si="215"/>
        <v>NYK/WAS</v>
      </c>
    </row>
    <row r="449" spans="1:27" ht="17.100000000000001" x14ac:dyDescent="0.45">
      <c r="A449" s="78">
        <v>191224</v>
      </c>
      <c r="B449" s="79">
        <v>0.375</v>
      </c>
      <c r="C449" s="78" t="s">
        <v>424</v>
      </c>
      <c r="D449" s="78" t="s">
        <v>412</v>
      </c>
      <c r="E449" s="186">
        <v>28</v>
      </c>
      <c r="F449" s="186">
        <v>23</v>
      </c>
      <c r="G449" s="186">
        <v>32</v>
      </c>
      <c r="H449" s="186">
        <v>20</v>
      </c>
      <c r="I449" s="186"/>
      <c r="J449" s="186">
        <v>28</v>
      </c>
      <c r="K449" s="186">
        <v>26</v>
      </c>
      <c r="L449" s="186">
        <v>27</v>
      </c>
      <c r="M449" s="186">
        <v>14</v>
      </c>
      <c r="N449" s="186" t="s">
        <v>427</v>
      </c>
      <c r="O449" s="186">
        <f t="shared" si="226"/>
        <v>103</v>
      </c>
      <c r="P449" s="186">
        <f t="shared" si="227"/>
        <v>95</v>
      </c>
      <c r="Q449" s="186" t="str">
        <f t="shared" si="228"/>
        <v>TT</v>
      </c>
      <c r="R449" s="186" t="str">
        <f t="shared" si="229"/>
        <v>HL</v>
      </c>
      <c r="S449" s="186" t="str">
        <f t="shared" si="230"/>
        <v>HW</v>
      </c>
      <c r="T449" s="186" t="str">
        <f t="shared" si="231"/>
        <v>HW</v>
      </c>
      <c r="U449" s="186" t="str">
        <f t="shared" si="232"/>
        <v>O</v>
      </c>
      <c r="V449" s="186" t="str">
        <f t="shared" si="233"/>
        <v>U</v>
      </c>
      <c r="W449" s="186" t="str">
        <f t="shared" si="234"/>
        <v>O</v>
      </c>
      <c r="X449" s="186" t="str">
        <f t="shared" si="235"/>
        <v>U</v>
      </c>
      <c r="Y449">
        <v>205</v>
      </c>
      <c r="Z449" s="98">
        <v>51.5</v>
      </c>
      <c r="AA449" s="90" t="str">
        <f t="shared" si="215"/>
        <v>ORL/CHI</v>
      </c>
    </row>
    <row r="450" spans="1:27" ht="17.100000000000001" x14ac:dyDescent="0.45">
      <c r="A450" s="78">
        <v>191224</v>
      </c>
      <c r="B450" s="79">
        <v>0.39583333333333331</v>
      </c>
      <c r="C450" s="78" t="s">
        <v>411</v>
      </c>
      <c r="D450" s="78" t="s">
        <v>405</v>
      </c>
      <c r="E450" s="186">
        <v>32</v>
      </c>
      <c r="F450" s="186">
        <v>21</v>
      </c>
      <c r="G450" s="186">
        <v>23</v>
      </c>
      <c r="H450" s="186">
        <v>31</v>
      </c>
      <c r="I450" s="186"/>
      <c r="J450" s="186">
        <v>28</v>
      </c>
      <c r="K450" s="186">
        <v>24</v>
      </c>
      <c r="L450" s="186">
        <v>29</v>
      </c>
      <c r="M450" s="186">
        <v>23</v>
      </c>
      <c r="N450" s="186" t="s">
        <v>427</v>
      </c>
      <c r="O450" s="186">
        <f t="shared" si="226"/>
        <v>107</v>
      </c>
      <c r="P450" s="186">
        <f t="shared" si="227"/>
        <v>104</v>
      </c>
      <c r="Q450" s="186" t="str">
        <f t="shared" si="228"/>
        <v>HW</v>
      </c>
      <c r="R450" s="186" t="str">
        <f t="shared" si="229"/>
        <v>HL</v>
      </c>
      <c r="S450" s="186" t="str">
        <f t="shared" si="230"/>
        <v>HL</v>
      </c>
      <c r="T450" s="186" t="str">
        <f t="shared" si="231"/>
        <v>HW</v>
      </c>
      <c r="U450" s="186" t="str">
        <f t="shared" si="232"/>
        <v>O</v>
      </c>
      <c r="V450" s="186" t="str">
        <f t="shared" si="233"/>
        <v>U</v>
      </c>
      <c r="W450" s="186" t="str">
        <f t="shared" si="234"/>
        <v>U</v>
      </c>
      <c r="X450" s="186" t="str">
        <f t="shared" si="235"/>
        <v>O</v>
      </c>
      <c r="Y450">
        <v>213.5</v>
      </c>
      <c r="Z450" s="98">
        <v>53.5</v>
      </c>
      <c r="AA450" s="90" t="str">
        <f t="shared" si="215"/>
        <v>MIA/UTA</v>
      </c>
    </row>
    <row r="451" spans="1:27" ht="17.100000000000001" x14ac:dyDescent="0.45">
      <c r="A451" s="78">
        <v>191224</v>
      </c>
      <c r="B451" s="79">
        <v>0.41666666666666669</v>
      </c>
      <c r="C451" s="78" t="s">
        <v>406</v>
      </c>
      <c r="D451" s="78" t="s">
        <v>426</v>
      </c>
      <c r="E451" s="186">
        <v>31</v>
      </c>
      <c r="F451" s="186">
        <v>30</v>
      </c>
      <c r="G451" s="186">
        <v>28</v>
      </c>
      <c r="H451" s="186">
        <v>26</v>
      </c>
      <c r="I451" s="186"/>
      <c r="J451" s="186">
        <v>46</v>
      </c>
      <c r="K451" s="186">
        <v>26</v>
      </c>
      <c r="L451" s="186">
        <v>36</v>
      </c>
      <c r="M451" s="186">
        <v>37</v>
      </c>
      <c r="N451" s="186" t="s">
        <v>427</v>
      </c>
      <c r="O451" s="186">
        <f t="shared" si="226"/>
        <v>115</v>
      </c>
      <c r="P451" s="186">
        <f t="shared" si="227"/>
        <v>145</v>
      </c>
      <c r="Q451" s="186" t="str">
        <f t="shared" si="228"/>
        <v>HL</v>
      </c>
      <c r="R451" s="186" t="str">
        <f t="shared" si="229"/>
        <v>HW</v>
      </c>
      <c r="S451" s="186" t="str">
        <f t="shared" si="230"/>
        <v>HL</v>
      </c>
      <c r="T451" s="186" t="str">
        <f t="shared" si="231"/>
        <v>HL</v>
      </c>
      <c r="U451" s="186" t="str">
        <f t="shared" si="232"/>
        <v>O</v>
      </c>
      <c r="V451" s="186" t="str">
        <f t="shared" si="233"/>
        <v>U</v>
      </c>
      <c r="W451" s="186" t="str">
        <f t="shared" si="234"/>
        <v>O</v>
      </c>
      <c r="X451" s="186" t="str">
        <f t="shared" si="235"/>
        <v>O</v>
      </c>
      <c r="Y451">
        <v>227</v>
      </c>
      <c r="Z451" s="98">
        <v>57</v>
      </c>
      <c r="AA451" s="90" t="str">
        <f t="shared" si="215"/>
        <v>MEM/SAS</v>
      </c>
    </row>
    <row r="452" spans="1:27" ht="17.100000000000001" x14ac:dyDescent="0.45">
      <c r="A452" s="78">
        <v>191224</v>
      </c>
      <c r="B452" s="79">
        <v>0.45833333333333331</v>
      </c>
      <c r="C452" s="78" t="s">
        <v>404</v>
      </c>
      <c r="D452" s="78" t="s">
        <v>408</v>
      </c>
      <c r="E452" s="186">
        <v>22</v>
      </c>
      <c r="F452" s="186">
        <v>27</v>
      </c>
      <c r="G452" s="186">
        <v>32</v>
      </c>
      <c r="H452" s="186">
        <v>30</v>
      </c>
      <c r="I452" s="186"/>
      <c r="J452" s="186">
        <v>34</v>
      </c>
      <c r="K452" s="186">
        <v>22</v>
      </c>
      <c r="L452" s="186">
        <v>26</v>
      </c>
      <c r="M452" s="186">
        <v>31</v>
      </c>
      <c r="N452" s="186" t="s">
        <v>427</v>
      </c>
      <c r="O452" s="186">
        <f t="shared" si="226"/>
        <v>111</v>
      </c>
      <c r="P452" s="186">
        <f t="shared" si="227"/>
        <v>113</v>
      </c>
      <c r="Q452" s="186" t="str">
        <f t="shared" si="228"/>
        <v>HL</v>
      </c>
      <c r="R452" s="186" t="str">
        <f t="shared" si="229"/>
        <v>HW</v>
      </c>
      <c r="S452" s="186" t="str">
        <f t="shared" si="230"/>
        <v>HW</v>
      </c>
      <c r="T452" s="186" t="str">
        <f t="shared" si="231"/>
        <v>HL</v>
      </c>
      <c r="U452" s="186" t="str">
        <f t="shared" si="232"/>
        <v>O</v>
      </c>
      <c r="V452" s="186" t="str">
        <f t="shared" si="233"/>
        <v>U</v>
      </c>
      <c r="W452" s="186" t="str">
        <f t="shared" si="234"/>
        <v>O</v>
      </c>
      <c r="X452" s="186" t="str">
        <f t="shared" si="235"/>
        <v>O</v>
      </c>
      <c r="Y452">
        <v>218.5</v>
      </c>
      <c r="Z452" s="98">
        <v>55</v>
      </c>
      <c r="AA452" s="90" t="str">
        <f t="shared" si="215"/>
        <v>PHO/DEN</v>
      </c>
    </row>
    <row r="453" spans="1:27" ht="17.100000000000001" x14ac:dyDescent="0.45">
      <c r="A453" s="78">
        <v>191224</v>
      </c>
      <c r="B453" s="79">
        <v>0.5</v>
      </c>
      <c r="C453" s="78" t="s">
        <v>417</v>
      </c>
      <c r="D453" s="78" t="s">
        <v>398</v>
      </c>
      <c r="E453" s="186">
        <v>31</v>
      </c>
      <c r="F453" s="186">
        <v>25</v>
      </c>
      <c r="G453" s="186">
        <v>21</v>
      </c>
      <c r="H453" s="186">
        <v>17</v>
      </c>
      <c r="I453" s="186"/>
      <c r="J453" s="186">
        <v>31</v>
      </c>
      <c r="K453" s="186">
        <v>23</v>
      </c>
      <c r="L453" s="186">
        <v>28</v>
      </c>
      <c r="M453" s="186">
        <v>20</v>
      </c>
      <c r="N453" s="186" t="s">
        <v>427</v>
      </c>
      <c r="O453" s="186">
        <f t="shared" si="226"/>
        <v>94</v>
      </c>
      <c r="P453" s="186">
        <f t="shared" si="227"/>
        <v>102</v>
      </c>
      <c r="Q453" s="186" t="str">
        <f t="shared" si="228"/>
        <v>TT</v>
      </c>
      <c r="R453" s="186" t="str">
        <f t="shared" si="229"/>
        <v>HW</v>
      </c>
      <c r="S453" s="186" t="str">
        <f t="shared" si="230"/>
        <v>HL</v>
      </c>
      <c r="T453" s="186" t="str">
        <f t="shared" si="231"/>
        <v>HL</v>
      </c>
      <c r="U453" s="186" t="str">
        <f t="shared" si="232"/>
        <v>O</v>
      </c>
      <c r="V453" s="186" t="str">
        <f t="shared" si="233"/>
        <v>U</v>
      </c>
      <c r="W453" s="186" t="str">
        <f t="shared" si="234"/>
        <v>U</v>
      </c>
      <c r="X453" s="186" t="str">
        <f t="shared" si="235"/>
        <v>U</v>
      </c>
      <c r="Y453">
        <v>230</v>
      </c>
      <c r="Z453" s="98">
        <v>57.5</v>
      </c>
      <c r="AA453" s="90" t="str">
        <f t="shared" si="215"/>
        <v>POR/NO</v>
      </c>
    </row>
    <row r="454" spans="1:27" ht="17.100000000000001" x14ac:dyDescent="0.45">
      <c r="A454" s="78">
        <v>191224</v>
      </c>
      <c r="B454" s="79">
        <v>0.5</v>
      </c>
      <c r="C454" s="78" t="s">
        <v>416</v>
      </c>
      <c r="D454" s="78" t="s">
        <v>403</v>
      </c>
      <c r="E454" s="186">
        <v>21</v>
      </c>
      <c r="F454" s="186">
        <v>36</v>
      </c>
      <c r="G454" s="186">
        <v>22</v>
      </c>
      <c r="H454" s="186">
        <v>25</v>
      </c>
      <c r="I454" s="186"/>
      <c r="J454" s="186">
        <v>37</v>
      </c>
      <c r="K454" s="186">
        <v>28</v>
      </c>
      <c r="L454" s="186">
        <v>32</v>
      </c>
      <c r="M454" s="186">
        <v>16</v>
      </c>
      <c r="N454" s="186" t="s">
        <v>427</v>
      </c>
      <c r="O454" s="186">
        <f t="shared" si="226"/>
        <v>104</v>
      </c>
      <c r="P454" s="186">
        <f t="shared" si="227"/>
        <v>113</v>
      </c>
      <c r="Q454" s="186" t="str">
        <f t="shared" si="228"/>
        <v>HL</v>
      </c>
      <c r="R454" s="186" t="str">
        <f t="shared" si="229"/>
        <v>HW</v>
      </c>
      <c r="S454" s="186" t="str">
        <f t="shared" si="230"/>
        <v>HL</v>
      </c>
      <c r="T454" s="186" t="str">
        <f t="shared" si="231"/>
        <v>HW</v>
      </c>
      <c r="U454" s="186" t="str">
        <f t="shared" si="232"/>
        <v>O</v>
      </c>
      <c r="V454" s="186" t="str">
        <f t="shared" si="233"/>
        <v>O</v>
      </c>
      <c r="W454" s="186" t="str">
        <f t="shared" si="234"/>
        <v>U</v>
      </c>
      <c r="X454" s="186" t="str">
        <f t="shared" si="235"/>
        <v>U</v>
      </c>
      <c r="Y454">
        <v>230</v>
      </c>
      <c r="Z454" s="98">
        <v>57.5</v>
      </c>
      <c r="AA454" s="90" t="str">
        <f t="shared" si="215"/>
        <v>SAC/HOU</v>
      </c>
    </row>
    <row r="455" spans="1:27" ht="17.100000000000001" x14ac:dyDescent="0.45">
      <c r="A455" s="78">
        <v>191224</v>
      </c>
      <c r="B455" s="79">
        <v>0.52083333333333337</v>
      </c>
      <c r="C455" s="78" t="s">
        <v>425</v>
      </c>
      <c r="D455" s="78" t="s">
        <v>420</v>
      </c>
      <c r="E455" s="186">
        <v>22</v>
      </c>
      <c r="F455" s="186">
        <v>35</v>
      </c>
      <c r="G455" s="186">
        <v>27</v>
      </c>
      <c r="H455" s="186">
        <v>29</v>
      </c>
      <c r="I455" s="186"/>
      <c r="J455" s="186">
        <v>22</v>
      </c>
      <c r="K455" s="186">
        <v>21</v>
      </c>
      <c r="L455" s="186">
        <v>24</v>
      </c>
      <c r="M455" s="186">
        <v>37</v>
      </c>
      <c r="N455" s="186" t="s">
        <v>427</v>
      </c>
      <c r="O455" s="186">
        <f t="shared" si="226"/>
        <v>113</v>
      </c>
      <c r="P455" s="186">
        <f t="shared" si="227"/>
        <v>104</v>
      </c>
      <c r="Q455" s="186" t="str">
        <f t="shared" si="228"/>
        <v>TT</v>
      </c>
      <c r="R455" s="186" t="str">
        <f t="shared" si="229"/>
        <v>HW</v>
      </c>
      <c r="S455" s="186" t="str">
        <f t="shared" si="230"/>
        <v>HW</v>
      </c>
      <c r="T455" s="186" t="str">
        <f t="shared" si="231"/>
        <v>HL</v>
      </c>
      <c r="U455" s="186" t="str">
        <f t="shared" si="232"/>
        <v>U</v>
      </c>
      <c r="V455" s="186" t="str">
        <f t="shared" si="233"/>
        <v>T</v>
      </c>
      <c r="W455" s="186" t="str">
        <f t="shared" si="234"/>
        <v>U</v>
      </c>
      <c r="X455" s="186" t="str">
        <f t="shared" si="235"/>
        <v>O</v>
      </c>
      <c r="Y455">
        <v>222.5</v>
      </c>
      <c r="Z455" s="98">
        <v>56</v>
      </c>
      <c r="AA455" s="90" t="str">
        <f t="shared" si="215"/>
        <v>GS/MIN</v>
      </c>
    </row>
    <row r="456" spans="1:27" ht="17.100000000000001" x14ac:dyDescent="0.45">
      <c r="A456" s="78">
        <v>191226</v>
      </c>
      <c r="B456" s="81">
        <v>8.3333333333333329E-2</v>
      </c>
      <c r="C456" s="80" t="s">
        <v>413</v>
      </c>
      <c r="D456" s="80" t="s">
        <v>421</v>
      </c>
      <c r="E456" s="186">
        <v>19</v>
      </c>
      <c r="F456" s="186">
        <v>28</v>
      </c>
      <c r="G456" s="186">
        <v>22</v>
      </c>
      <c r="H456" s="186">
        <v>33</v>
      </c>
      <c r="I456" s="186"/>
      <c r="J456" s="186">
        <v>28</v>
      </c>
      <c r="K456" s="186">
        <v>27</v>
      </c>
      <c r="L456" s="186">
        <v>33</v>
      </c>
      <c r="M456" s="186">
        <v>30</v>
      </c>
      <c r="N456" s="186" t="s">
        <v>427</v>
      </c>
      <c r="O456" s="186">
        <f t="shared" si="226"/>
        <v>102</v>
      </c>
      <c r="P456" s="186">
        <f t="shared" si="227"/>
        <v>118</v>
      </c>
      <c r="Q456" s="186" t="str">
        <f t="shared" si="228"/>
        <v>HL</v>
      </c>
      <c r="R456" s="186" t="str">
        <f t="shared" si="229"/>
        <v>HW</v>
      </c>
      <c r="S456" s="186" t="str">
        <f t="shared" si="230"/>
        <v>HL</v>
      </c>
      <c r="T456" s="186" t="str">
        <f t="shared" si="231"/>
        <v>HW</v>
      </c>
      <c r="U456" s="186" t="str">
        <f t="shared" si="232"/>
        <v>U</v>
      </c>
      <c r="V456" s="186" t="str">
        <f t="shared" si="233"/>
        <v>O</v>
      </c>
      <c r="W456" s="186" t="str">
        <f t="shared" si="234"/>
        <v>O</v>
      </c>
      <c r="X456" s="186" t="str">
        <f t="shared" si="235"/>
        <v>O</v>
      </c>
      <c r="Z456">
        <v>53</v>
      </c>
      <c r="AA456" s="90" t="str">
        <f t="shared" si="215"/>
        <v>TOR/BOS</v>
      </c>
    </row>
    <row r="457" spans="1:27" ht="17.100000000000001" x14ac:dyDescent="0.45">
      <c r="A457" s="80">
        <v>191226</v>
      </c>
      <c r="B457" s="81">
        <v>0.1875</v>
      </c>
      <c r="C457" s="80" t="s">
        <v>401</v>
      </c>
      <c r="D457" s="80" t="s">
        <v>423</v>
      </c>
      <c r="E457" s="186">
        <v>38</v>
      </c>
      <c r="F457" s="186">
        <v>31</v>
      </c>
      <c r="G457" s="186">
        <v>31</v>
      </c>
      <c r="H457" s="186">
        <v>21</v>
      </c>
      <c r="I457" s="186"/>
      <c r="J457" s="186">
        <v>30</v>
      </c>
      <c r="K457" s="186">
        <v>18</v>
      </c>
      <c r="L457" s="186">
        <v>25</v>
      </c>
      <c r="M457" s="186">
        <v>36</v>
      </c>
      <c r="N457" s="186" t="s">
        <v>427</v>
      </c>
      <c r="O457" s="186">
        <f t="shared" si="226"/>
        <v>121</v>
      </c>
      <c r="P457" s="186">
        <f t="shared" si="227"/>
        <v>109</v>
      </c>
      <c r="Q457" s="186" t="str">
        <f t="shared" si="228"/>
        <v>HW</v>
      </c>
      <c r="R457" s="186" t="str">
        <f t="shared" si="229"/>
        <v>HW</v>
      </c>
      <c r="S457" s="186" t="str">
        <f t="shared" si="230"/>
        <v>HW</v>
      </c>
      <c r="T457" s="186" t="str">
        <f t="shared" si="231"/>
        <v>HL</v>
      </c>
      <c r="U457" s="186" t="str">
        <f t="shared" si="232"/>
        <v>O</v>
      </c>
      <c r="V457" s="186" t="str">
        <f t="shared" si="233"/>
        <v>U</v>
      </c>
      <c r="W457" s="186" t="str">
        <f t="shared" si="234"/>
        <v>O</v>
      </c>
      <c r="X457" s="186" t="str">
        <f t="shared" si="235"/>
        <v>O</v>
      </c>
      <c r="Z457">
        <v>54.5</v>
      </c>
      <c r="AA457" s="90" t="str">
        <f t="shared" si="215"/>
        <v>PHI/MIL</v>
      </c>
    </row>
    <row r="458" spans="1:27" ht="17.100000000000001" x14ac:dyDescent="0.45">
      <c r="A458" s="80">
        <v>191226</v>
      </c>
      <c r="B458" s="81">
        <v>0.29166666666666669</v>
      </c>
      <c r="C458" s="80" t="s">
        <v>425</v>
      </c>
      <c r="D458" s="80" t="s">
        <v>403</v>
      </c>
      <c r="E458" s="186">
        <v>28</v>
      </c>
      <c r="F458" s="186">
        <v>36</v>
      </c>
      <c r="G458" s="186">
        <v>28</v>
      </c>
      <c r="H458" s="186">
        <v>24</v>
      </c>
      <c r="I458" s="186"/>
      <c r="J458" s="186">
        <v>29</v>
      </c>
      <c r="K458" s="186">
        <v>39</v>
      </c>
      <c r="L458" s="186">
        <v>19</v>
      </c>
      <c r="M458" s="186">
        <v>17</v>
      </c>
      <c r="N458" s="186" t="s">
        <v>427</v>
      </c>
      <c r="O458" s="186">
        <f t="shared" si="226"/>
        <v>116</v>
      </c>
      <c r="P458" s="186">
        <f t="shared" si="227"/>
        <v>104</v>
      </c>
      <c r="Q458" s="186" t="str">
        <f t="shared" si="228"/>
        <v>HL</v>
      </c>
      <c r="R458" s="186" t="str">
        <f t="shared" si="229"/>
        <v>HL</v>
      </c>
      <c r="S458" s="186" t="str">
        <f t="shared" si="230"/>
        <v>HW</v>
      </c>
      <c r="T458" s="186" t="str">
        <f t="shared" si="231"/>
        <v>HW</v>
      </c>
      <c r="U458" s="186" t="str">
        <f t="shared" si="232"/>
        <v>U</v>
      </c>
      <c r="V458" s="186" t="str">
        <f t="shared" si="233"/>
        <v>O</v>
      </c>
      <c r="W458" s="186" t="str">
        <f t="shared" si="234"/>
        <v>U</v>
      </c>
      <c r="X458" s="186" t="str">
        <f t="shared" si="235"/>
        <v>U</v>
      </c>
      <c r="Z458">
        <v>59</v>
      </c>
      <c r="AA458" s="90" t="str">
        <f t="shared" si="215"/>
        <v>GS/HOU</v>
      </c>
    </row>
    <row r="459" spans="1:27" ht="17.100000000000001" x14ac:dyDescent="0.45">
      <c r="A459" s="80">
        <v>191226</v>
      </c>
      <c r="B459" s="81">
        <v>0.41666666666666669</v>
      </c>
      <c r="C459" s="80" t="s">
        <v>419</v>
      </c>
      <c r="D459" s="80" t="s">
        <v>415</v>
      </c>
      <c r="E459" s="186">
        <v>33</v>
      </c>
      <c r="F459" s="186">
        <v>30</v>
      </c>
      <c r="G459" s="186">
        <v>23</v>
      </c>
      <c r="H459" s="186">
        <v>20</v>
      </c>
      <c r="I459" s="186"/>
      <c r="J459" s="186">
        <v>31</v>
      </c>
      <c r="K459" s="186">
        <v>20</v>
      </c>
      <c r="L459" s="186">
        <v>35</v>
      </c>
      <c r="M459" s="186">
        <v>25</v>
      </c>
      <c r="N459" s="186" t="s">
        <v>427</v>
      </c>
      <c r="O459" s="186">
        <f t="shared" si="226"/>
        <v>106</v>
      </c>
      <c r="P459" s="186">
        <f t="shared" si="227"/>
        <v>111</v>
      </c>
      <c r="Q459" s="186" t="str">
        <f t="shared" si="228"/>
        <v>HW</v>
      </c>
      <c r="R459" s="186" t="str">
        <f t="shared" si="229"/>
        <v>HW</v>
      </c>
      <c r="S459" s="186" t="str">
        <f t="shared" si="230"/>
        <v>HL</v>
      </c>
      <c r="T459" s="186" t="str">
        <f t="shared" si="231"/>
        <v>HL</v>
      </c>
      <c r="U459" s="186" t="str">
        <f t="shared" si="232"/>
        <v>O</v>
      </c>
      <c r="V459" s="186" t="str">
        <f t="shared" si="233"/>
        <v>U</v>
      </c>
      <c r="W459" s="186" t="str">
        <f t="shared" si="234"/>
        <v>T</v>
      </c>
      <c r="X459" s="186" t="str">
        <f t="shared" si="235"/>
        <v>U</v>
      </c>
      <c r="Z459">
        <v>58</v>
      </c>
      <c r="AA459" s="90" t="str">
        <f t="shared" si="215"/>
        <v>LAL/LAC</v>
      </c>
    </row>
    <row r="460" spans="1:27" ht="17.100000000000001" x14ac:dyDescent="0.45">
      <c r="A460" s="80">
        <v>191226</v>
      </c>
      <c r="B460" s="81">
        <v>0.52083333333333337</v>
      </c>
      <c r="C460" s="80" t="s">
        <v>408</v>
      </c>
      <c r="D460" s="80" t="s">
        <v>398</v>
      </c>
      <c r="E460" s="186">
        <v>26</v>
      </c>
      <c r="F460" s="186">
        <v>29</v>
      </c>
      <c r="G460" s="186">
        <v>25</v>
      </c>
      <c r="H460" s="186">
        <v>20</v>
      </c>
      <c r="I460" s="186"/>
      <c r="J460" s="186">
        <v>29</v>
      </c>
      <c r="K460" s="186">
        <v>29</v>
      </c>
      <c r="L460" s="186">
        <v>26</v>
      </c>
      <c r="M460" s="186">
        <v>28</v>
      </c>
      <c r="N460" s="186" t="s">
        <v>427</v>
      </c>
      <c r="O460" s="186">
        <f t="shared" si="226"/>
        <v>100</v>
      </c>
      <c r="P460" s="186">
        <f t="shared" si="227"/>
        <v>112</v>
      </c>
      <c r="Q460" s="186" t="str">
        <f t="shared" si="228"/>
        <v>HL</v>
      </c>
      <c r="R460" s="186" t="str">
        <f t="shared" si="229"/>
        <v>TT</v>
      </c>
      <c r="S460" s="186" t="str">
        <f t="shared" si="230"/>
        <v>HL</v>
      </c>
      <c r="T460" s="186" t="str">
        <f t="shared" si="231"/>
        <v>HL</v>
      </c>
      <c r="U460" s="186" t="str">
        <f t="shared" si="232"/>
        <v>U</v>
      </c>
      <c r="V460" s="186" t="str">
        <f t="shared" si="233"/>
        <v>O</v>
      </c>
      <c r="W460" s="186" t="str">
        <f t="shared" si="234"/>
        <v>U</v>
      </c>
      <c r="X460" s="186" t="str">
        <f t="shared" si="235"/>
        <v>U</v>
      </c>
      <c r="Z460">
        <v>56</v>
      </c>
      <c r="AA460" s="90" t="str">
        <f t="shared" ref="AA460:AA523" si="236">C460&amp;"/"&amp;D460</f>
        <v>DEN/NO</v>
      </c>
    </row>
    <row r="461" spans="1:27" ht="17.100000000000001" x14ac:dyDescent="0.45">
      <c r="A461" s="80">
        <v>191227</v>
      </c>
      <c r="B461" s="83">
        <v>0.375</v>
      </c>
      <c r="C461" s="82" t="s">
        <v>422</v>
      </c>
      <c r="D461" s="82" t="s">
        <v>414</v>
      </c>
      <c r="E461" s="186">
        <v>31</v>
      </c>
      <c r="F461" s="186">
        <v>37</v>
      </c>
      <c r="G461" s="186">
        <v>38</v>
      </c>
      <c r="H461" s="186">
        <v>26</v>
      </c>
      <c r="I461" s="186"/>
      <c r="J461" s="186">
        <v>23</v>
      </c>
      <c r="K461" s="186">
        <v>25</v>
      </c>
      <c r="L461" s="186">
        <v>28</v>
      </c>
      <c r="M461" s="186">
        <v>26</v>
      </c>
      <c r="N461" s="186" t="s">
        <v>427</v>
      </c>
      <c r="O461" s="186">
        <f t="shared" si="226"/>
        <v>132</v>
      </c>
      <c r="P461" s="186">
        <f t="shared" si="227"/>
        <v>102</v>
      </c>
      <c r="Q461" s="186" t="str">
        <f t="shared" si="228"/>
        <v>HW</v>
      </c>
      <c r="R461" s="186" t="str">
        <f t="shared" si="229"/>
        <v>HW</v>
      </c>
      <c r="S461" s="186" t="str">
        <f t="shared" si="230"/>
        <v>HW</v>
      </c>
      <c r="T461" s="186" t="str">
        <f t="shared" si="231"/>
        <v>TT</v>
      </c>
      <c r="U461" s="186" t="str">
        <f t="shared" si="232"/>
        <v>U</v>
      </c>
      <c r="V461" s="186" t="str">
        <f t="shared" si="233"/>
        <v>O</v>
      </c>
      <c r="W461" s="186" t="str">
        <f t="shared" si="234"/>
        <v>O</v>
      </c>
      <c r="X461" s="186" t="str">
        <f t="shared" si="235"/>
        <v>U</v>
      </c>
      <c r="Z461">
        <v>59</v>
      </c>
      <c r="AA461" s="90" t="str">
        <f t="shared" si="236"/>
        <v>DET/WAS</v>
      </c>
    </row>
    <row r="462" spans="1:27" ht="17.100000000000001" x14ac:dyDescent="0.45">
      <c r="A462" s="82">
        <v>191227</v>
      </c>
      <c r="B462" s="83">
        <v>0.39583333333333331</v>
      </c>
      <c r="C462" s="82" t="s">
        <v>407</v>
      </c>
      <c r="D462" s="82" t="s">
        <v>399</v>
      </c>
      <c r="E462" s="186">
        <v>15</v>
      </c>
      <c r="F462" s="186">
        <v>26</v>
      </c>
      <c r="G462" s="186">
        <v>20</v>
      </c>
      <c r="H462" s="186">
        <v>21</v>
      </c>
      <c r="I462" s="186"/>
      <c r="J462" s="186">
        <v>24</v>
      </c>
      <c r="K462" s="186">
        <v>22</v>
      </c>
      <c r="L462" s="186">
        <v>33</v>
      </c>
      <c r="M462" s="186">
        <v>15</v>
      </c>
      <c r="N462" s="186" t="s">
        <v>427</v>
      </c>
      <c r="O462" s="186">
        <f t="shared" si="226"/>
        <v>82</v>
      </c>
      <c r="P462" s="186">
        <f t="shared" si="227"/>
        <v>94</v>
      </c>
      <c r="Q462" s="186" t="str">
        <f t="shared" si="228"/>
        <v>HL</v>
      </c>
      <c r="R462" s="186" t="str">
        <f t="shared" si="229"/>
        <v>HW</v>
      </c>
      <c r="S462" s="186" t="str">
        <f t="shared" si="230"/>
        <v>HL</v>
      </c>
      <c r="T462" s="186" t="str">
        <f t="shared" si="231"/>
        <v>HW</v>
      </c>
      <c r="U462" s="186" t="str">
        <f t="shared" si="232"/>
        <v>U</v>
      </c>
      <c r="V462" s="186" t="str">
        <f t="shared" si="233"/>
        <v>U</v>
      </c>
      <c r="W462" s="186" t="str">
        <f t="shared" si="234"/>
        <v>U</v>
      </c>
      <c r="X462" s="186" t="str">
        <f t="shared" si="235"/>
        <v>U</v>
      </c>
      <c r="Z462">
        <v>58</v>
      </c>
      <c r="AA462" s="90" t="str">
        <f t="shared" si="236"/>
        <v>BKN/NYK</v>
      </c>
    </row>
    <row r="463" spans="1:27" ht="17.100000000000001" x14ac:dyDescent="0.45">
      <c r="A463" s="82">
        <v>191227</v>
      </c>
      <c r="B463" s="83">
        <v>0.41666666666666669</v>
      </c>
      <c r="C463" s="82" t="s">
        <v>397</v>
      </c>
      <c r="D463" s="82" t="s">
        <v>426</v>
      </c>
      <c r="E463" s="186">
        <v>20</v>
      </c>
      <c r="F463" s="186">
        <v>32</v>
      </c>
      <c r="G463" s="186">
        <v>27</v>
      </c>
      <c r="H463" s="186">
        <v>23</v>
      </c>
      <c r="I463" s="186"/>
      <c r="J463" s="186">
        <v>24</v>
      </c>
      <c r="K463" s="186">
        <v>23</v>
      </c>
      <c r="L463" s="186">
        <v>27</v>
      </c>
      <c r="M463" s="186">
        <v>24</v>
      </c>
      <c r="N463" s="186" t="s">
        <v>427</v>
      </c>
      <c r="O463" s="186">
        <f t="shared" si="226"/>
        <v>102</v>
      </c>
      <c r="P463" s="186">
        <f t="shared" si="227"/>
        <v>98</v>
      </c>
      <c r="Q463" s="186" t="str">
        <f t="shared" si="228"/>
        <v>HL</v>
      </c>
      <c r="R463" s="186" t="str">
        <f t="shared" si="229"/>
        <v>HW</v>
      </c>
      <c r="S463" s="186" t="str">
        <f t="shared" si="230"/>
        <v>TT</v>
      </c>
      <c r="T463" s="186" t="str">
        <f t="shared" si="231"/>
        <v>HL</v>
      </c>
      <c r="U463" s="186" t="str">
        <f t="shared" si="232"/>
        <v>U</v>
      </c>
      <c r="V463" s="186" t="str">
        <f t="shared" si="233"/>
        <v>U</v>
      </c>
      <c r="W463" s="186" t="str">
        <f t="shared" si="234"/>
        <v>U</v>
      </c>
      <c r="X463" s="186" t="str">
        <f t="shared" si="235"/>
        <v>U</v>
      </c>
      <c r="Z463">
        <v>56</v>
      </c>
      <c r="AA463" s="90" t="str">
        <f t="shared" si="236"/>
        <v>DAL/SAS</v>
      </c>
    </row>
    <row r="464" spans="1:27" ht="17.100000000000001" x14ac:dyDescent="0.45">
      <c r="A464" s="82">
        <v>191227</v>
      </c>
      <c r="B464" s="83">
        <v>0.41666666666666669</v>
      </c>
      <c r="C464" s="82" t="s">
        <v>418</v>
      </c>
      <c r="D464" s="82" t="s">
        <v>406</v>
      </c>
      <c r="E464" s="186">
        <v>18</v>
      </c>
      <c r="F464" s="186">
        <v>29</v>
      </c>
      <c r="G464" s="186">
        <v>27</v>
      </c>
      <c r="H464" s="186">
        <v>23</v>
      </c>
      <c r="I464" s="186"/>
      <c r="J464" s="186">
        <v>23</v>
      </c>
      <c r="K464" s="186">
        <v>26</v>
      </c>
      <c r="L464" s="186">
        <v>37</v>
      </c>
      <c r="M464" s="186">
        <v>24</v>
      </c>
      <c r="N464" s="186" t="s">
        <v>427</v>
      </c>
      <c r="O464" s="186">
        <f t="shared" si="226"/>
        <v>97</v>
      </c>
      <c r="P464" s="186">
        <f t="shared" si="227"/>
        <v>110</v>
      </c>
      <c r="Q464" s="186" t="str">
        <f t="shared" si="228"/>
        <v>HL</v>
      </c>
      <c r="R464" s="186" t="str">
        <f t="shared" si="229"/>
        <v>HW</v>
      </c>
      <c r="S464" s="186" t="str">
        <f t="shared" si="230"/>
        <v>HL</v>
      </c>
      <c r="T464" s="186" t="str">
        <f t="shared" si="231"/>
        <v>HL</v>
      </c>
      <c r="U464" s="186" t="str">
        <f t="shared" si="232"/>
        <v>U</v>
      </c>
      <c r="V464" s="186" t="str">
        <f t="shared" si="233"/>
        <v>T</v>
      </c>
      <c r="W464" s="186" t="str">
        <f t="shared" si="234"/>
        <v>O</v>
      </c>
      <c r="X464" s="186" t="str">
        <f t="shared" si="235"/>
        <v>U</v>
      </c>
      <c r="Z464">
        <v>55</v>
      </c>
      <c r="AA464" s="90" t="str">
        <f t="shared" si="236"/>
        <v>OKC/MEM</v>
      </c>
    </row>
    <row r="465" spans="1:27" ht="17.100000000000001" x14ac:dyDescent="0.45">
      <c r="A465" s="82">
        <v>191227</v>
      </c>
      <c r="B465" s="83">
        <v>0.5</v>
      </c>
      <c r="C465" s="82" t="s">
        <v>416</v>
      </c>
      <c r="D465" s="82" t="s">
        <v>420</v>
      </c>
      <c r="E465" s="186">
        <v>26</v>
      </c>
      <c r="F465" s="186">
        <v>22</v>
      </c>
      <c r="G465" s="186">
        <v>31</v>
      </c>
      <c r="H465" s="186">
        <v>11</v>
      </c>
      <c r="I465" s="186">
        <v>14</v>
      </c>
      <c r="J465" s="186">
        <v>21</v>
      </c>
      <c r="K465" s="186">
        <v>29</v>
      </c>
      <c r="L465" s="186">
        <v>21</v>
      </c>
      <c r="M465" s="186">
        <v>19</v>
      </c>
      <c r="N465" s="186">
        <v>15</v>
      </c>
      <c r="O465" s="186">
        <f t="shared" si="226"/>
        <v>104</v>
      </c>
      <c r="P465" s="186">
        <f t="shared" si="227"/>
        <v>105</v>
      </c>
      <c r="Q465" s="186" t="str">
        <f t="shared" si="228"/>
        <v>HW</v>
      </c>
      <c r="R465" s="186" t="str">
        <f t="shared" si="229"/>
        <v>HL</v>
      </c>
      <c r="S465" s="186" t="str">
        <f t="shared" si="230"/>
        <v>HW</v>
      </c>
      <c r="T465" s="186" t="str">
        <f t="shared" si="231"/>
        <v>HL</v>
      </c>
      <c r="U465" s="186" t="str">
        <f t="shared" si="232"/>
        <v>U</v>
      </c>
      <c r="V465" s="186" t="str">
        <f t="shared" si="233"/>
        <v>U</v>
      </c>
      <c r="W465" s="186" t="str">
        <f t="shared" si="234"/>
        <v>U</v>
      </c>
      <c r="X465" s="186" t="str">
        <f t="shared" si="235"/>
        <v>U</v>
      </c>
      <c r="Z465">
        <v>57</v>
      </c>
      <c r="AA465" s="90" t="str">
        <f t="shared" si="236"/>
        <v>SAC/MIN</v>
      </c>
    </row>
    <row r="466" spans="1:27" ht="17.100000000000001" x14ac:dyDescent="0.45">
      <c r="A466" s="82">
        <v>191227</v>
      </c>
      <c r="B466" s="83">
        <v>0.52083333333333337</v>
      </c>
      <c r="C466" s="82" t="s">
        <v>405</v>
      </c>
      <c r="D466" s="82" t="s">
        <v>417</v>
      </c>
      <c r="E466" s="186">
        <v>37</v>
      </c>
      <c r="F466" s="186">
        <v>25</v>
      </c>
      <c r="G466" s="186">
        <v>34</v>
      </c>
      <c r="H466" s="186">
        <v>25</v>
      </c>
      <c r="I466" s="186"/>
      <c r="J466" s="186">
        <v>22</v>
      </c>
      <c r="K466" s="186">
        <v>30</v>
      </c>
      <c r="L466" s="186">
        <v>24</v>
      </c>
      <c r="M466" s="186">
        <v>39</v>
      </c>
      <c r="N466" s="186" t="s">
        <v>427</v>
      </c>
      <c r="O466" s="186">
        <f t="shared" si="226"/>
        <v>121</v>
      </c>
      <c r="P466" s="186">
        <f t="shared" si="227"/>
        <v>115</v>
      </c>
      <c r="Q466" s="186" t="str">
        <f t="shared" si="228"/>
        <v>HW</v>
      </c>
      <c r="R466" s="186" t="str">
        <f t="shared" si="229"/>
        <v>HL</v>
      </c>
      <c r="S466" s="186" t="str">
        <f t="shared" si="230"/>
        <v>HW</v>
      </c>
      <c r="T466" s="186" t="str">
        <f t="shared" si="231"/>
        <v>HL</v>
      </c>
      <c r="U466" s="186" t="str">
        <f t="shared" si="232"/>
        <v>O</v>
      </c>
      <c r="V466" s="186" t="str">
        <f t="shared" si="233"/>
        <v>U</v>
      </c>
      <c r="W466" s="186" t="str">
        <f t="shared" si="234"/>
        <v>O</v>
      </c>
      <c r="X466" s="186" t="str">
        <f t="shared" si="235"/>
        <v>O</v>
      </c>
      <c r="Z466">
        <v>56.5</v>
      </c>
      <c r="AA466" s="90" t="str">
        <f t="shared" si="236"/>
        <v>UTA/POR</v>
      </c>
    </row>
    <row r="467" spans="1:27" ht="17.100000000000001" x14ac:dyDescent="0.45">
      <c r="A467" s="82">
        <v>191228</v>
      </c>
      <c r="B467" s="85">
        <v>0.25</v>
      </c>
      <c r="C467" s="84" t="s">
        <v>421</v>
      </c>
      <c r="D467" s="84" t="s">
        <v>402</v>
      </c>
      <c r="E467" s="186">
        <v>33</v>
      </c>
      <c r="F467" s="186">
        <v>29</v>
      </c>
      <c r="G467" s="186">
        <v>30</v>
      </c>
      <c r="H467" s="186">
        <v>37</v>
      </c>
      <c r="I467" s="186"/>
      <c r="J467" s="186">
        <v>22</v>
      </c>
      <c r="K467" s="186">
        <v>25</v>
      </c>
      <c r="L467" s="186">
        <v>34</v>
      </c>
      <c r="M467" s="186">
        <v>36</v>
      </c>
      <c r="N467" s="186" t="s">
        <v>427</v>
      </c>
      <c r="O467" s="186">
        <f t="shared" si="226"/>
        <v>129</v>
      </c>
      <c r="P467" s="186">
        <f t="shared" si="227"/>
        <v>117</v>
      </c>
      <c r="Q467" s="186" t="str">
        <f t="shared" si="228"/>
        <v>HW</v>
      </c>
      <c r="R467" s="186" t="str">
        <f t="shared" si="229"/>
        <v>HW</v>
      </c>
      <c r="S467" s="186" t="str">
        <f t="shared" si="230"/>
        <v>HL</v>
      </c>
      <c r="T467" s="186" t="str">
        <f t="shared" si="231"/>
        <v>HW</v>
      </c>
      <c r="U467" s="186" t="str">
        <f t="shared" si="232"/>
        <v>O</v>
      </c>
      <c r="V467" s="186" t="str">
        <f t="shared" si="233"/>
        <v>O</v>
      </c>
      <c r="W467" s="186" t="str">
        <f t="shared" si="234"/>
        <v>O</v>
      </c>
      <c r="X467" s="186" t="str">
        <f t="shared" si="235"/>
        <v>O</v>
      </c>
      <c r="Z467">
        <v>53.5</v>
      </c>
      <c r="AA467" s="90" t="str">
        <f t="shared" si="236"/>
        <v>BOS/CLE</v>
      </c>
    </row>
    <row r="468" spans="1:27" ht="17.100000000000001" x14ac:dyDescent="0.45">
      <c r="A468" s="84">
        <v>191228</v>
      </c>
      <c r="B468" s="85">
        <v>0.375</v>
      </c>
      <c r="C468" s="84" t="s">
        <v>424</v>
      </c>
      <c r="D468" s="84" t="s">
        <v>401</v>
      </c>
      <c r="E468" s="186">
        <v>19</v>
      </c>
      <c r="F468" s="186">
        <v>27</v>
      </c>
      <c r="G468" s="186">
        <v>25</v>
      </c>
      <c r="H468" s="186">
        <v>27</v>
      </c>
      <c r="I468" s="186"/>
      <c r="J468" s="186">
        <v>21</v>
      </c>
      <c r="K468" s="186">
        <v>26</v>
      </c>
      <c r="L468" s="186">
        <v>21</v>
      </c>
      <c r="M468" s="186">
        <v>29</v>
      </c>
      <c r="N468" s="186" t="s">
        <v>427</v>
      </c>
      <c r="O468" s="186">
        <f t="shared" si="226"/>
        <v>98</v>
      </c>
      <c r="P468" s="186">
        <f t="shared" si="227"/>
        <v>97</v>
      </c>
      <c r="Q468" s="186" t="str">
        <f t="shared" si="228"/>
        <v>HL</v>
      </c>
      <c r="R468" s="186" t="str">
        <f t="shared" si="229"/>
        <v>HW</v>
      </c>
      <c r="S468" s="186" t="str">
        <f t="shared" si="230"/>
        <v>HW</v>
      </c>
      <c r="T468" s="186" t="str">
        <f t="shared" si="231"/>
        <v>HL</v>
      </c>
      <c r="U468" s="186" t="str">
        <f t="shared" si="232"/>
        <v>U</v>
      </c>
      <c r="V468" s="186" t="str">
        <f t="shared" si="233"/>
        <v>O</v>
      </c>
      <c r="W468" s="186" t="str">
        <f t="shared" si="234"/>
        <v>U</v>
      </c>
      <c r="X468" s="186" t="str">
        <f t="shared" si="235"/>
        <v>O</v>
      </c>
      <c r="Z468">
        <v>52</v>
      </c>
      <c r="AA468" s="90" t="str">
        <f t="shared" si="236"/>
        <v>ORL/PHI</v>
      </c>
    </row>
    <row r="469" spans="1:27" ht="17.100000000000001" x14ac:dyDescent="0.45">
      <c r="A469" s="84">
        <v>191228</v>
      </c>
      <c r="B469" s="85">
        <v>0.375</v>
      </c>
      <c r="C469" s="84" t="s">
        <v>409</v>
      </c>
      <c r="D469" s="84" t="s">
        <v>418</v>
      </c>
      <c r="E469" s="186">
        <v>18</v>
      </c>
      <c r="F469" s="186">
        <v>25</v>
      </c>
      <c r="G469" s="186">
        <v>22</v>
      </c>
      <c r="H469" s="186">
        <v>29</v>
      </c>
      <c r="I469" s="186">
        <v>8</v>
      </c>
      <c r="J469" s="186">
        <v>26</v>
      </c>
      <c r="K469" s="186">
        <v>27</v>
      </c>
      <c r="L469" s="186">
        <v>19</v>
      </c>
      <c r="M469" s="186">
        <v>22</v>
      </c>
      <c r="N469" s="186">
        <v>10</v>
      </c>
      <c r="O469" s="186">
        <f t="shared" si="226"/>
        <v>102</v>
      </c>
      <c r="P469" s="186">
        <f t="shared" si="227"/>
        <v>104</v>
      </c>
      <c r="Q469" s="186" t="str">
        <f t="shared" si="228"/>
        <v>HL</v>
      </c>
      <c r="R469" s="186" t="str">
        <f t="shared" si="229"/>
        <v>HL</v>
      </c>
      <c r="S469" s="186" t="str">
        <f t="shared" si="230"/>
        <v>HW</v>
      </c>
      <c r="T469" s="186" t="str">
        <f t="shared" si="231"/>
        <v>HW</v>
      </c>
      <c r="U469" s="186" t="str">
        <f t="shared" si="232"/>
        <v>U</v>
      </c>
      <c r="V469" s="186" t="str">
        <f t="shared" si="233"/>
        <v>U</v>
      </c>
      <c r="W469" s="186" t="str">
        <f t="shared" si="234"/>
        <v>U</v>
      </c>
      <c r="X469" s="186" t="str">
        <f t="shared" si="235"/>
        <v>U</v>
      </c>
      <c r="Z469">
        <v>53.5</v>
      </c>
      <c r="AA469" s="90" t="str">
        <f t="shared" si="236"/>
        <v>CHA/OKC</v>
      </c>
    </row>
    <row r="470" spans="1:27" ht="17.100000000000001" x14ac:dyDescent="0.45">
      <c r="A470" s="84">
        <v>191228</v>
      </c>
      <c r="B470" s="85">
        <v>0.39583333333333331</v>
      </c>
      <c r="C470" s="84" t="s">
        <v>410</v>
      </c>
      <c r="D470" s="84" t="s">
        <v>423</v>
      </c>
      <c r="E470" s="186">
        <v>19</v>
      </c>
      <c r="F470" s="186">
        <v>21</v>
      </c>
      <c r="G470" s="186">
        <v>23</v>
      </c>
      <c r="H470" s="186">
        <v>23</v>
      </c>
      <c r="I470" s="186"/>
      <c r="J470" s="186">
        <v>32</v>
      </c>
      <c r="K470" s="186">
        <v>31</v>
      </c>
      <c r="L470" s="186">
        <v>21</v>
      </c>
      <c r="M470" s="186">
        <v>28</v>
      </c>
      <c r="N470" s="186" t="s">
        <v>427</v>
      </c>
      <c r="O470" s="186">
        <f t="shared" si="226"/>
        <v>86</v>
      </c>
      <c r="P470" s="186">
        <f t="shared" si="227"/>
        <v>112</v>
      </c>
      <c r="Q470" s="186" t="str">
        <f t="shared" si="228"/>
        <v>HL</v>
      </c>
      <c r="R470" s="186" t="str">
        <f t="shared" si="229"/>
        <v>HL</v>
      </c>
      <c r="S470" s="186" t="str">
        <f t="shared" si="230"/>
        <v>HW</v>
      </c>
      <c r="T470" s="186" t="str">
        <f t="shared" si="231"/>
        <v>HL</v>
      </c>
      <c r="U470" s="186" t="str">
        <f t="shared" si="232"/>
        <v>U</v>
      </c>
      <c r="V470" s="186" t="str">
        <f t="shared" si="233"/>
        <v>U</v>
      </c>
      <c r="W470" s="186" t="str">
        <f t="shared" si="234"/>
        <v>U</v>
      </c>
      <c r="X470" s="186" t="str">
        <f t="shared" si="235"/>
        <v>U</v>
      </c>
      <c r="Z470">
        <v>58</v>
      </c>
      <c r="AA470" s="90" t="str">
        <f t="shared" si="236"/>
        <v>ATL/MIL</v>
      </c>
    </row>
    <row r="471" spans="1:27" ht="17.100000000000001" x14ac:dyDescent="0.45">
      <c r="A471" s="84">
        <v>191228</v>
      </c>
      <c r="B471" s="85">
        <v>0.41666666666666669</v>
      </c>
      <c r="C471" s="84" t="s">
        <v>411</v>
      </c>
      <c r="D471" s="84" t="s">
        <v>400</v>
      </c>
      <c r="E471" s="186">
        <v>25</v>
      </c>
      <c r="F471" s="186">
        <v>33</v>
      </c>
      <c r="G471" s="186">
        <v>26</v>
      </c>
      <c r="H471" s="186">
        <v>29</v>
      </c>
      <c r="I471" s="186"/>
      <c r="J471" s="186">
        <v>27</v>
      </c>
      <c r="K471" s="186">
        <v>28</v>
      </c>
      <c r="L471" s="186">
        <v>27</v>
      </c>
      <c r="M471" s="186">
        <v>30</v>
      </c>
      <c r="N471" s="186" t="s">
        <v>427</v>
      </c>
      <c r="O471" s="186">
        <f t="shared" si="226"/>
        <v>113</v>
      </c>
      <c r="P471" s="186">
        <f t="shared" si="227"/>
        <v>112</v>
      </c>
      <c r="Q471" s="186" t="str">
        <f t="shared" si="228"/>
        <v>HL</v>
      </c>
      <c r="R471" s="186" t="str">
        <f t="shared" si="229"/>
        <v>HW</v>
      </c>
      <c r="S471" s="186" t="str">
        <f t="shared" si="230"/>
        <v>HL</v>
      </c>
      <c r="T471" s="186" t="str">
        <f t="shared" si="231"/>
        <v>HL</v>
      </c>
      <c r="U471" s="186" t="str">
        <f t="shared" si="232"/>
        <v>U</v>
      </c>
      <c r="V471" s="186" t="str">
        <f t="shared" si="233"/>
        <v>O</v>
      </c>
      <c r="W471" s="186" t="str">
        <f t="shared" si="234"/>
        <v>U</v>
      </c>
      <c r="X471" s="186" t="str">
        <f t="shared" si="235"/>
        <v>O</v>
      </c>
      <c r="Z471">
        <v>54.5</v>
      </c>
      <c r="AA471" s="90" t="str">
        <f t="shared" si="236"/>
        <v>MIA/IND</v>
      </c>
    </row>
    <row r="472" spans="1:27" ht="17.100000000000001" x14ac:dyDescent="0.45">
      <c r="A472" s="84">
        <v>191228</v>
      </c>
      <c r="B472" s="85">
        <v>0.52083333333333337</v>
      </c>
      <c r="C472" s="84" t="s">
        <v>425</v>
      </c>
      <c r="D472" s="84" t="s">
        <v>404</v>
      </c>
      <c r="E472" s="186">
        <v>25</v>
      </c>
      <c r="F472" s="186">
        <v>18</v>
      </c>
      <c r="G472" s="186">
        <v>23</v>
      </c>
      <c r="H472" s="186">
        <v>39</v>
      </c>
      <c r="I472" s="186"/>
      <c r="J472" s="186">
        <v>29</v>
      </c>
      <c r="K472" s="186">
        <v>22</v>
      </c>
      <c r="L472" s="186">
        <v>27</v>
      </c>
      <c r="M472" s="186">
        <v>18</v>
      </c>
      <c r="N472" s="186" t="s">
        <v>427</v>
      </c>
      <c r="O472" s="186">
        <f t="shared" si="226"/>
        <v>105</v>
      </c>
      <c r="P472" s="186">
        <f t="shared" si="227"/>
        <v>96</v>
      </c>
      <c r="Q472" s="186" t="str">
        <f t="shared" si="228"/>
        <v>HL</v>
      </c>
      <c r="R472" s="186" t="str">
        <f t="shared" si="229"/>
        <v>HL</v>
      </c>
      <c r="S472" s="186" t="str">
        <f t="shared" si="230"/>
        <v>HL</v>
      </c>
      <c r="T472" s="186" t="str">
        <f t="shared" si="231"/>
        <v>HW</v>
      </c>
      <c r="U472" s="186" t="str">
        <f t="shared" si="232"/>
        <v>U</v>
      </c>
      <c r="V472" s="186" t="str">
        <f t="shared" si="233"/>
        <v>U</v>
      </c>
      <c r="W472" s="186" t="str">
        <f t="shared" si="234"/>
        <v>U</v>
      </c>
      <c r="X472" s="186" t="str">
        <f t="shared" si="235"/>
        <v>O</v>
      </c>
      <c r="Z472">
        <v>55.5</v>
      </c>
      <c r="AA472" s="90" t="str">
        <f t="shared" si="236"/>
        <v>GS/PHO</v>
      </c>
    </row>
    <row r="473" spans="1:27" ht="17.100000000000001" x14ac:dyDescent="0.45">
      <c r="A473" s="84">
        <v>191229</v>
      </c>
      <c r="B473" s="87">
        <v>0.29166666666666669</v>
      </c>
      <c r="C473" s="86" t="s">
        <v>408</v>
      </c>
      <c r="D473" s="86" t="s">
        <v>406</v>
      </c>
      <c r="E473" s="186">
        <v>26</v>
      </c>
      <c r="F473" s="186">
        <v>24</v>
      </c>
      <c r="G473" s="186">
        <v>32</v>
      </c>
      <c r="H473" s="186">
        <v>37</v>
      </c>
      <c r="I473" s="186"/>
      <c r="J473" s="186">
        <v>11</v>
      </c>
      <c r="K473" s="186">
        <v>28</v>
      </c>
      <c r="L473" s="186">
        <v>29</v>
      </c>
      <c r="M473" s="186">
        <v>42</v>
      </c>
      <c r="N473" s="186" t="s">
        <v>427</v>
      </c>
      <c r="O473" s="186">
        <f t="shared" si="226"/>
        <v>119</v>
      </c>
      <c r="P473" s="186">
        <f t="shared" si="227"/>
        <v>110</v>
      </c>
      <c r="Q473" s="186" t="str">
        <f t="shared" si="228"/>
        <v>HW</v>
      </c>
      <c r="R473" s="186" t="str">
        <f t="shared" si="229"/>
        <v>HL</v>
      </c>
      <c r="S473" s="186" t="str">
        <f t="shared" si="230"/>
        <v>HW</v>
      </c>
      <c r="T473" s="186" t="str">
        <f t="shared" si="231"/>
        <v>HL</v>
      </c>
      <c r="U473" s="186" t="str">
        <f t="shared" si="232"/>
        <v>U</v>
      </c>
      <c r="V473" s="186" t="str">
        <f t="shared" si="233"/>
        <v>U</v>
      </c>
      <c r="W473" s="186" t="str">
        <f t="shared" si="234"/>
        <v>O</v>
      </c>
      <c r="X473" s="186" t="str">
        <f t="shared" si="235"/>
        <v>O</v>
      </c>
      <c r="Z473">
        <v>54.5</v>
      </c>
      <c r="AA473" s="90" t="str">
        <f t="shared" si="236"/>
        <v>DEN/MEM</v>
      </c>
    </row>
    <row r="474" spans="1:27" ht="17.100000000000001" x14ac:dyDescent="0.45">
      <c r="A474" s="86">
        <v>191229</v>
      </c>
      <c r="B474" s="87">
        <v>0.375</v>
      </c>
      <c r="C474" s="86" t="s">
        <v>421</v>
      </c>
      <c r="D474" s="86" t="s">
        <v>413</v>
      </c>
      <c r="E474" s="186">
        <v>25</v>
      </c>
      <c r="F474" s="186">
        <v>29</v>
      </c>
      <c r="G474" s="186">
        <v>25</v>
      </c>
      <c r="H474" s="186">
        <v>18</v>
      </c>
      <c r="I474" s="186"/>
      <c r="J474" s="186">
        <v>36</v>
      </c>
      <c r="K474" s="186">
        <v>23</v>
      </c>
      <c r="L474" s="186">
        <v>30</v>
      </c>
      <c r="M474" s="186">
        <v>24</v>
      </c>
      <c r="N474" s="186" t="s">
        <v>427</v>
      </c>
      <c r="O474" s="186">
        <f t="shared" si="226"/>
        <v>97</v>
      </c>
      <c r="P474" s="186">
        <f t="shared" si="227"/>
        <v>113</v>
      </c>
      <c r="Q474" s="186" t="str">
        <f t="shared" si="228"/>
        <v>HL</v>
      </c>
      <c r="R474" s="186" t="str">
        <f t="shared" si="229"/>
        <v>HW</v>
      </c>
      <c r="S474" s="186" t="str">
        <f t="shared" si="230"/>
        <v>HL</v>
      </c>
      <c r="T474" s="186" t="str">
        <f t="shared" si="231"/>
        <v>HL</v>
      </c>
      <c r="U474" s="186" t="str">
        <f t="shared" si="232"/>
        <v>O</v>
      </c>
      <c r="V474" s="186" t="str">
        <f t="shared" si="233"/>
        <v>U</v>
      </c>
      <c r="W474" s="186" t="str">
        <f t="shared" si="234"/>
        <v>U</v>
      </c>
      <c r="X474" s="186" t="str">
        <f t="shared" si="235"/>
        <v>U</v>
      </c>
      <c r="Z474">
        <v>55.5</v>
      </c>
      <c r="AA474" s="90" t="str">
        <f t="shared" si="236"/>
        <v>BOS/TOR</v>
      </c>
    </row>
    <row r="475" spans="1:27" ht="17.100000000000001" x14ac:dyDescent="0.45">
      <c r="A475" s="86">
        <v>191229</v>
      </c>
      <c r="B475" s="87">
        <v>0.375</v>
      </c>
      <c r="C475" s="86" t="s">
        <v>398</v>
      </c>
      <c r="D475" s="86" t="s">
        <v>400</v>
      </c>
      <c r="E475" s="186">
        <v>19</v>
      </c>
      <c r="F475" s="186">
        <v>29</v>
      </c>
      <c r="G475" s="186">
        <v>38</v>
      </c>
      <c r="H475" s="186">
        <v>34</v>
      </c>
      <c r="I475" s="186"/>
      <c r="J475" s="186">
        <v>32</v>
      </c>
      <c r="K475" s="186">
        <v>13</v>
      </c>
      <c r="L475" s="186">
        <v>23</v>
      </c>
      <c r="M475" s="186">
        <v>30</v>
      </c>
      <c r="N475" s="186" t="s">
        <v>427</v>
      </c>
      <c r="O475" s="186">
        <f t="shared" si="226"/>
        <v>120</v>
      </c>
      <c r="P475" s="186">
        <f t="shared" si="227"/>
        <v>98</v>
      </c>
      <c r="Q475" s="186" t="str">
        <f t="shared" si="228"/>
        <v>HL</v>
      </c>
      <c r="R475" s="186" t="str">
        <f t="shared" si="229"/>
        <v>HW</v>
      </c>
      <c r="S475" s="186" t="str">
        <f t="shared" si="230"/>
        <v>HW</v>
      </c>
      <c r="T475" s="186" t="str">
        <f t="shared" si="231"/>
        <v>HW</v>
      </c>
      <c r="U475" s="186" t="str">
        <f t="shared" si="232"/>
        <v>U</v>
      </c>
      <c r="V475" s="186" t="str">
        <f t="shared" si="233"/>
        <v>U</v>
      </c>
      <c r="W475" s="186" t="str">
        <f t="shared" si="234"/>
        <v>O</v>
      </c>
      <c r="X475" s="186" t="str">
        <f t="shared" si="235"/>
        <v>O</v>
      </c>
      <c r="Z475">
        <v>56.5</v>
      </c>
      <c r="AA475" s="90" t="str">
        <f t="shared" si="236"/>
        <v>NO/IND</v>
      </c>
    </row>
    <row r="476" spans="1:27" ht="17.100000000000001" x14ac:dyDescent="0.45">
      <c r="A476" s="86">
        <v>191229</v>
      </c>
      <c r="B476" s="87">
        <v>0.41666666666666669</v>
      </c>
      <c r="C476" s="86" t="s">
        <v>412</v>
      </c>
      <c r="D476" s="86" t="s">
        <v>410</v>
      </c>
      <c r="E476" s="186">
        <v>35</v>
      </c>
      <c r="F476" s="186">
        <v>29</v>
      </c>
      <c r="G476" s="186">
        <v>19</v>
      </c>
      <c r="H476" s="186">
        <v>33</v>
      </c>
      <c r="I476" s="186"/>
      <c r="J476" s="186">
        <v>19</v>
      </c>
      <c r="K476" s="186">
        <v>24</v>
      </c>
      <c r="L476" s="186">
        <v>22</v>
      </c>
      <c r="M476" s="186">
        <v>16</v>
      </c>
      <c r="N476" s="186" t="s">
        <v>427</v>
      </c>
      <c r="O476" s="186">
        <f t="shared" si="226"/>
        <v>116</v>
      </c>
      <c r="P476" s="186">
        <f t="shared" si="227"/>
        <v>81</v>
      </c>
      <c r="Q476" s="186" t="str">
        <f t="shared" si="228"/>
        <v>HW</v>
      </c>
      <c r="R476" s="186" t="str">
        <f t="shared" si="229"/>
        <v>HW</v>
      </c>
      <c r="S476" s="186" t="str">
        <f t="shared" si="230"/>
        <v>HL</v>
      </c>
      <c r="T476" s="186" t="str">
        <f t="shared" si="231"/>
        <v>HW</v>
      </c>
      <c r="U476" s="186" t="str">
        <f t="shared" si="232"/>
        <v>U</v>
      </c>
      <c r="V476" s="186" t="str">
        <f t="shared" si="233"/>
        <v>U</v>
      </c>
      <c r="W476" s="186" t="str">
        <f t="shared" si="234"/>
        <v>U</v>
      </c>
      <c r="X476" s="186" t="str">
        <f t="shared" si="235"/>
        <v>U</v>
      </c>
      <c r="Z476">
        <v>55.5</v>
      </c>
      <c r="AA476" s="90" t="str">
        <f t="shared" si="236"/>
        <v>CHI/ATL</v>
      </c>
    </row>
    <row r="477" spans="1:27" ht="17.100000000000001" x14ac:dyDescent="0.45">
      <c r="A477" s="86">
        <v>191229</v>
      </c>
      <c r="B477" s="87">
        <v>0.41666666666666669</v>
      </c>
      <c r="C477" s="86" t="s">
        <v>403</v>
      </c>
      <c r="D477" s="86" t="s">
        <v>407</v>
      </c>
      <c r="E477" s="186">
        <v>42</v>
      </c>
      <c r="F477" s="186">
        <v>21</v>
      </c>
      <c r="G477" s="186">
        <v>25</v>
      </c>
      <c r="H477" s="186">
        <v>20</v>
      </c>
      <c r="I477" s="186"/>
      <c r="J477" s="186">
        <v>20</v>
      </c>
      <c r="K477" s="186">
        <v>34</v>
      </c>
      <c r="L477" s="186">
        <v>25</v>
      </c>
      <c r="M477" s="186">
        <v>19</v>
      </c>
      <c r="N477" s="186" t="s">
        <v>427</v>
      </c>
      <c r="O477" s="186">
        <f t="shared" si="226"/>
        <v>108</v>
      </c>
      <c r="P477" s="186">
        <f t="shared" si="227"/>
        <v>98</v>
      </c>
      <c r="Q477" s="186" t="str">
        <f t="shared" si="228"/>
        <v>HW</v>
      </c>
      <c r="R477" s="186" t="str">
        <f t="shared" si="229"/>
        <v>HL</v>
      </c>
      <c r="S477" s="186" t="str">
        <f t="shared" si="230"/>
        <v>TT</v>
      </c>
      <c r="T477" s="186" t="str">
        <f t="shared" si="231"/>
        <v>HW</v>
      </c>
      <c r="U477" s="186" t="str">
        <f t="shared" si="232"/>
        <v>O</v>
      </c>
      <c r="V477" s="186" t="str">
        <f t="shared" si="233"/>
        <v>U</v>
      </c>
      <c r="W477" s="186" t="str">
        <f t="shared" si="234"/>
        <v>U</v>
      </c>
      <c r="X477" s="186" t="str">
        <f t="shared" si="235"/>
        <v>U</v>
      </c>
      <c r="Z477">
        <v>57.5</v>
      </c>
      <c r="AA477" s="90" t="str">
        <f t="shared" si="236"/>
        <v>HOU/BKN</v>
      </c>
    </row>
    <row r="478" spans="1:27" ht="17.100000000000001" x14ac:dyDescent="0.45">
      <c r="A478" s="86">
        <v>191229</v>
      </c>
      <c r="B478" s="87">
        <v>0.41666666666666669</v>
      </c>
      <c r="C478" s="86" t="s">
        <v>411</v>
      </c>
      <c r="D478" s="86" t="s">
        <v>401</v>
      </c>
      <c r="E478" s="186">
        <v>28</v>
      </c>
      <c r="F478" s="186">
        <v>26</v>
      </c>
      <c r="G478" s="186">
        <v>31</v>
      </c>
      <c r="H478" s="186">
        <v>23</v>
      </c>
      <c r="I478" s="186">
        <v>9</v>
      </c>
      <c r="J478" s="186">
        <v>33</v>
      </c>
      <c r="K478" s="186">
        <v>26</v>
      </c>
      <c r="L478" s="186">
        <v>20</v>
      </c>
      <c r="M478" s="186">
        <v>29</v>
      </c>
      <c r="N478" s="186">
        <v>8</v>
      </c>
      <c r="O478" s="186">
        <f t="shared" si="226"/>
        <v>117</v>
      </c>
      <c r="P478" s="186">
        <f t="shared" si="227"/>
        <v>116</v>
      </c>
      <c r="Q478" s="186" t="str">
        <f t="shared" si="228"/>
        <v>HL</v>
      </c>
      <c r="R478" s="186" t="str">
        <f t="shared" si="229"/>
        <v>TT</v>
      </c>
      <c r="S478" s="186" t="str">
        <f t="shared" si="230"/>
        <v>HW</v>
      </c>
      <c r="T478" s="186" t="str">
        <f t="shared" si="231"/>
        <v>HL</v>
      </c>
      <c r="U478" s="186" t="str">
        <f t="shared" si="232"/>
        <v>O</v>
      </c>
      <c r="V478" s="186" t="str">
        <f t="shared" si="233"/>
        <v>U</v>
      </c>
      <c r="W478" s="186" t="str">
        <f t="shared" si="234"/>
        <v>U</v>
      </c>
      <c r="X478" s="186" t="str">
        <f t="shared" si="235"/>
        <v>U</v>
      </c>
      <c r="Z478">
        <v>52.5</v>
      </c>
      <c r="AA478" s="90" t="str">
        <f t="shared" si="236"/>
        <v>MIA/PHI</v>
      </c>
    </row>
    <row r="479" spans="1:27" ht="17.100000000000001" x14ac:dyDescent="0.45">
      <c r="A479" s="86">
        <v>191229</v>
      </c>
      <c r="B479" s="87">
        <v>0.41666666666666669</v>
      </c>
      <c r="C479" s="86" t="s">
        <v>420</v>
      </c>
      <c r="D479" s="86" t="s">
        <v>402</v>
      </c>
      <c r="E479" s="186">
        <v>21</v>
      </c>
      <c r="F479" s="186">
        <v>22</v>
      </c>
      <c r="G479" s="186">
        <v>17</v>
      </c>
      <c r="H479" s="186">
        <v>28</v>
      </c>
      <c r="I479" s="186"/>
      <c r="J479" s="186">
        <v>27</v>
      </c>
      <c r="K479" s="186">
        <v>22</v>
      </c>
      <c r="L479" s="186">
        <v>18</v>
      </c>
      <c r="M479" s="186">
        <v>27</v>
      </c>
      <c r="N479" s="186" t="s">
        <v>427</v>
      </c>
      <c r="O479" s="186">
        <f t="shared" si="226"/>
        <v>88</v>
      </c>
      <c r="P479" s="186">
        <f t="shared" si="227"/>
        <v>94</v>
      </c>
      <c r="Q479" s="186" t="str">
        <f t="shared" si="228"/>
        <v>HL</v>
      </c>
      <c r="R479" s="186" t="str">
        <f t="shared" si="229"/>
        <v>TT</v>
      </c>
      <c r="S479" s="186" t="str">
        <f t="shared" si="230"/>
        <v>HL</v>
      </c>
      <c r="T479" s="186" t="str">
        <f t="shared" si="231"/>
        <v>HW</v>
      </c>
      <c r="U479" s="186" t="str">
        <f t="shared" si="232"/>
        <v>U</v>
      </c>
      <c r="V479" s="186" t="str">
        <f t="shared" si="233"/>
        <v>U</v>
      </c>
      <c r="W479" s="186" t="str">
        <f t="shared" si="234"/>
        <v>U</v>
      </c>
      <c r="X479" s="186" t="str">
        <f t="shared" si="235"/>
        <v>O</v>
      </c>
      <c r="Z479">
        <v>53.5</v>
      </c>
      <c r="AA479" s="90" t="str">
        <f t="shared" si="236"/>
        <v>MIN/CLE</v>
      </c>
    </row>
    <row r="480" spans="1:27" ht="17.100000000000001" x14ac:dyDescent="0.45">
      <c r="A480" s="86">
        <v>191229</v>
      </c>
      <c r="B480" s="87">
        <v>0.41666666666666669</v>
      </c>
      <c r="C480" s="86" t="s">
        <v>414</v>
      </c>
      <c r="D480" s="86" t="s">
        <v>399</v>
      </c>
      <c r="E480" s="186">
        <v>23</v>
      </c>
      <c r="F480" s="186">
        <v>35</v>
      </c>
      <c r="G480" s="186">
        <v>20</v>
      </c>
      <c r="H480" s="186">
        <v>22</v>
      </c>
      <c r="I480" s="186"/>
      <c r="J480" s="186">
        <v>33</v>
      </c>
      <c r="K480" s="186">
        <v>26</v>
      </c>
      <c r="L480" s="186">
        <v>27</v>
      </c>
      <c r="M480" s="186">
        <v>21</v>
      </c>
      <c r="N480" s="186" t="s">
        <v>427</v>
      </c>
      <c r="O480" s="186">
        <f t="shared" si="226"/>
        <v>100</v>
      </c>
      <c r="P480" s="186">
        <f t="shared" si="227"/>
        <v>107</v>
      </c>
      <c r="Q480" s="186" t="str">
        <f t="shared" si="228"/>
        <v>HL</v>
      </c>
      <c r="R480" s="186" t="str">
        <f t="shared" si="229"/>
        <v>HW</v>
      </c>
      <c r="S480" s="186" t="str">
        <f t="shared" si="230"/>
        <v>HL</v>
      </c>
      <c r="T480" s="186" t="str">
        <f t="shared" si="231"/>
        <v>HW</v>
      </c>
      <c r="U480" s="186" t="str">
        <f t="shared" si="232"/>
        <v>U</v>
      </c>
      <c r="V480" s="186" t="str">
        <f t="shared" si="233"/>
        <v>O</v>
      </c>
      <c r="W480" s="186" t="str">
        <f t="shared" si="234"/>
        <v>U</v>
      </c>
      <c r="X480" s="186" t="str">
        <f t="shared" si="235"/>
        <v>U</v>
      </c>
      <c r="Z480">
        <v>58</v>
      </c>
      <c r="AA480" s="90" t="str">
        <f t="shared" si="236"/>
        <v>WAS/NYK</v>
      </c>
    </row>
    <row r="481" spans="1:27" ht="17.100000000000001" x14ac:dyDescent="0.45">
      <c r="A481" s="86">
        <v>191229</v>
      </c>
      <c r="B481" s="87">
        <v>0.4375</v>
      </c>
      <c r="C481" s="86" t="s">
        <v>425</v>
      </c>
      <c r="D481" s="86" t="s">
        <v>397</v>
      </c>
      <c r="E481" s="186">
        <v>41</v>
      </c>
      <c r="F481" s="186">
        <v>33</v>
      </c>
      <c r="G481" s="186">
        <v>24</v>
      </c>
      <c r="H481" s="186">
        <v>23</v>
      </c>
      <c r="I481" s="186"/>
      <c r="J481" s="186">
        <v>41</v>
      </c>
      <c r="K481" s="186">
        <v>31</v>
      </c>
      <c r="L481" s="186">
        <v>45</v>
      </c>
      <c r="M481" s="186">
        <v>24</v>
      </c>
      <c r="N481" s="186" t="s">
        <v>427</v>
      </c>
      <c r="O481" s="186">
        <f t="shared" si="226"/>
        <v>121</v>
      </c>
      <c r="P481" s="186">
        <f t="shared" si="227"/>
        <v>141</v>
      </c>
      <c r="Q481" s="186" t="str">
        <f t="shared" si="228"/>
        <v>TT</v>
      </c>
      <c r="R481" s="186" t="str">
        <f t="shared" si="229"/>
        <v>HW</v>
      </c>
      <c r="S481" s="186" t="str">
        <f t="shared" si="230"/>
        <v>HL</v>
      </c>
      <c r="T481" s="186" t="str">
        <f t="shared" si="231"/>
        <v>HL</v>
      </c>
      <c r="U481" s="186" t="str">
        <f t="shared" si="232"/>
        <v>O</v>
      </c>
      <c r="V481" s="186" t="str">
        <f t="shared" si="233"/>
        <v>O</v>
      </c>
      <c r="W481" s="186" t="str">
        <f t="shared" si="234"/>
        <v>O</v>
      </c>
      <c r="X481" s="186" t="str">
        <f t="shared" si="235"/>
        <v>U</v>
      </c>
      <c r="Z481">
        <v>56</v>
      </c>
      <c r="AA481" s="90" t="str">
        <f t="shared" si="236"/>
        <v>GS/DAL</v>
      </c>
    </row>
    <row r="482" spans="1:27" ht="17.100000000000001" x14ac:dyDescent="0.45">
      <c r="A482" s="86">
        <v>191229</v>
      </c>
      <c r="B482" s="87">
        <v>0.4375</v>
      </c>
      <c r="C482" s="86" t="s">
        <v>423</v>
      </c>
      <c r="D482" s="86" t="s">
        <v>424</v>
      </c>
      <c r="E482" s="186">
        <v>37</v>
      </c>
      <c r="F482" s="186">
        <v>19</v>
      </c>
      <c r="G482" s="186">
        <v>22</v>
      </c>
      <c r="H482" s="186">
        <v>33</v>
      </c>
      <c r="I482" s="186"/>
      <c r="J482" s="186">
        <v>25</v>
      </c>
      <c r="K482" s="186">
        <v>21</v>
      </c>
      <c r="L482" s="186">
        <v>28</v>
      </c>
      <c r="M482" s="186">
        <v>26</v>
      </c>
      <c r="N482" s="186" t="s">
        <v>427</v>
      </c>
      <c r="O482" s="186">
        <f t="shared" si="226"/>
        <v>111</v>
      </c>
      <c r="P482" s="186">
        <f t="shared" si="227"/>
        <v>100</v>
      </c>
      <c r="Q482" s="186" t="str">
        <f t="shared" si="228"/>
        <v>HW</v>
      </c>
      <c r="R482" s="186" t="str">
        <f t="shared" si="229"/>
        <v>HL</v>
      </c>
      <c r="S482" s="186" t="str">
        <f t="shared" si="230"/>
        <v>HL</v>
      </c>
      <c r="T482" s="186" t="str">
        <f t="shared" si="231"/>
        <v>HW</v>
      </c>
      <c r="U482" s="186" t="str">
        <f t="shared" si="232"/>
        <v>O</v>
      </c>
      <c r="V482" s="186" t="str">
        <f t="shared" si="233"/>
        <v>U</v>
      </c>
      <c r="W482" s="186" t="str">
        <f t="shared" si="234"/>
        <v>U</v>
      </c>
      <c r="X482" s="186" t="str">
        <f t="shared" si="235"/>
        <v>O</v>
      </c>
      <c r="Z482">
        <v>55.5</v>
      </c>
      <c r="AA482" s="90" t="str">
        <f t="shared" si="236"/>
        <v>MIL/ORL</v>
      </c>
    </row>
    <row r="483" spans="1:27" ht="17.100000000000001" x14ac:dyDescent="0.45">
      <c r="A483" s="86">
        <v>191229</v>
      </c>
      <c r="B483" s="87">
        <v>0.4375</v>
      </c>
      <c r="C483" s="86" t="s">
        <v>426</v>
      </c>
      <c r="D483" s="86" t="s">
        <v>422</v>
      </c>
      <c r="E483" s="186">
        <v>30</v>
      </c>
      <c r="F483" s="186">
        <v>29</v>
      </c>
      <c r="G483" s="186">
        <v>42</v>
      </c>
      <c r="H483" s="186">
        <v>35</v>
      </c>
      <c r="I483" s="186"/>
      <c r="J483" s="186">
        <v>28</v>
      </c>
      <c r="K483" s="186">
        <v>27</v>
      </c>
      <c r="L483" s="186">
        <v>25</v>
      </c>
      <c r="M483" s="186">
        <v>29</v>
      </c>
      <c r="N483" s="186" t="s">
        <v>427</v>
      </c>
      <c r="O483" s="186">
        <f t="shared" si="226"/>
        <v>136</v>
      </c>
      <c r="P483" s="186">
        <f t="shared" si="227"/>
        <v>109</v>
      </c>
      <c r="Q483" s="186" t="str">
        <f t="shared" si="228"/>
        <v>HW</v>
      </c>
      <c r="R483" s="186" t="str">
        <f t="shared" si="229"/>
        <v>HW</v>
      </c>
      <c r="S483" s="186" t="str">
        <f t="shared" si="230"/>
        <v>HW</v>
      </c>
      <c r="T483" s="186" t="str">
        <f t="shared" si="231"/>
        <v>HW</v>
      </c>
      <c r="U483" s="186" t="str">
        <f t="shared" si="232"/>
        <v>O</v>
      </c>
      <c r="V483" s="186" t="str">
        <f t="shared" si="233"/>
        <v>U</v>
      </c>
      <c r="W483" s="186" t="str">
        <f t="shared" si="234"/>
        <v>O</v>
      </c>
      <c r="X483" s="186" t="str">
        <f t="shared" si="235"/>
        <v>O</v>
      </c>
      <c r="Z483">
        <v>57</v>
      </c>
      <c r="AA483" s="90" t="str">
        <f t="shared" si="236"/>
        <v>SAS/DET</v>
      </c>
    </row>
    <row r="484" spans="1:27" ht="17.100000000000001" x14ac:dyDescent="0.45">
      <c r="A484" s="86">
        <v>191229</v>
      </c>
      <c r="B484" s="87">
        <v>0.45833333333333331</v>
      </c>
      <c r="C484" s="86" t="s">
        <v>416</v>
      </c>
      <c r="D484" s="86" t="s">
        <v>404</v>
      </c>
      <c r="E484" s="186">
        <v>30</v>
      </c>
      <c r="F484" s="186">
        <v>19</v>
      </c>
      <c r="G484" s="186">
        <v>28</v>
      </c>
      <c r="H484" s="186">
        <v>33</v>
      </c>
      <c r="I484" s="186"/>
      <c r="J484" s="186">
        <v>31</v>
      </c>
      <c r="K484" s="186">
        <v>28</v>
      </c>
      <c r="L484" s="186">
        <v>22</v>
      </c>
      <c r="M484" s="186">
        <v>31</v>
      </c>
      <c r="N484" s="186" t="s">
        <v>427</v>
      </c>
      <c r="O484" s="186">
        <f t="shared" si="226"/>
        <v>110</v>
      </c>
      <c r="P484" s="186">
        <f t="shared" si="227"/>
        <v>112</v>
      </c>
      <c r="Q484" s="186" t="str">
        <f t="shared" si="228"/>
        <v>HL</v>
      </c>
      <c r="R484" s="186" t="str">
        <f t="shared" si="229"/>
        <v>HL</v>
      </c>
      <c r="S484" s="186" t="str">
        <f t="shared" si="230"/>
        <v>HW</v>
      </c>
      <c r="T484" s="186" t="str">
        <f t="shared" si="231"/>
        <v>HW</v>
      </c>
      <c r="U484" s="186" t="str">
        <f t="shared" si="232"/>
        <v>O</v>
      </c>
      <c r="V484" s="186" t="str">
        <f t="shared" si="233"/>
        <v>U</v>
      </c>
      <c r="W484" s="186" t="str">
        <f t="shared" si="234"/>
        <v>U</v>
      </c>
      <c r="X484" s="186" t="str">
        <f t="shared" si="235"/>
        <v>O</v>
      </c>
      <c r="Z484">
        <v>53.5</v>
      </c>
      <c r="AA484" s="90" t="str">
        <f t="shared" si="236"/>
        <v>SAC/PHO</v>
      </c>
    </row>
    <row r="485" spans="1:27" ht="17.100000000000001" x14ac:dyDescent="0.45">
      <c r="A485" s="86">
        <v>191229</v>
      </c>
      <c r="B485" s="87">
        <v>0.5</v>
      </c>
      <c r="C485" s="86" t="s">
        <v>417</v>
      </c>
      <c r="D485" s="86" t="s">
        <v>419</v>
      </c>
      <c r="E485" s="186">
        <v>32</v>
      </c>
      <c r="F485" s="186">
        <v>32</v>
      </c>
      <c r="G485" s="186">
        <v>31</v>
      </c>
      <c r="H485" s="186">
        <v>25</v>
      </c>
      <c r="I485" s="186"/>
      <c r="J485" s="186">
        <v>34</v>
      </c>
      <c r="K485" s="186">
        <v>37</v>
      </c>
      <c r="L485" s="186">
        <v>32</v>
      </c>
      <c r="M485" s="186">
        <v>25</v>
      </c>
      <c r="N485" s="186" t="s">
        <v>427</v>
      </c>
      <c r="O485" s="186">
        <f t="shared" si="226"/>
        <v>120</v>
      </c>
      <c r="P485" s="186">
        <f t="shared" si="227"/>
        <v>128</v>
      </c>
      <c r="Q485" s="186" t="str">
        <f t="shared" si="228"/>
        <v>HL</v>
      </c>
      <c r="R485" s="186" t="str">
        <f t="shared" si="229"/>
        <v>HL</v>
      </c>
      <c r="S485" s="186" t="str">
        <f t="shared" si="230"/>
        <v>HL</v>
      </c>
      <c r="T485" s="186" t="str">
        <f t="shared" si="231"/>
        <v>TT</v>
      </c>
      <c r="U485" s="186" t="str">
        <f t="shared" si="232"/>
        <v>O</v>
      </c>
      <c r="V485" s="186" t="str">
        <f t="shared" si="233"/>
        <v>O</v>
      </c>
      <c r="W485" s="186" t="str">
        <f t="shared" si="234"/>
        <v>O</v>
      </c>
      <c r="X485" s="186" t="str">
        <f t="shared" si="235"/>
        <v>U</v>
      </c>
      <c r="Z485">
        <v>57.5</v>
      </c>
      <c r="AA485" s="90" t="str">
        <f t="shared" si="236"/>
        <v>POR/LAL</v>
      </c>
    </row>
    <row r="486" spans="1:27" ht="17.100000000000001" x14ac:dyDescent="0.45">
      <c r="A486" s="86">
        <v>191229</v>
      </c>
      <c r="B486" s="87">
        <v>0.52083333333333337</v>
      </c>
      <c r="C486" s="86" t="s">
        <v>415</v>
      </c>
      <c r="D486" s="86" t="s">
        <v>405</v>
      </c>
      <c r="E486" s="186">
        <v>32</v>
      </c>
      <c r="F486" s="186">
        <v>31</v>
      </c>
      <c r="G486" s="186">
        <v>29</v>
      </c>
      <c r="H486" s="186">
        <v>15</v>
      </c>
      <c r="I486" s="186"/>
      <c r="J486" s="186">
        <v>22</v>
      </c>
      <c r="K486" s="186">
        <v>39</v>
      </c>
      <c r="L486" s="186">
        <v>32</v>
      </c>
      <c r="M486" s="186">
        <v>27</v>
      </c>
      <c r="N486" s="186" t="s">
        <v>427</v>
      </c>
      <c r="O486" s="186">
        <f t="shared" si="226"/>
        <v>107</v>
      </c>
      <c r="P486" s="186">
        <f t="shared" si="227"/>
        <v>120</v>
      </c>
      <c r="Q486" s="186" t="str">
        <f t="shared" si="228"/>
        <v>HW</v>
      </c>
      <c r="R486" s="186" t="str">
        <f t="shared" si="229"/>
        <v>HL</v>
      </c>
      <c r="S486" s="186" t="str">
        <f t="shared" si="230"/>
        <v>HL</v>
      </c>
      <c r="T486" s="186" t="str">
        <f t="shared" si="231"/>
        <v>HL</v>
      </c>
      <c r="U486" s="186" t="str">
        <f t="shared" si="232"/>
        <v>U</v>
      </c>
      <c r="V486" s="186" t="str">
        <f t="shared" si="233"/>
        <v>O</v>
      </c>
      <c r="W486" s="186" t="str">
        <f t="shared" si="234"/>
        <v>O</v>
      </c>
      <c r="X486" s="186" t="str">
        <f t="shared" si="235"/>
        <v>U</v>
      </c>
      <c r="Z486">
        <v>55</v>
      </c>
      <c r="AA486" s="90" t="str">
        <f t="shared" si="236"/>
        <v>LAC/UTA</v>
      </c>
    </row>
    <row r="487" spans="1:27" ht="17.100000000000001" x14ac:dyDescent="0.45">
      <c r="A487" s="86">
        <v>191230</v>
      </c>
      <c r="B487" s="89">
        <v>0.33333333333333331</v>
      </c>
      <c r="C487" s="88" t="s">
        <v>413</v>
      </c>
      <c r="D487" s="88" t="s">
        <v>418</v>
      </c>
      <c r="E487" s="186">
        <v>20</v>
      </c>
      <c r="F487" s="186">
        <v>27</v>
      </c>
      <c r="G487" s="186">
        <v>33</v>
      </c>
      <c r="H487" s="186">
        <v>17</v>
      </c>
      <c r="I487" s="186"/>
      <c r="J487" s="186">
        <v>22</v>
      </c>
      <c r="K487" s="186">
        <v>25</v>
      </c>
      <c r="L487" s="186">
        <v>29</v>
      </c>
      <c r="M487" s="186">
        <v>22</v>
      </c>
      <c r="N487" s="186" t="s">
        <v>427</v>
      </c>
      <c r="O487" s="186">
        <f t="shared" si="226"/>
        <v>97</v>
      </c>
      <c r="P487" s="186">
        <f t="shared" si="227"/>
        <v>98</v>
      </c>
      <c r="Q487" s="186" t="str">
        <f t="shared" si="228"/>
        <v>HL</v>
      </c>
      <c r="R487" s="186" t="str">
        <f t="shared" si="229"/>
        <v>HW</v>
      </c>
      <c r="S487" s="186" t="str">
        <f t="shared" si="230"/>
        <v>HW</v>
      </c>
      <c r="T487" s="186" t="str">
        <f t="shared" si="231"/>
        <v>HL</v>
      </c>
      <c r="U487" s="186" t="str">
        <f t="shared" si="232"/>
        <v>U</v>
      </c>
      <c r="V487" s="186" t="str">
        <f t="shared" si="233"/>
        <v>U</v>
      </c>
      <c r="W487" s="186" t="str">
        <f t="shared" si="234"/>
        <v>O</v>
      </c>
      <c r="X487" s="186" t="str">
        <f t="shared" si="235"/>
        <v>U</v>
      </c>
      <c r="Z487">
        <v>54</v>
      </c>
      <c r="AA487" s="90" t="str">
        <f t="shared" si="236"/>
        <v>TOR/OKC</v>
      </c>
    </row>
    <row r="488" spans="1:27" ht="17.100000000000001" x14ac:dyDescent="0.45">
      <c r="A488" s="88">
        <v>191230</v>
      </c>
      <c r="B488" s="89">
        <v>0.41666666666666669</v>
      </c>
      <c r="C488" s="88" t="s">
        <v>398</v>
      </c>
      <c r="D488" s="88" t="s">
        <v>403</v>
      </c>
      <c r="E488" s="186">
        <v>36</v>
      </c>
      <c r="F488" s="186">
        <v>28</v>
      </c>
      <c r="G488" s="186">
        <v>22</v>
      </c>
      <c r="H488" s="186">
        <v>41</v>
      </c>
      <c r="I488" s="186"/>
      <c r="J488" s="186">
        <v>37</v>
      </c>
      <c r="K488" s="186">
        <v>27</v>
      </c>
      <c r="L488" s="186">
        <v>29</v>
      </c>
      <c r="M488" s="186">
        <v>19</v>
      </c>
      <c r="N488" s="186" t="s">
        <v>427</v>
      </c>
      <c r="O488" s="186">
        <f t="shared" si="226"/>
        <v>127</v>
      </c>
      <c r="P488" s="186">
        <f t="shared" si="227"/>
        <v>112</v>
      </c>
      <c r="Q488" s="186" t="str">
        <f t="shared" si="228"/>
        <v>HL</v>
      </c>
      <c r="R488" s="186" t="str">
        <f t="shared" si="229"/>
        <v>HW</v>
      </c>
      <c r="S488" s="186" t="str">
        <f t="shared" si="230"/>
        <v>HL</v>
      </c>
      <c r="T488" s="186" t="str">
        <f t="shared" si="231"/>
        <v>HW</v>
      </c>
      <c r="U488" s="186" t="str">
        <f t="shared" si="232"/>
        <v>O</v>
      </c>
      <c r="V488" s="186" t="str">
        <f t="shared" si="233"/>
        <v>U</v>
      </c>
      <c r="W488" s="186" t="str">
        <f t="shared" si="234"/>
        <v>U</v>
      </c>
      <c r="X488" s="186" t="str">
        <f t="shared" si="235"/>
        <v>O</v>
      </c>
      <c r="Z488">
        <v>57.5</v>
      </c>
      <c r="AA488" s="90" t="str">
        <f t="shared" si="236"/>
        <v>NO/HOU</v>
      </c>
    </row>
    <row r="489" spans="1:27" ht="17.100000000000001" x14ac:dyDescent="0.45">
      <c r="A489" s="88">
        <v>191230</v>
      </c>
      <c r="B489" s="89">
        <v>0.41666666666666669</v>
      </c>
      <c r="C489" s="88" t="s">
        <v>408</v>
      </c>
      <c r="D489" s="88" t="s">
        <v>416</v>
      </c>
      <c r="E489" s="186">
        <v>31</v>
      </c>
      <c r="F489" s="186">
        <v>31</v>
      </c>
      <c r="G489" s="186">
        <v>26</v>
      </c>
      <c r="H489" s="186">
        <v>32</v>
      </c>
      <c r="I489" s="186"/>
      <c r="J489" s="186">
        <v>32</v>
      </c>
      <c r="K489" s="186">
        <v>25</v>
      </c>
      <c r="L489" s="186">
        <v>24</v>
      </c>
      <c r="M489" s="186">
        <v>34</v>
      </c>
      <c r="N489" s="186" t="s">
        <v>427</v>
      </c>
      <c r="O489" s="186">
        <f t="shared" si="226"/>
        <v>120</v>
      </c>
      <c r="P489" s="186">
        <f t="shared" si="227"/>
        <v>115</v>
      </c>
      <c r="Q489" s="186" t="str">
        <f t="shared" si="228"/>
        <v>HL</v>
      </c>
      <c r="R489" s="186" t="str">
        <f t="shared" si="229"/>
        <v>HW</v>
      </c>
      <c r="S489" s="186" t="str">
        <f t="shared" si="230"/>
        <v>HW</v>
      </c>
      <c r="T489" s="186" t="str">
        <f t="shared" si="231"/>
        <v>HL</v>
      </c>
      <c r="U489" s="186" t="str">
        <f t="shared" si="232"/>
        <v>O</v>
      </c>
      <c r="V489" s="186" t="str">
        <f t="shared" si="233"/>
        <v>O</v>
      </c>
      <c r="W489" s="186" t="str">
        <f t="shared" si="234"/>
        <v>U</v>
      </c>
      <c r="X489" s="186" t="str">
        <f t="shared" si="235"/>
        <v>O</v>
      </c>
      <c r="Z489">
        <v>54</v>
      </c>
      <c r="AA489" s="90" t="str">
        <f t="shared" si="236"/>
        <v>DEN/SAC</v>
      </c>
    </row>
    <row r="490" spans="1:27" ht="17.100000000000001" x14ac:dyDescent="0.45">
      <c r="A490" s="88">
        <v>191230</v>
      </c>
      <c r="B490" s="89">
        <v>0.41666666666666669</v>
      </c>
      <c r="C490" s="88" t="s">
        <v>406</v>
      </c>
      <c r="D490" s="88" t="s">
        <v>409</v>
      </c>
      <c r="E490" s="186">
        <v>31</v>
      </c>
      <c r="F490" s="186">
        <v>25</v>
      </c>
      <c r="G490" s="186">
        <v>30</v>
      </c>
      <c r="H490" s="186">
        <v>31</v>
      </c>
      <c r="I490" s="186"/>
      <c r="J490" s="186">
        <v>20</v>
      </c>
      <c r="K490" s="186">
        <v>26</v>
      </c>
      <c r="L490" s="186">
        <v>29</v>
      </c>
      <c r="M490" s="186">
        <v>29</v>
      </c>
      <c r="N490" s="186" t="s">
        <v>427</v>
      </c>
      <c r="O490" s="186">
        <f t="shared" si="226"/>
        <v>117</v>
      </c>
      <c r="P490" s="186">
        <f t="shared" si="227"/>
        <v>104</v>
      </c>
      <c r="Q490" s="186" t="str">
        <f t="shared" si="228"/>
        <v>HW</v>
      </c>
      <c r="R490" s="186" t="str">
        <f t="shared" si="229"/>
        <v>HL</v>
      </c>
      <c r="S490" s="186" t="str">
        <f t="shared" si="230"/>
        <v>HW</v>
      </c>
      <c r="T490" s="186" t="str">
        <f t="shared" si="231"/>
        <v>HW</v>
      </c>
      <c r="U490" s="186" t="str">
        <f t="shared" si="232"/>
        <v>U</v>
      </c>
      <c r="V490" s="186" t="str">
        <f t="shared" si="233"/>
        <v>U</v>
      </c>
      <c r="W490" s="186" t="str">
        <f t="shared" si="234"/>
        <v>O</v>
      </c>
      <c r="X490" s="186" t="str">
        <f t="shared" si="235"/>
        <v>O</v>
      </c>
      <c r="Z490">
        <v>56.5</v>
      </c>
      <c r="AA490" s="90" t="str">
        <f t="shared" si="236"/>
        <v>MEM/CHA</v>
      </c>
    </row>
    <row r="491" spans="1:27" ht="17.100000000000001" x14ac:dyDescent="0.45">
      <c r="A491" s="88">
        <v>191230</v>
      </c>
      <c r="B491" s="89">
        <v>0.47916666666666669</v>
      </c>
      <c r="C491" s="88" t="s">
        <v>419</v>
      </c>
      <c r="D491" s="88" t="s">
        <v>397</v>
      </c>
      <c r="E491" s="186">
        <v>25</v>
      </c>
      <c r="F491" s="186">
        <v>29</v>
      </c>
      <c r="G491" s="186">
        <v>30</v>
      </c>
      <c r="H491" s="186">
        <v>24</v>
      </c>
      <c r="I491" s="186"/>
      <c r="J491" s="186">
        <v>19</v>
      </c>
      <c r="K491" s="186">
        <v>24</v>
      </c>
      <c r="L491" s="186">
        <v>26</v>
      </c>
      <c r="M491" s="186">
        <v>26</v>
      </c>
      <c r="N491" s="186" t="s">
        <v>427</v>
      </c>
      <c r="O491" s="186">
        <f t="shared" si="226"/>
        <v>108</v>
      </c>
      <c r="P491" s="186">
        <f t="shared" si="227"/>
        <v>95</v>
      </c>
      <c r="Q491" s="186" t="str">
        <f t="shared" si="228"/>
        <v>HW</v>
      </c>
      <c r="R491" s="186" t="str">
        <f t="shared" si="229"/>
        <v>HW</v>
      </c>
      <c r="S491" s="186" t="str">
        <f t="shared" si="230"/>
        <v>HW</v>
      </c>
      <c r="T491" s="186" t="str">
        <f t="shared" si="231"/>
        <v>HL</v>
      </c>
      <c r="U491" s="186" t="str">
        <f t="shared" si="232"/>
        <v>U</v>
      </c>
      <c r="V491" s="186" t="str">
        <f t="shared" si="233"/>
        <v>U</v>
      </c>
      <c r="W491" s="186" t="str">
        <f t="shared" si="234"/>
        <v>U</v>
      </c>
      <c r="X491" s="186" t="str">
        <f t="shared" si="235"/>
        <v>U</v>
      </c>
      <c r="Z491">
        <v>58</v>
      </c>
      <c r="AA491" s="90" t="str">
        <f t="shared" si="236"/>
        <v>LAL/DAL</v>
      </c>
    </row>
    <row r="492" spans="1:27" ht="17.100000000000001" x14ac:dyDescent="0.45">
      <c r="A492" s="88">
        <v>191231</v>
      </c>
      <c r="B492" s="91">
        <v>0.375</v>
      </c>
      <c r="C492" s="90" t="s">
        <v>424</v>
      </c>
      <c r="D492" s="90" t="s">
        <v>410</v>
      </c>
      <c r="E492" s="186">
        <v>21</v>
      </c>
      <c r="F492" s="186">
        <v>36</v>
      </c>
      <c r="G492" s="186">
        <v>15</v>
      </c>
      <c r="H492" s="186">
        <v>21</v>
      </c>
      <c r="I492" s="186"/>
      <c r="J492" s="186">
        <v>25</v>
      </c>
      <c r="K492" s="186">
        <v>22</v>
      </c>
      <c r="L492" s="186">
        <v>27</v>
      </c>
      <c r="M492" s="186">
        <v>27</v>
      </c>
      <c r="N492" s="186" t="s">
        <v>427</v>
      </c>
      <c r="O492" s="186">
        <f t="shared" si="226"/>
        <v>93</v>
      </c>
      <c r="P492" s="186">
        <f t="shared" si="227"/>
        <v>101</v>
      </c>
      <c r="Q492" s="186" t="str">
        <f t="shared" si="228"/>
        <v>HL</v>
      </c>
      <c r="R492" s="186" t="str">
        <f t="shared" si="229"/>
        <v>HW</v>
      </c>
      <c r="S492" s="186" t="str">
        <f t="shared" si="230"/>
        <v>HL</v>
      </c>
      <c r="T492" s="186" t="str">
        <f t="shared" si="231"/>
        <v>HL</v>
      </c>
      <c r="U492" s="186" t="str">
        <f t="shared" si="232"/>
        <v>U</v>
      </c>
      <c r="V492" s="186" t="str">
        <f t="shared" si="233"/>
        <v>O</v>
      </c>
      <c r="W492" s="186" t="str">
        <f t="shared" si="234"/>
        <v>U</v>
      </c>
      <c r="X492" s="186" t="str">
        <f t="shared" si="235"/>
        <v>U</v>
      </c>
      <c r="Z492">
        <v>54</v>
      </c>
      <c r="AA492" s="90" t="str">
        <f t="shared" si="236"/>
        <v>ORL/ATL</v>
      </c>
    </row>
    <row r="493" spans="1:27" ht="17.100000000000001" x14ac:dyDescent="0.45">
      <c r="A493" s="90">
        <v>191231</v>
      </c>
      <c r="B493" s="91">
        <v>0.375</v>
      </c>
      <c r="C493" s="90" t="s">
        <v>414</v>
      </c>
      <c r="D493" s="90" t="s">
        <v>411</v>
      </c>
      <c r="E493" s="186">
        <v>29</v>
      </c>
      <c r="F493" s="186">
        <v>42</v>
      </c>
      <c r="G493" s="186">
        <v>19</v>
      </c>
      <c r="H493" s="186">
        <v>33</v>
      </c>
      <c r="I493" s="186"/>
      <c r="J493" s="186">
        <v>39</v>
      </c>
      <c r="K493" s="186">
        <v>24</v>
      </c>
      <c r="L493" s="186">
        <v>18</v>
      </c>
      <c r="M493" s="186">
        <v>24</v>
      </c>
      <c r="N493" s="186" t="s">
        <v>427</v>
      </c>
      <c r="O493" s="186">
        <f t="shared" si="226"/>
        <v>123</v>
      </c>
      <c r="P493" s="186">
        <f t="shared" si="227"/>
        <v>105</v>
      </c>
      <c r="Q493" s="186" t="str">
        <f t="shared" si="228"/>
        <v>HL</v>
      </c>
      <c r="R493" s="186" t="str">
        <f t="shared" si="229"/>
        <v>HW</v>
      </c>
      <c r="S493" s="186" t="str">
        <f t="shared" si="230"/>
        <v>HW</v>
      </c>
      <c r="T493" s="186" t="str">
        <f t="shared" si="231"/>
        <v>HW</v>
      </c>
      <c r="U493" s="186" t="str">
        <f t="shared" si="232"/>
        <v>O</v>
      </c>
      <c r="V493" s="186" t="str">
        <f t="shared" si="233"/>
        <v>O</v>
      </c>
      <c r="W493" s="186" t="str">
        <f t="shared" si="234"/>
        <v>U</v>
      </c>
      <c r="X493" s="186" t="str">
        <f t="shared" si="235"/>
        <v>U</v>
      </c>
      <c r="Z493">
        <v>57.5</v>
      </c>
      <c r="AA493" s="90" t="str">
        <f t="shared" si="236"/>
        <v>WAS/MIA</v>
      </c>
    </row>
    <row r="494" spans="1:27" ht="17.100000000000001" x14ac:dyDescent="0.45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86">
        <v>20</v>
      </c>
      <c r="F494" s="186">
        <v>32</v>
      </c>
      <c r="G494" s="186">
        <v>25</v>
      </c>
      <c r="H494" s="186">
        <v>25</v>
      </c>
      <c r="I494" s="186"/>
      <c r="J494" s="186">
        <v>31</v>
      </c>
      <c r="K494" s="186">
        <v>24</v>
      </c>
      <c r="L494" s="186">
        <v>40</v>
      </c>
      <c r="M494" s="186">
        <v>28</v>
      </c>
      <c r="N494" s="186" t="s">
        <v>427</v>
      </c>
      <c r="O494" s="186">
        <f t="shared" si="226"/>
        <v>102</v>
      </c>
      <c r="P494" s="186">
        <f t="shared" si="227"/>
        <v>123</v>
      </c>
      <c r="Q494" s="186" t="str">
        <f t="shared" si="228"/>
        <v>HL</v>
      </c>
      <c r="R494" s="186" t="str">
        <f t="shared" si="229"/>
        <v>HW</v>
      </c>
      <c r="S494" s="186" t="str">
        <f t="shared" si="230"/>
        <v>HL</v>
      </c>
      <c r="T494" s="186" t="str">
        <f t="shared" si="231"/>
        <v>HL</v>
      </c>
      <c r="U494" s="186" t="str">
        <f t="shared" si="232"/>
        <v>U</v>
      </c>
      <c r="V494" s="186" t="str">
        <f t="shared" si="233"/>
        <v>O</v>
      </c>
      <c r="W494" s="186" t="str">
        <f t="shared" si="234"/>
        <v>O</v>
      </c>
      <c r="X494" s="186" t="str">
        <f t="shared" si="235"/>
        <v>U</v>
      </c>
      <c r="Z494">
        <v>55</v>
      </c>
      <c r="AA494" s="90" t="str">
        <f t="shared" si="236"/>
        <v>CHI/MIL</v>
      </c>
    </row>
    <row r="495" spans="1:27" ht="17.100000000000001" x14ac:dyDescent="0.45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86">
        <v>27</v>
      </c>
      <c r="F495" s="186">
        <v>22</v>
      </c>
      <c r="G495" s="186">
        <v>25</v>
      </c>
      <c r="H495" s="186">
        <v>29</v>
      </c>
      <c r="I495" s="186">
        <v>19</v>
      </c>
      <c r="J495" s="186">
        <v>29</v>
      </c>
      <c r="K495" s="186">
        <v>21</v>
      </c>
      <c r="L495" s="186">
        <v>30</v>
      </c>
      <c r="M495" s="186">
        <v>23</v>
      </c>
      <c r="N495" s="186">
        <v>12</v>
      </c>
      <c r="O495" s="186">
        <f t="shared" ref="O495:O517" si="237">SUM(E495:I495)</f>
        <v>122</v>
      </c>
      <c r="P495" s="186">
        <f t="shared" ref="P495:P517" si="238">SUM(J495:N495)</f>
        <v>115</v>
      </c>
      <c r="Q495" s="186" t="str">
        <f t="shared" ref="Q495:Q517" si="239">IF(E495=J495,"TT",IF(E495&gt;J495,"HW","HL"))</f>
        <v>HL</v>
      </c>
      <c r="R495" s="186" t="str">
        <f t="shared" ref="R495:R517" si="240">IF(F495=K495,"TT",IF(F495&gt;K495,"HW","HL"))</f>
        <v>HW</v>
      </c>
      <c r="S495" s="186" t="str">
        <f t="shared" ref="S495:S517" si="241">IF(G495=L495,"TT",IF(G495&gt;L495,"HW","HL"))</f>
        <v>HL</v>
      </c>
      <c r="T495" s="186" t="str">
        <f t="shared" ref="T495:T517" si="242">IF(H495=M495,"TT",IF(H495&gt;M495,"HW","HL"))</f>
        <v>HW</v>
      </c>
      <c r="U495" s="186" t="str">
        <f t="shared" ref="U495:U517" si="243">IF(SUM(E495,J495)=$Z495,"T",IF(SUM(E495,J495)&gt;$Z495,"O","U"))</f>
        <v>O</v>
      </c>
      <c r="V495" s="186" t="str">
        <f t="shared" ref="V495:V517" si="244">IF(SUM(F495,K495)=$Z495,"T",IF(SUM(F495,K495)&gt;$Z495,"O","U"))</f>
        <v>U</v>
      </c>
      <c r="W495" s="186" t="str">
        <f t="shared" ref="W495:W517" si="245">IF(SUM(G495,L495)=$Z495,"T",IF(SUM(G495,L495)&gt;$Z495,"O","U"))</f>
        <v>O</v>
      </c>
      <c r="X495" s="186" t="str">
        <f t="shared" ref="X495:X517" si="246">IF(SUM(H495,M495)=$Z495,"T",IF(SUM(H495,M495)&gt;$Z495,"O","U"))</f>
        <v>U</v>
      </c>
      <c r="Z495">
        <v>53.5</v>
      </c>
      <c r="AA495" s="90" t="str">
        <f t="shared" si="236"/>
        <v>MIN/BKN</v>
      </c>
    </row>
    <row r="496" spans="1:27" ht="17.100000000000001" x14ac:dyDescent="0.45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86">
        <v>19</v>
      </c>
      <c r="F496" s="186">
        <v>20</v>
      </c>
      <c r="G496" s="186">
        <v>29</v>
      </c>
      <c r="H496" s="186">
        <v>36</v>
      </c>
      <c r="I496" s="186"/>
      <c r="J496" s="186">
        <v>21</v>
      </c>
      <c r="K496" s="186">
        <v>19</v>
      </c>
      <c r="L496" s="186">
        <v>18</v>
      </c>
      <c r="M496" s="186">
        <v>23</v>
      </c>
      <c r="N496" s="186" t="s">
        <v>427</v>
      </c>
      <c r="O496" s="186">
        <f t="shared" si="237"/>
        <v>104</v>
      </c>
      <c r="P496" s="186">
        <f t="shared" si="238"/>
        <v>81</v>
      </c>
      <c r="Q496" s="186" t="str">
        <f t="shared" si="239"/>
        <v>HL</v>
      </c>
      <c r="R496" s="186" t="str">
        <f t="shared" si="240"/>
        <v>HW</v>
      </c>
      <c r="S496" s="186" t="str">
        <f t="shared" si="241"/>
        <v>HW</v>
      </c>
      <c r="T496" s="186" t="str">
        <f t="shared" si="242"/>
        <v>HW</v>
      </c>
      <c r="U496" s="186" t="str">
        <f t="shared" si="243"/>
        <v>U</v>
      </c>
      <c r="V496" s="186" t="str">
        <f t="shared" si="244"/>
        <v>U</v>
      </c>
      <c r="W496" s="186" t="str">
        <f t="shared" si="245"/>
        <v>U</v>
      </c>
      <c r="X496" s="186" t="str">
        <f t="shared" si="246"/>
        <v>O</v>
      </c>
      <c r="Z496">
        <v>56</v>
      </c>
      <c r="AA496" s="90" t="str">
        <f t="shared" si="236"/>
        <v>UTA/DET</v>
      </c>
    </row>
    <row r="497" spans="1:27" ht="17.100000000000001" x14ac:dyDescent="0.45">
      <c r="A497" s="90">
        <v>191231</v>
      </c>
      <c r="B497" s="91">
        <v>0.5</v>
      </c>
      <c r="C497" s="90" t="s">
        <v>417</v>
      </c>
      <c r="D497" s="90" t="s">
        <v>404</v>
      </c>
      <c r="E497" s="186">
        <v>38</v>
      </c>
      <c r="F497" s="186">
        <v>26</v>
      </c>
      <c r="G497" s="186">
        <v>25</v>
      </c>
      <c r="H497" s="186">
        <v>27</v>
      </c>
      <c r="I497" s="186"/>
      <c r="J497" s="186">
        <v>19</v>
      </c>
      <c r="K497" s="186">
        <v>36</v>
      </c>
      <c r="L497" s="186">
        <v>28</v>
      </c>
      <c r="M497" s="186">
        <v>39</v>
      </c>
      <c r="N497" s="186" t="s">
        <v>427</v>
      </c>
      <c r="O497" s="186">
        <f t="shared" si="237"/>
        <v>116</v>
      </c>
      <c r="P497" s="186">
        <f t="shared" si="238"/>
        <v>122</v>
      </c>
      <c r="Q497" s="186" t="str">
        <f t="shared" si="239"/>
        <v>HW</v>
      </c>
      <c r="R497" s="186" t="str">
        <f t="shared" si="240"/>
        <v>HL</v>
      </c>
      <c r="S497" s="186" t="str">
        <f t="shared" si="241"/>
        <v>HL</v>
      </c>
      <c r="T497" s="186" t="str">
        <f t="shared" si="242"/>
        <v>HL</v>
      </c>
      <c r="U497" s="186" t="str">
        <f t="shared" si="243"/>
        <v>O</v>
      </c>
      <c r="V497" s="186" t="str">
        <f t="shared" si="244"/>
        <v>O</v>
      </c>
      <c r="W497" s="186" t="str">
        <f t="shared" si="245"/>
        <v>U</v>
      </c>
      <c r="X497" s="186" t="str">
        <f t="shared" si="246"/>
        <v>O</v>
      </c>
      <c r="Z497">
        <v>56.5</v>
      </c>
      <c r="AA497" s="90" t="str">
        <f t="shared" si="236"/>
        <v>POR/PHO</v>
      </c>
    </row>
    <row r="498" spans="1:27" ht="17.100000000000001" x14ac:dyDescent="0.45">
      <c r="A498">
        <v>200101</v>
      </c>
      <c r="B498" s="93">
        <v>0.20833333333333334</v>
      </c>
      <c r="C498" s="92" t="s">
        <v>400</v>
      </c>
      <c r="D498" s="92" t="s">
        <v>401</v>
      </c>
      <c r="E498" s="186">
        <v>29</v>
      </c>
      <c r="F498" s="186">
        <v>38</v>
      </c>
      <c r="G498" s="186">
        <v>29</v>
      </c>
      <c r="H498" s="186">
        <v>19</v>
      </c>
      <c r="I498" s="186"/>
      <c r="J498" s="186">
        <v>27</v>
      </c>
      <c r="K498" s="186">
        <v>16</v>
      </c>
      <c r="L498" s="186">
        <v>23</v>
      </c>
      <c r="M498" s="186">
        <v>31</v>
      </c>
      <c r="N498" s="186" t="s">
        <v>427</v>
      </c>
      <c r="O498" s="186">
        <f t="shared" si="237"/>
        <v>115</v>
      </c>
      <c r="P498" s="186">
        <f t="shared" si="238"/>
        <v>97</v>
      </c>
      <c r="Q498" s="186" t="str">
        <f t="shared" si="239"/>
        <v>HW</v>
      </c>
      <c r="R498" s="186" t="str">
        <f t="shared" si="240"/>
        <v>HW</v>
      </c>
      <c r="S498" s="186" t="str">
        <f t="shared" si="241"/>
        <v>HW</v>
      </c>
      <c r="T498" s="186" t="str">
        <f t="shared" si="242"/>
        <v>HL</v>
      </c>
      <c r="U498" s="186" t="str">
        <f t="shared" si="243"/>
        <v>O</v>
      </c>
      <c r="V498" s="186" t="str">
        <f t="shared" si="244"/>
        <v>O</v>
      </c>
      <c r="W498" s="186" t="str">
        <f t="shared" si="245"/>
        <v>U</v>
      </c>
      <c r="X498" s="186" t="str">
        <f t="shared" si="246"/>
        <v>U</v>
      </c>
      <c r="Z498">
        <v>53</v>
      </c>
      <c r="AA498" s="98" t="str">
        <f t="shared" si="236"/>
        <v>IND/PHI</v>
      </c>
    </row>
    <row r="499" spans="1:27" ht="17.100000000000001" x14ac:dyDescent="0.45">
      <c r="A499" s="92">
        <v>200101</v>
      </c>
      <c r="B499" s="93">
        <v>0.20833333333333334</v>
      </c>
      <c r="C499" s="92" t="s">
        <v>409</v>
      </c>
      <c r="D499" s="92" t="s">
        <v>421</v>
      </c>
      <c r="E499" s="186">
        <v>18</v>
      </c>
      <c r="F499" s="186">
        <v>25</v>
      </c>
      <c r="G499" s="186">
        <v>30</v>
      </c>
      <c r="H499" s="186">
        <v>19</v>
      </c>
      <c r="I499" s="186"/>
      <c r="J499" s="186">
        <v>24</v>
      </c>
      <c r="K499" s="186">
        <v>26</v>
      </c>
      <c r="L499" s="186">
        <v>30</v>
      </c>
      <c r="M499" s="186">
        <v>29</v>
      </c>
      <c r="N499" s="186" t="s">
        <v>427</v>
      </c>
      <c r="O499" s="186">
        <f t="shared" si="237"/>
        <v>92</v>
      </c>
      <c r="P499" s="186">
        <f t="shared" si="238"/>
        <v>109</v>
      </c>
      <c r="Q499" s="186" t="str">
        <f t="shared" si="239"/>
        <v>HL</v>
      </c>
      <c r="R499" s="186" t="str">
        <f t="shared" si="240"/>
        <v>HL</v>
      </c>
      <c r="S499" s="186" t="str">
        <f t="shared" si="241"/>
        <v>TT</v>
      </c>
      <c r="T499" s="186" t="str">
        <f t="shared" si="242"/>
        <v>HL</v>
      </c>
      <c r="U499" s="186" t="str">
        <f t="shared" si="243"/>
        <v>U</v>
      </c>
      <c r="V499" s="186" t="str">
        <f t="shared" si="244"/>
        <v>U</v>
      </c>
      <c r="W499" s="186" t="str">
        <f t="shared" si="245"/>
        <v>O</v>
      </c>
      <c r="X499" s="186" t="str">
        <f t="shared" si="246"/>
        <v>U</v>
      </c>
      <c r="Z499">
        <v>52.5</v>
      </c>
      <c r="AA499" s="98" t="str">
        <f t="shared" si="236"/>
        <v>CHA/BOS</v>
      </c>
    </row>
    <row r="500" spans="1:27" ht="17.100000000000001" x14ac:dyDescent="0.45">
      <c r="A500" s="92">
        <v>200101</v>
      </c>
      <c r="B500" s="93">
        <v>0.29166666666666669</v>
      </c>
      <c r="C500" s="92" t="s">
        <v>416</v>
      </c>
      <c r="D500" s="92" t="s">
        <v>415</v>
      </c>
      <c r="E500" s="186">
        <v>23</v>
      </c>
      <c r="F500" s="186">
        <v>17</v>
      </c>
      <c r="G500" s="186">
        <v>33</v>
      </c>
      <c r="H500" s="186">
        <v>14</v>
      </c>
      <c r="I500" s="186"/>
      <c r="J500" s="186">
        <v>28</v>
      </c>
      <c r="K500" s="186">
        <v>29</v>
      </c>
      <c r="L500" s="186">
        <v>31</v>
      </c>
      <c r="M500" s="186">
        <v>17</v>
      </c>
      <c r="N500" s="186" t="s">
        <v>427</v>
      </c>
      <c r="O500" s="186">
        <f t="shared" si="237"/>
        <v>87</v>
      </c>
      <c r="P500" s="186">
        <f t="shared" si="238"/>
        <v>105</v>
      </c>
      <c r="Q500" s="186" t="str">
        <f t="shared" si="239"/>
        <v>HL</v>
      </c>
      <c r="R500" s="186" t="str">
        <f t="shared" si="240"/>
        <v>HL</v>
      </c>
      <c r="S500" s="186" t="str">
        <f t="shared" si="241"/>
        <v>HW</v>
      </c>
      <c r="T500" s="186" t="str">
        <f t="shared" si="242"/>
        <v>HL</v>
      </c>
      <c r="U500" s="186" t="str">
        <f t="shared" si="243"/>
        <v>U</v>
      </c>
      <c r="V500" s="186" t="str">
        <f t="shared" si="244"/>
        <v>U</v>
      </c>
      <c r="W500" s="186" t="str">
        <f t="shared" si="245"/>
        <v>O</v>
      </c>
      <c r="X500" s="186" t="str">
        <f t="shared" si="246"/>
        <v>U</v>
      </c>
      <c r="Z500">
        <v>57</v>
      </c>
      <c r="AA500" s="98" t="str">
        <f t="shared" si="236"/>
        <v>SAC/LAC</v>
      </c>
    </row>
    <row r="501" spans="1:27" ht="17.100000000000001" x14ac:dyDescent="0.45">
      <c r="A501" s="92">
        <v>200101</v>
      </c>
      <c r="B501" s="93">
        <v>0.375</v>
      </c>
      <c r="C501" s="92" t="s">
        <v>403</v>
      </c>
      <c r="D501" s="92" t="s">
        <v>408</v>
      </c>
      <c r="E501" s="186">
        <v>38</v>
      </c>
      <c r="F501" s="186">
        <v>31</v>
      </c>
      <c r="G501" s="186">
        <v>23</v>
      </c>
      <c r="H501" s="186">
        <v>38</v>
      </c>
      <c r="I501" s="186"/>
      <c r="J501" s="186">
        <v>26</v>
      </c>
      <c r="K501" s="186">
        <v>26</v>
      </c>
      <c r="L501" s="186">
        <v>37</v>
      </c>
      <c r="M501" s="186">
        <v>15</v>
      </c>
      <c r="N501" s="186" t="s">
        <v>427</v>
      </c>
      <c r="O501" s="186">
        <f t="shared" si="237"/>
        <v>130</v>
      </c>
      <c r="P501" s="186">
        <f t="shared" si="238"/>
        <v>104</v>
      </c>
      <c r="Q501" s="186" t="str">
        <f t="shared" si="239"/>
        <v>HW</v>
      </c>
      <c r="R501" s="186" t="str">
        <f t="shared" si="240"/>
        <v>HW</v>
      </c>
      <c r="S501" s="186" t="str">
        <f t="shared" si="241"/>
        <v>HL</v>
      </c>
      <c r="T501" s="186" t="str">
        <f t="shared" si="242"/>
        <v>HW</v>
      </c>
      <c r="U501" s="186" t="str">
        <f t="shared" si="243"/>
        <v>O</v>
      </c>
      <c r="V501" s="186" t="str">
        <f t="shared" si="244"/>
        <v>U</v>
      </c>
      <c r="W501" s="186" t="str">
        <f t="shared" si="245"/>
        <v>O</v>
      </c>
      <c r="X501" s="186" t="str">
        <f t="shared" si="246"/>
        <v>U</v>
      </c>
      <c r="Z501">
        <v>58</v>
      </c>
      <c r="AA501" s="98" t="str">
        <f t="shared" si="236"/>
        <v>HOU/DEN</v>
      </c>
    </row>
    <row r="502" spans="1:27" ht="17.100000000000001" x14ac:dyDescent="0.45">
      <c r="A502" s="92">
        <v>200101</v>
      </c>
      <c r="B502" s="93">
        <v>0.375</v>
      </c>
      <c r="C502" s="92" t="s">
        <v>426</v>
      </c>
      <c r="D502" s="92" t="s">
        <v>425</v>
      </c>
      <c r="E502" s="186">
        <v>25</v>
      </c>
      <c r="F502" s="186">
        <v>28</v>
      </c>
      <c r="G502" s="186">
        <v>24</v>
      </c>
      <c r="H502" s="186">
        <v>23</v>
      </c>
      <c r="I502" s="186">
        <v>17</v>
      </c>
      <c r="J502" s="186">
        <v>32</v>
      </c>
      <c r="K502" s="186">
        <v>23</v>
      </c>
      <c r="L502" s="186">
        <v>20</v>
      </c>
      <c r="M502" s="186">
        <v>25</v>
      </c>
      <c r="N502" s="186">
        <v>13</v>
      </c>
      <c r="O502" s="186">
        <f t="shared" si="237"/>
        <v>117</v>
      </c>
      <c r="P502" s="186">
        <f t="shared" si="238"/>
        <v>113</v>
      </c>
      <c r="Q502" s="186" t="str">
        <f t="shared" si="239"/>
        <v>HL</v>
      </c>
      <c r="R502" s="186" t="str">
        <f t="shared" si="240"/>
        <v>HW</v>
      </c>
      <c r="S502" s="186" t="str">
        <f t="shared" si="241"/>
        <v>HW</v>
      </c>
      <c r="T502" s="186" t="str">
        <f t="shared" si="242"/>
        <v>HL</v>
      </c>
      <c r="U502" s="186" t="str">
        <f t="shared" si="243"/>
        <v>O</v>
      </c>
      <c r="V502" s="186" t="str">
        <f t="shared" si="244"/>
        <v>U</v>
      </c>
      <c r="W502" s="186" t="str">
        <f t="shared" si="245"/>
        <v>U</v>
      </c>
      <c r="X502" s="186" t="str">
        <f t="shared" si="246"/>
        <v>U</v>
      </c>
      <c r="Z502">
        <v>56</v>
      </c>
      <c r="AA502" s="98" t="str">
        <f t="shared" si="236"/>
        <v>SAS/GS</v>
      </c>
    </row>
    <row r="503" spans="1:27" ht="17.100000000000001" x14ac:dyDescent="0.45">
      <c r="A503" s="92">
        <v>200101</v>
      </c>
      <c r="B503" s="93">
        <v>0.375</v>
      </c>
      <c r="C503" s="92" t="s">
        <v>413</v>
      </c>
      <c r="D503" s="92" t="s">
        <v>402</v>
      </c>
      <c r="E503" s="186">
        <v>27</v>
      </c>
      <c r="F503" s="186">
        <v>32</v>
      </c>
      <c r="G503" s="186">
        <v>27</v>
      </c>
      <c r="H503" s="186">
        <v>31</v>
      </c>
      <c r="I503" s="186"/>
      <c r="J503" s="186">
        <v>25</v>
      </c>
      <c r="K503" s="186">
        <v>18</v>
      </c>
      <c r="L503" s="186">
        <v>26</v>
      </c>
      <c r="M503" s="186">
        <v>28</v>
      </c>
      <c r="N503" s="186" t="s">
        <v>427</v>
      </c>
      <c r="O503" s="186">
        <f t="shared" si="237"/>
        <v>117</v>
      </c>
      <c r="P503" s="186">
        <f t="shared" si="238"/>
        <v>97</v>
      </c>
      <c r="Q503" s="186" t="str">
        <f t="shared" si="239"/>
        <v>HW</v>
      </c>
      <c r="R503" s="186" t="str">
        <f t="shared" si="240"/>
        <v>HW</v>
      </c>
      <c r="S503" s="186" t="str">
        <f t="shared" si="241"/>
        <v>HW</v>
      </c>
      <c r="T503" s="186" t="str">
        <f t="shared" si="242"/>
        <v>HW</v>
      </c>
      <c r="U503" s="186" t="str">
        <f t="shared" si="243"/>
        <v>U</v>
      </c>
      <c r="V503" s="186" t="str">
        <f t="shared" si="244"/>
        <v>U</v>
      </c>
      <c r="W503" s="186" t="str">
        <f t="shared" si="245"/>
        <v>U</v>
      </c>
      <c r="X503" s="186" t="str">
        <f t="shared" si="246"/>
        <v>O</v>
      </c>
      <c r="Z503">
        <v>53.5</v>
      </c>
      <c r="AA503" s="98" t="str">
        <f t="shared" si="236"/>
        <v>TOR/CLE</v>
      </c>
    </row>
    <row r="504" spans="1:27" ht="17.100000000000001" x14ac:dyDescent="0.45">
      <c r="A504" s="92">
        <v>200101</v>
      </c>
      <c r="B504" s="93">
        <v>0.41666666666666669</v>
      </c>
      <c r="C504" s="92" t="s">
        <v>418</v>
      </c>
      <c r="D504" s="92" t="s">
        <v>397</v>
      </c>
      <c r="E504" s="186">
        <v>20</v>
      </c>
      <c r="F504" s="186">
        <v>30</v>
      </c>
      <c r="G504" s="186">
        <v>27</v>
      </c>
      <c r="H504" s="186">
        <v>29</v>
      </c>
      <c r="I504" s="186"/>
      <c r="J504" s="186">
        <v>32</v>
      </c>
      <c r="K504" s="186">
        <v>19</v>
      </c>
      <c r="L504" s="186">
        <v>27</v>
      </c>
      <c r="M504" s="186">
        <v>23</v>
      </c>
      <c r="N504" s="186" t="s">
        <v>427</v>
      </c>
      <c r="O504" s="186">
        <f t="shared" si="237"/>
        <v>106</v>
      </c>
      <c r="P504" s="186">
        <f t="shared" si="238"/>
        <v>101</v>
      </c>
      <c r="Q504" s="186" t="str">
        <f t="shared" si="239"/>
        <v>HL</v>
      </c>
      <c r="R504" s="186" t="str">
        <f t="shared" si="240"/>
        <v>HW</v>
      </c>
      <c r="S504" s="186" t="str">
        <f t="shared" si="241"/>
        <v>TT</v>
      </c>
      <c r="T504" s="186" t="str">
        <f t="shared" si="242"/>
        <v>HW</v>
      </c>
      <c r="U504" s="186" t="str">
        <f t="shared" si="243"/>
        <v>U</v>
      </c>
      <c r="V504" s="186" t="str">
        <f t="shared" si="244"/>
        <v>U</v>
      </c>
      <c r="W504" s="186" t="str">
        <f t="shared" si="245"/>
        <v>U</v>
      </c>
      <c r="X504" s="186" t="str">
        <f t="shared" si="246"/>
        <v>U</v>
      </c>
      <c r="Z504">
        <v>56.5</v>
      </c>
      <c r="AA504" s="98" t="str">
        <f t="shared" si="236"/>
        <v>OKC/DAL</v>
      </c>
    </row>
    <row r="505" spans="1:27" ht="17.100000000000001" x14ac:dyDescent="0.45">
      <c r="A505" s="92">
        <v>200102</v>
      </c>
      <c r="B505" s="95">
        <v>0.33333333333333331</v>
      </c>
      <c r="C505" s="94" t="s">
        <v>414</v>
      </c>
      <c r="D505" s="94" t="s">
        <v>424</v>
      </c>
      <c r="E505" s="186">
        <v>29</v>
      </c>
      <c r="F505" s="186">
        <v>29</v>
      </c>
      <c r="G505" s="186">
        <v>25</v>
      </c>
      <c r="H505" s="186">
        <v>18</v>
      </c>
      <c r="I505" s="186"/>
      <c r="J505" s="186">
        <v>31</v>
      </c>
      <c r="K505" s="186">
        <v>31</v>
      </c>
      <c r="L505" s="186">
        <v>32</v>
      </c>
      <c r="M505" s="186">
        <v>28</v>
      </c>
      <c r="N505" s="186" t="s">
        <v>427</v>
      </c>
      <c r="O505" s="186">
        <f t="shared" si="237"/>
        <v>101</v>
      </c>
      <c r="P505" s="186">
        <f t="shared" si="238"/>
        <v>122</v>
      </c>
      <c r="Q505" s="186" t="str">
        <f t="shared" si="239"/>
        <v>HL</v>
      </c>
      <c r="R505" s="186" t="str">
        <f t="shared" si="240"/>
        <v>HL</v>
      </c>
      <c r="S505" s="186" t="str">
        <f t="shared" si="241"/>
        <v>HL</v>
      </c>
      <c r="T505" s="186" t="str">
        <f t="shared" si="242"/>
        <v>HL</v>
      </c>
      <c r="U505" s="186" t="str">
        <f t="shared" si="243"/>
        <v>O</v>
      </c>
      <c r="V505" s="186" t="str">
        <f t="shared" si="244"/>
        <v>O</v>
      </c>
      <c r="W505" s="186" t="str">
        <f t="shared" si="245"/>
        <v>T</v>
      </c>
      <c r="X505" s="186" t="str">
        <f t="shared" si="246"/>
        <v>U</v>
      </c>
      <c r="Z505">
        <v>57</v>
      </c>
      <c r="AA505" s="98" t="str">
        <f t="shared" si="236"/>
        <v>WAS/ORL</v>
      </c>
    </row>
    <row r="506" spans="1:27" ht="17.100000000000001" x14ac:dyDescent="0.45">
      <c r="A506" s="94">
        <v>200102</v>
      </c>
      <c r="B506" s="95">
        <v>0.39583333333333331</v>
      </c>
      <c r="C506" s="94" t="s">
        <v>399</v>
      </c>
      <c r="D506" s="94" t="s">
        <v>417</v>
      </c>
      <c r="E506" s="186">
        <v>25</v>
      </c>
      <c r="F506" s="186">
        <v>26</v>
      </c>
      <c r="G506" s="186">
        <v>32</v>
      </c>
      <c r="H506" s="186">
        <v>34</v>
      </c>
      <c r="I506" s="186"/>
      <c r="J506" s="186">
        <v>27</v>
      </c>
      <c r="K506" s="186">
        <v>21</v>
      </c>
      <c r="L506" s="186">
        <v>29</v>
      </c>
      <c r="M506" s="186">
        <v>16</v>
      </c>
      <c r="N506" s="186" t="s">
        <v>427</v>
      </c>
      <c r="O506" s="186">
        <f t="shared" si="237"/>
        <v>117</v>
      </c>
      <c r="P506" s="186">
        <f t="shared" si="238"/>
        <v>93</v>
      </c>
      <c r="Q506" s="186" t="str">
        <f t="shared" si="239"/>
        <v>HL</v>
      </c>
      <c r="R506" s="186" t="str">
        <f t="shared" si="240"/>
        <v>HW</v>
      </c>
      <c r="S506" s="186" t="str">
        <f t="shared" si="241"/>
        <v>HW</v>
      </c>
      <c r="T506" s="186" t="str">
        <f t="shared" si="242"/>
        <v>HW</v>
      </c>
      <c r="U506" s="186" t="str">
        <f t="shared" si="243"/>
        <v>U</v>
      </c>
      <c r="V506" s="186" t="str">
        <f t="shared" si="244"/>
        <v>U</v>
      </c>
      <c r="W506" s="186" t="str">
        <f t="shared" si="245"/>
        <v>O</v>
      </c>
      <c r="X506" s="186" t="str">
        <f t="shared" si="246"/>
        <v>U</v>
      </c>
      <c r="Z506">
        <v>57.5</v>
      </c>
      <c r="AA506" s="98" t="str">
        <f t="shared" si="236"/>
        <v>NYK/POR</v>
      </c>
    </row>
    <row r="507" spans="1:27" ht="17.100000000000001" x14ac:dyDescent="0.45">
      <c r="A507" s="94">
        <v>200102</v>
      </c>
      <c r="B507" s="95">
        <v>0.41666666666666669</v>
      </c>
      <c r="C507" s="94" t="s">
        <v>423</v>
      </c>
      <c r="D507" s="94" t="s">
        <v>420</v>
      </c>
      <c r="E507" s="186">
        <v>19</v>
      </c>
      <c r="F507" s="186">
        <v>33</v>
      </c>
      <c r="G507" s="186">
        <v>25</v>
      </c>
      <c r="H507" s="186">
        <v>29</v>
      </c>
      <c r="I507" s="186"/>
      <c r="J507" s="186">
        <v>23</v>
      </c>
      <c r="K507" s="186">
        <v>28</v>
      </c>
      <c r="L507" s="186">
        <v>20</v>
      </c>
      <c r="M507" s="186">
        <v>33</v>
      </c>
      <c r="N507" s="186" t="s">
        <v>427</v>
      </c>
      <c r="O507" s="186">
        <f t="shared" si="237"/>
        <v>106</v>
      </c>
      <c r="P507" s="186">
        <f t="shared" si="238"/>
        <v>104</v>
      </c>
      <c r="Q507" s="186" t="str">
        <f t="shared" si="239"/>
        <v>HL</v>
      </c>
      <c r="R507" s="186" t="str">
        <f t="shared" si="240"/>
        <v>HW</v>
      </c>
      <c r="S507" s="186" t="str">
        <f t="shared" si="241"/>
        <v>HW</v>
      </c>
      <c r="T507" s="186" t="str">
        <f t="shared" si="242"/>
        <v>HL</v>
      </c>
      <c r="U507" s="186" t="str">
        <f t="shared" si="243"/>
        <v>U</v>
      </c>
      <c r="V507" s="186" t="str">
        <f t="shared" si="244"/>
        <v>O</v>
      </c>
      <c r="W507" s="186" t="str">
        <f t="shared" si="245"/>
        <v>U</v>
      </c>
      <c r="X507" s="186" t="str">
        <f t="shared" si="246"/>
        <v>O</v>
      </c>
      <c r="Z507">
        <v>57</v>
      </c>
      <c r="AA507" s="98" t="str">
        <f t="shared" si="236"/>
        <v>MIL/MIN</v>
      </c>
    </row>
    <row r="508" spans="1:27" ht="17.100000000000001" x14ac:dyDescent="0.45">
      <c r="A508" s="94">
        <v>200102</v>
      </c>
      <c r="B508" s="95">
        <v>0.52083333333333337</v>
      </c>
      <c r="C508" s="94" t="s">
        <v>419</v>
      </c>
      <c r="D508" s="94" t="s">
        <v>404</v>
      </c>
      <c r="E508" s="186">
        <v>43</v>
      </c>
      <c r="F508" s="186">
        <v>31</v>
      </c>
      <c r="G508" s="186">
        <v>27</v>
      </c>
      <c r="H508" s="186">
        <v>16</v>
      </c>
      <c r="I508" s="186"/>
      <c r="J508" s="186">
        <v>17</v>
      </c>
      <c r="K508" s="186">
        <v>24</v>
      </c>
      <c r="L508" s="186">
        <v>38</v>
      </c>
      <c r="M508" s="186">
        <v>28</v>
      </c>
      <c r="N508" s="186" t="s">
        <v>427</v>
      </c>
      <c r="O508" s="186">
        <f t="shared" si="237"/>
        <v>117</v>
      </c>
      <c r="P508" s="186">
        <f t="shared" si="238"/>
        <v>107</v>
      </c>
      <c r="Q508" s="186" t="str">
        <f t="shared" si="239"/>
        <v>HW</v>
      </c>
      <c r="R508" s="186" t="str">
        <f t="shared" si="240"/>
        <v>HW</v>
      </c>
      <c r="S508" s="186" t="str">
        <f t="shared" si="241"/>
        <v>HL</v>
      </c>
      <c r="T508" s="186" t="str">
        <f t="shared" si="242"/>
        <v>HL</v>
      </c>
      <c r="U508" s="186" t="str">
        <f t="shared" si="243"/>
        <v>O</v>
      </c>
      <c r="V508" s="186" t="str">
        <f t="shared" si="244"/>
        <v>U</v>
      </c>
      <c r="W508" s="186" t="str">
        <f t="shared" si="245"/>
        <v>O</v>
      </c>
      <c r="X508" s="186" t="str">
        <f t="shared" si="246"/>
        <v>U</v>
      </c>
      <c r="Z508">
        <v>56</v>
      </c>
      <c r="AA508" s="98" t="str">
        <f t="shared" si="236"/>
        <v>LAL/PHO</v>
      </c>
    </row>
    <row r="509" spans="1:27" ht="17.100000000000001" x14ac:dyDescent="0.45">
      <c r="A509" s="94">
        <v>200103</v>
      </c>
      <c r="B509" s="97">
        <v>0.375</v>
      </c>
      <c r="C509" s="96" t="s">
        <v>402</v>
      </c>
      <c r="D509" s="96" t="s">
        <v>409</v>
      </c>
      <c r="E509" s="186">
        <v>29</v>
      </c>
      <c r="F509" s="186">
        <v>30</v>
      </c>
      <c r="G509" s="186">
        <v>26</v>
      </c>
      <c r="H509" s="186">
        <v>21</v>
      </c>
      <c r="I509" s="186"/>
      <c r="J509" s="186">
        <v>31</v>
      </c>
      <c r="K509" s="186">
        <v>21</v>
      </c>
      <c r="L509" s="186">
        <v>30</v>
      </c>
      <c r="M509" s="186">
        <v>27</v>
      </c>
      <c r="N509" s="186" t="s">
        <v>427</v>
      </c>
      <c r="O509" s="186">
        <f t="shared" si="237"/>
        <v>106</v>
      </c>
      <c r="P509" s="186">
        <f t="shared" si="238"/>
        <v>109</v>
      </c>
      <c r="Q509" s="186" t="str">
        <f t="shared" si="239"/>
        <v>HL</v>
      </c>
      <c r="R509" s="186" t="str">
        <f t="shared" si="240"/>
        <v>HW</v>
      </c>
      <c r="S509" s="186" t="str">
        <f t="shared" si="241"/>
        <v>HL</v>
      </c>
      <c r="T509" s="186" t="str">
        <f t="shared" si="242"/>
        <v>HL</v>
      </c>
      <c r="U509" s="186" t="str">
        <f t="shared" si="243"/>
        <v>O</v>
      </c>
      <c r="V509" s="186" t="str">
        <f t="shared" si="244"/>
        <v>U</v>
      </c>
      <c r="W509" s="186" t="str">
        <f t="shared" si="245"/>
        <v>O</v>
      </c>
      <c r="X509" s="186" t="str">
        <f t="shared" si="246"/>
        <v>U</v>
      </c>
      <c r="Z509">
        <v>54.5</v>
      </c>
      <c r="AA509" s="98" t="str">
        <f t="shared" si="236"/>
        <v>CLE/CHA</v>
      </c>
    </row>
    <row r="510" spans="1:27" ht="17.100000000000001" x14ac:dyDescent="0.45">
      <c r="A510" s="96">
        <v>200103</v>
      </c>
      <c r="B510" s="97">
        <v>0.375</v>
      </c>
      <c r="C510" s="96" t="s">
        <v>400</v>
      </c>
      <c r="D510" s="96" t="s">
        <v>408</v>
      </c>
      <c r="E510" s="186">
        <v>37</v>
      </c>
      <c r="F510" s="186">
        <v>27</v>
      </c>
      <c r="G510" s="186">
        <v>24</v>
      </c>
      <c r="H510" s="186">
        <v>28</v>
      </c>
      <c r="I510" s="186"/>
      <c r="J510" s="186">
        <v>27</v>
      </c>
      <c r="K510" s="186">
        <v>35</v>
      </c>
      <c r="L510" s="186">
        <v>30</v>
      </c>
      <c r="M510" s="186">
        <v>32</v>
      </c>
      <c r="N510" s="186" t="s">
        <v>427</v>
      </c>
      <c r="O510" s="186">
        <f t="shared" si="237"/>
        <v>116</v>
      </c>
      <c r="P510" s="186">
        <f t="shared" si="238"/>
        <v>124</v>
      </c>
      <c r="Q510" s="186" t="str">
        <f t="shared" si="239"/>
        <v>HW</v>
      </c>
      <c r="R510" s="186" t="str">
        <f t="shared" si="240"/>
        <v>HL</v>
      </c>
      <c r="S510" s="186" t="str">
        <f t="shared" si="241"/>
        <v>HL</v>
      </c>
      <c r="T510" s="186" t="str">
        <f t="shared" si="242"/>
        <v>HL</v>
      </c>
      <c r="U510" s="186" t="str">
        <f t="shared" si="243"/>
        <v>O</v>
      </c>
      <c r="V510" s="186" t="str">
        <f t="shared" si="244"/>
        <v>O</v>
      </c>
      <c r="W510" s="186" t="str">
        <f t="shared" si="245"/>
        <v>O</v>
      </c>
      <c r="X510" s="186" t="str">
        <f t="shared" si="246"/>
        <v>O</v>
      </c>
      <c r="Z510">
        <v>53.5</v>
      </c>
      <c r="AA510" s="98" t="str">
        <f t="shared" si="236"/>
        <v>IND/DEN</v>
      </c>
    </row>
    <row r="511" spans="1:27" ht="17.100000000000001" x14ac:dyDescent="0.45">
      <c r="A511" s="96">
        <v>200103</v>
      </c>
      <c r="B511" s="97">
        <v>0.39583333333333331</v>
      </c>
      <c r="C511" s="96" t="s">
        <v>411</v>
      </c>
      <c r="D511" s="96" t="s">
        <v>413</v>
      </c>
      <c r="E511" s="186">
        <v>18</v>
      </c>
      <c r="F511" s="186">
        <v>24</v>
      </c>
      <c r="G511" s="186">
        <v>21</v>
      </c>
      <c r="H511" s="186">
        <v>21</v>
      </c>
      <c r="I511" s="186"/>
      <c r="J511" s="186">
        <v>20</v>
      </c>
      <c r="K511" s="186">
        <v>19</v>
      </c>
      <c r="L511" s="186">
        <v>21</v>
      </c>
      <c r="M511" s="186">
        <v>16</v>
      </c>
      <c r="N511" s="186" t="s">
        <v>427</v>
      </c>
      <c r="O511" s="186">
        <f t="shared" si="237"/>
        <v>84</v>
      </c>
      <c r="P511" s="186">
        <f t="shared" si="238"/>
        <v>76</v>
      </c>
      <c r="Q511" s="186" t="str">
        <f t="shared" si="239"/>
        <v>HL</v>
      </c>
      <c r="R511" s="186" t="str">
        <f t="shared" si="240"/>
        <v>HW</v>
      </c>
      <c r="S511" s="186" t="str">
        <f t="shared" si="241"/>
        <v>TT</v>
      </c>
      <c r="T511" s="186" t="str">
        <f t="shared" si="242"/>
        <v>HW</v>
      </c>
      <c r="U511" s="186" t="str">
        <f t="shared" si="243"/>
        <v>U</v>
      </c>
      <c r="V511" s="186" t="str">
        <f t="shared" si="244"/>
        <v>U</v>
      </c>
      <c r="W511" s="186" t="str">
        <f t="shared" si="245"/>
        <v>U</v>
      </c>
      <c r="X511" s="186" t="str">
        <f t="shared" si="246"/>
        <v>U</v>
      </c>
      <c r="Z511">
        <v>55.5</v>
      </c>
      <c r="AA511" s="98" t="str">
        <f t="shared" si="236"/>
        <v>MIA/TOR</v>
      </c>
    </row>
    <row r="512" spans="1:27" ht="17.100000000000001" x14ac:dyDescent="0.45">
      <c r="A512" s="96">
        <v>200103</v>
      </c>
      <c r="B512" s="97">
        <v>0.41666666666666669</v>
      </c>
      <c r="C512" s="96" t="s">
        <v>412</v>
      </c>
      <c r="D512" s="96" t="s">
        <v>405</v>
      </c>
      <c r="E512" s="186">
        <v>22</v>
      </c>
      <c r="F512" s="186">
        <v>29</v>
      </c>
      <c r="G512" s="186">
        <v>19</v>
      </c>
      <c r="H512" s="186">
        <v>28</v>
      </c>
      <c r="I512" s="186"/>
      <c r="J512" s="186">
        <v>25</v>
      </c>
      <c r="K512" s="186">
        <v>22</v>
      </c>
      <c r="L512" s="186">
        <v>29</v>
      </c>
      <c r="M512" s="186">
        <v>26</v>
      </c>
      <c r="N512" s="186" t="s">
        <v>427</v>
      </c>
      <c r="O512" s="186">
        <f t="shared" si="237"/>
        <v>98</v>
      </c>
      <c r="P512" s="186">
        <f t="shared" si="238"/>
        <v>102</v>
      </c>
      <c r="Q512" s="186" t="str">
        <f t="shared" si="239"/>
        <v>HL</v>
      </c>
      <c r="R512" s="186" t="str">
        <f t="shared" si="240"/>
        <v>HW</v>
      </c>
      <c r="S512" s="186" t="str">
        <f t="shared" si="241"/>
        <v>HL</v>
      </c>
      <c r="T512" s="186" t="str">
        <f t="shared" si="242"/>
        <v>HW</v>
      </c>
      <c r="U512" s="186" t="str">
        <f t="shared" si="243"/>
        <v>U</v>
      </c>
      <c r="V512" s="186" t="str">
        <f t="shared" si="244"/>
        <v>U</v>
      </c>
      <c r="W512" s="186" t="str">
        <f t="shared" si="245"/>
        <v>U</v>
      </c>
      <c r="X512" s="186" t="str">
        <f t="shared" si="246"/>
        <v>O</v>
      </c>
      <c r="Z512">
        <v>51.5</v>
      </c>
      <c r="AA512" s="98" t="str">
        <f t="shared" si="236"/>
        <v>CHI/UTA</v>
      </c>
    </row>
    <row r="513" spans="1:27" ht="17.100000000000001" x14ac:dyDescent="0.45">
      <c r="A513" s="96">
        <v>200103</v>
      </c>
      <c r="B513" s="97">
        <v>0.41666666666666669</v>
      </c>
      <c r="C513" s="96" t="s">
        <v>420</v>
      </c>
      <c r="D513" s="96" t="s">
        <v>425</v>
      </c>
      <c r="E513" s="186">
        <v>34</v>
      </c>
      <c r="F513" s="186">
        <v>24</v>
      </c>
      <c r="G513" s="186">
        <v>23</v>
      </c>
      <c r="H513" s="186">
        <v>18</v>
      </c>
      <c r="I513" s="186"/>
      <c r="J513" s="186">
        <v>19</v>
      </c>
      <c r="K513" s="186">
        <v>22</v>
      </c>
      <c r="L513" s="186">
        <v>26</v>
      </c>
      <c r="M513" s="186">
        <v>17</v>
      </c>
      <c r="N513" s="186" t="s">
        <v>427</v>
      </c>
      <c r="O513" s="186">
        <f t="shared" si="237"/>
        <v>99</v>
      </c>
      <c r="P513" s="186">
        <f t="shared" si="238"/>
        <v>84</v>
      </c>
      <c r="Q513" s="186" t="str">
        <f t="shared" si="239"/>
        <v>HW</v>
      </c>
      <c r="R513" s="186" t="str">
        <f t="shared" si="240"/>
        <v>HW</v>
      </c>
      <c r="S513" s="186" t="str">
        <f t="shared" si="241"/>
        <v>HL</v>
      </c>
      <c r="T513" s="186" t="str">
        <f t="shared" si="242"/>
        <v>HW</v>
      </c>
      <c r="U513" s="186" t="str">
        <f t="shared" si="243"/>
        <v>U</v>
      </c>
      <c r="V513" s="186" t="str">
        <f t="shared" si="244"/>
        <v>U</v>
      </c>
      <c r="W513" s="186" t="str">
        <f t="shared" si="245"/>
        <v>U</v>
      </c>
      <c r="X513" s="186" t="str">
        <f t="shared" si="246"/>
        <v>U</v>
      </c>
      <c r="Z513">
        <v>54.5</v>
      </c>
      <c r="AA513" s="98" t="str">
        <f t="shared" si="236"/>
        <v>MIN/GS</v>
      </c>
    </row>
    <row r="514" spans="1:27" ht="17.100000000000001" x14ac:dyDescent="0.45">
      <c r="A514" s="96">
        <v>200103</v>
      </c>
      <c r="B514" s="97">
        <v>0.4375</v>
      </c>
      <c r="C514" s="96" t="s">
        <v>397</v>
      </c>
      <c r="D514" s="96" t="s">
        <v>407</v>
      </c>
      <c r="E514" s="186">
        <v>31</v>
      </c>
      <c r="F514" s="186">
        <v>29</v>
      </c>
      <c r="G514" s="186">
        <v>33</v>
      </c>
      <c r="H514" s="186">
        <v>30</v>
      </c>
      <c r="I514" s="186"/>
      <c r="J514" s="186">
        <v>30</v>
      </c>
      <c r="K514" s="186">
        <v>35</v>
      </c>
      <c r="L514" s="186">
        <v>28</v>
      </c>
      <c r="M514" s="186">
        <v>18</v>
      </c>
      <c r="N514" s="186" t="s">
        <v>427</v>
      </c>
      <c r="O514" s="186">
        <f t="shared" si="237"/>
        <v>123</v>
      </c>
      <c r="P514" s="186">
        <f t="shared" si="238"/>
        <v>111</v>
      </c>
      <c r="Q514" s="186" t="str">
        <f t="shared" si="239"/>
        <v>HW</v>
      </c>
      <c r="R514" s="186" t="str">
        <f t="shared" si="240"/>
        <v>HL</v>
      </c>
      <c r="S514" s="186" t="str">
        <f t="shared" si="241"/>
        <v>HW</v>
      </c>
      <c r="T514" s="186" t="str">
        <f t="shared" si="242"/>
        <v>HW</v>
      </c>
      <c r="U514" s="186" t="str">
        <f t="shared" si="243"/>
        <v>O</v>
      </c>
      <c r="V514" s="186" t="str">
        <f t="shared" si="244"/>
        <v>O</v>
      </c>
      <c r="W514" s="186" t="str">
        <f t="shared" si="245"/>
        <v>O</v>
      </c>
      <c r="X514" s="186" t="str">
        <f t="shared" si="246"/>
        <v>U</v>
      </c>
      <c r="Z514">
        <v>54.5</v>
      </c>
      <c r="AA514" s="98" t="str">
        <f t="shared" si="236"/>
        <v>DAL/BKN</v>
      </c>
    </row>
    <row r="515" spans="1:27" ht="17.100000000000001" x14ac:dyDescent="0.45">
      <c r="A515" s="96">
        <v>200103</v>
      </c>
      <c r="B515" s="97">
        <v>0.4375</v>
      </c>
      <c r="C515" s="96" t="s">
        <v>426</v>
      </c>
      <c r="D515" s="96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7"/>
        <v>103</v>
      </c>
      <c r="P515" s="186">
        <f t="shared" si="238"/>
        <v>109</v>
      </c>
      <c r="Q515" s="186" t="str">
        <f t="shared" si="239"/>
        <v>TT</v>
      </c>
      <c r="R515" s="186" t="str">
        <f t="shared" si="240"/>
        <v>HW</v>
      </c>
      <c r="S515" s="186" t="str">
        <f t="shared" si="241"/>
        <v>HL</v>
      </c>
      <c r="T515" s="186" t="str">
        <f t="shared" si="242"/>
        <v>HL</v>
      </c>
      <c r="U515" s="186" t="str">
        <f t="shared" si="243"/>
        <v>U</v>
      </c>
      <c r="V515" s="186" t="str">
        <f t="shared" si="244"/>
        <v>U</v>
      </c>
      <c r="W515" s="186" t="str">
        <f t="shared" si="245"/>
        <v>U</v>
      </c>
      <c r="X515" s="186" t="str">
        <f t="shared" si="246"/>
        <v>O</v>
      </c>
      <c r="Z515">
        <v>56</v>
      </c>
      <c r="AA515" s="98" t="str">
        <f t="shared" si="236"/>
        <v>SAS/OKC</v>
      </c>
    </row>
    <row r="516" spans="1:27" ht="17.100000000000001" x14ac:dyDescent="0.45">
      <c r="A516" s="96">
        <v>200103</v>
      </c>
      <c r="B516" s="97">
        <v>0.5</v>
      </c>
      <c r="C516" s="96" t="s">
        <v>416</v>
      </c>
      <c r="D516" s="96" t="s">
        <v>406</v>
      </c>
      <c r="E516" s="186">
        <v>26</v>
      </c>
      <c r="F516" s="186">
        <v>37</v>
      </c>
      <c r="G516" s="186">
        <v>27</v>
      </c>
      <c r="H516" s="186">
        <v>38</v>
      </c>
      <c r="I516" s="186"/>
      <c r="J516" s="186">
        <v>42</v>
      </c>
      <c r="K516" s="186">
        <v>18</v>
      </c>
      <c r="L516" s="186">
        <v>37</v>
      </c>
      <c r="M516" s="186">
        <v>26</v>
      </c>
      <c r="N516" s="186" t="s">
        <v>427</v>
      </c>
      <c r="O516" s="186">
        <f t="shared" si="237"/>
        <v>128</v>
      </c>
      <c r="P516" s="186">
        <f t="shared" si="238"/>
        <v>123</v>
      </c>
      <c r="Q516" s="186" t="str">
        <f t="shared" si="239"/>
        <v>HL</v>
      </c>
      <c r="R516" s="186" t="str">
        <f t="shared" si="240"/>
        <v>HW</v>
      </c>
      <c r="S516" s="186" t="str">
        <f t="shared" si="241"/>
        <v>HL</v>
      </c>
      <c r="T516" s="186" t="str">
        <f t="shared" si="242"/>
        <v>HW</v>
      </c>
      <c r="U516" s="186" t="str">
        <f t="shared" si="243"/>
        <v>O</v>
      </c>
      <c r="V516" s="186" t="str">
        <f t="shared" si="244"/>
        <v>T</v>
      </c>
      <c r="W516" s="186" t="str">
        <f t="shared" si="245"/>
        <v>O</v>
      </c>
      <c r="X516" s="186" t="str">
        <f t="shared" si="246"/>
        <v>O</v>
      </c>
      <c r="Z516">
        <v>55</v>
      </c>
      <c r="AA516" s="98" t="str">
        <f t="shared" si="236"/>
        <v>SAC/MEM</v>
      </c>
    </row>
    <row r="517" spans="1:27" ht="17.100000000000001" x14ac:dyDescent="0.45">
      <c r="A517" s="96">
        <v>200103</v>
      </c>
      <c r="B517" s="97">
        <v>0.52083333333333337</v>
      </c>
      <c r="C517" s="96" t="s">
        <v>415</v>
      </c>
      <c r="D517" s="96" t="s">
        <v>422</v>
      </c>
      <c r="E517" s="186">
        <v>30</v>
      </c>
      <c r="F517" s="186">
        <v>39</v>
      </c>
      <c r="G517" s="186">
        <v>37</v>
      </c>
      <c r="H517" s="186">
        <v>20</v>
      </c>
      <c r="I517" s="186"/>
      <c r="J517" s="186">
        <v>33</v>
      </c>
      <c r="K517" s="186">
        <v>30</v>
      </c>
      <c r="L517" s="186">
        <v>16</v>
      </c>
      <c r="M517" s="186">
        <v>33</v>
      </c>
      <c r="N517" s="186" t="s">
        <v>427</v>
      </c>
      <c r="O517" s="186">
        <f t="shared" si="237"/>
        <v>126</v>
      </c>
      <c r="P517" s="186">
        <f t="shared" si="238"/>
        <v>112</v>
      </c>
      <c r="Q517" s="186" t="str">
        <f t="shared" si="239"/>
        <v>HL</v>
      </c>
      <c r="R517" s="186" t="str">
        <f t="shared" si="240"/>
        <v>HW</v>
      </c>
      <c r="S517" s="186" t="str">
        <f t="shared" si="241"/>
        <v>HW</v>
      </c>
      <c r="T517" s="186" t="str">
        <f t="shared" si="242"/>
        <v>HL</v>
      </c>
      <c r="U517" s="186" t="str">
        <f t="shared" si="243"/>
        <v>O</v>
      </c>
      <c r="V517" s="186" t="str">
        <f t="shared" si="244"/>
        <v>O</v>
      </c>
      <c r="W517" s="186" t="str">
        <f t="shared" si="245"/>
        <v>U</v>
      </c>
      <c r="X517" s="186" t="str">
        <f t="shared" si="246"/>
        <v>U</v>
      </c>
      <c r="Z517">
        <v>58.5</v>
      </c>
      <c r="AA517" s="98" t="str">
        <f t="shared" si="236"/>
        <v>LAC/DET</v>
      </c>
    </row>
    <row r="518" spans="1:27" ht="17.100000000000001" x14ac:dyDescent="0.45">
      <c r="A518" s="96">
        <v>200104</v>
      </c>
      <c r="B518" s="99">
        <v>0.375</v>
      </c>
      <c r="C518" s="98" t="s">
        <v>421</v>
      </c>
      <c r="D518" s="98" t="s">
        <v>410</v>
      </c>
      <c r="E518" s="187">
        <v>19</v>
      </c>
      <c r="F518" s="187">
        <v>34</v>
      </c>
      <c r="G518" s="187">
        <v>29</v>
      </c>
      <c r="H518" s="187">
        <v>27</v>
      </c>
      <c r="I518" s="187"/>
      <c r="J518" s="187">
        <v>32</v>
      </c>
      <c r="K518" s="187">
        <v>23</v>
      </c>
      <c r="L518" s="187">
        <v>25</v>
      </c>
      <c r="M518" s="187">
        <v>26</v>
      </c>
      <c r="N518" s="187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>
        <v>58</v>
      </c>
      <c r="AA518" s="98" t="str">
        <f t="shared" si="236"/>
        <v>BOS/ATL</v>
      </c>
    </row>
    <row r="519" spans="1:27" ht="17.100000000000001" x14ac:dyDescent="0.45">
      <c r="A519" s="98">
        <v>200104</v>
      </c>
      <c r="B519" s="99">
        <v>0.375</v>
      </c>
      <c r="C519" s="98" t="s">
        <v>424</v>
      </c>
      <c r="D519" s="98" t="s">
        <v>411</v>
      </c>
      <c r="E519" s="190">
        <v>27</v>
      </c>
      <c r="F519" s="190">
        <v>29</v>
      </c>
      <c r="G519" s="190">
        <v>28</v>
      </c>
      <c r="H519" s="190">
        <v>21</v>
      </c>
      <c r="I519" s="190"/>
      <c r="J519" s="190">
        <v>22</v>
      </c>
      <c r="K519" s="190">
        <v>22</v>
      </c>
      <c r="L519" s="190">
        <v>35</v>
      </c>
      <c r="M519" s="190">
        <v>6</v>
      </c>
      <c r="N519" s="190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>
        <v>53</v>
      </c>
      <c r="AA519" s="98" t="str">
        <f t="shared" si="236"/>
        <v>ORL/MIA</v>
      </c>
    </row>
    <row r="520" spans="1:27" ht="17.100000000000001" x14ac:dyDescent="0.45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>
        <v>60</v>
      </c>
      <c r="AA520" s="98" t="str">
        <f t="shared" si="236"/>
        <v>WAS/POR</v>
      </c>
    </row>
    <row r="521" spans="1:27" ht="17.100000000000001" x14ac:dyDescent="0.45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88">
        <v>20</v>
      </c>
      <c r="F521" s="188">
        <v>40</v>
      </c>
      <c r="G521" s="188">
        <v>36</v>
      </c>
      <c r="H521" s="188">
        <v>22</v>
      </c>
      <c r="I521" s="188"/>
      <c r="J521" s="188">
        <v>27</v>
      </c>
      <c r="K521" s="188">
        <v>26</v>
      </c>
      <c r="L521" s="188">
        <v>31</v>
      </c>
      <c r="M521" s="188">
        <v>24</v>
      </c>
      <c r="N521" s="188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>
        <v>57</v>
      </c>
      <c r="AA521" s="98" t="str">
        <f t="shared" si="236"/>
        <v>HOU/PHI</v>
      </c>
    </row>
    <row r="522" spans="1:27" ht="17.100000000000001" x14ac:dyDescent="0.45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1">
        <v>29</v>
      </c>
      <c r="F522" s="191">
        <v>22</v>
      </c>
      <c r="G522" s="191">
        <v>32</v>
      </c>
      <c r="H522" s="191">
        <v>37</v>
      </c>
      <c r="I522" s="191"/>
      <c r="J522" s="191">
        <v>37</v>
      </c>
      <c r="K522" s="191">
        <v>24</v>
      </c>
      <c r="L522" s="191">
        <v>26</v>
      </c>
      <c r="M522" s="191">
        <v>25</v>
      </c>
      <c r="N522" s="191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>
        <v>58</v>
      </c>
      <c r="AA522" s="98" t="str">
        <f t="shared" si="236"/>
        <v>PHO/NYK</v>
      </c>
    </row>
    <row r="523" spans="1:27" ht="17.100000000000001" x14ac:dyDescent="0.45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89">
        <v>42</v>
      </c>
      <c r="F523" s="189">
        <v>32</v>
      </c>
      <c r="G523" s="189">
        <v>31</v>
      </c>
      <c r="H523" s="189">
        <v>18</v>
      </c>
      <c r="I523" s="189"/>
      <c r="J523" s="189">
        <v>30</v>
      </c>
      <c r="K523" s="189">
        <v>32</v>
      </c>
      <c r="L523" s="189">
        <v>21</v>
      </c>
      <c r="M523" s="189">
        <v>30</v>
      </c>
      <c r="N523" s="189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206">
        <v>58</v>
      </c>
      <c r="AA523" s="98" t="str">
        <f t="shared" si="236"/>
        <v>LAL/NO</v>
      </c>
    </row>
    <row r="524" spans="1:27" ht="17.100000000000001" x14ac:dyDescent="0.45">
      <c r="A524" s="193">
        <v>200105</v>
      </c>
      <c r="B524" s="194">
        <v>0.22916666666666666</v>
      </c>
      <c r="C524" s="193" t="s">
        <v>415</v>
      </c>
      <c r="D524" s="193" t="s">
        <v>406</v>
      </c>
      <c r="E524" s="201">
        <v>27</v>
      </c>
      <c r="F524" s="201">
        <v>30</v>
      </c>
      <c r="G524" s="201">
        <v>23</v>
      </c>
      <c r="H524" s="201">
        <v>34</v>
      </c>
      <c r="I524" s="201"/>
      <c r="J524" s="201">
        <v>40</v>
      </c>
      <c r="K524" s="201">
        <v>25</v>
      </c>
      <c r="L524" s="201">
        <v>39</v>
      </c>
      <c r="M524" s="201">
        <v>36</v>
      </c>
      <c r="N524" s="201" t="s">
        <v>427</v>
      </c>
      <c r="O524" s="206">
        <f t="shared" ref="O524:O534" si="257">SUM(E524:I524)</f>
        <v>114</v>
      </c>
      <c r="P524" s="206">
        <f t="shared" ref="P524:P534" si="258">SUM(J524:N524)</f>
        <v>140</v>
      </c>
      <c r="Q524" s="206" t="str">
        <f t="shared" ref="Q524:Q534" si="259">IF(E524=J524,"TT",IF(E524&gt;J524,"HW","HL"))</f>
        <v>HL</v>
      </c>
      <c r="R524" s="206" t="str">
        <f t="shared" ref="R524:R534" si="260">IF(F524=K524,"TT",IF(F524&gt;K524,"HW","HL"))</f>
        <v>HW</v>
      </c>
      <c r="S524" s="206" t="str">
        <f t="shared" ref="S524:S534" si="261">IF(G524=L524,"TT",IF(G524&gt;L524,"HW","HL"))</f>
        <v>HL</v>
      </c>
      <c r="T524" s="206" t="str">
        <f t="shared" ref="T524:T534" si="262">IF(H524=M524,"TT",IF(H524&gt;M524,"HW","HL"))</f>
        <v>HL</v>
      </c>
      <c r="U524" s="206" t="str">
        <f t="shared" ref="U524:U534" si="263">IF(SUM(E524,J524)=$Z524,"T",IF(SUM(E524,J524)&gt;$Z524,"O","U"))</f>
        <v>O</v>
      </c>
      <c r="V524" s="206" t="str">
        <f t="shared" ref="V524:V534" si="264">IF(SUM(F524,K524)=$Z524,"T",IF(SUM(F524,K524)&gt;$Z524,"O","U"))</f>
        <v>U</v>
      </c>
      <c r="W524" s="206" t="str">
        <f t="shared" ref="W524:W534" si="265">IF(SUM(G524,L524)=$Z524,"T",IF(SUM(G524,L524)&gt;$Z524,"O","U"))</f>
        <v>O</v>
      </c>
      <c r="X524" s="206" t="str">
        <f t="shared" ref="X524:X534" si="266">IF(SUM(H524,M524)=$Z524,"T",IF(SUM(H524,M524)&gt;$Z524,"O","U"))</f>
        <v>O</v>
      </c>
      <c r="Y524" s="206"/>
      <c r="Z524" s="206">
        <v>56</v>
      </c>
      <c r="AA524" s="206" t="str">
        <f t="shared" ref="AA524:AA587" si="267">C524&amp;"/"&amp;D524</f>
        <v>LAC/MEM</v>
      </c>
    </row>
    <row r="525" spans="1:27" ht="17.100000000000001" x14ac:dyDescent="0.45">
      <c r="A525" s="193">
        <v>200105</v>
      </c>
      <c r="B525" s="194">
        <v>0.33333333333333331</v>
      </c>
      <c r="C525" s="14" t="s">
        <v>407</v>
      </c>
      <c r="D525" s="193" t="s">
        <v>413</v>
      </c>
      <c r="E525" s="196">
        <v>33</v>
      </c>
      <c r="F525" s="196">
        <v>19</v>
      </c>
      <c r="G525" s="196">
        <v>28</v>
      </c>
      <c r="H525" s="196">
        <v>22</v>
      </c>
      <c r="I525" s="196"/>
      <c r="J525" s="196">
        <v>24</v>
      </c>
      <c r="K525" s="196">
        <v>24</v>
      </c>
      <c r="L525" s="196">
        <v>35</v>
      </c>
      <c r="M525" s="196">
        <v>38</v>
      </c>
      <c r="N525" s="196" t="s">
        <v>427</v>
      </c>
      <c r="O525" s="206">
        <f t="shared" si="257"/>
        <v>102</v>
      </c>
      <c r="P525" s="206">
        <f t="shared" si="258"/>
        <v>121</v>
      </c>
      <c r="Q525" s="206" t="str">
        <f t="shared" si="259"/>
        <v>HW</v>
      </c>
      <c r="R525" s="206" t="str">
        <f t="shared" si="260"/>
        <v>HL</v>
      </c>
      <c r="S525" s="206" t="str">
        <f t="shared" si="261"/>
        <v>HL</v>
      </c>
      <c r="T525" s="206" t="str">
        <f t="shared" si="262"/>
        <v>HL</v>
      </c>
      <c r="U525" s="206" t="str">
        <f t="shared" si="263"/>
        <v>O</v>
      </c>
      <c r="V525" s="206" t="str">
        <f t="shared" si="264"/>
        <v>U</v>
      </c>
      <c r="W525" s="206" t="str">
        <f t="shared" si="265"/>
        <v>O</v>
      </c>
      <c r="X525" s="206" t="str">
        <f t="shared" si="266"/>
        <v>O</v>
      </c>
      <c r="Y525" s="206"/>
      <c r="Z525" s="206">
        <v>55</v>
      </c>
      <c r="AA525" s="206" t="str">
        <f t="shared" si="267"/>
        <v>BKN/TOR</v>
      </c>
    </row>
    <row r="526" spans="1:27" ht="17.100000000000001" x14ac:dyDescent="0.45">
      <c r="A526" s="193">
        <v>200105</v>
      </c>
      <c r="B526" s="194">
        <v>0.375</v>
      </c>
      <c r="C526" s="193" t="s">
        <v>431</v>
      </c>
      <c r="D526" s="193" t="s">
        <v>405</v>
      </c>
      <c r="E526" s="203">
        <v>25</v>
      </c>
      <c r="F526" s="203">
        <v>22</v>
      </c>
      <c r="G526" s="203">
        <v>28</v>
      </c>
      <c r="H526" s="203">
        <v>21</v>
      </c>
      <c r="I526" s="203"/>
      <c r="J526" s="203">
        <v>33</v>
      </c>
      <c r="K526" s="203">
        <v>19</v>
      </c>
      <c r="L526" s="203">
        <v>24</v>
      </c>
      <c r="M526" s="203">
        <v>33</v>
      </c>
      <c r="N526" s="203" t="s">
        <v>427</v>
      </c>
      <c r="O526" s="206">
        <f t="shared" si="257"/>
        <v>96</v>
      </c>
      <c r="P526" s="206">
        <f t="shared" si="258"/>
        <v>109</v>
      </c>
      <c r="Q526" s="206" t="str">
        <f t="shared" si="259"/>
        <v>HL</v>
      </c>
      <c r="R526" s="206" t="str">
        <f t="shared" si="260"/>
        <v>HW</v>
      </c>
      <c r="S526" s="206" t="str">
        <f t="shared" si="261"/>
        <v>HW</v>
      </c>
      <c r="T526" s="206" t="str">
        <f t="shared" si="262"/>
        <v>HL</v>
      </c>
      <c r="U526" s="206" t="str">
        <f t="shared" si="263"/>
        <v>O</v>
      </c>
      <c r="V526" s="206" t="str">
        <f t="shared" si="264"/>
        <v>U</v>
      </c>
      <c r="W526" s="206" t="str">
        <f t="shared" si="265"/>
        <v>O</v>
      </c>
      <c r="X526" s="206" t="str">
        <f t="shared" si="266"/>
        <v>O</v>
      </c>
      <c r="Y526" s="206"/>
      <c r="Z526" s="206">
        <v>50.5</v>
      </c>
      <c r="AA526" s="206" t="str">
        <f t="shared" si="267"/>
        <v>ORL/UTA</v>
      </c>
    </row>
    <row r="527" spans="1:27" ht="17.100000000000001" x14ac:dyDescent="0.45">
      <c r="A527" s="193">
        <v>200105</v>
      </c>
      <c r="B527" s="194">
        <v>0.39583333333333331</v>
      </c>
      <c r="C527" s="14" t="s">
        <v>410</v>
      </c>
      <c r="D527" s="14" t="s">
        <v>400</v>
      </c>
      <c r="E527" s="195">
        <v>43</v>
      </c>
      <c r="F527" s="195">
        <v>21</v>
      </c>
      <c r="G527" s="195">
        <v>32</v>
      </c>
      <c r="H527" s="195">
        <v>20</v>
      </c>
      <c r="I527" s="195"/>
      <c r="J527" s="195">
        <v>26</v>
      </c>
      <c r="K527" s="195">
        <v>34</v>
      </c>
      <c r="L527" s="195">
        <v>35</v>
      </c>
      <c r="M527" s="195">
        <v>16</v>
      </c>
      <c r="N527" s="195" t="s">
        <v>427</v>
      </c>
      <c r="O527" s="206">
        <f t="shared" si="257"/>
        <v>116</v>
      </c>
      <c r="P527" s="206">
        <f t="shared" si="258"/>
        <v>111</v>
      </c>
      <c r="Q527" s="206" t="str">
        <f t="shared" si="259"/>
        <v>HW</v>
      </c>
      <c r="R527" s="206" t="str">
        <f t="shared" si="260"/>
        <v>HL</v>
      </c>
      <c r="S527" s="206" t="str">
        <f t="shared" si="261"/>
        <v>HL</v>
      </c>
      <c r="T527" s="206" t="str">
        <f t="shared" si="262"/>
        <v>HW</v>
      </c>
      <c r="U527" s="206" t="str">
        <f t="shared" si="263"/>
        <v>O</v>
      </c>
      <c r="V527" s="206" t="str">
        <f t="shared" si="264"/>
        <v>U</v>
      </c>
      <c r="W527" s="206" t="str">
        <f t="shared" si="265"/>
        <v>O</v>
      </c>
      <c r="X527" s="206" t="str">
        <f t="shared" si="266"/>
        <v>U</v>
      </c>
      <c r="Y527" s="206"/>
      <c r="Z527" s="206">
        <v>56.5</v>
      </c>
      <c r="AA527" s="206" t="str">
        <f t="shared" si="267"/>
        <v>ATL/IND</v>
      </c>
    </row>
    <row r="528" spans="1:27" ht="17.100000000000001" x14ac:dyDescent="0.45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198">
        <v>27</v>
      </c>
      <c r="F528" s="198">
        <v>26</v>
      </c>
      <c r="G528" s="198">
        <v>26</v>
      </c>
      <c r="H528" s="198">
        <v>27</v>
      </c>
      <c r="I528" s="198"/>
      <c r="J528" s="198">
        <v>34</v>
      </c>
      <c r="K528" s="198">
        <v>32</v>
      </c>
      <c r="L528" s="198">
        <v>25</v>
      </c>
      <c r="M528" s="198">
        <v>30</v>
      </c>
      <c r="N528" s="198" t="s">
        <v>427</v>
      </c>
      <c r="O528" s="206">
        <f t="shared" si="257"/>
        <v>106</v>
      </c>
      <c r="P528" s="206">
        <f t="shared" si="258"/>
        <v>121</v>
      </c>
      <c r="Q528" s="206" t="str">
        <f t="shared" si="259"/>
        <v>HL</v>
      </c>
      <c r="R528" s="206" t="str">
        <f t="shared" si="260"/>
        <v>HL</v>
      </c>
      <c r="S528" s="206" t="str">
        <f t="shared" si="261"/>
        <v>HW</v>
      </c>
      <c r="T528" s="206" t="str">
        <f t="shared" si="262"/>
        <v>HL</v>
      </c>
      <c r="U528" s="206" t="str">
        <f t="shared" si="263"/>
        <v>O</v>
      </c>
      <c r="V528" s="206" t="str">
        <f t="shared" si="264"/>
        <v>O</v>
      </c>
      <c r="W528" s="206" t="str">
        <f t="shared" si="265"/>
        <v>U</v>
      </c>
      <c r="X528" s="206" t="str">
        <f t="shared" si="266"/>
        <v>O</v>
      </c>
      <c r="Y528" s="206"/>
      <c r="Z528" s="206">
        <v>55</v>
      </c>
      <c r="AA528" s="206" t="str">
        <f t="shared" si="267"/>
        <v>CLE/OKC</v>
      </c>
    </row>
    <row r="529" spans="1:27" ht="17.100000000000001" x14ac:dyDescent="0.45">
      <c r="A529" s="193">
        <v>200105</v>
      </c>
      <c r="B529" s="194">
        <v>0.41666666666666669</v>
      </c>
      <c r="C529" s="14" t="s">
        <v>432</v>
      </c>
      <c r="D529" s="193" t="s">
        <v>421</v>
      </c>
      <c r="E529" s="197">
        <v>28</v>
      </c>
      <c r="F529" s="197">
        <v>24</v>
      </c>
      <c r="G529" s="197">
        <v>21</v>
      </c>
      <c r="H529" s="197">
        <v>31</v>
      </c>
      <c r="I529" s="197"/>
      <c r="J529" s="197">
        <v>30</v>
      </c>
      <c r="K529" s="197">
        <v>25</v>
      </c>
      <c r="L529" s="197">
        <v>30</v>
      </c>
      <c r="M529" s="197">
        <v>26</v>
      </c>
      <c r="N529" s="197" t="s">
        <v>427</v>
      </c>
      <c r="O529" s="206">
        <f t="shared" si="257"/>
        <v>104</v>
      </c>
      <c r="P529" s="206">
        <f t="shared" si="258"/>
        <v>111</v>
      </c>
      <c r="Q529" s="206" t="str">
        <f t="shared" si="259"/>
        <v>HL</v>
      </c>
      <c r="R529" s="206" t="str">
        <f t="shared" si="260"/>
        <v>HL</v>
      </c>
      <c r="S529" s="206" t="str">
        <f t="shared" si="261"/>
        <v>HL</v>
      </c>
      <c r="T529" s="206" t="str">
        <f t="shared" si="262"/>
        <v>HW</v>
      </c>
      <c r="U529" s="206" t="str">
        <f t="shared" si="263"/>
        <v>O</v>
      </c>
      <c r="V529" s="206" t="str">
        <f t="shared" si="264"/>
        <v>U</v>
      </c>
      <c r="W529" s="206" t="str">
        <f t="shared" si="265"/>
        <v>T</v>
      </c>
      <c r="X529" s="206" t="str">
        <f t="shared" si="266"/>
        <v>O</v>
      </c>
      <c r="Y529" s="206"/>
      <c r="Z529" s="206">
        <v>51</v>
      </c>
      <c r="AA529" s="206" t="str">
        <f t="shared" si="267"/>
        <v>CHI/BOS</v>
      </c>
    </row>
    <row r="530" spans="1:27" ht="17.100000000000001" x14ac:dyDescent="0.45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5">
        <v>31</v>
      </c>
      <c r="F530" s="205">
        <v>30</v>
      </c>
      <c r="G530" s="205">
        <v>34</v>
      </c>
      <c r="H530" s="205">
        <v>33</v>
      </c>
      <c r="I530" s="205"/>
      <c r="J530" s="205">
        <v>19</v>
      </c>
      <c r="K530" s="205">
        <v>36</v>
      </c>
      <c r="L530" s="205">
        <v>35</v>
      </c>
      <c r="M530" s="205">
        <v>24</v>
      </c>
      <c r="N530" s="205" t="s">
        <v>427</v>
      </c>
      <c r="O530" s="206">
        <f t="shared" si="257"/>
        <v>128</v>
      </c>
      <c r="P530" s="206">
        <f t="shared" si="258"/>
        <v>114</v>
      </c>
      <c r="Q530" s="206" t="str">
        <f t="shared" si="259"/>
        <v>HW</v>
      </c>
      <c r="R530" s="206" t="str">
        <f t="shared" si="260"/>
        <v>HL</v>
      </c>
      <c r="S530" s="206" t="str">
        <f t="shared" si="261"/>
        <v>HL</v>
      </c>
      <c r="T530" s="206" t="str">
        <f t="shared" si="262"/>
        <v>HW</v>
      </c>
      <c r="U530" s="206" t="str">
        <f t="shared" si="263"/>
        <v>U</v>
      </c>
      <c r="V530" s="206" t="str">
        <f t="shared" si="264"/>
        <v>O</v>
      </c>
      <c r="W530" s="206" t="str">
        <f t="shared" si="265"/>
        <v>O</v>
      </c>
      <c r="X530" s="206" t="str">
        <f t="shared" si="266"/>
        <v>T</v>
      </c>
      <c r="Y530" s="206"/>
      <c r="Z530" s="206">
        <v>57</v>
      </c>
      <c r="AA530" s="206" t="str">
        <f t="shared" si="267"/>
        <v>WAS/DEN</v>
      </c>
    </row>
    <row r="531" spans="1:27" ht="17.100000000000001" x14ac:dyDescent="0.45">
      <c r="A531" s="193">
        <v>200105</v>
      </c>
      <c r="B531" s="194">
        <v>0.4375</v>
      </c>
      <c r="C531" s="14" t="s">
        <v>434</v>
      </c>
      <c r="D531" s="14" t="s">
        <v>409</v>
      </c>
      <c r="E531" s="199">
        <v>20</v>
      </c>
      <c r="F531" s="199">
        <v>24</v>
      </c>
      <c r="G531" s="199">
        <v>40</v>
      </c>
      <c r="H531" s="199">
        <v>19</v>
      </c>
      <c r="I531" s="199">
        <v>17</v>
      </c>
      <c r="J531" s="199">
        <v>32</v>
      </c>
      <c r="K531" s="199">
        <v>25</v>
      </c>
      <c r="L531" s="199">
        <v>23</v>
      </c>
      <c r="M531" s="199">
        <v>23</v>
      </c>
      <c r="N531" s="199">
        <v>20</v>
      </c>
      <c r="O531" s="206">
        <f t="shared" si="257"/>
        <v>120</v>
      </c>
      <c r="P531" s="206">
        <f t="shared" si="258"/>
        <v>123</v>
      </c>
      <c r="Q531" s="206" t="str">
        <f t="shared" si="259"/>
        <v>HL</v>
      </c>
      <c r="R531" s="206" t="str">
        <f t="shared" si="260"/>
        <v>HL</v>
      </c>
      <c r="S531" s="206" t="str">
        <f t="shared" si="261"/>
        <v>HW</v>
      </c>
      <c r="T531" s="206" t="str">
        <f t="shared" si="262"/>
        <v>HL</v>
      </c>
      <c r="U531" s="206" t="str">
        <f t="shared" si="263"/>
        <v>U</v>
      </c>
      <c r="V531" s="206" t="str">
        <f t="shared" si="264"/>
        <v>U</v>
      </c>
      <c r="W531" s="206" t="str">
        <f t="shared" si="265"/>
        <v>O</v>
      </c>
      <c r="X531" s="206" t="str">
        <f t="shared" si="266"/>
        <v>U</v>
      </c>
      <c r="Y531" s="206"/>
      <c r="Z531" s="206">
        <v>55.5</v>
      </c>
      <c r="AA531" s="206" t="str">
        <f t="shared" si="267"/>
        <v>DAL/CHA</v>
      </c>
    </row>
    <row r="532" spans="1:27" ht="17.100000000000001" x14ac:dyDescent="0.45">
      <c r="A532" s="193">
        <v>200105</v>
      </c>
      <c r="B532" s="194">
        <v>0.4375</v>
      </c>
      <c r="C532" s="193" t="s">
        <v>425</v>
      </c>
      <c r="D532" s="193" t="s">
        <v>422</v>
      </c>
      <c r="E532" s="200">
        <v>23</v>
      </c>
      <c r="F532" s="200">
        <v>36</v>
      </c>
      <c r="G532" s="200">
        <v>21</v>
      </c>
      <c r="H532" s="200">
        <v>24</v>
      </c>
      <c r="I532" s="200"/>
      <c r="J532" s="200">
        <v>25</v>
      </c>
      <c r="K532" s="200">
        <v>31</v>
      </c>
      <c r="L532" s="200">
        <v>27</v>
      </c>
      <c r="M532" s="200">
        <v>28</v>
      </c>
      <c r="N532" s="200" t="s">
        <v>427</v>
      </c>
      <c r="O532" s="206">
        <f t="shared" si="257"/>
        <v>104</v>
      </c>
      <c r="P532" s="206">
        <f t="shared" si="258"/>
        <v>111</v>
      </c>
      <c r="Q532" s="206" t="str">
        <f t="shared" si="259"/>
        <v>HL</v>
      </c>
      <c r="R532" s="206" t="str">
        <f t="shared" si="260"/>
        <v>HW</v>
      </c>
      <c r="S532" s="206" t="str">
        <f t="shared" si="261"/>
        <v>HL</v>
      </c>
      <c r="T532" s="206" t="str">
        <f t="shared" si="262"/>
        <v>HL</v>
      </c>
      <c r="U532" s="206" t="str">
        <f t="shared" si="263"/>
        <v>U</v>
      </c>
      <c r="V532" s="206" t="str">
        <f t="shared" si="264"/>
        <v>O</v>
      </c>
      <c r="W532" s="206" t="str">
        <f t="shared" si="265"/>
        <v>U</v>
      </c>
      <c r="X532" s="206" t="str">
        <f t="shared" si="266"/>
        <v>U</v>
      </c>
      <c r="Y532" s="206"/>
      <c r="Z532" s="206">
        <v>55</v>
      </c>
      <c r="AA532" s="206" t="str">
        <f t="shared" si="267"/>
        <v>GS/DET</v>
      </c>
    </row>
    <row r="533" spans="1:27" ht="17.100000000000001" x14ac:dyDescent="0.45">
      <c r="A533" s="193">
        <v>200105</v>
      </c>
      <c r="B533" s="194">
        <v>0.4375</v>
      </c>
      <c r="C533" s="193" t="s">
        <v>423</v>
      </c>
      <c r="D533" s="193" t="s">
        <v>426</v>
      </c>
      <c r="E533" s="202">
        <v>29</v>
      </c>
      <c r="F533" s="202">
        <v>42</v>
      </c>
      <c r="G533" s="202">
        <v>32</v>
      </c>
      <c r="H533" s="202">
        <v>24</v>
      </c>
      <c r="I533" s="202"/>
      <c r="J533" s="202">
        <v>31</v>
      </c>
      <c r="K533" s="202">
        <v>35</v>
      </c>
      <c r="L533" s="202">
        <v>25</v>
      </c>
      <c r="M533" s="202">
        <v>27</v>
      </c>
      <c r="N533" s="202" t="s">
        <v>427</v>
      </c>
      <c r="O533" s="206">
        <f t="shared" si="257"/>
        <v>127</v>
      </c>
      <c r="P533" s="206">
        <f t="shared" si="258"/>
        <v>118</v>
      </c>
      <c r="Q533" s="206" t="str">
        <f t="shared" si="259"/>
        <v>HL</v>
      </c>
      <c r="R533" s="206" t="str">
        <f t="shared" si="260"/>
        <v>HW</v>
      </c>
      <c r="S533" s="206" t="str">
        <f t="shared" si="261"/>
        <v>HW</v>
      </c>
      <c r="T533" s="206" t="str">
        <f t="shared" si="262"/>
        <v>HL</v>
      </c>
      <c r="U533" s="206" t="str">
        <f t="shared" si="263"/>
        <v>O</v>
      </c>
      <c r="V533" s="206" t="str">
        <f t="shared" si="264"/>
        <v>O</v>
      </c>
      <c r="W533" s="206" t="str">
        <f t="shared" si="265"/>
        <v>O</v>
      </c>
      <c r="X533" s="206" t="str">
        <f t="shared" si="266"/>
        <v>U</v>
      </c>
      <c r="Y533" s="206"/>
      <c r="Z533" s="206">
        <v>56</v>
      </c>
      <c r="AA533" s="206" t="str">
        <f t="shared" si="267"/>
        <v>MIL/SAS</v>
      </c>
    </row>
    <row r="534" spans="1:27" ht="17.100000000000001" x14ac:dyDescent="0.45">
      <c r="A534" s="193">
        <v>200105</v>
      </c>
      <c r="B534" s="194">
        <v>0.5</v>
      </c>
      <c r="C534" s="11" t="s">
        <v>416</v>
      </c>
      <c r="D534" s="11" t="s">
        <v>398</v>
      </c>
      <c r="E534" s="204">
        <v>26</v>
      </c>
      <c r="F534" s="204">
        <v>22</v>
      </c>
      <c r="G534" s="204">
        <v>32</v>
      </c>
      <c r="H534" s="204">
        <v>35</v>
      </c>
      <c r="I534" s="204"/>
      <c r="J534" s="204">
        <v>25</v>
      </c>
      <c r="K534" s="204">
        <v>27</v>
      </c>
      <c r="L534" s="204">
        <v>24</v>
      </c>
      <c r="M534" s="204">
        <v>41</v>
      </c>
      <c r="N534" s="204" t="s">
        <v>427</v>
      </c>
      <c r="O534" s="206">
        <f t="shared" si="257"/>
        <v>115</v>
      </c>
      <c r="P534" s="206">
        <f t="shared" si="258"/>
        <v>117</v>
      </c>
      <c r="Q534" s="206" t="str">
        <f t="shared" si="259"/>
        <v>HW</v>
      </c>
      <c r="R534" s="206" t="str">
        <f t="shared" si="260"/>
        <v>HL</v>
      </c>
      <c r="S534" s="206" t="str">
        <f t="shared" si="261"/>
        <v>HW</v>
      </c>
      <c r="T534" s="206" t="str">
        <f t="shared" si="262"/>
        <v>HL</v>
      </c>
      <c r="U534" s="206" t="str">
        <f t="shared" si="263"/>
        <v>U</v>
      </c>
      <c r="V534" s="206" t="str">
        <f t="shared" si="264"/>
        <v>U</v>
      </c>
      <c r="W534" s="206" t="str">
        <f t="shared" si="265"/>
        <v>U</v>
      </c>
      <c r="X534" s="206" t="str">
        <f t="shared" si="266"/>
        <v>O</v>
      </c>
      <c r="Y534" s="206"/>
      <c r="Z534" s="206">
        <v>58</v>
      </c>
      <c r="AA534" s="206" t="str">
        <f t="shared" si="267"/>
        <v>SAC/NO</v>
      </c>
    </row>
    <row r="535" spans="1:27" ht="17.100000000000001" x14ac:dyDescent="0.45">
      <c r="A535" s="206">
        <v>200106</v>
      </c>
      <c r="B535" s="207">
        <v>0.22916666666666666</v>
      </c>
      <c r="C535" s="206" t="s">
        <v>415</v>
      </c>
      <c r="D535" s="206" t="s">
        <v>399</v>
      </c>
      <c r="E535" s="206">
        <v>29</v>
      </c>
      <c r="F535" s="206">
        <v>47</v>
      </c>
      <c r="G535" s="206">
        <v>38</v>
      </c>
      <c r="H535" s="206">
        <v>21</v>
      </c>
      <c r="I535" s="206"/>
      <c r="J535" s="206">
        <v>45</v>
      </c>
      <c r="K535" s="206">
        <v>24</v>
      </c>
      <c r="L535" s="206">
        <v>31</v>
      </c>
      <c r="M535" s="206">
        <v>32</v>
      </c>
      <c r="N535" s="206" t="s">
        <v>427</v>
      </c>
      <c r="O535" s="206">
        <f t="shared" ref="O535:O598" si="268">SUM(E535:I535)</f>
        <v>135</v>
      </c>
      <c r="P535" s="206">
        <f t="shared" ref="P535:P598" si="269">SUM(J535:N535)</f>
        <v>132</v>
      </c>
      <c r="Q535" s="206" t="str">
        <f t="shared" ref="Q535:Q598" si="270">IF(E535=J535,"TT",IF(E535&gt;J535,"HW","HL"))</f>
        <v>HL</v>
      </c>
      <c r="R535" s="206" t="str">
        <f t="shared" ref="R535:R598" si="271">IF(F535=K535,"TT",IF(F535&gt;K535,"HW","HL"))</f>
        <v>HW</v>
      </c>
      <c r="S535" s="206" t="str">
        <f t="shared" ref="S535:S598" si="272">IF(G535=L535,"TT",IF(G535&gt;L535,"HW","HL"))</f>
        <v>HW</v>
      </c>
      <c r="T535" s="206" t="str">
        <f t="shared" ref="T535:T598" si="273">IF(H535=M535,"TT",IF(H535&gt;M535,"HW","HL"))</f>
        <v>HL</v>
      </c>
      <c r="U535" s="206" t="str">
        <f t="shared" ref="U535:U598" si="274">IF(SUM(E535,J535)=$Z535,"T",IF(SUM(E535,J535)&gt;$Z535,"O","U"))</f>
        <v>O</v>
      </c>
      <c r="V535" s="206" t="str">
        <f t="shared" ref="V535:V598" si="275">IF(SUM(F535,K535)=$Z535,"T",IF(SUM(F535,K535)&gt;$Z535,"O","U"))</f>
        <v>O</v>
      </c>
      <c r="W535" s="206" t="str">
        <f t="shared" ref="W535:W598" si="276">IF(SUM(G535,L535)=$Z535,"T",IF(SUM(G535,L535)&gt;$Z535,"O","U"))</f>
        <v>O</v>
      </c>
      <c r="X535" s="206" t="str">
        <f t="shared" ref="X535:X598" si="277">IF(SUM(H535,M535)=$Z535,"T",IF(SUM(H535,M535)&gt;$Z535,"O","U"))</f>
        <v>U</v>
      </c>
      <c r="Y535" s="206"/>
      <c r="Z535" s="206">
        <v>57</v>
      </c>
      <c r="AA535" s="206" t="str">
        <f t="shared" si="267"/>
        <v>LAC/NYK</v>
      </c>
    </row>
    <row r="536" spans="1:27" ht="17.100000000000001" x14ac:dyDescent="0.45">
      <c r="A536" s="206">
        <v>200106</v>
      </c>
      <c r="B536" s="207">
        <v>0.33333333333333331</v>
      </c>
      <c r="C536" s="15" t="s">
        <v>411</v>
      </c>
      <c r="D536" s="206" t="s">
        <v>417</v>
      </c>
      <c r="E536" s="206">
        <v>31</v>
      </c>
      <c r="F536" s="206">
        <v>34</v>
      </c>
      <c r="G536" s="206">
        <v>29</v>
      </c>
      <c r="H536" s="206">
        <v>28</v>
      </c>
      <c r="I536" s="206"/>
      <c r="J536" s="206">
        <v>19</v>
      </c>
      <c r="K536" s="206">
        <v>27</v>
      </c>
      <c r="L536" s="206">
        <v>35</v>
      </c>
      <c r="M536" s="206">
        <v>30</v>
      </c>
      <c r="N536" s="206" t="s">
        <v>427</v>
      </c>
      <c r="O536" s="206">
        <f t="shared" si="268"/>
        <v>122</v>
      </c>
      <c r="P536" s="206">
        <f t="shared" si="269"/>
        <v>111</v>
      </c>
      <c r="Q536" s="206" t="str">
        <f t="shared" si="270"/>
        <v>HW</v>
      </c>
      <c r="R536" s="206" t="str">
        <f t="shared" si="271"/>
        <v>HW</v>
      </c>
      <c r="S536" s="206" t="str">
        <f t="shared" si="272"/>
        <v>HL</v>
      </c>
      <c r="T536" s="206" t="str">
        <f t="shared" si="273"/>
        <v>HL</v>
      </c>
      <c r="U536" s="206" t="str">
        <f t="shared" si="274"/>
        <v>U</v>
      </c>
      <c r="V536" s="206" t="str">
        <f t="shared" si="275"/>
        <v>O</v>
      </c>
      <c r="W536" s="206" t="str">
        <f t="shared" si="276"/>
        <v>O</v>
      </c>
      <c r="X536" s="206" t="str">
        <f t="shared" si="277"/>
        <v>O</v>
      </c>
      <c r="Y536" s="206"/>
      <c r="Z536">
        <v>55.5</v>
      </c>
      <c r="AA536" s="206" t="str">
        <f t="shared" si="267"/>
        <v>MIA/POR</v>
      </c>
    </row>
    <row r="537" spans="1:27" ht="17.100000000000001" x14ac:dyDescent="0.45">
      <c r="A537" s="206">
        <v>200106</v>
      </c>
      <c r="B537" s="207">
        <v>0.39583333333333331</v>
      </c>
      <c r="C537" s="206" t="s">
        <v>402</v>
      </c>
      <c r="D537" s="206" t="s">
        <v>420</v>
      </c>
      <c r="E537" s="206">
        <v>20</v>
      </c>
      <c r="F537" s="206">
        <v>28</v>
      </c>
      <c r="G537" s="206">
        <v>31</v>
      </c>
      <c r="H537" s="206">
        <v>24</v>
      </c>
      <c r="I537" s="206"/>
      <c r="J537" s="206">
        <v>24</v>
      </c>
      <c r="K537" s="206">
        <v>42</v>
      </c>
      <c r="L537" s="206">
        <v>28</v>
      </c>
      <c r="M537" s="206">
        <v>24</v>
      </c>
      <c r="N537" s="206" t="s">
        <v>427</v>
      </c>
      <c r="O537" s="206">
        <f t="shared" si="268"/>
        <v>103</v>
      </c>
      <c r="P537" s="206">
        <f t="shared" si="269"/>
        <v>118</v>
      </c>
      <c r="Q537" s="206" t="str">
        <f t="shared" si="270"/>
        <v>HL</v>
      </c>
      <c r="R537" s="206" t="str">
        <f t="shared" si="271"/>
        <v>HL</v>
      </c>
      <c r="S537" s="206" t="str">
        <f t="shared" si="272"/>
        <v>HW</v>
      </c>
      <c r="T537" s="206" t="str">
        <f t="shared" si="273"/>
        <v>TT</v>
      </c>
      <c r="U537" s="206" t="str">
        <f t="shared" si="274"/>
        <v>U</v>
      </c>
      <c r="V537" s="206" t="str">
        <f t="shared" si="275"/>
        <v>O</v>
      </c>
      <c r="W537" s="206" t="str">
        <f t="shared" si="276"/>
        <v>O</v>
      </c>
      <c r="X537" s="206" t="str">
        <f t="shared" si="277"/>
        <v>U</v>
      </c>
      <c r="Y537" s="206"/>
      <c r="Z537">
        <v>55.5</v>
      </c>
      <c r="AA537" s="206" t="str">
        <f t="shared" si="267"/>
        <v>CLE/MIN</v>
      </c>
    </row>
    <row r="538" spans="1:27" ht="17.100000000000001" x14ac:dyDescent="0.45">
      <c r="A538" s="206">
        <v>200106</v>
      </c>
      <c r="B538" s="207">
        <v>0.41666666666666669</v>
      </c>
      <c r="C538" s="208" t="s">
        <v>435</v>
      </c>
      <c r="D538" s="208" t="s">
        <v>406</v>
      </c>
      <c r="E538" s="206">
        <v>31</v>
      </c>
      <c r="F538" s="206">
        <v>26</v>
      </c>
      <c r="G538" s="206">
        <v>20</v>
      </c>
      <c r="H538" s="206">
        <v>37</v>
      </c>
      <c r="I538" s="206"/>
      <c r="J538" s="206">
        <v>27</v>
      </c>
      <c r="K538" s="206">
        <v>35</v>
      </c>
      <c r="L538" s="206">
        <v>34</v>
      </c>
      <c r="M538" s="206">
        <v>25</v>
      </c>
      <c r="N538" s="206" t="s">
        <v>427</v>
      </c>
      <c r="O538" s="206">
        <f t="shared" si="268"/>
        <v>114</v>
      </c>
      <c r="P538" s="206">
        <f t="shared" si="269"/>
        <v>121</v>
      </c>
      <c r="Q538" s="206" t="str">
        <f t="shared" si="270"/>
        <v>HW</v>
      </c>
      <c r="R538" s="206" t="str">
        <f t="shared" si="271"/>
        <v>HL</v>
      </c>
      <c r="S538" s="206" t="str">
        <f t="shared" si="272"/>
        <v>HL</v>
      </c>
      <c r="T538" s="206" t="str">
        <f t="shared" si="273"/>
        <v>HW</v>
      </c>
      <c r="U538" s="206" t="str">
        <f t="shared" si="274"/>
        <v>O</v>
      </c>
      <c r="V538" s="206" t="str">
        <f t="shared" si="275"/>
        <v>O</v>
      </c>
      <c r="W538" s="206" t="str">
        <f t="shared" si="276"/>
        <v>U</v>
      </c>
      <c r="X538" s="206" t="str">
        <f t="shared" si="277"/>
        <v>O</v>
      </c>
      <c r="Y538" s="206"/>
      <c r="Z538">
        <v>57.5</v>
      </c>
      <c r="AA538" s="206" t="str">
        <f t="shared" si="267"/>
        <v>PHO/MEM</v>
      </c>
    </row>
    <row r="539" spans="1:27" ht="17.100000000000001" x14ac:dyDescent="0.45">
      <c r="A539" s="206">
        <v>200106</v>
      </c>
      <c r="B539" s="207">
        <v>0.5</v>
      </c>
      <c r="C539" s="11" t="s">
        <v>419</v>
      </c>
      <c r="D539" s="11" t="s">
        <v>422</v>
      </c>
      <c r="E539" s="206">
        <v>23</v>
      </c>
      <c r="F539" s="206">
        <v>33</v>
      </c>
      <c r="G539" s="206">
        <v>19</v>
      </c>
      <c r="H539" s="206">
        <v>31</v>
      </c>
      <c r="I539" s="206"/>
      <c r="J539" s="206">
        <v>22</v>
      </c>
      <c r="K539" s="206">
        <v>25</v>
      </c>
      <c r="L539" s="206">
        <v>32</v>
      </c>
      <c r="M539" s="206">
        <v>20</v>
      </c>
      <c r="N539" s="206" t="s">
        <v>427</v>
      </c>
      <c r="O539" s="206">
        <f t="shared" si="268"/>
        <v>106</v>
      </c>
      <c r="P539" s="206">
        <f t="shared" si="269"/>
        <v>99</v>
      </c>
      <c r="Q539" s="206" t="str">
        <f t="shared" si="270"/>
        <v>HW</v>
      </c>
      <c r="R539" s="206" t="str">
        <f t="shared" si="271"/>
        <v>HW</v>
      </c>
      <c r="S539" s="206" t="str">
        <f t="shared" si="272"/>
        <v>HL</v>
      </c>
      <c r="T539" s="206" t="str">
        <f t="shared" si="273"/>
        <v>HW</v>
      </c>
      <c r="U539" s="206" t="str">
        <f t="shared" si="274"/>
        <v>U</v>
      </c>
      <c r="V539" s="206" t="str">
        <f t="shared" si="275"/>
        <v>O</v>
      </c>
      <c r="W539" s="206" t="str">
        <f t="shared" si="276"/>
        <v>U</v>
      </c>
      <c r="X539" s="206" t="str">
        <f t="shared" si="277"/>
        <v>U</v>
      </c>
      <c r="Y539" s="206"/>
      <c r="Z539">
        <v>57.5</v>
      </c>
      <c r="AA539" s="206" t="str">
        <f t="shared" si="267"/>
        <v>LAL/DET</v>
      </c>
    </row>
    <row r="540" spans="1:27" ht="17.100000000000001" x14ac:dyDescent="0.45">
      <c r="A540" s="206">
        <v>200107</v>
      </c>
      <c r="B540" s="44">
        <v>0.375</v>
      </c>
      <c r="C540" s="206" t="s">
        <v>424</v>
      </c>
      <c r="D540" s="206" t="s">
        <v>407</v>
      </c>
      <c r="E540" s="206">
        <v>20</v>
      </c>
      <c r="F540" s="206">
        <v>32</v>
      </c>
      <c r="G540" s="206">
        <v>23</v>
      </c>
      <c r="H540" s="206">
        <v>26</v>
      </c>
      <c r="I540" s="206"/>
      <c r="J540" s="206">
        <v>22</v>
      </c>
      <c r="K540" s="206">
        <v>17</v>
      </c>
      <c r="L540" s="206">
        <v>32</v>
      </c>
      <c r="M540" s="206">
        <v>18</v>
      </c>
      <c r="N540" s="206" t="s">
        <v>427</v>
      </c>
      <c r="O540" s="206">
        <f t="shared" si="268"/>
        <v>101</v>
      </c>
      <c r="P540" s="206">
        <f t="shared" si="269"/>
        <v>89</v>
      </c>
      <c r="Q540" s="206" t="str">
        <f t="shared" si="270"/>
        <v>HL</v>
      </c>
      <c r="R540" s="206" t="str">
        <f t="shared" si="271"/>
        <v>HW</v>
      </c>
      <c r="S540" s="206" t="str">
        <f t="shared" si="272"/>
        <v>HL</v>
      </c>
      <c r="T540" s="206" t="str">
        <f t="shared" si="273"/>
        <v>HW</v>
      </c>
      <c r="U540" s="206" t="str">
        <f t="shared" si="274"/>
        <v>U</v>
      </c>
      <c r="V540" s="206" t="str">
        <f t="shared" si="275"/>
        <v>U</v>
      </c>
      <c r="W540" s="206" t="str">
        <f t="shared" si="276"/>
        <v>O</v>
      </c>
      <c r="X540" s="206" t="str">
        <f t="shared" si="277"/>
        <v>U</v>
      </c>
      <c r="Y540" s="206"/>
      <c r="Z540" s="206">
        <v>52</v>
      </c>
      <c r="AA540" s="206" t="str">
        <f t="shared" si="267"/>
        <v>ORL/BKN</v>
      </c>
    </row>
    <row r="541" spans="1:27" ht="17.100000000000001" x14ac:dyDescent="0.45">
      <c r="A541" s="206">
        <v>200107</v>
      </c>
      <c r="B541" s="44">
        <v>0.375</v>
      </c>
      <c r="C541" s="206" t="s">
        <v>401</v>
      </c>
      <c r="D541" s="206" t="s">
        <v>418</v>
      </c>
      <c r="E541" s="206">
        <v>31</v>
      </c>
      <c r="F541" s="206">
        <v>31</v>
      </c>
      <c r="G541" s="206">
        <v>28</v>
      </c>
      <c r="H541" s="206">
        <v>30</v>
      </c>
      <c r="I541" s="206"/>
      <c r="J541" s="206">
        <v>31</v>
      </c>
      <c r="K541" s="206">
        <v>21</v>
      </c>
      <c r="L541" s="206">
        <v>34</v>
      </c>
      <c r="M541" s="206">
        <v>27</v>
      </c>
      <c r="N541" s="206" t="s">
        <v>427</v>
      </c>
      <c r="O541" s="206">
        <f t="shared" si="268"/>
        <v>120</v>
      </c>
      <c r="P541" s="206">
        <f t="shared" si="269"/>
        <v>113</v>
      </c>
      <c r="Q541" s="206" t="str">
        <f t="shared" si="270"/>
        <v>TT</v>
      </c>
      <c r="R541" s="206" t="str">
        <f t="shared" si="271"/>
        <v>HW</v>
      </c>
      <c r="S541" s="206" t="str">
        <f t="shared" si="272"/>
        <v>HL</v>
      </c>
      <c r="T541" s="206" t="str">
        <f t="shared" si="273"/>
        <v>HW</v>
      </c>
      <c r="U541" s="206" t="str">
        <f t="shared" si="274"/>
        <v>O</v>
      </c>
      <c r="V541" s="206" t="str">
        <f t="shared" si="275"/>
        <v>U</v>
      </c>
      <c r="W541" s="206" t="str">
        <f t="shared" si="276"/>
        <v>O</v>
      </c>
      <c r="X541" s="206" t="str">
        <f t="shared" si="277"/>
        <v>O</v>
      </c>
      <c r="Y541" s="206"/>
      <c r="Z541" s="206">
        <v>55</v>
      </c>
      <c r="AA541" s="206" t="str">
        <f t="shared" si="267"/>
        <v>PHI/OKC</v>
      </c>
    </row>
    <row r="542" spans="1:27" ht="17.100000000000001" x14ac:dyDescent="0.45">
      <c r="A542" s="206">
        <v>200107</v>
      </c>
      <c r="B542" s="44">
        <v>0.375</v>
      </c>
      <c r="C542" s="206" t="s">
        <v>414</v>
      </c>
      <c r="D542" s="206" t="s">
        <v>421</v>
      </c>
      <c r="E542" s="206">
        <v>26</v>
      </c>
      <c r="F542" s="206">
        <v>25</v>
      </c>
      <c r="G542" s="206">
        <v>23</v>
      </c>
      <c r="H542" s="206">
        <v>25</v>
      </c>
      <c r="I542" s="206"/>
      <c r="J542" s="206">
        <v>17</v>
      </c>
      <c r="K542" s="206">
        <v>23</v>
      </c>
      <c r="L542" s="206">
        <v>32</v>
      </c>
      <c r="M542" s="206">
        <v>22</v>
      </c>
      <c r="N542" s="206" t="s">
        <v>427</v>
      </c>
      <c r="O542" s="206">
        <f t="shared" si="268"/>
        <v>99</v>
      </c>
      <c r="P542" s="206">
        <f t="shared" si="269"/>
        <v>94</v>
      </c>
      <c r="Q542" s="206" t="str">
        <f t="shared" si="270"/>
        <v>HW</v>
      </c>
      <c r="R542" s="206" t="str">
        <f t="shared" si="271"/>
        <v>HW</v>
      </c>
      <c r="S542" s="206" t="str">
        <f t="shared" si="272"/>
        <v>HL</v>
      </c>
      <c r="T542" s="206" t="str">
        <f t="shared" si="273"/>
        <v>HW</v>
      </c>
      <c r="U542" s="206" t="str">
        <f t="shared" si="274"/>
        <v>U</v>
      </c>
      <c r="V542" s="206" t="str">
        <f t="shared" si="275"/>
        <v>U</v>
      </c>
      <c r="W542" s="206" t="str">
        <f t="shared" si="276"/>
        <v>T</v>
      </c>
      <c r="X542" s="206" t="str">
        <f t="shared" si="277"/>
        <v>U</v>
      </c>
      <c r="Y542" s="206"/>
      <c r="Z542" s="206">
        <v>55</v>
      </c>
      <c r="AA542" s="206" t="str">
        <f t="shared" si="267"/>
        <v>WAS/BOS</v>
      </c>
    </row>
    <row r="543" spans="1:27" ht="17.100000000000001" x14ac:dyDescent="0.45">
      <c r="A543" s="206">
        <v>200107</v>
      </c>
      <c r="B543" s="44">
        <v>0.375</v>
      </c>
      <c r="C543" s="206" t="s">
        <v>409</v>
      </c>
      <c r="D543" s="206" t="s">
        <v>400</v>
      </c>
      <c r="E543" s="206">
        <v>29</v>
      </c>
      <c r="F543" s="206">
        <v>15</v>
      </c>
      <c r="G543" s="206">
        <v>21</v>
      </c>
      <c r="H543" s="206">
        <v>39</v>
      </c>
      <c r="I543" s="206"/>
      <c r="J543" s="206">
        <v>27</v>
      </c>
      <c r="K543" s="206">
        <v>15</v>
      </c>
      <c r="L543" s="206">
        <v>37</v>
      </c>
      <c r="M543" s="206">
        <v>36</v>
      </c>
      <c r="N543" s="206" t="s">
        <v>427</v>
      </c>
      <c r="O543" s="206">
        <f t="shared" si="268"/>
        <v>104</v>
      </c>
      <c r="P543" s="206">
        <f t="shared" si="269"/>
        <v>115</v>
      </c>
      <c r="Q543" s="206" t="str">
        <f t="shared" si="270"/>
        <v>HW</v>
      </c>
      <c r="R543" s="206" t="str">
        <f t="shared" si="271"/>
        <v>TT</v>
      </c>
      <c r="S543" s="206" t="str">
        <f t="shared" si="272"/>
        <v>HL</v>
      </c>
      <c r="T543" s="206" t="str">
        <f t="shared" si="273"/>
        <v>HW</v>
      </c>
      <c r="U543" s="206" t="str">
        <f t="shared" si="274"/>
        <v>O</v>
      </c>
      <c r="V543" s="206" t="str">
        <f t="shared" si="275"/>
        <v>U</v>
      </c>
      <c r="W543" s="206" t="str">
        <f t="shared" si="276"/>
        <v>O</v>
      </c>
      <c r="X543" s="206" t="str">
        <f t="shared" si="277"/>
        <v>O</v>
      </c>
      <c r="Y543" s="206"/>
      <c r="Z543" s="206">
        <v>54</v>
      </c>
      <c r="AA543" s="206" t="str">
        <f t="shared" si="267"/>
        <v>CHA/IND</v>
      </c>
    </row>
    <row r="544" spans="1:27" ht="17.100000000000001" x14ac:dyDescent="0.45">
      <c r="A544" s="206">
        <v>200107</v>
      </c>
      <c r="B544" s="44">
        <v>0.39583333333333331</v>
      </c>
      <c r="C544" s="206" t="s">
        <v>410</v>
      </c>
      <c r="D544" s="206" t="s">
        <v>408</v>
      </c>
      <c r="E544" s="206">
        <v>31</v>
      </c>
      <c r="F544" s="206">
        <v>25</v>
      </c>
      <c r="G544" s="206">
        <v>30</v>
      </c>
      <c r="H544" s="206">
        <v>29</v>
      </c>
      <c r="I544" s="206"/>
      <c r="J544" s="206">
        <v>29</v>
      </c>
      <c r="K544" s="206">
        <v>35</v>
      </c>
      <c r="L544" s="206">
        <v>27</v>
      </c>
      <c r="M544" s="206">
        <v>32</v>
      </c>
      <c r="N544" s="206" t="s">
        <v>427</v>
      </c>
      <c r="O544" s="206">
        <f t="shared" si="268"/>
        <v>115</v>
      </c>
      <c r="P544" s="206">
        <f t="shared" si="269"/>
        <v>123</v>
      </c>
      <c r="Q544" s="206" t="str">
        <f t="shared" si="270"/>
        <v>HW</v>
      </c>
      <c r="R544" s="206" t="str">
        <f t="shared" si="271"/>
        <v>HL</v>
      </c>
      <c r="S544" s="206" t="str">
        <f t="shared" si="272"/>
        <v>HW</v>
      </c>
      <c r="T544" s="206" t="str">
        <f t="shared" si="273"/>
        <v>HL</v>
      </c>
      <c r="U544" s="206" t="str">
        <f t="shared" si="274"/>
        <v>O</v>
      </c>
      <c r="V544" s="206" t="str">
        <f t="shared" si="275"/>
        <v>O</v>
      </c>
      <c r="W544" s="206" t="str">
        <f t="shared" si="276"/>
        <v>U</v>
      </c>
      <c r="X544" s="206" t="str">
        <f t="shared" si="277"/>
        <v>O</v>
      </c>
      <c r="Y544" s="206"/>
      <c r="Z544" s="206">
        <v>58</v>
      </c>
      <c r="AA544" s="206" t="str">
        <f t="shared" si="267"/>
        <v>ATL/DEN</v>
      </c>
    </row>
    <row r="545" spans="1:27" ht="17.100000000000001" x14ac:dyDescent="0.45">
      <c r="A545" s="206">
        <v>200107</v>
      </c>
      <c r="B545" s="44">
        <v>0.41666666666666669</v>
      </c>
      <c r="C545" s="206" t="s">
        <v>398</v>
      </c>
      <c r="D545" s="206" t="s">
        <v>405</v>
      </c>
      <c r="E545" s="206">
        <v>36</v>
      </c>
      <c r="F545" s="206">
        <v>28</v>
      </c>
      <c r="G545" s="206">
        <v>33</v>
      </c>
      <c r="H545" s="206">
        <v>29</v>
      </c>
      <c r="I545" s="206"/>
      <c r="J545" s="206">
        <v>35</v>
      </c>
      <c r="K545" s="206">
        <v>33</v>
      </c>
      <c r="L545" s="206">
        <v>27</v>
      </c>
      <c r="M545" s="206">
        <v>33</v>
      </c>
      <c r="N545" s="206" t="s">
        <v>427</v>
      </c>
      <c r="O545" s="206">
        <f t="shared" si="268"/>
        <v>126</v>
      </c>
      <c r="P545" s="206">
        <f t="shared" si="269"/>
        <v>128</v>
      </c>
      <c r="Q545" s="206" t="str">
        <f t="shared" si="270"/>
        <v>HW</v>
      </c>
      <c r="R545" s="206" t="str">
        <f t="shared" si="271"/>
        <v>HL</v>
      </c>
      <c r="S545" s="206" t="str">
        <f t="shared" si="272"/>
        <v>HW</v>
      </c>
      <c r="T545" s="206" t="str">
        <f t="shared" si="273"/>
        <v>HL</v>
      </c>
      <c r="U545" s="206" t="str">
        <f t="shared" si="274"/>
        <v>O</v>
      </c>
      <c r="V545" s="206" t="str">
        <f t="shared" si="275"/>
        <v>O</v>
      </c>
      <c r="W545" s="206" t="str">
        <f t="shared" si="276"/>
        <v>O</v>
      </c>
      <c r="X545" s="206" t="str">
        <f t="shared" si="277"/>
        <v>O</v>
      </c>
      <c r="Y545" s="206"/>
      <c r="Z545" s="206">
        <v>54</v>
      </c>
      <c r="AA545" s="206" t="str">
        <f t="shared" si="267"/>
        <v>NO/UTA</v>
      </c>
    </row>
    <row r="546" spans="1:27" ht="17.100000000000001" x14ac:dyDescent="0.45">
      <c r="A546" s="206">
        <v>200107</v>
      </c>
      <c r="B546" s="44">
        <v>0.4375</v>
      </c>
      <c r="C546" s="206" t="s">
        <v>397</v>
      </c>
      <c r="D546" s="206" t="s">
        <v>412</v>
      </c>
      <c r="E546" s="206">
        <v>33</v>
      </c>
      <c r="F546" s="206">
        <v>28</v>
      </c>
      <c r="G546" s="206">
        <v>27</v>
      </c>
      <c r="H546" s="206">
        <v>30</v>
      </c>
      <c r="I546" s="206"/>
      <c r="J546" s="206">
        <v>27</v>
      </c>
      <c r="K546" s="206">
        <v>28</v>
      </c>
      <c r="L546" s="206">
        <v>27</v>
      </c>
      <c r="M546" s="206">
        <v>28</v>
      </c>
      <c r="N546" s="206" t="s">
        <v>427</v>
      </c>
      <c r="O546" s="206">
        <f t="shared" si="268"/>
        <v>118</v>
      </c>
      <c r="P546" s="206">
        <f t="shared" si="269"/>
        <v>110</v>
      </c>
      <c r="Q546" s="206" t="str">
        <f t="shared" si="270"/>
        <v>HW</v>
      </c>
      <c r="R546" s="206" t="str">
        <f t="shared" si="271"/>
        <v>TT</v>
      </c>
      <c r="S546" s="206" t="str">
        <f t="shared" si="272"/>
        <v>TT</v>
      </c>
      <c r="T546" s="206" t="str">
        <f t="shared" si="273"/>
        <v>HW</v>
      </c>
      <c r="U546" s="206" t="str">
        <f t="shared" si="274"/>
        <v>O</v>
      </c>
      <c r="V546" s="206" t="str">
        <f t="shared" si="275"/>
        <v>T</v>
      </c>
      <c r="W546" s="206" t="str">
        <f t="shared" si="276"/>
        <v>U</v>
      </c>
      <c r="X546" s="206" t="str">
        <f t="shared" si="277"/>
        <v>O</v>
      </c>
      <c r="Y546" s="206"/>
      <c r="Z546" s="206">
        <v>56</v>
      </c>
      <c r="AA546" s="206" t="str">
        <f t="shared" si="267"/>
        <v>DAL/CHI</v>
      </c>
    </row>
    <row r="547" spans="1:27" ht="17.100000000000001" x14ac:dyDescent="0.45">
      <c r="A547" s="206">
        <v>200107</v>
      </c>
      <c r="B547" s="44">
        <v>0.4375</v>
      </c>
      <c r="C547" s="206" t="s">
        <v>426</v>
      </c>
      <c r="D547" s="206" t="s">
        <v>423</v>
      </c>
      <c r="E547" s="206">
        <v>27</v>
      </c>
      <c r="F547" s="206">
        <v>38</v>
      </c>
      <c r="G547" s="206">
        <v>26</v>
      </c>
      <c r="H547" s="206">
        <v>35</v>
      </c>
      <c r="I547" s="206"/>
      <c r="J547" s="206">
        <v>22</v>
      </c>
      <c r="K547" s="206">
        <v>30</v>
      </c>
      <c r="L547" s="206">
        <v>29</v>
      </c>
      <c r="M547" s="206">
        <v>23</v>
      </c>
      <c r="N547" s="206" t="s">
        <v>427</v>
      </c>
      <c r="O547" s="206">
        <f t="shared" si="268"/>
        <v>126</v>
      </c>
      <c r="P547" s="206">
        <f t="shared" si="269"/>
        <v>104</v>
      </c>
      <c r="Q547" s="206" t="str">
        <f t="shared" si="270"/>
        <v>HW</v>
      </c>
      <c r="R547" s="206" t="str">
        <f t="shared" si="271"/>
        <v>HW</v>
      </c>
      <c r="S547" s="206" t="str">
        <f t="shared" si="272"/>
        <v>HL</v>
      </c>
      <c r="T547" s="206" t="str">
        <f t="shared" si="273"/>
        <v>HW</v>
      </c>
      <c r="U547" s="206" t="str">
        <f t="shared" si="274"/>
        <v>U</v>
      </c>
      <c r="V547" s="206" t="str">
        <f t="shared" si="275"/>
        <v>O</v>
      </c>
      <c r="W547" s="206" t="str">
        <f t="shared" si="276"/>
        <v>U</v>
      </c>
      <c r="X547" s="206" t="str">
        <f t="shared" si="277"/>
        <v>O</v>
      </c>
      <c r="Y547" s="206"/>
      <c r="Z547" s="206">
        <v>56.5</v>
      </c>
      <c r="AA547" s="206" t="str">
        <f t="shared" si="267"/>
        <v>SAS/MIL</v>
      </c>
    </row>
    <row r="548" spans="1:27" ht="17.100000000000001" x14ac:dyDescent="0.45">
      <c r="A548" s="206">
        <v>200107</v>
      </c>
      <c r="B548" s="44">
        <v>0.5</v>
      </c>
      <c r="C548" s="206" t="s">
        <v>416</v>
      </c>
      <c r="D548" s="206" t="s">
        <v>425</v>
      </c>
      <c r="E548" s="206">
        <v>26</v>
      </c>
      <c r="F548" s="206">
        <v>26</v>
      </c>
      <c r="G548" s="206">
        <v>38</v>
      </c>
      <c r="H548" s="206">
        <v>21</v>
      </c>
      <c r="I548" s="206"/>
      <c r="J548" s="206">
        <v>19</v>
      </c>
      <c r="K548" s="206">
        <v>21</v>
      </c>
      <c r="L548" s="206">
        <v>24</v>
      </c>
      <c r="M548" s="206">
        <v>34</v>
      </c>
      <c r="N548" s="206" t="s">
        <v>427</v>
      </c>
      <c r="O548" s="206">
        <f t="shared" si="268"/>
        <v>111</v>
      </c>
      <c r="P548" s="206">
        <f t="shared" si="269"/>
        <v>98</v>
      </c>
      <c r="Q548" s="206" t="str">
        <f t="shared" si="270"/>
        <v>HW</v>
      </c>
      <c r="R548" s="206" t="str">
        <f t="shared" si="271"/>
        <v>HW</v>
      </c>
      <c r="S548" s="206" t="str">
        <f t="shared" si="272"/>
        <v>HW</v>
      </c>
      <c r="T548" s="206" t="str">
        <f t="shared" si="273"/>
        <v>HL</v>
      </c>
      <c r="U548" s="206" t="str">
        <f t="shared" si="274"/>
        <v>U</v>
      </c>
      <c r="V548" s="206" t="str">
        <f t="shared" si="275"/>
        <v>U</v>
      </c>
      <c r="W548" s="206" t="str">
        <f t="shared" si="276"/>
        <v>O</v>
      </c>
      <c r="X548" s="206" t="str">
        <f t="shared" si="277"/>
        <v>T</v>
      </c>
      <c r="Y548" s="206"/>
      <c r="Z548" s="206">
        <v>55</v>
      </c>
      <c r="AA548" s="206" t="str">
        <f t="shared" si="267"/>
        <v>SAC/GS</v>
      </c>
    </row>
    <row r="549" spans="1:27" ht="17.100000000000001" x14ac:dyDescent="0.45">
      <c r="A549" s="206">
        <v>200108</v>
      </c>
      <c r="B549" s="44">
        <v>0.375</v>
      </c>
      <c r="C549" s="206" t="s">
        <v>402</v>
      </c>
      <c r="D549" s="206" t="s">
        <v>422</v>
      </c>
      <c r="E549" s="206">
        <v>29</v>
      </c>
      <c r="F549" s="206">
        <v>38</v>
      </c>
      <c r="G549" s="206">
        <v>28</v>
      </c>
      <c r="H549" s="206">
        <v>18</v>
      </c>
      <c r="I549" s="206"/>
      <c r="J549" s="206">
        <v>27</v>
      </c>
      <c r="K549" s="206">
        <v>27</v>
      </c>
      <c r="L549" s="206">
        <v>30</v>
      </c>
      <c r="M549" s="206">
        <v>31</v>
      </c>
      <c r="N549" s="206" t="s">
        <v>427</v>
      </c>
      <c r="O549" s="206">
        <f t="shared" si="268"/>
        <v>113</v>
      </c>
      <c r="P549" s="206">
        <f t="shared" si="269"/>
        <v>115</v>
      </c>
      <c r="Q549" s="206" t="str">
        <f t="shared" si="270"/>
        <v>HW</v>
      </c>
      <c r="R549" s="206" t="str">
        <f t="shared" si="271"/>
        <v>HW</v>
      </c>
      <c r="S549" s="206" t="str">
        <f t="shared" si="272"/>
        <v>HL</v>
      </c>
      <c r="T549" s="206" t="str">
        <f t="shared" si="273"/>
        <v>HL</v>
      </c>
      <c r="U549" s="206" t="str">
        <f t="shared" si="274"/>
        <v>U</v>
      </c>
      <c r="V549" s="206" t="str">
        <f t="shared" si="275"/>
        <v>O</v>
      </c>
      <c r="W549" s="206" t="str">
        <f t="shared" si="276"/>
        <v>O</v>
      </c>
      <c r="X549" s="206" t="str">
        <f t="shared" si="277"/>
        <v>U</v>
      </c>
      <c r="Y549" s="206"/>
      <c r="Z549" s="206">
        <v>56.5</v>
      </c>
      <c r="AA549" s="206" t="str">
        <f t="shared" si="267"/>
        <v>CLE/DET</v>
      </c>
    </row>
    <row r="550" spans="1:27" ht="17.100000000000001" x14ac:dyDescent="0.45">
      <c r="A550" s="206">
        <v>200108</v>
      </c>
      <c r="B550" s="44">
        <v>0.375</v>
      </c>
      <c r="C550" s="206" t="s">
        <v>413</v>
      </c>
      <c r="D550" s="206" t="s">
        <v>417</v>
      </c>
      <c r="E550" s="206">
        <v>24</v>
      </c>
      <c r="F550" s="206">
        <v>32</v>
      </c>
      <c r="G550" s="206">
        <v>22</v>
      </c>
      <c r="H550" s="206">
        <v>21</v>
      </c>
      <c r="I550" s="206"/>
      <c r="J550" s="206">
        <v>15</v>
      </c>
      <c r="K550" s="206">
        <v>31</v>
      </c>
      <c r="L550" s="206">
        <v>23</v>
      </c>
      <c r="M550" s="206">
        <v>32</v>
      </c>
      <c r="N550" s="206" t="s">
        <v>427</v>
      </c>
      <c r="O550" s="206">
        <f t="shared" si="268"/>
        <v>99</v>
      </c>
      <c r="P550" s="206">
        <f t="shared" si="269"/>
        <v>101</v>
      </c>
      <c r="Q550" s="206" t="str">
        <f t="shared" si="270"/>
        <v>HW</v>
      </c>
      <c r="R550" s="206" t="str">
        <f t="shared" si="271"/>
        <v>HW</v>
      </c>
      <c r="S550" s="206" t="str">
        <f t="shared" si="272"/>
        <v>HL</v>
      </c>
      <c r="T550" s="206" t="str">
        <f t="shared" si="273"/>
        <v>HL</v>
      </c>
      <c r="U550" s="206" t="str">
        <f t="shared" si="274"/>
        <v>U</v>
      </c>
      <c r="V550" s="206" t="str">
        <f t="shared" si="275"/>
        <v>O</v>
      </c>
      <c r="W550" s="206" t="str">
        <f t="shared" si="276"/>
        <v>U</v>
      </c>
      <c r="X550" s="206" t="str">
        <f t="shared" si="277"/>
        <v>U</v>
      </c>
      <c r="Y550" s="206"/>
      <c r="Z550" s="206">
        <v>57.5</v>
      </c>
      <c r="AA550" s="206" t="str">
        <f t="shared" si="267"/>
        <v>TOR/POR</v>
      </c>
    </row>
    <row r="551" spans="1:27" ht="17.100000000000001" x14ac:dyDescent="0.45">
      <c r="A551" s="206">
        <v>200108</v>
      </c>
      <c r="B551" s="44">
        <v>0.39583333333333331</v>
      </c>
      <c r="C551" s="206" t="s">
        <v>407</v>
      </c>
      <c r="D551" s="206" t="s">
        <v>418</v>
      </c>
      <c r="E551" s="206">
        <v>23</v>
      </c>
      <c r="F551" s="206">
        <v>25</v>
      </c>
      <c r="G551" s="206">
        <v>29</v>
      </c>
      <c r="H551" s="206">
        <v>24</v>
      </c>
      <c r="I551" s="206">
        <v>2</v>
      </c>
      <c r="J551" s="206">
        <v>27</v>
      </c>
      <c r="K551" s="206">
        <v>22</v>
      </c>
      <c r="L551" s="206">
        <v>25</v>
      </c>
      <c r="M551" s="206">
        <v>27</v>
      </c>
      <c r="N551" s="206">
        <v>10</v>
      </c>
      <c r="O551" s="206">
        <f t="shared" si="268"/>
        <v>103</v>
      </c>
      <c r="P551" s="206">
        <f t="shared" si="269"/>
        <v>111</v>
      </c>
      <c r="Q551" s="206" t="str">
        <f t="shared" si="270"/>
        <v>HL</v>
      </c>
      <c r="R551" s="206" t="str">
        <f t="shared" si="271"/>
        <v>HW</v>
      </c>
      <c r="S551" s="206" t="str">
        <f t="shared" si="272"/>
        <v>HW</v>
      </c>
      <c r="T551" s="206" t="str">
        <f t="shared" si="273"/>
        <v>HL</v>
      </c>
      <c r="U551" s="206" t="str">
        <f t="shared" si="274"/>
        <v>U</v>
      </c>
      <c r="V551" s="206" t="str">
        <f t="shared" si="275"/>
        <v>U</v>
      </c>
      <c r="W551" s="206" t="str">
        <f t="shared" si="276"/>
        <v>U</v>
      </c>
      <c r="X551" s="206" t="str">
        <f t="shared" si="277"/>
        <v>U</v>
      </c>
      <c r="Y551" s="206"/>
      <c r="Z551" s="206">
        <v>55.5</v>
      </c>
      <c r="AA551" s="206" t="str">
        <f t="shared" si="267"/>
        <v>BKN/OKC</v>
      </c>
    </row>
    <row r="552" spans="1:27" ht="17.100000000000001" x14ac:dyDescent="0.45">
      <c r="A552" s="206">
        <v>200108</v>
      </c>
      <c r="B552" s="44">
        <v>0.41666666666666669</v>
      </c>
      <c r="C552" s="206" t="s">
        <v>406</v>
      </c>
      <c r="D552" s="206" t="s">
        <v>420</v>
      </c>
      <c r="E552" s="206">
        <v>27</v>
      </c>
      <c r="F552" s="206">
        <v>24</v>
      </c>
      <c r="G552" s="206">
        <v>31</v>
      </c>
      <c r="H552" s="206">
        <v>37</v>
      </c>
      <c r="I552" s="206"/>
      <c r="J552" s="206">
        <v>32</v>
      </c>
      <c r="K552" s="206">
        <v>24</v>
      </c>
      <c r="L552" s="206">
        <v>28</v>
      </c>
      <c r="M552" s="206">
        <v>28</v>
      </c>
      <c r="N552" s="206" t="s">
        <v>427</v>
      </c>
      <c r="O552" s="206">
        <f t="shared" si="268"/>
        <v>119</v>
      </c>
      <c r="P552" s="206">
        <f t="shared" si="269"/>
        <v>112</v>
      </c>
      <c r="Q552" s="206" t="str">
        <f t="shared" si="270"/>
        <v>HL</v>
      </c>
      <c r="R552" s="206" t="str">
        <f t="shared" si="271"/>
        <v>TT</v>
      </c>
      <c r="S552" s="206" t="str">
        <f t="shared" si="272"/>
        <v>HW</v>
      </c>
      <c r="T552" s="206" t="str">
        <f t="shared" si="273"/>
        <v>HW</v>
      </c>
      <c r="U552" s="206" t="str">
        <f t="shared" si="274"/>
        <v>O</v>
      </c>
      <c r="V552" s="206" t="str">
        <f t="shared" si="275"/>
        <v>U</v>
      </c>
      <c r="W552" s="206" t="str">
        <f t="shared" si="276"/>
        <v>O</v>
      </c>
      <c r="X552" s="206" t="str">
        <f t="shared" si="277"/>
        <v>O</v>
      </c>
      <c r="Y552" s="206"/>
      <c r="Z552" s="206">
        <v>58.5</v>
      </c>
      <c r="AA552" s="206" t="str">
        <f t="shared" si="267"/>
        <v>MEM/MIN</v>
      </c>
    </row>
    <row r="553" spans="1:27" ht="17.100000000000001" x14ac:dyDescent="0.45">
      <c r="A553" s="206">
        <v>200108</v>
      </c>
      <c r="B553" s="44">
        <v>0.45833333333333331</v>
      </c>
      <c r="C553" s="206" t="s">
        <v>404</v>
      </c>
      <c r="D553" s="206" t="s">
        <v>416</v>
      </c>
      <c r="E553" s="206">
        <v>29</v>
      </c>
      <c r="F553" s="206">
        <v>24</v>
      </c>
      <c r="G553" s="206">
        <v>34</v>
      </c>
      <c r="H553" s="206">
        <v>16</v>
      </c>
      <c r="I553" s="206"/>
      <c r="J553" s="206">
        <v>26</v>
      </c>
      <c r="K553" s="206">
        <v>27</v>
      </c>
      <c r="L553" s="206">
        <v>25</v>
      </c>
      <c r="M553" s="206">
        <v>36</v>
      </c>
      <c r="N553" s="206" t="s">
        <v>427</v>
      </c>
      <c r="O553" s="206">
        <f t="shared" si="268"/>
        <v>103</v>
      </c>
      <c r="P553" s="206">
        <f t="shared" si="269"/>
        <v>114</v>
      </c>
      <c r="Q553" s="206" t="str">
        <f t="shared" si="270"/>
        <v>HW</v>
      </c>
      <c r="R553" s="206" t="str">
        <f t="shared" si="271"/>
        <v>HL</v>
      </c>
      <c r="S553" s="206" t="str">
        <f t="shared" si="272"/>
        <v>HW</v>
      </c>
      <c r="T553" s="206" t="str">
        <f t="shared" si="273"/>
        <v>HL</v>
      </c>
      <c r="U553" s="206" t="str">
        <f t="shared" si="274"/>
        <v>U</v>
      </c>
      <c r="V553" s="206" t="str">
        <f t="shared" si="275"/>
        <v>U</v>
      </c>
      <c r="W553" s="206" t="str">
        <f t="shared" si="276"/>
        <v>O</v>
      </c>
      <c r="X553" s="206" t="str">
        <f t="shared" si="277"/>
        <v>U</v>
      </c>
      <c r="Y553" s="206"/>
      <c r="Z553" s="206">
        <v>58</v>
      </c>
      <c r="AA553" s="206" t="str">
        <f t="shared" si="267"/>
        <v>PHO/SAC</v>
      </c>
    </row>
    <row r="554" spans="1:27" ht="17.100000000000001" x14ac:dyDescent="0.45">
      <c r="A554" s="206">
        <v>200108</v>
      </c>
      <c r="B554" s="44">
        <v>0.52083333333333337</v>
      </c>
      <c r="C554" s="206" t="s">
        <v>419</v>
      </c>
      <c r="D554" s="206" t="s">
        <v>399</v>
      </c>
      <c r="E554" s="206">
        <v>26</v>
      </c>
      <c r="F554" s="206">
        <v>36</v>
      </c>
      <c r="G554" s="206">
        <v>23</v>
      </c>
      <c r="H554" s="206">
        <v>32</v>
      </c>
      <c r="I554" s="206"/>
      <c r="J554" s="206">
        <v>21</v>
      </c>
      <c r="K554" s="206">
        <v>24</v>
      </c>
      <c r="L554" s="206">
        <v>25</v>
      </c>
      <c r="M554" s="206">
        <v>17</v>
      </c>
      <c r="N554" s="206" t="s">
        <v>427</v>
      </c>
      <c r="O554" s="206">
        <f t="shared" si="268"/>
        <v>117</v>
      </c>
      <c r="P554" s="206">
        <f t="shared" si="269"/>
        <v>87</v>
      </c>
      <c r="Q554" s="206" t="str">
        <f t="shared" si="270"/>
        <v>HW</v>
      </c>
      <c r="R554" s="206" t="str">
        <f t="shared" si="271"/>
        <v>HW</v>
      </c>
      <c r="S554" s="206" t="str">
        <f t="shared" si="272"/>
        <v>HL</v>
      </c>
      <c r="T554" s="206" t="str">
        <f t="shared" si="273"/>
        <v>HW</v>
      </c>
      <c r="U554" s="206" t="str">
        <f t="shared" si="274"/>
        <v>U</v>
      </c>
      <c r="V554" s="206" t="str">
        <f t="shared" si="275"/>
        <v>O</v>
      </c>
      <c r="W554" s="206" t="str">
        <f t="shared" si="276"/>
        <v>U</v>
      </c>
      <c r="X554" s="206" t="str">
        <f t="shared" si="277"/>
        <v>U</v>
      </c>
      <c r="Y554" s="206"/>
      <c r="Z554" s="206">
        <v>57.5</v>
      </c>
      <c r="AA554" s="206" t="str">
        <f t="shared" si="267"/>
        <v>LAL/NYK</v>
      </c>
    </row>
    <row r="555" spans="1:27" ht="17.100000000000001" x14ac:dyDescent="0.45">
      <c r="A555" s="206">
        <v>200109</v>
      </c>
      <c r="B555" s="44">
        <v>0.375</v>
      </c>
      <c r="C555" s="206" t="s">
        <v>421</v>
      </c>
      <c r="D555" s="206" t="s">
        <v>426</v>
      </c>
      <c r="E555" s="206">
        <v>22</v>
      </c>
      <c r="F555" s="206">
        <v>25</v>
      </c>
      <c r="G555" s="206">
        <v>36</v>
      </c>
      <c r="H555" s="206">
        <v>31</v>
      </c>
      <c r="I555" s="206"/>
      <c r="J555" s="206">
        <v>34</v>
      </c>
      <c r="K555" s="206">
        <v>31</v>
      </c>
      <c r="L555" s="206">
        <v>34</v>
      </c>
      <c r="M555" s="206">
        <v>30</v>
      </c>
      <c r="N555" s="206" t="s">
        <v>427</v>
      </c>
      <c r="O555" s="206">
        <f t="shared" si="268"/>
        <v>114</v>
      </c>
      <c r="P555" s="206">
        <f t="shared" si="269"/>
        <v>129</v>
      </c>
      <c r="Q555" s="206" t="str">
        <f t="shared" si="270"/>
        <v>HL</v>
      </c>
      <c r="R555" s="206" t="str">
        <f t="shared" si="271"/>
        <v>HL</v>
      </c>
      <c r="S555" s="206" t="str">
        <f t="shared" si="272"/>
        <v>HW</v>
      </c>
      <c r="T555" s="206" t="str">
        <f t="shared" si="273"/>
        <v>HW</v>
      </c>
      <c r="U555" s="206" t="str">
        <f t="shared" si="274"/>
        <v>O</v>
      </c>
      <c r="V555" s="206" t="str">
        <f t="shared" si="275"/>
        <v>O</v>
      </c>
      <c r="W555" s="206" t="str">
        <f t="shared" si="276"/>
        <v>O</v>
      </c>
      <c r="X555" s="206" t="str">
        <f t="shared" si="277"/>
        <v>O</v>
      </c>
      <c r="Y555" s="206"/>
      <c r="Z555" s="206">
        <v>54</v>
      </c>
      <c r="AA555" s="206" t="str">
        <f t="shared" si="267"/>
        <v>BOS/SAS</v>
      </c>
    </row>
    <row r="556" spans="1:27" ht="17.100000000000001" x14ac:dyDescent="0.45">
      <c r="A556" s="206">
        <v>200109</v>
      </c>
      <c r="B556" s="44">
        <v>0.375</v>
      </c>
      <c r="C556" s="206" t="s">
        <v>400</v>
      </c>
      <c r="D556" s="206" t="s">
        <v>411</v>
      </c>
      <c r="E556" s="206">
        <v>23</v>
      </c>
      <c r="F556" s="206">
        <v>26</v>
      </c>
      <c r="G556" s="206">
        <v>23</v>
      </c>
      <c r="H556" s="206">
        <v>36</v>
      </c>
      <c r="I556" s="206"/>
      <c r="J556" s="206">
        <v>31</v>
      </c>
      <c r="K556" s="206">
        <v>31</v>
      </c>
      <c r="L556" s="206">
        <v>38</v>
      </c>
      <c r="M556" s="206">
        <v>22</v>
      </c>
      <c r="N556" s="206" t="s">
        <v>427</v>
      </c>
      <c r="O556" s="206">
        <f t="shared" si="268"/>
        <v>108</v>
      </c>
      <c r="P556" s="206">
        <f t="shared" si="269"/>
        <v>122</v>
      </c>
      <c r="Q556" s="206" t="str">
        <f t="shared" si="270"/>
        <v>HL</v>
      </c>
      <c r="R556" s="206" t="str">
        <f t="shared" si="271"/>
        <v>HL</v>
      </c>
      <c r="S556" s="206" t="str">
        <f t="shared" si="272"/>
        <v>HL</v>
      </c>
      <c r="T556" s="206" t="str">
        <f t="shared" si="273"/>
        <v>HW</v>
      </c>
      <c r="U556" s="206" t="str">
        <f t="shared" si="274"/>
        <v>U</v>
      </c>
      <c r="V556" s="206" t="str">
        <f t="shared" si="275"/>
        <v>O</v>
      </c>
      <c r="W556" s="206" t="str">
        <f t="shared" si="276"/>
        <v>O</v>
      </c>
      <c r="X556" s="206" t="str">
        <f t="shared" si="277"/>
        <v>O</v>
      </c>
      <c r="Y556" s="206"/>
      <c r="Z556" s="206">
        <v>54.5</v>
      </c>
      <c r="AA556" s="206" t="str">
        <f t="shared" si="267"/>
        <v>IND/MIA</v>
      </c>
    </row>
    <row r="557" spans="1:27" ht="17.100000000000001" x14ac:dyDescent="0.45">
      <c r="A557" s="206">
        <v>200109</v>
      </c>
      <c r="B557" s="44">
        <v>0.375</v>
      </c>
      <c r="C557" s="206" t="s">
        <v>424</v>
      </c>
      <c r="D557" s="206" t="s">
        <v>414</v>
      </c>
      <c r="E557" s="206">
        <v>32</v>
      </c>
      <c r="F557" s="206">
        <v>37</v>
      </c>
      <c r="G557" s="206">
        <v>28</v>
      </c>
      <c r="H557" s="206">
        <v>26</v>
      </c>
      <c r="I557" s="206"/>
      <c r="J557" s="206">
        <v>23</v>
      </c>
      <c r="K557" s="206">
        <v>29</v>
      </c>
      <c r="L557" s="206">
        <v>20</v>
      </c>
      <c r="M557" s="206">
        <v>17</v>
      </c>
      <c r="N557" s="206" t="s">
        <v>427</v>
      </c>
      <c r="O557" s="206">
        <f t="shared" si="268"/>
        <v>123</v>
      </c>
      <c r="P557" s="206">
        <f t="shared" si="269"/>
        <v>89</v>
      </c>
      <c r="Q557" s="206" t="str">
        <f t="shared" si="270"/>
        <v>HW</v>
      </c>
      <c r="R557" s="206" t="str">
        <f t="shared" si="271"/>
        <v>HW</v>
      </c>
      <c r="S557" s="206" t="str">
        <f t="shared" si="272"/>
        <v>HW</v>
      </c>
      <c r="T557" s="206" t="str">
        <f t="shared" si="273"/>
        <v>HW</v>
      </c>
      <c r="U557" s="206" t="str">
        <f t="shared" si="274"/>
        <v>U</v>
      </c>
      <c r="V557" s="206" t="str">
        <f t="shared" si="275"/>
        <v>O</v>
      </c>
      <c r="W557" s="206" t="str">
        <f t="shared" si="276"/>
        <v>U</v>
      </c>
      <c r="X557" s="206" t="str">
        <f t="shared" si="277"/>
        <v>U</v>
      </c>
      <c r="Y557" s="206"/>
      <c r="Z557" s="206">
        <v>56.5</v>
      </c>
      <c r="AA557" s="206" t="str">
        <f t="shared" si="267"/>
        <v>ORL/WAS</v>
      </c>
    </row>
    <row r="558" spans="1:27" ht="17.100000000000001" x14ac:dyDescent="0.45">
      <c r="A558" s="206">
        <v>200109</v>
      </c>
      <c r="B558" s="44">
        <v>0.375</v>
      </c>
      <c r="C558" s="206" t="s">
        <v>409</v>
      </c>
      <c r="D558" s="206" t="s">
        <v>413</v>
      </c>
      <c r="E558" s="206">
        <v>31</v>
      </c>
      <c r="F558" s="206">
        <v>24</v>
      </c>
      <c r="G558" s="206">
        <v>26</v>
      </c>
      <c r="H558" s="206">
        <v>19</v>
      </c>
      <c r="I558" s="206">
        <v>10</v>
      </c>
      <c r="J558" s="206">
        <v>29</v>
      </c>
      <c r="K558" s="206">
        <v>31</v>
      </c>
      <c r="L558" s="206">
        <v>22</v>
      </c>
      <c r="M558" s="206">
        <v>18</v>
      </c>
      <c r="N558" s="206">
        <v>12</v>
      </c>
      <c r="O558" s="206">
        <f t="shared" si="268"/>
        <v>110</v>
      </c>
      <c r="P558" s="206">
        <f t="shared" si="269"/>
        <v>112</v>
      </c>
      <c r="Q558" s="206" t="str">
        <f t="shared" si="270"/>
        <v>HW</v>
      </c>
      <c r="R558" s="206" t="str">
        <f t="shared" si="271"/>
        <v>HL</v>
      </c>
      <c r="S558" s="206" t="str">
        <f t="shared" si="272"/>
        <v>HW</v>
      </c>
      <c r="T558" s="206" t="str">
        <f t="shared" si="273"/>
        <v>HW</v>
      </c>
      <c r="U558" s="206" t="str">
        <f t="shared" si="274"/>
        <v>O</v>
      </c>
      <c r="V558" s="206" t="str">
        <f t="shared" si="275"/>
        <v>O</v>
      </c>
      <c r="W558" s="206" t="str">
        <f t="shared" si="276"/>
        <v>U</v>
      </c>
      <c r="X558" s="206" t="str">
        <f t="shared" si="277"/>
        <v>U</v>
      </c>
      <c r="Y558" s="206"/>
      <c r="Z558" s="206">
        <v>53.5</v>
      </c>
      <c r="AA558" s="206" t="str">
        <f t="shared" si="267"/>
        <v>CHA/TOR</v>
      </c>
    </row>
    <row r="559" spans="1:27" ht="17.100000000000001" x14ac:dyDescent="0.45">
      <c r="A559" s="206">
        <v>200109</v>
      </c>
      <c r="B559" s="44">
        <v>0.39583333333333331</v>
      </c>
      <c r="C559" s="206" t="s">
        <v>410</v>
      </c>
      <c r="D559" s="206" t="s">
        <v>403</v>
      </c>
      <c r="E559" s="206">
        <v>29</v>
      </c>
      <c r="F559" s="206">
        <v>33</v>
      </c>
      <c r="G559" s="206">
        <v>23</v>
      </c>
      <c r="H559" s="206">
        <v>30</v>
      </c>
      <c r="I559" s="206"/>
      <c r="J559" s="206">
        <v>45</v>
      </c>
      <c r="K559" s="206">
        <v>32</v>
      </c>
      <c r="L559" s="206">
        <v>22</v>
      </c>
      <c r="M559" s="206">
        <v>23</v>
      </c>
      <c r="N559" s="206" t="s">
        <v>427</v>
      </c>
      <c r="O559" s="206">
        <f t="shared" si="268"/>
        <v>115</v>
      </c>
      <c r="P559" s="206">
        <f t="shared" si="269"/>
        <v>122</v>
      </c>
      <c r="Q559" s="206" t="str">
        <f t="shared" si="270"/>
        <v>HL</v>
      </c>
      <c r="R559" s="206" t="str">
        <f t="shared" si="271"/>
        <v>HW</v>
      </c>
      <c r="S559" s="206" t="str">
        <f t="shared" si="272"/>
        <v>HW</v>
      </c>
      <c r="T559" s="206" t="str">
        <f t="shared" si="273"/>
        <v>HW</v>
      </c>
      <c r="U559" s="206" t="str">
        <f t="shared" si="274"/>
        <v>O</v>
      </c>
      <c r="V559" s="206" t="str">
        <f t="shared" si="275"/>
        <v>O</v>
      </c>
      <c r="W559" s="206" t="str">
        <f t="shared" si="276"/>
        <v>U</v>
      </c>
      <c r="X559" s="206" t="str">
        <f t="shared" si="277"/>
        <v>U</v>
      </c>
      <c r="Y559" s="206"/>
      <c r="Z559" s="206">
        <v>60.5</v>
      </c>
      <c r="AA559" s="206" t="str">
        <f t="shared" si="267"/>
        <v>ATL/HOU</v>
      </c>
    </row>
    <row r="560" spans="1:27" ht="17.100000000000001" x14ac:dyDescent="0.45">
      <c r="A560" s="206">
        <v>200109</v>
      </c>
      <c r="B560" s="44">
        <v>0.39583333333333331</v>
      </c>
      <c r="C560" s="206" t="s">
        <v>397</v>
      </c>
      <c r="D560" s="206" t="s">
        <v>408</v>
      </c>
      <c r="E560" s="206">
        <v>32</v>
      </c>
      <c r="F560" s="206">
        <v>27</v>
      </c>
      <c r="G560" s="206">
        <v>30</v>
      </c>
      <c r="H560" s="206">
        <v>17</v>
      </c>
      <c r="I560" s="206"/>
      <c r="J560" s="206">
        <v>27</v>
      </c>
      <c r="K560" s="206">
        <v>29</v>
      </c>
      <c r="L560" s="206">
        <v>30</v>
      </c>
      <c r="M560" s="206">
        <v>21</v>
      </c>
      <c r="N560" s="206" t="s">
        <v>427</v>
      </c>
      <c r="O560" s="206">
        <f t="shared" si="268"/>
        <v>106</v>
      </c>
      <c r="P560" s="206">
        <f t="shared" si="269"/>
        <v>107</v>
      </c>
      <c r="Q560" s="206" t="str">
        <f t="shared" si="270"/>
        <v>HW</v>
      </c>
      <c r="R560" s="206" t="str">
        <f t="shared" si="271"/>
        <v>HL</v>
      </c>
      <c r="S560" s="206" t="str">
        <f t="shared" si="272"/>
        <v>TT</v>
      </c>
      <c r="T560" s="206" t="str">
        <f t="shared" si="273"/>
        <v>HL</v>
      </c>
      <c r="U560" s="206" t="str">
        <f t="shared" si="274"/>
        <v>O</v>
      </c>
      <c r="V560" s="206" t="str">
        <f t="shared" si="275"/>
        <v>U</v>
      </c>
      <c r="W560" s="206" t="str">
        <f t="shared" si="276"/>
        <v>O</v>
      </c>
      <c r="X560" s="206" t="str">
        <f t="shared" si="277"/>
        <v>U</v>
      </c>
      <c r="Y560" s="206"/>
      <c r="Z560" s="206">
        <v>56.5</v>
      </c>
      <c r="AA560" s="206" t="str">
        <f t="shared" si="267"/>
        <v>DAL/DEN</v>
      </c>
    </row>
    <row r="561" spans="1:27" ht="17.100000000000001" x14ac:dyDescent="0.45">
      <c r="A561" s="206">
        <v>200109</v>
      </c>
      <c r="B561" s="44">
        <v>0.41666666666666669</v>
      </c>
      <c r="C561" s="206" t="s">
        <v>398</v>
      </c>
      <c r="D561" s="206" t="s">
        <v>412</v>
      </c>
      <c r="E561" s="206">
        <v>23</v>
      </c>
      <c r="F561" s="206">
        <v>25</v>
      </c>
      <c r="G561" s="206">
        <v>44</v>
      </c>
      <c r="H561" s="206">
        <v>31</v>
      </c>
      <c r="I561" s="206"/>
      <c r="J561" s="206">
        <v>21</v>
      </c>
      <c r="K561" s="206">
        <v>27</v>
      </c>
      <c r="L561" s="206">
        <v>27</v>
      </c>
      <c r="M561" s="206">
        <v>33</v>
      </c>
      <c r="N561" s="206" t="s">
        <v>427</v>
      </c>
      <c r="O561" s="206">
        <f t="shared" si="268"/>
        <v>123</v>
      </c>
      <c r="P561" s="206">
        <f t="shared" si="269"/>
        <v>108</v>
      </c>
      <c r="Q561" s="206" t="str">
        <f t="shared" si="270"/>
        <v>HW</v>
      </c>
      <c r="R561" s="206" t="str">
        <f t="shared" si="271"/>
        <v>HL</v>
      </c>
      <c r="S561" s="206" t="str">
        <f t="shared" si="272"/>
        <v>HW</v>
      </c>
      <c r="T561" s="206" t="str">
        <f t="shared" si="273"/>
        <v>HL</v>
      </c>
      <c r="U561" s="206" t="str">
        <f t="shared" si="274"/>
        <v>U</v>
      </c>
      <c r="V561" s="206" t="str">
        <f t="shared" si="275"/>
        <v>U</v>
      </c>
      <c r="W561" s="206" t="str">
        <f t="shared" si="276"/>
        <v>O</v>
      </c>
      <c r="X561" s="206" t="str">
        <f t="shared" si="277"/>
        <v>O</v>
      </c>
      <c r="Y561" s="206"/>
      <c r="Z561" s="206">
        <v>58</v>
      </c>
      <c r="AA561" s="206" t="str">
        <f t="shared" si="267"/>
        <v>NO/CHI</v>
      </c>
    </row>
    <row r="562" spans="1:27" ht="17.100000000000001" x14ac:dyDescent="0.45">
      <c r="A562" s="206">
        <v>200109</v>
      </c>
      <c r="B562" s="44">
        <v>0.45833333333333331</v>
      </c>
      <c r="C562" s="206" t="s">
        <v>405</v>
      </c>
      <c r="D562" s="206" t="s">
        <v>399</v>
      </c>
      <c r="E562" s="206">
        <v>39</v>
      </c>
      <c r="F562" s="206">
        <v>33</v>
      </c>
      <c r="G562" s="206">
        <v>23</v>
      </c>
      <c r="H562" s="206">
        <v>33</v>
      </c>
      <c r="I562" s="206"/>
      <c r="J562" s="206">
        <v>29</v>
      </c>
      <c r="K562" s="206">
        <v>24</v>
      </c>
      <c r="L562" s="206">
        <v>16</v>
      </c>
      <c r="M562" s="206">
        <v>35</v>
      </c>
      <c r="N562" s="206" t="s">
        <v>427</v>
      </c>
      <c r="O562" s="206">
        <f t="shared" si="268"/>
        <v>128</v>
      </c>
      <c r="P562" s="206">
        <f t="shared" si="269"/>
        <v>104</v>
      </c>
      <c r="Q562" s="206" t="str">
        <f t="shared" si="270"/>
        <v>HW</v>
      </c>
      <c r="R562" s="206" t="str">
        <f t="shared" si="271"/>
        <v>HW</v>
      </c>
      <c r="S562" s="206" t="str">
        <f t="shared" si="272"/>
        <v>HW</v>
      </c>
      <c r="T562" s="206" t="str">
        <f t="shared" si="273"/>
        <v>HL</v>
      </c>
      <c r="U562" s="206" t="str">
        <f t="shared" si="274"/>
        <v>O</v>
      </c>
      <c r="V562" s="206" t="str">
        <f t="shared" si="275"/>
        <v>O</v>
      </c>
      <c r="W562" s="206" t="str">
        <f t="shared" si="276"/>
        <v>U</v>
      </c>
      <c r="X562" s="206" t="str">
        <f t="shared" si="277"/>
        <v>O</v>
      </c>
      <c r="Y562" s="206"/>
      <c r="Z562" s="206">
        <v>55.5</v>
      </c>
      <c r="AA562" s="206" t="str">
        <f t="shared" si="267"/>
        <v>UTA/NYK</v>
      </c>
    </row>
    <row r="563" spans="1:27" ht="17.100000000000001" x14ac:dyDescent="0.45">
      <c r="A563" s="206">
        <v>200109</v>
      </c>
      <c r="B563" s="44">
        <v>0.5</v>
      </c>
      <c r="C563" s="206" t="s">
        <v>425</v>
      </c>
      <c r="D563" s="206" t="s">
        <v>423</v>
      </c>
      <c r="E563" s="206">
        <v>19</v>
      </c>
      <c r="F563" s="206">
        <v>20</v>
      </c>
      <c r="G563" s="206">
        <v>33</v>
      </c>
      <c r="H563" s="206">
        <v>26</v>
      </c>
      <c r="I563" s="206"/>
      <c r="J563" s="206">
        <v>19</v>
      </c>
      <c r="K563" s="206">
        <v>28</v>
      </c>
      <c r="L563" s="206">
        <v>34</v>
      </c>
      <c r="M563" s="206">
        <v>26</v>
      </c>
      <c r="N563" s="206" t="s">
        <v>427</v>
      </c>
      <c r="O563" s="206">
        <f t="shared" si="268"/>
        <v>98</v>
      </c>
      <c r="P563" s="206">
        <f t="shared" si="269"/>
        <v>107</v>
      </c>
      <c r="Q563" s="206" t="str">
        <f t="shared" si="270"/>
        <v>TT</v>
      </c>
      <c r="R563" s="206" t="str">
        <f t="shared" si="271"/>
        <v>HL</v>
      </c>
      <c r="S563" s="206" t="str">
        <f t="shared" si="272"/>
        <v>HL</v>
      </c>
      <c r="T563" s="206" t="str">
        <f t="shared" si="273"/>
        <v>TT</v>
      </c>
      <c r="U563" s="206" t="str">
        <f t="shared" si="274"/>
        <v>U</v>
      </c>
      <c r="V563" s="206" t="str">
        <f t="shared" si="275"/>
        <v>U</v>
      </c>
      <c r="W563" s="206" t="str">
        <f t="shared" si="276"/>
        <v>O</v>
      </c>
      <c r="X563" s="206" t="str">
        <f t="shared" si="277"/>
        <v>U</v>
      </c>
      <c r="Y563" s="206"/>
      <c r="Z563" s="206">
        <v>53</v>
      </c>
      <c r="AA563" s="206" t="str">
        <f t="shared" si="267"/>
        <v>GS/MIL</v>
      </c>
    </row>
    <row r="564" spans="1:27" ht="17.100000000000001" x14ac:dyDescent="0.45">
      <c r="A564" s="206">
        <v>200110</v>
      </c>
      <c r="B564" s="44">
        <v>0.375</v>
      </c>
      <c r="C564" s="206" t="s">
        <v>422</v>
      </c>
      <c r="D564" s="206" t="s">
        <v>402</v>
      </c>
      <c r="E564" s="206">
        <v>32</v>
      </c>
      <c r="F564" s="206">
        <v>29</v>
      </c>
      <c r="G564" s="206">
        <v>22</v>
      </c>
      <c r="H564" s="206">
        <v>19</v>
      </c>
      <c r="I564" s="206">
        <v>10</v>
      </c>
      <c r="J564" s="206">
        <v>26</v>
      </c>
      <c r="K564" s="206">
        <v>24</v>
      </c>
      <c r="L564" s="206">
        <v>31</v>
      </c>
      <c r="M564" s="206">
        <v>21</v>
      </c>
      <c r="N564" s="206">
        <v>13</v>
      </c>
      <c r="O564" s="206">
        <f t="shared" si="268"/>
        <v>112</v>
      </c>
      <c r="P564" s="206">
        <f t="shared" si="269"/>
        <v>115</v>
      </c>
      <c r="Q564" s="206" t="str">
        <f t="shared" si="270"/>
        <v>HW</v>
      </c>
      <c r="R564" s="206" t="str">
        <f t="shared" si="271"/>
        <v>HW</v>
      </c>
      <c r="S564" s="206" t="str">
        <f t="shared" si="272"/>
        <v>HL</v>
      </c>
      <c r="T564" s="206" t="str">
        <f t="shared" si="273"/>
        <v>HL</v>
      </c>
      <c r="U564" s="206" t="str">
        <f t="shared" si="274"/>
        <v>O</v>
      </c>
      <c r="V564" s="206" t="str">
        <f t="shared" si="275"/>
        <v>U</v>
      </c>
      <c r="W564" s="206" t="str">
        <f t="shared" si="276"/>
        <v>U</v>
      </c>
      <c r="X564" s="206" t="str">
        <f t="shared" si="277"/>
        <v>U</v>
      </c>
      <c r="Y564" s="206"/>
      <c r="Z564" s="206">
        <v>54</v>
      </c>
      <c r="AA564" s="206" t="str">
        <f t="shared" si="267"/>
        <v>DET/CLE</v>
      </c>
    </row>
    <row r="565" spans="1:27" ht="17.100000000000001" x14ac:dyDescent="0.45">
      <c r="A565" s="206">
        <v>200110</v>
      </c>
      <c r="B565" s="44">
        <v>0.375</v>
      </c>
      <c r="C565" s="206" t="s">
        <v>401</v>
      </c>
      <c r="D565" s="206" t="s">
        <v>421</v>
      </c>
      <c r="E565" s="206">
        <v>26</v>
      </c>
      <c r="F565" s="206">
        <v>22</v>
      </c>
      <c r="G565" s="206">
        <v>29</v>
      </c>
      <c r="H565" s="206">
        <v>32</v>
      </c>
      <c r="I565" s="206"/>
      <c r="J565" s="206">
        <v>35</v>
      </c>
      <c r="K565" s="206">
        <v>20</v>
      </c>
      <c r="L565" s="206">
        <v>25</v>
      </c>
      <c r="M565" s="206">
        <v>18</v>
      </c>
      <c r="N565" s="206" t="s">
        <v>427</v>
      </c>
      <c r="O565" s="206">
        <f t="shared" si="268"/>
        <v>109</v>
      </c>
      <c r="P565" s="206">
        <f t="shared" si="269"/>
        <v>98</v>
      </c>
      <c r="Q565" s="206" t="str">
        <f t="shared" si="270"/>
        <v>HL</v>
      </c>
      <c r="R565" s="206" t="str">
        <f t="shared" si="271"/>
        <v>HW</v>
      </c>
      <c r="S565" s="206" t="str">
        <f t="shared" si="272"/>
        <v>HW</v>
      </c>
      <c r="T565" s="206" t="str">
        <f t="shared" si="273"/>
        <v>HW</v>
      </c>
      <c r="U565" s="206" t="str">
        <f t="shared" si="274"/>
        <v>O</v>
      </c>
      <c r="V565" s="206" t="str">
        <f t="shared" si="275"/>
        <v>U</v>
      </c>
      <c r="W565" s="206" t="str">
        <f t="shared" si="276"/>
        <v>U</v>
      </c>
      <c r="X565" s="206" t="str">
        <f t="shared" si="277"/>
        <v>U</v>
      </c>
      <c r="Y565" s="206"/>
      <c r="Z565" s="206">
        <v>54.5</v>
      </c>
      <c r="AA565" s="206" t="str">
        <f t="shared" si="267"/>
        <v>PHI/BOS</v>
      </c>
    </row>
    <row r="566" spans="1:27" ht="17.100000000000001" x14ac:dyDescent="0.45">
      <c r="A566" s="206">
        <v>200110</v>
      </c>
      <c r="B566" s="44">
        <v>0.41666666666666669</v>
      </c>
      <c r="C566" s="206" t="s">
        <v>420</v>
      </c>
      <c r="D566" s="206" t="s">
        <v>417</v>
      </c>
      <c r="E566" s="206">
        <v>28</v>
      </c>
      <c r="F566" s="206">
        <v>31</v>
      </c>
      <c r="G566" s="206">
        <v>41</v>
      </c>
      <c r="H566" s="206">
        <v>16</v>
      </c>
      <c r="I566" s="206"/>
      <c r="J566" s="206">
        <v>34</v>
      </c>
      <c r="K566" s="206">
        <v>13</v>
      </c>
      <c r="L566" s="206">
        <v>27</v>
      </c>
      <c r="M566" s="206">
        <v>28</v>
      </c>
      <c r="N566" s="206" t="s">
        <v>427</v>
      </c>
      <c r="O566" s="206">
        <f t="shared" si="268"/>
        <v>116</v>
      </c>
      <c r="P566" s="206">
        <f t="shared" si="269"/>
        <v>102</v>
      </c>
      <c r="Q566" s="206" t="str">
        <f t="shared" si="270"/>
        <v>HL</v>
      </c>
      <c r="R566" s="206" t="str">
        <f t="shared" si="271"/>
        <v>HW</v>
      </c>
      <c r="S566" s="206" t="str">
        <f t="shared" si="272"/>
        <v>HW</v>
      </c>
      <c r="T566" s="206" t="str">
        <f t="shared" si="273"/>
        <v>HL</v>
      </c>
      <c r="U566" s="206" t="str">
        <f t="shared" si="274"/>
        <v>O</v>
      </c>
      <c r="V566" s="206" t="str">
        <f t="shared" si="275"/>
        <v>U</v>
      </c>
      <c r="W566" s="206" t="str">
        <f t="shared" si="276"/>
        <v>O</v>
      </c>
      <c r="X566" s="206" t="str">
        <f t="shared" si="277"/>
        <v>U</v>
      </c>
      <c r="Y566" s="206"/>
      <c r="Z566" s="206">
        <v>58</v>
      </c>
      <c r="AA566" s="206" t="str">
        <f t="shared" si="267"/>
        <v>MIN/POR</v>
      </c>
    </row>
    <row r="567" spans="1:27" ht="17.100000000000001" x14ac:dyDescent="0.45">
      <c r="A567" s="206">
        <v>200110</v>
      </c>
      <c r="B567" s="44">
        <v>0.47916666666666669</v>
      </c>
      <c r="C567" s="206" t="s">
        <v>418</v>
      </c>
      <c r="D567" s="206" t="s">
        <v>403</v>
      </c>
      <c r="E567" s="206">
        <v>37</v>
      </c>
      <c r="F567" s="206">
        <v>23</v>
      </c>
      <c r="G567" s="206">
        <v>29</v>
      </c>
      <c r="H567" s="206">
        <v>24</v>
      </c>
      <c r="I567" s="206"/>
      <c r="J567" s="206">
        <v>21</v>
      </c>
      <c r="K567" s="206">
        <v>27</v>
      </c>
      <c r="L567" s="206">
        <v>19</v>
      </c>
      <c r="M567" s="206">
        <v>25</v>
      </c>
      <c r="N567" s="206" t="s">
        <v>427</v>
      </c>
      <c r="O567" s="206">
        <f t="shared" si="268"/>
        <v>113</v>
      </c>
      <c r="P567" s="206">
        <f t="shared" si="269"/>
        <v>92</v>
      </c>
      <c r="Q567" s="206" t="str">
        <f t="shared" si="270"/>
        <v>HW</v>
      </c>
      <c r="R567" s="206" t="str">
        <f t="shared" si="271"/>
        <v>HL</v>
      </c>
      <c r="S567" s="206" t="str">
        <f t="shared" si="272"/>
        <v>HW</v>
      </c>
      <c r="T567" s="206" t="str">
        <f t="shared" si="273"/>
        <v>HL</v>
      </c>
      <c r="U567" s="206" t="str">
        <f t="shared" si="274"/>
        <v>U</v>
      </c>
      <c r="V567" s="206" t="str">
        <f t="shared" si="275"/>
        <v>U</v>
      </c>
      <c r="W567" s="206" t="str">
        <f t="shared" si="276"/>
        <v>U</v>
      </c>
      <c r="X567" s="206" t="str">
        <f t="shared" si="277"/>
        <v>U</v>
      </c>
      <c r="Y567" s="206"/>
      <c r="Z567" s="206">
        <v>59</v>
      </c>
      <c r="AA567" s="206" t="str">
        <f t="shared" si="267"/>
        <v>OKC/HOU</v>
      </c>
    </row>
    <row r="568" spans="1:27" ht="17.100000000000001" x14ac:dyDescent="0.45">
      <c r="A568" s="206">
        <v>200111</v>
      </c>
      <c r="B568" s="44">
        <v>0.375</v>
      </c>
      <c r="C568" s="206" t="s">
        <v>414</v>
      </c>
      <c r="D568" s="206" t="s">
        <v>410</v>
      </c>
      <c r="E568" s="206">
        <v>30</v>
      </c>
      <c r="F568" s="206">
        <v>26</v>
      </c>
      <c r="G568" s="206">
        <v>25</v>
      </c>
      <c r="H568" s="206">
        <v>30</v>
      </c>
      <c r="I568" s="206"/>
      <c r="J568" s="206">
        <v>21</v>
      </c>
      <c r="K568" s="206">
        <v>30</v>
      </c>
      <c r="L568" s="206">
        <v>28</v>
      </c>
      <c r="M568" s="206">
        <v>22</v>
      </c>
      <c r="N568" s="206" t="s">
        <v>427</v>
      </c>
      <c r="O568" s="206">
        <f t="shared" si="268"/>
        <v>111</v>
      </c>
      <c r="P568" s="206">
        <f t="shared" si="269"/>
        <v>101</v>
      </c>
      <c r="Q568" s="206" t="str">
        <f t="shared" si="270"/>
        <v>HW</v>
      </c>
      <c r="R568" s="206" t="str">
        <f t="shared" si="271"/>
        <v>HL</v>
      </c>
      <c r="S568" s="206" t="str">
        <f t="shared" si="272"/>
        <v>HL</v>
      </c>
      <c r="T568" s="206" t="str">
        <f t="shared" si="273"/>
        <v>HW</v>
      </c>
      <c r="U568" s="206" t="str">
        <f t="shared" si="274"/>
        <v>U</v>
      </c>
      <c r="V568" s="206" t="str">
        <f t="shared" si="275"/>
        <v>U</v>
      </c>
      <c r="W568" s="206" t="str">
        <f t="shared" si="276"/>
        <v>U</v>
      </c>
      <c r="X568" s="206" t="str">
        <f t="shared" si="277"/>
        <v>U</v>
      </c>
      <c r="Y568" s="206"/>
      <c r="Z568" s="206">
        <v>61.5</v>
      </c>
      <c r="AA568" s="206" t="str">
        <f t="shared" si="267"/>
        <v>WAS/ATL</v>
      </c>
    </row>
    <row r="569" spans="1:27" ht="17.100000000000001" x14ac:dyDescent="0.45">
      <c r="A569" s="206">
        <v>200111</v>
      </c>
      <c r="B569" s="44">
        <v>0.38541666666666669</v>
      </c>
      <c r="C569" s="206" t="s">
        <v>399</v>
      </c>
      <c r="D569" s="206" t="s">
        <v>398</v>
      </c>
      <c r="E569" s="206">
        <v>31</v>
      </c>
      <c r="F569" s="206">
        <v>30</v>
      </c>
      <c r="G569" s="206">
        <v>25</v>
      </c>
      <c r="H569" s="206">
        <v>25</v>
      </c>
      <c r="I569" s="206"/>
      <c r="J569" s="206">
        <v>33</v>
      </c>
      <c r="K569" s="206">
        <v>34</v>
      </c>
      <c r="L569" s="206">
        <v>28</v>
      </c>
      <c r="M569" s="206">
        <v>28</v>
      </c>
      <c r="N569" s="206" t="s">
        <v>427</v>
      </c>
      <c r="O569" s="206">
        <f t="shared" si="268"/>
        <v>111</v>
      </c>
      <c r="P569" s="206">
        <f t="shared" si="269"/>
        <v>123</v>
      </c>
      <c r="Q569" s="206" t="str">
        <f t="shared" si="270"/>
        <v>HL</v>
      </c>
      <c r="R569" s="206" t="str">
        <f t="shared" si="271"/>
        <v>HL</v>
      </c>
      <c r="S569" s="206" t="str">
        <f t="shared" si="272"/>
        <v>HL</v>
      </c>
      <c r="T569" s="206" t="str">
        <f t="shared" si="273"/>
        <v>HL</v>
      </c>
      <c r="U569" s="206" t="str">
        <f t="shared" si="274"/>
        <v>O</v>
      </c>
      <c r="V569" s="206" t="str">
        <f t="shared" si="275"/>
        <v>O</v>
      </c>
      <c r="W569" s="206" t="str">
        <f t="shared" si="276"/>
        <v>U</v>
      </c>
      <c r="X569" s="206" t="str">
        <f t="shared" si="277"/>
        <v>U</v>
      </c>
      <c r="Y569" s="206"/>
      <c r="Z569" s="206">
        <v>58.5</v>
      </c>
      <c r="AA569" s="206" t="str">
        <f t="shared" si="267"/>
        <v>NYK/NO</v>
      </c>
    </row>
    <row r="570" spans="1:27" ht="17.100000000000001" x14ac:dyDescent="0.45">
      <c r="A570" s="206">
        <v>200111</v>
      </c>
      <c r="B570" s="44">
        <v>0.39583333333333331</v>
      </c>
      <c r="C570" s="206" t="s">
        <v>407</v>
      </c>
      <c r="D570" s="206" t="s">
        <v>411</v>
      </c>
      <c r="E570" s="206">
        <v>32</v>
      </c>
      <c r="F570" s="206">
        <v>25</v>
      </c>
      <c r="G570" s="206">
        <v>32</v>
      </c>
      <c r="H570" s="206">
        <v>28</v>
      </c>
      <c r="I570" s="206"/>
      <c r="J570" s="206">
        <v>42</v>
      </c>
      <c r="K570" s="206">
        <v>27</v>
      </c>
      <c r="L570" s="206">
        <v>20</v>
      </c>
      <c r="M570" s="206">
        <v>24</v>
      </c>
      <c r="N570" s="206" t="s">
        <v>427</v>
      </c>
      <c r="O570" s="206">
        <f t="shared" si="268"/>
        <v>117</v>
      </c>
      <c r="P570" s="206">
        <f t="shared" si="269"/>
        <v>113</v>
      </c>
      <c r="Q570" s="206" t="str">
        <f t="shared" si="270"/>
        <v>HL</v>
      </c>
      <c r="R570" s="206" t="str">
        <f t="shared" si="271"/>
        <v>HL</v>
      </c>
      <c r="S570" s="206" t="str">
        <f t="shared" si="272"/>
        <v>HW</v>
      </c>
      <c r="T570" s="206" t="str">
        <f t="shared" si="273"/>
        <v>HW</v>
      </c>
      <c r="U570" s="206" t="str">
        <f t="shared" si="274"/>
        <v>O</v>
      </c>
      <c r="V570" s="206" t="str">
        <f t="shared" si="275"/>
        <v>U</v>
      </c>
      <c r="W570" s="206" t="str">
        <f t="shared" si="276"/>
        <v>U</v>
      </c>
      <c r="X570" s="206" t="str">
        <f t="shared" si="277"/>
        <v>U</v>
      </c>
      <c r="Y570" s="206"/>
      <c r="Z570" s="206">
        <v>56</v>
      </c>
      <c r="AA570" s="206" t="str">
        <f t="shared" si="267"/>
        <v>BKN/MIA</v>
      </c>
    </row>
    <row r="571" spans="1:27" ht="17.100000000000001" x14ac:dyDescent="0.45">
      <c r="A571" s="206">
        <v>200111</v>
      </c>
      <c r="B571" s="44">
        <v>0.41666666666666669</v>
      </c>
      <c r="C571" s="206" t="s">
        <v>412</v>
      </c>
      <c r="D571" s="206" t="s">
        <v>400</v>
      </c>
      <c r="E571" s="206">
        <v>27</v>
      </c>
      <c r="F571" s="206">
        <v>19</v>
      </c>
      <c r="G571" s="206">
        <v>26</v>
      </c>
      <c r="H571" s="206">
        <v>33</v>
      </c>
      <c r="I571" s="206"/>
      <c r="J571" s="206">
        <v>29</v>
      </c>
      <c r="K571" s="206">
        <v>25</v>
      </c>
      <c r="L571" s="206">
        <v>25</v>
      </c>
      <c r="M571" s="206">
        <v>37</v>
      </c>
      <c r="N571" s="206" t="s">
        <v>427</v>
      </c>
      <c r="O571" s="206">
        <f t="shared" si="268"/>
        <v>105</v>
      </c>
      <c r="P571" s="206">
        <f t="shared" si="269"/>
        <v>116</v>
      </c>
      <c r="Q571" s="206" t="str">
        <f t="shared" si="270"/>
        <v>HL</v>
      </c>
      <c r="R571" s="206" t="str">
        <f t="shared" si="271"/>
        <v>HL</v>
      </c>
      <c r="S571" s="206" t="str">
        <f t="shared" si="272"/>
        <v>HW</v>
      </c>
      <c r="T571" s="206" t="str">
        <f t="shared" si="273"/>
        <v>HL</v>
      </c>
      <c r="U571" s="206" t="str">
        <f t="shared" si="274"/>
        <v>O</v>
      </c>
      <c r="V571" s="206" t="str">
        <f t="shared" si="275"/>
        <v>U</v>
      </c>
      <c r="W571" s="206" t="str">
        <f t="shared" si="276"/>
        <v>U</v>
      </c>
      <c r="X571" s="206" t="str">
        <f t="shared" si="277"/>
        <v>O</v>
      </c>
      <c r="Y571" s="206"/>
      <c r="Z571" s="206">
        <v>54.5</v>
      </c>
      <c r="AA571" s="206" t="str">
        <f t="shared" si="267"/>
        <v>CHI/IND</v>
      </c>
    </row>
    <row r="572" spans="1:27" ht="17.100000000000001" x14ac:dyDescent="0.45">
      <c r="A572" s="206">
        <v>200111</v>
      </c>
      <c r="B572" s="44">
        <v>0.41666666666666669</v>
      </c>
      <c r="C572" s="206" t="s">
        <v>406</v>
      </c>
      <c r="D572" s="206" t="s">
        <v>426</v>
      </c>
      <c r="E572" s="206">
        <v>37</v>
      </c>
      <c r="F572" s="206">
        <v>26</v>
      </c>
      <c r="G572" s="206">
        <v>37</v>
      </c>
      <c r="H572" s="206">
        <v>34</v>
      </c>
      <c r="I572" s="206"/>
      <c r="J572" s="206">
        <v>32</v>
      </c>
      <c r="K572" s="206">
        <v>25</v>
      </c>
      <c r="L572" s="206">
        <v>41</v>
      </c>
      <c r="M572" s="206">
        <v>23</v>
      </c>
      <c r="N572" s="206" t="s">
        <v>427</v>
      </c>
      <c r="O572" s="206">
        <f t="shared" si="268"/>
        <v>134</v>
      </c>
      <c r="P572" s="206">
        <f t="shared" si="269"/>
        <v>121</v>
      </c>
      <c r="Q572" s="206" t="str">
        <f t="shared" si="270"/>
        <v>HW</v>
      </c>
      <c r="R572" s="206" t="str">
        <f t="shared" si="271"/>
        <v>HW</v>
      </c>
      <c r="S572" s="206" t="str">
        <f t="shared" si="272"/>
        <v>HL</v>
      </c>
      <c r="T572" s="206" t="str">
        <f t="shared" si="273"/>
        <v>HW</v>
      </c>
      <c r="U572" s="206" t="str">
        <f t="shared" si="274"/>
        <v>O</v>
      </c>
      <c r="V572" s="206" t="str">
        <f t="shared" si="275"/>
        <v>U</v>
      </c>
      <c r="W572" s="206" t="str">
        <f t="shared" si="276"/>
        <v>O</v>
      </c>
      <c r="X572" s="206" t="str">
        <f t="shared" si="277"/>
        <v>O</v>
      </c>
      <c r="Y572" s="206"/>
      <c r="Z572" s="206">
        <v>56</v>
      </c>
      <c r="AA572" s="206" t="str">
        <f t="shared" si="267"/>
        <v>MEM/SAS</v>
      </c>
    </row>
    <row r="573" spans="1:27" ht="17.100000000000001" x14ac:dyDescent="0.45">
      <c r="A573" s="206">
        <v>200111</v>
      </c>
      <c r="B573" s="44">
        <v>0.45833333333333331</v>
      </c>
      <c r="C573" s="206" t="s">
        <v>404</v>
      </c>
      <c r="D573" s="206" t="s">
        <v>424</v>
      </c>
      <c r="E573" s="206">
        <v>27</v>
      </c>
      <c r="F573" s="206">
        <v>31</v>
      </c>
      <c r="G573" s="206">
        <v>19</v>
      </c>
      <c r="H573" s="206">
        <v>21</v>
      </c>
      <c r="I573" s="206"/>
      <c r="J573" s="206">
        <v>25</v>
      </c>
      <c r="K573" s="206">
        <v>23</v>
      </c>
      <c r="L573" s="206">
        <v>27</v>
      </c>
      <c r="M573" s="206">
        <v>19</v>
      </c>
      <c r="N573" s="206" t="s">
        <v>427</v>
      </c>
      <c r="O573" s="206">
        <f t="shared" si="268"/>
        <v>98</v>
      </c>
      <c r="P573" s="206">
        <f t="shared" si="269"/>
        <v>94</v>
      </c>
      <c r="Q573" s="206" t="str">
        <f t="shared" si="270"/>
        <v>HW</v>
      </c>
      <c r="R573" s="206" t="str">
        <f t="shared" si="271"/>
        <v>HW</v>
      </c>
      <c r="S573" s="206" t="str">
        <f t="shared" si="272"/>
        <v>HL</v>
      </c>
      <c r="T573" s="206" t="str">
        <f t="shared" si="273"/>
        <v>HW</v>
      </c>
      <c r="U573" s="206" t="str">
        <f t="shared" si="274"/>
        <v>U</v>
      </c>
      <c r="V573" s="206" t="str">
        <f t="shared" si="275"/>
        <v>U</v>
      </c>
      <c r="W573" s="206" t="str">
        <f t="shared" si="276"/>
        <v>U</v>
      </c>
      <c r="X573" s="206" t="str">
        <f t="shared" si="277"/>
        <v>U</v>
      </c>
      <c r="Y573" s="206"/>
      <c r="Z573" s="206">
        <v>55.5</v>
      </c>
      <c r="AA573" s="206" t="str">
        <f t="shared" si="267"/>
        <v>PHO/ORL</v>
      </c>
    </row>
    <row r="574" spans="1:27" ht="17.100000000000001" x14ac:dyDescent="0.45">
      <c r="A574" s="206">
        <v>200111</v>
      </c>
      <c r="B574" s="44">
        <v>0.45833333333333331</v>
      </c>
      <c r="C574" s="206" t="s">
        <v>405</v>
      </c>
      <c r="D574" s="206" t="s">
        <v>409</v>
      </c>
      <c r="E574" s="206">
        <v>29</v>
      </c>
      <c r="F574" s="206">
        <v>32</v>
      </c>
      <c r="G574" s="206">
        <v>26</v>
      </c>
      <c r="H574" s="206">
        <v>22</v>
      </c>
      <c r="I574" s="206"/>
      <c r="J574" s="206">
        <v>13</v>
      </c>
      <c r="K574" s="206">
        <v>25</v>
      </c>
      <c r="L574" s="206">
        <v>24</v>
      </c>
      <c r="M574" s="206">
        <v>30</v>
      </c>
      <c r="N574" s="206" t="s">
        <v>427</v>
      </c>
      <c r="O574" s="206">
        <f t="shared" si="268"/>
        <v>109</v>
      </c>
      <c r="P574" s="206">
        <f t="shared" si="269"/>
        <v>92</v>
      </c>
      <c r="Q574" s="206" t="str">
        <f t="shared" si="270"/>
        <v>HW</v>
      </c>
      <c r="R574" s="206" t="str">
        <f t="shared" si="271"/>
        <v>HW</v>
      </c>
      <c r="S574" s="206" t="str">
        <f t="shared" si="272"/>
        <v>HW</v>
      </c>
      <c r="T574" s="206" t="str">
        <f t="shared" si="273"/>
        <v>HL</v>
      </c>
      <c r="U574" s="206" t="str">
        <f t="shared" si="274"/>
        <v>U</v>
      </c>
      <c r="V574" s="206" t="str">
        <f t="shared" si="275"/>
        <v>O</v>
      </c>
      <c r="W574" s="206" t="str">
        <f t="shared" si="276"/>
        <v>U</v>
      </c>
      <c r="X574" s="206" t="str">
        <f t="shared" si="277"/>
        <v>U</v>
      </c>
      <c r="Y574" s="206"/>
      <c r="Z574" s="206">
        <v>54.5</v>
      </c>
      <c r="AA574" s="206" t="str">
        <f t="shared" si="267"/>
        <v>UTA/CHA</v>
      </c>
    </row>
    <row r="575" spans="1:27" ht="17.100000000000001" x14ac:dyDescent="0.45">
      <c r="A575" s="206">
        <v>200111</v>
      </c>
      <c r="B575" s="44">
        <v>0.48958333333333331</v>
      </c>
      <c r="C575" s="206" t="s">
        <v>397</v>
      </c>
      <c r="D575" s="206" t="s">
        <v>419</v>
      </c>
      <c r="E575" s="206">
        <v>27</v>
      </c>
      <c r="F575" s="206">
        <v>31</v>
      </c>
      <c r="G575" s="206">
        <v>28</v>
      </c>
      <c r="H575" s="206">
        <v>28</v>
      </c>
      <c r="I575" s="206"/>
      <c r="J575" s="206">
        <v>45</v>
      </c>
      <c r="K575" s="206">
        <v>34</v>
      </c>
      <c r="L575" s="206">
        <v>20</v>
      </c>
      <c r="M575" s="206">
        <v>30</v>
      </c>
      <c r="N575" s="206" t="s">
        <v>427</v>
      </c>
      <c r="O575" s="206">
        <f t="shared" si="268"/>
        <v>114</v>
      </c>
      <c r="P575" s="206">
        <f t="shared" si="269"/>
        <v>129</v>
      </c>
      <c r="Q575" s="206" t="str">
        <f t="shared" si="270"/>
        <v>HL</v>
      </c>
      <c r="R575" s="206" t="str">
        <f t="shared" si="271"/>
        <v>HL</v>
      </c>
      <c r="S575" s="206" t="str">
        <f t="shared" si="272"/>
        <v>HW</v>
      </c>
      <c r="T575" s="206" t="str">
        <f t="shared" si="273"/>
        <v>HL</v>
      </c>
      <c r="U575" s="206" t="str">
        <f t="shared" si="274"/>
        <v>O</v>
      </c>
      <c r="V575" s="206" t="str">
        <f t="shared" si="275"/>
        <v>O</v>
      </c>
      <c r="W575" s="206" t="str">
        <f t="shared" si="276"/>
        <v>U</v>
      </c>
      <c r="X575" s="206" t="str">
        <f t="shared" si="277"/>
        <v>O</v>
      </c>
      <c r="Y575" s="206"/>
      <c r="Z575" s="206">
        <v>57</v>
      </c>
      <c r="AA575" s="206" t="str">
        <f t="shared" si="267"/>
        <v>DAL/LAL</v>
      </c>
    </row>
    <row r="576" spans="1:27" ht="17.100000000000001" x14ac:dyDescent="0.45">
      <c r="A576" s="206">
        <v>200111</v>
      </c>
      <c r="B576" s="44">
        <v>0.5</v>
      </c>
      <c r="C576" s="206" t="s">
        <v>416</v>
      </c>
      <c r="D576" s="206" t="s">
        <v>423</v>
      </c>
      <c r="E576" s="206">
        <v>18</v>
      </c>
      <c r="F576" s="206">
        <v>26</v>
      </c>
      <c r="G576" s="206">
        <v>31</v>
      </c>
      <c r="H576" s="206">
        <v>31</v>
      </c>
      <c r="I576" s="206"/>
      <c r="J576" s="206">
        <v>34</v>
      </c>
      <c r="K576" s="206">
        <v>19</v>
      </c>
      <c r="L576" s="206">
        <v>37</v>
      </c>
      <c r="M576" s="206">
        <v>37</v>
      </c>
      <c r="N576" s="206" t="s">
        <v>427</v>
      </c>
      <c r="O576" s="206">
        <f t="shared" si="268"/>
        <v>106</v>
      </c>
      <c r="P576" s="206">
        <f t="shared" si="269"/>
        <v>127</v>
      </c>
      <c r="Q576" s="206" t="str">
        <f t="shared" si="270"/>
        <v>HL</v>
      </c>
      <c r="R576" s="206" t="str">
        <f t="shared" si="271"/>
        <v>HW</v>
      </c>
      <c r="S576" s="206" t="str">
        <f t="shared" si="272"/>
        <v>HL</v>
      </c>
      <c r="T576" s="206" t="str">
        <f t="shared" si="273"/>
        <v>HL</v>
      </c>
      <c r="U576" s="206" t="str">
        <f t="shared" si="274"/>
        <v>U</v>
      </c>
      <c r="V576" s="206" t="str">
        <f t="shared" si="275"/>
        <v>U</v>
      </c>
      <c r="W576" s="206" t="str">
        <f t="shared" si="276"/>
        <v>O</v>
      </c>
      <c r="X576" s="206" t="str">
        <f t="shared" si="277"/>
        <v>O</v>
      </c>
      <c r="Y576" s="206"/>
      <c r="Z576" s="206">
        <v>55</v>
      </c>
      <c r="AA576" s="206" t="str">
        <f t="shared" si="267"/>
        <v>SAC/MIL</v>
      </c>
    </row>
    <row r="577" spans="1:27" ht="17.100000000000001" x14ac:dyDescent="0.45">
      <c r="A577" s="206">
        <v>200111</v>
      </c>
      <c r="B577" s="44">
        <v>0.52083333333333337</v>
      </c>
      <c r="C577" s="206" t="s">
        <v>415</v>
      </c>
      <c r="D577" s="206" t="s">
        <v>425</v>
      </c>
      <c r="E577" s="206">
        <v>22</v>
      </c>
      <c r="F577" s="206">
        <v>26</v>
      </c>
      <c r="G577" s="206">
        <v>25</v>
      </c>
      <c r="H577" s="206">
        <v>36</v>
      </c>
      <c r="I577" s="206"/>
      <c r="J577" s="206">
        <v>20</v>
      </c>
      <c r="K577" s="206">
        <v>33</v>
      </c>
      <c r="L577" s="206">
        <v>30</v>
      </c>
      <c r="M577" s="206">
        <v>17</v>
      </c>
      <c r="N577" s="206" t="s">
        <v>427</v>
      </c>
      <c r="O577" s="206">
        <f t="shared" si="268"/>
        <v>109</v>
      </c>
      <c r="P577" s="206">
        <f t="shared" si="269"/>
        <v>100</v>
      </c>
      <c r="Q577" s="206" t="str">
        <f t="shared" si="270"/>
        <v>HW</v>
      </c>
      <c r="R577" s="206" t="str">
        <f t="shared" si="271"/>
        <v>HL</v>
      </c>
      <c r="S577" s="206" t="str">
        <f t="shared" si="272"/>
        <v>HL</v>
      </c>
      <c r="T577" s="206" t="str">
        <f t="shared" si="273"/>
        <v>HW</v>
      </c>
      <c r="U577" s="206" t="str">
        <f t="shared" si="274"/>
        <v>U</v>
      </c>
      <c r="V577" s="206" t="str">
        <f t="shared" si="275"/>
        <v>O</v>
      </c>
      <c r="W577" s="206" t="str">
        <f t="shared" si="276"/>
        <v>U</v>
      </c>
      <c r="X577" s="206" t="str">
        <f t="shared" si="277"/>
        <v>U</v>
      </c>
      <c r="Y577" s="206"/>
      <c r="Z577" s="206">
        <v>56</v>
      </c>
      <c r="AA577" s="206" t="str">
        <f t="shared" si="267"/>
        <v>LAC/GS</v>
      </c>
    </row>
    <row r="578" spans="1:27" ht="17.100000000000001" x14ac:dyDescent="0.45">
      <c r="A578" s="206">
        <v>200112</v>
      </c>
      <c r="B578" s="44">
        <v>0.29166666666666669</v>
      </c>
      <c r="C578" s="206" t="s">
        <v>403</v>
      </c>
      <c r="D578" s="206" t="s">
        <v>420</v>
      </c>
      <c r="E578" s="206">
        <v>22</v>
      </c>
      <c r="F578" s="206">
        <v>35</v>
      </c>
      <c r="G578" s="206">
        <v>45</v>
      </c>
      <c r="H578" s="206">
        <v>37</v>
      </c>
      <c r="I578" s="206"/>
      <c r="J578" s="206">
        <v>20</v>
      </c>
      <c r="K578" s="206">
        <v>21</v>
      </c>
      <c r="L578" s="206">
        <v>35</v>
      </c>
      <c r="M578" s="206">
        <v>33</v>
      </c>
      <c r="N578" s="206" t="s">
        <v>427</v>
      </c>
      <c r="O578" s="206">
        <f t="shared" si="268"/>
        <v>139</v>
      </c>
      <c r="P578" s="206">
        <f t="shared" si="269"/>
        <v>109</v>
      </c>
      <c r="Q578" s="206" t="str">
        <f t="shared" si="270"/>
        <v>HW</v>
      </c>
      <c r="R578" s="206" t="str">
        <f t="shared" si="271"/>
        <v>HW</v>
      </c>
      <c r="S578" s="206" t="str">
        <f t="shared" si="272"/>
        <v>HW</v>
      </c>
      <c r="T578" s="206" t="str">
        <f t="shared" si="273"/>
        <v>HW</v>
      </c>
      <c r="U578" s="206" t="str">
        <f t="shared" si="274"/>
        <v>U</v>
      </c>
      <c r="V578" s="206" t="str">
        <f t="shared" si="275"/>
        <v>U</v>
      </c>
      <c r="W578" s="206" t="str">
        <f t="shared" si="276"/>
        <v>O</v>
      </c>
      <c r="X578" s="206" t="str">
        <f t="shared" si="277"/>
        <v>O</v>
      </c>
      <c r="Y578" s="206"/>
      <c r="Z578" s="206">
        <v>60</v>
      </c>
      <c r="AA578" s="206" t="str">
        <f t="shared" si="267"/>
        <v>HOU/MIN</v>
      </c>
    </row>
    <row r="579" spans="1:27" ht="17.100000000000001" x14ac:dyDescent="0.45">
      <c r="A579" s="206">
        <v>200112</v>
      </c>
      <c r="B579" s="44">
        <v>0.375</v>
      </c>
      <c r="C579" s="206" t="s">
        <v>421</v>
      </c>
      <c r="D579" s="206" t="s">
        <v>398</v>
      </c>
      <c r="E579" s="206">
        <v>41</v>
      </c>
      <c r="F579" s="206">
        <v>31</v>
      </c>
      <c r="G579" s="206">
        <v>42</v>
      </c>
      <c r="H579" s="206">
        <v>26</v>
      </c>
      <c r="I579" s="206"/>
      <c r="J579" s="206">
        <v>24</v>
      </c>
      <c r="K579" s="206">
        <v>33</v>
      </c>
      <c r="L579" s="206">
        <v>25</v>
      </c>
      <c r="M579" s="206">
        <v>23</v>
      </c>
      <c r="N579" s="206" t="s">
        <v>427</v>
      </c>
      <c r="O579" s="206">
        <f t="shared" si="268"/>
        <v>140</v>
      </c>
      <c r="P579" s="206">
        <f t="shared" si="269"/>
        <v>105</v>
      </c>
      <c r="Q579" s="206" t="str">
        <f t="shared" si="270"/>
        <v>HW</v>
      </c>
      <c r="R579" s="206" t="str">
        <f t="shared" si="271"/>
        <v>HL</v>
      </c>
      <c r="S579" s="206" t="str">
        <f t="shared" si="272"/>
        <v>HW</v>
      </c>
      <c r="T579" s="206" t="str">
        <f t="shared" si="273"/>
        <v>HW</v>
      </c>
      <c r="U579" s="206" t="str">
        <f t="shared" si="274"/>
        <v>O</v>
      </c>
      <c r="V579" s="206" t="str">
        <f t="shared" si="275"/>
        <v>O</v>
      </c>
      <c r="W579" s="206" t="str">
        <f t="shared" si="276"/>
        <v>O</v>
      </c>
      <c r="X579" s="206" t="str">
        <f t="shared" si="277"/>
        <v>U</v>
      </c>
      <c r="Y579" s="206"/>
      <c r="Z579" s="206">
        <v>57.5</v>
      </c>
      <c r="AA579" s="206" t="str">
        <f t="shared" si="267"/>
        <v>BOS/NO</v>
      </c>
    </row>
    <row r="580" spans="1:27" ht="17.100000000000001" x14ac:dyDescent="0.45">
      <c r="A580" s="206">
        <v>200112</v>
      </c>
      <c r="B580" s="44">
        <v>0.375</v>
      </c>
      <c r="C580" s="206" t="s">
        <v>422</v>
      </c>
      <c r="D580" s="206" t="s">
        <v>412</v>
      </c>
      <c r="E580" s="206">
        <v>20</v>
      </c>
      <c r="F580" s="206">
        <v>29</v>
      </c>
      <c r="G580" s="206">
        <v>22</v>
      </c>
      <c r="H580" s="206">
        <v>28</v>
      </c>
      <c r="I580" s="206"/>
      <c r="J580" s="206">
        <v>35</v>
      </c>
      <c r="K580" s="206">
        <v>26</v>
      </c>
      <c r="L580" s="206">
        <v>20</v>
      </c>
      <c r="M580" s="206">
        <v>27</v>
      </c>
      <c r="N580" s="206" t="s">
        <v>427</v>
      </c>
      <c r="O580" s="206">
        <f t="shared" si="268"/>
        <v>99</v>
      </c>
      <c r="P580" s="206">
        <f t="shared" si="269"/>
        <v>108</v>
      </c>
      <c r="Q580" s="206" t="str">
        <f t="shared" si="270"/>
        <v>HL</v>
      </c>
      <c r="R580" s="206" t="str">
        <f t="shared" si="271"/>
        <v>HW</v>
      </c>
      <c r="S580" s="206" t="str">
        <f t="shared" si="272"/>
        <v>HW</v>
      </c>
      <c r="T580" s="206" t="str">
        <f t="shared" si="273"/>
        <v>HW</v>
      </c>
      <c r="U580" s="206" t="str">
        <f t="shared" si="274"/>
        <v>U</v>
      </c>
      <c r="V580" s="206" t="str">
        <f t="shared" si="275"/>
        <v>U</v>
      </c>
      <c r="W580" s="206" t="str">
        <f t="shared" si="276"/>
        <v>U</v>
      </c>
      <c r="X580" s="206" t="str">
        <f t="shared" si="277"/>
        <v>U</v>
      </c>
      <c r="Y580" s="206"/>
      <c r="Z580" s="206">
        <v>55.5</v>
      </c>
      <c r="AA580" s="206" t="str">
        <f t="shared" si="267"/>
        <v>DET/CHI</v>
      </c>
    </row>
    <row r="581" spans="1:27" ht="17.100000000000001" x14ac:dyDescent="0.45">
      <c r="A581" s="206">
        <v>200112</v>
      </c>
      <c r="B581" s="44">
        <v>0.41666666666666669</v>
      </c>
      <c r="C581" s="206" t="s">
        <v>418</v>
      </c>
      <c r="D581" s="206" t="s">
        <v>419</v>
      </c>
      <c r="E581" s="206">
        <v>19</v>
      </c>
      <c r="F581" s="206">
        <v>30</v>
      </c>
      <c r="G581" s="206">
        <v>33</v>
      </c>
      <c r="H581" s="206">
        <v>28</v>
      </c>
      <c r="I581" s="206"/>
      <c r="J581" s="206">
        <v>41</v>
      </c>
      <c r="K581" s="206">
        <v>32</v>
      </c>
      <c r="L581" s="206">
        <v>29</v>
      </c>
      <c r="M581" s="206">
        <v>23</v>
      </c>
      <c r="N581" s="206" t="s">
        <v>427</v>
      </c>
      <c r="O581" s="206">
        <f t="shared" si="268"/>
        <v>110</v>
      </c>
      <c r="P581" s="206">
        <f t="shared" si="269"/>
        <v>125</v>
      </c>
      <c r="Q581" s="206" t="str">
        <f t="shared" si="270"/>
        <v>HL</v>
      </c>
      <c r="R581" s="206" t="str">
        <f t="shared" si="271"/>
        <v>HL</v>
      </c>
      <c r="S581" s="206" t="str">
        <f t="shared" si="272"/>
        <v>HW</v>
      </c>
      <c r="T581" s="206" t="str">
        <f t="shared" si="273"/>
        <v>HW</v>
      </c>
      <c r="U581" s="206" t="str">
        <f t="shared" si="274"/>
        <v>O</v>
      </c>
      <c r="V581" s="206" t="str">
        <f t="shared" si="275"/>
        <v>O</v>
      </c>
      <c r="W581" s="206" t="str">
        <f t="shared" si="276"/>
        <v>O</v>
      </c>
      <c r="X581" s="206" t="str">
        <f t="shared" si="277"/>
        <v>U</v>
      </c>
      <c r="Y581" s="206"/>
      <c r="Z581" s="206">
        <v>55</v>
      </c>
      <c r="AA581" s="206" t="str">
        <f t="shared" si="267"/>
        <v>OKC/LAL</v>
      </c>
    </row>
    <row r="582" spans="1:27" ht="17.100000000000001" x14ac:dyDescent="0.45">
      <c r="A582" s="206">
        <v>200112</v>
      </c>
      <c r="B582" s="44">
        <v>0.4375</v>
      </c>
      <c r="C582" s="206" t="s">
        <v>397</v>
      </c>
      <c r="D582" s="206" t="s">
        <v>401</v>
      </c>
      <c r="E582" s="206">
        <v>20</v>
      </c>
      <c r="F582" s="206">
        <v>21</v>
      </c>
      <c r="G582" s="206">
        <v>32</v>
      </c>
      <c r="H582" s="206">
        <v>36</v>
      </c>
      <c r="I582" s="206"/>
      <c r="J582" s="206">
        <v>22</v>
      </c>
      <c r="K582" s="206">
        <v>28</v>
      </c>
      <c r="L582" s="206">
        <v>16</v>
      </c>
      <c r="M582" s="206">
        <v>25</v>
      </c>
      <c r="N582" s="206" t="s">
        <v>427</v>
      </c>
      <c r="O582" s="206">
        <f t="shared" si="268"/>
        <v>109</v>
      </c>
      <c r="P582" s="206">
        <f t="shared" si="269"/>
        <v>91</v>
      </c>
      <c r="Q582" s="206" t="str">
        <f t="shared" si="270"/>
        <v>HL</v>
      </c>
      <c r="R582" s="206" t="str">
        <f t="shared" si="271"/>
        <v>HL</v>
      </c>
      <c r="S582" s="206" t="str">
        <f t="shared" si="272"/>
        <v>HW</v>
      </c>
      <c r="T582" s="206" t="str">
        <f t="shared" si="273"/>
        <v>HW</v>
      </c>
      <c r="U582" s="206" t="str">
        <f t="shared" si="274"/>
        <v>U</v>
      </c>
      <c r="V582" s="206" t="str">
        <f t="shared" si="275"/>
        <v>U</v>
      </c>
      <c r="W582" s="206" t="str">
        <f t="shared" si="276"/>
        <v>U</v>
      </c>
      <c r="X582" s="206" t="str">
        <f t="shared" si="277"/>
        <v>O</v>
      </c>
      <c r="Y582" s="206"/>
      <c r="Z582" s="206">
        <v>55.5</v>
      </c>
      <c r="AA582" s="206" t="str">
        <f t="shared" si="267"/>
        <v>DAL/PHI</v>
      </c>
    </row>
    <row r="583" spans="1:27" ht="17.100000000000001" x14ac:dyDescent="0.45">
      <c r="A583" s="206">
        <v>200112</v>
      </c>
      <c r="B583" s="44">
        <v>0.45833333333333331</v>
      </c>
      <c r="C583" s="206" t="s">
        <v>408</v>
      </c>
      <c r="D583" s="206" t="s">
        <v>402</v>
      </c>
      <c r="E583" s="206">
        <v>18</v>
      </c>
      <c r="F583" s="206">
        <v>24</v>
      </c>
      <c r="G583" s="206">
        <v>29</v>
      </c>
      <c r="H583" s="206">
        <v>32</v>
      </c>
      <c r="I583" s="206"/>
      <c r="J583" s="206">
        <v>23</v>
      </c>
      <c r="K583" s="206">
        <v>28</v>
      </c>
      <c r="L583" s="206">
        <v>34</v>
      </c>
      <c r="M583" s="206">
        <v>26</v>
      </c>
      <c r="N583" s="206" t="s">
        <v>427</v>
      </c>
      <c r="O583" s="206">
        <f t="shared" si="268"/>
        <v>103</v>
      </c>
      <c r="P583" s="206">
        <f t="shared" si="269"/>
        <v>111</v>
      </c>
      <c r="Q583" s="206" t="str">
        <f t="shared" si="270"/>
        <v>HL</v>
      </c>
      <c r="R583" s="206" t="str">
        <f t="shared" si="271"/>
        <v>HL</v>
      </c>
      <c r="S583" s="206" t="str">
        <f t="shared" si="272"/>
        <v>HL</v>
      </c>
      <c r="T583" s="206" t="str">
        <f t="shared" si="273"/>
        <v>HW</v>
      </c>
      <c r="U583" s="206" t="str">
        <f t="shared" si="274"/>
        <v>U</v>
      </c>
      <c r="V583" s="206" t="str">
        <f t="shared" si="275"/>
        <v>U</v>
      </c>
      <c r="W583" s="206" t="str">
        <f t="shared" si="276"/>
        <v>O</v>
      </c>
      <c r="X583" s="206" t="str">
        <f t="shared" si="277"/>
        <v>O</v>
      </c>
      <c r="Y583" s="206"/>
      <c r="Z583" s="206">
        <v>53</v>
      </c>
      <c r="AA583" s="206" t="str">
        <f t="shared" si="267"/>
        <v>DEN/CLE</v>
      </c>
    </row>
    <row r="584" spans="1:27" ht="17.100000000000001" x14ac:dyDescent="0.45">
      <c r="A584" s="206">
        <v>200112</v>
      </c>
      <c r="B584" s="44">
        <v>0.5</v>
      </c>
      <c r="C584" s="206" t="s">
        <v>417</v>
      </c>
      <c r="D584" s="206" t="s">
        <v>423</v>
      </c>
      <c r="E584" s="206">
        <v>24</v>
      </c>
      <c r="F584" s="206">
        <v>31</v>
      </c>
      <c r="G584" s="206">
        <v>25</v>
      </c>
      <c r="H584" s="206">
        <v>21</v>
      </c>
      <c r="I584" s="206"/>
      <c r="J584" s="206">
        <v>32</v>
      </c>
      <c r="K584" s="206">
        <v>32</v>
      </c>
      <c r="L584" s="206">
        <v>33</v>
      </c>
      <c r="M584" s="206">
        <v>25</v>
      </c>
      <c r="N584" s="206" t="s">
        <v>427</v>
      </c>
      <c r="O584" s="206">
        <f t="shared" si="268"/>
        <v>101</v>
      </c>
      <c r="P584" s="206">
        <f t="shared" si="269"/>
        <v>122</v>
      </c>
      <c r="Q584" s="206" t="str">
        <f t="shared" si="270"/>
        <v>HL</v>
      </c>
      <c r="R584" s="206" t="str">
        <f t="shared" si="271"/>
        <v>HL</v>
      </c>
      <c r="S584" s="206" t="str">
        <f t="shared" si="272"/>
        <v>HL</v>
      </c>
      <c r="T584" s="206" t="str">
        <f t="shared" si="273"/>
        <v>HL</v>
      </c>
      <c r="U584" s="206" t="str">
        <f t="shared" si="274"/>
        <v>U</v>
      </c>
      <c r="V584" s="206" t="str">
        <f t="shared" si="275"/>
        <v>O</v>
      </c>
      <c r="W584" s="206" t="str">
        <f t="shared" si="276"/>
        <v>O</v>
      </c>
      <c r="X584" s="206" t="str">
        <f t="shared" si="277"/>
        <v>U</v>
      </c>
      <c r="Y584" s="206"/>
      <c r="Z584" s="206">
        <v>57</v>
      </c>
      <c r="AA584" s="206" t="str">
        <f t="shared" si="267"/>
        <v>POR/MIL</v>
      </c>
    </row>
    <row r="585" spans="1:27" ht="17.100000000000001" x14ac:dyDescent="0.45">
      <c r="A585" s="206">
        <v>200113</v>
      </c>
      <c r="B585" s="44">
        <v>0.22916666666666666</v>
      </c>
      <c r="C585" s="206" t="s">
        <v>399</v>
      </c>
      <c r="D585" s="206" t="s">
        <v>411</v>
      </c>
      <c r="E585" s="206">
        <v>27</v>
      </c>
      <c r="F585" s="206">
        <v>28</v>
      </c>
      <c r="G585" s="206">
        <v>29</v>
      </c>
      <c r="H585" s="206">
        <v>40</v>
      </c>
      <c r="I585" s="206"/>
      <c r="J585" s="206">
        <v>31</v>
      </c>
      <c r="K585" s="206">
        <v>29</v>
      </c>
      <c r="L585" s="206">
        <v>34</v>
      </c>
      <c r="M585" s="206">
        <v>27</v>
      </c>
      <c r="N585" s="206" t="s">
        <v>427</v>
      </c>
      <c r="O585" s="206">
        <f t="shared" si="268"/>
        <v>124</v>
      </c>
      <c r="P585" s="206">
        <f t="shared" si="269"/>
        <v>121</v>
      </c>
      <c r="Q585" s="206" t="str">
        <f t="shared" si="270"/>
        <v>HL</v>
      </c>
      <c r="R585" s="206" t="str">
        <f t="shared" si="271"/>
        <v>HL</v>
      </c>
      <c r="S585" s="206" t="str">
        <f t="shared" si="272"/>
        <v>HL</v>
      </c>
      <c r="T585" s="206" t="str">
        <f t="shared" si="273"/>
        <v>HW</v>
      </c>
      <c r="U585" s="206" t="str">
        <f t="shared" si="274"/>
        <v>O</v>
      </c>
      <c r="V585" s="206" t="str">
        <f t="shared" si="275"/>
        <v>O</v>
      </c>
      <c r="W585" s="206" t="str">
        <f t="shared" si="276"/>
        <v>O</v>
      </c>
      <c r="X585" s="206" t="str">
        <f t="shared" si="277"/>
        <v>O</v>
      </c>
      <c r="Y585" s="206"/>
      <c r="Z585" s="206">
        <v>56</v>
      </c>
      <c r="AA585" s="206" t="str">
        <f t="shared" si="267"/>
        <v>NYK/MIA</v>
      </c>
    </row>
    <row r="586" spans="1:27" ht="17.100000000000001" x14ac:dyDescent="0.45">
      <c r="A586" s="206">
        <v>200113</v>
      </c>
      <c r="B586" s="44">
        <v>0.22916666666666666</v>
      </c>
      <c r="C586" s="206" t="s">
        <v>414</v>
      </c>
      <c r="D586" s="206" t="s">
        <v>405</v>
      </c>
      <c r="E586" s="206">
        <v>34</v>
      </c>
      <c r="F586" s="206">
        <v>32</v>
      </c>
      <c r="G586" s="206">
        <v>25</v>
      </c>
      <c r="H586" s="206">
        <v>25</v>
      </c>
      <c r="I586" s="206"/>
      <c r="J586" s="206">
        <v>23</v>
      </c>
      <c r="K586" s="206">
        <v>32</v>
      </c>
      <c r="L586" s="206">
        <v>38</v>
      </c>
      <c r="M586" s="206">
        <v>34</v>
      </c>
      <c r="N586" s="206" t="s">
        <v>427</v>
      </c>
      <c r="O586" s="206">
        <f t="shared" si="268"/>
        <v>116</v>
      </c>
      <c r="P586" s="206">
        <f t="shared" si="269"/>
        <v>127</v>
      </c>
      <c r="Q586" s="206" t="str">
        <f t="shared" si="270"/>
        <v>HW</v>
      </c>
      <c r="R586" s="206" t="str">
        <f t="shared" si="271"/>
        <v>TT</v>
      </c>
      <c r="S586" s="206" t="str">
        <f t="shared" si="272"/>
        <v>HL</v>
      </c>
      <c r="T586" s="206" t="str">
        <f t="shared" si="273"/>
        <v>HL</v>
      </c>
      <c r="U586" s="206" t="str">
        <f t="shared" si="274"/>
        <v>O</v>
      </c>
      <c r="V586" s="206" t="str">
        <f t="shared" si="275"/>
        <v>O</v>
      </c>
      <c r="W586" s="206" t="str">
        <f t="shared" si="276"/>
        <v>O</v>
      </c>
      <c r="X586" s="206" t="str">
        <f t="shared" si="277"/>
        <v>O</v>
      </c>
      <c r="Y586" s="206"/>
      <c r="Z586" s="206">
        <v>55</v>
      </c>
      <c r="AA586" s="206" t="str">
        <f t="shared" si="267"/>
        <v>WAS/UTA</v>
      </c>
    </row>
    <row r="587" spans="1:27" ht="17.100000000000001" x14ac:dyDescent="0.45">
      <c r="A587" s="206">
        <v>200113</v>
      </c>
      <c r="B587" s="44">
        <v>0.33333333333333331</v>
      </c>
      <c r="C587" s="206" t="s">
        <v>407</v>
      </c>
      <c r="D587" s="206" t="s">
        <v>410</v>
      </c>
      <c r="E587" s="206">
        <v>37</v>
      </c>
      <c r="F587" s="206">
        <v>33</v>
      </c>
      <c r="G587" s="206">
        <v>22</v>
      </c>
      <c r="H587" s="206">
        <v>16</v>
      </c>
      <c r="I587" s="206"/>
      <c r="J587" s="206">
        <v>16</v>
      </c>
      <c r="K587" s="206">
        <v>30</v>
      </c>
      <c r="L587" s="206">
        <v>20</v>
      </c>
      <c r="M587" s="206">
        <v>20</v>
      </c>
      <c r="N587" s="206" t="s">
        <v>427</v>
      </c>
      <c r="O587" s="206">
        <f t="shared" si="268"/>
        <v>108</v>
      </c>
      <c r="P587" s="206">
        <f t="shared" si="269"/>
        <v>86</v>
      </c>
      <c r="Q587" s="206" t="str">
        <f t="shared" si="270"/>
        <v>HW</v>
      </c>
      <c r="R587" s="206" t="str">
        <f t="shared" si="271"/>
        <v>HW</v>
      </c>
      <c r="S587" s="206" t="str">
        <f t="shared" si="272"/>
        <v>HW</v>
      </c>
      <c r="T587" s="206" t="str">
        <f t="shared" si="273"/>
        <v>HL</v>
      </c>
      <c r="U587" s="206" t="str">
        <f t="shared" si="274"/>
        <v>U</v>
      </c>
      <c r="V587" s="206" t="str">
        <f t="shared" si="275"/>
        <v>O</v>
      </c>
      <c r="W587" s="206" t="str">
        <f t="shared" si="276"/>
        <v>U</v>
      </c>
      <c r="X587" s="206" t="str">
        <f t="shared" si="277"/>
        <v>U</v>
      </c>
      <c r="Y587" s="206"/>
      <c r="Z587" s="206">
        <v>58</v>
      </c>
      <c r="AA587" s="206" t="str">
        <f t="shared" si="267"/>
        <v>BKN/ATL</v>
      </c>
    </row>
    <row r="588" spans="1:27" ht="17.100000000000001" x14ac:dyDescent="0.45">
      <c r="A588" s="206">
        <v>200113</v>
      </c>
      <c r="B588" s="44">
        <v>0.33333333333333331</v>
      </c>
      <c r="C588" s="206" t="s">
        <v>413</v>
      </c>
      <c r="D588" s="206" t="s">
        <v>426</v>
      </c>
      <c r="E588" s="206">
        <v>28</v>
      </c>
      <c r="F588" s="206">
        <v>23</v>
      </c>
      <c r="G588" s="206">
        <v>31</v>
      </c>
      <c r="H588" s="206">
        <v>22</v>
      </c>
      <c r="I588" s="206"/>
      <c r="J588" s="206">
        <v>21</v>
      </c>
      <c r="K588" s="206">
        <v>22</v>
      </c>
      <c r="L588" s="206">
        <v>26</v>
      </c>
      <c r="M588" s="206">
        <v>36</v>
      </c>
      <c r="N588" s="206" t="s">
        <v>427</v>
      </c>
      <c r="O588" s="206">
        <f t="shared" si="268"/>
        <v>104</v>
      </c>
      <c r="P588" s="206">
        <f t="shared" si="269"/>
        <v>105</v>
      </c>
      <c r="Q588" s="206" t="str">
        <f t="shared" si="270"/>
        <v>HW</v>
      </c>
      <c r="R588" s="206" t="str">
        <f t="shared" si="271"/>
        <v>HW</v>
      </c>
      <c r="S588" s="206" t="str">
        <f t="shared" si="272"/>
        <v>HW</v>
      </c>
      <c r="T588" s="206" t="str">
        <f t="shared" si="273"/>
        <v>HL</v>
      </c>
      <c r="U588" s="206" t="str">
        <f t="shared" si="274"/>
        <v>U</v>
      </c>
      <c r="V588" s="206" t="str">
        <f t="shared" si="275"/>
        <v>U</v>
      </c>
      <c r="W588" s="206" t="str">
        <f t="shared" si="276"/>
        <v>O</v>
      </c>
      <c r="X588" s="206" t="str">
        <f t="shared" si="277"/>
        <v>O</v>
      </c>
      <c r="Y588" s="206"/>
      <c r="Z588" s="206">
        <v>54.5</v>
      </c>
      <c r="AA588" s="206" t="str">
        <f t="shared" ref="AA588:AA651" si="278">C588&amp;"/"&amp;D588</f>
        <v>TOR/SAS</v>
      </c>
    </row>
    <row r="589" spans="1:27" ht="17.100000000000001" x14ac:dyDescent="0.45">
      <c r="A589" s="206">
        <v>200113</v>
      </c>
      <c r="B589" s="44">
        <v>0.33333333333333331</v>
      </c>
      <c r="C589" s="206" t="s">
        <v>406</v>
      </c>
      <c r="D589" s="206" t="s">
        <v>425</v>
      </c>
      <c r="E589" s="206">
        <v>27</v>
      </c>
      <c r="F589" s="206">
        <v>33</v>
      </c>
      <c r="G589" s="206">
        <v>35</v>
      </c>
      <c r="H589" s="206">
        <v>27</v>
      </c>
      <c r="I589" s="206"/>
      <c r="J589" s="206">
        <v>26</v>
      </c>
      <c r="K589" s="206">
        <v>33</v>
      </c>
      <c r="L589" s="206">
        <v>17</v>
      </c>
      <c r="M589" s="206">
        <v>26</v>
      </c>
      <c r="N589" s="206" t="s">
        <v>427</v>
      </c>
      <c r="O589" s="206">
        <f t="shared" si="268"/>
        <v>122</v>
      </c>
      <c r="P589" s="206">
        <f t="shared" si="269"/>
        <v>102</v>
      </c>
      <c r="Q589" s="206" t="str">
        <f t="shared" si="270"/>
        <v>HW</v>
      </c>
      <c r="R589" s="206" t="str">
        <f t="shared" si="271"/>
        <v>TT</v>
      </c>
      <c r="S589" s="206" t="str">
        <f t="shared" si="272"/>
        <v>HW</v>
      </c>
      <c r="T589" s="206" t="str">
        <f t="shared" si="273"/>
        <v>HW</v>
      </c>
      <c r="U589" s="206" t="str">
        <f t="shared" si="274"/>
        <v>U</v>
      </c>
      <c r="V589" s="206" t="str">
        <f t="shared" si="275"/>
        <v>O</v>
      </c>
      <c r="W589" s="206" t="str">
        <f t="shared" si="276"/>
        <v>U</v>
      </c>
      <c r="X589" s="206" t="str">
        <f t="shared" si="277"/>
        <v>U</v>
      </c>
      <c r="Y589" s="206"/>
      <c r="Z589" s="206">
        <v>57.5</v>
      </c>
      <c r="AA589" s="206" t="str">
        <f t="shared" si="278"/>
        <v>MEM/GS</v>
      </c>
    </row>
    <row r="590" spans="1:27" ht="17.100000000000001" x14ac:dyDescent="0.45">
      <c r="A590" s="206">
        <v>200113</v>
      </c>
      <c r="B590" s="44">
        <v>0.41666666666666669</v>
      </c>
      <c r="C590" s="206" t="s">
        <v>408</v>
      </c>
      <c r="D590" s="206" t="s">
        <v>415</v>
      </c>
      <c r="E590" s="206">
        <v>29</v>
      </c>
      <c r="F590" s="206">
        <v>37</v>
      </c>
      <c r="G590" s="206">
        <v>23</v>
      </c>
      <c r="H590" s="206">
        <v>25</v>
      </c>
      <c r="I590" s="206"/>
      <c r="J590" s="206">
        <v>30</v>
      </c>
      <c r="K590" s="206">
        <v>22</v>
      </c>
      <c r="L590" s="206">
        <v>22</v>
      </c>
      <c r="M590" s="206">
        <v>30</v>
      </c>
      <c r="N590" s="206" t="s">
        <v>427</v>
      </c>
      <c r="O590" s="206">
        <f t="shared" si="268"/>
        <v>114</v>
      </c>
      <c r="P590" s="206">
        <f t="shared" si="269"/>
        <v>104</v>
      </c>
      <c r="Q590" s="206" t="str">
        <f t="shared" si="270"/>
        <v>HL</v>
      </c>
      <c r="R590" s="206" t="str">
        <f t="shared" si="271"/>
        <v>HW</v>
      </c>
      <c r="S590" s="206" t="str">
        <f t="shared" si="272"/>
        <v>HW</v>
      </c>
      <c r="T590" s="206" t="str">
        <f t="shared" si="273"/>
        <v>HL</v>
      </c>
      <c r="U590" s="206" t="str">
        <f t="shared" si="274"/>
        <v>O</v>
      </c>
      <c r="V590" s="206" t="str">
        <f t="shared" si="275"/>
        <v>O</v>
      </c>
      <c r="W590" s="206" t="str">
        <f t="shared" si="276"/>
        <v>U</v>
      </c>
      <c r="X590" s="206" t="str">
        <f t="shared" si="277"/>
        <v>U</v>
      </c>
      <c r="Y590" s="206"/>
      <c r="Z590" s="206">
        <v>57</v>
      </c>
      <c r="AA590" s="206" t="str">
        <f t="shared" si="278"/>
        <v>DEN/LAC</v>
      </c>
    </row>
    <row r="591" spans="1:27" ht="17.100000000000001" x14ac:dyDescent="0.45">
      <c r="A591" s="206">
        <v>200113</v>
      </c>
      <c r="B591" s="44">
        <v>0.41666666666666669</v>
      </c>
      <c r="C591" s="206" t="s">
        <v>404</v>
      </c>
      <c r="D591" s="206" t="s">
        <v>409</v>
      </c>
      <c r="E591" s="206">
        <v>18</v>
      </c>
      <c r="F591" s="206">
        <v>28</v>
      </c>
      <c r="G591" s="206">
        <v>25</v>
      </c>
      <c r="H591" s="206">
        <v>29</v>
      </c>
      <c r="I591" s="206"/>
      <c r="J591" s="206">
        <v>24</v>
      </c>
      <c r="K591" s="206">
        <v>21</v>
      </c>
      <c r="L591" s="206">
        <v>26</v>
      </c>
      <c r="M591" s="206">
        <v>21</v>
      </c>
      <c r="N591" s="206" t="s">
        <v>427</v>
      </c>
      <c r="O591" s="206">
        <f t="shared" si="268"/>
        <v>100</v>
      </c>
      <c r="P591" s="206">
        <f t="shared" si="269"/>
        <v>92</v>
      </c>
      <c r="Q591" s="206" t="str">
        <f t="shared" si="270"/>
        <v>HL</v>
      </c>
      <c r="R591" s="206" t="str">
        <f t="shared" si="271"/>
        <v>HW</v>
      </c>
      <c r="S591" s="206" t="str">
        <f t="shared" si="272"/>
        <v>HL</v>
      </c>
      <c r="T591" s="206" t="str">
        <f t="shared" si="273"/>
        <v>HW</v>
      </c>
      <c r="U591" s="206" t="str">
        <f t="shared" si="274"/>
        <v>U</v>
      </c>
      <c r="V591" s="206" t="str">
        <f t="shared" si="275"/>
        <v>U</v>
      </c>
      <c r="W591" s="206" t="str">
        <f t="shared" si="276"/>
        <v>U</v>
      </c>
      <c r="X591" s="206" t="str">
        <f t="shared" si="277"/>
        <v>U</v>
      </c>
      <c r="Y591" s="206"/>
      <c r="Z591" s="206">
        <v>55.5</v>
      </c>
      <c r="AA591" s="206" t="str">
        <f t="shared" si="278"/>
        <v>PHO/CHA</v>
      </c>
    </row>
    <row r="592" spans="1:27" ht="17.100000000000001" x14ac:dyDescent="0.45">
      <c r="A592" s="206">
        <v>200114</v>
      </c>
      <c r="B592" s="44">
        <v>0.375</v>
      </c>
      <c r="C592" s="206" t="s">
        <v>422</v>
      </c>
      <c r="D592" s="206" t="s">
        <v>398</v>
      </c>
      <c r="E592" s="206">
        <v>23</v>
      </c>
      <c r="F592" s="206">
        <v>29</v>
      </c>
      <c r="G592" s="206">
        <v>25</v>
      </c>
      <c r="H592" s="206">
        <v>25</v>
      </c>
      <c r="I592" s="206">
        <v>8</v>
      </c>
      <c r="J592" s="206">
        <v>32</v>
      </c>
      <c r="K592" s="206">
        <v>31</v>
      </c>
      <c r="L592" s="206">
        <v>26</v>
      </c>
      <c r="M592" s="206">
        <v>13</v>
      </c>
      <c r="N592" s="206">
        <v>15</v>
      </c>
      <c r="O592" s="206">
        <f t="shared" si="268"/>
        <v>110</v>
      </c>
      <c r="P592" s="206">
        <f t="shared" si="269"/>
        <v>117</v>
      </c>
      <c r="Q592" s="206" t="str">
        <f t="shared" si="270"/>
        <v>HL</v>
      </c>
      <c r="R592" s="206" t="str">
        <f t="shared" si="271"/>
        <v>HL</v>
      </c>
      <c r="S592" s="206" t="str">
        <f t="shared" si="272"/>
        <v>HL</v>
      </c>
      <c r="T592" s="206" t="str">
        <f t="shared" si="273"/>
        <v>HW</v>
      </c>
      <c r="U592" s="206" t="str">
        <f t="shared" si="274"/>
        <v>U</v>
      </c>
      <c r="V592" s="206" t="str">
        <f t="shared" si="275"/>
        <v>O</v>
      </c>
      <c r="W592" s="206" t="str">
        <f t="shared" si="276"/>
        <v>U</v>
      </c>
      <c r="X592" s="206" t="str">
        <f t="shared" si="277"/>
        <v>U</v>
      </c>
      <c r="Y592" s="206"/>
      <c r="Z592" s="206">
        <v>57</v>
      </c>
      <c r="AA592" s="206" t="str">
        <f t="shared" si="278"/>
        <v>DET/NO</v>
      </c>
    </row>
    <row r="593" spans="1:32" ht="17.100000000000001" x14ac:dyDescent="0.45">
      <c r="A593" s="206">
        <v>200114</v>
      </c>
      <c r="B593" s="44">
        <v>0.375</v>
      </c>
      <c r="C593" s="206" t="s">
        <v>400</v>
      </c>
      <c r="D593" s="206" t="s">
        <v>401</v>
      </c>
      <c r="E593" s="206">
        <v>22</v>
      </c>
      <c r="F593" s="206">
        <v>18</v>
      </c>
      <c r="G593" s="206">
        <v>29</v>
      </c>
      <c r="H593" s="206">
        <v>32</v>
      </c>
      <c r="I593" s="206"/>
      <c r="J593" s="206">
        <v>23</v>
      </c>
      <c r="K593" s="206">
        <v>26</v>
      </c>
      <c r="L593" s="206">
        <v>20</v>
      </c>
      <c r="M593" s="206">
        <v>26</v>
      </c>
      <c r="N593" s="206" t="s">
        <v>427</v>
      </c>
      <c r="O593" s="206">
        <f t="shared" si="268"/>
        <v>101</v>
      </c>
      <c r="P593" s="206">
        <f t="shared" si="269"/>
        <v>95</v>
      </c>
      <c r="Q593" s="206" t="str">
        <f t="shared" si="270"/>
        <v>HL</v>
      </c>
      <c r="R593" s="206" t="str">
        <f t="shared" si="271"/>
        <v>HL</v>
      </c>
      <c r="S593" s="206" t="str">
        <f t="shared" si="272"/>
        <v>HW</v>
      </c>
      <c r="T593" s="206" t="str">
        <f t="shared" si="273"/>
        <v>HW</v>
      </c>
      <c r="U593" s="206" t="str">
        <f t="shared" si="274"/>
        <v>U</v>
      </c>
      <c r="V593" s="206" t="str">
        <f t="shared" si="275"/>
        <v>U</v>
      </c>
      <c r="W593" s="206" t="str">
        <f t="shared" si="276"/>
        <v>U</v>
      </c>
      <c r="X593" s="206" t="str">
        <f t="shared" si="277"/>
        <v>O</v>
      </c>
      <c r="Y593" s="206"/>
      <c r="Z593" s="206">
        <v>53</v>
      </c>
      <c r="AA593" s="206" t="str">
        <f t="shared" si="278"/>
        <v>IND/PHI</v>
      </c>
    </row>
    <row r="594" spans="1:32" ht="17.100000000000001" x14ac:dyDescent="0.45">
      <c r="A594" s="206">
        <v>200114</v>
      </c>
      <c r="B594" s="44">
        <v>0.39583333333333331</v>
      </c>
      <c r="C594" s="206" t="s">
        <v>421</v>
      </c>
      <c r="D594" s="206" t="s">
        <v>412</v>
      </c>
      <c r="E594" s="206">
        <v>28</v>
      </c>
      <c r="F594" s="206">
        <v>27</v>
      </c>
      <c r="G594" s="206">
        <v>28</v>
      </c>
      <c r="H594" s="206">
        <v>30</v>
      </c>
      <c r="I594" s="206"/>
      <c r="J594" s="206">
        <v>14</v>
      </c>
      <c r="K594" s="206">
        <v>23</v>
      </c>
      <c r="L594" s="206">
        <v>34</v>
      </c>
      <c r="M594" s="206">
        <v>30</v>
      </c>
      <c r="N594" s="206" t="s">
        <v>427</v>
      </c>
      <c r="O594" s="206">
        <f t="shared" si="268"/>
        <v>113</v>
      </c>
      <c r="P594" s="206">
        <f t="shared" si="269"/>
        <v>101</v>
      </c>
      <c r="Q594" s="206" t="str">
        <f t="shared" si="270"/>
        <v>HW</v>
      </c>
      <c r="R594" s="206" t="str">
        <f t="shared" si="271"/>
        <v>HW</v>
      </c>
      <c r="S594" s="206" t="str">
        <f t="shared" si="272"/>
        <v>HL</v>
      </c>
      <c r="T594" s="206" t="str">
        <f t="shared" si="273"/>
        <v>TT</v>
      </c>
      <c r="U594" s="206" t="str">
        <f t="shared" si="274"/>
        <v>U</v>
      </c>
      <c r="V594" s="206" t="str">
        <f t="shared" si="275"/>
        <v>U</v>
      </c>
      <c r="W594" s="206" t="str">
        <f t="shared" si="276"/>
        <v>O</v>
      </c>
      <c r="X594" s="206" t="str">
        <f t="shared" si="277"/>
        <v>O</v>
      </c>
      <c r="Y594" s="206"/>
      <c r="Z594" s="206">
        <v>55.5</v>
      </c>
      <c r="AA594" s="206" t="str">
        <f t="shared" si="278"/>
        <v>BOS/CHI</v>
      </c>
    </row>
    <row r="595" spans="1:32" ht="17.100000000000001" x14ac:dyDescent="0.45">
      <c r="A595" s="206">
        <v>200114</v>
      </c>
      <c r="B595" s="44">
        <v>0.41666666666666669</v>
      </c>
      <c r="C595" s="206" t="s">
        <v>420</v>
      </c>
      <c r="D595" s="206" t="s">
        <v>418</v>
      </c>
      <c r="E595" s="206">
        <v>33</v>
      </c>
      <c r="F595" s="206">
        <v>27</v>
      </c>
      <c r="G595" s="206">
        <v>19</v>
      </c>
      <c r="H595" s="206">
        <v>25</v>
      </c>
      <c r="I595" s="206"/>
      <c r="J595" s="206">
        <v>30</v>
      </c>
      <c r="K595" s="206">
        <v>33</v>
      </c>
      <c r="L595" s="206">
        <v>29</v>
      </c>
      <c r="M595" s="206">
        <v>25</v>
      </c>
      <c r="N595" s="206" t="s">
        <v>427</v>
      </c>
      <c r="O595" s="206">
        <f t="shared" si="268"/>
        <v>104</v>
      </c>
      <c r="P595" s="206">
        <f t="shared" si="269"/>
        <v>117</v>
      </c>
      <c r="Q595" s="206" t="str">
        <f t="shared" si="270"/>
        <v>HW</v>
      </c>
      <c r="R595" s="206" t="str">
        <f t="shared" si="271"/>
        <v>HL</v>
      </c>
      <c r="S595" s="206" t="str">
        <f t="shared" si="272"/>
        <v>HL</v>
      </c>
      <c r="T595" s="206" t="str">
        <f t="shared" si="273"/>
        <v>TT</v>
      </c>
      <c r="U595" s="206" t="str">
        <f t="shared" si="274"/>
        <v>O</v>
      </c>
      <c r="V595" s="206" t="str">
        <f t="shared" si="275"/>
        <v>O</v>
      </c>
      <c r="W595" s="206" t="str">
        <f t="shared" si="276"/>
        <v>U</v>
      </c>
      <c r="X595" s="206" t="str">
        <f t="shared" si="277"/>
        <v>U</v>
      </c>
      <c r="Y595" s="206"/>
      <c r="Z595" s="206">
        <v>56</v>
      </c>
      <c r="AA595" s="206" t="str">
        <f t="shared" si="278"/>
        <v>MIN/OKC</v>
      </c>
    </row>
    <row r="596" spans="1:32" ht="17.100000000000001" x14ac:dyDescent="0.45">
      <c r="A596" s="206">
        <v>200114</v>
      </c>
      <c r="B596" s="44">
        <v>0.5</v>
      </c>
      <c r="C596" s="206" t="s">
        <v>417</v>
      </c>
      <c r="D596" s="206" t="s">
        <v>409</v>
      </c>
      <c r="E596" s="206">
        <v>25</v>
      </c>
      <c r="F596" s="206">
        <v>37</v>
      </c>
      <c r="G596" s="206">
        <v>29</v>
      </c>
      <c r="H596" s="206">
        <v>24</v>
      </c>
      <c r="I596" s="206"/>
      <c r="J596" s="206">
        <v>26</v>
      </c>
      <c r="K596" s="206">
        <v>20</v>
      </c>
      <c r="L596" s="206">
        <v>43</v>
      </c>
      <c r="M596" s="206">
        <v>23</v>
      </c>
      <c r="N596" s="206" t="s">
        <v>427</v>
      </c>
      <c r="O596" s="206">
        <f t="shared" si="268"/>
        <v>115</v>
      </c>
      <c r="P596" s="206">
        <f t="shared" si="269"/>
        <v>112</v>
      </c>
      <c r="Q596" s="206" t="str">
        <f t="shared" si="270"/>
        <v>HL</v>
      </c>
      <c r="R596" s="206" t="str">
        <f t="shared" si="271"/>
        <v>HW</v>
      </c>
      <c r="S596" s="206" t="str">
        <f t="shared" si="272"/>
        <v>HL</v>
      </c>
      <c r="T596" s="206" t="str">
        <f t="shared" si="273"/>
        <v>HW</v>
      </c>
      <c r="U596" s="206" t="str">
        <f t="shared" si="274"/>
        <v>U</v>
      </c>
      <c r="V596" s="206" t="str">
        <f t="shared" si="275"/>
        <v>O</v>
      </c>
      <c r="W596" s="206" t="str">
        <f t="shared" si="276"/>
        <v>O</v>
      </c>
      <c r="X596" s="206" t="str">
        <f t="shared" si="277"/>
        <v>U</v>
      </c>
      <c r="Y596" s="206"/>
      <c r="Z596" s="206">
        <v>55.5</v>
      </c>
      <c r="AA596" s="206" t="str">
        <f t="shared" si="278"/>
        <v>POR/CHA</v>
      </c>
    </row>
    <row r="597" spans="1:32" ht="17.100000000000001" x14ac:dyDescent="0.45">
      <c r="A597" s="206">
        <v>200114</v>
      </c>
      <c r="B597" s="44">
        <v>0.5</v>
      </c>
      <c r="C597" s="206" t="s">
        <v>416</v>
      </c>
      <c r="D597" s="206" t="s">
        <v>424</v>
      </c>
      <c r="E597" s="206">
        <v>25</v>
      </c>
      <c r="F597" s="206">
        <v>27</v>
      </c>
      <c r="G597" s="206">
        <v>33</v>
      </c>
      <c r="H597" s="206">
        <v>27</v>
      </c>
      <c r="I597" s="206"/>
      <c r="J597" s="206">
        <v>33</v>
      </c>
      <c r="K597" s="206">
        <v>32</v>
      </c>
      <c r="L597" s="206">
        <v>21</v>
      </c>
      <c r="M597" s="206">
        <v>28</v>
      </c>
      <c r="N597" s="206" t="s">
        <v>427</v>
      </c>
      <c r="O597" s="206">
        <f t="shared" si="268"/>
        <v>112</v>
      </c>
      <c r="P597" s="206">
        <f t="shared" si="269"/>
        <v>114</v>
      </c>
      <c r="Q597" s="206" t="str">
        <f t="shared" si="270"/>
        <v>HL</v>
      </c>
      <c r="R597" s="206" t="str">
        <f t="shared" si="271"/>
        <v>HL</v>
      </c>
      <c r="S597" s="206" t="str">
        <f t="shared" si="272"/>
        <v>HW</v>
      </c>
      <c r="T597" s="206" t="str">
        <f t="shared" si="273"/>
        <v>HL</v>
      </c>
      <c r="U597" s="206" t="str">
        <f t="shared" si="274"/>
        <v>O</v>
      </c>
      <c r="V597" s="206" t="str">
        <f t="shared" si="275"/>
        <v>O</v>
      </c>
      <c r="W597" s="206" t="str">
        <f t="shared" si="276"/>
        <v>U</v>
      </c>
      <c r="X597" s="206" t="str">
        <f t="shared" si="277"/>
        <v>O</v>
      </c>
      <c r="Y597" s="206"/>
      <c r="Z597" s="206">
        <v>54.5</v>
      </c>
      <c r="AA597" s="206" t="str">
        <f t="shared" si="278"/>
        <v>SAC/ORL</v>
      </c>
    </row>
    <row r="598" spans="1:32" ht="17.100000000000001" x14ac:dyDescent="0.45">
      <c r="A598" s="206">
        <v>200114</v>
      </c>
      <c r="B598" s="44">
        <v>0.52083333333333337</v>
      </c>
      <c r="C598" s="206" t="s">
        <v>419</v>
      </c>
      <c r="D598" s="206" t="s">
        <v>402</v>
      </c>
      <c r="E598" s="206">
        <v>21</v>
      </c>
      <c r="F598" s="206">
        <v>26</v>
      </c>
      <c r="G598" s="206">
        <v>37</v>
      </c>
      <c r="H598" s="206">
        <v>44</v>
      </c>
      <c r="I598" s="206"/>
      <c r="J598" s="206">
        <v>27</v>
      </c>
      <c r="K598" s="206">
        <v>21</v>
      </c>
      <c r="L598" s="206">
        <v>22</v>
      </c>
      <c r="M598" s="206">
        <v>29</v>
      </c>
      <c r="N598" s="206" t="s">
        <v>427</v>
      </c>
      <c r="O598" s="206">
        <f t="shared" si="268"/>
        <v>128</v>
      </c>
      <c r="P598" s="206">
        <f t="shared" si="269"/>
        <v>99</v>
      </c>
      <c r="Q598" s="206" t="str">
        <f t="shared" si="270"/>
        <v>HL</v>
      </c>
      <c r="R598" s="206" t="str">
        <f t="shared" si="271"/>
        <v>HW</v>
      </c>
      <c r="S598" s="206" t="str">
        <f t="shared" si="272"/>
        <v>HW</v>
      </c>
      <c r="T598" s="206" t="str">
        <f t="shared" si="273"/>
        <v>HW</v>
      </c>
      <c r="U598" s="206" t="str">
        <f t="shared" si="274"/>
        <v>U</v>
      </c>
      <c r="V598" s="206" t="str">
        <f t="shared" si="275"/>
        <v>U</v>
      </c>
      <c r="W598" s="206" t="str">
        <f t="shared" si="276"/>
        <v>O</v>
      </c>
      <c r="X598" s="206" t="str">
        <f t="shared" si="277"/>
        <v>O</v>
      </c>
      <c r="Y598" s="206"/>
      <c r="Z598" s="206">
        <v>55</v>
      </c>
      <c r="AA598" s="206" t="str">
        <f t="shared" si="278"/>
        <v>LAL/CLE</v>
      </c>
    </row>
    <row r="599" spans="1:32" ht="17.100000000000001" x14ac:dyDescent="0.45">
      <c r="A599" s="206">
        <v>200115</v>
      </c>
      <c r="B599" s="44">
        <v>0.39583333333333331</v>
      </c>
      <c r="C599" s="206" t="s">
        <v>410</v>
      </c>
      <c r="D599" s="206" t="s">
        <v>404</v>
      </c>
      <c r="E599" s="206">
        <v>28</v>
      </c>
      <c r="F599" s="206">
        <v>28</v>
      </c>
      <c r="G599" s="206">
        <v>28</v>
      </c>
      <c r="H599" s="206">
        <v>39</v>
      </c>
      <c r="I599" s="206"/>
      <c r="J599" s="206">
        <v>25</v>
      </c>
      <c r="K599" s="206">
        <v>26</v>
      </c>
      <c r="L599" s="206">
        <v>32</v>
      </c>
      <c r="M599" s="206">
        <v>27</v>
      </c>
      <c r="N599" s="206" t="s">
        <v>427</v>
      </c>
      <c r="O599" s="206">
        <f t="shared" ref="O599:O604" si="279">SUM(E599:I599)</f>
        <v>123</v>
      </c>
      <c r="P599" s="206">
        <f t="shared" ref="P599:P604" si="280">SUM(J599:N599)</f>
        <v>110</v>
      </c>
      <c r="Q599" s="206" t="str">
        <f t="shared" ref="Q599:Q604" si="281">IF(E599=J599,"TT",IF(E599&gt;J599,"HW","HL"))</f>
        <v>HW</v>
      </c>
      <c r="R599" s="206" t="str">
        <f t="shared" ref="R599:R604" si="282">IF(F599=K599,"TT",IF(F599&gt;K599,"HW","HL"))</f>
        <v>HW</v>
      </c>
      <c r="S599" s="206" t="str">
        <f t="shared" ref="S599:S604" si="283">IF(G599=L599,"TT",IF(G599&gt;L599,"HW","HL"))</f>
        <v>HL</v>
      </c>
      <c r="T599" s="206" t="str">
        <f t="shared" ref="T599:T604" si="284">IF(H599=M599,"TT",IF(H599&gt;M599,"HW","HL"))</f>
        <v>HW</v>
      </c>
      <c r="U599" s="206" t="str">
        <f t="shared" ref="U599:U604" si="285">IF(SUM(E599,J599)=$Z599,"T",IF(SUM(E599,J599)&gt;$Z599,"O","U"))</f>
        <v>U</v>
      </c>
      <c r="V599" s="206" t="str">
        <f t="shared" ref="V599:V604" si="286">IF(SUM(F599,K599)=$Z599,"T",IF(SUM(F599,K599)&gt;$Z599,"O","U"))</f>
        <v>U</v>
      </c>
      <c r="W599" s="206" t="str">
        <f t="shared" ref="W599:W604" si="287">IF(SUM(G599,L599)=$Z599,"T",IF(SUM(G599,L599)&gt;$Z599,"O","U"))</f>
        <v>O</v>
      </c>
      <c r="X599" s="206" t="str">
        <f t="shared" ref="X599:X604" si="288">IF(SUM(H599,M599)=$Z599,"T",IF(SUM(H599,M599)&gt;$Z599,"O","U"))</f>
        <v>O</v>
      </c>
      <c r="Y599" s="206"/>
      <c r="Z599" s="206">
        <v>56</v>
      </c>
      <c r="AA599" s="206" t="str">
        <f t="shared" si="278"/>
        <v>ATL/PHO</v>
      </c>
    </row>
    <row r="600" spans="1:32" ht="17.100000000000001" x14ac:dyDescent="0.45">
      <c r="A600" s="206">
        <v>200115</v>
      </c>
      <c r="B600" s="44">
        <v>0.39583333333333331</v>
      </c>
      <c r="C600" s="206" t="s">
        <v>407</v>
      </c>
      <c r="D600" s="206" t="s">
        <v>405</v>
      </c>
      <c r="E600" s="206">
        <v>26</v>
      </c>
      <c r="F600" s="206">
        <v>19</v>
      </c>
      <c r="G600" s="206">
        <v>29</v>
      </c>
      <c r="H600" s="206">
        <v>33</v>
      </c>
      <c r="I600" s="206"/>
      <c r="J600" s="206">
        <v>30</v>
      </c>
      <c r="K600" s="206">
        <v>29</v>
      </c>
      <c r="L600" s="206">
        <v>29</v>
      </c>
      <c r="M600" s="206">
        <v>30</v>
      </c>
      <c r="N600" s="206" t="s">
        <v>427</v>
      </c>
      <c r="O600" s="206">
        <f t="shared" si="279"/>
        <v>107</v>
      </c>
      <c r="P600" s="206">
        <f t="shared" si="280"/>
        <v>118</v>
      </c>
      <c r="Q600" s="206" t="str">
        <f t="shared" si="281"/>
        <v>HL</v>
      </c>
      <c r="R600" s="206" t="str">
        <f t="shared" si="282"/>
        <v>HL</v>
      </c>
      <c r="S600" s="206" t="str">
        <f t="shared" si="283"/>
        <v>TT</v>
      </c>
      <c r="T600" s="206" t="str">
        <f t="shared" si="284"/>
        <v>HW</v>
      </c>
      <c r="U600" s="206" t="str">
        <f t="shared" si="285"/>
        <v>O</v>
      </c>
      <c r="V600" s="206" t="str">
        <f t="shared" si="286"/>
        <v>U</v>
      </c>
      <c r="W600" s="206" t="str">
        <f t="shared" si="287"/>
        <v>O</v>
      </c>
      <c r="X600" s="206" t="str">
        <f t="shared" si="288"/>
        <v>O</v>
      </c>
      <c r="Y600" s="206"/>
      <c r="Z600" s="206">
        <v>54.5</v>
      </c>
      <c r="AA600" s="206" t="str">
        <f t="shared" si="278"/>
        <v>BKN/UTA</v>
      </c>
    </row>
    <row r="601" spans="1:32" ht="17.100000000000001" x14ac:dyDescent="0.45">
      <c r="A601" s="206">
        <v>200115</v>
      </c>
      <c r="B601" s="44">
        <v>0.41666666666666669</v>
      </c>
      <c r="C601" s="206" t="s">
        <v>423</v>
      </c>
      <c r="D601" s="206" t="s">
        <v>399</v>
      </c>
      <c r="E601" s="206">
        <v>29</v>
      </c>
      <c r="F601" s="206">
        <v>36</v>
      </c>
      <c r="G601" s="206">
        <v>43</v>
      </c>
      <c r="H601" s="206">
        <v>20</v>
      </c>
      <c r="I601" s="206"/>
      <c r="J601" s="206">
        <v>23</v>
      </c>
      <c r="K601" s="206">
        <v>17</v>
      </c>
      <c r="L601" s="206">
        <v>36</v>
      </c>
      <c r="M601" s="206">
        <v>26</v>
      </c>
      <c r="N601" s="206" t="s">
        <v>427</v>
      </c>
      <c r="O601" s="206">
        <f t="shared" si="279"/>
        <v>128</v>
      </c>
      <c r="P601" s="206">
        <f t="shared" si="280"/>
        <v>102</v>
      </c>
      <c r="Q601" s="206" t="str">
        <f t="shared" si="281"/>
        <v>HW</v>
      </c>
      <c r="R601" s="206" t="str">
        <f t="shared" si="282"/>
        <v>HW</v>
      </c>
      <c r="S601" s="206" t="str">
        <f t="shared" si="283"/>
        <v>HW</v>
      </c>
      <c r="T601" s="206" t="str">
        <f t="shared" si="284"/>
        <v>HL</v>
      </c>
      <c r="U601" s="206" t="str">
        <f t="shared" si="285"/>
        <v>U</v>
      </c>
      <c r="V601" s="206" t="str">
        <f t="shared" si="286"/>
        <v>U</v>
      </c>
      <c r="W601" s="206" t="str">
        <f t="shared" si="287"/>
        <v>O</v>
      </c>
      <c r="X601" s="206" t="str">
        <f t="shared" si="288"/>
        <v>U</v>
      </c>
      <c r="Y601" s="206"/>
      <c r="Z601" s="206">
        <v>59.5</v>
      </c>
      <c r="AA601" s="206" t="str">
        <f t="shared" si="278"/>
        <v>MIL/NYK</v>
      </c>
    </row>
    <row r="602" spans="1:32" ht="17.100000000000001" x14ac:dyDescent="0.45">
      <c r="A602" s="206">
        <v>200115</v>
      </c>
      <c r="B602" s="44">
        <v>0.41666666666666669</v>
      </c>
      <c r="C602" s="206" t="s">
        <v>406</v>
      </c>
      <c r="D602" s="206" t="s">
        <v>403</v>
      </c>
      <c r="E602" s="206">
        <v>32</v>
      </c>
      <c r="F602" s="206">
        <v>35</v>
      </c>
      <c r="G602" s="206">
        <v>18</v>
      </c>
      <c r="H602" s="206">
        <v>36</v>
      </c>
      <c r="I602" s="206"/>
      <c r="J602" s="206">
        <v>37</v>
      </c>
      <c r="K602" s="206">
        <v>24</v>
      </c>
      <c r="L602" s="206">
        <v>22</v>
      </c>
      <c r="M602" s="206">
        <v>27</v>
      </c>
      <c r="N602" s="206" t="s">
        <v>427</v>
      </c>
      <c r="O602" s="206">
        <f t="shared" si="279"/>
        <v>121</v>
      </c>
      <c r="P602" s="206">
        <f t="shared" si="280"/>
        <v>110</v>
      </c>
      <c r="Q602" s="206" t="str">
        <f t="shared" si="281"/>
        <v>HL</v>
      </c>
      <c r="R602" s="206" t="str">
        <f t="shared" si="282"/>
        <v>HW</v>
      </c>
      <c r="S602" s="206" t="str">
        <f t="shared" si="283"/>
        <v>HL</v>
      </c>
      <c r="T602" s="206" t="str">
        <f t="shared" si="284"/>
        <v>HW</v>
      </c>
      <c r="U602" s="206" t="str">
        <f t="shared" si="285"/>
        <v>O</v>
      </c>
      <c r="V602" s="206" t="str">
        <f t="shared" si="286"/>
        <v>U</v>
      </c>
      <c r="W602" s="206" t="str">
        <f t="shared" si="287"/>
        <v>U</v>
      </c>
      <c r="X602" s="206" t="str">
        <f t="shared" si="288"/>
        <v>O</v>
      </c>
      <c r="Y602" s="206"/>
      <c r="Z602" s="206">
        <v>62</v>
      </c>
      <c r="AA602" s="206" t="str">
        <f t="shared" si="278"/>
        <v>MEM/HOU</v>
      </c>
    </row>
    <row r="603" spans="1:32" ht="17.100000000000001" x14ac:dyDescent="0.45">
      <c r="A603" s="206">
        <v>200115</v>
      </c>
      <c r="B603" s="44">
        <v>0.52083333333333337</v>
      </c>
      <c r="C603" s="206" t="s">
        <v>425</v>
      </c>
      <c r="D603" s="206" t="s">
        <v>397</v>
      </c>
      <c r="E603" s="206">
        <v>26</v>
      </c>
      <c r="F603" s="206">
        <v>21</v>
      </c>
      <c r="G603" s="206">
        <v>24</v>
      </c>
      <c r="H603" s="206">
        <v>26</v>
      </c>
      <c r="I603" s="206"/>
      <c r="J603" s="206">
        <v>36</v>
      </c>
      <c r="K603" s="206">
        <v>29</v>
      </c>
      <c r="L603" s="206">
        <v>29</v>
      </c>
      <c r="M603" s="206">
        <v>30</v>
      </c>
      <c r="N603" s="206" t="s">
        <v>427</v>
      </c>
      <c r="O603" s="206">
        <f t="shared" si="279"/>
        <v>97</v>
      </c>
      <c r="P603" s="206">
        <f t="shared" si="280"/>
        <v>124</v>
      </c>
      <c r="Q603" s="206" t="str">
        <f t="shared" si="281"/>
        <v>HL</v>
      </c>
      <c r="R603" s="206" t="str">
        <f t="shared" si="282"/>
        <v>HL</v>
      </c>
      <c r="S603" s="206" t="str">
        <f t="shared" si="283"/>
        <v>HL</v>
      </c>
      <c r="T603" s="206" t="str">
        <f t="shared" si="284"/>
        <v>HL</v>
      </c>
      <c r="U603" s="206" t="str">
        <f t="shared" si="285"/>
        <v>O</v>
      </c>
      <c r="V603" s="206" t="str">
        <f t="shared" si="286"/>
        <v>U</v>
      </c>
      <c r="W603" s="206" t="str">
        <f t="shared" si="287"/>
        <v>U</v>
      </c>
      <c r="X603" s="206" t="str">
        <f t="shared" si="288"/>
        <v>U</v>
      </c>
      <c r="Y603" s="206"/>
      <c r="Z603" s="206">
        <v>57.5</v>
      </c>
      <c r="AA603" s="206" t="str">
        <f t="shared" si="278"/>
        <v>GS/DAL</v>
      </c>
    </row>
    <row r="604" spans="1:32" x14ac:dyDescent="0.3">
      <c r="A604" s="206">
        <v>200115</v>
      </c>
      <c r="B604" s="44">
        <v>0.52083333333333337</v>
      </c>
      <c r="C604" s="206" t="s">
        <v>415</v>
      </c>
      <c r="D604" s="206" t="s">
        <v>402</v>
      </c>
      <c r="E604" s="206">
        <v>31</v>
      </c>
      <c r="F604" s="206">
        <v>35</v>
      </c>
      <c r="G604" s="206">
        <v>40</v>
      </c>
      <c r="H604" s="206">
        <v>22</v>
      </c>
      <c r="I604" s="206"/>
      <c r="J604" s="206">
        <v>26</v>
      </c>
      <c r="K604" s="206">
        <v>24</v>
      </c>
      <c r="L604" s="206">
        <v>21</v>
      </c>
      <c r="M604" s="206">
        <v>32</v>
      </c>
      <c r="N604" s="206" t="s">
        <v>427</v>
      </c>
      <c r="O604" s="206">
        <f t="shared" si="279"/>
        <v>128</v>
      </c>
      <c r="P604" s="206">
        <f t="shared" si="280"/>
        <v>103</v>
      </c>
      <c r="Q604" s="206" t="str">
        <f t="shared" si="281"/>
        <v>HW</v>
      </c>
      <c r="R604" s="206" t="str">
        <f t="shared" si="282"/>
        <v>HW</v>
      </c>
      <c r="S604" s="206" t="str">
        <f t="shared" si="283"/>
        <v>HW</v>
      </c>
      <c r="T604" s="206" t="str">
        <f t="shared" si="284"/>
        <v>HL</v>
      </c>
      <c r="U604" s="206" t="str">
        <f t="shared" si="285"/>
        <v>O</v>
      </c>
      <c r="V604" s="206" t="str">
        <f t="shared" si="286"/>
        <v>O</v>
      </c>
      <c r="W604" s="206" t="str">
        <f t="shared" si="287"/>
        <v>O</v>
      </c>
      <c r="X604" s="206" t="str">
        <f t="shared" si="288"/>
        <v>U</v>
      </c>
      <c r="Y604" s="206"/>
      <c r="Z604" s="206">
        <v>55</v>
      </c>
      <c r="AA604" s="206" t="str">
        <f t="shared" si="278"/>
        <v>LAC/CLE</v>
      </c>
    </row>
    <row r="605" spans="1:32" x14ac:dyDescent="0.3">
      <c r="A605" s="206">
        <v>200116</v>
      </c>
      <c r="B605" s="44">
        <v>0.375</v>
      </c>
      <c r="C605" s="206" t="s">
        <v>421</v>
      </c>
      <c r="D605" s="206" t="s">
        <v>422</v>
      </c>
      <c r="E605" s="206">
        <v>24</v>
      </c>
      <c r="F605" s="206">
        <v>35</v>
      </c>
      <c r="G605" s="206">
        <v>23</v>
      </c>
      <c r="H605" s="206">
        <v>21</v>
      </c>
      <c r="I605" s="206"/>
      <c r="J605" s="206">
        <v>27</v>
      </c>
      <c r="K605" s="206">
        <v>30</v>
      </c>
      <c r="L605" s="206">
        <v>34</v>
      </c>
      <c r="M605" s="206">
        <v>25</v>
      </c>
      <c r="N605" s="206"/>
      <c r="O605" s="256">
        <f t="shared" ref="O605:O668" si="289">SUM(E605:I605)</f>
        <v>103</v>
      </c>
      <c r="P605" s="256">
        <f t="shared" ref="P605:P668" si="290">SUM(J605:N605)</f>
        <v>116</v>
      </c>
      <c r="Q605" s="256" t="str">
        <f t="shared" ref="Q605:Q668" si="291">IF(E605=J605,"TT",IF(E605&gt;J605,"HW","HL"))</f>
        <v>HL</v>
      </c>
      <c r="R605" s="256" t="str">
        <f t="shared" ref="R605:R668" si="292">IF(F605=K605,"TT",IF(F605&gt;K605,"HW","HL"))</f>
        <v>HW</v>
      </c>
      <c r="S605" s="256" t="str">
        <f t="shared" ref="S605:S668" si="293">IF(G605=L605,"TT",IF(G605&gt;L605,"HW","HL"))</f>
        <v>HL</v>
      </c>
      <c r="T605" s="256" t="str">
        <f t="shared" ref="T605:T668" si="294">IF(H605=M605,"TT",IF(H605&gt;M605,"HW","HL"))</f>
        <v>HL</v>
      </c>
      <c r="U605" s="256" t="str">
        <f t="shared" ref="U605:U668" si="295">IF(SUM(E605,J605)=$Z605,"T",IF(SUM(E605,J605)&gt;$Z605,"O","U"))</f>
        <v>U</v>
      </c>
      <c r="V605" s="256" t="str">
        <f t="shared" ref="V605:V668" si="296">IF(SUM(F605,K605)=$Z605,"T",IF(SUM(F605,K605)&gt;$Z605,"O","U"))</f>
        <v>O</v>
      </c>
      <c r="W605" s="256" t="str">
        <f t="shared" ref="W605:W668" si="297">IF(SUM(G605,L605)=$Z605,"T",IF(SUM(G605,L605)&gt;$Z605,"O","U"))</f>
        <v>O</v>
      </c>
      <c r="X605" s="256" t="str">
        <f t="shared" ref="X605:X668" si="298">IF(SUM(H605,M605)=$Z605,"T",IF(SUM(H605,M605)&gt;$Z605,"O","U"))</f>
        <v>U</v>
      </c>
      <c r="Y605" s="256">
        <v>218.5</v>
      </c>
      <c r="Z605" s="258">
        <v>55</v>
      </c>
      <c r="AA605" s="256" t="str">
        <f t="shared" si="278"/>
        <v>BOS/DET</v>
      </c>
      <c r="AE605" s="258"/>
    </row>
    <row r="606" spans="1:32" x14ac:dyDescent="0.3">
      <c r="A606" s="206">
        <v>200116</v>
      </c>
      <c r="B606" s="44">
        <v>0.375</v>
      </c>
      <c r="C606" s="11" t="s">
        <v>401</v>
      </c>
      <c r="D606" s="11" t="s">
        <v>407</v>
      </c>
      <c r="E606" s="243">
        <v>25</v>
      </c>
      <c r="F606" s="243">
        <v>29</v>
      </c>
      <c r="G606" s="243">
        <v>32</v>
      </c>
      <c r="H606" s="243">
        <v>31</v>
      </c>
      <c r="I606" s="243"/>
      <c r="J606" s="243">
        <v>28</v>
      </c>
      <c r="K606" s="243">
        <v>29</v>
      </c>
      <c r="L606" s="243">
        <v>33</v>
      </c>
      <c r="M606" s="243">
        <v>16</v>
      </c>
      <c r="N606" s="243" t="s">
        <v>427</v>
      </c>
      <c r="O606" s="256">
        <f t="shared" si="289"/>
        <v>117</v>
      </c>
      <c r="P606" s="256">
        <f t="shared" si="290"/>
        <v>106</v>
      </c>
      <c r="Q606" s="256" t="str">
        <f t="shared" si="291"/>
        <v>HL</v>
      </c>
      <c r="R606" s="256" t="str">
        <f t="shared" si="292"/>
        <v>TT</v>
      </c>
      <c r="S606" s="256" t="str">
        <f t="shared" si="293"/>
        <v>HL</v>
      </c>
      <c r="T606" s="256" t="str">
        <f t="shared" si="294"/>
        <v>HW</v>
      </c>
      <c r="U606" s="256" t="str">
        <f t="shared" si="295"/>
        <v>U</v>
      </c>
      <c r="V606" s="256" t="str">
        <f t="shared" si="296"/>
        <v>O</v>
      </c>
      <c r="W606" s="256" t="str">
        <f t="shared" si="297"/>
        <v>O</v>
      </c>
      <c r="X606" s="256" t="str">
        <f t="shared" si="298"/>
        <v>U</v>
      </c>
      <c r="Y606" s="256">
        <v>222</v>
      </c>
      <c r="Z606" s="258">
        <v>56</v>
      </c>
      <c r="AA606" s="256" t="str">
        <f t="shared" si="278"/>
        <v>PHI/BKN</v>
      </c>
      <c r="AC606" s="256"/>
      <c r="AD606" s="256"/>
      <c r="AE606" s="258"/>
      <c r="AF606" s="256"/>
    </row>
    <row r="607" spans="1:32" x14ac:dyDescent="0.3">
      <c r="A607" s="206">
        <v>200116</v>
      </c>
      <c r="B607" s="44">
        <v>0.39583333333333331</v>
      </c>
      <c r="C607" s="206" t="s">
        <v>411</v>
      </c>
      <c r="D607" s="206" t="s">
        <v>426</v>
      </c>
      <c r="E607" s="240">
        <v>24</v>
      </c>
      <c r="F607" s="240">
        <v>27</v>
      </c>
      <c r="G607" s="240">
        <v>24</v>
      </c>
      <c r="H607" s="240">
        <v>31</v>
      </c>
      <c r="I607" s="240"/>
      <c r="J607" s="240">
        <v>17</v>
      </c>
      <c r="K607" s="240">
        <v>34</v>
      </c>
      <c r="L607" s="240">
        <v>26</v>
      </c>
      <c r="M607" s="240">
        <v>23</v>
      </c>
      <c r="N607" s="240" t="s">
        <v>427</v>
      </c>
      <c r="O607" s="256">
        <f t="shared" si="289"/>
        <v>106</v>
      </c>
      <c r="P607" s="256">
        <f t="shared" si="290"/>
        <v>100</v>
      </c>
      <c r="Q607" s="256" t="str">
        <f t="shared" si="291"/>
        <v>HW</v>
      </c>
      <c r="R607" s="256" t="str">
        <f t="shared" si="292"/>
        <v>HL</v>
      </c>
      <c r="S607" s="256" t="str">
        <f t="shared" si="293"/>
        <v>HL</v>
      </c>
      <c r="T607" s="256" t="str">
        <f t="shared" si="294"/>
        <v>HW</v>
      </c>
      <c r="U607" s="256" t="str">
        <f t="shared" si="295"/>
        <v>U</v>
      </c>
      <c r="V607" s="256" t="str">
        <f t="shared" si="296"/>
        <v>O</v>
      </c>
      <c r="W607" s="256" t="str">
        <f t="shared" si="297"/>
        <v>U</v>
      </c>
      <c r="X607" s="256" t="str">
        <f t="shared" si="298"/>
        <v>U</v>
      </c>
      <c r="Y607" s="256">
        <v>220</v>
      </c>
      <c r="Z607" s="258">
        <v>55.5</v>
      </c>
      <c r="AA607" s="256" t="str">
        <f t="shared" si="278"/>
        <v>MIA/SAS</v>
      </c>
      <c r="AC607" s="256"/>
      <c r="AD607" s="256"/>
      <c r="AE607" s="258"/>
      <c r="AF607" s="256"/>
    </row>
    <row r="608" spans="1:32" x14ac:dyDescent="0.3">
      <c r="A608" s="206">
        <v>200116</v>
      </c>
      <c r="B608" s="44">
        <v>0.41666666666666669</v>
      </c>
      <c r="C608" s="206" t="s">
        <v>436</v>
      </c>
      <c r="D608" s="206" t="s">
        <v>414</v>
      </c>
      <c r="E608">
        <v>24</v>
      </c>
      <c r="F608">
        <v>31</v>
      </c>
      <c r="G608">
        <v>30</v>
      </c>
      <c r="H608">
        <v>30</v>
      </c>
      <c r="J608">
        <v>26</v>
      </c>
      <c r="K608">
        <v>34</v>
      </c>
      <c r="L608">
        <v>20</v>
      </c>
      <c r="M608">
        <v>26</v>
      </c>
      <c r="O608" s="256">
        <f t="shared" si="289"/>
        <v>115</v>
      </c>
      <c r="P608" s="256">
        <f t="shared" si="290"/>
        <v>106</v>
      </c>
      <c r="Q608" s="256" t="str">
        <f t="shared" si="291"/>
        <v>HL</v>
      </c>
      <c r="R608" s="256" t="str">
        <f t="shared" si="292"/>
        <v>HL</v>
      </c>
      <c r="S608" s="256" t="str">
        <f t="shared" si="293"/>
        <v>HW</v>
      </c>
      <c r="T608" s="256" t="str">
        <f t="shared" si="294"/>
        <v>HW</v>
      </c>
      <c r="U608" s="256" t="str">
        <f t="shared" si="295"/>
        <v>U</v>
      </c>
      <c r="V608" s="256" t="str">
        <f t="shared" si="296"/>
        <v>O</v>
      </c>
      <c r="W608" s="256" t="str">
        <f t="shared" si="297"/>
        <v>U</v>
      </c>
      <c r="X608" s="256" t="str">
        <f t="shared" si="298"/>
        <v>U</v>
      </c>
      <c r="Y608" s="256">
        <v>229.5</v>
      </c>
      <c r="Z608" s="258">
        <v>57.5</v>
      </c>
      <c r="AA608" s="256" t="str">
        <f t="shared" si="278"/>
        <v>CHI/WAS</v>
      </c>
      <c r="AC608" s="256"/>
      <c r="AD608" s="256"/>
      <c r="AE608" s="258"/>
      <c r="AF608" s="256"/>
    </row>
    <row r="609" spans="1:32" x14ac:dyDescent="0.3">
      <c r="A609" s="206">
        <v>200116</v>
      </c>
      <c r="B609" s="44">
        <v>0.41666666666666669</v>
      </c>
      <c r="C609" s="206" t="s">
        <v>420</v>
      </c>
      <c r="D609" s="206" t="s">
        <v>400</v>
      </c>
      <c r="E609" s="241">
        <v>30</v>
      </c>
      <c r="F609" s="241">
        <v>29</v>
      </c>
      <c r="G609" s="241">
        <v>18</v>
      </c>
      <c r="H609" s="241">
        <v>22</v>
      </c>
      <c r="I609" s="241"/>
      <c r="J609" s="241">
        <v>24</v>
      </c>
      <c r="K609" s="241">
        <v>30</v>
      </c>
      <c r="L609" s="241">
        <v>22</v>
      </c>
      <c r="M609" s="241">
        <v>28</v>
      </c>
      <c r="N609" s="241" t="s">
        <v>427</v>
      </c>
      <c r="O609" s="256">
        <f t="shared" si="289"/>
        <v>99</v>
      </c>
      <c r="P609" s="256">
        <f t="shared" si="290"/>
        <v>104</v>
      </c>
      <c r="Q609" s="256" t="str">
        <f t="shared" si="291"/>
        <v>HW</v>
      </c>
      <c r="R609" s="256" t="str">
        <f t="shared" si="292"/>
        <v>HL</v>
      </c>
      <c r="S609" s="256" t="str">
        <f t="shared" si="293"/>
        <v>HL</v>
      </c>
      <c r="T609" s="256" t="str">
        <f t="shared" si="294"/>
        <v>HL</v>
      </c>
      <c r="U609" s="256" t="str">
        <f t="shared" si="295"/>
        <v>U</v>
      </c>
      <c r="V609" s="256" t="str">
        <f t="shared" si="296"/>
        <v>O</v>
      </c>
      <c r="W609" s="256" t="str">
        <f t="shared" si="297"/>
        <v>U</v>
      </c>
      <c r="X609" s="256" t="str">
        <f t="shared" si="298"/>
        <v>U</v>
      </c>
      <c r="Y609" s="256">
        <v>218.5</v>
      </c>
      <c r="Z609" s="258">
        <v>55</v>
      </c>
      <c r="AA609" s="256" t="str">
        <f t="shared" si="278"/>
        <v>MIN/IND</v>
      </c>
      <c r="AC609" s="256"/>
      <c r="AD609" s="256"/>
      <c r="AE609" s="258"/>
      <c r="AF609" s="256"/>
    </row>
    <row r="610" spans="1:32" x14ac:dyDescent="0.3">
      <c r="A610" s="206">
        <v>200116</v>
      </c>
      <c r="B610" s="44">
        <v>0.41666666666666669</v>
      </c>
      <c r="C610" s="14" t="s">
        <v>418</v>
      </c>
      <c r="D610" s="14" t="s">
        <v>413</v>
      </c>
      <c r="E610" s="242">
        <v>25</v>
      </c>
      <c r="F610" s="242">
        <v>30</v>
      </c>
      <c r="G610" s="242">
        <v>28</v>
      </c>
      <c r="H610" s="242">
        <v>38</v>
      </c>
      <c r="I610" s="242"/>
      <c r="J610" s="242">
        <v>38</v>
      </c>
      <c r="K610" s="242">
        <v>35</v>
      </c>
      <c r="L610" s="242">
        <v>24</v>
      </c>
      <c r="M610" s="242">
        <v>33</v>
      </c>
      <c r="N610" s="242" t="s">
        <v>427</v>
      </c>
      <c r="O610" s="256">
        <f t="shared" si="289"/>
        <v>121</v>
      </c>
      <c r="P610" s="256">
        <f t="shared" si="290"/>
        <v>130</v>
      </c>
      <c r="Q610" s="256" t="str">
        <f t="shared" si="291"/>
        <v>HL</v>
      </c>
      <c r="R610" s="256" t="str">
        <f t="shared" si="292"/>
        <v>HL</v>
      </c>
      <c r="S610" s="256" t="str">
        <f t="shared" si="293"/>
        <v>HW</v>
      </c>
      <c r="T610" s="256" t="str">
        <f t="shared" si="294"/>
        <v>HW</v>
      </c>
      <c r="U610" s="256" t="str">
        <f t="shared" si="295"/>
        <v>O</v>
      </c>
      <c r="V610" s="256" t="str">
        <f t="shared" si="296"/>
        <v>O</v>
      </c>
      <c r="W610" s="256" t="str">
        <f t="shared" si="297"/>
        <v>U</v>
      </c>
      <c r="X610" s="256" t="str">
        <f t="shared" si="298"/>
        <v>O</v>
      </c>
      <c r="Y610" s="256">
        <v>213.5</v>
      </c>
      <c r="Z610" s="258">
        <v>53.5</v>
      </c>
      <c r="AA610" s="256" t="str">
        <f t="shared" si="278"/>
        <v>OKC/TOR</v>
      </c>
      <c r="AC610" s="256"/>
      <c r="AD610" s="256"/>
      <c r="AE610" s="258"/>
      <c r="AF610" s="256"/>
    </row>
    <row r="611" spans="1:32" x14ac:dyDescent="0.3">
      <c r="A611" s="206">
        <v>200116</v>
      </c>
      <c r="B611" s="207">
        <v>0.45833333333333331</v>
      </c>
      <c r="C611" s="206" t="s">
        <v>437</v>
      </c>
      <c r="D611" s="206" t="s">
        <v>409</v>
      </c>
      <c r="E611">
        <v>28</v>
      </c>
      <c r="F611">
        <v>29</v>
      </c>
      <c r="G611">
        <v>17</v>
      </c>
      <c r="H611">
        <v>26</v>
      </c>
      <c r="J611">
        <v>25</v>
      </c>
      <c r="K611">
        <v>17</v>
      </c>
      <c r="L611">
        <v>27</v>
      </c>
      <c r="M611">
        <v>17</v>
      </c>
      <c r="O611" s="256">
        <f t="shared" si="289"/>
        <v>100</v>
      </c>
      <c r="P611" s="256">
        <f t="shared" si="290"/>
        <v>86</v>
      </c>
      <c r="Q611" s="256" t="str">
        <f t="shared" si="291"/>
        <v>HW</v>
      </c>
      <c r="R611" s="256" t="str">
        <f t="shared" si="292"/>
        <v>HW</v>
      </c>
      <c r="S611" s="256" t="str">
        <f t="shared" si="293"/>
        <v>HL</v>
      </c>
      <c r="T611" s="256" t="str">
        <f t="shared" si="294"/>
        <v>HW</v>
      </c>
      <c r="U611" s="256" t="str">
        <f t="shared" si="295"/>
        <v>T</v>
      </c>
      <c r="V611" s="256" t="str">
        <f t="shared" si="296"/>
        <v>U</v>
      </c>
      <c r="W611" s="256" t="str">
        <f t="shared" si="297"/>
        <v>U</v>
      </c>
      <c r="X611" s="256" t="str">
        <f t="shared" si="298"/>
        <v>U</v>
      </c>
      <c r="Y611" s="256">
        <v>210</v>
      </c>
      <c r="Z611" s="258">
        <v>53</v>
      </c>
      <c r="AA611" s="256" t="str">
        <f t="shared" si="278"/>
        <v>DEN/CHA</v>
      </c>
      <c r="AC611" s="256"/>
      <c r="AD611" s="256"/>
      <c r="AE611" s="258"/>
      <c r="AF611" s="256"/>
    </row>
    <row r="612" spans="1:32" x14ac:dyDescent="0.3">
      <c r="A612" s="206">
        <v>200116</v>
      </c>
      <c r="B612" s="207">
        <v>0.47916666666666669</v>
      </c>
      <c r="C612" s="206" t="s">
        <v>403</v>
      </c>
      <c r="D612" s="206" t="s">
        <v>417</v>
      </c>
      <c r="E612">
        <v>26</v>
      </c>
      <c r="F612">
        <v>21</v>
      </c>
      <c r="G612">
        <v>30</v>
      </c>
      <c r="H612">
        <v>30</v>
      </c>
      <c r="J612">
        <v>28</v>
      </c>
      <c r="K612">
        <v>32</v>
      </c>
      <c r="L612">
        <v>30</v>
      </c>
      <c r="M612">
        <v>27</v>
      </c>
      <c r="O612" s="256">
        <f t="shared" si="289"/>
        <v>107</v>
      </c>
      <c r="P612" s="256">
        <f t="shared" si="290"/>
        <v>117</v>
      </c>
      <c r="Q612" s="256" t="str">
        <f t="shared" si="291"/>
        <v>HL</v>
      </c>
      <c r="R612" s="256" t="str">
        <f t="shared" si="292"/>
        <v>HL</v>
      </c>
      <c r="S612" s="256" t="str">
        <f t="shared" si="293"/>
        <v>TT</v>
      </c>
      <c r="T612" s="256" t="str">
        <f t="shared" si="294"/>
        <v>HW</v>
      </c>
      <c r="U612" s="256" t="str">
        <f t="shared" si="295"/>
        <v>U</v>
      </c>
      <c r="V612" s="256" t="str">
        <f t="shared" si="296"/>
        <v>U</v>
      </c>
      <c r="W612" s="256" t="str">
        <f t="shared" si="297"/>
        <v>O</v>
      </c>
      <c r="X612" s="256" t="str">
        <f t="shared" si="298"/>
        <v>U</v>
      </c>
      <c r="Y612" s="256">
        <v>236.5</v>
      </c>
      <c r="Z612" s="258">
        <v>59.5</v>
      </c>
      <c r="AA612" s="256" t="str">
        <f t="shared" si="278"/>
        <v>HOU/POR</v>
      </c>
      <c r="AC612" s="256"/>
      <c r="AD612" s="256"/>
      <c r="AE612" s="258"/>
      <c r="AF612" s="256"/>
    </row>
    <row r="613" spans="1:32" x14ac:dyDescent="0.3">
      <c r="A613" s="206">
        <v>200116</v>
      </c>
      <c r="B613" s="44">
        <v>0.5</v>
      </c>
      <c r="C613" s="11" t="s">
        <v>416</v>
      </c>
      <c r="D613" s="11" t="s">
        <v>397</v>
      </c>
      <c r="E613" s="244">
        <v>31</v>
      </c>
      <c r="F613" s="244">
        <v>36</v>
      </c>
      <c r="G613" s="244">
        <v>26</v>
      </c>
      <c r="H613" s="244">
        <v>30</v>
      </c>
      <c r="I613" s="244"/>
      <c r="J613" s="244">
        <v>35</v>
      </c>
      <c r="K613" s="244">
        <v>36</v>
      </c>
      <c r="L613" s="244">
        <v>37</v>
      </c>
      <c r="M613" s="244">
        <v>19</v>
      </c>
      <c r="N613" s="244" t="s">
        <v>427</v>
      </c>
      <c r="O613" s="256">
        <f t="shared" si="289"/>
        <v>123</v>
      </c>
      <c r="P613" s="256">
        <f t="shared" si="290"/>
        <v>127</v>
      </c>
      <c r="Q613" s="256" t="str">
        <f t="shared" si="291"/>
        <v>HL</v>
      </c>
      <c r="R613" s="256" t="str">
        <f t="shared" si="292"/>
        <v>TT</v>
      </c>
      <c r="S613" s="256" t="str">
        <f t="shared" si="293"/>
        <v>HL</v>
      </c>
      <c r="T613" s="256" t="str">
        <f t="shared" si="294"/>
        <v>HW</v>
      </c>
      <c r="U613" s="256" t="str">
        <f t="shared" si="295"/>
        <v>O</v>
      </c>
      <c r="V613" s="256" t="str">
        <f t="shared" si="296"/>
        <v>O</v>
      </c>
      <c r="W613" s="256" t="str">
        <f t="shared" si="297"/>
        <v>O</v>
      </c>
      <c r="X613" s="256" t="str">
        <f t="shared" si="298"/>
        <v>U</v>
      </c>
      <c r="Y613" s="256">
        <v>225.5</v>
      </c>
      <c r="Z613" s="258">
        <v>56.5</v>
      </c>
      <c r="AA613" s="256" t="str">
        <f t="shared" si="278"/>
        <v>SAC/DAL</v>
      </c>
      <c r="AC613" s="256"/>
      <c r="AD613" s="256"/>
      <c r="AE613" s="258"/>
      <c r="AF613" s="256"/>
    </row>
    <row r="614" spans="1:32" x14ac:dyDescent="0.3">
      <c r="A614" s="209">
        <v>200116</v>
      </c>
      <c r="B614" s="44">
        <v>0.52083333333333337</v>
      </c>
      <c r="C614" s="11" t="s">
        <v>419</v>
      </c>
      <c r="D614" s="11" t="s">
        <v>424</v>
      </c>
      <c r="E614" s="245">
        <v>29</v>
      </c>
      <c r="F614" s="245">
        <v>29</v>
      </c>
      <c r="G614" s="245">
        <v>30</v>
      </c>
      <c r="H614" s="245">
        <v>30</v>
      </c>
      <c r="I614" s="245"/>
      <c r="J614" s="245">
        <v>35</v>
      </c>
      <c r="K614" s="245">
        <v>30</v>
      </c>
      <c r="L614" s="245">
        <v>24</v>
      </c>
      <c r="M614" s="245">
        <v>30</v>
      </c>
      <c r="N614" s="245" t="s">
        <v>427</v>
      </c>
      <c r="O614" s="256">
        <f t="shared" si="289"/>
        <v>118</v>
      </c>
      <c r="P614" s="256">
        <f t="shared" si="290"/>
        <v>119</v>
      </c>
      <c r="Q614" s="256" t="str">
        <f t="shared" si="291"/>
        <v>HL</v>
      </c>
      <c r="R614" s="256" t="str">
        <f t="shared" si="292"/>
        <v>HL</v>
      </c>
      <c r="S614" s="256" t="str">
        <f t="shared" si="293"/>
        <v>HW</v>
      </c>
      <c r="T614" s="256" t="str">
        <f t="shared" si="294"/>
        <v>TT</v>
      </c>
      <c r="U614" s="256" t="str">
        <f t="shared" si="295"/>
        <v>O</v>
      </c>
      <c r="V614" s="256" t="str">
        <f t="shared" si="296"/>
        <v>O</v>
      </c>
      <c r="W614" s="256" t="str">
        <f t="shared" si="297"/>
        <v>O</v>
      </c>
      <c r="X614" s="256" t="str">
        <f t="shared" si="298"/>
        <v>O</v>
      </c>
      <c r="Y614" s="256">
        <v>209.5</v>
      </c>
      <c r="Z614" s="258">
        <v>52.5</v>
      </c>
      <c r="AA614" s="256" t="str">
        <f t="shared" si="278"/>
        <v>LAL/ORL</v>
      </c>
      <c r="AC614" s="256"/>
      <c r="AD614" s="256"/>
      <c r="AE614" s="258"/>
      <c r="AF614" s="256"/>
    </row>
    <row r="615" spans="1:32" x14ac:dyDescent="0.3">
      <c r="A615" s="209">
        <v>200117</v>
      </c>
      <c r="B615" s="211">
        <v>0.39583333333333331</v>
      </c>
      <c r="C615" s="210" t="s">
        <v>399</v>
      </c>
      <c r="D615" s="210" t="s">
        <v>404</v>
      </c>
      <c r="E615">
        <v>32</v>
      </c>
      <c r="F615">
        <v>20</v>
      </c>
      <c r="G615">
        <v>27</v>
      </c>
      <c r="H615">
        <v>19</v>
      </c>
      <c r="J615">
        <v>25</v>
      </c>
      <c r="K615">
        <v>33</v>
      </c>
      <c r="L615">
        <v>32</v>
      </c>
      <c r="M615">
        <v>31</v>
      </c>
      <c r="O615" s="256">
        <f t="shared" si="289"/>
        <v>98</v>
      </c>
      <c r="P615" s="256">
        <f t="shared" si="290"/>
        <v>121</v>
      </c>
      <c r="Q615" s="256" t="str">
        <f t="shared" si="291"/>
        <v>HW</v>
      </c>
      <c r="R615" s="256" t="str">
        <f t="shared" si="292"/>
        <v>HL</v>
      </c>
      <c r="S615" s="256" t="str">
        <f t="shared" si="293"/>
        <v>HL</v>
      </c>
      <c r="T615" s="256" t="str">
        <f t="shared" si="294"/>
        <v>HL</v>
      </c>
      <c r="U615" s="256" t="str">
        <f t="shared" si="295"/>
        <v>T</v>
      </c>
      <c r="V615" s="256" t="str">
        <f t="shared" si="296"/>
        <v>U</v>
      </c>
      <c r="W615" s="256" t="str">
        <f t="shared" si="297"/>
        <v>O</v>
      </c>
      <c r="X615" s="256" t="str">
        <f t="shared" si="298"/>
        <v>U</v>
      </c>
      <c r="Y615" s="256">
        <v>226</v>
      </c>
      <c r="Z615" s="258">
        <v>57</v>
      </c>
      <c r="AA615" s="256" t="str">
        <f t="shared" si="278"/>
        <v>NYK/PHO</v>
      </c>
      <c r="AC615" s="256"/>
      <c r="AD615" s="256"/>
      <c r="AE615" s="258"/>
      <c r="AF615" s="256"/>
    </row>
    <row r="616" spans="1:32" x14ac:dyDescent="0.3">
      <c r="A616" s="209">
        <v>200117</v>
      </c>
      <c r="B616" s="211">
        <v>0.41666666666666669</v>
      </c>
      <c r="C616" s="210" t="s">
        <v>398</v>
      </c>
      <c r="D616" s="210" t="s">
        <v>405</v>
      </c>
      <c r="E616">
        <v>25</v>
      </c>
      <c r="F616">
        <v>31</v>
      </c>
      <c r="G616">
        <v>31</v>
      </c>
      <c r="H616">
        <v>35</v>
      </c>
      <c r="I616">
        <v>16</v>
      </c>
      <c r="J616">
        <v>28</v>
      </c>
      <c r="K616">
        <v>21</v>
      </c>
      <c r="L616">
        <v>42</v>
      </c>
      <c r="M616">
        <v>31</v>
      </c>
      <c r="N616" s="2">
        <v>10</v>
      </c>
      <c r="O616" s="256">
        <f t="shared" si="289"/>
        <v>138</v>
      </c>
      <c r="P616" s="256">
        <f t="shared" si="290"/>
        <v>132</v>
      </c>
      <c r="Q616" s="256" t="str">
        <f t="shared" si="291"/>
        <v>HL</v>
      </c>
      <c r="R616" s="256" t="str">
        <f t="shared" si="292"/>
        <v>HW</v>
      </c>
      <c r="S616" s="256" t="str">
        <f t="shared" si="293"/>
        <v>HL</v>
      </c>
      <c r="T616" s="256" t="str">
        <f t="shared" si="294"/>
        <v>HW</v>
      </c>
      <c r="U616" s="256" t="str">
        <f t="shared" si="295"/>
        <v>U</v>
      </c>
      <c r="V616" s="256" t="str">
        <f t="shared" si="296"/>
        <v>U</v>
      </c>
      <c r="W616" s="256" t="str">
        <f t="shared" si="297"/>
        <v>O</v>
      </c>
      <c r="X616" s="256" t="str">
        <f t="shared" si="298"/>
        <v>O</v>
      </c>
      <c r="Y616" s="256">
        <v>225.5</v>
      </c>
      <c r="Z616" s="258">
        <v>56.5</v>
      </c>
      <c r="AA616" s="256" t="str">
        <f t="shared" si="278"/>
        <v>NO/UTA</v>
      </c>
      <c r="AC616" s="256"/>
      <c r="AD616" s="256"/>
      <c r="AE616" s="258"/>
      <c r="AF616" s="256"/>
    </row>
    <row r="617" spans="1:32" x14ac:dyDescent="0.3">
      <c r="A617" s="209">
        <v>200117</v>
      </c>
      <c r="B617" s="211">
        <v>0.41666666666666669</v>
      </c>
      <c r="C617" s="210" t="s">
        <v>423</v>
      </c>
      <c r="D617" s="210" t="s">
        <v>421</v>
      </c>
      <c r="E617">
        <v>36</v>
      </c>
      <c r="F617">
        <v>40</v>
      </c>
      <c r="G617">
        <v>30</v>
      </c>
      <c r="H617">
        <v>22</v>
      </c>
      <c r="J617">
        <v>20</v>
      </c>
      <c r="K617">
        <v>38</v>
      </c>
      <c r="L617">
        <v>29</v>
      </c>
      <c r="M617">
        <v>36</v>
      </c>
      <c r="O617" s="256">
        <f t="shared" si="289"/>
        <v>128</v>
      </c>
      <c r="P617" s="256">
        <f t="shared" si="290"/>
        <v>123</v>
      </c>
      <c r="Q617" s="256" t="str">
        <f t="shared" si="291"/>
        <v>HW</v>
      </c>
      <c r="R617" s="256" t="str">
        <f t="shared" si="292"/>
        <v>HW</v>
      </c>
      <c r="S617" s="256" t="str">
        <f t="shared" si="293"/>
        <v>HW</v>
      </c>
      <c r="T617" s="256" t="str">
        <f t="shared" si="294"/>
        <v>HL</v>
      </c>
      <c r="U617" s="256" t="str">
        <f t="shared" si="295"/>
        <v>U</v>
      </c>
      <c r="V617" s="256" t="str">
        <f t="shared" si="296"/>
        <v>O</v>
      </c>
      <c r="W617" s="256" t="str">
        <f t="shared" si="297"/>
        <v>O</v>
      </c>
      <c r="X617" s="256" t="str">
        <f t="shared" si="298"/>
        <v>O</v>
      </c>
      <c r="Y617" s="256">
        <v>227.5</v>
      </c>
      <c r="Z617" s="258">
        <v>57</v>
      </c>
      <c r="AA617" s="256" t="str">
        <f t="shared" si="278"/>
        <v>MIL/BOS</v>
      </c>
      <c r="AC617" s="256"/>
      <c r="AD617" s="256"/>
      <c r="AE617" s="258"/>
      <c r="AF617" s="256"/>
    </row>
    <row r="618" spans="1:32" x14ac:dyDescent="0.3">
      <c r="A618" s="209">
        <v>200117</v>
      </c>
      <c r="B618" s="211">
        <v>0.52083333333333337</v>
      </c>
      <c r="C618" s="210" t="s">
        <v>425</v>
      </c>
      <c r="D618" s="210" t="s">
        <v>408</v>
      </c>
      <c r="E618">
        <v>34</v>
      </c>
      <c r="F618">
        <v>28</v>
      </c>
      <c r="G618">
        <v>23</v>
      </c>
      <c r="H618">
        <v>28</v>
      </c>
      <c r="I618">
        <v>18</v>
      </c>
      <c r="J618">
        <v>19</v>
      </c>
      <c r="K618">
        <v>26</v>
      </c>
      <c r="L618">
        <v>28</v>
      </c>
      <c r="M618">
        <v>40</v>
      </c>
      <c r="N618" s="2">
        <v>21</v>
      </c>
      <c r="O618" s="256">
        <f t="shared" si="289"/>
        <v>131</v>
      </c>
      <c r="P618" s="256">
        <f t="shared" si="290"/>
        <v>134</v>
      </c>
      <c r="Q618" s="256" t="str">
        <f t="shared" si="291"/>
        <v>HW</v>
      </c>
      <c r="R618" s="256" t="str">
        <f t="shared" si="292"/>
        <v>HW</v>
      </c>
      <c r="S618" s="256" t="str">
        <f t="shared" si="293"/>
        <v>HL</v>
      </c>
      <c r="T618" s="256" t="str">
        <f t="shared" si="294"/>
        <v>HL</v>
      </c>
      <c r="U618" s="256" t="str">
        <f t="shared" si="295"/>
        <v>U</v>
      </c>
      <c r="V618" s="256" t="str">
        <f t="shared" si="296"/>
        <v>O</v>
      </c>
      <c r="W618" s="256" t="str">
        <f t="shared" si="297"/>
        <v>U</v>
      </c>
      <c r="X618" s="256" t="str">
        <f t="shared" si="298"/>
        <v>O</v>
      </c>
      <c r="Y618" s="256">
        <v>213</v>
      </c>
      <c r="Z618" s="258">
        <v>53.5</v>
      </c>
      <c r="AA618" s="256" t="str">
        <f t="shared" si="278"/>
        <v>GS/DEN</v>
      </c>
      <c r="AC618" s="256"/>
      <c r="AD618" s="256"/>
      <c r="AE618" s="258"/>
      <c r="AF618" s="256"/>
    </row>
    <row r="619" spans="1:32" x14ac:dyDescent="0.3">
      <c r="A619" s="209">
        <v>200117</v>
      </c>
      <c r="B619" s="211">
        <v>0.52083333333333337</v>
      </c>
      <c r="C619" s="210" t="s">
        <v>415</v>
      </c>
      <c r="D619" s="210" t="s">
        <v>424</v>
      </c>
      <c r="E619">
        <v>34</v>
      </c>
      <c r="F619">
        <v>33</v>
      </c>
      <c r="G619">
        <v>24</v>
      </c>
      <c r="H619">
        <v>31</v>
      </c>
      <c r="J619">
        <v>26</v>
      </c>
      <c r="K619">
        <v>22</v>
      </c>
      <c r="L619">
        <v>28</v>
      </c>
      <c r="M619">
        <v>19</v>
      </c>
      <c r="O619" s="256">
        <f t="shared" si="289"/>
        <v>122</v>
      </c>
      <c r="P619" s="256">
        <f t="shared" si="290"/>
        <v>95</v>
      </c>
      <c r="Q619" s="256" t="str">
        <f t="shared" si="291"/>
        <v>HW</v>
      </c>
      <c r="R619" s="256" t="str">
        <f t="shared" si="292"/>
        <v>HW</v>
      </c>
      <c r="S619" s="256" t="str">
        <f t="shared" si="293"/>
        <v>HL</v>
      </c>
      <c r="T619" s="256" t="str">
        <f t="shared" si="294"/>
        <v>HW</v>
      </c>
      <c r="U619" s="256" t="str">
        <f t="shared" si="295"/>
        <v>O</v>
      </c>
      <c r="V619" s="256" t="str">
        <f t="shared" si="296"/>
        <v>O</v>
      </c>
      <c r="W619" s="256" t="str">
        <f t="shared" si="297"/>
        <v>U</v>
      </c>
      <c r="X619" s="256" t="str">
        <f t="shared" si="298"/>
        <v>U</v>
      </c>
      <c r="Y619" s="256">
        <v>217</v>
      </c>
      <c r="Z619" s="258">
        <v>54.5</v>
      </c>
      <c r="AA619" s="256" t="str">
        <f t="shared" si="278"/>
        <v>LAC/ORL</v>
      </c>
      <c r="AC619" s="256"/>
      <c r="AD619" s="256"/>
      <c r="AE619" s="258"/>
      <c r="AF619" s="256"/>
    </row>
    <row r="620" spans="1:32" x14ac:dyDescent="0.3">
      <c r="A620" s="209">
        <v>200118</v>
      </c>
      <c r="B620" s="213">
        <v>0.375</v>
      </c>
      <c r="C620" s="212" t="s">
        <v>400</v>
      </c>
      <c r="D620" s="212" t="s">
        <v>420</v>
      </c>
      <c r="E620">
        <v>32</v>
      </c>
      <c r="F620">
        <v>35</v>
      </c>
      <c r="G620">
        <v>32</v>
      </c>
      <c r="H620">
        <v>17</v>
      </c>
      <c r="J620">
        <v>26</v>
      </c>
      <c r="K620">
        <v>35</v>
      </c>
      <c r="L620">
        <v>32</v>
      </c>
      <c r="M620">
        <v>21</v>
      </c>
      <c r="O620" s="256">
        <f t="shared" si="289"/>
        <v>116</v>
      </c>
      <c r="P620" s="256">
        <f t="shared" si="290"/>
        <v>114</v>
      </c>
      <c r="Q620" s="256" t="str">
        <f t="shared" si="291"/>
        <v>HW</v>
      </c>
      <c r="R620" s="256" t="str">
        <f t="shared" si="292"/>
        <v>TT</v>
      </c>
      <c r="S620" s="256" t="str">
        <f t="shared" si="293"/>
        <v>TT</v>
      </c>
      <c r="T620" s="256" t="str">
        <f t="shared" si="294"/>
        <v>HL</v>
      </c>
      <c r="U620" s="256" t="str">
        <f t="shared" si="295"/>
        <v>O</v>
      </c>
      <c r="V620" s="256" t="str">
        <f t="shared" si="296"/>
        <v>O</v>
      </c>
      <c r="W620" s="256" t="str">
        <f t="shared" si="297"/>
        <v>O</v>
      </c>
      <c r="X620" s="256" t="str">
        <f t="shared" si="298"/>
        <v>U</v>
      </c>
      <c r="Y620" s="256">
        <v>217.5</v>
      </c>
      <c r="Z620" s="258">
        <v>54.5</v>
      </c>
      <c r="AA620" s="256" t="str">
        <f t="shared" si="278"/>
        <v>IND/MIN</v>
      </c>
      <c r="AC620" s="256"/>
      <c r="AD620" s="256"/>
      <c r="AE620" s="258"/>
      <c r="AF620" s="256"/>
    </row>
    <row r="621" spans="1:32" x14ac:dyDescent="0.3">
      <c r="A621" s="212">
        <v>200118</v>
      </c>
      <c r="B621" s="213">
        <v>0.375</v>
      </c>
      <c r="C621" s="212" t="s">
        <v>401</v>
      </c>
      <c r="D621" s="212" t="s">
        <v>412</v>
      </c>
      <c r="E621">
        <v>21</v>
      </c>
      <c r="F621">
        <v>25</v>
      </c>
      <c r="G621">
        <v>35</v>
      </c>
      <c r="H621">
        <v>19</v>
      </c>
      <c r="J621">
        <v>24</v>
      </c>
      <c r="K621">
        <v>23</v>
      </c>
      <c r="L621">
        <v>24</v>
      </c>
      <c r="M621">
        <v>18</v>
      </c>
      <c r="O621" s="256">
        <f t="shared" si="289"/>
        <v>100</v>
      </c>
      <c r="P621" s="256">
        <f t="shared" si="290"/>
        <v>89</v>
      </c>
      <c r="Q621" s="256" t="str">
        <f t="shared" si="291"/>
        <v>HL</v>
      </c>
      <c r="R621" s="256" t="str">
        <f t="shared" si="292"/>
        <v>HW</v>
      </c>
      <c r="S621" s="256" t="str">
        <f t="shared" si="293"/>
        <v>HW</v>
      </c>
      <c r="T621" s="256" t="str">
        <f t="shared" si="294"/>
        <v>HW</v>
      </c>
      <c r="U621" s="256" t="str">
        <f t="shared" si="295"/>
        <v>U</v>
      </c>
      <c r="V621" s="256" t="str">
        <f t="shared" si="296"/>
        <v>U</v>
      </c>
      <c r="W621" s="256" t="str">
        <f t="shared" si="297"/>
        <v>O</v>
      </c>
      <c r="X621" s="256" t="str">
        <f t="shared" si="298"/>
        <v>U</v>
      </c>
      <c r="Y621" s="256">
        <v>213.5</v>
      </c>
      <c r="Z621" s="258">
        <v>53.5</v>
      </c>
      <c r="AA621" s="256" t="str">
        <f t="shared" si="278"/>
        <v>PHI/CHI</v>
      </c>
      <c r="AC621" s="256"/>
      <c r="AD621" s="256"/>
      <c r="AE621" s="258"/>
      <c r="AF621" s="256"/>
    </row>
    <row r="622" spans="1:32" x14ac:dyDescent="0.3">
      <c r="A622" s="212">
        <v>200118</v>
      </c>
      <c r="B622" s="213">
        <v>0.375</v>
      </c>
      <c r="C622" s="212" t="s">
        <v>413</v>
      </c>
      <c r="D622" s="212" t="s">
        <v>414</v>
      </c>
      <c r="E622">
        <v>38</v>
      </c>
      <c r="F622">
        <v>27</v>
      </c>
      <c r="G622">
        <v>35</v>
      </c>
      <c r="H622">
        <v>40</v>
      </c>
      <c r="J622">
        <v>26</v>
      </c>
      <c r="K622">
        <v>25</v>
      </c>
      <c r="L622">
        <v>25</v>
      </c>
      <c r="M622">
        <v>35</v>
      </c>
      <c r="O622" s="256">
        <f t="shared" si="289"/>
        <v>140</v>
      </c>
      <c r="P622" s="256">
        <f t="shared" si="290"/>
        <v>111</v>
      </c>
      <c r="Q622" s="256" t="str">
        <f t="shared" si="291"/>
        <v>HW</v>
      </c>
      <c r="R622" s="256" t="str">
        <f t="shared" si="292"/>
        <v>HW</v>
      </c>
      <c r="S622" s="256" t="str">
        <f t="shared" si="293"/>
        <v>HW</v>
      </c>
      <c r="T622" s="256" t="str">
        <f t="shared" si="294"/>
        <v>HW</v>
      </c>
      <c r="U622" s="256" t="str">
        <f t="shared" si="295"/>
        <v>O</v>
      </c>
      <c r="V622" s="256" t="str">
        <f t="shared" si="296"/>
        <v>U</v>
      </c>
      <c r="W622" s="256" t="str">
        <f t="shared" si="297"/>
        <v>O</v>
      </c>
      <c r="X622" s="256" t="str">
        <f t="shared" si="298"/>
        <v>O</v>
      </c>
      <c r="Y622" s="256">
        <v>230</v>
      </c>
      <c r="Z622" s="258">
        <v>58</v>
      </c>
      <c r="AA622" s="256" t="str">
        <f t="shared" si="278"/>
        <v>TOR/WAS</v>
      </c>
      <c r="AC622" s="256"/>
      <c r="AD622" s="256"/>
      <c r="AE622" s="258"/>
      <c r="AF622" s="256"/>
    </row>
    <row r="623" spans="1:32" x14ac:dyDescent="0.3">
      <c r="A623" s="212">
        <v>200118</v>
      </c>
      <c r="B623" s="213">
        <v>0.41666666666666669</v>
      </c>
      <c r="C623" s="212" t="s">
        <v>418</v>
      </c>
      <c r="D623" s="212" t="s">
        <v>411</v>
      </c>
      <c r="E623">
        <v>26</v>
      </c>
      <c r="F623">
        <v>21</v>
      </c>
      <c r="G623">
        <v>31</v>
      </c>
      <c r="H623">
        <v>30</v>
      </c>
      <c r="J623">
        <v>40</v>
      </c>
      <c r="K623">
        <v>21</v>
      </c>
      <c r="L623">
        <v>31</v>
      </c>
      <c r="M623">
        <v>23</v>
      </c>
      <c r="O623" s="256">
        <f t="shared" si="289"/>
        <v>108</v>
      </c>
      <c r="P623" s="256">
        <f t="shared" si="290"/>
        <v>115</v>
      </c>
      <c r="Q623" s="256" t="str">
        <f t="shared" si="291"/>
        <v>HL</v>
      </c>
      <c r="R623" s="256" t="str">
        <f t="shared" si="292"/>
        <v>TT</v>
      </c>
      <c r="S623" s="256" t="str">
        <f t="shared" si="293"/>
        <v>TT</v>
      </c>
      <c r="T623" s="256" t="str">
        <f t="shared" si="294"/>
        <v>HW</v>
      </c>
      <c r="U623" s="256" t="str">
        <f t="shared" si="295"/>
        <v>O</v>
      </c>
      <c r="V623" s="256" t="str">
        <f t="shared" si="296"/>
        <v>U</v>
      </c>
      <c r="W623" s="256" t="str">
        <f t="shared" si="297"/>
        <v>O</v>
      </c>
      <c r="X623" s="256" t="str">
        <f t="shared" si="298"/>
        <v>U</v>
      </c>
      <c r="Y623" s="256">
        <v>216.5</v>
      </c>
      <c r="Z623" s="258">
        <v>54.5</v>
      </c>
      <c r="AA623" s="256" t="str">
        <f t="shared" si="278"/>
        <v>OKC/MIA</v>
      </c>
      <c r="AC623" s="256"/>
      <c r="AD623" s="256"/>
      <c r="AE623" s="258"/>
      <c r="AF623" s="256"/>
    </row>
    <row r="624" spans="1:32" x14ac:dyDescent="0.3">
      <c r="A624" s="212">
        <v>200118</v>
      </c>
      <c r="B624" s="213">
        <v>0.41666666666666669</v>
      </c>
      <c r="C624" s="212" t="s">
        <v>406</v>
      </c>
      <c r="D624" s="212" t="s">
        <v>402</v>
      </c>
      <c r="E624">
        <v>27</v>
      </c>
      <c r="F624">
        <v>27</v>
      </c>
      <c r="G624">
        <v>38</v>
      </c>
      <c r="H624">
        <v>21</v>
      </c>
      <c r="J624">
        <v>25</v>
      </c>
      <c r="K624">
        <v>31</v>
      </c>
      <c r="L624">
        <v>20</v>
      </c>
      <c r="M624">
        <v>33</v>
      </c>
      <c r="O624" s="256">
        <f t="shared" si="289"/>
        <v>113</v>
      </c>
      <c r="P624" s="256">
        <f t="shared" si="290"/>
        <v>109</v>
      </c>
      <c r="Q624" s="256" t="str">
        <f t="shared" si="291"/>
        <v>HW</v>
      </c>
      <c r="R624" s="256" t="str">
        <f t="shared" si="292"/>
        <v>HL</v>
      </c>
      <c r="S624" s="256" t="str">
        <f t="shared" si="293"/>
        <v>HW</v>
      </c>
      <c r="T624" s="256" t="str">
        <f t="shared" si="294"/>
        <v>HL</v>
      </c>
      <c r="U624" s="256" t="str">
        <f t="shared" si="295"/>
        <v>U</v>
      </c>
      <c r="V624" s="256" t="str">
        <f t="shared" si="296"/>
        <v>O</v>
      </c>
      <c r="W624" s="256" t="str">
        <f t="shared" si="297"/>
        <v>O</v>
      </c>
      <c r="X624" s="256" t="str">
        <f t="shared" si="298"/>
        <v>U</v>
      </c>
      <c r="Y624" s="256">
        <v>229.5</v>
      </c>
      <c r="Z624" s="258">
        <v>57.5</v>
      </c>
      <c r="AA624" s="256" t="str">
        <f t="shared" si="278"/>
        <v>MEM/CLE</v>
      </c>
      <c r="AC624" s="256"/>
      <c r="AD624" s="256"/>
      <c r="AE624" s="258"/>
      <c r="AF624" s="256"/>
    </row>
    <row r="625" spans="1:32" x14ac:dyDescent="0.3">
      <c r="A625" s="212">
        <v>200118</v>
      </c>
      <c r="B625" s="213">
        <v>0.4375</v>
      </c>
      <c r="C625" s="212" t="s">
        <v>426</v>
      </c>
      <c r="D625" s="212" t="s">
        <v>410</v>
      </c>
      <c r="E625">
        <v>27</v>
      </c>
      <c r="F625">
        <v>31</v>
      </c>
      <c r="G625">
        <v>41</v>
      </c>
      <c r="H625">
        <v>21</v>
      </c>
      <c r="J625">
        <v>29</v>
      </c>
      <c r="K625">
        <v>38</v>
      </c>
      <c r="L625">
        <v>21</v>
      </c>
      <c r="M625">
        <v>33</v>
      </c>
      <c r="O625" s="256">
        <f t="shared" si="289"/>
        <v>120</v>
      </c>
      <c r="P625" s="256">
        <f t="shared" si="290"/>
        <v>121</v>
      </c>
      <c r="Q625" s="256" t="str">
        <f t="shared" si="291"/>
        <v>HL</v>
      </c>
      <c r="R625" s="256" t="str">
        <f t="shared" si="292"/>
        <v>HL</v>
      </c>
      <c r="S625" s="256" t="str">
        <f t="shared" si="293"/>
        <v>HW</v>
      </c>
      <c r="T625" s="256" t="str">
        <f t="shared" si="294"/>
        <v>HL</v>
      </c>
      <c r="U625" s="256" t="str">
        <f t="shared" si="295"/>
        <v>U</v>
      </c>
      <c r="V625" s="256" t="str">
        <f t="shared" si="296"/>
        <v>O</v>
      </c>
      <c r="W625" s="256" t="str">
        <f t="shared" si="297"/>
        <v>O</v>
      </c>
      <c r="X625" s="256" t="str">
        <f t="shared" si="298"/>
        <v>U</v>
      </c>
      <c r="Y625" s="256">
        <v>230</v>
      </c>
      <c r="Z625" s="258">
        <v>58</v>
      </c>
      <c r="AA625" s="256" t="str">
        <f t="shared" si="278"/>
        <v>SAS/ATL</v>
      </c>
      <c r="AC625" s="256"/>
      <c r="AD625" s="256"/>
      <c r="AE625" s="258"/>
      <c r="AF625" s="256"/>
    </row>
    <row r="626" spans="1:32" x14ac:dyDescent="0.3">
      <c r="A626" s="212">
        <v>200118</v>
      </c>
      <c r="B626" s="213">
        <v>0.47916666666666669</v>
      </c>
      <c r="C626" s="212" t="s">
        <v>397</v>
      </c>
      <c r="D626" s="212" t="s">
        <v>417</v>
      </c>
      <c r="E626">
        <v>38</v>
      </c>
      <c r="F626">
        <v>34</v>
      </c>
      <c r="G626">
        <v>26</v>
      </c>
      <c r="H626">
        <v>22</v>
      </c>
      <c r="J626">
        <v>37</v>
      </c>
      <c r="K626">
        <v>26</v>
      </c>
      <c r="L626">
        <v>26</v>
      </c>
      <c r="M626">
        <v>23</v>
      </c>
      <c r="O626" s="256">
        <f t="shared" si="289"/>
        <v>120</v>
      </c>
      <c r="P626" s="256">
        <f t="shared" si="290"/>
        <v>112</v>
      </c>
      <c r="Q626" s="256" t="str">
        <f t="shared" si="291"/>
        <v>HW</v>
      </c>
      <c r="R626" s="256" t="str">
        <f t="shared" si="292"/>
        <v>HW</v>
      </c>
      <c r="S626" s="256" t="str">
        <f t="shared" si="293"/>
        <v>TT</v>
      </c>
      <c r="T626" s="256" t="str">
        <f t="shared" si="294"/>
        <v>HL</v>
      </c>
      <c r="U626" s="256" t="str">
        <f t="shared" si="295"/>
        <v>O</v>
      </c>
      <c r="V626" s="256" t="str">
        <f t="shared" si="296"/>
        <v>O</v>
      </c>
      <c r="W626" s="256" t="str">
        <f t="shared" si="297"/>
        <v>U</v>
      </c>
      <c r="X626" s="256" t="str">
        <f t="shared" si="298"/>
        <v>U</v>
      </c>
      <c r="Y626" s="256">
        <v>228</v>
      </c>
      <c r="Z626" s="258">
        <v>57.5</v>
      </c>
      <c r="AA626" s="256" t="str">
        <f t="shared" si="278"/>
        <v>DAL/POR</v>
      </c>
      <c r="AC626" s="256"/>
      <c r="AD626" s="256"/>
      <c r="AE626" s="258"/>
      <c r="AF626" s="256"/>
    </row>
    <row r="627" spans="1:32" x14ac:dyDescent="0.3">
      <c r="A627" s="212">
        <v>200119</v>
      </c>
      <c r="B627" s="215">
        <v>0.22916666666666666</v>
      </c>
      <c r="C627" s="214" t="s">
        <v>398</v>
      </c>
      <c r="D627" s="214" t="s">
        <v>415</v>
      </c>
      <c r="E627">
        <v>35</v>
      </c>
      <c r="F627">
        <v>45</v>
      </c>
      <c r="G627">
        <v>30</v>
      </c>
      <c r="H627">
        <v>20</v>
      </c>
      <c r="J627">
        <v>33</v>
      </c>
      <c r="K627">
        <v>39</v>
      </c>
      <c r="L627">
        <v>30</v>
      </c>
      <c r="M627">
        <v>31</v>
      </c>
      <c r="O627" s="256">
        <f t="shared" si="289"/>
        <v>130</v>
      </c>
      <c r="P627" s="256">
        <f t="shared" si="290"/>
        <v>133</v>
      </c>
      <c r="Q627" s="256" t="str">
        <f t="shared" si="291"/>
        <v>HW</v>
      </c>
      <c r="R627" s="256" t="str">
        <f t="shared" si="292"/>
        <v>HW</v>
      </c>
      <c r="S627" s="256" t="str">
        <f t="shared" si="293"/>
        <v>TT</v>
      </c>
      <c r="T627" s="256" t="str">
        <f t="shared" si="294"/>
        <v>HL</v>
      </c>
      <c r="U627" s="256" t="str">
        <f t="shared" si="295"/>
        <v>O</v>
      </c>
      <c r="V627" s="256" t="str">
        <f t="shared" si="296"/>
        <v>O</v>
      </c>
      <c r="W627" s="256" t="str">
        <f t="shared" si="297"/>
        <v>O</v>
      </c>
      <c r="X627" s="256" t="str">
        <f t="shared" si="298"/>
        <v>U</v>
      </c>
      <c r="Y627" s="256">
        <v>235.5</v>
      </c>
      <c r="Z627" s="258">
        <v>59</v>
      </c>
      <c r="AA627" s="256" t="str">
        <f t="shared" si="278"/>
        <v>NO/LAC</v>
      </c>
      <c r="AC627" s="256"/>
      <c r="AD627" s="256"/>
      <c r="AE627" s="258"/>
      <c r="AF627" s="256"/>
    </row>
    <row r="628" spans="1:32" x14ac:dyDescent="0.3">
      <c r="A628" s="214">
        <v>200119</v>
      </c>
      <c r="B628" s="215">
        <v>0.33333333333333331</v>
      </c>
      <c r="C628" s="214" t="s">
        <v>407</v>
      </c>
      <c r="D628" s="214" t="s">
        <v>423</v>
      </c>
      <c r="E628">
        <v>22</v>
      </c>
      <c r="F628">
        <v>20</v>
      </c>
      <c r="G628">
        <v>29</v>
      </c>
      <c r="H628">
        <v>26</v>
      </c>
      <c r="J628">
        <v>30</v>
      </c>
      <c r="K628">
        <v>27</v>
      </c>
      <c r="L628">
        <v>36</v>
      </c>
      <c r="M628">
        <v>24</v>
      </c>
      <c r="O628" s="256">
        <f t="shared" si="289"/>
        <v>97</v>
      </c>
      <c r="P628" s="256">
        <f t="shared" si="290"/>
        <v>117</v>
      </c>
      <c r="Q628" s="256" t="str">
        <f t="shared" si="291"/>
        <v>HL</v>
      </c>
      <c r="R628" s="256" t="str">
        <f t="shared" si="292"/>
        <v>HL</v>
      </c>
      <c r="S628" s="256" t="str">
        <f t="shared" si="293"/>
        <v>HL</v>
      </c>
      <c r="T628" s="256" t="str">
        <f t="shared" si="294"/>
        <v>HW</v>
      </c>
      <c r="U628" s="256" t="str">
        <f t="shared" si="295"/>
        <v>U</v>
      </c>
      <c r="V628" s="256" t="str">
        <f t="shared" si="296"/>
        <v>U</v>
      </c>
      <c r="W628" s="256" t="str">
        <f t="shared" si="297"/>
        <v>O</v>
      </c>
      <c r="X628" s="256" t="str">
        <f t="shared" si="298"/>
        <v>U</v>
      </c>
      <c r="Y628" s="256">
        <v>236</v>
      </c>
      <c r="Z628" s="258">
        <v>59.5</v>
      </c>
      <c r="AA628" s="256" t="str">
        <f t="shared" si="278"/>
        <v>BKN/MIL</v>
      </c>
      <c r="AC628" s="256"/>
      <c r="AD628" s="256"/>
      <c r="AE628" s="258"/>
      <c r="AF628" s="256"/>
    </row>
    <row r="629" spans="1:32" x14ac:dyDescent="0.3">
      <c r="A629" s="214">
        <v>200119</v>
      </c>
      <c r="B629" s="215">
        <v>0.375</v>
      </c>
      <c r="C629" s="214" t="s">
        <v>421</v>
      </c>
      <c r="D629" s="214" t="s">
        <v>404</v>
      </c>
      <c r="E629">
        <v>20</v>
      </c>
      <c r="F629">
        <v>31</v>
      </c>
      <c r="G629">
        <v>25</v>
      </c>
      <c r="H629">
        <v>43</v>
      </c>
      <c r="J629">
        <v>26</v>
      </c>
      <c r="K629">
        <v>34</v>
      </c>
      <c r="L629">
        <v>27</v>
      </c>
      <c r="M629">
        <v>36</v>
      </c>
      <c r="O629" s="256">
        <f t="shared" si="289"/>
        <v>119</v>
      </c>
      <c r="P629" s="256">
        <f t="shared" si="290"/>
        <v>123</v>
      </c>
      <c r="Q629" s="256" t="str">
        <f t="shared" si="291"/>
        <v>HL</v>
      </c>
      <c r="R629" s="256" t="str">
        <f t="shared" si="292"/>
        <v>HL</v>
      </c>
      <c r="S629" s="256" t="str">
        <f t="shared" si="293"/>
        <v>HL</v>
      </c>
      <c r="T629" s="256" t="str">
        <f t="shared" si="294"/>
        <v>HW</v>
      </c>
      <c r="U629" s="256" t="str">
        <f t="shared" si="295"/>
        <v>U</v>
      </c>
      <c r="V629" s="256" t="str">
        <f t="shared" si="296"/>
        <v>O</v>
      </c>
      <c r="W629" s="256" t="str">
        <f t="shared" si="297"/>
        <v>U</v>
      </c>
      <c r="X629" s="256" t="str">
        <f t="shared" si="298"/>
        <v>O</v>
      </c>
      <c r="Y629" s="256">
        <v>220</v>
      </c>
      <c r="Z629" s="258">
        <v>55.5</v>
      </c>
      <c r="AA629" s="256" t="str">
        <f t="shared" si="278"/>
        <v>BOS/PHO</v>
      </c>
      <c r="AC629" s="256"/>
      <c r="AD629" s="256"/>
      <c r="AE629" s="258"/>
      <c r="AF629" s="256"/>
    </row>
    <row r="630" spans="1:32" x14ac:dyDescent="0.3">
      <c r="A630" s="214">
        <v>200119</v>
      </c>
      <c r="B630" s="215">
        <v>0.39583333333333331</v>
      </c>
      <c r="C630" s="214" t="s">
        <v>410</v>
      </c>
      <c r="D630" s="214" t="s">
        <v>422</v>
      </c>
      <c r="E630">
        <v>29</v>
      </c>
      <c r="F630">
        <v>26</v>
      </c>
      <c r="G630">
        <v>21</v>
      </c>
      <c r="H630">
        <v>27</v>
      </c>
      <c r="J630">
        <v>36</v>
      </c>
      <c r="K630">
        <v>35</v>
      </c>
      <c r="L630">
        <v>32</v>
      </c>
      <c r="M630">
        <v>33</v>
      </c>
      <c r="O630" s="256">
        <f t="shared" si="289"/>
        <v>103</v>
      </c>
      <c r="P630" s="256">
        <f t="shared" si="290"/>
        <v>136</v>
      </c>
      <c r="Q630" s="256" t="str">
        <f t="shared" si="291"/>
        <v>HL</v>
      </c>
      <c r="R630" s="256" t="str">
        <f t="shared" si="292"/>
        <v>HL</v>
      </c>
      <c r="S630" s="256" t="str">
        <f t="shared" si="293"/>
        <v>HL</v>
      </c>
      <c r="T630" s="256" t="str">
        <f t="shared" si="294"/>
        <v>HL</v>
      </c>
      <c r="U630" s="256" t="str">
        <f t="shared" si="295"/>
        <v>O</v>
      </c>
      <c r="V630" s="256" t="str">
        <f t="shared" si="296"/>
        <v>O</v>
      </c>
      <c r="W630" s="256" t="str">
        <f t="shared" si="297"/>
        <v>U</v>
      </c>
      <c r="X630" s="256" t="str">
        <f t="shared" si="298"/>
        <v>O</v>
      </c>
      <c r="Y630" s="256">
        <v>227.5</v>
      </c>
      <c r="Z630" s="258">
        <v>57</v>
      </c>
      <c r="AA630" s="256" t="str">
        <f t="shared" si="278"/>
        <v>ATL/DET</v>
      </c>
      <c r="AC630" s="256"/>
      <c r="AD630" s="256"/>
      <c r="AE630" s="258"/>
      <c r="AF630" s="256"/>
    </row>
    <row r="631" spans="1:32" x14ac:dyDescent="0.3">
      <c r="A631" s="214">
        <v>200119</v>
      </c>
      <c r="B631" s="215">
        <v>0.39583333333333331</v>
      </c>
      <c r="C631" s="214" t="s">
        <v>399</v>
      </c>
      <c r="D631" s="214" t="s">
        <v>401</v>
      </c>
      <c r="E631">
        <v>25</v>
      </c>
      <c r="F631">
        <v>21</v>
      </c>
      <c r="G631">
        <v>23</v>
      </c>
      <c r="H631">
        <v>18</v>
      </c>
      <c r="J631">
        <v>28</v>
      </c>
      <c r="K631">
        <v>24</v>
      </c>
      <c r="L631">
        <v>18</v>
      </c>
      <c r="M631">
        <v>20</v>
      </c>
      <c r="O631" s="256">
        <f t="shared" si="289"/>
        <v>87</v>
      </c>
      <c r="P631" s="256">
        <f t="shared" si="290"/>
        <v>90</v>
      </c>
      <c r="Q631" s="256" t="str">
        <f t="shared" si="291"/>
        <v>HL</v>
      </c>
      <c r="R631" s="256" t="str">
        <f t="shared" si="292"/>
        <v>HL</v>
      </c>
      <c r="S631" s="256" t="str">
        <f t="shared" si="293"/>
        <v>HW</v>
      </c>
      <c r="T631" s="256" t="str">
        <f t="shared" si="294"/>
        <v>HL</v>
      </c>
      <c r="U631" s="256" t="str">
        <f t="shared" si="295"/>
        <v>U</v>
      </c>
      <c r="V631" s="256" t="str">
        <f t="shared" si="296"/>
        <v>U</v>
      </c>
      <c r="W631" s="256" t="str">
        <f t="shared" si="297"/>
        <v>U</v>
      </c>
      <c r="X631" s="256" t="str">
        <f t="shared" si="298"/>
        <v>U</v>
      </c>
      <c r="Y631" s="256">
        <v>218.5</v>
      </c>
      <c r="Z631" s="258">
        <v>55</v>
      </c>
      <c r="AA631" s="256" t="str">
        <f t="shared" si="278"/>
        <v>NYK/PHI</v>
      </c>
      <c r="AC631" s="256"/>
      <c r="AD631" s="256"/>
      <c r="AE631" s="258"/>
      <c r="AF631" s="256"/>
    </row>
    <row r="632" spans="1:32" x14ac:dyDescent="0.3">
      <c r="A632" s="214">
        <v>200119</v>
      </c>
      <c r="B632" s="215">
        <v>0.41666666666666669</v>
      </c>
      <c r="C632" s="214" t="s">
        <v>412</v>
      </c>
      <c r="D632" s="214" t="s">
        <v>402</v>
      </c>
      <c r="E632">
        <v>31</v>
      </c>
      <c r="F632">
        <v>25</v>
      </c>
      <c r="G632">
        <v>31</v>
      </c>
      <c r="H632">
        <v>31</v>
      </c>
      <c r="J632">
        <v>33</v>
      </c>
      <c r="K632">
        <v>40</v>
      </c>
      <c r="L632">
        <v>29</v>
      </c>
      <c r="M632">
        <v>14</v>
      </c>
      <c r="O632" s="256">
        <f t="shared" si="289"/>
        <v>118</v>
      </c>
      <c r="P632" s="256">
        <f t="shared" si="290"/>
        <v>116</v>
      </c>
      <c r="Q632" s="256" t="str">
        <f t="shared" si="291"/>
        <v>HL</v>
      </c>
      <c r="R632" s="256" t="str">
        <f t="shared" si="292"/>
        <v>HL</v>
      </c>
      <c r="S632" s="256" t="str">
        <f t="shared" si="293"/>
        <v>HW</v>
      </c>
      <c r="T632" s="256" t="str">
        <f t="shared" si="294"/>
        <v>HW</v>
      </c>
      <c r="U632" s="256" t="str">
        <f t="shared" si="295"/>
        <v>O</v>
      </c>
      <c r="V632" s="256" t="str">
        <f t="shared" si="296"/>
        <v>O</v>
      </c>
      <c r="W632" s="256" t="str">
        <f t="shared" si="297"/>
        <v>O</v>
      </c>
      <c r="X632" s="256" t="str">
        <f t="shared" si="298"/>
        <v>U</v>
      </c>
      <c r="Y632" s="256">
        <v>214</v>
      </c>
      <c r="Z632" s="258">
        <v>54</v>
      </c>
      <c r="AA632" s="256" t="str">
        <f t="shared" si="278"/>
        <v>CHI/CLE</v>
      </c>
      <c r="AC632" s="256"/>
      <c r="AD632" s="256"/>
      <c r="AE632" s="258"/>
      <c r="AF632" s="256"/>
    </row>
    <row r="633" spans="1:32" x14ac:dyDescent="0.3">
      <c r="A633" s="214">
        <v>200119</v>
      </c>
      <c r="B633" s="215">
        <v>0.41666666666666669</v>
      </c>
      <c r="C633" s="214" t="s">
        <v>420</v>
      </c>
      <c r="D633" s="214" t="s">
        <v>413</v>
      </c>
      <c r="E633">
        <v>39</v>
      </c>
      <c r="F633">
        <v>23</v>
      </c>
      <c r="G633">
        <v>22</v>
      </c>
      <c r="H633">
        <v>28</v>
      </c>
      <c r="J633">
        <v>32</v>
      </c>
      <c r="K633">
        <v>26</v>
      </c>
      <c r="L633">
        <v>31</v>
      </c>
      <c r="M633">
        <v>33</v>
      </c>
      <c r="O633" s="256">
        <f t="shared" si="289"/>
        <v>112</v>
      </c>
      <c r="P633" s="256">
        <f t="shared" si="290"/>
        <v>122</v>
      </c>
      <c r="Q633" s="256" t="str">
        <f t="shared" si="291"/>
        <v>HW</v>
      </c>
      <c r="R633" s="256" t="str">
        <f t="shared" si="292"/>
        <v>HL</v>
      </c>
      <c r="S633" s="256" t="str">
        <f t="shared" si="293"/>
        <v>HL</v>
      </c>
      <c r="T633" s="256" t="str">
        <f t="shared" si="294"/>
        <v>HL</v>
      </c>
      <c r="U633" s="256" t="str">
        <f t="shared" si="295"/>
        <v>O</v>
      </c>
      <c r="V633" s="256" t="str">
        <f t="shared" si="296"/>
        <v>U</v>
      </c>
      <c r="W633" s="256" t="str">
        <f t="shared" si="297"/>
        <v>U</v>
      </c>
      <c r="X633" s="256" t="str">
        <f t="shared" si="298"/>
        <v>O</v>
      </c>
      <c r="Y633" s="256">
        <v>224.5</v>
      </c>
      <c r="Z633" s="258">
        <v>56.5</v>
      </c>
      <c r="AA633" s="256" t="str">
        <f t="shared" si="278"/>
        <v>MIN/TOR</v>
      </c>
      <c r="AC633" s="256"/>
      <c r="AD633" s="256"/>
      <c r="AE633" s="258"/>
      <c r="AF633" s="256"/>
    </row>
    <row r="634" spans="1:32" x14ac:dyDescent="0.3">
      <c r="A634" s="214">
        <v>200119</v>
      </c>
      <c r="B634" s="215">
        <v>0.4375</v>
      </c>
      <c r="C634" s="214" t="s">
        <v>425</v>
      </c>
      <c r="D634" s="214" t="s">
        <v>424</v>
      </c>
      <c r="E634">
        <v>28</v>
      </c>
      <c r="F634">
        <v>25</v>
      </c>
      <c r="G634">
        <v>29</v>
      </c>
      <c r="H634">
        <v>27</v>
      </c>
      <c r="J634">
        <v>25</v>
      </c>
      <c r="K634">
        <v>27</v>
      </c>
      <c r="L634">
        <v>19</v>
      </c>
      <c r="M634">
        <v>24</v>
      </c>
      <c r="O634" s="256">
        <f t="shared" si="289"/>
        <v>109</v>
      </c>
      <c r="P634" s="256">
        <f t="shared" si="290"/>
        <v>95</v>
      </c>
      <c r="Q634" s="256" t="str">
        <f t="shared" si="291"/>
        <v>HW</v>
      </c>
      <c r="R634" s="256" t="str">
        <f t="shared" si="292"/>
        <v>HL</v>
      </c>
      <c r="S634" s="256" t="str">
        <f t="shared" si="293"/>
        <v>HW</v>
      </c>
      <c r="T634" s="256" t="str">
        <f t="shared" si="294"/>
        <v>HW</v>
      </c>
      <c r="U634" s="256" t="str">
        <f t="shared" si="295"/>
        <v>U</v>
      </c>
      <c r="V634" s="256" t="str">
        <f t="shared" si="296"/>
        <v>U</v>
      </c>
      <c r="W634" s="256" t="str">
        <f t="shared" si="297"/>
        <v>U</v>
      </c>
      <c r="X634" s="256" t="str">
        <f t="shared" si="298"/>
        <v>U</v>
      </c>
      <c r="Y634" s="256">
        <v>214</v>
      </c>
      <c r="Z634" s="258">
        <v>54</v>
      </c>
      <c r="AA634" s="256" t="str">
        <f t="shared" si="278"/>
        <v>GS/ORL</v>
      </c>
      <c r="AC634" s="256"/>
      <c r="AD634" s="256"/>
      <c r="AE634" s="258"/>
      <c r="AF634" s="256"/>
    </row>
    <row r="635" spans="1:32" x14ac:dyDescent="0.3">
      <c r="A635" s="214">
        <v>200119</v>
      </c>
      <c r="B635" s="215">
        <v>0.4375</v>
      </c>
      <c r="C635" s="214" t="s">
        <v>403</v>
      </c>
      <c r="D635" s="214" t="s">
        <v>419</v>
      </c>
      <c r="E635">
        <v>34</v>
      </c>
      <c r="F635">
        <v>31</v>
      </c>
      <c r="G635">
        <v>17</v>
      </c>
      <c r="H635">
        <v>33</v>
      </c>
      <c r="J635">
        <v>27</v>
      </c>
      <c r="K635">
        <v>32</v>
      </c>
      <c r="L635">
        <v>32</v>
      </c>
      <c r="M635">
        <v>33</v>
      </c>
      <c r="O635" s="256">
        <f t="shared" si="289"/>
        <v>115</v>
      </c>
      <c r="P635" s="256">
        <f t="shared" si="290"/>
        <v>124</v>
      </c>
      <c r="Q635" s="256" t="str">
        <f t="shared" si="291"/>
        <v>HW</v>
      </c>
      <c r="R635" s="256" t="str">
        <f t="shared" si="292"/>
        <v>HL</v>
      </c>
      <c r="S635" s="256" t="str">
        <f t="shared" si="293"/>
        <v>HL</v>
      </c>
      <c r="T635" s="256" t="str">
        <f t="shared" si="294"/>
        <v>TT</v>
      </c>
      <c r="U635" s="256" t="str">
        <f t="shared" si="295"/>
        <v>O</v>
      </c>
      <c r="V635" s="256" t="str">
        <f t="shared" si="296"/>
        <v>O</v>
      </c>
      <c r="W635" s="256" t="str">
        <f t="shared" si="297"/>
        <v>U</v>
      </c>
      <c r="X635" s="256" t="str">
        <f t="shared" si="298"/>
        <v>O</v>
      </c>
      <c r="Y635" s="256">
        <v>236</v>
      </c>
      <c r="Z635" s="258">
        <v>59.5</v>
      </c>
      <c r="AA635" s="256" t="str">
        <f t="shared" si="278"/>
        <v>HOU/LAL</v>
      </c>
      <c r="AC635" s="256"/>
      <c r="AD635" s="256"/>
      <c r="AE635" s="258"/>
      <c r="AF635" s="256"/>
    </row>
    <row r="636" spans="1:32" x14ac:dyDescent="0.3">
      <c r="A636" s="214">
        <v>200119</v>
      </c>
      <c r="B636" s="215">
        <v>0.45833333333333331</v>
      </c>
      <c r="C636" s="214" t="s">
        <v>418</v>
      </c>
      <c r="D636" s="214" t="s">
        <v>417</v>
      </c>
      <c r="E636">
        <v>32</v>
      </c>
      <c r="F636">
        <v>32</v>
      </c>
      <c r="G636">
        <v>23</v>
      </c>
      <c r="H636">
        <v>32</v>
      </c>
      <c r="J636">
        <v>24</v>
      </c>
      <c r="K636">
        <v>33</v>
      </c>
      <c r="L636">
        <v>20</v>
      </c>
      <c r="M636">
        <v>29</v>
      </c>
      <c r="O636" s="256">
        <f t="shared" si="289"/>
        <v>119</v>
      </c>
      <c r="P636" s="256">
        <f t="shared" si="290"/>
        <v>106</v>
      </c>
      <c r="Q636" s="256" t="str">
        <f t="shared" si="291"/>
        <v>HW</v>
      </c>
      <c r="R636" s="256" t="str">
        <f t="shared" si="292"/>
        <v>HL</v>
      </c>
      <c r="S636" s="256" t="str">
        <f t="shared" si="293"/>
        <v>HW</v>
      </c>
      <c r="T636" s="256" t="str">
        <f t="shared" si="294"/>
        <v>HW</v>
      </c>
      <c r="U636" s="256" t="str">
        <f t="shared" si="295"/>
        <v>O</v>
      </c>
      <c r="V636" s="256" t="str">
        <f t="shared" si="296"/>
        <v>O</v>
      </c>
      <c r="W636" s="256" t="str">
        <f t="shared" si="297"/>
        <v>U</v>
      </c>
      <c r="X636" s="256" t="str">
        <f t="shared" si="298"/>
        <v>O</v>
      </c>
      <c r="Y636" s="256">
        <v>215.5</v>
      </c>
      <c r="Z636" s="258">
        <v>54</v>
      </c>
      <c r="AA636" s="256" t="str">
        <f t="shared" si="278"/>
        <v>OKC/POR</v>
      </c>
      <c r="AC636" s="256"/>
      <c r="AD636" s="256"/>
      <c r="AE636" s="258"/>
      <c r="AF636" s="256"/>
    </row>
    <row r="637" spans="1:32" x14ac:dyDescent="0.3">
      <c r="A637" s="214">
        <v>200119</v>
      </c>
      <c r="B637" s="215">
        <v>0.45833333333333331</v>
      </c>
      <c r="C637" s="214" t="s">
        <v>405</v>
      </c>
      <c r="D637" s="214" t="s">
        <v>416</v>
      </c>
      <c r="E637">
        <v>38</v>
      </c>
      <c r="F637">
        <v>25</v>
      </c>
      <c r="G637">
        <v>32</v>
      </c>
      <c r="H637">
        <v>28</v>
      </c>
      <c r="J637">
        <v>22</v>
      </c>
      <c r="K637">
        <v>27</v>
      </c>
      <c r="L637">
        <v>28</v>
      </c>
      <c r="M637">
        <v>24</v>
      </c>
      <c r="O637" s="256">
        <f t="shared" si="289"/>
        <v>123</v>
      </c>
      <c r="P637" s="256">
        <f t="shared" si="290"/>
        <v>101</v>
      </c>
      <c r="Q637" s="256" t="str">
        <f t="shared" si="291"/>
        <v>HW</v>
      </c>
      <c r="R637" s="256" t="str">
        <f t="shared" si="292"/>
        <v>HL</v>
      </c>
      <c r="S637" s="256" t="str">
        <f t="shared" si="293"/>
        <v>HW</v>
      </c>
      <c r="T637" s="256" t="str">
        <f t="shared" si="294"/>
        <v>HW</v>
      </c>
      <c r="U637" s="256" t="str">
        <f t="shared" si="295"/>
        <v>O</v>
      </c>
      <c r="V637" s="256" t="str">
        <f t="shared" si="296"/>
        <v>U</v>
      </c>
      <c r="W637" s="256" t="str">
        <f t="shared" si="297"/>
        <v>O</v>
      </c>
      <c r="X637" s="256" t="str">
        <f t="shared" si="298"/>
        <v>U</v>
      </c>
      <c r="Y637" s="256">
        <v>223</v>
      </c>
      <c r="Z637" s="258">
        <v>56</v>
      </c>
      <c r="AA637" s="256" t="str">
        <f t="shared" si="278"/>
        <v>UTA/SAC</v>
      </c>
      <c r="AC637" s="256"/>
      <c r="AD637" s="256"/>
      <c r="AE637" s="258"/>
      <c r="AF637" s="256"/>
    </row>
    <row r="638" spans="1:32" x14ac:dyDescent="0.3">
      <c r="A638" s="214">
        <v>200120</v>
      </c>
      <c r="B638" s="217">
        <v>0.20833333333333334</v>
      </c>
      <c r="C638" s="216" t="s">
        <v>426</v>
      </c>
      <c r="D638" s="216" t="s">
        <v>411</v>
      </c>
      <c r="E638">
        <v>28</v>
      </c>
      <c r="F638">
        <v>32</v>
      </c>
      <c r="G638">
        <v>26</v>
      </c>
      <c r="H638">
        <v>21</v>
      </c>
      <c r="J638">
        <v>31</v>
      </c>
      <c r="K638">
        <v>23</v>
      </c>
      <c r="L638">
        <v>30</v>
      </c>
      <c r="M638">
        <v>18</v>
      </c>
      <c r="O638" s="256">
        <f t="shared" si="289"/>
        <v>107</v>
      </c>
      <c r="P638" s="256">
        <f t="shared" si="290"/>
        <v>102</v>
      </c>
      <c r="Q638" s="256" t="str">
        <f t="shared" si="291"/>
        <v>HL</v>
      </c>
      <c r="R638" s="256" t="str">
        <f t="shared" si="292"/>
        <v>HW</v>
      </c>
      <c r="S638" s="256" t="str">
        <f t="shared" si="293"/>
        <v>HL</v>
      </c>
      <c r="T638" s="256" t="str">
        <f t="shared" si="294"/>
        <v>HW</v>
      </c>
      <c r="U638" s="256" t="str">
        <f t="shared" si="295"/>
        <v>O</v>
      </c>
      <c r="V638" s="256" t="str">
        <f t="shared" si="296"/>
        <v>U</v>
      </c>
      <c r="W638" s="256" t="str">
        <f t="shared" si="297"/>
        <v>T</v>
      </c>
      <c r="X638" s="256" t="str">
        <f t="shared" si="298"/>
        <v>U</v>
      </c>
      <c r="Y638" s="256">
        <v>222.5</v>
      </c>
      <c r="Z638" s="258">
        <v>56</v>
      </c>
      <c r="AA638" s="256" t="str">
        <f t="shared" si="278"/>
        <v>SAS/MIA</v>
      </c>
      <c r="AC638" s="256"/>
      <c r="AD638" s="256"/>
      <c r="AE638" s="258"/>
      <c r="AF638" s="256"/>
    </row>
    <row r="639" spans="1:32" x14ac:dyDescent="0.3">
      <c r="A639" s="216">
        <v>200120</v>
      </c>
      <c r="B639" s="217">
        <v>0.41666666666666669</v>
      </c>
      <c r="C639" s="216" t="s">
        <v>408</v>
      </c>
      <c r="D639" s="216" t="s">
        <v>400</v>
      </c>
      <c r="E639">
        <v>21</v>
      </c>
      <c r="F639">
        <v>29</v>
      </c>
      <c r="G639">
        <v>31</v>
      </c>
      <c r="H639">
        <v>26</v>
      </c>
      <c r="J639">
        <v>15</v>
      </c>
      <c r="K639">
        <v>29</v>
      </c>
      <c r="L639">
        <v>30</v>
      </c>
      <c r="M639">
        <v>41</v>
      </c>
      <c r="O639" s="256">
        <f t="shared" si="289"/>
        <v>107</v>
      </c>
      <c r="P639" s="256">
        <f t="shared" si="290"/>
        <v>115</v>
      </c>
      <c r="Q639" s="256" t="str">
        <f t="shared" si="291"/>
        <v>HW</v>
      </c>
      <c r="R639" s="256" t="str">
        <f t="shared" si="292"/>
        <v>TT</v>
      </c>
      <c r="S639" s="256" t="str">
        <f t="shared" si="293"/>
        <v>HW</v>
      </c>
      <c r="T639" s="256" t="str">
        <f t="shared" si="294"/>
        <v>HL</v>
      </c>
      <c r="U639" s="256" t="str">
        <f t="shared" si="295"/>
        <v>U</v>
      </c>
      <c r="V639" s="256" t="str">
        <f t="shared" si="296"/>
        <v>O</v>
      </c>
      <c r="W639" s="256" t="str">
        <f t="shared" si="297"/>
        <v>O</v>
      </c>
      <c r="X639" s="256" t="str">
        <f t="shared" si="298"/>
        <v>O</v>
      </c>
      <c r="Y639" s="256">
        <v>213.5</v>
      </c>
      <c r="Z639" s="258">
        <v>53.5</v>
      </c>
      <c r="AA639" s="256" t="str">
        <f t="shared" si="278"/>
        <v>DEN/IND</v>
      </c>
      <c r="AC639" s="256"/>
      <c r="AD639" s="256"/>
      <c r="AE639" s="258"/>
      <c r="AF639" s="256"/>
    </row>
    <row r="640" spans="1:32" x14ac:dyDescent="0.3">
      <c r="A640" s="216">
        <v>200121</v>
      </c>
      <c r="B640" s="219">
        <v>0.16666666666666666</v>
      </c>
      <c r="C640" s="218" t="s">
        <v>414</v>
      </c>
      <c r="D640" s="218" t="s">
        <v>422</v>
      </c>
      <c r="E640" s="255">
        <v>30</v>
      </c>
      <c r="F640" s="255">
        <v>30</v>
      </c>
      <c r="G640" s="255">
        <v>23</v>
      </c>
      <c r="H640" s="255">
        <v>23</v>
      </c>
      <c r="I640" s="255"/>
      <c r="J640" s="255">
        <v>35</v>
      </c>
      <c r="K640" s="255">
        <v>23</v>
      </c>
      <c r="L640" s="255">
        <v>23</v>
      </c>
      <c r="M640" s="255">
        <v>19</v>
      </c>
      <c r="N640" s="255" t="s">
        <v>427</v>
      </c>
      <c r="O640" s="256">
        <f t="shared" si="289"/>
        <v>106</v>
      </c>
      <c r="P640" s="256">
        <f t="shared" si="290"/>
        <v>100</v>
      </c>
      <c r="Q640" s="256" t="str">
        <f t="shared" si="291"/>
        <v>HL</v>
      </c>
      <c r="R640" s="256" t="str">
        <f t="shared" si="292"/>
        <v>HW</v>
      </c>
      <c r="S640" s="256" t="str">
        <f t="shared" si="293"/>
        <v>TT</v>
      </c>
      <c r="T640" s="256" t="str">
        <f t="shared" si="294"/>
        <v>HW</v>
      </c>
      <c r="U640" s="256" t="str">
        <f t="shared" si="295"/>
        <v>O</v>
      </c>
      <c r="V640" s="256" t="str">
        <f t="shared" si="296"/>
        <v>U</v>
      </c>
      <c r="W640" s="256" t="str">
        <f t="shared" si="297"/>
        <v>U</v>
      </c>
      <c r="X640" s="256" t="str">
        <f t="shared" si="298"/>
        <v>U</v>
      </c>
      <c r="Y640" s="256">
        <v>232.5</v>
      </c>
      <c r="Z640" s="258">
        <v>58.5</v>
      </c>
      <c r="AA640" s="256" t="str">
        <f t="shared" si="278"/>
        <v>WAS/DET</v>
      </c>
      <c r="AC640" s="256"/>
      <c r="AD640" s="256"/>
      <c r="AE640" s="258"/>
      <c r="AF640" s="256"/>
    </row>
    <row r="641" spans="1:32" x14ac:dyDescent="0.3">
      <c r="A641" s="218">
        <v>200121</v>
      </c>
      <c r="B641" s="219">
        <v>0.1875</v>
      </c>
      <c r="C641" s="218" t="s">
        <v>410</v>
      </c>
      <c r="D641" s="218" t="s">
        <v>413</v>
      </c>
      <c r="E641">
        <v>25</v>
      </c>
      <c r="F641">
        <v>35</v>
      </c>
      <c r="G641">
        <v>22</v>
      </c>
      <c r="H641">
        <v>35</v>
      </c>
      <c r="J641">
        <v>36</v>
      </c>
      <c r="K641">
        <v>21</v>
      </c>
      <c r="L641">
        <v>26</v>
      </c>
      <c r="M641">
        <v>39</v>
      </c>
      <c r="O641" s="256">
        <f t="shared" si="289"/>
        <v>117</v>
      </c>
      <c r="P641" s="256">
        <f t="shared" si="290"/>
        <v>122</v>
      </c>
      <c r="Q641" s="256" t="str">
        <f t="shared" si="291"/>
        <v>HL</v>
      </c>
      <c r="R641" s="256" t="str">
        <f t="shared" si="292"/>
        <v>HW</v>
      </c>
      <c r="S641" s="256" t="str">
        <f t="shared" si="293"/>
        <v>HL</v>
      </c>
      <c r="T641" s="256" t="str">
        <f t="shared" si="294"/>
        <v>HL</v>
      </c>
      <c r="U641" s="256" t="str">
        <f t="shared" si="295"/>
        <v>O</v>
      </c>
      <c r="V641" s="256" t="str">
        <f t="shared" si="296"/>
        <v>U</v>
      </c>
      <c r="W641" s="256" t="str">
        <f t="shared" si="297"/>
        <v>U</v>
      </c>
      <c r="X641" s="256" t="str">
        <f t="shared" si="298"/>
        <v>O</v>
      </c>
      <c r="Y641" s="256">
        <v>231</v>
      </c>
      <c r="Z641" s="258">
        <v>58</v>
      </c>
      <c r="AA641" s="256" t="str">
        <f t="shared" si="278"/>
        <v>ATL/TOR</v>
      </c>
      <c r="AC641" s="256"/>
      <c r="AD641" s="256"/>
      <c r="AE641" s="258"/>
      <c r="AF641" s="256"/>
    </row>
    <row r="642" spans="1:32" x14ac:dyDescent="0.3">
      <c r="A642" s="218">
        <v>200121</v>
      </c>
      <c r="B642" s="219">
        <v>0.20833333333333334</v>
      </c>
      <c r="C642" s="218" t="s">
        <v>407</v>
      </c>
      <c r="D642" s="218" t="s">
        <v>401</v>
      </c>
      <c r="E642">
        <v>32</v>
      </c>
      <c r="F642">
        <v>36</v>
      </c>
      <c r="G642">
        <v>23</v>
      </c>
      <c r="H642">
        <v>20</v>
      </c>
      <c r="J642">
        <v>29</v>
      </c>
      <c r="K642">
        <v>35</v>
      </c>
      <c r="L642">
        <v>26</v>
      </c>
      <c r="M642">
        <v>27</v>
      </c>
      <c r="O642" s="256">
        <f t="shared" si="289"/>
        <v>111</v>
      </c>
      <c r="P642" s="256">
        <f t="shared" si="290"/>
        <v>117</v>
      </c>
      <c r="Q642" s="256" t="str">
        <f t="shared" si="291"/>
        <v>HW</v>
      </c>
      <c r="R642" s="256" t="str">
        <f t="shared" si="292"/>
        <v>HW</v>
      </c>
      <c r="S642" s="256" t="str">
        <f t="shared" si="293"/>
        <v>HL</v>
      </c>
      <c r="T642" s="256" t="str">
        <f t="shared" si="294"/>
        <v>HL</v>
      </c>
      <c r="U642" s="256" t="str">
        <f t="shared" si="295"/>
        <v>O</v>
      </c>
      <c r="V642" s="256" t="str">
        <f t="shared" si="296"/>
        <v>O</v>
      </c>
      <c r="W642" s="256" t="str">
        <f t="shared" si="297"/>
        <v>U</v>
      </c>
      <c r="X642" s="256" t="str">
        <f t="shared" si="298"/>
        <v>U</v>
      </c>
      <c r="Y642" s="256">
        <v>218</v>
      </c>
      <c r="Z642" s="258">
        <v>55</v>
      </c>
      <c r="AA642" s="256" t="str">
        <f t="shared" si="278"/>
        <v>BKN/PHI</v>
      </c>
      <c r="AC642" s="256"/>
      <c r="AD642" s="256"/>
      <c r="AE642" s="258"/>
      <c r="AF642" s="256"/>
    </row>
    <row r="643" spans="1:32" x14ac:dyDescent="0.3">
      <c r="A643" s="218">
        <v>200121</v>
      </c>
      <c r="B643" s="219">
        <v>0.29166666666666669</v>
      </c>
      <c r="C643" s="218" t="s">
        <v>402</v>
      </c>
      <c r="D643" s="218" t="s">
        <v>399</v>
      </c>
      <c r="E643" s="246">
        <v>26</v>
      </c>
      <c r="F643" s="246">
        <v>24</v>
      </c>
      <c r="G643" s="246">
        <v>14</v>
      </c>
      <c r="H643" s="246">
        <v>22</v>
      </c>
      <c r="I643" s="246"/>
      <c r="J643" s="246">
        <v>26</v>
      </c>
      <c r="K643" s="246">
        <v>23</v>
      </c>
      <c r="L643" s="246">
        <v>30</v>
      </c>
      <c r="M643" s="246">
        <v>27</v>
      </c>
      <c r="N643" s="246" t="s">
        <v>427</v>
      </c>
      <c r="O643" s="256">
        <f t="shared" si="289"/>
        <v>86</v>
      </c>
      <c r="P643" s="256">
        <f t="shared" si="290"/>
        <v>106</v>
      </c>
      <c r="Q643" s="256" t="str">
        <f t="shared" si="291"/>
        <v>TT</v>
      </c>
      <c r="R643" s="256" t="str">
        <f t="shared" si="292"/>
        <v>HW</v>
      </c>
      <c r="S643" s="256" t="str">
        <f t="shared" si="293"/>
        <v>HL</v>
      </c>
      <c r="T643" s="256" t="str">
        <f t="shared" si="294"/>
        <v>HL</v>
      </c>
      <c r="U643" s="256" t="str">
        <f t="shared" si="295"/>
        <v>U</v>
      </c>
      <c r="V643" s="256" t="str">
        <f t="shared" si="296"/>
        <v>U</v>
      </c>
      <c r="W643" s="256" t="str">
        <f t="shared" si="297"/>
        <v>U</v>
      </c>
      <c r="X643" s="256" t="str">
        <f t="shared" si="298"/>
        <v>U</v>
      </c>
      <c r="Y643" s="256">
        <v>222</v>
      </c>
      <c r="Z643" s="258">
        <v>56</v>
      </c>
      <c r="AA643" s="256" t="str">
        <f t="shared" si="278"/>
        <v>CLE/NYK</v>
      </c>
      <c r="AC643" s="256"/>
      <c r="AD643" s="256"/>
      <c r="AE643" s="258"/>
      <c r="AF643" s="256"/>
    </row>
    <row r="644" spans="1:32" x14ac:dyDescent="0.3">
      <c r="A644" s="218">
        <v>200121</v>
      </c>
      <c r="B644" s="219">
        <v>0.29166666666666669</v>
      </c>
      <c r="C644" s="218" t="s">
        <v>403</v>
      </c>
      <c r="D644" s="218" t="s">
        <v>418</v>
      </c>
      <c r="E644" s="247">
        <v>25</v>
      </c>
      <c r="F644" s="247">
        <v>39</v>
      </c>
      <c r="G644" s="247">
        <v>23</v>
      </c>
      <c r="H644" s="247">
        <v>20</v>
      </c>
      <c r="I644" s="247"/>
      <c r="J644" s="247">
        <v>22</v>
      </c>
      <c r="K644" s="247">
        <v>35</v>
      </c>
      <c r="L644" s="247">
        <v>14</v>
      </c>
      <c r="M644" s="247">
        <v>41</v>
      </c>
      <c r="N644" s="247" t="s">
        <v>427</v>
      </c>
      <c r="O644" s="256">
        <f t="shared" si="289"/>
        <v>107</v>
      </c>
      <c r="P644" s="256">
        <f t="shared" si="290"/>
        <v>112</v>
      </c>
      <c r="Q644" s="256" t="str">
        <f t="shared" si="291"/>
        <v>HW</v>
      </c>
      <c r="R644" s="256" t="str">
        <f t="shared" si="292"/>
        <v>HW</v>
      </c>
      <c r="S644" s="256" t="str">
        <f t="shared" si="293"/>
        <v>HW</v>
      </c>
      <c r="T644" s="256" t="str">
        <f t="shared" si="294"/>
        <v>HL</v>
      </c>
      <c r="U644" s="256" t="str">
        <f t="shared" si="295"/>
        <v>U</v>
      </c>
      <c r="V644" s="256" t="str">
        <f t="shared" si="296"/>
        <v>O</v>
      </c>
      <c r="W644" s="256" t="str">
        <f t="shared" si="297"/>
        <v>U</v>
      </c>
      <c r="X644" s="256" t="str">
        <f t="shared" si="298"/>
        <v>O</v>
      </c>
      <c r="Y644" s="256">
        <v>230.5</v>
      </c>
      <c r="Z644" s="258">
        <v>58</v>
      </c>
      <c r="AA644" s="256" t="str">
        <f t="shared" si="278"/>
        <v>HOU/OKC</v>
      </c>
      <c r="AC644" s="256"/>
      <c r="AD644" s="256"/>
      <c r="AE644" s="258"/>
      <c r="AF644" s="256"/>
    </row>
    <row r="645" spans="1:32" x14ac:dyDescent="0.3">
      <c r="A645" s="218">
        <v>200121</v>
      </c>
      <c r="B645" s="219">
        <v>0.29166666666666669</v>
      </c>
      <c r="C645" s="218" t="s">
        <v>411</v>
      </c>
      <c r="D645" s="218" t="s">
        <v>416</v>
      </c>
      <c r="E645" s="249">
        <v>21</v>
      </c>
      <c r="F645" s="249">
        <v>35</v>
      </c>
      <c r="G645" s="249">
        <v>20</v>
      </c>
      <c r="H645" s="249">
        <v>29</v>
      </c>
      <c r="I645" s="249">
        <v>13</v>
      </c>
      <c r="J645" s="249">
        <v>24</v>
      </c>
      <c r="K645" s="249">
        <v>34</v>
      </c>
      <c r="L645" s="249">
        <v>20</v>
      </c>
      <c r="M645" s="249">
        <v>27</v>
      </c>
      <c r="N645" s="249">
        <v>8</v>
      </c>
      <c r="O645" s="256">
        <f t="shared" si="289"/>
        <v>118</v>
      </c>
      <c r="P645" s="256">
        <f t="shared" si="290"/>
        <v>113</v>
      </c>
      <c r="Q645" s="256" t="str">
        <f t="shared" si="291"/>
        <v>HL</v>
      </c>
      <c r="R645" s="256" t="str">
        <f t="shared" si="292"/>
        <v>HW</v>
      </c>
      <c r="S645" s="256" t="str">
        <f t="shared" si="293"/>
        <v>TT</v>
      </c>
      <c r="T645" s="256" t="str">
        <f t="shared" si="294"/>
        <v>HW</v>
      </c>
      <c r="U645" s="256" t="str">
        <f t="shared" si="295"/>
        <v>U</v>
      </c>
      <c r="V645" s="256" t="str">
        <f t="shared" si="296"/>
        <v>O</v>
      </c>
      <c r="W645" s="256" t="str">
        <f t="shared" si="297"/>
        <v>U</v>
      </c>
      <c r="X645" s="256" t="str">
        <f t="shared" si="298"/>
        <v>O</v>
      </c>
      <c r="Y645" s="256">
        <v>221</v>
      </c>
      <c r="Z645" s="258">
        <v>55.5</v>
      </c>
      <c r="AA645" s="256" t="str">
        <f t="shared" si="278"/>
        <v>MIA/SAC</v>
      </c>
      <c r="AC645" s="256"/>
      <c r="AD645" s="256"/>
      <c r="AE645" s="258"/>
      <c r="AF645" s="256"/>
    </row>
    <row r="646" spans="1:32" x14ac:dyDescent="0.3">
      <c r="A646" s="218">
        <v>200121</v>
      </c>
      <c r="B646" s="219">
        <v>0.29166666666666669</v>
      </c>
      <c r="C646" s="218" t="s">
        <v>423</v>
      </c>
      <c r="D646" s="218" t="s">
        <v>412</v>
      </c>
      <c r="E646" s="250">
        <v>30</v>
      </c>
      <c r="F646" s="250">
        <v>23</v>
      </c>
      <c r="G646" s="250">
        <v>31</v>
      </c>
      <c r="H646" s="250">
        <v>27</v>
      </c>
      <c r="I646" s="250"/>
      <c r="J646" s="250">
        <v>23</v>
      </c>
      <c r="K646" s="250">
        <v>29</v>
      </c>
      <c r="L646" s="250">
        <v>25</v>
      </c>
      <c r="M646" s="250">
        <v>21</v>
      </c>
      <c r="N646" s="250" t="s">
        <v>427</v>
      </c>
      <c r="O646" s="256">
        <f t="shared" si="289"/>
        <v>111</v>
      </c>
      <c r="P646" s="256">
        <f t="shared" si="290"/>
        <v>98</v>
      </c>
      <c r="Q646" s="256" t="str">
        <f t="shared" si="291"/>
        <v>HW</v>
      </c>
      <c r="R646" s="256" t="str">
        <f t="shared" si="292"/>
        <v>HL</v>
      </c>
      <c r="S646" s="256" t="str">
        <f t="shared" si="293"/>
        <v>HW</v>
      </c>
      <c r="T646" s="256" t="str">
        <f t="shared" si="294"/>
        <v>HW</v>
      </c>
      <c r="U646" s="256" t="str">
        <f t="shared" si="295"/>
        <v>U</v>
      </c>
      <c r="V646" s="256" t="str">
        <f t="shared" si="296"/>
        <v>U</v>
      </c>
      <c r="W646" s="256" t="str">
        <f t="shared" si="297"/>
        <v>U</v>
      </c>
      <c r="X646" s="256" t="str">
        <f t="shared" si="298"/>
        <v>U</v>
      </c>
      <c r="Y646" s="256">
        <v>225.5</v>
      </c>
      <c r="Z646" s="258">
        <v>56.5</v>
      </c>
      <c r="AA646" s="256" t="str">
        <f t="shared" si="278"/>
        <v>MIL/CHI</v>
      </c>
      <c r="AC646" s="256"/>
      <c r="AD646" s="256"/>
      <c r="AE646" s="258"/>
      <c r="AF646" s="256"/>
    </row>
    <row r="647" spans="1:32" x14ac:dyDescent="0.3">
      <c r="A647" s="218">
        <v>200121</v>
      </c>
      <c r="B647" s="219">
        <v>0.29166666666666669</v>
      </c>
      <c r="C647" s="218" t="s">
        <v>406</v>
      </c>
      <c r="D647" s="218" t="s">
        <v>398</v>
      </c>
      <c r="E647" s="248">
        <v>30</v>
      </c>
      <c r="F647" s="248">
        <v>20</v>
      </c>
      <c r="G647" s="248">
        <v>27</v>
      </c>
      <c r="H647" s="248">
        <v>39</v>
      </c>
      <c r="I647" s="248"/>
      <c r="J647" s="248">
        <v>31</v>
      </c>
      <c r="K647" s="248">
        <v>38</v>
      </c>
      <c r="L647" s="248">
        <v>29</v>
      </c>
      <c r="M647" s="248">
        <v>28</v>
      </c>
      <c r="N647" s="248" t="s">
        <v>427</v>
      </c>
      <c r="O647" s="256">
        <f t="shared" si="289"/>
        <v>116</v>
      </c>
      <c r="P647" s="256">
        <f t="shared" si="290"/>
        <v>126</v>
      </c>
      <c r="Q647" s="256" t="str">
        <f t="shared" si="291"/>
        <v>HL</v>
      </c>
      <c r="R647" s="256" t="str">
        <f t="shared" si="292"/>
        <v>HL</v>
      </c>
      <c r="S647" s="256" t="str">
        <f t="shared" si="293"/>
        <v>HL</v>
      </c>
      <c r="T647" s="256" t="str">
        <f t="shared" si="294"/>
        <v>HW</v>
      </c>
      <c r="U647" s="256" t="str">
        <f t="shared" si="295"/>
        <v>T</v>
      </c>
      <c r="V647" s="256" t="str">
        <f t="shared" si="296"/>
        <v>U</v>
      </c>
      <c r="W647" s="256" t="str">
        <f t="shared" si="297"/>
        <v>U</v>
      </c>
      <c r="X647" s="256" t="str">
        <f t="shared" si="298"/>
        <v>O</v>
      </c>
      <c r="Y647" s="256">
        <v>242.5</v>
      </c>
      <c r="Z647" s="258">
        <v>61</v>
      </c>
      <c r="AA647" s="256" t="str">
        <f t="shared" si="278"/>
        <v>MEM/NO</v>
      </c>
      <c r="AC647" s="256"/>
      <c r="AD647" s="256"/>
      <c r="AE647" s="258"/>
      <c r="AF647" s="256"/>
    </row>
    <row r="648" spans="1:32" x14ac:dyDescent="0.3">
      <c r="A648" s="218">
        <v>200121</v>
      </c>
      <c r="B648" s="219">
        <v>0.29166666666666669</v>
      </c>
      <c r="C648" s="218" t="s">
        <v>409</v>
      </c>
      <c r="D648" s="218" t="s">
        <v>424</v>
      </c>
      <c r="E648">
        <v>27</v>
      </c>
      <c r="F648">
        <v>18</v>
      </c>
      <c r="G648">
        <v>20</v>
      </c>
      <c r="H648">
        <v>18</v>
      </c>
      <c r="J648">
        <v>19</v>
      </c>
      <c r="K648">
        <v>32</v>
      </c>
      <c r="L648">
        <v>21</v>
      </c>
      <c r="M648">
        <v>34</v>
      </c>
      <c r="O648" s="256">
        <f t="shared" si="289"/>
        <v>83</v>
      </c>
      <c r="P648" s="256">
        <f t="shared" si="290"/>
        <v>106</v>
      </c>
      <c r="Q648" s="256" t="str">
        <f t="shared" si="291"/>
        <v>HW</v>
      </c>
      <c r="R648" s="256" t="str">
        <f t="shared" si="292"/>
        <v>HL</v>
      </c>
      <c r="S648" s="256" t="str">
        <f t="shared" si="293"/>
        <v>HL</v>
      </c>
      <c r="T648" s="256" t="str">
        <f t="shared" si="294"/>
        <v>HL</v>
      </c>
      <c r="U648" s="256" t="str">
        <f t="shared" si="295"/>
        <v>U</v>
      </c>
      <c r="V648" s="256" t="str">
        <f t="shared" si="296"/>
        <v>U</v>
      </c>
      <c r="W648" s="256" t="str">
        <f t="shared" si="297"/>
        <v>U</v>
      </c>
      <c r="X648" s="256" t="str">
        <f t="shared" si="298"/>
        <v>T</v>
      </c>
      <c r="Y648" s="256">
        <v>206</v>
      </c>
      <c r="Z648" s="258">
        <v>52</v>
      </c>
      <c r="AA648" s="256" t="str">
        <f t="shared" si="278"/>
        <v>CHA/ORL</v>
      </c>
      <c r="AC648" s="256"/>
      <c r="AD648" s="256"/>
      <c r="AE648" s="258"/>
      <c r="AF648" s="256"/>
    </row>
    <row r="649" spans="1:32" x14ac:dyDescent="0.3">
      <c r="A649" s="218">
        <v>200121</v>
      </c>
      <c r="B649" s="219">
        <v>0.39583333333333331</v>
      </c>
      <c r="C649" s="218" t="s">
        <v>421</v>
      </c>
      <c r="D649" s="218" t="s">
        <v>419</v>
      </c>
      <c r="E649">
        <v>33</v>
      </c>
      <c r="F649">
        <v>36</v>
      </c>
      <c r="G649">
        <v>35</v>
      </c>
      <c r="H649">
        <v>35</v>
      </c>
      <c r="J649">
        <v>30</v>
      </c>
      <c r="K649">
        <v>25</v>
      </c>
      <c r="L649">
        <v>25</v>
      </c>
      <c r="M649">
        <v>27</v>
      </c>
      <c r="O649" s="256">
        <f t="shared" si="289"/>
        <v>139</v>
      </c>
      <c r="P649" s="256">
        <f t="shared" si="290"/>
        <v>107</v>
      </c>
      <c r="Q649" s="256" t="str">
        <f t="shared" si="291"/>
        <v>HW</v>
      </c>
      <c r="R649" s="256" t="str">
        <f t="shared" si="292"/>
        <v>HW</v>
      </c>
      <c r="S649" s="256" t="str">
        <f t="shared" si="293"/>
        <v>HW</v>
      </c>
      <c r="T649" s="256" t="str">
        <f t="shared" si="294"/>
        <v>HW</v>
      </c>
      <c r="U649" s="256" t="str">
        <f t="shared" si="295"/>
        <v>O</v>
      </c>
      <c r="V649" s="256" t="str">
        <f t="shared" si="296"/>
        <v>O</v>
      </c>
      <c r="W649" s="256" t="str">
        <f t="shared" si="297"/>
        <v>O</v>
      </c>
      <c r="X649" s="256" t="str">
        <f t="shared" si="298"/>
        <v>O</v>
      </c>
      <c r="Y649" s="256">
        <v>226.5</v>
      </c>
      <c r="Z649" s="258">
        <v>57</v>
      </c>
      <c r="AA649" s="256" t="str">
        <f t="shared" si="278"/>
        <v>BOS/LAL</v>
      </c>
      <c r="AC649" s="256"/>
      <c r="AD649" s="256"/>
      <c r="AE649" s="258"/>
      <c r="AF649" s="256"/>
    </row>
    <row r="650" spans="1:32" x14ac:dyDescent="0.3">
      <c r="A650" s="218">
        <v>200121</v>
      </c>
      <c r="B650" s="219">
        <v>0.41666666666666669</v>
      </c>
      <c r="C650" s="218" t="s">
        <v>420</v>
      </c>
      <c r="D650" s="218" t="s">
        <v>408</v>
      </c>
      <c r="E650" s="251">
        <v>29</v>
      </c>
      <c r="F650" s="251">
        <v>25</v>
      </c>
      <c r="G650" s="251">
        <v>25</v>
      </c>
      <c r="H650" s="251">
        <v>21</v>
      </c>
      <c r="I650" s="251"/>
      <c r="J650" s="251">
        <v>26</v>
      </c>
      <c r="K650" s="251">
        <v>29</v>
      </c>
      <c r="L650" s="251">
        <v>26</v>
      </c>
      <c r="M650" s="251">
        <v>26</v>
      </c>
      <c r="N650" s="251" t="s">
        <v>427</v>
      </c>
      <c r="O650" s="256">
        <f t="shared" si="289"/>
        <v>100</v>
      </c>
      <c r="P650" s="256">
        <f t="shared" si="290"/>
        <v>107</v>
      </c>
      <c r="Q650" s="256" t="str">
        <f t="shared" si="291"/>
        <v>HW</v>
      </c>
      <c r="R650" s="256" t="str">
        <f t="shared" si="292"/>
        <v>HL</v>
      </c>
      <c r="S650" s="256" t="str">
        <f t="shared" si="293"/>
        <v>HL</v>
      </c>
      <c r="T650" s="256" t="str">
        <f t="shared" si="294"/>
        <v>HL</v>
      </c>
      <c r="U650" s="256" t="str">
        <f t="shared" si="295"/>
        <v>U</v>
      </c>
      <c r="V650" s="256" t="str">
        <f t="shared" si="296"/>
        <v>U</v>
      </c>
      <c r="W650" s="256" t="str">
        <f t="shared" si="297"/>
        <v>U</v>
      </c>
      <c r="X650" s="256" t="str">
        <f t="shared" si="298"/>
        <v>U</v>
      </c>
      <c r="Y650" s="256">
        <v>221</v>
      </c>
      <c r="Z650" s="258">
        <v>55.5</v>
      </c>
      <c r="AA650" s="256" t="str">
        <f t="shared" si="278"/>
        <v>MIN/DEN</v>
      </c>
      <c r="AC650" s="256"/>
      <c r="AD650" s="256"/>
      <c r="AE650" s="258"/>
      <c r="AF650" s="256"/>
    </row>
    <row r="651" spans="1:32" x14ac:dyDescent="0.3">
      <c r="A651" s="218">
        <v>200121</v>
      </c>
      <c r="B651" s="219">
        <v>0.45833333333333331</v>
      </c>
      <c r="C651" s="218" t="s">
        <v>404</v>
      </c>
      <c r="D651" s="218" t="s">
        <v>426</v>
      </c>
      <c r="E651" s="252">
        <v>26</v>
      </c>
      <c r="F651" s="252">
        <v>25</v>
      </c>
      <c r="G651" s="252">
        <v>32</v>
      </c>
      <c r="H651" s="252">
        <v>35</v>
      </c>
      <c r="I651" s="252"/>
      <c r="J651" s="252">
        <v>28</v>
      </c>
      <c r="K651" s="252">
        <v>38</v>
      </c>
      <c r="L651" s="252">
        <v>30</v>
      </c>
      <c r="M651" s="252">
        <v>24</v>
      </c>
      <c r="N651" s="252" t="s">
        <v>427</v>
      </c>
      <c r="O651" s="256">
        <f t="shared" si="289"/>
        <v>118</v>
      </c>
      <c r="P651" s="256">
        <f t="shared" si="290"/>
        <v>120</v>
      </c>
      <c r="Q651" s="256" t="str">
        <f t="shared" si="291"/>
        <v>HL</v>
      </c>
      <c r="R651" s="256" t="str">
        <f t="shared" si="292"/>
        <v>HL</v>
      </c>
      <c r="S651" s="256" t="str">
        <f t="shared" si="293"/>
        <v>HW</v>
      </c>
      <c r="T651" s="256" t="str">
        <f t="shared" si="294"/>
        <v>HW</v>
      </c>
      <c r="U651" s="256" t="str">
        <f t="shared" si="295"/>
        <v>U</v>
      </c>
      <c r="V651" s="256" t="str">
        <f t="shared" si="296"/>
        <v>O</v>
      </c>
      <c r="W651" s="256" t="str">
        <f t="shared" si="297"/>
        <v>O</v>
      </c>
      <c r="X651" s="256" t="str">
        <f t="shared" si="298"/>
        <v>O</v>
      </c>
      <c r="Y651" s="256">
        <v>230</v>
      </c>
      <c r="Z651" s="258">
        <v>58</v>
      </c>
      <c r="AA651" s="256" t="str">
        <f t="shared" si="278"/>
        <v>PHO/SAS</v>
      </c>
      <c r="AC651" s="256"/>
      <c r="AD651" s="256"/>
      <c r="AE651" s="258"/>
      <c r="AF651" s="256"/>
    </row>
    <row r="652" spans="1:32" x14ac:dyDescent="0.3">
      <c r="A652" s="218">
        <v>200121</v>
      </c>
      <c r="B652" s="219">
        <v>0.45833333333333331</v>
      </c>
      <c r="C652" s="218" t="s">
        <v>405</v>
      </c>
      <c r="D652" s="218" t="s">
        <v>400</v>
      </c>
      <c r="E652" s="254">
        <v>29</v>
      </c>
      <c r="F652" s="254">
        <v>27</v>
      </c>
      <c r="G652" s="254">
        <v>24</v>
      </c>
      <c r="H652" s="254">
        <v>38</v>
      </c>
      <c r="I652" s="254"/>
      <c r="J652" s="254">
        <v>23</v>
      </c>
      <c r="K652" s="254">
        <v>21</v>
      </c>
      <c r="L652" s="254">
        <v>19</v>
      </c>
      <c r="M652" s="254">
        <v>25</v>
      </c>
      <c r="N652" s="254" t="s">
        <v>427</v>
      </c>
      <c r="O652" s="256">
        <f t="shared" si="289"/>
        <v>118</v>
      </c>
      <c r="P652" s="256">
        <f t="shared" si="290"/>
        <v>88</v>
      </c>
      <c r="Q652" s="256" t="str">
        <f t="shared" si="291"/>
        <v>HW</v>
      </c>
      <c r="R652" s="256" t="str">
        <f t="shared" si="292"/>
        <v>HW</v>
      </c>
      <c r="S652" s="256" t="str">
        <f t="shared" si="293"/>
        <v>HW</v>
      </c>
      <c r="T652" s="256" t="str">
        <f t="shared" si="294"/>
        <v>HW</v>
      </c>
      <c r="U652" s="256" t="str">
        <f t="shared" si="295"/>
        <v>U</v>
      </c>
      <c r="V652" s="256" t="str">
        <f t="shared" si="296"/>
        <v>U</v>
      </c>
      <c r="W652" s="256" t="str">
        <f t="shared" si="297"/>
        <v>U</v>
      </c>
      <c r="X652" s="256" t="str">
        <f t="shared" si="298"/>
        <v>O</v>
      </c>
      <c r="Y652" s="256">
        <v>215.5</v>
      </c>
      <c r="Z652" s="258">
        <v>54</v>
      </c>
      <c r="AA652" s="256" t="str">
        <f t="shared" ref="AA652:AA715" si="299">C652&amp;"/"&amp;D652</f>
        <v>UTA/IND</v>
      </c>
      <c r="AC652" s="256"/>
      <c r="AD652" s="256"/>
      <c r="AE652" s="258"/>
      <c r="AF652" s="256"/>
    </row>
    <row r="653" spans="1:32" x14ac:dyDescent="0.3">
      <c r="A653" s="218">
        <v>200121</v>
      </c>
      <c r="B653" s="219">
        <v>0.5</v>
      </c>
      <c r="C653" s="218" t="s">
        <v>417</v>
      </c>
      <c r="D653" s="218" t="s">
        <v>425</v>
      </c>
      <c r="E653" s="253">
        <v>27</v>
      </c>
      <c r="F653" s="253">
        <v>26</v>
      </c>
      <c r="G653" s="253">
        <v>34</v>
      </c>
      <c r="H653" s="253">
        <v>26</v>
      </c>
      <c r="I653" s="253">
        <v>16</v>
      </c>
      <c r="J653" s="253">
        <v>23</v>
      </c>
      <c r="K653" s="253">
        <v>34</v>
      </c>
      <c r="L653" s="253">
        <v>35</v>
      </c>
      <c r="M653" s="253">
        <v>21</v>
      </c>
      <c r="N653" s="253">
        <v>11</v>
      </c>
      <c r="O653" s="256">
        <f t="shared" si="289"/>
        <v>129</v>
      </c>
      <c r="P653" s="256">
        <f t="shared" si="290"/>
        <v>124</v>
      </c>
      <c r="Q653" s="256" t="str">
        <f t="shared" si="291"/>
        <v>HW</v>
      </c>
      <c r="R653" s="256" t="str">
        <f t="shared" si="292"/>
        <v>HL</v>
      </c>
      <c r="S653" s="256" t="str">
        <f t="shared" si="293"/>
        <v>HL</v>
      </c>
      <c r="T653" s="256" t="str">
        <f t="shared" si="294"/>
        <v>HW</v>
      </c>
      <c r="U653" s="256" t="str">
        <f t="shared" si="295"/>
        <v>U</v>
      </c>
      <c r="V653" s="256" t="str">
        <f t="shared" si="296"/>
        <v>O</v>
      </c>
      <c r="W653" s="256" t="str">
        <f t="shared" si="297"/>
        <v>O</v>
      </c>
      <c r="X653" s="256" t="str">
        <f t="shared" si="298"/>
        <v>U</v>
      </c>
      <c r="Y653" s="256">
        <v>222</v>
      </c>
      <c r="Z653" s="258">
        <v>56</v>
      </c>
      <c r="AA653" s="256" t="str">
        <f t="shared" si="299"/>
        <v>POR/GS</v>
      </c>
      <c r="AC653" s="256"/>
      <c r="AD653" s="256"/>
      <c r="AE653" s="258"/>
      <c r="AF653" s="256"/>
    </row>
    <row r="654" spans="1:32" x14ac:dyDescent="0.3">
      <c r="A654" s="218">
        <v>200122</v>
      </c>
      <c r="B654" s="221">
        <v>0.4375</v>
      </c>
      <c r="C654" s="220" t="s">
        <v>397</v>
      </c>
      <c r="D654" s="220" t="s">
        <v>415</v>
      </c>
      <c r="E654">
        <v>24</v>
      </c>
      <c r="F654">
        <v>25</v>
      </c>
      <c r="G654">
        <v>29</v>
      </c>
      <c r="H654">
        <v>29</v>
      </c>
      <c r="J654">
        <v>24</v>
      </c>
      <c r="K654">
        <v>36</v>
      </c>
      <c r="L654">
        <v>22</v>
      </c>
      <c r="M654">
        <v>28</v>
      </c>
      <c r="O654" s="256">
        <f t="shared" si="289"/>
        <v>107</v>
      </c>
      <c r="P654" s="256">
        <f t="shared" si="290"/>
        <v>110</v>
      </c>
      <c r="Q654" s="256" t="str">
        <f t="shared" si="291"/>
        <v>TT</v>
      </c>
      <c r="R654" s="256" t="str">
        <f t="shared" si="292"/>
        <v>HL</v>
      </c>
      <c r="S654" s="256" t="str">
        <f t="shared" si="293"/>
        <v>HW</v>
      </c>
      <c r="T654" s="256" t="str">
        <f t="shared" si="294"/>
        <v>HW</v>
      </c>
      <c r="U654" s="256" t="str">
        <f t="shared" si="295"/>
        <v>U</v>
      </c>
      <c r="V654" s="256" t="str">
        <f t="shared" si="296"/>
        <v>O</v>
      </c>
      <c r="W654" s="256" t="str">
        <f t="shared" si="297"/>
        <v>U</v>
      </c>
      <c r="X654" s="256" t="str">
        <f t="shared" si="298"/>
        <v>U</v>
      </c>
      <c r="Y654" s="256"/>
      <c r="Z654">
        <v>60</v>
      </c>
      <c r="AA654" s="256" t="str">
        <f t="shared" si="299"/>
        <v>DAL/LAC</v>
      </c>
    </row>
    <row r="655" spans="1:32" x14ac:dyDescent="0.3">
      <c r="A655" s="220">
        <v>200123</v>
      </c>
      <c r="B655" s="223">
        <v>0.375</v>
      </c>
      <c r="C655" s="222" t="s">
        <v>422</v>
      </c>
      <c r="D655" s="222" t="s">
        <v>416</v>
      </c>
      <c r="E655">
        <v>26</v>
      </c>
      <c r="F655">
        <v>31</v>
      </c>
      <c r="G655">
        <v>36</v>
      </c>
      <c r="H655">
        <v>34</v>
      </c>
      <c r="J655">
        <v>27</v>
      </c>
      <c r="K655">
        <v>23</v>
      </c>
      <c r="L655">
        <v>25</v>
      </c>
      <c r="M655">
        <v>31</v>
      </c>
      <c r="O655" s="256">
        <f t="shared" si="289"/>
        <v>127</v>
      </c>
      <c r="P655" s="256">
        <f t="shared" si="290"/>
        <v>106</v>
      </c>
      <c r="Q655" s="256" t="str">
        <f t="shared" si="291"/>
        <v>HL</v>
      </c>
      <c r="R655" s="256" t="str">
        <f t="shared" si="292"/>
        <v>HW</v>
      </c>
      <c r="S655" s="256" t="str">
        <f t="shared" si="293"/>
        <v>HW</v>
      </c>
      <c r="T655" s="256" t="str">
        <f t="shared" si="294"/>
        <v>HW</v>
      </c>
      <c r="U655" s="256" t="str">
        <f t="shared" si="295"/>
        <v>U</v>
      </c>
      <c r="V655" s="256" t="str">
        <f t="shared" si="296"/>
        <v>U</v>
      </c>
      <c r="W655" s="256" t="str">
        <f t="shared" si="297"/>
        <v>O</v>
      </c>
      <c r="X655" s="256" t="str">
        <f t="shared" si="298"/>
        <v>O</v>
      </c>
      <c r="Y655" s="256"/>
      <c r="Z655">
        <v>57</v>
      </c>
      <c r="AA655" s="256" t="str">
        <f t="shared" si="299"/>
        <v>DET/SAC</v>
      </c>
    </row>
    <row r="656" spans="1:32" x14ac:dyDescent="0.3">
      <c r="A656" s="222">
        <v>200123</v>
      </c>
      <c r="B656" s="223">
        <v>0.375</v>
      </c>
      <c r="C656" s="222" t="s">
        <v>424</v>
      </c>
      <c r="D656" s="222" t="s">
        <v>418</v>
      </c>
      <c r="E656">
        <v>21</v>
      </c>
      <c r="F656">
        <v>30</v>
      </c>
      <c r="G656">
        <v>38</v>
      </c>
      <c r="H656">
        <v>25</v>
      </c>
      <c r="J656">
        <v>24</v>
      </c>
      <c r="K656">
        <v>36</v>
      </c>
      <c r="L656">
        <v>32</v>
      </c>
      <c r="M656">
        <v>28</v>
      </c>
      <c r="O656" s="256">
        <f t="shared" si="289"/>
        <v>114</v>
      </c>
      <c r="P656" s="256">
        <f t="shared" si="290"/>
        <v>120</v>
      </c>
      <c r="Q656" s="256" t="str">
        <f t="shared" si="291"/>
        <v>HL</v>
      </c>
      <c r="R656" s="256" t="str">
        <f t="shared" si="292"/>
        <v>HL</v>
      </c>
      <c r="S656" s="256" t="str">
        <f t="shared" si="293"/>
        <v>HW</v>
      </c>
      <c r="T656" s="256" t="str">
        <f t="shared" si="294"/>
        <v>HL</v>
      </c>
      <c r="U656" s="256" t="str">
        <f t="shared" si="295"/>
        <v>U</v>
      </c>
      <c r="V656" s="256" t="str">
        <f t="shared" si="296"/>
        <v>O</v>
      </c>
      <c r="W656" s="256" t="str">
        <f t="shared" si="297"/>
        <v>O</v>
      </c>
      <c r="X656" s="256" t="str">
        <f t="shared" si="298"/>
        <v>U</v>
      </c>
      <c r="Y656" s="256"/>
      <c r="Z656">
        <v>54</v>
      </c>
      <c r="AA656" s="256" t="str">
        <f t="shared" si="299"/>
        <v>ORL/OKC</v>
      </c>
    </row>
    <row r="657" spans="1:27" x14ac:dyDescent="0.3">
      <c r="A657" s="222">
        <v>200123</v>
      </c>
      <c r="B657" s="223">
        <v>0.375</v>
      </c>
      <c r="C657" s="222" t="s">
        <v>413</v>
      </c>
      <c r="D657" s="222" t="s">
        <v>401</v>
      </c>
      <c r="E657">
        <v>26</v>
      </c>
      <c r="F657">
        <v>24</v>
      </c>
      <c r="G657">
        <v>26</v>
      </c>
      <c r="H657">
        <v>31</v>
      </c>
      <c r="J657">
        <v>35</v>
      </c>
      <c r="K657">
        <v>15</v>
      </c>
      <c r="L657">
        <v>22</v>
      </c>
      <c r="M657">
        <v>23</v>
      </c>
      <c r="O657" s="256">
        <f t="shared" si="289"/>
        <v>107</v>
      </c>
      <c r="P657" s="256">
        <f t="shared" si="290"/>
        <v>95</v>
      </c>
      <c r="Q657" s="256" t="str">
        <f t="shared" si="291"/>
        <v>HL</v>
      </c>
      <c r="R657" s="256" t="str">
        <f t="shared" si="292"/>
        <v>HW</v>
      </c>
      <c r="S657" s="256" t="str">
        <f t="shared" si="293"/>
        <v>HW</v>
      </c>
      <c r="T657" s="256" t="str">
        <f t="shared" si="294"/>
        <v>HW</v>
      </c>
      <c r="U657" s="256" t="str">
        <f t="shared" si="295"/>
        <v>O</v>
      </c>
      <c r="V657" s="256" t="str">
        <f t="shared" si="296"/>
        <v>U</v>
      </c>
      <c r="W657" s="256" t="str">
        <f t="shared" si="297"/>
        <v>U</v>
      </c>
      <c r="X657" s="256" t="str">
        <f t="shared" si="298"/>
        <v>U</v>
      </c>
      <c r="Y657" s="256"/>
      <c r="Z657">
        <v>55.5</v>
      </c>
      <c r="AA657" s="256" t="str">
        <f t="shared" si="299"/>
        <v>TOR/PHI</v>
      </c>
    </row>
    <row r="658" spans="1:27" x14ac:dyDescent="0.3">
      <c r="A658" s="222">
        <v>200123</v>
      </c>
      <c r="B658" s="223">
        <v>0.39583333333333331</v>
      </c>
      <c r="C658" s="222" t="s">
        <v>410</v>
      </c>
      <c r="D658" s="222" t="s">
        <v>415</v>
      </c>
      <c r="E658">
        <v>16</v>
      </c>
      <c r="F658">
        <v>25</v>
      </c>
      <c r="G658">
        <v>28</v>
      </c>
      <c r="H658">
        <v>33</v>
      </c>
      <c r="J658">
        <v>32</v>
      </c>
      <c r="K658">
        <v>28</v>
      </c>
      <c r="L658">
        <v>15</v>
      </c>
      <c r="M658">
        <v>20</v>
      </c>
      <c r="O658" s="256">
        <f t="shared" si="289"/>
        <v>102</v>
      </c>
      <c r="P658" s="256">
        <f t="shared" si="290"/>
        <v>95</v>
      </c>
      <c r="Q658" s="256" t="str">
        <f t="shared" si="291"/>
        <v>HL</v>
      </c>
      <c r="R658" s="256" t="str">
        <f t="shared" si="292"/>
        <v>HL</v>
      </c>
      <c r="S658" s="256" t="str">
        <f t="shared" si="293"/>
        <v>HW</v>
      </c>
      <c r="T658" s="256" t="str">
        <f t="shared" si="294"/>
        <v>HW</v>
      </c>
      <c r="U658" s="256" t="str">
        <f t="shared" si="295"/>
        <v>U</v>
      </c>
      <c r="V658" s="256" t="str">
        <f t="shared" si="296"/>
        <v>U</v>
      </c>
      <c r="W658" s="256" t="str">
        <f t="shared" si="297"/>
        <v>U</v>
      </c>
      <c r="X658" s="256" t="str">
        <f t="shared" si="298"/>
        <v>U</v>
      </c>
      <c r="Y658" s="256"/>
      <c r="Z658">
        <v>59.5</v>
      </c>
      <c r="AA658" s="256" t="str">
        <f t="shared" si="299"/>
        <v>ATL/LAC</v>
      </c>
    </row>
    <row r="659" spans="1:27" x14ac:dyDescent="0.3">
      <c r="A659" s="222">
        <v>200123</v>
      </c>
      <c r="B659" s="223">
        <v>0.39583333333333331</v>
      </c>
      <c r="C659" s="222" t="s">
        <v>421</v>
      </c>
      <c r="D659" s="222" t="s">
        <v>406</v>
      </c>
      <c r="E659">
        <v>25</v>
      </c>
      <c r="F659">
        <v>33</v>
      </c>
      <c r="G659">
        <v>41</v>
      </c>
      <c r="H659">
        <v>20</v>
      </c>
      <c r="J659">
        <v>27</v>
      </c>
      <c r="K659">
        <v>17</v>
      </c>
      <c r="L659">
        <v>19</v>
      </c>
      <c r="M659">
        <v>32</v>
      </c>
      <c r="O659" s="256">
        <f t="shared" si="289"/>
        <v>119</v>
      </c>
      <c r="P659" s="256">
        <f t="shared" si="290"/>
        <v>95</v>
      </c>
      <c r="Q659" s="256" t="str">
        <f t="shared" si="291"/>
        <v>HL</v>
      </c>
      <c r="R659" s="256" t="str">
        <f t="shared" si="292"/>
        <v>HW</v>
      </c>
      <c r="S659" s="256" t="str">
        <f t="shared" si="293"/>
        <v>HW</v>
      </c>
      <c r="T659" s="256" t="str">
        <f t="shared" si="294"/>
        <v>HL</v>
      </c>
      <c r="U659" s="256" t="str">
        <f t="shared" si="295"/>
        <v>U</v>
      </c>
      <c r="V659" s="256" t="str">
        <f t="shared" si="296"/>
        <v>U</v>
      </c>
      <c r="W659" s="256" t="str">
        <f t="shared" si="297"/>
        <v>O</v>
      </c>
      <c r="X659" s="256" t="str">
        <f t="shared" si="298"/>
        <v>U</v>
      </c>
      <c r="Y659" s="256"/>
      <c r="Z659">
        <v>57</v>
      </c>
      <c r="AA659" s="256" t="str">
        <f t="shared" si="299"/>
        <v>BOS/MEM</v>
      </c>
    </row>
    <row r="660" spans="1:27" x14ac:dyDescent="0.3">
      <c r="A660" s="222">
        <v>200123</v>
      </c>
      <c r="B660" s="223">
        <v>0.39583333333333331</v>
      </c>
      <c r="C660" s="222" t="s">
        <v>411</v>
      </c>
      <c r="D660" s="222" t="s">
        <v>414</v>
      </c>
      <c r="E660">
        <v>30</v>
      </c>
      <c r="F660">
        <v>39</v>
      </c>
      <c r="G660">
        <v>21</v>
      </c>
      <c r="H660">
        <v>28</v>
      </c>
      <c r="I660">
        <v>16</v>
      </c>
      <c r="J660">
        <v>27</v>
      </c>
      <c r="K660">
        <v>23</v>
      </c>
      <c r="L660">
        <v>33</v>
      </c>
      <c r="M660">
        <v>35</v>
      </c>
      <c r="N660" s="2">
        <v>11</v>
      </c>
      <c r="O660" s="256">
        <f t="shared" si="289"/>
        <v>134</v>
      </c>
      <c r="P660" s="256">
        <f t="shared" si="290"/>
        <v>129</v>
      </c>
      <c r="Q660" s="256" t="str">
        <f t="shared" si="291"/>
        <v>HW</v>
      </c>
      <c r="R660" s="256" t="str">
        <f t="shared" si="292"/>
        <v>HW</v>
      </c>
      <c r="S660" s="256" t="str">
        <f t="shared" si="293"/>
        <v>HL</v>
      </c>
      <c r="T660" s="256" t="str">
        <f t="shared" si="294"/>
        <v>HL</v>
      </c>
      <c r="U660" s="256" t="str">
        <f t="shared" si="295"/>
        <v>U</v>
      </c>
      <c r="V660" s="256" t="str">
        <f t="shared" si="296"/>
        <v>O</v>
      </c>
      <c r="W660" s="256" t="str">
        <f t="shared" si="297"/>
        <v>U</v>
      </c>
      <c r="X660" s="256" t="str">
        <f t="shared" si="298"/>
        <v>O</v>
      </c>
      <c r="Y660" s="256"/>
      <c r="Z660">
        <v>60</v>
      </c>
      <c r="AA660" s="256" t="str">
        <f t="shared" si="299"/>
        <v>MIA/WAS</v>
      </c>
    </row>
    <row r="661" spans="1:27" x14ac:dyDescent="0.3">
      <c r="A661" s="222">
        <v>200123</v>
      </c>
      <c r="B661" s="223">
        <v>0.39583333333333331</v>
      </c>
      <c r="C661" s="222" t="s">
        <v>399</v>
      </c>
      <c r="D661" s="222" t="s">
        <v>419</v>
      </c>
      <c r="E661">
        <v>25</v>
      </c>
      <c r="F661">
        <v>23</v>
      </c>
      <c r="G661">
        <v>22</v>
      </c>
      <c r="H661">
        <v>22</v>
      </c>
      <c r="J661">
        <v>28</v>
      </c>
      <c r="K661">
        <v>20</v>
      </c>
      <c r="L661">
        <v>28</v>
      </c>
      <c r="M661">
        <v>24</v>
      </c>
      <c r="O661" s="256">
        <f t="shared" si="289"/>
        <v>92</v>
      </c>
      <c r="P661" s="256">
        <f t="shared" si="290"/>
        <v>100</v>
      </c>
      <c r="Q661" s="256" t="str">
        <f t="shared" si="291"/>
        <v>HL</v>
      </c>
      <c r="R661" s="256" t="str">
        <f t="shared" si="292"/>
        <v>HW</v>
      </c>
      <c r="S661" s="256" t="str">
        <f t="shared" si="293"/>
        <v>HL</v>
      </c>
      <c r="T661" s="256" t="str">
        <f t="shared" si="294"/>
        <v>HL</v>
      </c>
      <c r="U661" s="256" t="str">
        <f t="shared" si="295"/>
        <v>U</v>
      </c>
      <c r="V661" s="256" t="str">
        <f t="shared" si="296"/>
        <v>U</v>
      </c>
      <c r="W661" s="256" t="str">
        <f t="shared" si="297"/>
        <v>U</v>
      </c>
      <c r="X661" s="256" t="str">
        <f t="shared" si="298"/>
        <v>U</v>
      </c>
      <c r="Y661" s="256"/>
      <c r="Z661">
        <v>57.5</v>
      </c>
      <c r="AA661" s="256" t="str">
        <f t="shared" si="299"/>
        <v>NYK/LAL</v>
      </c>
    </row>
    <row r="662" spans="1:27" x14ac:dyDescent="0.3">
      <c r="A662" s="222">
        <v>200123</v>
      </c>
      <c r="B662" s="223">
        <v>0.41666666666666669</v>
      </c>
      <c r="C662" s="222" t="s">
        <v>412</v>
      </c>
      <c r="D662" s="222" t="s">
        <v>420</v>
      </c>
      <c r="E662">
        <v>35</v>
      </c>
      <c r="F662">
        <v>24</v>
      </c>
      <c r="G662">
        <v>22</v>
      </c>
      <c r="H662">
        <v>36</v>
      </c>
      <c r="J662">
        <v>26</v>
      </c>
      <c r="K662">
        <v>26</v>
      </c>
      <c r="L662">
        <v>27</v>
      </c>
      <c r="M662">
        <v>31</v>
      </c>
      <c r="O662" s="256">
        <f t="shared" si="289"/>
        <v>117</v>
      </c>
      <c r="P662" s="256">
        <f t="shared" si="290"/>
        <v>110</v>
      </c>
      <c r="Q662" s="256" t="str">
        <f t="shared" si="291"/>
        <v>HW</v>
      </c>
      <c r="R662" s="256" t="str">
        <f t="shared" si="292"/>
        <v>HL</v>
      </c>
      <c r="S662" s="256" t="str">
        <f t="shared" si="293"/>
        <v>HL</v>
      </c>
      <c r="T662" s="256" t="str">
        <f t="shared" si="294"/>
        <v>HW</v>
      </c>
      <c r="U662" s="256" t="str">
        <f t="shared" si="295"/>
        <v>O</v>
      </c>
      <c r="V662" s="256" t="str">
        <f t="shared" si="296"/>
        <v>U</v>
      </c>
      <c r="W662" s="256" t="str">
        <f t="shared" si="297"/>
        <v>U</v>
      </c>
      <c r="X662" s="256" t="str">
        <f t="shared" si="298"/>
        <v>O</v>
      </c>
      <c r="Y662" s="256"/>
      <c r="Z662">
        <v>56.5</v>
      </c>
      <c r="AA662" s="256" t="str">
        <f t="shared" si="299"/>
        <v>CHI/MIN</v>
      </c>
    </row>
    <row r="663" spans="1:27" x14ac:dyDescent="0.3">
      <c r="A663" s="222">
        <v>200123</v>
      </c>
      <c r="B663" s="223">
        <v>0.41666666666666669</v>
      </c>
      <c r="C663" s="222" t="s">
        <v>403</v>
      </c>
      <c r="D663" s="222" t="s">
        <v>408</v>
      </c>
      <c r="E663">
        <v>35</v>
      </c>
      <c r="F663">
        <v>25</v>
      </c>
      <c r="G663">
        <v>32</v>
      </c>
      <c r="H663">
        <v>29</v>
      </c>
      <c r="J663">
        <v>28</v>
      </c>
      <c r="K663">
        <v>15</v>
      </c>
      <c r="L663">
        <v>28</v>
      </c>
      <c r="M663">
        <v>34</v>
      </c>
      <c r="O663" s="256">
        <f t="shared" si="289"/>
        <v>121</v>
      </c>
      <c r="P663" s="256">
        <f t="shared" si="290"/>
        <v>105</v>
      </c>
      <c r="Q663" s="256" t="str">
        <f t="shared" si="291"/>
        <v>HW</v>
      </c>
      <c r="R663" s="256" t="str">
        <f t="shared" si="292"/>
        <v>HW</v>
      </c>
      <c r="S663" s="256" t="str">
        <f t="shared" si="293"/>
        <v>HW</v>
      </c>
      <c r="T663" s="256" t="str">
        <f t="shared" si="294"/>
        <v>HL</v>
      </c>
      <c r="U663" s="256" t="str">
        <f t="shared" si="295"/>
        <v>O</v>
      </c>
      <c r="V663" s="256" t="str">
        <f t="shared" si="296"/>
        <v>U</v>
      </c>
      <c r="W663" s="256" t="str">
        <f t="shared" si="297"/>
        <v>O</v>
      </c>
      <c r="X663" s="256" t="str">
        <f t="shared" si="298"/>
        <v>O</v>
      </c>
      <c r="Y663" s="256"/>
      <c r="Z663">
        <v>58.5</v>
      </c>
      <c r="AA663" s="256" t="str">
        <f t="shared" si="299"/>
        <v>HOU/DEN</v>
      </c>
    </row>
    <row r="664" spans="1:27" x14ac:dyDescent="0.3">
      <c r="A664" s="222">
        <v>200123</v>
      </c>
      <c r="B664" s="223">
        <v>0.45833333333333331</v>
      </c>
      <c r="C664" s="222" t="s">
        <v>404</v>
      </c>
      <c r="D664" s="222" t="s">
        <v>400</v>
      </c>
      <c r="E664">
        <v>24</v>
      </c>
      <c r="F664">
        <v>24</v>
      </c>
      <c r="G664">
        <v>17</v>
      </c>
      <c r="H664">
        <v>22</v>
      </c>
      <c r="J664">
        <v>30</v>
      </c>
      <c r="K664">
        <v>24</v>
      </c>
      <c r="L664">
        <v>29</v>
      </c>
      <c r="M664">
        <v>29</v>
      </c>
      <c r="O664" s="256">
        <f t="shared" si="289"/>
        <v>87</v>
      </c>
      <c r="P664" s="256">
        <f t="shared" si="290"/>
        <v>112</v>
      </c>
      <c r="Q664" s="256" t="str">
        <f t="shared" si="291"/>
        <v>HL</v>
      </c>
      <c r="R664" s="256" t="str">
        <f t="shared" si="292"/>
        <v>TT</v>
      </c>
      <c r="S664" s="256" t="str">
        <f t="shared" si="293"/>
        <v>HL</v>
      </c>
      <c r="T664" s="256" t="str">
        <f t="shared" si="294"/>
        <v>HL</v>
      </c>
      <c r="U664" s="256" t="str">
        <f t="shared" si="295"/>
        <v>U</v>
      </c>
      <c r="V664" s="256" t="str">
        <f t="shared" si="296"/>
        <v>U</v>
      </c>
      <c r="W664" s="256" t="str">
        <f t="shared" si="297"/>
        <v>U</v>
      </c>
      <c r="X664" s="256" t="str">
        <f t="shared" si="298"/>
        <v>U</v>
      </c>
      <c r="Y664" s="256"/>
      <c r="Z664">
        <v>56.5</v>
      </c>
      <c r="AA664" s="256" t="str">
        <f t="shared" si="299"/>
        <v>PHO/IND</v>
      </c>
    </row>
    <row r="665" spans="1:27" x14ac:dyDescent="0.3">
      <c r="A665" s="222">
        <v>200123</v>
      </c>
      <c r="B665" s="223">
        <v>0.47916666666666669</v>
      </c>
      <c r="C665" s="222" t="s">
        <v>398</v>
      </c>
      <c r="D665" s="222" t="s">
        <v>426</v>
      </c>
      <c r="E665">
        <v>24</v>
      </c>
      <c r="F665">
        <v>27</v>
      </c>
      <c r="G665">
        <v>31</v>
      </c>
      <c r="H665">
        <v>35</v>
      </c>
      <c r="J665">
        <v>31</v>
      </c>
      <c r="K665">
        <v>29</v>
      </c>
      <c r="L665">
        <v>34</v>
      </c>
      <c r="M665">
        <v>27</v>
      </c>
      <c r="O665" s="256">
        <f t="shared" si="289"/>
        <v>117</v>
      </c>
      <c r="P665" s="256">
        <f t="shared" si="290"/>
        <v>121</v>
      </c>
      <c r="Q665" s="256" t="str">
        <f t="shared" si="291"/>
        <v>HL</v>
      </c>
      <c r="R665" s="256" t="str">
        <f t="shared" si="292"/>
        <v>HL</v>
      </c>
      <c r="S665" s="256" t="str">
        <f t="shared" si="293"/>
        <v>HL</v>
      </c>
      <c r="T665" s="256" t="str">
        <f t="shared" si="294"/>
        <v>HW</v>
      </c>
      <c r="U665" s="256" t="str">
        <f t="shared" si="295"/>
        <v>U</v>
      </c>
      <c r="V665" s="256" t="str">
        <f t="shared" si="296"/>
        <v>U</v>
      </c>
      <c r="W665" s="256" t="str">
        <f t="shared" si="297"/>
        <v>O</v>
      </c>
      <c r="X665" s="256" t="str">
        <f t="shared" si="298"/>
        <v>O</v>
      </c>
      <c r="Y665" s="256"/>
      <c r="Z665">
        <v>58</v>
      </c>
      <c r="AA665" s="256" t="str">
        <f t="shared" si="299"/>
        <v>NO/SAS</v>
      </c>
    </row>
    <row r="666" spans="1:27" x14ac:dyDescent="0.3">
      <c r="A666" s="222">
        <v>200123</v>
      </c>
      <c r="B666" s="223">
        <v>0.5</v>
      </c>
      <c r="C666" s="222" t="s">
        <v>425</v>
      </c>
      <c r="D666" s="222" t="s">
        <v>405</v>
      </c>
      <c r="E666">
        <v>17</v>
      </c>
      <c r="F666">
        <v>26</v>
      </c>
      <c r="G666">
        <v>26</v>
      </c>
      <c r="H666">
        <v>27</v>
      </c>
      <c r="J666">
        <v>31</v>
      </c>
      <c r="K666">
        <v>34</v>
      </c>
      <c r="L666">
        <v>35</v>
      </c>
      <c r="M666">
        <v>29</v>
      </c>
      <c r="O666" s="256">
        <f t="shared" si="289"/>
        <v>96</v>
      </c>
      <c r="P666" s="256">
        <f t="shared" si="290"/>
        <v>129</v>
      </c>
      <c r="Q666" s="256" t="str">
        <f t="shared" si="291"/>
        <v>HL</v>
      </c>
      <c r="R666" s="256" t="str">
        <f t="shared" si="292"/>
        <v>HL</v>
      </c>
      <c r="S666" s="256" t="str">
        <f t="shared" si="293"/>
        <v>HL</v>
      </c>
      <c r="T666" s="256" t="str">
        <f t="shared" si="294"/>
        <v>HL</v>
      </c>
      <c r="U666" s="256" t="str">
        <f t="shared" si="295"/>
        <v>U</v>
      </c>
      <c r="V666" s="256" t="str">
        <f t="shared" si="296"/>
        <v>O</v>
      </c>
      <c r="W666" s="256" t="str">
        <f t="shared" si="297"/>
        <v>O</v>
      </c>
      <c r="X666" s="256" t="str">
        <f t="shared" si="298"/>
        <v>O</v>
      </c>
      <c r="Y666" s="256"/>
      <c r="Z666">
        <v>53.5</v>
      </c>
      <c r="AA666" s="256" t="str">
        <f t="shared" si="299"/>
        <v>GS/UTA</v>
      </c>
    </row>
    <row r="667" spans="1:27" x14ac:dyDescent="0.3">
      <c r="A667" s="222">
        <v>200124</v>
      </c>
      <c r="B667" s="225">
        <v>0.375</v>
      </c>
      <c r="C667" s="224" t="s">
        <v>402</v>
      </c>
      <c r="D667" s="224" t="s">
        <v>414</v>
      </c>
      <c r="E667">
        <v>24</v>
      </c>
      <c r="F667">
        <v>37</v>
      </c>
      <c r="G667">
        <v>25</v>
      </c>
      <c r="H667">
        <v>26</v>
      </c>
      <c r="J667">
        <v>29</v>
      </c>
      <c r="K667">
        <v>39</v>
      </c>
      <c r="L667">
        <v>32</v>
      </c>
      <c r="M667">
        <v>24</v>
      </c>
      <c r="O667" s="256">
        <f t="shared" si="289"/>
        <v>112</v>
      </c>
      <c r="P667" s="256">
        <f t="shared" si="290"/>
        <v>124</v>
      </c>
      <c r="Q667" s="256" t="str">
        <f t="shared" si="291"/>
        <v>HL</v>
      </c>
      <c r="R667" s="256" t="str">
        <f t="shared" si="292"/>
        <v>HL</v>
      </c>
      <c r="S667" s="256" t="str">
        <f t="shared" si="293"/>
        <v>HL</v>
      </c>
      <c r="T667" s="256" t="str">
        <f t="shared" si="294"/>
        <v>HW</v>
      </c>
      <c r="U667" s="256" t="str">
        <f t="shared" si="295"/>
        <v>U</v>
      </c>
      <c r="V667" s="256" t="str">
        <f t="shared" si="296"/>
        <v>O</v>
      </c>
      <c r="W667" s="256" t="str">
        <f t="shared" si="297"/>
        <v>U</v>
      </c>
      <c r="X667" s="256" t="str">
        <f t="shared" si="298"/>
        <v>U</v>
      </c>
      <c r="Y667" s="256"/>
      <c r="Z667">
        <v>60.5</v>
      </c>
      <c r="AA667" s="256" t="str">
        <f t="shared" si="299"/>
        <v>CLE/WAS</v>
      </c>
    </row>
    <row r="668" spans="1:27" x14ac:dyDescent="0.3">
      <c r="A668" s="224">
        <v>200124</v>
      </c>
      <c r="B668" s="225">
        <v>0.41666666666666669</v>
      </c>
      <c r="C668" s="224" t="s">
        <v>407</v>
      </c>
      <c r="D668" s="224" t="s">
        <v>419</v>
      </c>
      <c r="E668">
        <v>35</v>
      </c>
      <c r="F668">
        <v>35</v>
      </c>
      <c r="G668">
        <v>24</v>
      </c>
      <c r="H668">
        <v>19</v>
      </c>
      <c r="J668">
        <v>38</v>
      </c>
      <c r="K668">
        <v>37</v>
      </c>
      <c r="L668">
        <v>29</v>
      </c>
      <c r="M668">
        <v>24</v>
      </c>
      <c r="O668" s="256">
        <f t="shared" si="289"/>
        <v>113</v>
      </c>
      <c r="P668" s="256">
        <f t="shared" si="290"/>
        <v>128</v>
      </c>
      <c r="Q668" s="256" t="str">
        <f t="shared" si="291"/>
        <v>HL</v>
      </c>
      <c r="R668" s="256" t="str">
        <f t="shared" si="292"/>
        <v>HL</v>
      </c>
      <c r="S668" s="256" t="str">
        <f t="shared" si="293"/>
        <v>HL</v>
      </c>
      <c r="T668" s="256" t="str">
        <f t="shared" si="294"/>
        <v>HL</v>
      </c>
      <c r="U668" s="256" t="str">
        <f t="shared" si="295"/>
        <v>O</v>
      </c>
      <c r="V668" s="256" t="str">
        <f t="shared" si="296"/>
        <v>O</v>
      </c>
      <c r="W668" s="256" t="str">
        <f t="shared" si="297"/>
        <v>U</v>
      </c>
      <c r="X668" s="256" t="str">
        <f t="shared" si="298"/>
        <v>U</v>
      </c>
      <c r="Y668" s="256"/>
      <c r="Z668">
        <v>59</v>
      </c>
      <c r="AA668" s="256" t="str">
        <f t="shared" si="299"/>
        <v>BKN/LAL</v>
      </c>
    </row>
    <row r="669" spans="1:27" x14ac:dyDescent="0.3">
      <c r="A669" s="224">
        <v>200124</v>
      </c>
      <c r="B669" s="225">
        <v>0.52083333333333337</v>
      </c>
      <c r="C669" s="224" t="s">
        <v>417</v>
      </c>
      <c r="D669" s="224" t="s">
        <v>397</v>
      </c>
      <c r="E669">
        <v>37</v>
      </c>
      <c r="F669">
        <v>26</v>
      </c>
      <c r="G669">
        <v>27</v>
      </c>
      <c r="H669">
        <v>35</v>
      </c>
      <c r="J669">
        <v>45</v>
      </c>
      <c r="K669">
        <v>33</v>
      </c>
      <c r="L669">
        <v>25</v>
      </c>
      <c r="M669">
        <v>30</v>
      </c>
      <c r="O669" s="256">
        <f t="shared" ref="O669:O726" si="300">SUM(E669:I669)</f>
        <v>125</v>
      </c>
      <c r="P669" s="256">
        <f t="shared" ref="P669:P726" si="301">SUM(J669:N669)</f>
        <v>133</v>
      </c>
      <c r="Q669" s="256" t="str">
        <f t="shared" ref="Q669:Q726" si="302">IF(E669=J669,"TT",IF(E669&gt;J669,"HW","HL"))</f>
        <v>HL</v>
      </c>
      <c r="R669" s="256" t="str">
        <f t="shared" ref="R669:R726" si="303">IF(F669=K669,"TT",IF(F669&gt;K669,"HW","HL"))</f>
        <v>HL</v>
      </c>
      <c r="S669" s="256" t="str">
        <f t="shared" ref="S669:S726" si="304">IF(G669=L669,"TT",IF(G669&gt;L669,"HW","HL"))</f>
        <v>HW</v>
      </c>
      <c r="T669" s="256" t="str">
        <f t="shared" ref="T669:T726" si="305">IF(H669=M669,"TT",IF(H669&gt;M669,"HW","HL"))</f>
        <v>HW</v>
      </c>
      <c r="U669" s="256" t="str">
        <f t="shared" ref="U669:U726" si="306">IF(SUM(E669,J669)=$Z669,"T",IF(SUM(E669,J669)&gt;$Z669,"O","U"))</f>
        <v>O</v>
      </c>
      <c r="V669" s="256" t="str">
        <f t="shared" ref="V669:V726" si="307">IF(SUM(F669,K669)=$Z669,"T",IF(SUM(F669,K669)&gt;$Z669,"O","U"))</f>
        <v>O</v>
      </c>
      <c r="W669" s="256" t="str">
        <f t="shared" ref="W669:W726" si="308">IF(SUM(G669,L669)=$Z669,"T",IF(SUM(G669,L669)&gt;$Z669,"O","U"))</f>
        <v>U</v>
      </c>
      <c r="X669" s="256" t="str">
        <f t="shared" ref="X669:X726" si="309">IF(SUM(H669,M669)=$Z669,"T",IF(SUM(H669,M669)&gt;$Z669,"O","U"))</f>
        <v>O</v>
      </c>
      <c r="Y669" s="256"/>
      <c r="Z669">
        <v>58.5</v>
      </c>
      <c r="AA669" s="256" t="str">
        <f t="shared" si="299"/>
        <v>POR/DAL</v>
      </c>
    </row>
    <row r="670" spans="1:27" x14ac:dyDescent="0.3">
      <c r="A670" s="224">
        <v>200125</v>
      </c>
      <c r="B670" s="227">
        <v>0.20833333333333334</v>
      </c>
      <c r="C670" s="226" t="s">
        <v>409</v>
      </c>
      <c r="D670" s="226" t="s">
        <v>423</v>
      </c>
      <c r="E670">
        <v>31</v>
      </c>
      <c r="F670">
        <v>24</v>
      </c>
      <c r="G670">
        <v>23</v>
      </c>
      <c r="H670">
        <v>25</v>
      </c>
      <c r="J670">
        <v>24</v>
      </c>
      <c r="K670">
        <v>26</v>
      </c>
      <c r="L670">
        <v>28</v>
      </c>
      <c r="M670">
        <v>38</v>
      </c>
      <c r="O670" s="256">
        <f t="shared" si="300"/>
        <v>103</v>
      </c>
      <c r="P670" s="256">
        <f t="shared" si="301"/>
        <v>116</v>
      </c>
      <c r="Q670" s="256" t="str">
        <f t="shared" si="302"/>
        <v>HW</v>
      </c>
      <c r="R670" s="256" t="str">
        <f t="shared" si="303"/>
        <v>HL</v>
      </c>
      <c r="S670" s="256" t="str">
        <f t="shared" si="304"/>
        <v>HL</v>
      </c>
      <c r="T670" s="256" t="str">
        <f t="shared" si="305"/>
        <v>HL</v>
      </c>
      <c r="U670" s="256" t="str">
        <f t="shared" si="306"/>
        <v>O</v>
      </c>
      <c r="V670" s="256" t="str">
        <f t="shared" si="307"/>
        <v>U</v>
      </c>
      <c r="W670" s="256" t="str">
        <f t="shared" si="308"/>
        <v>U</v>
      </c>
      <c r="X670" s="256" t="str">
        <f t="shared" si="309"/>
        <v>O</v>
      </c>
      <c r="Y670" s="256"/>
      <c r="Z670">
        <v>54</v>
      </c>
      <c r="AA670" s="256" t="str">
        <f t="shared" si="299"/>
        <v>CHA/MIL</v>
      </c>
    </row>
    <row r="671" spans="1:27" x14ac:dyDescent="0.3">
      <c r="A671" s="228">
        <v>200125</v>
      </c>
      <c r="B671" s="227">
        <v>0.375</v>
      </c>
      <c r="C671" s="226" t="s">
        <v>422</v>
      </c>
      <c r="D671" s="226" t="s">
        <v>406</v>
      </c>
      <c r="E671">
        <v>23</v>
      </c>
      <c r="F671">
        <v>38</v>
      </c>
      <c r="G671">
        <v>24</v>
      </c>
      <c r="H671">
        <v>27</v>
      </c>
      <c r="J671">
        <v>35</v>
      </c>
      <c r="K671">
        <v>31</v>
      </c>
      <c r="L671">
        <v>26</v>
      </c>
      <c r="M671">
        <v>33</v>
      </c>
      <c r="O671" s="256">
        <f t="shared" si="300"/>
        <v>112</v>
      </c>
      <c r="P671" s="256">
        <f t="shared" si="301"/>
        <v>125</v>
      </c>
      <c r="Q671" s="256" t="str">
        <f t="shared" si="302"/>
        <v>HL</v>
      </c>
      <c r="R671" s="256" t="str">
        <f t="shared" si="303"/>
        <v>HW</v>
      </c>
      <c r="S671" s="256" t="str">
        <f t="shared" si="304"/>
        <v>HL</v>
      </c>
      <c r="T671" s="256" t="str">
        <f t="shared" si="305"/>
        <v>HL</v>
      </c>
      <c r="U671" s="256" t="str">
        <f t="shared" si="306"/>
        <v>O</v>
      </c>
      <c r="V671" s="256" t="str">
        <f t="shared" si="307"/>
        <v>O</v>
      </c>
      <c r="W671" s="256" t="str">
        <f t="shared" si="308"/>
        <v>U</v>
      </c>
      <c r="X671" s="256" t="str">
        <f t="shared" si="309"/>
        <v>O</v>
      </c>
      <c r="Y671" s="256"/>
      <c r="Z671">
        <v>56.5</v>
      </c>
      <c r="AA671" s="256" t="str">
        <f t="shared" si="299"/>
        <v>DET/MEM</v>
      </c>
    </row>
    <row r="672" spans="1:27" x14ac:dyDescent="0.3">
      <c r="A672" s="228">
        <v>200125</v>
      </c>
      <c r="B672" s="227">
        <v>0.375</v>
      </c>
      <c r="C672" s="226" t="s">
        <v>424</v>
      </c>
      <c r="D672" s="226" t="s">
        <v>421</v>
      </c>
      <c r="E672">
        <v>30</v>
      </c>
      <c r="F672">
        <v>27</v>
      </c>
      <c r="G672">
        <v>20</v>
      </c>
      <c r="H672">
        <v>21</v>
      </c>
      <c r="J672">
        <v>24</v>
      </c>
      <c r="K672">
        <v>29</v>
      </c>
      <c r="L672">
        <v>29</v>
      </c>
      <c r="M672">
        <v>27</v>
      </c>
      <c r="O672" s="256">
        <f t="shared" si="300"/>
        <v>98</v>
      </c>
      <c r="P672" s="256">
        <f t="shared" si="301"/>
        <v>109</v>
      </c>
      <c r="Q672" s="256" t="str">
        <f t="shared" si="302"/>
        <v>HW</v>
      </c>
      <c r="R672" s="256" t="str">
        <f t="shared" si="303"/>
        <v>HL</v>
      </c>
      <c r="S672" s="256" t="str">
        <f t="shared" si="304"/>
        <v>HL</v>
      </c>
      <c r="T672" s="256" t="str">
        <f t="shared" si="305"/>
        <v>HL</v>
      </c>
      <c r="U672" s="256" t="str">
        <f t="shared" si="306"/>
        <v>O</v>
      </c>
      <c r="V672" s="256" t="str">
        <f t="shared" si="307"/>
        <v>O</v>
      </c>
      <c r="W672" s="256" t="str">
        <f t="shared" si="308"/>
        <v>U</v>
      </c>
      <c r="X672" s="256" t="str">
        <f t="shared" si="309"/>
        <v>U</v>
      </c>
      <c r="Y672" s="256"/>
      <c r="Z672">
        <v>52.5</v>
      </c>
      <c r="AA672" s="256" t="str">
        <f t="shared" si="299"/>
        <v>ORL/BOS</v>
      </c>
    </row>
    <row r="673" spans="1:27" x14ac:dyDescent="0.3">
      <c r="A673" s="228">
        <v>200125</v>
      </c>
      <c r="B673" s="227">
        <v>0.39583333333333331</v>
      </c>
      <c r="C673" s="226" t="s">
        <v>399</v>
      </c>
      <c r="D673" s="226" t="s">
        <v>413</v>
      </c>
      <c r="E673">
        <v>28</v>
      </c>
      <c r="F673">
        <v>25</v>
      </c>
      <c r="G673">
        <v>26</v>
      </c>
      <c r="H673">
        <v>33</v>
      </c>
      <c r="J673">
        <v>20</v>
      </c>
      <c r="K673">
        <v>36</v>
      </c>
      <c r="L673">
        <v>29</v>
      </c>
      <c r="M673">
        <v>33</v>
      </c>
      <c r="O673" s="256">
        <f t="shared" si="300"/>
        <v>112</v>
      </c>
      <c r="P673" s="256">
        <f t="shared" si="301"/>
        <v>118</v>
      </c>
      <c r="Q673" s="256" t="str">
        <f t="shared" si="302"/>
        <v>HW</v>
      </c>
      <c r="R673" s="256" t="str">
        <f t="shared" si="303"/>
        <v>HL</v>
      </c>
      <c r="S673" s="256" t="str">
        <f t="shared" si="304"/>
        <v>HL</v>
      </c>
      <c r="T673" s="256" t="str">
        <f t="shared" si="305"/>
        <v>TT</v>
      </c>
      <c r="U673" s="256" t="str">
        <f t="shared" si="306"/>
        <v>U</v>
      </c>
      <c r="V673" s="256" t="str">
        <f t="shared" si="307"/>
        <v>O</v>
      </c>
      <c r="W673" s="256" t="str">
        <f t="shared" si="308"/>
        <v>U</v>
      </c>
      <c r="X673" s="256" t="str">
        <f t="shared" si="309"/>
        <v>O</v>
      </c>
      <c r="Y673" s="256"/>
      <c r="Z673">
        <v>55.5</v>
      </c>
      <c r="AA673" s="256" t="str">
        <f t="shared" si="299"/>
        <v>NYK/TOR</v>
      </c>
    </row>
    <row r="674" spans="1:27" x14ac:dyDescent="0.3">
      <c r="A674" s="228">
        <v>200125</v>
      </c>
      <c r="B674" s="227">
        <v>0.41666666666666669</v>
      </c>
      <c r="C674" s="226" t="s">
        <v>398</v>
      </c>
      <c r="D674" s="226" t="s">
        <v>408</v>
      </c>
      <c r="E674">
        <v>28</v>
      </c>
      <c r="F674">
        <v>28</v>
      </c>
      <c r="G674">
        <v>26</v>
      </c>
      <c r="H674">
        <v>24</v>
      </c>
      <c r="J674">
        <v>37</v>
      </c>
      <c r="K674">
        <v>26</v>
      </c>
      <c r="L674">
        <v>31</v>
      </c>
      <c r="M674">
        <v>19</v>
      </c>
      <c r="O674" s="256">
        <f t="shared" si="300"/>
        <v>106</v>
      </c>
      <c r="P674" s="256">
        <f t="shared" si="301"/>
        <v>113</v>
      </c>
      <c r="Q674" s="256" t="str">
        <f t="shared" si="302"/>
        <v>HL</v>
      </c>
      <c r="R674" s="256" t="str">
        <f t="shared" si="303"/>
        <v>HW</v>
      </c>
      <c r="S674" s="256" t="str">
        <f t="shared" si="304"/>
        <v>HL</v>
      </c>
      <c r="T674" s="256" t="str">
        <f t="shared" si="305"/>
        <v>HW</v>
      </c>
      <c r="U674" s="256" t="str">
        <f t="shared" si="306"/>
        <v>O</v>
      </c>
      <c r="V674" s="256" t="str">
        <f t="shared" si="307"/>
        <v>U</v>
      </c>
      <c r="W674" s="256" t="str">
        <f t="shared" si="308"/>
        <v>U</v>
      </c>
      <c r="X674" s="256" t="str">
        <f t="shared" si="309"/>
        <v>U</v>
      </c>
      <c r="Y674" s="256"/>
      <c r="Z674">
        <v>59.5</v>
      </c>
      <c r="AA674" s="256" t="str">
        <f t="shared" si="299"/>
        <v>NO/DEN</v>
      </c>
    </row>
    <row r="675" spans="1:27" x14ac:dyDescent="0.3">
      <c r="A675" s="228">
        <v>200125</v>
      </c>
      <c r="B675" s="227">
        <v>0.41666666666666669</v>
      </c>
      <c r="C675" s="226" t="s">
        <v>412</v>
      </c>
      <c r="D675" s="226" t="s">
        <v>416</v>
      </c>
      <c r="E675">
        <v>21</v>
      </c>
      <c r="F675">
        <v>23</v>
      </c>
      <c r="G675">
        <v>25</v>
      </c>
      <c r="H675">
        <v>12</v>
      </c>
      <c r="J675">
        <v>29</v>
      </c>
      <c r="K675">
        <v>25</v>
      </c>
      <c r="L675">
        <v>21</v>
      </c>
      <c r="M675">
        <v>23</v>
      </c>
      <c r="O675" s="256">
        <f t="shared" si="300"/>
        <v>81</v>
      </c>
      <c r="P675" s="256">
        <f t="shared" si="301"/>
        <v>98</v>
      </c>
      <c r="Q675" s="256" t="str">
        <f t="shared" si="302"/>
        <v>HL</v>
      </c>
      <c r="R675" s="256" t="str">
        <f t="shared" si="303"/>
        <v>HL</v>
      </c>
      <c r="S675" s="256" t="str">
        <f t="shared" si="304"/>
        <v>HW</v>
      </c>
      <c r="T675" s="256" t="str">
        <f t="shared" si="305"/>
        <v>HL</v>
      </c>
      <c r="U675" s="256" t="str">
        <f t="shared" si="306"/>
        <v>U</v>
      </c>
      <c r="V675" s="256" t="str">
        <f t="shared" si="307"/>
        <v>U</v>
      </c>
      <c r="W675" s="256" t="str">
        <f t="shared" si="308"/>
        <v>U</v>
      </c>
      <c r="X675" s="256" t="str">
        <f t="shared" si="309"/>
        <v>U</v>
      </c>
      <c r="Y675" s="256"/>
      <c r="Z675">
        <v>56</v>
      </c>
      <c r="AA675" s="256" t="str">
        <f t="shared" si="299"/>
        <v>CHI/SAC</v>
      </c>
    </row>
    <row r="676" spans="1:27" x14ac:dyDescent="0.3">
      <c r="A676" s="228">
        <v>200125</v>
      </c>
      <c r="B676" s="227">
        <v>0.41666666666666669</v>
      </c>
      <c r="C676" s="226" t="s">
        <v>411</v>
      </c>
      <c r="D676" s="226" t="s">
        <v>415</v>
      </c>
      <c r="E676">
        <v>30</v>
      </c>
      <c r="F676">
        <v>35</v>
      </c>
      <c r="G676">
        <v>20</v>
      </c>
      <c r="H676">
        <v>32</v>
      </c>
      <c r="J676">
        <v>22</v>
      </c>
      <c r="K676">
        <v>41</v>
      </c>
      <c r="L676">
        <v>38</v>
      </c>
      <c r="M676">
        <v>21</v>
      </c>
      <c r="O676" s="256">
        <f t="shared" si="300"/>
        <v>117</v>
      </c>
      <c r="P676" s="256">
        <f t="shared" si="301"/>
        <v>122</v>
      </c>
      <c r="Q676" s="256" t="str">
        <f t="shared" si="302"/>
        <v>HW</v>
      </c>
      <c r="R676" s="256" t="str">
        <f t="shared" si="303"/>
        <v>HL</v>
      </c>
      <c r="S676" s="256" t="str">
        <f t="shared" si="304"/>
        <v>HL</v>
      </c>
      <c r="T676" s="256" t="str">
        <f t="shared" si="305"/>
        <v>HW</v>
      </c>
      <c r="U676" s="256" t="str">
        <f t="shared" si="306"/>
        <v>U</v>
      </c>
      <c r="V676" s="256" t="str">
        <f t="shared" si="307"/>
        <v>O</v>
      </c>
      <c r="W676" s="256" t="str">
        <f t="shared" si="308"/>
        <v>O</v>
      </c>
      <c r="X676" s="256" t="str">
        <f t="shared" si="309"/>
        <v>U</v>
      </c>
      <c r="Y676" s="256"/>
      <c r="Z676">
        <v>56.5</v>
      </c>
      <c r="AA676" s="256" t="str">
        <f t="shared" si="299"/>
        <v>MIA/LAC</v>
      </c>
    </row>
    <row r="677" spans="1:27" x14ac:dyDescent="0.3">
      <c r="A677" s="228">
        <v>200125</v>
      </c>
      <c r="B677" s="227">
        <v>0.41666666666666669</v>
      </c>
      <c r="C677" s="226" t="s">
        <v>420</v>
      </c>
      <c r="D677" s="226" t="s">
        <v>403</v>
      </c>
      <c r="E677">
        <v>26</v>
      </c>
      <c r="F677">
        <v>34</v>
      </c>
      <c r="G677">
        <v>24</v>
      </c>
      <c r="H677">
        <v>40</v>
      </c>
      <c r="J677">
        <v>36</v>
      </c>
      <c r="K677">
        <v>27</v>
      </c>
      <c r="L677">
        <v>31</v>
      </c>
      <c r="M677">
        <v>37</v>
      </c>
      <c r="O677" s="256">
        <f t="shared" si="300"/>
        <v>124</v>
      </c>
      <c r="P677" s="256">
        <f t="shared" si="301"/>
        <v>131</v>
      </c>
      <c r="Q677" s="256" t="str">
        <f t="shared" si="302"/>
        <v>HL</v>
      </c>
      <c r="R677" s="256" t="str">
        <f t="shared" si="303"/>
        <v>HW</v>
      </c>
      <c r="S677" s="256" t="str">
        <f t="shared" si="304"/>
        <v>HL</v>
      </c>
      <c r="T677" s="256" t="str">
        <f t="shared" si="305"/>
        <v>HW</v>
      </c>
      <c r="U677" s="256" t="str">
        <f t="shared" si="306"/>
        <v>O</v>
      </c>
      <c r="V677" s="256" t="str">
        <f t="shared" si="307"/>
        <v>O</v>
      </c>
      <c r="W677" s="256" t="str">
        <f t="shared" si="308"/>
        <v>U</v>
      </c>
      <c r="X677" s="256" t="str">
        <f t="shared" si="309"/>
        <v>O</v>
      </c>
      <c r="Y677" s="256"/>
      <c r="Z677">
        <v>60.5</v>
      </c>
      <c r="AA677" s="256" t="str">
        <f t="shared" si="299"/>
        <v>MIN/HOU</v>
      </c>
    </row>
    <row r="678" spans="1:27" x14ac:dyDescent="0.3">
      <c r="A678" s="228">
        <v>200125</v>
      </c>
      <c r="B678" s="227">
        <v>0.41666666666666669</v>
      </c>
      <c r="C678" s="226" t="s">
        <v>418</v>
      </c>
      <c r="D678" s="226" t="s">
        <v>410</v>
      </c>
      <c r="E678">
        <v>33</v>
      </c>
      <c r="F678">
        <v>33</v>
      </c>
      <c r="G678">
        <v>38</v>
      </c>
      <c r="H678">
        <v>36</v>
      </c>
      <c r="J678">
        <v>30</v>
      </c>
      <c r="K678">
        <v>28</v>
      </c>
      <c r="L678">
        <v>32</v>
      </c>
      <c r="M678">
        <v>21</v>
      </c>
      <c r="O678" s="256">
        <f t="shared" si="300"/>
        <v>140</v>
      </c>
      <c r="P678" s="256">
        <f t="shared" si="301"/>
        <v>111</v>
      </c>
      <c r="Q678" s="256" t="str">
        <f t="shared" si="302"/>
        <v>HW</v>
      </c>
      <c r="R678" s="256" t="str">
        <f t="shared" si="303"/>
        <v>HW</v>
      </c>
      <c r="S678" s="256" t="str">
        <f t="shared" si="304"/>
        <v>HW</v>
      </c>
      <c r="T678" s="256" t="str">
        <f t="shared" si="305"/>
        <v>HW</v>
      </c>
      <c r="U678" s="256" t="str">
        <f t="shared" si="306"/>
        <v>O</v>
      </c>
      <c r="V678" s="256" t="str">
        <f t="shared" si="307"/>
        <v>O</v>
      </c>
      <c r="W678" s="256" t="str">
        <f t="shared" si="308"/>
        <v>O</v>
      </c>
      <c r="X678" s="256" t="str">
        <f t="shared" si="309"/>
        <v>U</v>
      </c>
      <c r="Y678" s="256"/>
      <c r="Z678">
        <v>59</v>
      </c>
      <c r="AA678" s="256" t="str">
        <f t="shared" si="299"/>
        <v>OKC/ATL</v>
      </c>
    </row>
    <row r="679" spans="1:27" x14ac:dyDescent="0.3">
      <c r="A679" s="228">
        <v>200125</v>
      </c>
      <c r="B679" s="227">
        <v>0.4375</v>
      </c>
      <c r="C679" s="226" t="s">
        <v>426</v>
      </c>
      <c r="D679" s="226" t="s">
        <v>404</v>
      </c>
      <c r="E679">
        <v>28</v>
      </c>
      <c r="F679">
        <v>16</v>
      </c>
      <c r="G679">
        <v>28</v>
      </c>
      <c r="H679">
        <v>27</v>
      </c>
      <c r="J679">
        <v>22</v>
      </c>
      <c r="K679">
        <v>34</v>
      </c>
      <c r="L679">
        <v>22</v>
      </c>
      <c r="M679">
        <v>25</v>
      </c>
      <c r="O679" s="256">
        <f t="shared" si="300"/>
        <v>99</v>
      </c>
      <c r="P679" s="256">
        <f t="shared" si="301"/>
        <v>103</v>
      </c>
      <c r="Q679" s="256" t="str">
        <f t="shared" si="302"/>
        <v>HW</v>
      </c>
      <c r="R679" s="256" t="str">
        <f t="shared" si="303"/>
        <v>HL</v>
      </c>
      <c r="S679" s="256" t="str">
        <f t="shared" si="304"/>
        <v>HW</v>
      </c>
      <c r="T679" s="256" t="str">
        <f t="shared" si="305"/>
        <v>HW</v>
      </c>
      <c r="U679" s="256" t="str">
        <f t="shared" si="306"/>
        <v>U</v>
      </c>
      <c r="V679" s="256" t="str">
        <f t="shared" si="307"/>
        <v>U</v>
      </c>
      <c r="W679" s="256" t="str">
        <f t="shared" si="308"/>
        <v>U</v>
      </c>
      <c r="X679" s="256" t="str">
        <f t="shared" si="309"/>
        <v>U</v>
      </c>
      <c r="Y679" s="256"/>
      <c r="Z679">
        <v>55.5</v>
      </c>
      <c r="AA679" s="256" t="str">
        <f t="shared" si="299"/>
        <v>SAS/PHO</v>
      </c>
    </row>
    <row r="680" spans="1:27" x14ac:dyDescent="0.3">
      <c r="A680" s="228">
        <v>200125</v>
      </c>
      <c r="B680" s="227">
        <v>0.52083333333333337</v>
      </c>
      <c r="C680" s="226" t="s">
        <v>425</v>
      </c>
      <c r="D680" s="226" t="s">
        <v>400</v>
      </c>
      <c r="E680">
        <v>30</v>
      </c>
      <c r="F680">
        <v>21</v>
      </c>
      <c r="G680">
        <v>35</v>
      </c>
      <c r="H680">
        <v>32</v>
      </c>
      <c r="J680">
        <v>35</v>
      </c>
      <c r="K680">
        <v>32</v>
      </c>
      <c r="L680">
        <v>31</v>
      </c>
      <c r="M680">
        <v>31</v>
      </c>
      <c r="O680" s="256">
        <f t="shared" si="300"/>
        <v>118</v>
      </c>
      <c r="P680" s="256">
        <f t="shared" si="301"/>
        <v>129</v>
      </c>
      <c r="Q680" s="256" t="str">
        <f t="shared" si="302"/>
        <v>HL</v>
      </c>
      <c r="R680" s="256" t="str">
        <f t="shared" si="303"/>
        <v>HL</v>
      </c>
      <c r="S680" s="256" t="str">
        <f t="shared" si="304"/>
        <v>HW</v>
      </c>
      <c r="T680" s="256" t="str">
        <f t="shared" si="305"/>
        <v>HW</v>
      </c>
      <c r="U680" s="256" t="str">
        <f t="shared" si="306"/>
        <v>O</v>
      </c>
      <c r="V680" s="256" t="str">
        <f t="shared" si="307"/>
        <v>U</v>
      </c>
      <c r="W680" s="256" t="str">
        <f t="shared" si="308"/>
        <v>O</v>
      </c>
      <c r="X680" s="256" t="str">
        <f t="shared" si="309"/>
        <v>O</v>
      </c>
      <c r="Y680" s="256"/>
      <c r="Z680">
        <v>55</v>
      </c>
      <c r="AA680" s="256" t="str">
        <f t="shared" si="299"/>
        <v>GS/IND</v>
      </c>
    </row>
    <row r="681" spans="1:27" x14ac:dyDescent="0.3">
      <c r="A681" s="228">
        <v>200126</v>
      </c>
      <c r="B681" s="229">
        <v>0.29166666666666669</v>
      </c>
      <c r="C681" s="228" t="s">
        <v>405</v>
      </c>
      <c r="D681" s="228" t="s">
        <v>397</v>
      </c>
      <c r="E681">
        <v>25</v>
      </c>
      <c r="F681">
        <v>30</v>
      </c>
      <c r="G681">
        <v>25</v>
      </c>
      <c r="H681">
        <v>32</v>
      </c>
      <c r="J681">
        <v>36</v>
      </c>
      <c r="K681">
        <v>22</v>
      </c>
      <c r="L681">
        <v>26</v>
      </c>
      <c r="M681">
        <v>23</v>
      </c>
      <c r="O681" s="256">
        <f t="shared" si="300"/>
        <v>112</v>
      </c>
      <c r="P681" s="256">
        <f t="shared" si="301"/>
        <v>107</v>
      </c>
      <c r="Q681" s="256" t="str">
        <f t="shared" si="302"/>
        <v>HL</v>
      </c>
      <c r="R681" s="256" t="str">
        <f t="shared" si="303"/>
        <v>HW</v>
      </c>
      <c r="S681" s="256" t="str">
        <f t="shared" si="304"/>
        <v>HL</v>
      </c>
      <c r="T681" s="256" t="str">
        <f t="shared" si="305"/>
        <v>HW</v>
      </c>
      <c r="U681" s="256" t="str">
        <f t="shared" si="306"/>
        <v>O</v>
      </c>
      <c r="V681" s="256" t="str">
        <f t="shared" si="307"/>
        <v>U</v>
      </c>
      <c r="W681" s="256" t="str">
        <f t="shared" si="308"/>
        <v>U</v>
      </c>
      <c r="X681" s="256" t="str">
        <f t="shared" si="309"/>
        <v>U</v>
      </c>
      <c r="Y681" s="256"/>
      <c r="Z681">
        <v>58.5</v>
      </c>
      <c r="AA681" s="256" t="str">
        <f t="shared" si="299"/>
        <v>UTA/DAL</v>
      </c>
    </row>
    <row r="682" spans="1:27" x14ac:dyDescent="0.3">
      <c r="A682" s="228">
        <v>200126</v>
      </c>
      <c r="B682" s="229">
        <v>0.375</v>
      </c>
      <c r="C682" s="228" t="s">
        <v>422</v>
      </c>
      <c r="D682" s="228" t="s">
        <v>407</v>
      </c>
      <c r="E682">
        <v>25</v>
      </c>
      <c r="F682">
        <v>35</v>
      </c>
      <c r="G682">
        <v>17</v>
      </c>
      <c r="H682">
        <v>29</v>
      </c>
      <c r="I682">
        <v>5</v>
      </c>
      <c r="J682">
        <v>26</v>
      </c>
      <c r="K682">
        <v>24</v>
      </c>
      <c r="L682">
        <v>30</v>
      </c>
      <c r="M682">
        <v>26</v>
      </c>
      <c r="N682" s="2">
        <v>15</v>
      </c>
      <c r="O682" s="256">
        <f t="shared" si="300"/>
        <v>111</v>
      </c>
      <c r="P682" s="256">
        <f t="shared" si="301"/>
        <v>121</v>
      </c>
      <c r="Q682" s="256" t="str">
        <f t="shared" si="302"/>
        <v>HL</v>
      </c>
      <c r="R682" s="256" t="str">
        <f t="shared" si="303"/>
        <v>HW</v>
      </c>
      <c r="S682" s="256" t="str">
        <f t="shared" si="304"/>
        <v>HL</v>
      </c>
      <c r="T682" s="256" t="str">
        <f t="shared" si="305"/>
        <v>HW</v>
      </c>
      <c r="U682" s="256" t="str">
        <f t="shared" si="306"/>
        <v>U</v>
      </c>
      <c r="V682" s="256" t="str">
        <f t="shared" si="307"/>
        <v>O</v>
      </c>
      <c r="W682" s="256" t="str">
        <f t="shared" si="308"/>
        <v>U</v>
      </c>
      <c r="X682" s="256" t="str">
        <f t="shared" si="309"/>
        <v>U</v>
      </c>
      <c r="Y682" s="256"/>
      <c r="Z682">
        <v>55.5</v>
      </c>
      <c r="AA682" s="256" t="str">
        <f t="shared" si="299"/>
        <v>DET/BKN</v>
      </c>
    </row>
    <row r="683" spans="1:27" x14ac:dyDescent="0.3">
      <c r="A683" s="228">
        <v>200126</v>
      </c>
      <c r="B683" s="229">
        <v>0.41666666666666669</v>
      </c>
      <c r="C683" s="228" t="s">
        <v>402</v>
      </c>
      <c r="D683" s="228" t="s">
        <v>412</v>
      </c>
      <c r="E683">
        <v>31</v>
      </c>
      <c r="F683">
        <v>26</v>
      </c>
      <c r="G683">
        <v>19</v>
      </c>
      <c r="H683">
        <v>30</v>
      </c>
      <c r="J683">
        <v>25</v>
      </c>
      <c r="K683">
        <v>34</v>
      </c>
      <c r="L683">
        <v>40</v>
      </c>
      <c r="M683">
        <v>19</v>
      </c>
      <c r="O683" s="256">
        <f t="shared" si="300"/>
        <v>106</v>
      </c>
      <c r="P683" s="256">
        <f t="shared" si="301"/>
        <v>118</v>
      </c>
      <c r="Q683" s="256" t="str">
        <f t="shared" si="302"/>
        <v>HW</v>
      </c>
      <c r="R683" s="256" t="str">
        <f t="shared" si="303"/>
        <v>HL</v>
      </c>
      <c r="S683" s="256" t="str">
        <f t="shared" si="304"/>
        <v>HL</v>
      </c>
      <c r="T683" s="256" t="str">
        <f t="shared" si="305"/>
        <v>HW</v>
      </c>
      <c r="U683" s="256" t="str">
        <f t="shared" si="306"/>
        <v>O</v>
      </c>
      <c r="V683" s="256" t="str">
        <f t="shared" si="307"/>
        <v>O</v>
      </c>
      <c r="W683" s="256" t="str">
        <f t="shared" si="308"/>
        <v>O</v>
      </c>
      <c r="X683" s="256" t="str">
        <f t="shared" si="309"/>
        <v>U</v>
      </c>
      <c r="Y683" s="256"/>
      <c r="Z683">
        <v>54.5</v>
      </c>
      <c r="AA683" s="256" t="str">
        <f t="shared" si="299"/>
        <v>CLE/CHI</v>
      </c>
    </row>
    <row r="684" spans="1:27" x14ac:dyDescent="0.3">
      <c r="A684" s="228">
        <v>200126</v>
      </c>
      <c r="B684" s="229">
        <v>0.41666666666666669</v>
      </c>
      <c r="C684" s="228" t="s">
        <v>420</v>
      </c>
      <c r="D684" s="228" t="s">
        <v>418</v>
      </c>
      <c r="E684">
        <v>22</v>
      </c>
      <c r="F684">
        <v>26</v>
      </c>
      <c r="G684">
        <v>24</v>
      </c>
      <c r="H684">
        <v>32</v>
      </c>
      <c r="J684">
        <v>28</v>
      </c>
      <c r="K684">
        <v>24</v>
      </c>
      <c r="L684">
        <v>39</v>
      </c>
      <c r="M684">
        <v>22</v>
      </c>
      <c r="O684" s="256">
        <f t="shared" si="300"/>
        <v>104</v>
      </c>
      <c r="P684" s="256">
        <f t="shared" si="301"/>
        <v>113</v>
      </c>
      <c r="Q684" s="256" t="str">
        <f t="shared" si="302"/>
        <v>HL</v>
      </c>
      <c r="R684" s="256" t="str">
        <f t="shared" si="303"/>
        <v>HW</v>
      </c>
      <c r="S684" s="256" t="str">
        <f t="shared" si="304"/>
        <v>HL</v>
      </c>
      <c r="T684" s="256" t="str">
        <f t="shared" si="305"/>
        <v>HW</v>
      </c>
      <c r="U684" s="256" t="str">
        <f t="shared" si="306"/>
        <v>U</v>
      </c>
      <c r="V684" s="256" t="str">
        <f t="shared" si="307"/>
        <v>U</v>
      </c>
      <c r="W684" s="256" t="str">
        <f t="shared" si="308"/>
        <v>O</v>
      </c>
      <c r="X684" s="256" t="str">
        <f t="shared" si="309"/>
        <v>U</v>
      </c>
      <c r="Y684" s="256"/>
      <c r="Z684">
        <v>58</v>
      </c>
      <c r="AA684" s="256" t="str">
        <f t="shared" si="299"/>
        <v>MIN/OKC</v>
      </c>
    </row>
    <row r="685" spans="1:27" x14ac:dyDescent="0.3">
      <c r="A685" s="228">
        <v>200126</v>
      </c>
      <c r="B685" s="229">
        <v>0.4375</v>
      </c>
      <c r="C685" s="228" t="s">
        <v>401</v>
      </c>
      <c r="D685" s="228" t="s">
        <v>419</v>
      </c>
      <c r="E685">
        <v>35</v>
      </c>
      <c r="F685">
        <v>24</v>
      </c>
      <c r="G685">
        <v>26</v>
      </c>
      <c r="H685">
        <v>23</v>
      </c>
      <c r="J685">
        <v>25</v>
      </c>
      <c r="K685">
        <v>25</v>
      </c>
      <c r="L685">
        <v>23</v>
      </c>
      <c r="M685">
        <v>18</v>
      </c>
      <c r="O685" s="256">
        <f t="shared" si="300"/>
        <v>108</v>
      </c>
      <c r="P685" s="256">
        <f t="shared" si="301"/>
        <v>91</v>
      </c>
      <c r="Q685" s="256" t="str">
        <f t="shared" si="302"/>
        <v>HW</v>
      </c>
      <c r="R685" s="256" t="str">
        <f t="shared" si="303"/>
        <v>HL</v>
      </c>
      <c r="S685" s="256" t="str">
        <f t="shared" si="304"/>
        <v>HW</v>
      </c>
      <c r="T685" s="256" t="str">
        <f t="shared" si="305"/>
        <v>HW</v>
      </c>
      <c r="U685" s="256" t="str">
        <f t="shared" si="306"/>
        <v>O</v>
      </c>
      <c r="V685" s="256" t="str">
        <f t="shared" si="307"/>
        <v>U</v>
      </c>
      <c r="W685" s="256" t="str">
        <f t="shared" si="308"/>
        <v>U</v>
      </c>
      <c r="X685" s="256" t="str">
        <f t="shared" si="309"/>
        <v>U</v>
      </c>
      <c r="Y685" s="256"/>
      <c r="Z685">
        <v>57</v>
      </c>
      <c r="AA685" s="256" t="str">
        <f t="shared" si="299"/>
        <v>PHI/LAL</v>
      </c>
    </row>
    <row r="686" spans="1:27" x14ac:dyDescent="0.3">
      <c r="A686" s="228">
        <v>200127</v>
      </c>
      <c r="B686" s="231">
        <v>0.22916666666666666</v>
      </c>
      <c r="C686" s="230" t="s">
        <v>408</v>
      </c>
      <c r="D686" s="230" t="s">
        <v>403</v>
      </c>
      <c r="E686">
        <v>27</v>
      </c>
      <c r="F686">
        <v>30</v>
      </c>
      <c r="G686">
        <v>33</v>
      </c>
      <c r="H686">
        <v>27</v>
      </c>
      <c r="J686">
        <v>36</v>
      </c>
      <c r="K686">
        <v>23</v>
      </c>
      <c r="L686">
        <v>30</v>
      </c>
      <c r="M686">
        <v>21</v>
      </c>
      <c r="O686" s="256">
        <f t="shared" si="300"/>
        <v>117</v>
      </c>
      <c r="P686" s="256">
        <f t="shared" si="301"/>
        <v>110</v>
      </c>
      <c r="Q686" s="256" t="str">
        <f t="shared" si="302"/>
        <v>HL</v>
      </c>
      <c r="R686" s="256" t="str">
        <f t="shared" si="303"/>
        <v>HW</v>
      </c>
      <c r="S686" s="256" t="str">
        <f t="shared" si="304"/>
        <v>HW</v>
      </c>
      <c r="T686" s="256" t="str">
        <f t="shared" si="305"/>
        <v>HW</v>
      </c>
      <c r="U686" s="256" t="str">
        <f t="shared" si="306"/>
        <v>O</v>
      </c>
      <c r="V686" s="256" t="str">
        <f t="shared" si="307"/>
        <v>U</v>
      </c>
      <c r="W686" s="256" t="str">
        <f t="shared" si="308"/>
        <v>O</v>
      </c>
      <c r="X686" s="256" t="str">
        <f t="shared" si="309"/>
        <v>U</v>
      </c>
      <c r="Y686" s="256"/>
      <c r="Z686">
        <v>58</v>
      </c>
      <c r="AA686" s="256" t="str">
        <f t="shared" si="299"/>
        <v>DEN/HOU</v>
      </c>
    </row>
    <row r="687" spans="1:27" x14ac:dyDescent="0.3">
      <c r="A687" s="230">
        <v>200127</v>
      </c>
      <c r="B687" s="231">
        <v>0.25</v>
      </c>
      <c r="C687" s="230" t="s">
        <v>426</v>
      </c>
      <c r="D687" s="230" t="s">
        <v>413</v>
      </c>
      <c r="E687">
        <v>21</v>
      </c>
      <c r="F687">
        <v>30</v>
      </c>
      <c r="G687">
        <v>34</v>
      </c>
      <c r="H687">
        <v>21</v>
      </c>
      <c r="J687">
        <v>37</v>
      </c>
      <c r="K687">
        <v>26</v>
      </c>
      <c r="L687">
        <v>23</v>
      </c>
      <c r="M687">
        <v>24</v>
      </c>
      <c r="O687" s="256">
        <f t="shared" si="300"/>
        <v>106</v>
      </c>
      <c r="P687" s="256">
        <f t="shared" si="301"/>
        <v>110</v>
      </c>
      <c r="Q687" s="256" t="str">
        <f t="shared" si="302"/>
        <v>HL</v>
      </c>
      <c r="R687" s="256" t="str">
        <f t="shared" si="303"/>
        <v>HW</v>
      </c>
      <c r="S687" s="256" t="str">
        <f t="shared" si="304"/>
        <v>HW</v>
      </c>
      <c r="T687" s="256" t="str">
        <f t="shared" si="305"/>
        <v>HL</v>
      </c>
      <c r="U687" s="256" t="str">
        <f t="shared" si="306"/>
        <v>O</v>
      </c>
      <c r="V687" s="256" t="str">
        <f t="shared" si="307"/>
        <v>U</v>
      </c>
      <c r="W687" s="256" t="str">
        <f t="shared" si="308"/>
        <v>T</v>
      </c>
      <c r="X687" s="256" t="str">
        <f t="shared" si="309"/>
        <v>U</v>
      </c>
      <c r="Y687" s="256"/>
      <c r="Z687">
        <v>57</v>
      </c>
      <c r="AA687" s="256" t="str">
        <f t="shared" si="299"/>
        <v>SAS/TOR</v>
      </c>
    </row>
    <row r="688" spans="1:27" x14ac:dyDescent="0.3">
      <c r="A688" s="230">
        <v>200127</v>
      </c>
      <c r="B688" s="231">
        <v>0.33333333333333331</v>
      </c>
      <c r="C688" s="230" t="s">
        <v>410</v>
      </c>
      <c r="D688" s="230" t="s">
        <v>414</v>
      </c>
      <c r="E688">
        <v>31</v>
      </c>
      <c r="F688">
        <v>47</v>
      </c>
      <c r="G688">
        <v>41</v>
      </c>
      <c r="H688">
        <v>33</v>
      </c>
      <c r="J688">
        <v>33</v>
      </c>
      <c r="K688">
        <v>39</v>
      </c>
      <c r="L688">
        <v>30</v>
      </c>
      <c r="M688">
        <v>31</v>
      </c>
      <c r="O688" s="256">
        <f t="shared" si="300"/>
        <v>152</v>
      </c>
      <c r="P688" s="256">
        <f t="shared" si="301"/>
        <v>133</v>
      </c>
      <c r="Q688" s="256" t="str">
        <f t="shared" si="302"/>
        <v>HL</v>
      </c>
      <c r="R688" s="256" t="str">
        <f t="shared" si="303"/>
        <v>HW</v>
      </c>
      <c r="S688" s="256" t="str">
        <f t="shared" si="304"/>
        <v>HW</v>
      </c>
      <c r="T688" s="256" t="str">
        <f t="shared" si="305"/>
        <v>HW</v>
      </c>
      <c r="U688" s="256" t="str">
        <f t="shared" si="306"/>
        <v>O</v>
      </c>
      <c r="V688" s="256" t="str">
        <f t="shared" si="307"/>
        <v>O</v>
      </c>
      <c r="W688" s="256" t="str">
        <f t="shared" si="308"/>
        <v>O</v>
      </c>
      <c r="X688" s="256" t="str">
        <f t="shared" si="309"/>
        <v>O</v>
      </c>
      <c r="Y688" s="256"/>
      <c r="Z688">
        <v>61</v>
      </c>
      <c r="AA688" s="256" t="str">
        <f t="shared" si="299"/>
        <v>ATL/WAS</v>
      </c>
    </row>
    <row r="689" spans="1:27" x14ac:dyDescent="0.3">
      <c r="A689" s="230">
        <v>200127</v>
      </c>
      <c r="B689" s="231">
        <v>0.33333333333333331</v>
      </c>
      <c r="C689" s="230" t="s">
        <v>398</v>
      </c>
      <c r="D689" s="230" t="s">
        <v>421</v>
      </c>
      <c r="E689">
        <v>32</v>
      </c>
      <c r="F689">
        <v>30</v>
      </c>
      <c r="G689">
        <v>29</v>
      </c>
      <c r="H689">
        <v>32</v>
      </c>
      <c r="J689">
        <v>20</v>
      </c>
      <c r="K689">
        <v>22</v>
      </c>
      <c r="L689">
        <v>39</v>
      </c>
      <c r="M689">
        <v>27</v>
      </c>
      <c r="O689" s="256">
        <f t="shared" si="300"/>
        <v>123</v>
      </c>
      <c r="P689" s="256">
        <f t="shared" si="301"/>
        <v>108</v>
      </c>
      <c r="Q689" s="256" t="str">
        <f t="shared" si="302"/>
        <v>HW</v>
      </c>
      <c r="R689" s="256" t="str">
        <f t="shared" si="303"/>
        <v>HW</v>
      </c>
      <c r="S689" s="256" t="str">
        <f t="shared" si="304"/>
        <v>HL</v>
      </c>
      <c r="T689" s="256" t="str">
        <f t="shared" si="305"/>
        <v>HW</v>
      </c>
      <c r="U689" s="256" t="str">
        <f t="shared" si="306"/>
        <v>U</v>
      </c>
      <c r="V689" s="256" t="str">
        <f t="shared" si="307"/>
        <v>U</v>
      </c>
      <c r="W689" s="256" t="str">
        <f t="shared" si="308"/>
        <v>O</v>
      </c>
      <c r="X689" s="256" t="str">
        <f t="shared" si="309"/>
        <v>O</v>
      </c>
      <c r="Y689" s="256"/>
      <c r="Z689">
        <v>55.5</v>
      </c>
      <c r="AA689" s="256" t="str">
        <f t="shared" si="299"/>
        <v>NO/BOS</v>
      </c>
    </row>
    <row r="690" spans="1:27" x14ac:dyDescent="0.3">
      <c r="A690" s="230">
        <v>200127</v>
      </c>
      <c r="B690" s="231">
        <v>0.33333333333333331</v>
      </c>
      <c r="C690" s="230" t="s">
        <v>399</v>
      </c>
      <c r="D690" s="230" t="s">
        <v>407</v>
      </c>
      <c r="E690">
        <v>30</v>
      </c>
      <c r="F690">
        <v>25</v>
      </c>
      <c r="G690">
        <v>30</v>
      </c>
      <c r="H690">
        <v>25</v>
      </c>
      <c r="J690">
        <v>28</v>
      </c>
      <c r="K690">
        <v>24</v>
      </c>
      <c r="L690">
        <v>24</v>
      </c>
      <c r="M690">
        <v>21</v>
      </c>
      <c r="O690" s="256">
        <f t="shared" si="300"/>
        <v>110</v>
      </c>
      <c r="P690" s="256">
        <f t="shared" si="301"/>
        <v>97</v>
      </c>
      <c r="Q690" s="256" t="str">
        <f t="shared" si="302"/>
        <v>HW</v>
      </c>
      <c r="R690" s="256" t="str">
        <f t="shared" si="303"/>
        <v>HW</v>
      </c>
      <c r="S690" s="256" t="str">
        <f t="shared" si="304"/>
        <v>HW</v>
      </c>
      <c r="T690" s="256" t="str">
        <f t="shared" si="305"/>
        <v>HW</v>
      </c>
      <c r="U690" s="256" t="str">
        <f t="shared" si="306"/>
        <v>O</v>
      </c>
      <c r="V690" s="256" t="str">
        <f t="shared" si="307"/>
        <v>U</v>
      </c>
      <c r="W690" s="256" t="str">
        <f t="shared" si="308"/>
        <v>O</v>
      </c>
      <c r="X690" s="256" t="str">
        <f t="shared" si="309"/>
        <v>U</v>
      </c>
      <c r="Y690" s="256"/>
      <c r="Z690">
        <v>53.5</v>
      </c>
      <c r="AA690" s="256" t="str">
        <f t="shared" si="299"/>
        <v>NYK/BKN</v>
      </c>
    </row>
    <row r="691" spans="1:27" x14ac:dyDescent="0.3">
      <c r="A691" s="230">
        <v>200127</v>
      </c>
      <c r="B691" s="231">
        <v>0.33333333333333331</v>
      </c>
      <c r="C691" s="230" t="s">
        <v>424</v>
      </c>
      <c r="D691" s="230" t="s">
        <v>415</v>
      </c>
      <c r="E691">
        <v>28</v>
      </c>
      <c r="F691">
        <v>24</v>
      </c>
      <c r="G691">
        <v>20</v>
      </c>
      <c r="H691">
        <v>25</v>
      </c>
      <c r="J691">
        <v>26</v>
      </c>
      <c r="K691">
        <v>28</v>
      </c>
      <c r="L691">
        <v>31</v>
      </c>
      <c r="M691">
        <v>27</v>
      </c>
      <c r="O691" s="256">
        <f t="shared" si="300"/>
        <v>97</v>
      </c>
      <c r="P691" s="256">
        <f t="shared" si="301"/>
        <v>112</v>
      </c>
      <c r="Q691" s="256" t="str">
        <f t="shared" si="302"/>
        <v>HW</v>
      </c>
      <c r="R691" s="256" t="str">
        <f t="shared" si="303"/>
        <v>HL</v>
      </c>
      <c r="S691" s="256" t="str">
        <f t="shared" si="304"/>
        <v>HL</v>
      </c>
      <c r="T691" s="256" t="str">
        <f t="shared" si="305"/>
        <v>HL</v>
      </c>
      <c r="U691" s="256" t="str">
        <f t="shared" si="306"/>
        <v>U</v>
      </c>
      <c r="V691" s="256" t="str">
        <f t="shared" si="307"/>
        <v>U</v>
      </c>
      <c r="W691" s="256" t="str">
        <f t="shared" si="308"/>
        <v>U</v>
      </c>
      <c r="X691" s="256" t="str">
        <f t="shared" si="309"/>
        <v>U</v>
      </c>
      <c r="Y691" s="256"/>
      <c r="Z691">
        <v>54.5</v>
      </c>
      <c r="AA691" s="256" t="str">
        <f t="shared" si="299"/>
        <v>ORL/LAC</v>
      </c>
    </row>
    <row r="692" spans="1:27" x14ac:dyDescent="0.3">
      <c r="A692" s="230">
        <v>200127</v>
      </c>
      <c r="B692" s="231">
        <v>0.33333333333333331</v>
      </c>
      <c r="C692" s="230" t="s">
        <v>406</v>
      </c>
      <c r="D692" s="230" t="s">
        <v>404</v>
      </c>
      <c r="E692">
        <v>30</v>
      </c>
      <c r="F692">
        <v>26</v>
      </c>
      <c r="G692">
        <v>25</v>
      </c>
      <c r="H692">
        <v>33</v>
      </c>
      <c r="J692">
        <v>18</v>
      </c>
      <c r="K692">
        <v>27</v>
      </c>
      <c r="L692">
        <v>33</v>
      </c>
      <c r="M692">
        <v>31</v>
      </c>
      <c r="O692" s="256">
        <f t="shared" si="300"/>
        <v>114</v>
      </c>
      <c r="P692" s="256">
        <f t="shared" si="301"/>
        <v>109</v>
      </c>
      <c r="Q692" s="256" t="str">
        <f t="shared" si="302"/>
        <v>HW</v>
      </c>
      <c r="R692" s="256" t="str">
        <f t="shared" si="303"/>
        <v>HL</v>
      </c>
      <c r="S692" s="256" t="str">
        <f t="shared" si="304"/>
        <v>HL</v>
      </c>
      <c r="T692" s="256" t="str">
        <f t="shared" si="305"/>
        <v>HW</v>
      </c>
      <c r="U692" s="256" t="str">
        <f t="shared" si="306"/>
        <v>U</v>
      </c>
      <c r="V692" s="256" t="str">
        <f t="shared" si="307"/>
        <v>U</v>
      </c>
      <c r="W692" s="256" t="str">
        <f t="shared" si="308"/>
        <v>O</v>
      </c>
      <c r="X692" s="256" t="str">
        <f t="shared" si="309"/>
        <v>O</v>
      </c>
      <c r="Y692" s="256"/>
      <c r="Z692">
        <v>57</v>
      </c>
      <c r="AA692" s="256" t="str">
        <f t="shared" si="299"/>
        <v>MEM/PHO</v>
      </c>
    </row>
    <row r="693" spans="1:27" x14ac:dyDescent="0.3">
      <c r="A693" s="230">
        <v>200127</v>
      </c>
      <c r="B693" s="231">
        <v>0.45833333333333331</v>
      </c>
      <c r="C693" s="230" t="s">
        <v>417</v>
      </c>
      <c r="D693" s="230" t="s">
        <v>400</v>
      </c>
      <c r="E693">
        <v>36</v>
      </c>
      <c r="F693">
        <v>30</v>
      </c>
      <c r="G693">
        <v>40</v>
      </c>
      <c r="H693">
        <v>33</v>
      </c>
      <c r="J693">
        <v>27</v>
      </c>
      <c r="K693">
        <v>29</v>
      </c>
      <c r="L693">
        <v>37</v>
      </c>
      <c r="M693">
        <v>36</v>
      </c>
      <c r="O693" s="256">
        <f t="shared" si="300"/>
        <v>139</v>
      </c>
      <c r="P693" s="256">
        <f t="shared" si="301"/>
        <v>129</v>
      </c>
      <c r="Q693" s="256" t="str">
        <f t="shared" si="302"/>
        <v>HW</v>
      </c>
      <c r="R693" s="256" t="str">
        <f t="shared" si="303"/>
        <v>HW</v>
      </c>
      <c r="S693" s="256" t="str">
        <f t="shared" si="304"/>
        <v>HW</v>
      </c>
      <c r="T693" s="256" t="str">
        <f t="shared" si="305"/>
        <v>HL</v>
      </c>
      <c r="U693" s="256" t="str">
        <f t="shared" si="306"/>
        <v>O</v>
      </c>
      <c r="V693" s="256" t="str">
        <f t="shared" si="307"/>
        <v>O</v>
      </c>
      <c r="W693" s="256" t="str">
        <f t="shared" si="308"/>
        <v>O</v>
      </c>
      <c r="X693" s="256" t="str">
        <f t="shared" si="309"/>
        <v>O</v>
      </c>
      <c r="Y693" s="256"/>
      <c r="Z693">
        <v>55</v>
      </c>
      <c r="AA693" s="256" t="str">
        <f t="shared" si="299"/>
        <v>POR/IND</v>
      </c>
    </row>
    <row r="694" spans="1:27" x14ac:dyDescent="0.3">
      <c r="A694" s="230">
        <v>200128</v>
      </c>
      <c r="B694" s="233">
        <v>0.375</v>
      </c>
      <c r="C694" s="232" t="s">
        <v>422</v>
      </c>
      <c r="D694" s="232" t="s">
        <v>402</v>
      </c>
      <c r="E694">
        <v>23</v>
      </c>
      <c r="F694">
        <v>22</v>
      </c>
      <c r="G694">
        <v>27</v>
      </c>
      <c r="H694">
        <v>28</v>
      </c>
      <c r="J694">
        <v>24</v>
      </c>
      <c r="K694">
        <v>29</v>
      </c>
      <c r="L694">
        <v>36</v>
      </c>
      <c r="M694">
        <v>26</v>
      </c>
      <c r="O694" s="256">
        <f t="shared" si="300"/>
        <v>100</v>
      </c>
      <c r="P694" s="256">
        <f t="shared" si="301"/>
        <v>115</v>
      </c>
      <c r="Q694" s="256" t="str">
        <f t="shared" si="302"/>
        <v>HL</v>
      </c>
      <c r="R694" s="256" t="str">
        <f t="shared" si="303"/>
        <v>HL</v>
      </c>
      <c r="S694" s="256" t="str">
        <f t="shared" si="304"/>
        <v>HL</v>
      </c>
      <c r="T694" s="256" t="str">
        <f t="shared" si="305"/>
        <v>HW</v>
      </c>
      <c r="U694" s="256" t="str">
        <f t="shared" si="306"/>
        <v>U</v>
      </c>
      <c r="V694" s="256" t="str">
        <f t="shared" si="307"/>
        <v>U</v>
      </c>
      <c r="W694" s="256" t="str">
        <f t="shared" si="308"/>
        <v>O</v>
      </c>
      <c r="X694" s="256" t="str">
        <f t="shared" si="309"/>
        <v>O</v>
      </c>
      <c r="Y694" s="256"/>
      <c r="Z694">
        <v>52.5</v>
      </c>
      <c r="AA694" s="256" t="str">
        <f t="shared" si="299"/>
        <v>DET/CLE</v>
      </c>
    </row>
    <row r="695" spans="1:27" x14ac:dyDescent="0.3">
      <c r="A695" s="232">
        <v>200128</v>
      </c>
      <c r="B695" s="233">
        <v>0.39583333333333331</v>
      </c>
      <c r="C695" s="232" t="s">
        <v>411</v>
      </c>
      <c r="D695" s="232" t="s">
        <v>424</v>
      </c>
      <c r="E695">
        <v>31</v>
      </c>
      <c r="F695">
        <v>23</v>
      </c>
      <c r="G695">
        <v>31</v>
      </c>
      <c r="H695">
        <v>28</v>
      </c>
      <c r="J695">
        <v>21</v>
      </c>
      <c r="K695">
        <v>27</v>
      </c>
      <c r="L695">
        <v>23</v>
      </c>
      <c r="M695">
        <v>21</v>
      </c>
      <c r="O695" s="256">
        <f t="shared" si="300"/>
        <v>113</v>
      </c>
      <c r="P695" s="256">
        <f t="shared" si="301"/>
        <v>92</v>
      </c>
      <c r="Q695" s="256" t="str">
        <f t="shared" si="302"/>
        <v>HW</v>
      </c>
      <c r="R695" s="256" t="str">
        <f t="shared" si="303"/>
        <v>HL</v>
      </c>
      <c r="S695" s="256" t="str">
        <f t="shared" si="304"/>
        <v>HW</v>
      </c>
      <c r="T695" s="256" t="str">
        <f t="shared" si="305"/>
        <v>HW</v>
      </c>
      <c r="U695" s="256" t="str">
        <f t="shared" si="306"/>
        <v>U</v>
      </c>
      <c r="V695" s="256" t="str">
        <f t="shared" si="307"/>
        <v>U</v>
      </c>
      <c r="W695" s="256" t="str">
        <f t="shared" si="308"/>
        <v>O</v>
      </c>
      <c r="X695" s="256" t="str">
        <f t="shared" si="309"/>
        <v>U</v>
      </c>
      <c r="Y695" s="256"/>
      <c r="Z695">
        <v>53</v>
      </c>
      <c r="AA695" s="256" t="str">
        <f t="shared" si="299"/>
        <v>MIA/ORL</v>
      </c>
    </row>
    <row r="696" spans="1:27" x14ac:dyDescent="0.3">
      <c r="A696" s="232">
        <v>200128</v>
      </c>
      <c r="B696" s="233">
        <v>0.41666666666666669</v>
      </c>
      <c r="C696" s="232" t="s">
        <v>412</v>
      </c>
      <c r="D696" s="232" t="s">
        <v>426</v>
      </c>
      <c r="E696">
        <v>21</v>
      </c>
      <c r="F696">
        <v>29</v>
      </c>
      <c r="G696">
        <v>25</v>
      </c>
      <c r="H696">
        <v>35</v>
      </c>
      <c r="J696">
        <v>28</v>
      </c>
      <c r="K696">
        <v>20</v>
      </c>
      <c r="L696">
        <v>37</v>
      </c>
      <c r="M696">
        <v>24</v>
      </c>
      <c r="O696" s="256">
        <f t="shared" si="300"/>
        <v>110</v>
      </c>
      <c r="P696" s="256">
        <f t="shared" si="301"/>
        <v>109</v>
      </c>
      <c r="Q696" s="256" t="str">
        <f t="shared" si="302"/>
        <v>HL</v>
      </c>
      <c r="R696" s="256" t="str">
        <f t="shared" si="303"/>
        <v>HW</v>
      </c>
      <c r="S696" s="256" t="str">
        <f t="shared" si="304"/>
        <v>HL</v>
      </c>
      <c r="T696" s="256" t="str">
        <f t="shared" si="305"/>
        <v>HW</v>
      </c>
      <c r="U696" s="256" t="str">
        <f t="shared" si="306"/>
        <v>U</v>
      </c>
      <c r="V696" s="256" t="str">
        <f t="shared" si="307"/>
        <v>U</v>
      </c>
      <c r="W696" s="256" t="str">
        <f t="shared" si="308"/>
        <v>O</v>
      </c>
      <c r="X696" s="256" t="str">
        <f t="shared" si="309"/>
        <v>O</v>
      </c>
      <c r="Y696" s="256"/>
      <c r="Z696">
        <v>51.5</v>
      </c>
      <c r="AA696" s="256" t="str">
        <f t="shared" si="299"/>
        <v>CHI/SAS</v>
      </c>
    </row>
    <row r="697" spans="1:27" x14ac:dyDescent="0.3">
      <c r="A697" s="232">
        <v>200128</v>
      </c>
      <c r="B697" s="233">
        <v>0.41666666666666669</v>
      </c>
      <c r="C697" s="232" t="s">
        <v>420</v>
      </c>
      <c r="D697" s="232" t="s">
        <v>416</v>
      </c>
      <c r="E697">
        <v>37</v>
      </c>
      <c r="F697">
        <v>31</v>
      </c>
      <c r="G697">
        <v>29</v>
      </c>
      <c r="H697">
        <v>22</v>
      </c>
      <c r="I697">
        <v>10</v>
      </c>
      <c r="J697">
        <v>24</v>
      </c>
      <c r="K697">
        <v>26</v>
      </c>
      <c r="L697">
        <v>28</v>
      </c>
      <c r="M697">
        <v>41</v>
      </c>
      <c r="N697" s="2">
        <v>14</v>
      </c>
      <c r="O697" s="256">
        <f t="shared" si="300"/>
        <v>129</v>
      </c>
      <c r="P697" s="256">
        <f t="shared" si="301"/>
        <v>133</v>
      </c>
      <c r="Q697" s="256" t="str">
        <f t="shared" si="302"/>
        <v>HW</v>
      </c>
      <c r="R697" s="256" t="str">
        <f t="shared" si="303"/>
        <v>HW</v>
      </c>
      <c r="S697" s="256" t="str">
        <f t="shared" si="304"/>
        <v>HW</v>
      </c>
      <c r="T697" s="256" t="str">
        <f t="shared" si="305"/>
        <v>HL</v>
      </c>
      <c r="U697" s="256" t="str">
        <f t="shared" si="306"/>
        <v>O</v>
      </c>
      <c r="V697" s="256" t="str">
        <f t="shared" si="307"/>
        <v>O</v>
      </c>
      <c r="W697" s="256" t="str">
        <f t="shared" si="308"/>
        <v>O</v>
      </c>
      <c r="X697" s="256" t="str">
        <f t="shared" si="309"/>
        <v>O</v>
      </c>
      <c r="Y697" s="256"/>
      <c r="Z697">
        <v>56.5</v>
      </c>
      <c r="AA697" s="256" t="str">
        <f t="shared" si="299"/>
        <v>MIN/SAC</v>
      </c>
    </row>
    <row r="698" spans="1:27" x14ac:dyDescent="0.3">
      <c r="A698" s="232">
        <v>200128</v>
      </c>
      <c r="B698" s="233">
        <v>0.41666666666666669</v>
      </c>
      <c r="C698" s="232" t="s">
        <v>418</v>
      </c>
      <c r="D698" s="232" t="s">
        <v>397</v>
      </c>
      <c r="E698">
        <v>22</v>
      </c>
      <c r="F698">
        <v>25</v>
      </c>
      <c r="G698">
        <v>30</v>
      </c>
      <c r="H698">
        <v>20</v>
      </c>
      <c r="J698">
        <v>25</v>
      </c>
      <c r="K698">
        <v>34</v>
      </c>
      <c r="L698">
        <v>29</v>
      </c>
      <c r="M698">
        <v>19</v>
      </c>
      <c r="O698" s="256">
        <f t="shared" si="300"/>
        <v>97</v>
      </c>
      <c r="P698" s="256">
        <f t="shared" si="301"/>
        <v>107</v>
      </c>
      <c r="Q698" s="256" t="str">
        <f t="shared" si="302"/>
        <v>HL</v>
      </c>
      <c r="R698" s="256" t="str">
        <f t="shared" si="303"/>
        <v>HL</v>
      </c>
      <c r="S698" s="256" t="str">
        <f t="shared" si="304"/>
        <v>HW</v>
      </c>
      <c r="T698" s="256" t="str">
        <f t="shared" si="305"/>
        <v>HW</v>
      </c>
      <c r="U698" s="256" t="str">
        <f t="shared" si="306"/>
        <v>U</v>
      </c>
      <c r="V698" s="256" t="str">
        <f t="shared" si="307"/>
        <v>O</v>
      </c>
      <c r="W698" s="256" t="str">
        <f t="shared" si="308"/>
        <v>O</v>
      </c>
      <c r="X698" s="256" t="str">
        <f t="shared" si="309"/>
        <v>U</v>
      </c>
      <c r="Y698" s="256"/>
      <c r="Z698">
        <v>56.5</v>
      </c>
      <c r="AA698" s="256" t="str">
        <f t="shared" si="299"/>
        <v>OKC/DAL</v>
      </c>
    </row>
    <row r="699" spans="1:27" x14ac:dyDescent="0.3">
      <c r="A699" s="232">
        <v>200128</v>
      </c>
      <c r="B699" s="233">
        <v>0.45833333333333331</v>
      </c>
      <c r="C699" s="232" t="s">
        <v>405</v>
      </c>
      <c r="D699" s="232" t="s">
        <v>403</v>
      </c>
      <c r="E699">
        <v>20</v>
      </c>
      <c r="F699">
        <v>26</v>
      </c>
      <c r="G699">
        <v>29</v>
      </c>
      <c r="H699">
        <v>42</v>
      </c>
      <c r="J699">
        <v>28</v>
      </c>
      <c r="K699">
        <v>31</v>
      </c>
      <c r="L699">
        <v>28</v>
      </c>
      <c r="M699">
        <v>39</v>
      </c>
      <c r="O699" s="256">
        <f t="shared" si="300"/>
        <v>117</v>
      </c>
      <c r="P699" s="256">
        <f t="shared" si="301"/>
        <v>126</v>
      </c>
      <c r="Q699" s="256" t="str">
        <f t="shared" si="302"/>
        <v>HL</v>
      </c>
      <c r="R699" s="256" t="str">
        <f t="shared" si="303"/>
        <v>HL</v>
      </c>
      <c r="S699" s="256" t="str">
        <f t="shared" si="304"/>
        <v>HW</v>
      </c>
      <c r="T699" s="256" t="str">
        <f t="shared" si="305"/>
        <v>HW</v>
      </c>
      <c r="U699" s="256" t="str">
        <f t="shared" si="306"/>
        <v>U</v>
      </c>
      <c r="V699" s="256" t="str">
        <f t="shared" si="307"/>
        <v>O</v>
      </c>
      <c r="W699" s="256" t="str">
        <f t="shared" si="308"/>
        <v>O</v>
      </c>
      <c r="X699" s="256" t="str">
        <f t="shared" si="309"/>
        <v>O</v>
      </c>
      <c r="Y699" s="256"/>
      <c r="Z699">
        <v>55.5</v>
      </c>
      <c r="AA699" s="256" t="str">
        <f t="shared" si="299"/>
        <v>UTA/HOU</v>
      </c>
    </row>
    <row r="700" spans="1:27" x14ac:dyDescent="0.3">
      <c r="A700" s="232">
        <v>200129</v>
      </c>
      <c r="B700" s="235">
        <v>0.375</v>
      </c>
      <c r="C700" s="234" t="s">
        <v>401</v>
      </c>
      <c r="D700" s="234" t="s">
        <v>425</v>
      </c>
      <c r="E700">
        <v>26</v>
      </c>
      <c r="F700">
        <v>33</v>
      </c>
      <c r="G700">
        <v>27</v>
      </c>
      <c r="H700">
        <v>29</v>
      </c>
      <c r="J700">
        <v>27</v>
      </c>
      <c r="K700">
        <v>27</v>
      </c>
      <c r="L700">
        <v>28</v>
      </c>
      <c r="M700">
        <v>22</v>
      </c>
      <c r="O700" s="256">
        <f t="shared" si="300"/>
        <v>115</v>
      </c>
      <c r="P700" s="256">
        <f t="shared" si="301"/>
        <v>104</v>
      </c>
      <c r="Q700" s="256" t="str">
        <f t="shared" si="302"/>
        <v>HL</v>
      </c>
      <c r="R700" s="256" t="str">
        <f t="shared" si="303"/>
        <v>HW</v>
      </c>
      <c r="S700" s="256" t="str">
        <f t="shared" si="304"/>
        <v>HL</v>
      </c>
      <c r="T700" s="256" t="str">
        <f t="shared" si="305"/>
        <v>HW</v>
      </c>
      <c r="U700" s="256" t="str">
        <f t="shared" si="306"/>
        <v>U</v>
      </c>
      <c r="V700" s="256" t="str">
        <f t="shared" si="307"/>
        <v>O</v>
      </c>
      <c r="W700" s="256" t="str">
        <f t="shared" si="308"/>
        <v>O</v>
      </c>
      <c r="X700" s="256" t="str">
        <f t="shared" si="309"/>
        <v>U</v>
      </c>
      <c r="Y700" s="256"/>
      <c r="Z700">
        <v>54.5</v>
      </c>
      <c r="AA700" s="256" t="str">
        <f t="shared" si="299"/>
        <v>PHI/GS</v>
      </c>
    </row>
    <row r="701" spans="1:27" x14ac:dyDescent="0.3">
      <c r="A701" s="234">
        <v>200129</v>
      </c>
      <c r="B701" s="235">
        <v>0.375</v>
      </c>
      <c r="C701" s="234" t="s">
        <v>438</v>
      </c>
      <c r="D701" s="234" t="s">
        <v>399</v>
      </c>
      <c r="E701">
        <v>15</v>
      </c>
      <c r="F701">
        <v>32</v>
      </c>
      <c r="G701">
        <v>21</v>
      </c>
      <c r="H701">
        <v>29</v>
      </c>
      <c r="J701">
        <v>26</v>
      </c>
      <c r="K701">
        <v>24</v>
      </c>
      <c r="L701">
        <v>16</v>
      </c>
      <c r="M701">
        <v>26</v>
      </c>
      <c r="O701" s="256">
        <f t="shared" si="300"/>
        <v>97</v>
      </c>
      <c r="P701" s="256">
        <f t="shared" si="301"/>
        <v>92</v>
      </c>
      <c r="Q701" s="256" t="str">
        <f t="shared" si="302"/>
        <v>HL</v>
      </c>
      <c r="R701" s="256" t="str">
        <f t="shared" si="303"/>
        <v>HW</v>
      </c>
      <c r="S701" s="256" t="str">
        <f t="shared" si="304"/>
        <v>HW</v>
      </c>
      <c r="T701" s="256" t="str">
        <f t="shared" si="305"/>
        <v>HW</v>
      </c>
      <c r="U701" s="256" t="str">
        <f t="shared" si="306"/>
        <v>U</v>
      </c>
      <c r="V701" s="256" t="str">
        <f t="shared" si="307"/>
        <v>O</v>
      </c>
      <c r="W701" s="256" t="str">
        <f t="shared" si="308"/>
        <v>U</v>
      </c>
      <c r="X701" s="256" t="str">
        <f t="shared" si="309"/>
        <v>O</v>
      </c>
      <c r="Y701" s="256"/>
      <c r="Z701">
        <v>53</v>
      </c>
      <c r="AA701" s="256" t="str">
        <f t="shared" si="299"/>
        <v>CHA/NYK</v>
      </c>
    </row>
    <row r="702" spans="1:27" x14ac:dyDescent="0.3">
      <c r="A702" s="234">
        <v>200129</v>
      </c>
      <c r="B702" s="235">
        <v>0.39583333333333331</v>
      </c>
      <c r="C702" s="234" t="s">
        <v>402</v>
      </c>
      <c r="D702" s="234" t="s">
        <v>398</v>
      </c>
      <c r="E702">
        <v>34</v>
      </c>
      <c r="F702">
        <v>31</v>
      </c>
      <c r="G702">
        <v>25</v>
      </c>
      <c r="H702">
        <v>21</v>
      </c>
      <c r="J702">
        <v>40</v>
      </c>
      <c r="K702">
        <v>34</v>
      </c>
      <c r="L702">
        <v>30</v>
      </c>
      <c r="M702">
        <v>21</v>
      </c>
      <c r="O702" s="256">
        <f t="shared" si="300"/>
        <v>111</v>
      </c>
      <c r="P702" s="256">
        <f t="shared" si="301"/>
        <v>125</v>
      </c>
      <c r="Q702" s="256" t="str">
        <f t="shared" si="302"/>
        <v>HL</v>
      </c>
      <c r="R702" s="256" t="str">
        <f t="shared" si="303"/>
        <v>HL</v>
      </c>
      <c r="S702" s="256" t="str">
        <f t="shared" si="304"/>
        <v>HL</v>
      </c>
      <c r="T702" s="256" t="str">
        <f t="shared" si="305"/>
        <v>TT</v>
      </c>
      <c r="U702" s="256" t="str">
        <f t="shared" si="306"/>
        <v>O</v>
      </c>
      <c r="V702" s="256" t="str">
        <f t="shared" si="307"/>
        <v>O</v>
      </c>
      <c r="W702" s="256" t="str">
        <f t="shared" si="308"/>
        <v>U</v>
      </c>
      <c r="X702" s="256" t="str">
        <f t="shared" si="309"/>
        <v>U</v>
      </c>
      <c r="Y702" s="256"/>
      <c r="Z702">
        <v>59</v>
      </c>
      <c r="AA702" s="256" t="str">
        <f t="shared" si="299"/>
        <v>CLE/NO</v>
      </c>
    </row>
    <row r="703" spans="1:27" x14ac:dyDescent="0.3">
      <c r="A703" s="234">
        <v>200129</v>
      </c>
      <c r="B703" s="235">
        <v>0.39583333333333331</v>
      </c>
      <c r="C703" s="234" t="s">
        <v>413</v>
      </c>
      <c r="D703" s="234" t="s">
        <v>410</v>
      </c>
      <c r="E703">
        <v>33</v>
      </c>
      <c r="F703">
        <v>35</v>
      </c>
      <c r="G703">
        <v>29</v>
      </c>
      <c r="H703">
        <v>33</v>
      </c>
      <c r="J703">
        <v>23</v>
      </c>
      <c r="K703">
        <v>33</v>
      </c>
      <c r="L703">
        <v>27</v>
      </c>
      <c r="M703">
        <v>31</v>
      </c>
      <c r="O703" s="256">
        <f t="shared" si="300"/>
        <v>130</v>
      </c>
      <c r="P703" s="256">
        <f t="shared" si="301"/>
        <v>114</v>
      </c>
      <c r="Q703" s="256" t="str">
        <f t="shared" si="302"/>
        <v>HW</v>
      </c>
      <c r="R703" s="256" t="str">
        <f t="shared" si="303"/>
        <v>HW</v>
      </c>
      <c r="S703" s="256" t="str">
        <f t="shared" si="304"/>
        <v>HW</v>
      </c>
      <c r="T703" s="256" t="str">
        <f t="shared" si="305"/>
        <v>HW</v>
      </c>
      <c r="U703" s="256" t="str">
        <f t="shared" si="306"/>
        <v>U</v>
      </c>
      <c r="V703" s="256" t="str">
        <f t="shared" si="307"/>
        <v>O</v>
      </c>
      <c r="W703" s="256" t="str">
        <f t="shared" si="308"/>
        <v>U</v>
      </c>
      <c r="X703" s="256" t="str">
        <f t="shared" si="309"/>
        <v>O</v>
      </c>
      <c r="Y703" s="256"/>
      <c r="Z703">
        <v>60</v>
      </c>
      <c r="AA703" s="256" t="str">
        <f t="shared" si="299"/>
        <v>TOR/ATL</v>
      </c>
    </row>
    <row r="704" spans="1:27" x14ac:dyDescent="0.3">
      <c r="A704" s="234">
        <v>200129</v>
      </c>
      <c r="B704" s="235">
        <v>0.41666666666666669</v>
      </c>
      <c r="C704" s="234" t="s">
        <v>411</v>
      </c>
      <c r="D704" s="234" t="s">
        <v>421</v>
      </c>
      <c r="E704">
        <v>28</v>
      </c>
      <c r="F704">
        <v>20</v>
      </c>
      <c r="G704">
        <v>28</v>
      </c>
      <c r="H704">
        <v>25</v>
      </c>
      <c r="J704">
        <v>36</v>
      </c>
      <c r="K704">
        <v>17</v>
      </c>
      <c r="L704">
        <v>27</v>
      </c>
      <c r="M704">
        <v>29</v>
      </c>
      <c r="O704" s="256">
        <f t="shared" si="300"/>
        <v>101</v>
      </c>
      <c r="P704" s="256">
        <f t="shared" si="301"/>
        <v>109</v>
      </c>
      <c r="Q704" s="256" t="str">
        <f t="shared" si="302"/>
        <v>HL</v>
      </c>
      <c r="R704" s="256" t="str">
        <f t="shared" si="303"/>
        <v>HW</v>
      </c>
      <c r="S704" s="256" t="str">
        <f t="shared" si="304"/>
        <v>HW</v>
      </c>
      <c r="T704" s="256" t="str">
        <f t="shared" si="305"/>
        <v>HL</v>
      </c>
      <c r="U704" s="256" t="str">
        <f t="shared" si="306"/>
        <v>O</v>
      </c>
      <c r="V704" s="256" t="str">
        <f t="shared" si="307"/>
        <v>U</v>
      </c>
      <c r="W704" s="256" t="str">
        <f t="shared" si="308"/>
        <v>O</v>
      </c>
      <c r="X704" s="256" t="str">
        <f t="shared" si="309"/>
        <v>O</v>
      </c>
      <c r="Y704" s="256"/>
      <c r="Z704">
        <v>53.5</v>
      </c>
      <c r="AA704" s="256" t="str">
        <f t="shared" si="299"/>
        <v>MIA/BOS</v>
      </c>
    </row>
    <row r="705" spans="1:27" x14ac:dyDescent="0.3">
      <c r="A705" s="234">
        <v>200129</v>
      </c>
      <c r="B705" s="235">
        <v>0.41666666666666669</v>
      </c>
      <c r="C705" s="234" t="s">
        <v>423</v>
      </c>
      <c r="D705" s="234" t="s">
        <v>414</v>
      </c>
      <c r="E705">
        <v>42</v>
      </c>
      <c r="F705">
        <v>46</v>
      </c>
      <c r="G705">
        <v>29</v>
      </c>
      <c r="H705">
        <v>34</v>
      </c>
      <c r="J705">
        <v>28</v>
      </c>
      <c r="K705">
        <v>35</v>
      </c>
      <c r="L705">
        <v>41</v>
      </c>
      <c r="M705">
        <v>27</v>
      </c>
      <c r="O705" s="256">
        <f t="shared" si="300"/>
        <v>151</v>
      </c>
      <c r="P705" s="256">
        <f t="shared" si="301"/>
        <v>131</v>
      </c>
      <c r="Q705" s="256" t="str">
        <f t="shared" si="302"/>
        <v>HW</v>
      </c>
      <c r="R705" s="256" t="str">
        <f t="shared" si="303"/>
        <v>HW</v>
      </c>
      <c r="S705" s="256" t="str">
        <f t="shared" si="304"/>
        <v>HL</v>
      </c>
      <c r="T705" s="256" t="str">
        <f t="shared" si="305"/>
        <v>HW</v>
      </c>
      <c r="U705" s="256" t="str">
        <f t="shared" si="306"/>
        <v>O</v>
      </c>
      <c r="V705" s="256" t="str">
        <f t="shared" si="307"/>
        <v>O</v>
      </c>
      <c r="W705" s="256" t="str">
        <f t="shared" si="308"/>
        <v>O</v>
      </c>
      <c r="X705" s="256" t="str">
        <f t="shared" si="309"/>
        <v>T</v>
      </c>
      <c r="Y705" s="256"/>
      <c r="Z705">
        <v>61</v>
      </c>
      <c r="AA705" s="256" t="str">
        <f t="shared" si="299"/>
        <v>MIL/WAS</v>
      </c>
    </row>
    <row r="706" spans="1:27" x14ac:dyDescent="0.3">
      <c r="A706" s="234">
        <v>200129</v>
      </c>
      <c r="B706" s="235">
        <v>0.41666666666666669</v>
      </c>
      <c r="C706" s="234" t="s">
        <v>406</v>
      </c>
      <c r="D706" s="234" t="s">
        <v>408</v>
      </c>
      <c r="E706">
        <v>31</v>
      </c>
      <c r="F706">
        <v>32</v>
      </c>
      <c r="G706">
        <v>19</v>
      </c>
      <c r="H706">
        <v>22</v>
      </c>
      <c r="J706">
        <v>18</v>
      </c>
      <c r="K706">
        <v>32</v>
      </c>
      <c r="L706">
        <v>16</v>
      </c>
      <c r="M706">
        <v>30</v>
      </c>
      <c r="O706" s="256">
        <f t="shared" si="300"/>
        <v>104</v>
      </c>
      <c r="P706" s="256">
        <f t="shared" si="301"/>
        <v>96</v>
      </c>
      <c r="Q706" s="256" t="str">
        <f t="shared" si="302"/>
        <v>HW</v>
      </c>
      <c r="R706" s="256" t="str">
        <f t="shared" si="303"/>
        <v>TT</v>
      </c>
      <c r="S706" s="256" t="str">
        <f t="shared" si="304"/>
        <v>HW</v>
      </c>
      <c r="T706" s="256" t="str">
        <f t="shared" si="305"/>
        <v>HL</v>
      </c>
      <c r="U706" s="256" t="str">
        <f t="shared" si="306"/>
        <v>U</v>
      </c>
      <c r="V706" s="256" t="str">
        <f t="shared" si="307"/>
        <v>O</v>
      </c>
      <c r="W706" s="256" t="str">
        <f t="shared" si="308"/>
        <v>U</v>
      </c>
      <c r="X706" s="256" t="str">
        <f t="shared" si="309"/>
        <v>U</v>
      </c>
      <c r="Y706" s="256"/>
      <c r="Z706">
        <v>57</v>
      </c>
      <c r="AA706" s="256" t="str">
        <f t="shared" si="299"/>
        <v>MEM/DEN</v>
      </c>
    </row>
    <row r="707" spans="1:27" x14ac:dyDescent="0.3">
      <c r="A707" s="234">
        <v>200129</v>
      </c>
      <c r="B707" s="235">
        <v>0.4375</v>
      </c>
      <c r="C707" s="234" t="s">
        <v>397</v>
      </c>
      <c r="D707" s="234" t="s">
        <v>404</v>
      </c>
      <c r="E707">
        <v>19</v>
      </c>
      <c r="F707">
        <v>36</v>
      </c>
      <c r="G707">
        <v>22</v>
      </c>
      <c r="H707">
        <v>27</v>
      </c>
      <c r="J707">
        <v>32</v>
      </c>
      <c r="K707">
        <v>28</v>
      </c>
      <c r="L707">
        <v>48</v>
      </c>
      <c r="M707">
        <v>25</v>
      </c>
      <c r="O707" s="256">
        <f t="shared" si="300"/>
        <v>104</v>
      </c>
      <c r="P707" s="256">
        <f t="shared" si="301"/>
        <v>133</v>
      </c>
      <c r="Q707" s="256" t="str">
        <f t="shared" si="302"/>
        <v>HL</v>
      </c>
      <c r="R707" s="256" t="str">
        <f t="shared" si="303"/>
        <v>HW</v>
      </c>
      <c r="S707" s="256" t="str">
        <f t="shared" si="304"/>
        <v>HL</v>
      </c>
      <c r="T707" s="256" t="str">
        <f t="shared" si="305"/>
        <v>HW</v>
      </c>
      <c r="U707" s="256" t="str">
        <f t="shared" si="306"/>
        <v>U</v>
      </c>
      <c r="V707" s="256" t="str">
        <f t="shared" si="307"/>
        <v>O</v>
      </c>
      <c r="W707" s="256" t="str">
        <f t="shared" si="308"/>
        <v>O</v>
      </c>
      <c r="X707" s="256" t="str">
        <f t="shared" si="309"/>
        <v>U</v>
      </c>
      <c r="Y707" s="256"/>
      <c r="Z707">
        <v>55.5</v>
      </c>
      <c r="AA707" s="256" t="str">
        <f t="shared" si="299"/>
        <v>DAL/PHO</v>
      </c>
    </row>
    <row r="708" spans="1:27" x14ac:dyDescent="0.3">
      <c r="A708" s="234">
        <v>200130</v>
      </c>
      <c r="B708" s="237">
        <v>0.375</v>
      </c>
      <c r="C708" s="236" t="s">
        <v>400</v>
      </c>
      <c r="D708" s="236" t="s">
        <v>412</v>
      </c>
      <c r="E708">
        <v>25</v>
      </c>
      <c r="F708">
        <v>30</v>
      </c>
      <c r="G708">
        <v>25</v>
      </c>
      <c r="H708">
        <v>20</v>
      </c>
      <c r="I708">
        <v>15</v>
      </c>
      <c r="J708">
        <v>24</v>
      </c>
      <c r="K708">
        <v>27</v>
      </c>
      <c r="L708">
        <v>29</v>
      </c>
      <c r="M708">
        <v>20</v>
      </c>
      <c r="N708" s="2">
        <v>6</v>
      </c>
      <c r="O708" s="256">
        <f t="shared" si="300"/>
        <v>115</v>
      </c>
      <c r="P708" s="256">
        <f t="shared" si="301"/>
        <v>106</v>
      </c>
      <c r="Q708" s="256" t="str">
        <f t="shared" si="302"/>
        <v>HW</v>
      </c>
      <c r="R708" s="256" t="str">
        <f t="shared" si="303"/>
        <v>HW</v>
      </c>
      <c r="S708" s="256" t="str">
        <f t="shared" si="304"/>
        <v>HL</v>
      </c>
      <c r="T708" s="256" t="str">
        <f t="shared" si="305"/>
        <v>TT</v>
      </c>
      <c r="U708" s="256" t="str">
        <f t="shared" si="306"/>
        <v>U</v>
      </c>
      <c r="V708" s="256" t="str">
        <f t="shared" si="307"/>
        <v>O</v>
      </c>
      <c r="W708" s="256" t="str">
        <f t="shared" si="308"/>
        <v>U</v>
      </c>
      <c r="X708" s="256" t="str">
        <f t="shared" si="309"/>
        <v>U</v>
      </c>
      <c r="Y708" s="256"/>
      <c r="Z708">
        <v>54.5</v>
      </c>
      <c r="AA708" s="256" t="str">
        <f t="shared" si="299"/>
        <v>IND/CHI</v>
      </c>
    </row>
    <row r="709" spans="1:27" x14ac:dyDescent="0.3">
      <c r="A709" s="236">
        <v>200130</v>
      </c>
      <c r="B709" s="237">
        <v>0.39583333333333331</v>
      </c>
      <c r="C709" s="236" t="s">
        <v>407</v>
      </c>
      <c r="D709" s="236" t="s">
        <v>422</v>
      </c>
      <c r="E709">
        <v>32</v>
      </c>
      <c r="F709">
        <v>38</v>
      </c>
      <c r="G709">
        <v>29</v>
      </c>
      <c r="H709">
        <v>26</v>
      </c>
      <c r="J709">
        <v>30</v>
      </c>
      <c r="K709">
        <v>38</v>
      </c>
      <c r="L709">
        <v>25</v>
      </c>
      <c r="M709">
        <v>22</v>
      </c>
      <c r="O709" s="256">
        <f t="shared" si="300"/>
        <v>125</v>
      </c>
      <c r="P709" s="256">
        <f t="shared" si="301"/>
        <v>115</v>
      </c>
      <c r="Q709" s="256" t="str">
        <f t="shared" si="302"/>
        <v>HW</v>
      </c>
      <c r="R709" s="256" t="str">
        <f t="shared" si="303"/>
        <v>TT</v>
      </c>
      <c r="S709" s="256" t="str">
        <f t="shared" si="304"/>
        <v>HW</v>
      </c>
      <c r="T709" s="256" t="str">
        <f t="shared" si="305"/>
        <v>HW</v>
      </c>
      <c r="U709" s="256" t="str">
        <f t="shared" si="306"/>
        <v>O</v>
      </c>
      <c r="V709" s="256" t="str">
        <f t="shared" si="307"/>
        <v>O</v>
      </c>
      <c r="W709" s="256" t="str">
        <f t="shared" si="308"/>
        <v>U</v>
      </c>
      <c r="X709" s="256" t="str">
        <f t="shared" si="309"/>
        <v>U</v>
      </c>
      <c r="Y709" s="256"/>
      <c r="Z709">
        <v>58.5</v>
      </c>
      <c r="AA709" s="256" t="str">
        <f t="shared" si="299"/>
        <v>BKN/DET</v>
      </c>
    </row>
    <row r="710" spans="1:27" x14ac:dyDescent="0.3">
      <c r="A710" s="236">
        <v>200130</v>
      </c>
      <c r="B710" s="237">
        <v>0.39583333333333331</v>
      </c>
      <c r="C710" s="236" t="s">
        <v>399</v>
      </c>
      <c r="D710" s="236" t="s">
        <v>406</v>
      </c>
      <c r="E710">
        <v>32</v>
      </c>
      <c r="F710">
        <v>20</v>
      </c>
      <c r="G710">
        <v>32</v>
      </c>
      <c r="H710">
        <v>22</v>
      </c>
      <c r="J710">
        <v>32</v>
      </c>
      <c r="K710">
        <v>27</v>
      </c>
      <c r="L710">
        <v>37</v>
      </c>
      <c r="M710">
        <v>31</v>
      </c>
      <c r="O710" s="256">
        <f t="shared" si="300"/>
        <v>106</v>
      </c>
      <c r="P710" s="256">
        <f t="shared" si="301"/>
        <v>127</v>
      </c>
      <c r="Q710" s="256" t="str">
        <f t="shared" si="302"/>
        <v>TT</v>
      </c>
      <c r="R710" s="256" t="str">
        <f t="shared" si="303"/>
        <v>HL</v>
      </c>
      <c r="S710" s="256" t="str">
        <f t="shared" si="304"/>
        <v>HL</v>
      </c>
      <c r="T710" s="256" t="str">
        <f t="shared" si="305"/>
        <v>HL</v>
      </c>
      <c r="U710" s="256" t="str">
        <f t="shared" si="306"/>
        <v>O</v>
      </c>
      <c r="V710" s="256" t="str">
        <f t="shared" si="307"/>
        <v>U</v>
      </c>
      <c r="W710" s="256" t="str">
        <f t="shared" si="308"/>
        <v>O</v>
      </c>
      <c r="X710" s="256" t="str">
        <f t="shared" si="309"/>
        <v>U</v>
      </c>
      <c r="Y710" s="256"/>
      <c r="Z710">
        <v>54.5</v>
      </c>
      <c r="AA710" s="256" t="str">
        <f t="shared" si="299"/>
        <v>NYK/MEM</v>
      </c>
    </row>
    <row r="711" spans="1:27" x14ac:dyDescent="0.3">
      <c r="A711" s="236">
        <v>200130</v>
      </c>
      <c r="B711" s="237">
        <v>0.4375</v>
      </c>
      <c r="C711" s="236" t="s">
        <v>426</v>
      </c>
      <c r="D711" s="236" t="s">
        <v>405</v>
      </c>
      <c r="E711">
        <v>37</v>
      </c>
      <c r="F711">
        <v>33</v>
      </c>
      <c r="G711">
        <v>28</v>
      </c>
      <c r="H711">
        <v>29</v>
      </c>
      <c r="J711">
        <v>29</v>
      </c>
      <c r="K711">
        <v>33</v>
      </c>
      <c r="L711">
        <v>32</v>
      </c>
      <c r="M711">
        <v>26</v>
      </c>
      <c r="O711" s="256">
        <f t="shared" si="300"/>
        <v>127</v>
      </c>
      <c r="P711" s="256">
        <f t="shared" si="301"/>
        <v>120</v>
      </c>
      <c r="Q711" s="256" t="str">
        <f t="shared" si="302"/>
        <v>HW</v>
      </c>
      <c r="R711" s="256" t="str">
        <f t="shared" si="303"/>
        <v>TT</v>
      </c>
      <c r="S711" s="256" t="str">
        <f t="shared" si="304"/>
        <v>HL</v>
      </c>
      <c r="T711" s="256" t="str">
        <f t="shared" si="305"/>
        <v>HW</v>
      </c>
      <c r="U711" s="256" t="str">
        <f t="shared" si="306"/>
        <v>O</v>
      </c>
      <c r="V711" s="256" t="str">
        <f t="shared" si="307"/>
        <v>O</v>
      </c>
      <c r="W711" s="256" t="str">
        <f t="shared" si="308"/>
        <v>O</v>
      </c>
      <c r="X711" s="256" t="str">
        <f t="shared" si="309"/>
        <v>O</v>
      </c>
      <c r="Y711" s="256"/>
      <c r="Z711">
        <v>53.5</v>
      </c>
      <c r="AA711" s="256" t="str">
        <f t="shared" si="299"/>
        <v>SAS/UTA</v>
      </c>
    </row>
    <row r="712" spans="1:27" x14ac:dyDescent="0.3">
      <c r="A712" s="236">
        <v>200130</v>
      </c>
      <c r="B712" s="237">
        <v>0.5</v>
      </c>
      <c r="C712" s="236" t="s">
        <v>417</v>
      </c>
      <c r="D712" s="236" t="s">
        <v>403</v>
      </c>
      <c r="E712">
        <v>30</v>
      </c>
      <c r="F712">
        <v>41</v>
      </c>
      <c r="G712">
        <v>26</v>
      </c>
      <c r="H712">
        <v>28</v>
      </c>
      <c r="J712">
        <v>36</v>
      </c>
      <c r="K712">
        <v>24</v>
      </c>
      <c r="L712">
        <v>22</v>
      </c>
      <c r="M712">
        <v>30</v>
      </c>
      <c r="O712" s="256">
        <f t="shared" si="300"/>
        <v>125</v>
      </c>
      <c r="P712" s="256">
        <f t="shared" si="301"/>
        <v>112</v>
      </c>
      <c r="Q712" s="256" t="str">
        <f t="shared" si="302"/>
        <v>HL</v>
      </c>
      <c r="R712" s="256" t="str">
        <f t="shared" si="303"/>
        <v>HW</v>
      </c>
      <c r="S712" s="256" t="str">
        <f t="shared" si="304"/>
        <v>HW</v>
      </c>
      <c r="T712" s="256" t="str">
        <f t="shared" si="305"/>
        <v>HL</v>
      </c>
      <c r="U712" s="256" t="str">
        <f t="shared" si="306"/>
        <v>O</v>
      </c>
      <c r="V712" s="256" t="str">
        <f t="shared" si="307"/>
        <v>O</v>
      </c>
      <c r="W712" s="256" t="str">
        <f t="shared" si="308"/>
        <v>U</v>
      </c>
      <c r="X712" s="256" t="str">
        <f t="shared" si="309"/>
        <v>U</v>
      </c>
      <c r="Y712" s="256"/>
      <c r="Z712">
        <v>62</v>
      </c>
      <c r="AA712" s="256" t="str">
        <f t="shared" si="299"/>
        <v>POR/HOU</v>
      </c>
    </row>
    <row r="713" spans="1:27" x14ac:dyDescent="0.3">
      <c r="A713" s="236">
        <v>200130</v>
      </c>
      <c r="B713" s="237">
        <v>0.5</v>
      </c>
      <c r="C713" s="236" t="s">
        <v>416</v>
      </c>
      <c r="D713" s="236" t="s">
        <v>418</v>
      </c>
      <c r="E713">
        <v>16</v>
      </c>
      <c r="F713">
        <v>31</v>
      </c>
      <c r="G713">
        <v>29</v>
      </c>
      <c r="H713">
        <v>24</v>
      </c>
      <c r="J713">
        <v>23</v>
      </c>
      <c r="K713">
        <v>36</v>
      </c>
      <c r="L713">
        <v>37</v>
      </c>
      <c r="M713">
        <v>24</v>
      </c>
      <c r="O713" s="256">
        <f t="shared" si="300"/>
        <v>100</v>
      </c>
      <c r="P713" s="256">
        <f t="shared" si="301"/>
        <v>120</v>
      </c>
      <c r="Q713" s="256" t="str">
        <f t="shared" si="302"/>
        <v>HL</v>
      </c>
      <c r="R713" s="256" t="str">
        <f t="shared" si="303"/>
        <v>HL</v>
      </c>
      <c r="S713" s="256" t="str">
        <f t="shared" si="304"/>
        <v>HL</v>
      </c>
      <c r="T713" s="256" t="str">
        <f t="shared" si="305"/>
        <v>TT</v>
      </c>
      <c r="U713" s="256" t="str">
        <f t="shared" si="306"/>
        <v>U</v>
      </c>
      <c r="V713" s="256" t="str">
        <f t="shared" si="307"/>
        <v>O</v>
      </c>
      <c r="W713" s="256" t="str">
        <f t="shared" si="308"/>
        <v>O</v>
      </c>
      <c r="X713" s="256" t="str">
        <f t="shared" si="309"/>
        <v>U</v>
      </c>
      <c r="Y713" s="256"/>
      <c r="Z713">
        <v>55.5</v>
      </c>
      <c r="AA713" s="256" t="str">
        <f t="shared" si="299"/>
        <v>SAC/OKC</v>
      </c>
    </row>
    <row r="714" spans="1:27" x14ac:dyDescent="0.3">
      <c r="A714" s="236">
        <v>200131</v>
      </c>
      <c r="B714" s="239">
        <v>0.375</v>
      </c>
      <c r="C714" s="238" t="s">
        <v>402</v>
      </c>
      <c r="D714" s="238" t="s">
        <v>413</v>
      </c>
      <c r="E714">
        <v>26</v>
      </c>
      <c r="F714">
        <v>26</v>
      </c>
      <c r="G714">
        <v>24</v>
      </c>
      <c r="H714">
        <v>33</v>
      </c>
      <c r="J714">
        <v>31</v>
      </c>
      <c r="K714">
        <v>25</v>
      </c>
      <c r="L714">
        <v>32</v>
      </c>
      <c r="M714">
        <v>27</v>
      </c>
      <c r="O714" s="256">
        <f t="shared" si="300"/>
        <v>109</v>
      </c>
      <c r="P714" s="256">
        <f t="shared" si="301"/>
        <v>115</v>
      </c>
      <c r="Q714" s="256" t="str">
        <f t="shared" si="302"/>
        <v>HL</v>
      </c>
      <c r="R714" s="256" t="str">
        <f t="shared" si="303"/>
        <v>HW</v>
      </c>
      <c r="S714" s="256" t="str">
        <f t="shared" si="304"/>
        <v>HL</v>
      </c>
      <c r="T714" s="256" t="str">
        <f t="shared" si="305"/>
        <v>HW</v>
      </c>
      <c r="U714" s="256" t="str">
        <f t="shared" si="306"/>
        <v>T</v>
      </c>
      <c r="V714" s="256" t="str">
        <f t="shared" si="307"/>
        <v>U</v>
      </c>
      <c r="W714" s="256" t="str">
        <f t="shared" si="308"/>
        <v>U</v>
      </c>
      <c r="X714" s="256" t="str">
        <f t="shared" si="309"/>
        <v>O</v>
      </c>
      <c r="Y714" s="256"/>
      <c r="Z714">
        <v>57</v>
      </c>
      <c r="AA714" s="256" t="str">
        <f t="shared" si="299"/>
        <v>CLE/TOR</v>
      </c>
    </row>
    <row r="715" spans="1:27" x14ac:dyDescent="0.3">
      <c r="A715" s="238">
        <v>200131</v>
      </c>
      <c r="B715" s="239">
        <v>0.375</v>
      </c>
      <c r="C715" s="238" t="s">
        <v>414</v>
      </c>
      <c r="D715" s="238" t="s">
        <v>409</v>
      </c>
      <c r="E715">
        <v>26</v>
      </c>
      <c r="F715">
        <v>29</v>
      </c>
      <c r="G715">
        <v>31</v>
      </c>
      <c r="H715">
        <v>35</v>
      </c>
      <c r="J715">
        <v>33</v>
      </c>
      <c r="K715">
        <v>27</v>
      </c>
      <c r="L715">
        <v>19</v>
      </c>
      <c r="M715">
        <v>28</v>
      </c>
      <c r="O715" s="256">
        <f t="shared" si="300"/>
        <v>121</v>
      </c>
      <c r="P715" s="256">
        <f t="shared" si="301"/>
        <v>107</v>
      </c>
      <c r="Q715" s="256" t="str">
        <f t="shared" si="302"/>
        <v>HL</v>
      </c>
      <c r="R715" s="256" t="str">
        <f t="shared" si="303"/>
        <v>HW</v>
      </c>
      <c r="S715" s="256" t="str">
        <f t="shared" si="304"/>
        <v>HW</v>
      </c>
      <c r="T715" s="256" t="str">
        <f t="shared" si="305"/>
        <v>HW</v>
      </c>
      <c r="U715" s="256" t="str">
        <f t="shared" si="306"/>
        <v>O</v>
      </c>
      <c r="V715" s="256" t="str">
        <f t="shared" si="307"/>
        <v>U</v>
      </c>
      <c r="W715" s="256" t="str">
        <f t="shared" si="308"/>
        <v>U</v>
      </c>
      <c r="X715" s="256" t="str">
        <f t="shared" si="309"/>
        <v>O</v>
      </c>
      <c r="Y715" s="256"/>
      <c r="Z715">
        <v>58</v>
      </c>
      <c r="AA715" s="256" t="str">
        <f t="shared" si="299"/>
        <v>WAS/CHA</v>
      </c>
    </row>
    <row r="716" spans="1:27" x14ac:dyDescent="0.3">
      <c r="A716" s="238">
        <v>200131</v>
      </c>
      <c r="B716" s="239">
        <v>0.39583333333333331</v>
      </c>
      <c r="C716" s="238" t="s">
        <v>410</v>
      </c>
      <c r="D716" s="238" t="s">
        <v>401</v>
      </c>
      <c r="E716">
        <v>39</v>
      </c>
      <c r="F716">
        <v>35</v>
      </c>
      <c r="G716">
        <v>25</v>
      </c>
      <c r="H716">
        <v>28</v>
      </c>
      <c r="J716">
        <v>31</v>
      </c>
      <c r="K716">
        <v>36</v>
      </c>
      <c r="L716">
        <v>25</v>
      </c>
      <c r="M716">
        <v>25</v>
      </c>
      <c r="O716" s="256">
        <f t="shared" si="300"/>
        <v>127</v>
      </c>
      <c r="P716" s="256">
        <f t="shared" si="301"/>
        <v>117</v>
      </c>
      <c r="Q716" s="256" t="str">
        <f t="shared" si="302"/>
        <v>HW</v>
      </c>
      <c r="R716" s="256" t="str">
        <f t="shared" si="303"/>
        <v>HL</v>
      </c>
      <c r="S716" s="256" t="str">
        <f t="shared" si="304"/>
        <v>TT</v>
      </c>
      <c r="T716" s="256" t="str">
        <f t="shared" si="305"/>
        <v>HW</v>
      </c>
      <c r="U716" s="256" t="str">
        <f t="shared" si="306"/>
        <v>O</v>
      </c>
      <c r="V716" s="256" t="str">
        <f t="shared" si="307"/>
        <v>O</v>
      </c>
      <c r="W716" s="256" t="str">
        <f t="shared" si="308"/>
        <v>U</v>
      </c>
      <c r="X716" s="256" t="str">
        <f t="shared" si="309"/>
        <v>U</v>
      </c>
      <c r="Y716" s="256"/>
      <c r="Z716">
        <v>58</v>
      </c>
      <c r="AA716" s="256" t="str">
        <f t="shared" ref="AA716:AA776" si="310">C716&amp;"/"&amp;D716</f>
        <v>ATL/PHI</v>
      </c>
    </row>
    <row r="717" spans="1:27" x14ac:dyDescent="0.3">
      <c r="A717" s="238">
        <v>200131</v>
      </c>
      <c r="B717" s="239">
        <v>0.41666666666666669</v>
      </c>
      <c r="C717" s="238" t="s">
        <v>421</v>
      </c>
      <c r="D717" s="238" t="s">
        <v>425</v>
      </c>
      <c r="E717">
        <v>29</v>
      </c>
      <c r="F717">
        <v>31</v>
      </c>
      <c r="G717">
        <v>31</v>
      </c>
      <c r="H717">
        <v>28</v>
      </c>
      <c r="J717">
        <v>22</v>
      </c>
      <c r="K717">
        <v>28</v>
      </c>
      <c r="L717">
        <v>29</v>
      </c>
      <c r="M717">
        <v>25</v>
      </c>
      <c r="O717" s="256">
        <f t="shared" si="300"/>
        <v>119</v>
      </c>
      <c r="P717" s="256">
        <f t="shared" si="301"/>
        <v>104</v>
      </c>
      <c r="Q717" s="256" t="str">
        <f t="shared" si="302"/>
        <v>HW</v>
      </c>
      <c r="R717" s="256" t="str">
        <f t="shared" si="303"/>
        <v>HW</v>
      </c>
      <c r="S717" s="256" t="str">
        <f t="shared" si="304"/>
        <v>HW</v>
      </c>
      <c r="T717" s="256" t="str">
        <f t="shared" si="305"/>
        <v>HW</v>
      </c>
      <c r="U717" s="256" t="str">
        <f t="shared" si="306"/>
        <v>U</v>
      </c>
      <c r="V717" s="256" t="str">
        <f t="shared" si="307"/>
        <v>O</v>
      </c>
      <c r="W717" s="256" t="str">
        <f t="shared" si="308"/>
        <v>O</v>
      </c>
      <c r="X717" s="256" t="str">
        <f t="shared" si="309"/>
        <v>U</v>
      </c>
      <c r="Y717" s="256"/>
      <c r="Z717">
        <v>57</v>
      </c>
      <c r="AA717" s="256" t="str">
        <f t="shared" si="310"/>
        <v>BOS/GS</v>
      </c>
    </row>
    <row r="718" spans="1:27" x14ac:dyDescent="0.3">
      <c r="A718" s="238">
        <v>200131</v>
      </c>
      <c r="B718" s="239">
        <v>0.52083333333333337</v>
      </c>
      <c r="C718" s="238" t="s">
        <v>408</v>
      </c>
      <c r="D718" s="238" t="s">
        <v>405</v>
      </c>
      <c r="E718">
        <v>21</v>
      </c>
      <c r="F718">
        <v>22</v>
      </c>
      <c r="G718">
        <v>33</v>
      </c>
      <c r="H718">
        <v>30</v>
      </c>
      <c r="J718">
        <v>23</v>
      </c>
      <c r="K718">
        <v>25</v>
      </c>
      <c r="L718">
        <v>22</v>
      </c>
      <c r="M718">
        <v>30</v>
      </c>
      <c r="O718" s="256">
        <f t="shared" si="300"/>
        <v>106</v>
      </c>
      <c r="P718" s="256">
        <f t="shared" si="301"/>
        <v>100</v>
      </c>
      <c r="Q718" s="256" t="str">
        <f t="shared" si="302"/>
        <v>HL</v>
      </c>
      <c r="R718" s="256" t="str">
        <f t="shared" si="303"/>
        <v>HL</v>
      </c>
      <c r="S718" s="256" t="str">
        <f t="shared" si="304"/>
        <v>HW</v>
      </c>
      <c r="T718" s="256" t="str">
        <f t="shared" si="305"/>
        <v>TT</v>
      </c>
      <c r="U718" s="256" t="str">
        <f t="shared" si="306"/>
        <v>U</v>
      </c>
      <c r="V718" s="256" t="str">
        <f t="shared" si="307"/>
        <v>U</v>
      </c>
      <c r="W718" s="256" t="str">
        <f t="shared" si="308"/>
        <v>O</v>
      </c>
      <c r="X718" s="256" t="str">
        <f t="shared" si="309"/>
        <v>O</v>
      </c>
      <c r="Y718" s="256"/>
      <c r="Z718">
        <v>52.5</v>
      </c>
      <c r="AA718" s="256" t="str">
        <f t="shared" si="310"/>
        <v>DEN/UTA</v>
      </c>
    </row>
    <row r="719" spans="1:27" x14ac:dyDescent="0.3">
      <c r="A719" s="238">
        <v>200131</v>
      </c>
      <c r="B719" s="239">
        <v>0.52083333333333337</v>
      </c>
      <c r="C719" s="238" t="s">
        <v>415</v>
      </c>
      <c r="D719" s="238" t="s">
        <v>416</v>
      </c>
      <c r="E719">
        <v>33</v>
      </c>
      <c r="F719">
        <v>14</v>
      </c>
      <c r="G719">
        <v>24</v>
      </c>
      <c r="H719">
        <v>32</v>
      </c>
      <c r="J719">
        <v>28</v>
      </c>
      <c r="K719">
        <v>36</v>
      </c>
      <c r="L719">
        <v>21</v>
      </c>
      <c r="M719">
        <v>39</v>
      </c>
      <c r="O719" s="256">
        <f t="shared" si="300"/>
        <v>103</v>
      </c>
      <c r="P719" s="256">
        <f t="shared" si="301"/>
        <v>124</v>
      </c>
      <c r="Q719" s="256" t="str">
        <f t="shared" si="302"/>
        <v>HW</v>
      </c>
      <c r="R719" s="256" t="str">
        <f t="shared" si="303"/>
        <v>HL</v>
      </c>
      <c r="S719" s="256" t="str">
        <f t="shared" si="304"/>
        <v>HW</v>
      </c>
      <c r="T719" s="256" t="str">
        <f t="shared" si="305"/>
        <v>HL</v>
      </c>
      <c r="U719" s="256" t="str">
        <f t="shared" si="306"/>
        <v>O</v>
      </c>
      <c r="V719" s="256" t="str">
        <f t="shared" si="307"/>
        <v>U</v>
      </c>
      <c r="W719" s="256" t="str">
        <f t="shared" si="308"/>
        <v>U</v>
      </c>
      <c r="X719" s="256" t="str">
        <f t="shared" si="309"/>
        <v>O</v>
      </c>
      <c r="Y719" s="256"/>
      <c r="Z719">
        <v>57.5</v>
      </c>
      <c r="AA719" s="256" t="str">
        <f t="shared" si="310"/>
        <v>LAC/SAC</v>
      </c>
    </row>
    <row r="720" spans="1:27" x14ac:dyDescent="0.3">
      <c r="A720" s="238">
        <v>200201</v>
      </c>
      <c r="B720" s="257">
        <v>0.375</v>
      </c>
      <c r="C720" s="256" t="s">
        <v>422</v>
      </c>
      <c r="D720" s="256" t="s">
        <v>413</v>
      </c>
      <c r="E720">
        <v>20</v>
      </c>
      <c r="F720">
        <v>27</v>
      </c>
      <c r="G720">
        <v>22</v>
      </c>
      <c r="H720">
        <v>23</v>
      </c>
      <c r="J720">
        <v>30</v>
      </c>
      <c r="K720">
        <v>30</v>
      </c>
      <c r="L720">
        <v>18</v>
      </c>
      <c r="M720">
        <v>27</v>
      </c>
      <c r="O720" s="256">
        <f t="shared" si="300"/>
        <v>92</v>
      </c>
      <c r="P720" s="256">
        <f t="shared" si="301"/>
        <v>105</v>
      </c>
      <c r="Q720" s="256" t="str">
        <f t="shared" si="302"/>
        <v>HL</v>
      </c>
      <c r="R720" s="256" t="str">
        <f t="shared" si="303"/>
        <v>HL</v>
      </c>
      <c r="S720" s="256" t="str">
        <f t="shared" si="304"/>
        <v>HW</v>
      </c>
      <c r="T720" s="256" t="str">
        <f t="shared" si="305"/>
        <v>HL</v>
      </c>
      <c r="U720" s="256" t="str">
        <f t="shared" si="306"/>
        <v>U</v>
      </c>
      <c r="V720" s="256" t="str">
        <f t="shared" si="307"/>
        <v>T</v>
      </c>
      <c r="W720" s="256" t="str">
        <f t="shared" si="308"/>
        <v>U</v>
      </c>
      <c r="X720" s="256" t="str">
        <f t="shared" si="309"/>
        <v>U</v>
      </c>
      <c r="Y720" s="256"/>
      <c r="Z720">
        <v>57</v>
      </c>
      <c r="AA720" s="256" t="str">
        <f t="shared" si="310"/>
        <v>DET/TOR</v>
      </c>
    </row>
    <row r="721" spans="1:27" x14ac:dyDescent="0.3">
      <c r="A721" s="256">
        <v>200201</v>
      </c>
      <c r="B721" s="257">
        <v>0.39583333333333331</v>
      </c>
      <c r="C721" s="256" t="s">
        <v>403</v>
      </c>
      <c r="D721" s="256" t="s">
        <v>397</v>
      </c>
      <c r="E721">
        <v>35</v>
      </c>
      <c r="F721">
        <v>30</v>
      </c>
      <c r="G721">
        <v>36</v>
      </c>
      <c r="H721">
        <v>27</v>
      </c>
      <c r="J721">
        <v>28</v>
      </c>
      <c r="K721">
        <v>32</v>
      </c>
      <c r="L721">
        <v>25</v>
      </c>
      <c r="M721">
        <v>36</v>
      </c>
      <c r="O721" s="256">
        <f t="shared" si="300"/>
        <v>128</v>
      </c>
      <c r="P721" s="256">
        <f t="shared" si="301"/>
        <v>121</v>
      </c>
      <c r="Q721" s="256" t="str">
        <f t="shared" si="302"/>
        <v>HW</v>
      </c>
      <c r="R721" s="256" t="str">
        <f t="shared" si="303"/>
        <v>HL</v>
      </c>
      <c r="S721" s="256" t="str">
        <f t="shared" si="304"/>
        <v>HW</v>
      </c>
      <c r="T721" s="256" t="str">
        <f t="shared" si="305"/>
        <v>HL</v>
      </c>
      <c r="U721" s="256" t="str">
        <f t="shared" si="306"/>
        <v>O</v>
      </c>
      <c r="V721" s="256" t="str">
        <f t="shared" si="307"/>
        <v>O</v>
      </c>
      <c r="W721" s="256" t="str">
        <f t="shared" si="308"/>
        <v>O</v>
      </c>
      <c r="X721" s="256" t="str">
        <f t="shared" si="309"/>
        <v>O</v>
      </c>
      <c r="Y721" s="256"/>
      <c r="Z721">
        <v>59.5</v>
      </c>
      <c r="AA721" s="256" t="str">
        <f t="shared" si="310"/>
        <v>HOU/DAL</v>
      </c>
    </row>
    <row r="722" spans="1:27" x14ac:dyDescent="0.3">
      <c r="A722" s="256">
        <v>200201</v>
      </c>
      <c r="B722" s="257">
        <v>0.39583333333333331</v>
      </c>
      <c r="C722" s="256" t="s">
        <v>407</v>
      </c>
      <c r="D722" s="256" t="s">
        <v>412</v>
      </c>
      <c r="E722">
        <v>35</v>
      </c>
      <c r="F722">
        <v>38</v>
      </c>
      <c r="G722">
        <v>30</v>
      </c>
      <c r="H722">
        <v>30</v>
      </c>
      <c r="J722">
        <v>23</v>
      </c>
      <c r="K722">
        <v>34</v>
      </c>
      <c r="L722">
        <v>39</v>
      </c>
      <c r="M722">
        <v>22</v>
      </c>
      <c r="O722" s="256">
        <f t="shared" si="300"/>
        <v>133</v>
      </c>
      <c r="P722" s="256">
        <f t="shared" si="301"/>
        <v>118</v>
      </c>
      <c r="Q722" s="256" t="str">
        <f t="shared" si="302"/>
        <v>HW</v>
      </c>
      <c r="R722" s="256" t="str">
        <f t="shared" si="303"/>
        <v>HW</v>
      </c>
      <c r="S722" s="256" t="str">
        <f t="shared" si="304"/>
        <v>HL</v>
      </c>
      <c r="T722" s="256" t="str">
        <f t="shared" si="305"/>
        <v>HW</v>
      </c>
      <c r="U722" s="256" t="str">
        <f t="shared" si="306"/>
        <v>O</v>
      </c>
      <c r="V722" s="256" t="str">
        <f t="shared" si="307"/>
        <v>O</v>
      </c>
      <c r="W722" s="256" t="str">
        <f t="shared" si="308"/>
        <v>O</v>
      </c>
      <c r="X722" s="256" t="str">
        <f t="shared" si="309"/>
        <v>U</v>
      </c>
      <c r="Y722" s="256"/>
      <c r="Z722">
        <v>56.5</v>
      </c>
      <c r="AA722" s="256" t="str">
        <f t="shared" si="310"/>
        <v>BKN/CHI</v>
      </c>
    </row>
    <row r="723" spans="1:27" x14ac:dyDescent="0.3">
      <c r="A723" s="256">
        <v>200201</v>
      </c>
      <c r="B723" s="257">
        <v>0.41666666666666669</v>
      </c>
      <c r="C723" s="256" t="s">
        <v>398</v>
      </c>
      <c r="D723" s="256" t="s">
        <v>406</v>
      </c>
      <c r="E723">
        <v>31</v>
      </c>
      <c r="F723">
        <v>35</v>
      </c>
      <c r="G723">
        <v>44</v>
      </c>
      <c r="H723">
        <v>29</v>
      </c>
      <c r="J723">
        <v>22</v>
      </c>
      <c r="K723">
        <v>37</v>
      </c>
      <c r="L723">
        <v>27</v>
      </c>
      <c r="M723">
        <v>25</v>
      </c>
      <c r="O723" s="256">
        <f t="shared" si="300"/>
        <v>139</v>
      </c>
      <c r="P723" s="256">
        <f t="shared" si="301"/>
        <v>111</v>
      </c>
      <c r="Q723" s="256" t="str">
        <f t="shared" si="302"/>
        <v>HW</v>
      </c>
      <c r="R723" s="256" t="str">
        <f t="shared" si="303"/>
        <v>HL</v>
      </c>
      <c r="S723" s="256" t="str">
        <f t="shared" si="304"/>
        <v>HW</v>
      </c>
      <c r="T723" s="256" t="str">
        <f t="shared" si="305"/>
        <v>HW</v>
      </c>
      <c r="U723" s="256" t="str">
        <f t="shared" si="306"/>
        <v>U</v>
      </c>
      <c r="V723" s="256" t="str">
        <f t="shared" si="307"/>
        <v>O</v>
      </c>
      <c r="W723" s="256" t="str">
        <f t="shared" si="308"/>
        <v>O</v>
      </c>
      <c r="X723" s="256" t="str">
        <f t="shared" si="309"/>
        <v>U</v>
      </c>
      <c r="Y723" s="256"/>
      <c r="Z723">
        <v>59.5</v>
      </c>
      <c r="AA723" s="256" t="str">
        <f t="shared" si="310"/>
        <v>NO/MEM</v>
      </c>
    </row>
    <row r="724" spans="1:27" x14ac:dyDescent="0.3">
      <c r="A724" s="256">
        <v>200201</v>
      </c>
      <c r="B724" s="257">
        <v>0.45833333333333331</v>
      </c>
      <c r="C724" s="256" t="s">
        <v>423</v>
      </c>
      <c r="D724" s="256" t="s">
        <v>408</v>
      </c>
      <c r="E724">
        <v>43</v>
      </c>
      <c r="F724">
        <v>24</v>
      </c>
      <c r="G724">
        <v>24</v>
      </c>
      <c r="H724">
        <v>24</v>
      </c>
      <c r="J724">
        <v>35</v>
      </c>
      <c r="K724">
        <v>25</v>
      </c>
      <c r="L724">
        <v>40</v>
      </c>
      <c r="M724">
        <v>27</v>
      </c>
      <c r="O724" s="256">
        <f t="shared" si="300"/>
        <v>115</v>
      </c>
      <c r="P724" s="256">
        <f t="shared" si="301"/>
        <v>127</v>
      </c>
      <c r="Q724" s="256" t="str">
        <f t="shared" si="302"/>
        <v>HW</v>
      </c>
      <c r="R724" s="256" t="str">
        <f t="shared" si="303"/>
        <v>HL</v>
      </c>
      <c r="S724" s="256" t="str">
        <f t="shared" si="304"/>
        <v>HL</v>
      </c>
      <c r="T724" s="256" t="str">
        <f t="shared" si="305"/>
        <v>HL</v>
      </c>
      <c r="U724" s="256" t="str">
        <f t="shared" si="306"/>
        <v>O</v>
      </c>
      <c r="V724" s="256" t="str">
        <f t="shared" si="307"/>
        <v>U</v>
      </c>
      <c r="W724" s="256" t="str">
        <f t="shared" si="308"/>
        <v>O</v>
      </c>
      <c r="X724" s="256" t="str">
        <f t="shared" si="309"/>
        <v>U</v>
      </c>
      <c r="Y724" s="256"/>
      <c r="Z724">
        <v>57.5</v>
      </c>
      <c r="AA724" s="256" t="str">
        <f t="shared" si="310"/>
        <v>MIL/DEN</v>
      </c>
    </row>
    <row r="725" spans="1:27" x14ac:dyDescent="0.3">
      <c r="A725" s="256">
        <v>200201</v>
      </c>
      <c r="B725" s="257">
        <v>0.45833333333333331</v>
      </c>
      <c r="C725" s="256" t="s">
        <v>404</v>
      </c>
      <c r="D725" s="256" t="s">
        <v>418</v>
      </c>
      <c r="E725">
        <v>27</v>
      </c>
      <c r="F725">
        <v>25</v>
      </c>
      <c r="G725">
        <v>29</v>
      </c>
      <c r="H725">
        <v>26</v>
      </c>
      <c r="J725">
        <v>25</v>
      </c>
      <c r="K725">
        <v>28</v>
      </c>
      <c r="L725">
        <v>26</v>
      </c>
      <c r="M725">
        <v>32</v>
      </c>
      <c r="O725" s="256">
        <f t="shared" si="300"/>
        <v>107</v>
      </c>
      <c r="P725" s="256">
        <f t="shared" si="301"/>
        <v>111</v>
      </c>
      <c r="Q725" s="256" t="str">
        <f t="shared" si="302"/>
        <v>HW</v>
      </c>
      <c r="R725" s="256" t="str">
        <f t="shared" si="303"/>
        <v>HL</v>
      </c>
      <c r="S725" s="256" t="str">
        <f t="shared" si="304"/>
        <v>HW</v>
      </c>
      <c r="T725" s="256" t="str">
        <f t="shared" si="305"/>
        <v>HL</v>
      </c>
      <c r="U725" s="256" t="str">
        <f t="shared" si="306"/>
        <v>U</v>
      </c>
      <c r="V725" s="256" t="str">
        <f t="shared" si="307"/>
        <v>U</v>
      </c>
      <c r="W725" s="256" t="str">
        <f t="shared" si="308"/>
        <v>U</v>
      </c>
      <c r="X725" s="256" t="str">
        <f t="shared" si="309"/>
        <v>O</v>
      </c>
      <c r="Y725" s="256"/>
      <c r="Z725">
        <v>56.5</v>
      </c>
      <c r="AA725" s="256" t="str">
        <f t="shared" si="310"/>
        <v>PHO/OKC</v>
      </c>
    </row>
    <row r="726" spans="1:27" x14ac:dyDescent="0.3">
      <c r="A726" s="256">
        <v>200201</v>
      </c>
      <c r="B726" s="257">
        <v>0.52083333333333337</v>
      </c>
      <c r="C726" s="256" t="s">
        <v>419</v>
      </c>
      <c r="D726" s="256" t="s">
        <v>417</v>
      </c>
      <c r="E726">
        <v>36</v>
      </c>
      <c r="F726">
        <v>26</v>
      </c>
      <c r="G726">
        <v>34</v>
      </c>
      <c r="H726">
        <v>23</v>
      </c>
      <c r="J726">
        <v>38</v>
      </c>
      <c r="K726">
        <v>22</v>
      </c>
      <c r="L726">
        <v>43</v>
      </c>
      <c r="M726">
        <v>24</v>
      </c>
      <c r="O726" s="256">
        <f t="shared" si="300"/>
        <v>119</v>
      </c>
      <c r="P726" s="256">
        <f t="shared" si="301"/>
        <v>127</v>
      </c>
      <c r="Q726" s="256" t="str">
        <f t="shared" si="302"/>
        <v>HL</v>
      </c>
      <c r="R726" s="256" t="str">
        <f t="shared" si="303"/>
        <v>HW</v>
      </c>
      <c r="S726" s="256" t="str">
        <f t="shared" si="304"/>
        <v>HL</v>
      </c>
      <c r="T726" s="256" t="str">
        <f t="shared" si="305"/>
        <v>HL</v>
      </c>
      <c r="U726" s="256" t="str">
        <f t="shared" si="306"/>
        <v>O</v>
      </c>
      <c r="V726" s="256" t="str">
        <f t="shared" si="307"/>
        <v>U</v>
      </c>
      <c r="W726" s="256" t="str">
        <f t="shared" si="308"/>
        <v>O</v>
      </c>
      <c r="X726" s="256" t="str">
        <f t="shared" si="309"/>
        <v>U</v>
      </c>
      <c r="Y726" s="256"/>
      <c r="Z726">
        <v>58.5</v>
      </c>
      <c r="AA726" s="256" t="str">
        <f t="shared" si="310"/>
        <v>LAL/POR</v>
      </c>
    </row>
    <row r="727" spans="1:27" x14ac:dyDescent="0.3">
      <c r="A727" s="286">
        <v>200202</v>
      </c>
      <c r="B727" s="287">
        <v>0.22916666666666666</v>
      </c>
      <c r="C727" s="286" t="s">
        <v>415</v>
      </c>
      <c r="D727" s="286" t="s">
        <v>420</v>
      </c>
      <c r="E727" s="286">
        <v>40</v>
      </c>
      <c r="F727" s="286">
        <v>22</v>
      </c>
      <c r="G727" s="286">
        <v>36</v>
      </c>
      <c r="H727" s="286">
        <v>20</v>
      </c>
      <c r="I727" s="286"/>
      <c r="J727" s="286">
        <v>32</v>
      </c>
      <c r="K727" s="286">
        <v>23</v>
      </c>
      <c r="L727" s="286">
        <v>31</v>
      </c>
      <c r="M727" s="286">
        <v>20</v>
      </c>
      <c r="O727" s="286">
        <f t="shared" ref="O727:O776" si="311">SUM(E727:I727)</f>
        <v>118</v>
      </c>
      <c r="P727" s="286">
        <f t="shared" ref="P727:P776" si="312">SUM(J727:N727)</f>
        <v>106</v>
      </c>
      <c r="Q727" s="286" t="str">
        <f t="shared" ref="Q727:Q776" si="313">IF(E727=J727,"TT",IF(E727&gt;J727,"HW","HL"))</f>
        <v>HW</v>
      </c>
      <c r="R727" s="286" t="str">
        <f t="shared" ref="R727:R776" si="314">IF(F727=K727,"TT",IF(F727&gt;K727,"HW","HL"))</f>
        <v>HL</v>
      </c>
      <c r="S727" s="286" t="str">
        <f t="shared" ref="S727:S776" si="315">IF(G727=L727,"TT",IF(G727&gt;L727,"HW","HL"))</f>
        <v>HW</v>
      </c>
      <c r="T727" s="286" t="str">
        <f t="shared" ref="T727:T776" si="316">IF(H727=M727,"TT",IF(H727&gt;M727,"HW","HL"))</f>
        <v>TT</v>
      </c>
      <c r="U727" s="286" t="str">
        <f t="shared" ref="U727:U776" si="317">IF(SUM(E727,J727)=$Z727,"T",IF(SUM(E727,J727)&gt;$Z727,"O","U"))</f>
        <v>O</v>
      </c>
      <c r="V727" s="286" t="str">
        <f t="shared" ref="V727:V776" si="318">IF(SUM(F727,K727)=$Z727,"T",IF(SUM(F727,K727)&gt;$Z727,"O","U"))</f>
        <v>U</v>
      </c>
      <c r="W727" s="286" t="str">
        <f t="shared" ref="W727:W776" si="319">IF(SUM(G727,L727)=$Z727,"T",IF(SUM(G727,L727)&gt;$Z727,"O","U"))</f>
        <v>O</v>
      </c>
      <c r="X727" s="286" t="str">
        <f t="shared" ref="X727:X776" si="320">IF(SUM(H727,M727)=$Z727,"T",IF(SUM(H727,M727)&gt;$Z727,"O","U"))</f>
        <v>U</v>
      </c>
      <c r="Y727" s="286"/>
      <c r="Z727" s="286">
        <v>59</v>
      </c>
      <c r="AA727" s="286" t="str">
        <f t="shared" si="310"/>
        <v>LAC/MIN</v>
      </c>
    </row>
    <row r="728" spans="1:27" x14ac:dyDescent="0.3">
      <c r="A728" s="286">
        <v>200202</v>
      </c>
      <c r="B728" s="287">
        <v>0.375</v>
      </c>
      <c r="C728" s="286" t="s">
        <v>400</v>
      </c>
      <c r="D728" s="286" t="s">
        <v>399</v>
      </c>
      <c r="E728" s="286">
        <v>11</v>
      </c>
      <c r="F728" s="286">
        <v>28</v>
      </c>
      <c r="G728" s="286">
        <v>32</v>
      </c>
      <c r="H728" s="286">
        <v>14</v>
      </c>
      <c r="I728" s="286"/>
      <c r="J728" s="286">
        <v>24</v>
      </c>
      <c r="K728" s="286">
        <v>26</v>
      </c>
      <c r="L728" s="286">
        <v>22</v>
      </c>
      <c r="M728" s="286">
        <v>20</v>
      </c>
      <c r="O728" s="286">
        <f t="shared" si="311"/>
        <v>85</v>
      </c>
      <c r="P728" s="286">
        <f t="shared" si="312"/>
        <v>92</v>
      </c>
      <c r="Q728" s="286" t="str">
        <f t="shared" si="313"/>
        <v>HL</v>
      </c>
      <c r="R728" s="286" t="str">
        <f t="shared" si="314"/>
        <v>HW</v>
      </c>
      <c r="S728" s="286" t="str">
        <f t="shared" si="315"/>
        <v>HW</v>
      </c>
      <c r="T728" s="286" t="str">
        <f t="shared" si="316"/>
        <v>HL</v>
      </c>
      <c r="U728" s="286" t="str">
        <f t="shared" si="317"/>
        <v>U</v>
      </c>
      <c r="V728" s="286" t="str">
        <f t="shared" si="318"/>
        <v>U</v>
      </c>
      <c r="W728" s="286" t="str">
        <f t="shared" si="319"/>
        <v>U</v>
      </c>
      <c r="X728" s="286" t="str">
        <f t="shared" si="320"/>
        <v>U</v>
      </c>
      <c r="Y728" s="286"/>
      <c r="Z728" s="286">
        <v>54.5</v>
      </c>
      <c r="AA728" s="286" t="str">
        <f t="shared" si="310"/>
        <v>IND/NYK</v>
      </c>
    </row>
    <row r="729" spans="1:27" x14ac:dyDescent="0.3">
      <c r="A729" s="286">
        <v>200202</v>
      </c>
      <c r="B729" s="287">
        <v>0.375</v>
      </c>
      <c r="C729" s="286" t="s">
        <v>424</v>
      </c>
      <c r="D729" s="286" t="s">
        <v>411</v>
      </c>
      <c r="E729" s="286">
        <v>25</v>
      </c>
      <c r="F729" s="286">
        <v>24</v>
      </c>
      <c r="G729" s="286">
        <v>18</v>
      </c>
      <c r="H729" s="286">
        <v>22</v>
      </c>
      <c r="I729" s="286"/>
      <c r="J729" s="286">
        <v>28</v>
      </c>
      <c r="K729" s="286">
        <v>29</v>
      </c>
      <c r="L729" s="286">
        <v>19</v>
      </c>
      <c r="M729" s="286">
        <v>26</v>
      </c>
      <c r="O729" s="286">
        <f t="shared" si="311"/>
        <v>89</v>
      </c>
      <c r="P729" s="286">
        <f t="shared" si="312"/>
        <v>102</v>
      </c>
      <c r="Q729" s="286" t="str">
        <f t="shared" si="313"/>
        <v>HL</v>
      </c>
      <c r="R729" s="286" t="str">
        <f t="shared" si="314"/>
        <v>HL</v>
      </c>
      <c r="S729" s="286" t="str">
        <f t="shared" si="315"/>
        <v>HL</v>
      </c>
      <c r="T729" s="286" t="str">
        <f t="shared" si="316"/>
        <v>HL</v>
      </c>
      <c r="U729" s="286" t="str">
        <f t="shared" si="317"/>
        <v>U</v>
      </c>
      <c r="V729" s="286" t="str">
        <f t="shared" si="318"/>
        <v>U</v>
      </c>
      <c r="W729" s="286" t="str">
        <f t="shared" si="319"/>
        <v>U</v>
      </c>
      <c r="X729" s="286" t="str">
        <f t="shared" si="320"/>
        <v>U</v>
      </c>
      <c r="Y729" s="286"/>
      <c r="Z729" s="286">
        <v>54</v>
      </c>
      <c r="AA729" s="286" t="str">
        <f t="shared" si="310"/>
        <v>ORL/MIA</v>
      </c>
    </row>
    <row r="730" spans="1:27" x14ac:dyDescent="0.3">
      <c r="A730" s="286">
        <v>200202</v>
      </c>
      <c r="B730" s="287">
        <v>0.41666666666666669</v>
      </c>
      <c r="C730" s="286" t="s">
        <v>402</v>
      </c>
      <c r="D730" s="286" t="s">
        <v>425</v>
      </c>
      <c r="E730" s="286">
        <v>32</v>
      </c>
      <c r="F730" s="286">
        <v>27</v>
      </c>
      <c r="G730" s="286">
        <v>19</v>
      </c>
      <c r="H730" s="286">
        <v>34</v>
      </c>
      <c r="I730" s="286"/>
      <c r="J730" s="286">
        <v>31</v>
      </c>
      <c r="K730" s="286">
        <v>30</v>
      </c>
      <c r="L730" s="286">
        <v>44</v>
      </c>
      <c r="M730" s="286">
        <v>26</v>
      </c>
      <c r="O730" s="286">
        <f t="shared" si="311"/>
        <v>112</v>
      </c>
      <c r="P730" s="286">
        <f t="shared" si="312"/>
        <v>131</v>
      </c>
      <c r="Q730" s="286" t="str">
        <f t="shared" si="313"/>
        <v>HW</v>
      </c>
      <c r="R730" s="286" t="str">
        <f t="shared" si="314"/>
        <v>HL</v>
      </c>
      <c r="S730" s="286" t="str">
        <f t="shared" si="315"/>
        <v>HL</v>
      </c>
      <c r="T730" s="286" t="str">
        <f t="shared" si="316"/>
        <v>HW</v>
      </c>
      <c r="U730" s="286" t="str">
        <f t="shared" si="317"/>
        <v>O</v>
      </c>
      <c r="V730" s="286" t="str">
        <f t="shared" si="318"/>
        <v>U</v>
      </c>
      <c r="W730" s="286" t="str">
        <f t="shared" si="319"/>
        <v>O</v>
      </c>
      <c r="X730" s="286" t="str">
        <f t="shared" si="320"/>
        <v>O</v>
      </c>
      <c r="Y730" s="286"/>
      <c r="Z730" s="286">
        <v>57.5</v>
      </c>
      <c r="AA730" s="286" t="str">
        <f t="shared" si="310"/>
        <v>CLE/GS</v>
      </c>
    </row>
    <row r="731" spans="1:27" x14ac:dyDescent="0.3">
      <c r="A731" s="286">
        <v>200202</v>
      </c>
      <c r="B731" s="287">
        <v>0.41666666666666669</v>
      </c>
      <c r="C731" s="286" t="s">
        <v>414</v>
      </c>
      <c r="D731" s="286" t="s">
        <v>407</v>
      </c>
      <c r="E731" s="286">
        <v>27</v>
      </c>
      <c r="F731" s="286">
        <v>32</v>
      </c>
      <c r="G731" s="286">
        <v>22</v>
      </c>
      <c r="H731" s="286">
        <v>32</v>
      </c>
      <c r="I731" s="286"/>
      <c r="J731" s="286">
        <v>36</v>
      </c>
      <c r="K731" s="286">
        <v>25</v>
      </c>
      <c r="L731" s="286">
        <v>23</v>
      </c>
      <c r="M731" s="286">
        <v>23</v>
      </c>
      <c r="O731" s="286">
        <f t="shared" si="311"/>
        <v>113</v>
      </c>
      <c r="P731" s="286">
        <f t="shared" si="312"/>
        <v>107</v>
      </c>
      <c r="Q731" s="286" t="str">
        <f t="shared" si="313"/>
        <v>HL</v>
      </c>
      <c r="R731" s="286" t="str">
        <f t="shared" si="314"/>
        <v>HW</v>
      </c>
      <c r="S731" s="286" t="str">
        <f t="shared" si="315"/>
        <v>HL</v>
      </c>
      <c r="T731" s="286" t="str">
        <f t="shared" si="316"/>
        <v>HW</v>
      </c>
      <c r="U731" s="286" t="str">
        <f t="shared" si="317"/>
        <v>O</v>
      </c>
      <c r="V731" s="286" t="str">
        <f t="shared" si="318"/>
        <v>U</v>
      </c>
      <c r="W731" s="286" t="str">
        <f t="shared" si="319"/>
        <v>U</v>
      </c>
      <c r="X731" s="286" t="str">
        <f t="shared" si="320"/>
        <v>U</v>
      </c>
      <c r="Y731" s="286"/>
      <c r="Z731" s="286">
        <v>59.5</v>
      </c>
      <c r="AA731" s="286" t="str">
        <f t="shared" si="310"/>
        <v>WAS/BKN</v>
      </c>
    </row>
    <row r="732" spans="1:27" x14ac:dyDescent="0.3">
      <c r="A732" s="286">
        <v>200202</v>
      </c>
      <c r="B732" s="287">
        <v>0.4375</v>
      </c>
      <c r="C732" s="286" t="s">
        <v>421</v>
      </c>
      <c r="D732" s="286" t="s">
        <v>401</v>
      </c>
      <c r="E732" s="286">
        <v>32</v>
      </c>
      <c r="F732" s="286">
        <v>27</v>
      </c>
      <c r="G732" s="286">
        <v>27</v>
      </c>
      <c r="H732" s="286">
        <v>30</v>
      </c>
      <c r="I732" s="286"/>
      <c r="J732" s="286">
        <v>19</v>
      </c>
      <c r="K732" s="286">
        <v>32</v>
      </c>
      <c r="L732" s="286">
        <v>16</v>
      </c>
      <c r="M732" s="286">
        <v>28</v>
      </c>
      <c r="O732" s="286">
        <f t="shared" si="311"/>
        <v>116</v>
      </c>
      <c r="P732" s="286">
        <f t="shared" si="312"/>
        <v>95</v>
      </c>
      <c r="Q732" s="286" t="str">
        <f t="shared" si="313"/>
        <v>HW</v>
      </c>
      <c r="R732" s="286" t="str">
        <f t="shared" si="314"/>
        <v>HL</v>
      </c>
      <c r="S732" s="286" t="str">
        <f t="shared" si="315"/>
        <v>HW</v>
      </c>
      <c r="T732" s="286" t="str">
        <f t="shared" si="316"/>
        <v>HW</v>
      </c>
      <c r="U732" s="286" t="str">
        <f t="shared" si="317"/>
        <v>U</v>
      </c>
      <c r="V732" s="286" t="str">
        <f t="shared" si="318"/>
        <v>O</v>
      </c>
      <c r="W732" s="286" t="str">
        <f t="shared" si="319"/>
        <v>U</v>
      </c>
      <c r="X732" s="286" t="str">
        <f t="shared" si="320"/>
        <v>O</v>
      </c>
      <c r="Y732" s="286"/>
      <c r="Z732" s="286">
        <v>55</v>
      </c>
      <c r="AA732" s="286" t="str">
        <f t="shared" si="310"/>
        <v>BOS/PHI</v>
      </c>
    </row>
    <row r="733" spans="1:27" x14ac:dyDescent="0.3">
      <c r="A733" s="286">
        <v>200202</v>
      </c>
      <c r="B733" s="287">
        <v>0.4375</v>
      </c>
      <c r="C733" s="286" t="s">
        <v>397</v>
      </c>
      <c r="D733" s="286" t="s">
        <v>410</v>
      </c>
      <c r="E733" s="286">
        <v>36</v>
      </c>
      <c r="F733" s="286">
        <v>26</v>
      </c>
      <c r="G733" s="286">
        <v>35</v>
      </c>
      <c r="H733" s="286">
        <v>26</v>
      </c>
      <c r="I733" s="286"/>
      <c r="J733" s="286">
        <v>26</v>
      </c>
      <c r="K733" s="286">
        <v>23</v>
      </c>
      <c r="L733" s="286">
        <v>23</v>
      </c>
      <c r="M733" s="286">
        <v>28</v>
      </c>
      <c r="O733" s="286">
        <f t="shared" si="311"/>
        <v>123</v>
      </c>
      <c r="P733" s="286">
        <f t="shared" si="312"/>
        <v>100</v>
      </c>
      <c r="Q733" s="286" t="str">
        <f t="shared" si="313"/>
        <v>HW</v>
      </c>
      <c r="R733" s="286" t="str">
        <f t="shared" si="314"/>
        <v>HW</v>
      </c>
      <c r="S733" s="286" t="str">
        <f t="shared" si="315"/>
        <v>HW</v>
      </c>
      <c r="T733" s="286" t="str">
        <f t="shared" si="316"/>
        <v>HL</v>
      </c>
      <c r="U733" s="286" t="str">
        <f t="shared" si="317"/>
        <v>O</v>
      </c>
      <c r="V733" s="286" t="str">
        <f t="shared" si="318"/>
        <v>U</v>
      </c>
      <c r="W733" s="286" t="str">
        <f t="shared" si="319"/>
        <v>U</v>
      </c>
      <c r="X733" s="286" t="str">
        <f t="shared" si="320"/>
        <v>U</v>
      </c>
      <c r="Y733" s="286"/>
      <c r="Z733" s="286">
        <v>60.5</v>
      </c>
      <c r="AA733" s="286" t="str">
        <f t="shared" si="310"/>
        <v>DAL/ATL</v>
      </c>
    </row>
    <row r="734" spans="1:27" x14ac:dyDescent="0.3">
      <c r="A734" s="286">
        <v>200202</v>
      </c>
      <c r="B734" s="287">
        <v>0.45833333333333331</v>
      </c>
      <c r="C734" s="286" t="s">
        <v>426</v>
      </c>
      <c r="D734" s="286" t="s">
        <v>409</v>
      </c>
      <c r="E734" s="286">
        <v>30</v>
      </c>
      <c r="F734" s="286">
        <v>20</v>
      </c>
      <c r="G734" s="286">
        <v>29</v>
      </c>
      <c r="H734" s="286">
        <v>35</v>
      </c>
      <c r="I734" s="286"/>
      <c r="J734" s="286">
        <v>28</v>
      </c>
      <c r="K734" s="286">
        <v>35</v>
      </c>
      <c r="L734" s="286">
        <v>11</v>
      </c>
      <c r="M734" s="286">
        <v>16</v>
      </c>
      <c r="O734" s="286">
        <f t="shared" si="311"/>
        <v>114</v>
      </c>
      <c r="P734" s="286">
        <f t="shared" si="312"/>
        <v>90</v>
      </c>
      <c r="Q734" s="286" t="str">
        <f t="shared" si="313"/>
        <v>HW</v>
      </c>
      <c r="R734" s="286" t="str">
        <f t="shared" si="314"/>
        <v>HL</v>
      </c>
      <c r="S734" s="286" t="str">
        <f t="shared" si="315"/>
        <v>HW</v>
      </c>
      <c r="T734" s="286" t="str">
        <f t="shared" si="316"/>
        <v>HW</v>
      </c>
      <c r="U734" s="286" t="str">
        <f t="shared" si="317"/>
        <v>O</v>
      </c>
      <c r="V734" s="286" t="str">
        <f t="shared" si="318"/>
        <v>T</v>
      </c>
      <c r="W734" s="286" t="str">
        <f t="shared" si="319"/>
        <v>U</v>
      </c>
      <c r="X734" s="286" t="str">
        <f t="shared" si="320"/>
        <v>U</v>
      </c>
      <c r="Y734" s="286"/>
      <c r="Z734" s="286">
        <v>55</v>
      </c>
      <c r="AA734" s="286" t="str">
        <f t="shared" si="310"/>
        <v>SAS/CHA</v>
      </c>
    </row>
    <row r="735" spans="1:27" x14ac:dyDescent="0.3">
      <c r="A735" s="286">
        <v>200202</v>
      </c>
      <c r="B735" s="287">
        <v>0.5</v>
      </c>
      <c r="C735" s="286" t="s">
        <v>416</v>
      </c>
      <c r="D735" s="286" t="s">
        <v>419</v>
      </c>
      <c r="E735" s="286">
        <v>22</v>
      </c>
      <c r="F735" s="286">
        <v>42</v>
      </c>
      <c r="G735" s="286">
        <v>25</v>
      </c>
      <c r="H735" s="286">
        <v>24</v>
      </c>
      <c r="I735" s="286"/>
      <c r="J735" s="286">
        <v>44</v>
      </c>
      <c r="K735" s="286">
        <v>37</v>
      </c>
      <c r="L735" s="286">
        <v>23</v>
      </c>
      <c r="M735" s="286">
        <v>25</v>
      </c>
      <c r="O735" s="286">
        <f t="shared" si="311"/>
        <v>113</v>
      </c>
      <c r="P735" s="286">
        <f t="shared" si="312"/>
        <v>129</v>
      </c>
      <c r="Q735" s="286" t="str">
        <f t="shared" si="313"/>
        <v>HL</v>
      </c>
      <c r="R735" s="286" t="str">
        <f t="shared" si="314"/>
        <v>HW</v>
      </c>
      <c r="S735" s="286" t="str">
        <f t="shared" si="315"/>
        <v>HW</v>
      </c>
      <c r="T735" s="286" t="str">
        <f t="shared" si="316"/>
        <v>HL</v>
      </c>
      <c r="U735" s="286" t="str">
        <f t="shared" si="317"/>
        <v>O</v>
      </c>
      <c r="V735" s="286" t="str">
        <f t="shared" si="318"/>
        <v>O</v>
      </c>
      <c r="W735" s="286" t="str">
        <f t="shared" si="319"/>
        <v>U</v>
      </c>
      <c r="X735" s="286" t="str">
        <f t="shared" si="320"/>
        <v>U</v>
      </c>
      <c r="Y735" s="286"/>
      <c r="Z735" s="286">
        <v>57.5</v>
      </c>
      <c r="AA735" s="286" t="str">
        <f t="shared" si="310"/>
        <v>SAC/LAL</v>
      </c>
    </row>
    <row r="736" spans="1:27" x14ac:dyDescent="0.3">
      <c r="A736" s="286">
        <v>200202</v>
      </c>
      <c r="B736" s="287">
        <v>0.52083333333333337</v>
      </c>
      <c r="C736" s="286" t="s">
        <v>417</v>
      </c>
      <c r="D736" s="286" t="s">
        <v>405</v>
      </c>
      <c r="E736" s="286">
        <v>33</v>
      </c>
      <c r="F736" s="286">
        <v>30</v>
      </c>
      <c r="G736" s="286">
        <v>31</v>
      </c>
      <c r="H736" s="286">
        <v>30</v>
      </c>
      <c r="I736" s="286"/>
      <c r="J736" s="286">
        <v>34</v>
      </c>
      <c r="K736" s="286">
        <v>19</v>
      </c>
      <c r="L736" s="286">
        <v>30</v>
      </c>
      <c r="M736" s="286">
        <v>24</v>
      </c>
      <c r="O736" s="286">
        <f t="shared" si="311"/>
        <v>124</v>
      </c>
      <c r="P736" s="286">
        <f t="shared" si="312"/>
        <v>107</v>
      </c>
      <c r="Q736" s="286" t="str">
        <f t="shared" si="313"/>
        <v>HL</v>
      </c>
      <c r="R736" s="286" t="str">
        <f t="shared" si="314"/>
        <v>HW</v>
      </c>
      <c r="S736" s="286" t="str">
        <f t="shared" si="315"/>
        <v>HW</v>
      </c>
      <c r="T736" s="286" t="str">
        <f t="shared" si="316"/>
        <v>HW</v>
      </c>
      <c r="U736" s="286" t="str">
        <f t="shared" si="317"/>
        <v>O</v>
      </c>
      <c r="V736" s="286" t="str">
        <f t="shared" si="318"/>
        <v>U</v>
      </c>
      <c r="W736" s="286" t="str">
        <f t="shared" si="319"/>
        <v>O</v>
      </c>
      <c r="X736" s="286" t="str">
        <f t="shared" si="320"/>
        <v>U</v>
      </c>
      <c r="Y736" s="286"/>
      <c r="Z736" s="286">
        <v>55</v>
      </c>
      <c r="AA736" s="286" t="str">
        <f t="shared" si="310"/>
        <v>POR/UTA</v>
      </c>
    </row>
    <row r="737" spans="1:27" x14ac:dyDescent="0.3">
      <c r="A737" s="286">
        <v>200203</v>
      </c>
      <c r="B737" s="287">
        <v>0.10416666666666667</v>
      </c>
      <c r="C737" s="286" t="s">
        <v>422</v>
      </c>
      <c r="D737" s="286" t="s">
        <v>408</v>
      </c>
      <c r="E737" s="286">
        <v>30</v>
      </c>
      <c r="F737" s="286">
        <v>38</v>
      </c>
      <c r="G737" s="286">
        <v>22</v>
      </c>
      <c r="H737" s="286">
        <v>21</v>
      </c>
      <c r="I737" s="286">
        <v>17</v>
      </c>
      <c r="J737" s="286">
        <v>44</v>
      </c>
      <c r="K737" s="286">
        <v>21</v>
      </c>
      <c r="L737" s="286">
        <v>24</v>
      </c>
      <c r="M737" s="286">
        <v>22</v>
      </c>
      <c r="O737" s="286">
        <f t="shared" si="311"/>
        <v>128</v>
      </c>
      <c r="P737" s="286">
        <f t="shared" si="312"/>
        <v>111</v>
      </c>
      <c r="Q737" s="286" t="str">
        <f t="shared" si="313"/>
        <v>HL</v>
      </c>
      <c r="R737" s="286" t="str">
        <f t="shared" si="314"/>
        <v>HW</v>
      </c>
      <c r="S737" s="286" t="str">
        <f t="shared" si="315"/>
        <v>HL</v>
      </c>
      <c r="T737" s="286" t="str">
        <f t="shared" si="316"/>
        <v>HL</v>
      </c>
      <c r="U737" s="286" t="str">
        <f t="shared" si="317"/>
        <v>O</v>
      </c>
      <c r="V737" s="286" t="str">
        <f t="shared" si="318"/>
        <v>O</v>
      </c>
      <c r="W737" s="286" t="str">
        <f t="shared" si="319"/>
        <v>U</v>
      </c>
      <c r="X737" s="286" t="str">
        <f t="shared" si="320"/>
        <v>U</v>
      </c>
      <c r="Y737" s="286"/>
      <c r="Z737" s="286">
        <v>54.5</v>
      </c>
      <c r="AA737" s="286" t="str">
        <f t="shared" si="310"/>
        <v>DET/DEN</v>
      </c>
    </row>
    <row r="738" spans="1:27" x14ac:dyDescent="0.3">
      <c r="A738" s="286">
        <v>200203</v>
      </c>
      <c r="B738" s="287">
        <v>0.16666666666666666</v>
      </c>
      <c r="C738" s="286" t="s">
        <v>403</v>
      </c>
      <c r="D738" s="286" t="s">
        <v>398</v>
      </c>
      <c r="E738" s="286">
        <v>30</v>
      </c>
      <c r="F738" s="286">
        <v>35</v>
      </c>
      <c r="G738" s="286">
        <v>27</v>
      </c>
      <c r="H738" s="286">
        <v>25</v>
      </c>
      <c r="I738" s="286"/>
      <c r="J738" s="286">
        <v>28</v>
      </c>
      <c r="K738" s="286">
        <v>32</v>
      </c>
      <c r="L738" s="286">
        <v>33</v>
      </c>
      <c r="M738" s="286">
        <v>16</v>
      </c>
      <c r="O738" s="286">
        <f t="shared" si="311"/>
        <v>117</v>
      </c>
      <c r="P738" s="286">
        <f t="shared" si="312"/>
        <v>109</v>
      </c>
      <c r="Q738" s="286" t="str">
        <f t="shared" si="313"/>
        <v>HW</v>
      </c>
      <c r="R738" s="286" t="str">
        <f t="shared" si="314"/>
        <v>HW</v>
      </c>
      <c r="S738" s="286" t="str">
        <f t="shared" si="315"/>
        <v>HL</v>
      </c>
      <c r="T738" s="286" t="str">
        <f t="shared" si="316"/>
        <v>HW</v>
      </c>
      <c r="U738" s="286" t="str">
        <f t="shared" si="317"/>
        <v>U</v>
      </c>
      <c r="V738" s="286" t="str">
        <f t="shared" si="318"/>
        <v>O</v>
      </c>
      <c r="W738" s="286" t="str">
        <f t="shared" si="319"/>
        <v>U</v>
      </c>
      <c r="X738" s="286" t="str">
        <f t="shared" si="320"/>
        <v>U</v>
      </c>
      <c r="Y738" s="286"/>
      <c r="Z738" s="286">
        <v>63.5</v>
      </c>
      <c r="AA738" s="286" t="str">
        <f t="shared" si="310"/>
        <v>HOU/NO</v>
      </c>
    </row>
    <row r="739" spans="1:27" x14ac:dyDescent="0.3">
      <c r="A739" s="286">
        <v>200203</v>
      </c>
      <c r="B739" s="287">
        <v>0.16666666666666666</v>
      </c>
      <c r="C739" s="286" t="s">
        <v>423</v>
      </c>
      <c r="D739" s="286" t="s">
        <v>404</v>
      </c>
      <c r="E739" s="286">
        <v>30</v>
      </c>
      <c r="F739" s="286">
        <v>37</v>
      </c>
      <c r="G739" s="286">
        <v>30</v>
      </c>
      <c r="H739" s="286">
        <v>32</v>
      </c>
      <c r="I739" s="286"/>
      <c r="J739" s="286">
        <v>26</v>
      </c>
      <c r="K739" s="286">
        <v>26</v>
      </c>
      <c r="L739" s="286">
        <v>28</v>
      </c>
      <c r="M739" s="286">
        <v>28</v>
      </c>
      <c r="O739" s="286">
        <f t="shared" si="311"/>
        <v>129</v>
      </c>
      <c r="P739" s="286">
        <f t="shared" si="312"/>
        <v>108</v>
      </c>
      <c r="Q739" s="286" t="str">
        <f t="shared" si="313"/>
        <v>HW</v>
      </c>
      <c r="R739" s="286" t="str">
        <f t="shared" si="314"/>
        <v>HW</v>
      </c>
      <c r="S739" s="286" t="str">
        <f t="shared" si="315"/>
        <v>HW</v>
      </c>
      <c r="T739" s="286" t="str">
        <f t="shared" si="316"/>
        <v>HW</v>
      </c>
      <c r="U739" s="286" t="str">
        <f t="shared" si="317"/>
        <v>U</v>
      </c>
      <c r="V739" s="286" t="str">
        <f t="shared" si="318"/>
        <v>O</v>
      </c>
      <c r="W739" s="286" t="str">
        <f t="shared" si="319"/>
        <v>O</v>
      </c>
      <c r="X739" s="286" t="str">
        <f t="shared" si="320"/>
        <v>O</v>
      </c>
      <c r="Y739" s="286"/>
      <c r="Z739" s="286">
        <v>56.5</v>
      </c>
      <c r="AA739" s="286" t="str">
        <f t="shared" si="310"/>
        <v>MIL/PHO</v>
      </c>
    </row>
    <row r="740" spans="1:27" x14ac:dyDescent="0.3">
      <c r="A740" s="286">
        <v>200203</v>
      </c>
      <c r="B740" s="287">
        <v>0.20833333333333334</v>
      </c>
      <c r="C740" s="286" t="s">
        <v>413</v>
      </c>
      <c r="D740" s="286" t="s">
        <v>412</v>
      </c>
      <c r="E740" s="286">
        <v>32</v>
      </c>
      <c r="F740" s="286">
        <v>28</v>
      </c>
      <c r="G740" s="286">
        <v>35</v>
      </c>
      <c r="H740" s="286">
        <v>34</v>
      </c>
      <c r="I740" s="286"/>
      <c r="J740" s="286">
        <v>29</v>
      </c>
      <c r="K740" s="286">
        <v>34</v>
      </c>
      <c r="L740" s="286">
        <v>22</v>
      </c>
      <c r="M740" s="286">
        <v>17</v>
      </c>
      <c r="O740" s="286">
        <f t="shared" si="311"/>
        <v>129</v>
      </c>
      <c r="P740" s="286">
        <f t="shared" si="312"/>
        <v>102</v>
      </c>
      <c r="Q740" s="286" t="str">
        <f t="shared" si="313"/>
        <v>HW</v>
      </c>
      <c r="R740" s="286" t="str">
        <f t="shared" si="314"/>
        <v>HL</v>
      </c>
      <c r="S740" s="286" t="str">
        <f t="shared" si="315"/>
        <v>HW</v>
      </c>
      <c r="T740" s="286" t="str">
        <f t="shared" si="316"/>
        <v>HW</v>
      </c>
      <c r="U740" s="286" t="str">
        <f t="shared" si="317"/>
        <v>O</v>
      </c>
      <c r="V740" s="286" t="str">
        <f t="shared" si="318"/>
        <v>O</v>
      </c>
      <c r="W740" s="286" t="str">
        <f t="shared" si="319"/>
        <v>O</v>
      </c>
      <c r="X740" s="286" t="str">
        <f t="shared" si="320"/>
        <v>U</v>
      </c>
      <c r="Y740" s="286"/>
      <c r="Z740" s="286">
        <v>55.5</v>
      </c>
      <c r="AA740" s="286" t="str">
        <f t="shared" si="310"/>
        <v>TOR/CHI</v>
      </c>
    </row>
    <row r="741" spans="1:27" x14ac:dyDescent="0.3">
      <c r="A741" s="286">
        <v>200204</v>
      </c>
      <c r="B741" s="287">
        <v>0.375</v>
      </c>
      <c r="C741" s="286" t="s">
        <v>402</v>
      </c>
      <c r="D741" s="286" t="s">
        <v>399</v>
      </c>
      <c r="E741" s="286">
        <v>37</v>
      </c>
      <c r="F741" s="286">
        <v>25</v>
      </c>
      <c r="G741" s="286">
        <v>38</v>
      </c>
      <c r="H741" s="286">
        <v>27</v>
      </c>
      <c r="I741" s="286">
        <v>7</v>
      </c>
      <c r="J741" s="286">
        <v>33</v>
      </c>
      <c r="K741" s="286">
        <v>30</v>
      </c>
      <c r="L741" s="286">
        <v>32</v>
      </c>
      <c r="M741" s="286">
        <v>32</v>
      </c>
      <c r="O741" s="286">
        <f t="shared" si="311"/>
        <v>134</v>
      </c>
      <c r="P741" s="286">
        <f t="shared" si="312"/>
        <v>127</v>
      </c>
      <c r="Q741" s="286" t="str">
        <f t="shared" si="313"/>
        <v>HW</v>
      </c>
      <c r="R741" s="286" t="str">
        <f t="shared" si="314"/>
        <v>HL</v>
      </c>
      <c r="S741" s="286" t="str">
        <f t="shared" si="315"/>
        <v>HW</v>
      </c>
      <c r="T741" s="286" t="str">
        <f t="shared" si="316"/>
        <v>HL</v>
      </c>
      <c r="U741" s="286" t="str">
        <f t="shared" si="317"/>
        <v>O</v>
      </c>
      <c r="V741" s="286" t="str">
        <f t="shared" si="318"/>
        <v>U</v>
      </c>
      <c r="W741" s="286" t="str">
        <f t="shared" si="319"/>
        <v>O</v>
      </c>
      <c r="X741" s="286" t="str">
        <f t="shared" si="320"/>
        <v>O</v>
      </c>
      <c r="Y741" s="286"/>
      <c r="Z741" s="286">
        <v>55.5</v>
      </c>
      <c r="AA741" s="286" t="str">
        <f t="shared" si="310"/>
        <v>CLE/NYK</v>
      </c>
    </row>
    <row r="742" spans="1:27" x14ac:dyDescent="0.3">
      <c r="A742" s="286">
        <v>200204</v>
      </c>
      <c r="B742" s="287">
        <v>0.375</v>
      </c>
      <c r="C742" s="286" t="s">
        <v>400</v>
      </c>
      <c r="D742" s="286" t="s">
        <v>397</v>
      </c>
      <c r="E742" s="286">
        <v>22</v>
      </c>
      <c r="F742" s="286">
        <v>33</v>
      </c>
      <c r="G742" s="286">
        <v>22</v>
      </c>
      <c r="H742" s="286">
        <v>26</v>
      </c>
      <c r="I742" s="286"/>
      <c r="J742" s="286">
        <v>25</v>
      </c>
      <c r="K742" s="286">
        <v>28</v>
      </c>
      <c r="L742" s="286">
        <v>29</v>
      </c>
      <c r="M742" s="286">
        <v>30</v>
      </c>
      <c r="O742" s="286">
        <f t="shared" si="311"/>
        <v>103</v>
      </c>
      <c r="P742" s="286">
        <f t="shared" si="312"/>
        <v>112</v>
      </c>
      <c r="Q742" s="286" t="str">
        <f t="shared" si="313"/>
        <v>HL</v>
      </c>
      <c r="R742" s="286" t="str">
        <f t="shared" si="314"/>
        <v>HW</v>
      </c>
      <c r="S742" s="286" t="str">
        <f t="shared" si="315"/>
        <v>HL</v>
      </c>
      <c r="T742" s="286" t="str">
        <f t="shared" si="316"/>
        <v>HL</v>
      </c>
      <c r="U742" s="286" t="str">
        <f t="shared" si="317"/>
        <v>U</v>
      </c>
      <c r="V742" s="286" t="str">
        <f t="shared" si="318"/>
        <v>O</v>
      </c>
      <c r="W742" s="286" t="str">
        <f t="shared" si="319"/>
        <v>U</v>
      </c>
      <c r="X742" s="286" t="str">
        <f t="shared" si="320"/>
        <v>O</v>
      </c>
      <c r="Y742" s="286"/>
      <c r="Z742" s="286">
        <v>55</v>
      </c>
      <c r="AA742" s="286" t="str">
        <f t="shared" si="310"/>
        <v>IND/DAL</v>
      </c>
    </row>
    <row r="743" spans="1:27" x14ac:dyDescent="0.3">
      <c r="A743" s="286">
        <v>200204</v>
      </c>
      <c r="B743" s="287">
        <v>0.375</v>
      </c>
      <c r="C743" s="286" t="s">
        <v>414</v>
      </c>
      <c r="D743" s="286" t="s">
        <v>425</v>
      </c>
      <c r="E743" s="286">
        <v>36</v>
      </c>
      <c r="F743" s="286">
        <v>27</v>
      </c>
      <c r="G743" s="286">
        <v>23</v>
      </c>
      <c r="H743" s="286">
        <v>31</v>
      </c>
      <c r="I743" s="286"/>
      <c r="J743" s="286">
        <v>40</v>
      </c>
      <c r="K743" s="286">
        <v>32</v>
      </c>
      <c r="L743" s="286">
        <v>27</v>
      </c>
      <c r="M743" s="286">
        <v>26</v>
      </c>
      <c r="O743" s="286">
        <f t="shared" si="311"/>
        <v>117</v>
      </c>
      <c r="P743" s="286">
        <f t="shared" si="312"/>
        <v>125</v>
      </c>
      <c r="Q743" s="286" t="str">
        <f t="shared" si="313"/>
        <v>HL</v>
      </c>
      <c r="R743" s="286" t="str">
        <f t="shared" si="314"/>
        <v>HL</v>
      </c>
      <c r="S743" s="286" t="str">
        <f t="shared" si="315"/>
        <v>HL</v>
      </c>
      <c r="T743" s="286" t="str">
        <f t="shared" si="316"/>
        <v>HW</v>
      </c>
      <c r="U743" s="286" t="str">
        <f t="shared" si="317"/>
        <v>O</v>
      </c>
      <c r="V743" s="286" t="str">
        <f t="shared" si="318"/>
        <v>U</v>
      </c>
      <c r="W743" s="286" t="str">
        <f t="shared" si="319"/>
        <v>U</v>
      </c>
      <c r="X743" s="286" t="str">
        <f t="shared" si="320"/>
        <v>U</v>
      </c>
      <c r="Y743" s="286"/>
      <c r="Z743" s="286">
        <v>60.5</v>
      </c>
      <c r="AA743" s="286" t="str">
        <f t="shared" si="310"/>
        <v>WAS/GS</v>
      </c>
    </row>
    <row r="744" spans="1:27" x14ac:dyDescent="0.3">
      <c r="A744" s="286">
        <v>200204</v>
      </c>
      <c r="B744" s="287">
        <v>0.375</v>
      </c>
      <c r="C744" s="286" t="s">
        <v>409</v>
      </c>
      <c r="D744" s="286" t="s">
        <v>424</v>
      </c>
      <c r="E744" s="286">
        <v>24</v>
      </c>
      <c r="F744" s="286">
        <v>30</v>
      </c>
      <c r="G744" s="286">
        <v>23</v>
      </c>
      <c r="H744" s="286">
        <v>23</v>
      </c>
      <c r="I744" s="286"/>
      <c r="J744" s="286">
        <v>25</v>
      </c>
      <c r="K744" s="286">
        <v>31</v>
      </c>
      <c r="L744" s="286">
        <v>29</v>
      </c>
      <c r="M744" s="286">
        <v>27</v>
      </c>
      <c r="O744" s="286">
        <f t="shared" si="311"/>
        <v>100</v>
      </c>
      <c r="P744" s="286">
        <f t="shared" si="312"/>
        <v>112</v>
      </c>
      <c r="Q744" s="286" t="str">
        <f t="shared" si="313"/>
        <v>HL</v>
      </c>
      <c r="R744" s="286" t="str">
        <f t="shared" si="314"/>
        <v>HL</v>
      </c>
      <c r="S744" s="286" t="str">
        <f t="shared" si="315"/>
        <v>HL</v>
      </c>
      <c r="T744" s="286" t="str">
        <f t="shared" si="316"/>
        <v>HL</v>
      </c>
      <c r="U744" s="286" t="str">
        <f t="shared" si="317"/>
        <v>U</v>
      </c>
      <c r="V744" s="286" t="str">
        <f t="shared" si="318"/>
        <v>O</v>
      </c>
      <c r="W744" s="286" t="str">
        <f t="shared" si="319"/>
        <v>T</v>
      </c>
      <c r="X744" s="286" t="str">
        <f t="shared" si="320"/>
        <v>U</v>
      </c>
      <c r="Y744" s="286"/>
      <c r="Z744" s="286">
        <v>52</v>
      </c>
      <c r="AA744" s="286" t="str">
        <f t="shared" si="310"/>
        <v>CHA/ORL</v>
      </c>
    </row>
    <row r="745" spans="1:27" x14ac:dyDescent="0.3">
      <c r="A745" s="286">
        <v>200204</v>
      </c>
      <c r="B745" s="287">
        <v>0.39583333333333331</v>
      </c>
      <c r="C745" s="286" t="s">
        <v>410</v>
      </c>
      <c r="D745" s="286" t="s">
        <v>421</v>
      </c>
      <c r="E745" s="286">
        <v>34</v>
      </c>
      <c r="F745" s="286">
        <v>28</v>
      </c>
      <c r="G745" s="286">
        <v>22</v>
      </c>
      <c r="H745" s="286">
        <v>31</v>
      </c>
      <c r="I745" s="286"/>
      <c r="J745" s="286">
        <v>28</v>
      </c>
      <c r="K745" s="286">
        <v>32</v>
      </c>
      <c r="L745" s="286">
        <v>35</v>
      </c>
      <c r="M745" s="286">
        <v>28</v>
      </c>
      <c r="O745" s="286">
        <f t="shared" si="311"/>
        <v>115</v>
      </c>
      <c r="P745" s="286">
        <f t="shared" si="312"/>
        <v>123</v>
      </c>
      <c r="Q745" s="286" t="str">
        <f t="shared" si="313"/>
        <v>HW</v>
      </c>
      <c r="R745" s="286" t="str">
        <f t="shared" si="314"/>
        <v>HL</v>
      </c>
      <c r="S745" s="286" t="str">
        <f t="shared" si="315"/>
        <v>HL</v>
      </c>
      <c r="T745" s="286" t="str">
        <f t="shared" si="316"/>
        <v>HW</v>
      </c>
      <c r="U745" s="286" t="str">
        <f t="shared" si="317"/>
        <v>O</v>
      </c>
      <c r="V745" s="286" t="str">
        <f t="shared" si="318"/>
        <v>O</v>
      </c>
      <c r="W745" s="286" t="str">
        <f t="shared" si="319"/>
        <v>O</v>
      </c>
      <c r="X745" s="286" t="str">
        <f t="shared" si="320"/>
        <v>O</v>
      </c>
      <c r="Y745" s="286"/>
      <c r="Z745" s="286">
        <v>56</v>
      </c>
      <c r="AA745" s="286" t="str">
        <f t="shared" si="310"/>
        <v>ATL/BOS</v>
      </c>
    </row>
    <row r="746" spans="1:27" x14ac:dyDescent="0.3">
      <c r="A746" s="286">
        <v>200204</v>
      </c>
      <c r="B746" s="287">
        <v>0.39583333333333331</v>
      </c>
      <c r="C746" s="286" t="s">
        <v>411</v>
      </c>
      <c r="D746" s="286" t="s">
        <v>401</v>
      </c>
      <c r="E746" s="286">
        <v>30</v>
      </c>
      <c r="F746" s="286">
        <v>26</v>
      </c>
      <c r="G746" s="286">
        <v>41</v>
      </c>
      <c r="H746" s="286">
        <v>40</v>
      </c>
      <c r="I746" s="286"/>
      <c r="J746" s="286">
        <v>26</v>
      </c>
      <c r="K746" s="286">
        <v>26</v>
      </c>
      <c r="L746" s="286">
        <v>25</v>
      </c>
      <c r="M746" s="286">
        <v>29</v>
      </c>
      <c r="O746" s="286">
        <f t="shared" si="311"/>
        <v>137</v>
      </c>
      <c r="P746" s="286">
        <f t="shared" si="312"/>
        <v>106</v>
      </c>
      <c r="Q746" s="286" t="str">
        <f t="shared" si="313"/>
        <v>HW</v>
      </c>
      <c r="R746" s="286" t="str">
        <f t="shared" si="314"/>
        <v>TT</v>
      </c>
      <c r="S746" s="286" t="str">
        <f t="shared" si="315"/>
        <v>HW</v>
      </c>
      <c r="T746" s="286" t="str">
        <f t="shared" si="316"/>
        <v>HW</v>
      </c>
      <c r="U746" s="286" t="str">
        <f t="shared" si="317"/>
        <v>O</v>
      </c>
      <c r="V746" s="286" t="str">
        <f t="shared" si="318"/>
        <v>U</v>
      </c>
      <c r="W746" s="286" t="str">
        <f t="shared" si="319"/>
        <v>O</v>
      </c>
      <c r="X746" s="286" t="str">
        <f t="shared" si="320"/>
        <v>O</v>
      </c>
      <c r="Y746" s="286"/>
      <c r="Z746" s="286">
        <v>54.5</v>
      </c>
      <c r="AA746" s="286" t="str">
        <f t="shared" si="310"/>
        <v>MIA/PHI</v>
      </c>
    </row>
    <row r="747" spans="1:27" x14ac:dyDescent="0.3">
      <c r="A747" s="286">
        <v>200204</v>
      </c>
      <c r="B747" s="287">
        <v>0.39583333333333331</v>
      </c>
      <c r="C747" s="286" t="s">
        <v>407</v>
      </c>
      <c r="D747" s="286" t="s">
        <v>404</v>
      </c>
      <c r="E747" s="286">
        <v>35</v>
      </c>
      <c r="F747" s="286">
        <v>20</v>
      </c>
      <c r="G747" s="286">
        <v>35</v>
      </c>
      <c r="H747" s="286">
        <v>29</v>
      </c>
      <c r="I747" s="286"/>
      <c r="J747" s="286">
        <v>31</v>
      </c>
      <c r="K747" s="286">
        <v>21</v>
      </c>
      <c r="L747" s="286">
        <v>21</v>
      </c>
      <c r="M747" s="286">
        <v>24</v>
      </c>
      <c r="O747" s="286">
        <f t="shared" si="311"/>
        <v>119</v>
      </c>
      <c r="P747" s="286">
        <f t="shared" si="312"/>
        <v>97</v>
      </c>
      <c r="Q747" s="286" t="str">
        <f t="shared" si="313"/>
        <v>HW</v>
      </c>
      <c r="R747" s="286" t="str">
        <f t="shared" si="314"/>
        <v>HL</v>
      </c>
      <c r="S747" s="286" t="str">
        <f t="shared" si="315"/>
        <v>HW</v>
      </c>
      <c r="T747" s="286" t="str">
        <f t="shared" si="316"/>
        <v>HW</v>
      </c>
      <c r="U747" s="286" t="str">
        <f t="shared" si="317"/>
        <v>O</v>
      </c>
      <c r="V747" s="286" t="str">
        <f t="shared" si="318"/>
        <v>U</v>
      </c>
      <c r="W747" s="286" t="str">
        <f t="shared" si="319"/>
        <v>O</v>
      </c>
      <c r="X747" s="286" t="str">
        <f t="shared" si="320"/>
        <v>U</v>
      </c>
      <c r="Y747" s="286"/>
      <c r="Z747" s="286">
        <v>54.5</v>
      </c>
      <c r="AA747" s="286" t="str">
        <f t="shared" si="310"/>
        <v>BKN/PHO</v>
      </c>
    </row>
    <row r="748" spans="1:27" x14ac:dyDescent="0.3">
      <c r="A748" s="286">
        <v>200204</v>
      </c>
      <c r="B748" s="287">
        <v>0.41666666666666669</v>
      </c>
      <c r="C748" s="286" t="s">
        <v>406</v>
      </c>
      <c r="D748" s="286" t="s">
        <v>422</v>
      </c>
      <c r="E748" s="286">
        <v>36</v>
      </c>
      <c r="F748" s="286">
        <v>17</v>
      </c>
      <c r="G748" s="286">
        <v>19</v>
      </c>
      <c r="H748" s="286">
        <v>24</v>
      </c>
      <c r="I748" s="286"/>
      <c r="J748" s="286">
        <v>32</v>
      </c>
      <c r="K748" s="286">
        <v>21</v>
      </c>
      <c r="L748" s="286">
        <v>10</v>
      </c>
      <c r="M748" s="286">
        <v>19</v>
      </c>
      <c r="O748" s="286">
        <f t="shared" si="311"/>
        <v>96</v>
      </c>
      <c r="P748" s="286">
        <f t="shared" si="312"/>
        <v>82</v>
      </c>
      <c r="Q748" s="286" t="str">
        <f t="shared" si="313"/>
        <v>HW</v>
      </c>
      <c r="R748" s="286" t="str">
        <f t="shared" si="314"/>
        <v>HL</v>
      </c>
      <c r="S748" s="286" t="str">
        <f t="shared" si="315"/>
        <v>HW</v>
      </c>
      <c r="T748" s="286" t="str">
        <f t="shared" si="316"/>
        <v>HW</v>
      </c>
      <c r="U748" s="286" t="str">
        <f t="shared" si="317"/>
        <v>O</v>
      </c>
      <c r="V748" s="286" t="str">
        <f t="shared" si="318"/>
        <v>U</v>
      </c>
      <c r="W748" s="286" t="str">
        <f t="shared" si="319"/>
        <v>U</v>
      </c>
      <c r="X748" s="286" t="str">
        <f t="shared" si="320"/>
        <v>U</v>
      </c>
      <c r="Y748" s="286"/>
      <c r="Z748" s="286">
        <v>57.5</v>
      </c>
      <c r="AA748" s="286" t="str">
        <f t="shared" si="310"/>
        <v>MEM/DET</v>
      </c>
    </row>
    <row r="749" spans="1:27" x14ac:dyDescent="0.3">
      <c r="A749" s="286">
        <v>200204</v>
      </c>
      <c r="B749" s="287">
        <v>0.5</v>
      </c>
      <c r="C749" s="286" t="s">
        <v>416</v>
      </c>
      <c r="D749" s="286" t="s">
        <v>420</v>
      </c>
      <c r="E749" s="286">
        <v>29</v>
      </c>
      <c r="F749" s="286">
        <v>36</v>
      </c>
      <c r="G749" s="286">
        <v>28</v>
      </c>
      <c r="H749" s="286">
        <v>20</v>
      </c>
      <c r="I749" s="286"/>
      <c r="J749" s="286">
        <v>20</v>
      </c>
      <c r="K749" s="286">
        <v>30</v>
      </c>
      <c r="L749" s="286">
        <v>34</v>
      </c>
      <c r="M749" s="286">
        <v>25</v>
      </c>
      <c r="O749" s="286">
        <f t="shared" si="311"/>
        <v>113</v>
      </c>
      <c r="P749" s="286">
        <f t="shared" si="312"/>
        <v>109</v>
      </c>
      <c r="Q749" s="286" t="str">
        <f t="shared" si="313"/>
        <v>HW</v>
      </c>
      <c r="R749" s="286" t="str">
        <f t="shared" si="314"/>
        <v>HW</v>
      </c>
      <c r="S749" s="286" t="str">
        <f t="shared" si="315"/>
        <v>HL</v>
      </c>
      <c r="T749" s="286" t="str">
        <f t="shared" si="316"/>
        <v>HL</v>
      </c>
      <c r="U749" s="286" t="str">
        <f t="shared" si="317"/>
        <v>U</v>
      </c>
      <c r="V749" s="286" t="str">
        <f t="shared" si="318"/>
        <v>O</v>
      </c>
      <c r="W749" s="286" t="str">
        <f t="shared" si="319"/>
        <v>O</v>
      </c>
      <c r="X749" s="286" t="str">
        <f t="shared" si="320"/>
        <v>U</v>
      </c>
      <c r="Y749" s="286"/>
      <c r="Z749" s="286">
        <v>57.5</v>
      </c>
      <c r="AA749" s="286" t="str">
        <f t="shared" si="310"/>
        <v>SAC/MIN</v>
      </c>
    </row>
    <row r="750" spans="1:27" x14ac:dyDescent="0.3">
      <c r="A750" s="286">
        <v>200204</v>
      </c>
      <c r="B750" s="287">
        <v>0.52083333333333337</v>
      </c>
      <c r="C750" s="286" t="s">
        <v>415</v>
      </c>
      <c r="D750" s="286" t="s">
        <v>426</v>
      </c>
      <c r="E750" s="286">
        <v>29</v>
      </c>
      <c r="F750" s="286">
        <v>25</v>
      </c>
      <c r="G750" s="286">
        <v>31</v>
      </c>
      <c r="H750" s="286">
        <v>23</v>
      </c>
      <c r="I750" s="286"/>
      <c r="J750" s="286">
        <v>39</v>
      </c>
      <c r="K750" s="286">
        <v>24</v>
      </c>
      <c r="L750" s="286">
        <v>19</v>
      </c>
      <c r="M750" s="286">
        <v>23</v>
      </c>
      <c r="O750" s="286">
        <f t="shared" si="311"/>
        <v>108</v>
      </c>
      <c r="P750" s="286">
        <f t="shared" si="312"/>
        <v>105</v>
      </c>
      <c r="Q750" s="286" t="str">
        <f t="shared" si="313"/>
        <v>HL</v>
      </c>
      <c r="R750" s="286" t="str">
        <f t="shared" si="314"/>
        <v>HW</v>
      </c>
      <c r="S750" s="286" t="str">
        <f t="shared" si="315"/>
        <v>HW</v>
      </c>
      <c r="T750" s="286" t="str">
        <f t="shared" si="316"/>
        <v>TT</v>
      </c>
      <c r="U750" s="286" t="str">
        <f t="shared" si="317"/>
        <v>O</v>
      </c>
      <c r="V750" s="286" t="str">
        <f t="shared" si="318"/>
        <v>U</v>
      </c>
      <c r="W750" s="286" t="str">
        <f t="shared" si="319"/>
        <v>U</v>
      </c>
      <c r="X750" s="286" t="str">
        <f t="shared" si="320"/>
        <v>U</v>
      </c>
      <c r="Y750" s="286"/>
      <c r="Z750" s="286">
        <v>56</v>
      </c>
      <c r="AA750" s="286" t="str">
        <f t="shared" si="310"/>
        <v>LAC/SAS</v>
      </c>
    </row>
    <row r="751" spans="1:27" x14ac:dyDescent="0.3">
      <c r="A751" s="286">
        <v>200205</v>
      </c>
      <c r="B751" s="287">
        <v>0.39583333333333331</v>
      </c>
      <c r="C751" s="286" t="s">
        <v>398</v>
      </c>
      <c r="D751" s="286" t="s">
        <v>423</v>
      </c>
      <c r="E751" s="286">
        <v>33</v>
      </c>
      <c r="F751" s="286">
        <v>28</v>
      </c>
      <c r="G751" s="286">
        <v>24</v>
      </c>
      <c r="H751" s="286">
        <v>23</v>
      </c>
      <c r="I751" s="286"/>
      <c r="J751" s="286">
        <v>26</v>
      </c>
      <c r="K751" s="286">
        <v>32</v>
      </c>
      <c r="L751" s="286">
        <v>42</v>
      </c>
      <c r="M751" s="286">
        <v>20</v>
      </c>
      <c r="O751" s="286">
        <f t="shared" si="311"/>
        <v>108</v>
      </c>
      <c r="P751" s="286">
        <f t="shared" si="312"/>
        <v>120</v>
      </c>
      <c r="Q751" s="286" t="str">
        <f t="shared" si="313"/>
        <v>HW</v>
      </c>
      <c r="R751" s="286" t="str">
        <f t="shared" si="314"/>
        <v>HL</v>
      </c>
      <c r="S751" s="286" t="str">
        <f t="shared" si="315"/>
        <v>HL</v>
      </c>
      <c r="T751" s="286" t="str">
        <f t="shared" si="316"/>
        <v>HW</v>
      </c>
      <c r="U751" s="286" t="str">
        <f t="shared" si="317"/>
        <v>U</v>
      </c>
      <c r="V751" s="286" t="str">
        <f t="shared" si="318"/>
        <v>U</v>
      </c>
      <c r="W751" s="286" t="str">
        <f t="shared" si="319"/>
        <v>O</v>
      </c>
      <c r="X751" s="286" t="str">
        <f t="shared" si="320"/>
        <v>U</v>
      </c>
      <c r="Y751" s="286"/>
      <c r="Z751" s="286">
        <v>60.5</v>
      </c>
      <c r="AA751" s="286" t="str">
        <f t="shared" si="310"/>
        <v>NO/MIL</v>
      </c>
    </row>
    <row r="752" spans="1:27" x14ac:dyDescent="0.3">
      <c r="A752" s="286">
        <v>200205</v>
      </c>
      <c r="B752" s="287">
        <v>0.41666666666666669</v>
      </c>
      <c r="C752" s="286" t="s">
        <v>403</v>
      </c>
      <c r="D752" s="286" t="s">
        <v>409</v>
      </c>
      <c r="E752" s="286">
        <v>22</v>
      </c>
      <c r="F752" s="286">
        <v>40</v>
      </c>
      <c r="G752" s="286">
        <v>30</v>
      </c>
      <c r="H752" s="286">
        <v>33</v>
      </c>
      <c r="I752" s="286"/>
      <c r="J752" s="286">
        <v>34</v>
      </c>
      <c r="K752" s="286">
        <v>29</v>
      </c>
      <c r="L752" s="286">
        <v>25</v>
      </c>
      <c r="M752" s="286">
        <v>22</v>
      </c>
      <c r="O752" s="286">
        <f t="shared" si="311"/>
        <v>125</v>
      </c>
      <c r="P752" s="286">
        <f t="shared" si="312"/>
        <v>110</v>
      </c>
      <c r="Q752" s="286" t="str">
        <f t="shared" si="313"/>
        <v>HL</v>
      </c>
      <c r="R752" s="286" t="str">
        <f t="shared" si="314"/>
        <v>HW</v>
      </c>
      <c r="S752" s="286" t="str">
        <f t="shared" si="315"/>
        <v>HW</v>
      </c>
      <c r="T752" s="286" t="str">
        <f t="shared" si="316"/>
        <v>HW</v>
      </c>
      <c r="U752" s="286" t="str">
        <f t="shared" si="317"/>
        <v>U</v>
      </c>
      <c r="V752" s="286" t="str">
        <f t="shared" si="318"/>
        <v>O</v>
      </c>
      <c r="W752" s="286" t="str">
        <f t="shared" si="319"/>
        <v>U</v>
      </c>
      <c r="X752" s="286" t="str">
        <f t="shared" si="320"/>
        <v>U</v>
      </c>
      <c r="Y752" s="286"/>
      <c r="Z752" s="286">
        <v>57.5</v>
      </c>
      <c r="AA752" s="286" t="str">
        <f t="shared" si="310"/>
        <v>HOU/CHA</v>
      </c>
    </row>
    <row r="753" spans="1:27" x14ac:dyDescent="0.3">
      <c r="A753" s="286">
        <v>200205</v>
      </c>
      <c r="B753" s="287">
        <v>0.45833333333333331</v>
      </c>
      <c r="C753" s="286" t="s">
        <v>408</v>
      </c>
      <c r="D753" s="286" t="s">
        <v>417</v>
      </c>
      <c r="E753" s="286">
        <v>37</v>
      </c>
      <c r="F753" s="286">
        <v>27</v>
      </c>
      <c r="G753" s="286">
        <v>36</v>
      </c>
      <c r="H753" s="286">
        <v>27</v>
      </c>
      <c r="I753" s="286"/>
      <c r="J753" s="286">
        <v>28</v>
      </c>
      <c r="K753" s="286">
        <v>10</v>
      </c>
      <c r="L753" s="286">
        <v>36</v>
      </c>
      <c r="M753" s="286">
        <v>25</v>
      </c>
      <c r="O753" s="286">
        <f t="shared" si="311"/>
        <v>127</v>
      </c>
      <c r="P753" s="286">
        <f t="shared" si="312"/>
        <v>99</v>
      </c>
      <c r="Q753" s="286" t="str">
        <f t="shared" si="313"/>
        <v>HW</v>
      </c>
      <c r="R753" s="286" t="str">
        <f t="shared" si="314"/>
        <v>HW</v>
      </c>
      <c r="S753" s="286" t="str">
        <f t="shared" si="315"/>
        <v>TT</v>
      </c>
      <c r="T753" s="286" t="str">
        <f t="shared" si="316"/>
        <v>HW</v>
      </c>
      <c r="U753" s="286" t="str">
        <f t="shared" si="317"/>
        <v>O</v>
      </c>
      <c r="V753" s="286" t="str">
        <f t="shared" si="318"/>
        <v>U</v>
      </c>
      <c r="W753" s="286" t="str">
        <f t="shared" si="319"/>
        <v>O</v>
      </c>
      <c r="X753" s="286" t="str">
        <f t="shared" si="320"/>
        <v>U</v>
      </c>
      <c r="Y753" s="286"/>
      <c r="Z753" s="286">
        <v>58</v>
      </c>
      <c r="AA753" s="286" t="str">
        <f t="shared" si="310"/>
        <v>DEN/POR</v>
      </c>
    </row>
    <row r="754" spans="1:27" x14ac:dyDescent="0.3">
      <c r="A754" s="286">
        <v>200205</v>
      </c>
      <c r="B754" s="287">
        <v>0.5</v>
      </c>
      <c r="C754" s="286" t="s">
        <v>419</v>
      </c>
      <c r="D754" s="286" t="s">
        <v>426</v>
      </c>
      <c r="E754" s="286">
        <v>21</v>
      </c>
      <c r="F754" s="286">
        <v>30</v>
      </c>
      <c r="G754" s="286">
        <v>36</v>
      </c>
      <c r="H754" s="286">
        <v>42</v>
      </c>
      <c r="I754" s="286"/>
      <c r="J754" s="286">
        <v>19</v>
      </c>
      <c r="K754" s="286">
        <v>22</v>
      </c>
      <c r="L754" s="286">
        <v>33</v>
      </c>
      <c r="M754" s="286">
        <v>28</v>
      </c>
      <c r="O754" s="286">
        <f t="shared" si="311"/>
        <v>129</v>
      </c>
      <c r="P754" s="286">
        <f t="shared" si="312"/>
        <v>102</v>
      </c>
      <c r="Q754" s="286" t="str">
        <f t="shared" si="313"/>
        <v>HW</v>
      </c>
      <c r="R754" s="286" t="str">
        <f t="shared" si="314"/>
        <v>HW</v>
      </c>
      <c r="S754" s="286" t="str">
        <f t="shared" si="315"/>
        <v>HW</v>
      </c>
      <c r="T754" s="286" t="str">
        <f t="shared" si="316"/>
        <v>HW</v>
      </c>
      <c r="U754" s="286" t="str">
        <f t="shared" si="317"/>
        <v>U</v>
      </c>
      <c r="V754" s="286" t="str">
        <f t="shared" si="318"/>
        <v>U</v>
      </c>
      <c r="W754" s="286" t="str">
        <f t="shared" si="319"/>
        <v>O</v>
      </c>
      <c r="X754" s="286" t="str">
        <f t="shared" si="320"/>
        <v>O</v>
      </c>
      <c r="Y754" s="286"/>
      <c r="Z754" s="286">
        <v>55.5</v>
      </c>
      <c r="AA754" s="286" t="str">
        <f t="shared" si="310"/>
        <v>LAL/SAS</v>
      </c>
    </row>
    <row r="755" spans="1:27" x14ac:dyDescent="0.3">
      <c r="A755" s="286">
        <v>200206</v>
      </c>
      <c r="B755" s="287">
        <v>0.375</v>
      </c>
      <c r="C755" s="286" t="s">
        <v>422</v>
      </c>
      <c r="D755" s="286" t="s">
        <v>404</v>
      </c>
      <c r="E755" s="286">
        <v>38</v>
      </c>
      <c r="F755" s="286">
        <v>26</v>
      </c>
      <c r="G755" s="286">
        <v>25</v>
      </c>
      <c r="H755" s="286">
        <v>27</v>
      </c>
      <c r="I755" s="286"/>
      <c r="J755" s="286">
        <v>31</v>
      </c>
      <c r="K755" s="286">
        <v>30</v>
      </c>
      <c r="L755" s="286">
        <v>25</v>
      </c>
      <c r="M755" s="286">
        <v>22</v>
      </c>
      <c r="O755" s="286">
        <f t="shared" si="311"/>
        <v>116</v>
      </c>
      <c r="P755" s="286">
        <f t="shared" si="312"/>
        <v>108</v>
      </c>
      <c r="Q755" s="286" t="str">
        <f t="shared" si="313"/>
        <v>HW</v>
      </c>
      <c r="R755" s="286" t="str">
        <f t="shared" si="314"/>
        <v>HL</v>
      </c>
      <c r="S755" s="286" t="str">
        <f t="shared" si="315"/>
        <v>TT</v>
      </c>
      <c r="T755" s="286" t="str">
        <f t="shared" si="316"/>
        <v>HW</v>
      </c>
      <c r="U755" s="286" t="str">
        <f t="shared" si="317"/>
        <v>O</v>
      </c>
      <c r="V755" s="286" t="str">
        <f t="shared" si="318"/>
        <v>O</v>
      </c>
      <c r="W755" s="286" t="str">
        <f t="shared" si="319"/>
        <v>U</v>
      </c>
      <c r="X755" s="286" t="str">
        <f t="shared" si="320"/>
        <v>U</v>
      </c>
      <c r="Y755" s="286"/>
      <c r="Z755" s="286">
        <v>53.5</v>
      </c>
      <c r="AA755" s="286" t="str">
        <f t="shared" si="310"/>
        <v>DET/PHO</v>
      </c>
    </row>
    <row r="756" spans="1:27" x14ac:dyDescent="0.3">
      <c r="A756" s="286">
        <v>200206</v>
      </c>
      <c r="B756" s="287">
        <v>0.39583333333333331</v>
      </c>
      <c r="C756" s="286" t="s">
        <v>421</v>
      </c>
      <c r="D756" s="286" t="s">
        <v>424</v>
      </c>
      <c r="E756" s="286">
        <v>32</v>
      </c>
      <c r="F756" s="286">
        <v>25</v>
      </c>
      <c r="G756" s="286">
        <v>30</v>
      </c>
      <c r="H756" s="286">
        <v>29</v>
      </c>
      <c r="I756" s="286"/>
      <c r="J756" s="286">
        <v>24</v>
      </c>
      <c r="K756" s="286">
        <v>32</v>
      </c>
      <c r="L756" s="286">
        <v>24</v>
      </c>
      <c r="M756" s="286">
        <v>20</v>
      </c>
      <c r="O756" s="286">
        <f t="shared" si="311"/>
        <v>116</v>
      </c>
      <c r="P756" s="286">
        <f t="shared" si="312"/>
        <v>100</v>
      </c>
      <c r="Q756" s="286" t="str">
        <f t="shared" si="313"/>
        <v>HW</v>
      </c>
      <c r="R756" s="286" t="str">
        <f t="shared" si="314"/>
        <v>HL</v>
      </c>
      <c r="S756" s="286" t="str">
        <f t="shared" si="315"/>
        <v>HW</v>
      </c>
      <c r="T756" s="286" t="str">
        <f t="shared" si="316"/>
        <v>HW</v>
      </c>
      <c r="U756" s="286" t="str">
        <f t="shared" si="317"/>
        <v>O</v>
      </c>
      <c r="V756" s="286" t="str">
        <f t="shared" si="318"/>
        <v>O</v>
      </c>
      <c r="W756" s="286" t="str">
        <f t="shared" si="319"/>
        <v>O</v>
      </c>
      <c r="X756" s="286" t="str">
        <f t="shared" si="320"/>
        <v>U</v>
      </c>
      <c r="Y756" s="286"/>
      <c r="Z756" s="286">
        <v>53.5</v>
      </c>
      <c r="AA756" s="286" t="str">
        <f t="shared" si="310"/>
        <v>BOS/ORL</v>
      </c>
    </row>
    <row r="757" spans="1:27" x14ac:dyDescent="0.3">
      <c r="A757" s="286">
        <v>200206</v>
      </c>
      <c r="B757" s="287">
        <v>0.39583333333333331</v>
      </c>
      <c r="C757" s="286" t="s">
        <v>407</v>
      </c>
      <c r="D757" s="286" t="s">
        <v>425</v>
      </c>
      <c r="E757" s="286">
        <v>40</v>
      </c>
      <c r="F757" s="286">
        <v>28</v>
      </c>
      <c r="G757" s="286">
        <v>27</v>
      </c>
      <c r="H757" s="286">
        <v>34</v>
      </c>
      <c r="I757" s="286"/>
      <c r="J757" s="286">
        <v>25</v>
      </c>
      <c r="K757" s="286">
        <v>22</v>
      </c>
      <c r="L757" s="286">
        <v>17</v>
      </c>
      <c r="M757" s="286">
        <v>24</v>
      </c>
      <c r="O757" s="286">
        <f t="shared" si="311"/>
        <v>129</v>
      </c>
      <c r="P757" s="286">
        <f t="shared" si="312"/>
        <v>88</v>
      </c>
      <c r="Q757" s="286" t="str">
        <f t="shared" si="313"/>
        <v>HW</v>
      </c>
      <c r="R757" s="286" t="str">
        <f t="shared" si="314"/>
        <v>HW</v>
      </c>
      <c r="S757" s="286" t="str">
        <f t="shared" si="315"/>
        <v>HW</v>
      </c>
      <c r="T757" s="286" t="str">
        <f t="shared" si="316"/>
        <v>HW</v>
      </c>
      <c r="U757" s="286" t="str">
        <f t="shared" si="317"/>
        <v>O</v>
      </c>
      <c r="V757" s="286" t="str">
        <f t="shared" si="318"/>
        <v>U</v>
      </c>
      <c r="W757" s="286" t="str">
        <f t="shared" si="319"/>
        <v>U</v>
      </c>
      <c r="X757" s="286" t="str">
        <f t="shared" si="320"/>
        <v>O</v>
      </c>
      <c r="Y757" s="286"/>
      <c r="Z757" s="286">
        <v>57</v>
      </c>
      <c r="AA757" s="286" t="str">
        <f t="shared" si="310"/>
        <v>BKN/GS</v>
      </c>
    </row>
    <row r="758" spans="1:27" x14ac:dyDescent="0.3">
      <c r="A758" s="286">
        <v>200206</v>
      </c>
      <c r="B758" s="287">
        <v>0.39583333333333331</v>
      </c>
      <c r="C758" s="286" t="s">
        <v>413</v>
      </c>
      <c r="D758" s="286" t="s">
        <v>400</v>
      </c>
      <c r="E758" s="286">
        <v>30</v>
      </c>
      <c r="F758" s="286">
        <v>18</v>
      </c>
      <c r="G758" s="286">
        <v>34</v>
      </c>
      <c r="H758" s="286">
        <v>37</v>
      </c>
      <c r="I758" s="286"/>
      <c r="J758" s="286">
        <v>20</v>
      </c>
      <c r="K758" s="286">
        <v>43</v>
      </c>
      <c r="L758" s="286">
        <v>23</v>
      </c>
      <c r="M758" s="286">
        <v>32</v>
      </c>
      <c r="O758" s="286">
        <f t="shared" si="311"/>
        <v>119</v>
      </c>
      <c r="P758" s="286">
        <f t="shared" si="312"/>
        <v>118</v>
      </c>
      <c r="Q758" s="286" t="str">
        <f t="shared" si="313"/>
        <v>HW</v>
      </c>
      <c r="R758" s="286" t="str">
        <f t="shared" si="314"/>
        <v>HL</v>
      </c>
      <c r="S758" s="286" t="str">
        <f t="shared" si="315"/>
        <v>HW</v>
      </c>
      <c r="T758" s="286" t="str">
        <f t="shared" si="316"/>
        <v>HW</v>
      </c>
      <c r="U758" s="286" t="str">
        <f t="shared" si="317"/>
        <v>U</v>
      </c>
      <c r="V758" s="286" t="str">
        <f t="shared" si="318"/>
        <v>O</v>
      </c>
      <c r="W758" s="286" t="str">
        <f t="shared" si="319"/>
        <v>O</v>
      </c>
      <c r="X758" s="286" t="str">
        <f t="shared" si="320"/>
        <v>O</v>
      </c>
      <c r="Y758" s="286"/>
      <c r="Z758" s="286">
        <v>56</v>
      </c>
      <c r="AA758" s="286" t="str">
        <f t="shared" si="310"/>
        <v>TOR/IND</v>
      </c>
    </row>
    <row r="759" spans="1:27" x14ac:dyDescent="0.3">
      <c r="A759" s="286">
        <v>200206</v>
      </c>
      <c r="B759" s="287">
        <v>0.41666666666666669</v>
      </c>
      <c r="C759" s="286" t="s">
        <v>420</v>
      </c>
      <c r="D759" s="286" t="s">
        <v>410</v>
      </c>
      <c r="E759" s="286">
        <v>24</v>
      </c>
      <c r="F759" s="286">
        <v>32</v>
      </c>
      <c r="G759" s="286">
        <v>21</v>
      </c>
      <c r="H759" s="286">
        <v>43</v>
      </c>
      <c r="I759" s="286"/>
      <c r="J759" s="286">
        <v>36</v>
      </c>
      <c r="K759" s="286">
        <v>28</v>
      </c>
      <c r="L759" s="286">
        <v>32</v>
      </c>
      <c r="M759" s="286">
        <v>31</v>
      </c>
      <c r="O759" s="286">
        <f t="shared" si="311"/>
        <v>120</v>
      </c>
      <c r="P759" s="286">
        <f t="shared" si="312"/>
        <v>127</v>
      </c>
      <c r="Q759" s="286" t="str">
        <f t="shared" si="313"/>
        <v>HL</v>
      </c>
      <c r="R759" s="286" t="str">
        <f t="shared" si="314"/>
        <v>HW</v>
      </c>
      <c r="S759" s="286" t="str">
        <f t="shared" si="315"/>
        <v>HL</v>
      </c>
      <c r="T759" s="286" t="str">
        <f t="shared" si="316"/>
        <v>HW</v>
      </c>
      <c r="U759" s="286" t="str">
        <f t="shared" si="317"/>
        <v>U</v>
      </c>
      <c r="V759" s="286" t="str">
        <f t="shared" si="318"/>
        <v>U</v>
      </c>
      <c r="W759" s="286" t="str">
        <f t="shared" si="319"/>
        <v>U</v>
      </c>
      <c r="X759" s="286" t="str">
        <f t="shared" si="320"/>
        <v>O</v>
      </c>
      <c r="Y759" s="286"/>
      <c r="Z759" s="286">
        <v>61.5</v>
      </c>
      <c r="AA759" s="286" t="str">
        <f t="shared" si="310"/>
        <v>MIN/ATL</v>
      </c>
    </row>
    <row r="760" spans="1:27" x14ac:dyDescent="0.3">
      <c r="A760" s="286">
        <v>200206</v>
      </c>
      <c r="B760" s="287">
        <v>0.41666666666666669</v>
      </c>
      <c r="C760" s="286" t="s">
        <v>418</v>
      </c>
      <c r="D760" s="286" t="s">
        <v>402</v>
      </c>
      <c r="E760" s="286">
        <v>29</v>
      </c>
      <c r="F760" s="286">
        <v>32</v>
      </c>
      <c r="G760" s="286">
        <v>23</v>
      </c>
      <c r="H760" s="286">
        <v>25</v>
      </c>
      <c r="I760" s="286"/>
      <c r="J760" s="286">
        <v>28</v>
      </c>
      <c r="K760" s="286">
        <v>25</v>
      </c>
      <c r="L760" s="286">
        <v>28</v>
      </c>
      <c r="M760" s="286">
        <v>22</v>
      </c>
      <c r="O760" s="286">
        <f t="shared" si="311"/>
        <v>109</v>
      </c>
      <c r="P760" s="286">
        <f t="shared" si="312"/>
        <v>103</v>
      </c>
      <c r="Q760" s="286" t="str">
        <f t="shared" si="313"/>
        <v>HW</v>
      </c>
      <c r="R760" s="286" t="str">
        <f t="shared" si="314"/>
        <v>HW</v>
      </c>
      <c r="S760" s="286" t="str">
        <f t="shared" si="315"/>
        <v>HL</v>
      </c>
      <c r="T760" s="286" t="str">
        <f t="shared" si="316"/>
        <v>HW</v>
      </c>
      <c r="U760" s="286" t="str">
        <f t="shared" si="317"/>
        <v>O</v>
      </c>
      <c r="V760" s="286" t="str">
        <f t="shared" si="318"/>
        <v>O</v>
      </c>
      <c r="W760" s="286" t="str">
        <f t="shared" si="319"/>
        <v>U</v>
      </c>
      <c r="X760" s="286" t="str">
        <f t="shared" si="320"/>
        <v>U</v>
      </c>
      <c r="Y760" s="286"/>
      <c r="Z760" s="286">
        <v>53.5</v>
      </c>
      <c r="AA760" s="286" t="str">
        <f t="shared" si="310"/>
        <v>OKC/CLE</v>
      </c>
    </row>
    <row r="761" spans="1:27" x14ac:dyDescent="0.3">
      <c r="A761" s="286">
        <v>200206</v>
      </c>
      <c r="B761" s="287">
        <v>0.4375</v>
      </c>
      <c r="C761" s="286" t="s">
        <v>397</v>
      </c>
      <c r="D761" s="286" t="s">
        <v>406</v>
      </c>
      <c r="E761" s="286">
        <v>32</v>
      </c>
      <c r="F761" s="286">
        <v>24</v>
      </c>
      <c r="G761" s="286">
        <v>22</v>
      </c>
      <c r="H761" s="286">
        <v>29</v>
      </c>
      <c r="I761" s="286"/>
      <c r="J761" s="286">
        <v>31</v>
      </c>
      <c r="K761" s="286">
        <v>28</v>
      </c>
      <c r="L761" s="286">
        <v>41</v>
      </c>
      <c r="M761" s="286">
        <v>21</v>
      </c>
      <c r="O761" s="286">
        <f t="shared" si="311"/>
        <v>107</v>
      </c>
      <c r="P761" s="286">
        <f t="shared" si="312"/>
        <v>121</v>
      </c>
      <c r="Q761" s="286" t="str">
        <f t="shared" si="313"/>
        <v>HW</v>
      </c>
      <c r="R761" s="286" t="str">
        <f t="shared" si="314"/>
        <v>HL</v>
      </c>
      <c r="S761" s="286" t="str">
        <f t="shared" si="315"/>
        <v>HL</v>
      </c>
      <c r="T761" s="286" t="str">
        <f t="shared" si="316"/>
        <v>HW</v>
      </c>
      <c r="U761" s="286" t="str">
        <f t="shared" si="317"/>
        <v>O</v>
      </c>
      <c r="V761" s="286" t="str">
        <f t="shared" si="318"/>
        <v>U</v>
      </c>
      <c r="W761" s="286" t="str">
        <f t="shared" si="319"/>
        <v>O</v>
      </c>
      <c r="X761" s="286" t="str">
        <f t="shared" si="320"/>
        <v>U</v>
      </c>
      <c r="Y761" s="286"/>
      <c r="Z761" s="286">
        <v>55</v>
      </c>
      <c r="AA761" s="286" t="str">
        <f t="shared" si="310"/>
        <v>DAL/MEM</v>
      </c>
    </row>
    <row r="762" spans="1:27" x14ac:dyDescent="0.3">
      <c r="A762" s="286">
        <v>200206</v>
      </c>
      <c r="B762" s="287">
        <v>0.45833333333333331</v>
      </c>
      <c r="C762" s="286" t="s">
        <v>439</v>
      </c>
      <c r="D762" s="286" t="s">
        <v>408</v>
      </c>
      <c r="E762" s="286">
        <v>32</v>
      </c>
      <c r="F762" s="286">
        <v>25</v>
      </c>
      <c r="G762" s="286">
        <v>18</v>
      </c>
      <c r="H762" s="286">
        <v>20</v>
      </c>
      <c r="I762" s="286"/>
      <c r="J762" s="286">
        <v>25</v>
      </c>
      <c r="K762" s="286">
        <v>24</v>
      </c>
      <c r="L762" s="286">
        <v>23</v>
      </c>
      <c r="M762" s="286">
        <v>26</v>
      </c>
      <c r="O762" s="286">
        <f t="shared" si="311"/>
        <v>95</v>
      </c>
      <c r="P762" s="286">
        <f t="shared" si="312"/>
        <v>98</v>
      </c>
      <c r="Q762" s="286" t="str">
        <f t="shared" si="313"/>
        <v>HW</v>
      </c>
      <c r="R762" s="286" t="str">
        <f t="shared" si="314"/>
        <v>HW</v>
      </c>
      <c r="S762" s="286" t="str">
        <f t="shared" si="315"/>
        <v>HL</v>
      </c>
      <c r="T762" s="286" t="str">
        <f t="shared" si="316"/>
        <v>HL</v>
      </c>
      <c r="U762" s="286" t="str">
        <f t="shared" si="317"/>
        <v>O</v>
      </c>
      <c r="V762" s="286" t="str">
        <f t="shared" si="318"/>
        <v>U</v>
      </c>
      <c r="W762" s="286" t="str">
        <f t="shared" si="319"/>
        <v>U</v>
      </c>
      <c r="X762" s="286" t="str">
        <f t="shared" si="320"/>
        <v>U</v>
      </c>
      <c r="Y762" s="286"/>
      <c r="Z762" s="286">
        <v>54.5</v>
      </c>
      <c r="AA762" s="286" t="str">
        <f t="shared" si="310"/>
        <v>UTA/DEN</v>
      </c>
    </row>
    <row r="763" spans="1:27" x14ac:dyDescent="0.3">
      <c r="A763" s="286">
        <v>200206</v>
      </c>
      <c r="B763" s="287">
        <v>0.5</v>
      </c>
      <c r="C763" s="286" t="s">
        <v>415</v>
      </c>
      <c r="D763" s="286" t="s">
        <v>411</v>
      </c>
      <c r="E763" s="286">
        <v>25</v>
      </c>
      <c r="F763" s="286">
        <v>30</v>
      </c>
      <c r="G763" s="286">
        <v>37</v>
      </c>
      <c r="H763" s="286">
        <v>36</v>
      </c>
      <c r="I763" s="286"/>
      <c r="J763" s="286">
        <v>23</v>
      </c>
      <c r="K763" s="286">
        <v>35</v>
      </c>
      <c r="L763" s="286">
        <v>22</v>
      </c>
      <c r="M763" s="286">
        <v>31</v>
      </c>
      <c r="O763" s="286">
        <f t="shared" si="311"/>
        <v>128</v>
      </c>
      <c r="P763" s="286">
        <f t="shared" si="312"/>
        <v>111</v>
      </c>
      <c r="Q763" s="286" t="str">
        <f t="shared" si="313"/>
        <v>HW</v>
      </c>
      <c r="R763" s="286" t="str">
        <f t="shared" si="314"/>
        <v>HL</v>
      </c>
      <c r="S763" s="286" t="str">
        <f t="shared" si="315"/>
        <v>HW</v>
      </c>
      <c r="T763" s="286" t="str">
        <f t="shared" si="316"/>
        <v>HW</v>
      </c>
      <c r="U763" s="286" t="str">
        <f t="shared" si="317"/>
        <v>U</v>
      </c>
      <c r="V763" s="286" t="str">
        <f t="shared" si="318"/>
        <v>O</v>
      </c>
      <c r="W763" s="286" t="str">
        <f t="shared" si="319"/>
        <v>O</v>
      </c>
      <c r="X763" s="286" t="str">
        <f t="shared" si="320"/>
        <v>O</v>
      </c>
      <c r="Y763" s="286"/>
      <c r="Z763" s="286">
        <v>57.5</v>
      </c>
      <c r="AA763" s="286" t="str">
        <f t="shared" si="310"/>
        <v>LAC/MIA</v>
      </c>
    </row>
    <row r="764" spans="1:27" x14ac:dyDescent="0.3">
      <c r="A764" s="286">
        <v>200207</v>
      </c>
      <c r="B764" s="287">
        <v>0.39583333333333331</v>
      </c>
      <c r="C764" s="286" t="s">
        <v>399</v>
      </c>
      <c r="D764" s="286" t="s">
        <v>424</v>
      </c>
      <c r="E764" s="286">
        <v>30</v>
      </c>
      <c r="F764" s="286">
        <v>24</v>
      </c>
      <c r="G764" s="286">
        <v>22</v>
      </c>
      <c r="H764" s="286">
        <v>29</v>
      </c>
      <c r="I764" s="286"/>
      <c r="J764" s="286">
        <v>19</v>
      </c>
      <c r="K764" s="286">
        <v>28</v>
      </c>
      <c r="L764" s="286">
        <v>36</v>
      </c>
      <c r="M764" s="286">
        <v>20</v>
      </c>
      <c r="O764" s="286">
        <f t="shared" si="311"/>
        <v>105</v>
      </c>
      <c r="P764" s="286">
        <f t="shared" si="312"/>
        <v>103</v>
      </c>
      <c r="Q764" s="286" t="str">
        <f t="shared" si="313"/>
        <v>HW</v>
      </c>
      <c r="R764" s="286" t="str">
        <f t="shared" si="314"/>
        <v>HL</v>
      </c>
      <c r="S764" s="286" t="str">
        <f t="shared" si="315"/>
        <v>HL</v>
      </c>
      <c r="T764" s="286" t="str">
        <f t="shared" si="316"/>
        <v>HW</v>
      </c>
      <c r="U764" s="286" t="str">
        <f t="shared" si="317"/>
        <v>U</v>
      </c>
      <c r="V764" s="286" t="str">
        <f t="shared" si="318"/>
        <v>U</v>
      </c>
      <c r="W764" s="286" t="str">
        <f t="shared" si="319"/>
        <v>O</v>
      </c>
      <c r="X764" s="286" t="str">
        <f t="shared" si="320"/>
        <v>U</v>
      </c>
      <c r="Y764" s="286"/>
      <c r="Z764" s="286">
        <v>53</v>
      </c>
      <c r="AA764" s="286" t="str">
        <f t="shared" si="310"/>
        <v>NYK/ORL</v>
      </c>
    </row>
    <row r="765" spans="1:27" x14ac:dyDescent="0.3">
      <c r="A765" s="286">
        <v>200207</v>
      </c>
      <c r="B765" s="287">
        <v>0.41666666666666669</v>
      </c>
      <c r="C765" s="286" t="s">
        <v>412</v>
      </c>
      <c r="D765" s="286" t="s">
        <v>398</v>
      </c>
      <c r="E765" s="286">
        <v>25</v>
      </c>
      <c r="F765" s="286">
        <v>37</v>
      </c>
      <c r="G765" s="286">
        <v>19</v>
      </c>
      <c r="H765" s="286">
        <v>38</v>
      </c>
      <c r="I765" s="286"/>
      <c r="J765" s="286">
        <v>32</v>
      </c>
      <c r="K765" s="286">
        <v>40</v>
      </c>
      <c r="L765" s="286">
        <v>31</v>
      </c>
      <c r="M765" s="286">
        <v>22</v>
      </c>
      <c r="O765" s="286">
        <f t="shared" si="311"/>
        <v>119</v>
      </c>
      <c r="P765" s="286">
        <f t="shared" si="312"/>
        <v>125</v>
      </c>
      <c r="Q765" s="286" t="str">
        <f t="shared" si="313"/>
        <v>HL</v>
      </c>
      <c r="R765" s="286" t="str">
        <f t="shared" si="314"/>
        <v>HL</v>
      </c>
      <c r="S765" s="286" t="str">
        <f t="shared" si="315"/>
        <v>HL</v>
      </c>
      <c r="T765" s="286" t="str">
        <f t="shared" si="316"/>
        <v>HW</v>
      </c>
      <c r="U765" s="286" t="str">
        <f t="shared" si="317"/>
        <v>U</v>
      </c>
      <c r="V765" s="286" t="str">
        <f t="shared" si="318"/>
        <v>O</v>
      </c>
      <c r="W765" s="286" t="str">
        <f t="shared" si="319"/>
        <v>U</v>
      </c>
      <c r="X765" s="286" t="str">
        <f t="shared" si="320"/>
        <v>O</v>
      </c>
      <c r="Y765" s="286"/>
      <c r="Z765" s="286">
        <v>59</v>
      </c>
      <c r="AA765" s="286" t="str">
        <f t="shared" si="310"/>
        <v>CHI/NO</v>
      </c>
    </row>
    <row r="766" spans="1:27" x14ac:dyDescent="0.3">
      <c r="A766" s="286">
        <v>200207</v>
      </c>
      <c r="B766" s="287">
        <v>0.41666666666666669</v>
      </c>
      <c r="C766" s="286" t="s">
        <v>423</v>
      </c>
      <c r="D766" s="286" t="s">
        <v>401</v>
      </c>
      <c r="E766" s="286">
        <v>22</v>
      </c>
      <c r="F766" s="286">
        <v>32</v>
      </c>
      <c r="G766" s="286">
        <v>32</v>
      </c>
      <c r="H766" s="286">
        <v>26</v>
      </c>
      <c r="I766" s="286"/>
      <c r="J766" s="286">
        <v>26</v>
      </c>
      <c r="K766" s="286">
        <v>25</v>
      </c>
      <c r="L766" s="286">
        <v>23</v>
      </c>
      <c r="M766" s="286">
        <v>27</v>
      </c>
      <c r="O766" s="286">
        <f t="shared" si="311"/>
        <v>112</v>
      </c>
      <c r="P766" s="286">
        <f t="shared" si="312"/>
        <v>101</v>
      </c>
      <c r="Q766" s="286" t="str">
        <f t="shared" si="313"/>
        <v>HL</v>
      </c>
      <c r="R766" s="286" t="str">
        <f t="shared" si="314"/>
        <v>HW</v>
      </c>
      <c r="S766" s="286" t="str">
        <f t="shared" si="315"/>
        <v>HW</v>
      </c>
      <c r="T766" s="286" t="str">
        <f t="shared" si="316"/>
        <v>HL</v>
      </c>
      <c r="U766" s="286" t="str">
        <f t="shared" si="317"/>
        <v>U</v>
      </c>
      <c r="V766" s="286" t="str">
        <f t="shared" si="318"/>
        <v>U</v>
      </c>
      <c r="W766" s="286" t="str">
        <f t="shared" si="319"/>
        <v>U</v>
      </c>
      <c r="X766" s="286" t="str">
        <f t="shared" si="320"/>
        <v>U</v>
      </c>
      <c r="Y766" s="286"/>
      <c r="Z766" s="286">
        <v>58</v>
      </c>
      <c r="AA766" s="286" t="str">
        <f t="shared" si="310"/>
        <v>MIL/PHI</v>
      </c>
    </row>
    <row r="767" spans="1:27" x14ac:dyDescent="0.3">
      <c r="A767" s="286">
        <v>200207</v>
      </c>
      <c r="B767" s="287">
        <v>0.5</v>
      </c>
      <c r="C767" s="286" t="s">
        <v>417</v>
      </c>
      <c r="D767" s="286" t="s">
        <v>426</v>
      </c>
      <c r="E767" s="286">
        <v>27</v>
      </c>
      <c r="F767" s="286">
        <v>32</v>
      </c>
      <c r="G767" s="286">
        <v>27</v>
      </c>
      <c r="H767" s="286">
        <v>39</v>
      </c>
      <c r="I767" s="286"/>
      <c r="J767" s="286">
        <v>35</v>
      </c>
      <c r="K767" s="286">
        <v>25</v>
      </c>
      <c r="L767" s="286">
        <v>32</v>
      </c>
      <c r="M767" s="286">
        <v>25</v>
      </c>
      <c r="O767" s="286">
        <f t="shared" si="311"/>
        <v>125</v>
      </c>
      <c r="P767" s="286">
        <f t="shared" si="312"/>
        <v>117</v>
      </c>
      <c r="Q767" s="286" t="str">
        <f t="shared" si="313"/>
        <v>HL</v>
      </c>
      <c r="R767" s="286" t="str">
        <f t="shared" si="314"/>
        <v>HW</v>
      </c>
      <c r="S767" s="286" t="str">
        <f t="shared" si="315"/>
        <v>HL</v>
      </c>
      <c r="T767" s="286" t="str">
        <f t="shared" si="316"/>
        <v>HW</v>
      </c>
      <c r="U767" s="286" t="str">
        <f t="shared" si="317"/>
        <v>O</v>
      </c>
      <c r="V767" s="286" t="str">
        <f t="shared" si="318"/>
        <v>O</v>
      </c>
      <c r="W767" s="286" t="str">
        <f t="shared" si="319"/>
        <v>O</v>
      </c>
      <c r="X767" s="286" t="str">
        <f t="shared" si="320"/>
        <v>O</v>
      </c>
      <c r="Y767" s="286"/>
      <c r="Z767" s="286">
        <v>56</v>
      </c>
      <c r="AA767" s="286" t="str">
        <f t="shared" si="310"/>
        <v>POR/SAS</v>
      </c>
    </row>
    <row r="768" spans="1:27" x14ac:dyDescent="0.3">
      <c r="A768" s="286">
        <v>200207</v>
      </c>
      <c r="B768" s="287">
        <v>0.52083333333333337</v>
      </c>
      <c r="C768" s="286" t="s">
        <v>419</v>
      </c>
      <c r="D768" s="286" t="s">
        <v>403</v>
      </c>
      <c r="E768" s="286">
        <v>29</v>
      </c>
      <c r="F768" s="286">
        <v>34</v>
      </c>
      <c r="G768" s="286">
        <v>30</v>
      </c>
      <c r="H768" s="286">
        <v>18</v>
      </c>
      <c r="I768" s="286"/>
      <c r="J768" s="286">
        <v>28</v>
      </c>
      <c r="K768" s="286">
        <v>35</v>
      </c>
      <c r="L768" s="286">
        <v>34</v>
      </c>
      <c r="M768" s="286">
        <v>24</v>
      </c>
      <c r="O768" s="286">
        <f t="shared" si="311"/>
        <v>111</v>
      </c>
      <c r="P768" s="286">
        <f t="shared" si="312"/>
        <v>121</v>
      </c>
      <c r="Q768" s="286" t="str">
        <f t="shared" si="313"/>
        <v>HW</v>
      </c>
      <c r="R768" s="286" t="str">
        <f t="shared" si="314"/>
        <v>HL</v>
      </c>
      <c r="S768" s="286" t="str">
        <f t="shared" si="315"/>
        <v>HL</v>
      </c>
      <c r="T768" s="286" t="str">
        <f t="shared" si="316"/>
        <v>HL</v>
      </c>
      <c r="U768" s="286" t="str">
        <f t="shared" si="317"/>
        <v>U</v>
      </c>
      <c r="V768" s="286" t="str">
        <f t="shared" si="318"/>
        <v>O</v>
      </c>
      <c r="W768" s="286" t="str">
        <f t="shared" si="319"/>
        <v>O</v>
      </c>
      <c r="X768" s="286" t="str">
        <f t="shared" si="320"/>
        <v>U</v>
      </c>
      <c r="Y768" s="286"/>
      <c r="Z768" s="286">
        <v>61.5</v>
      </c>
      <c r="AA768" s="286" t="str">
        <f t="shared" si="310"/>
        <v>LAL/HOU</v>
      </c>
    </row>
    <row r="769" spans="1:27" x14ac:dyDescent="0.3">
      <c r="A769" s="286">
        <v>200208</v>
      </c>
      <c r="B769" s="287">
        <v>0.375</v>
      </c>
      <c r="C769" s="286" t="s">
        <v>401</v>
      </c>
      <c r="D769" s="286" t="s">
        <v>406</v>
      </c>
      <c r="E769" s="286">
        <v>26</v>
      </c>
      <c r="F769" s="286">
        <v>32</v>
      </c>
      <c r="G769" s="286">
        <v>39</v>
      </c>
      <c r="H769" s="286">
        <v>22</v>
      </c>
      <c r="I769" s="286"/>
      <c r="J769" s="286">
        <v>25</v>
      </c>
      <c r="K769" s="286">
        <v>19</v>
      </c>
      <c r="L769" s="286">
        <v>22</v>
      </c>
      <c r="M769" s="286">
        <v>41</v>
      </c>
      <c r="O769" s="286">
        <f t="shared" si="311"/>
        <v>119</v>
      </c>
      <c r="P769" s="286">
        <f t="shared" si="312"/>
        <v>107</v>
      </c>
      <c r="Q769" s="286" t="str">
        <f t="shared" si="313"/>
        <v>HW</v>
      </c>
      <c r="R769" s="286" t="str">
        <f t="shared" si="314"/>
        <v>HW</v>
      </c>
      <c r="S769" s="286" t="str">
        <f t="shared" si="315"/>
        <v>HW</v>
      </c>
      <c r="T769" s="286" t="str">
        <f t="shared" si="316"/>
        <v>HL</v>
      </c>
      <c r="U769" s="286" t="str">
        <f t="shared" si="317"/>
        <v>U</v>
      </c>
      <c r="V769" s="286" t="str">
        <f t="shared" si="318"/>
        <v>U</v>
      </c>
      <c r="W769" s="286" t="str">
        <f t="shared" si="319"/>
        <v>O</v>
      </c>
      <c r="X769" s="286" t="str">
        <f t="shared" si="320"/>
        <v>O</v>
      </c>
      <c r="Y769" s="286"/>
      <c r="Z769" s="286">
        <v>54.5</v>
      </c>
      <c r="AA769" s="286" t="str">
        <f t="shared" si="310"/>
        <v>PHI/MEM</v>
      </c>
    </row>
    <row r="770" spans="1:27" x14ac:dyDescent="0.3">
      <c r="A770" s="286">
        <v>200208</v>
      </c>
      <c r="B770" s="287">
        <v>0.375</v>
      </c>
      <c r="C770" s="286" t="s">
        <v>414</v>
      </c>
      <c r="D770" s="286" t="s">
        <v>397</v>
      </c>
      <c r="E770" s="286">
        <v>29</v>
      </c>
      <c r="F770" s="286">
        <v>33</v>
      </c>
      <c r="G770" s="286">
        <v>30</v>
      </c>
      <c r="H770" s="286">
        <v>27</v>
      </c>
      <c r="I770" s="286"/>
      <c r="J770" s="286">
        <v>33</v>
      </c>
      <c r="K770" s="286">
        <v>31</v>
      </c>
      <c r="L770" s="286">
        <v>29</v>
      </c>
      <c r="M770" s="286">
        <v>25</v>
      </c>
      <c r="O770" s="286">
        <f t="shared" si="311"/>
        <v>119</v>
      </c>
      <c r="P770" s="286">
        <f t="shared" si="312"/>
        <v>118</v>
      </c>
      <c r="Q770" s="286" t="str">
        <f t="shared" si="313"/>
        <v>HL</v>
      </c>
      <c r="R770" s="286" t="str">
        <f t="shared" si="314"/>
        <v>HW</v>
      </c>
      <c r="S770" s="286" t="str">
        <f t="shared" si="315"/>
        <v>HW</v>
      </c>
      <c r="T770" s="286" t="str">
        <f t="shared" si="316"/>
        <v>HW</v>
      </c>
      <c r="U770" s="286" t="str">
        <f t="shared" si="317"/>
        <v>O</v>
      </c>
      <c r="V770" s="286" t="str">
        <f t="shared" si="318"/>
        <v>O</v>
      </c>
      <c r="W770" s="286" t="str">
        <f t="shared" si="319"/>
        <v>U</v>
      </c>
      <c r="X770" s="286" t="str">
        <f t="shared" si="320"/>
        <v>U</v>
      </c>
      <c r="Y770" s="286"/>
      <c r="Z770" s="286">
        <v>60.5</v>
      </c>
      <c r="AA770" s="286" t="str">
        <f t="shared" si="310"/>
        <v>WAS/DAL</v>
      </c>
    </row>
    <row r="771" spans="1:27" x14ac:dyDescent="0.3">
      <c r="A771" s="286">
        <v>200208</v>
      </c>
      <c r="B771" s="287">
        <v>0.39583333333333331</v>
      </c>
      <c r="C771" s="286" t="s">
        <v>421</v>
      </c>
      <c r="D771" s="286" t="s">
        <v>410</v>
      </c>
      <c r="E771" s="286">
        <v>28</v>
      </c>
      <c r="F771" s="286">
        <v>26</v>
      </c>
      <c r="G771" s="286">
        <v>33</v>
      </c>
      <c r="H771" s="286">
        <v>25</v>
      </c>
      <c r="I771" s="286"/>
      <c r="J771" s="286">
        <v>26</v>
      </c>
      <c r="K771" s="286">
        <v>29</v>
      </c>
      <c r="L771" s="286">
        <v>18</v>
      </c>
      <c r="M771" s="286">
        <v>34</v>
      </c>
      <c r="O771" s="286">
        <f t="shared" si="311"/>
        <v>112</v>
      </c>
      <c r="P771" s="286">
        <f t="shared" si="312"/>
        <v>107</v>
      </c>
      <c r="Q771" s="286" t="str">
        <f t="shared" si="313"/>
        <v>HW</v>
      </c>
      <c r="R771" s="286" t="str">
        <f t="shared" si="314"/>
        <v>HL</v>
      </c>
      <c r="S771" s="286" t="str">
        <f t="shared" si="315"/>
        <v>HW</v>
      </c>
      <c r="T771" s="286" t="str">
        <f t="shared" si="316"/>
        <v>HL</v>
      </c>
      <c r="U771" s="286" t="str">
        <f t="shared" si="317"/>
        <v>U</v>
      </c>
      <c r="V771" s="286" t="str">
        <f t="shared" si="318"/>
        <v>U</v>
      </c>
      <c r="W771" s="286" t="str">
        <f t="shared" si="319"/>
        <v>U</v>
      </c>
      <c r="X771" s="286" t="str">
        <f t="shared" si="320"/>
        <v>O</v>
      </c>
      <c r="Y771" s="286"/>
      <c r="Z771" s="286">
        <v>58</v>
      </c>
      <c r="AA771" s="286" t="str">
        <f t="shared" si="310"/>
        <v>BOS/ATL</v>
      </c>
    </row>
    <row r="772" spans="1:27" x14ac:dyDescent="0.3">
      <c r="A772" s="286">
        <v>200208</v>
      </c>
      <c r="B772" s="287">
        <v>0.41666666666666669</v>
      </c>
      <c r="C772" s="286" t="s">
        <v>400</v>
      </c>
      <c r="D772" s="286" t="s">
        <v>413</v>
      </c>
      <c r="E772" s="286">
        <v>31</v>
      </c>
      <c r="F772" s="286">
        <v>32</v>
      </c>
      <c r="G772" s="286">
        <v>20</v>
      </c>
      <c r="H772" s="286">
        <v>23</v>
      </c>
      <c r="I772" s="286"/>
      <c r="J772" s="286">
        <v>36</v>
      </c>
      <c r="K772" s="286">
        <v>28</v>
      </c>
      <c r="L772" s="286">
        <v>23</v>
      </c>
      <c r="M772" s="286">
        <v>28</v>
      </c>
      <c r="O772" s="286">
        <f t="shared" si="311"/>
        <v>106</v>
      </c>
      <c r="P772" s="286">
        <f t="shared" si="312"/>
        <v>115</v>
      </c>
      <c r="Q772" s="286" t="str">
        <f t="shared" si="313"/>
        <v>HL</v>
      </c>
      <c r="R772" s="286" t="str">
        <f t="shared" si="314"/>
        <v>HW</v>
      </c>
      <c r="S772" s="286" t="str">
        <f t="shared" si="315"/>
        <v>HL</v>
      </c>
      <c r="T772" s="286" t="str">
        <f t="shared" si="316"/>
        <v>HL</v>
      </c>
      <c r="U772" s="286" t="str">
        <f t="shared" si="317"/>
        <v>O</v>
      </c>
      <c r="V772" s="286" t="str">
        <f t="shared" si="318"/>
        <v>O</v>
      </c>
      <c r="W772" s="286" t="str">
        <f t="shared" si="319"/>
        <v>U</v>
      </c>
      <c r="X772" s="286" t="str">
        <f t="shared" si="320"/>
        <v>U</v>
      </c>
      <c r="Y772" s="286"/>
      <c r="Z772" s="286">
        <v>56.5</v>
      </c>
      <c r="AA772" s="286" t="str">
        <f t="shared" si="310"/>
        <v>IND/TOR</v>
      </c>
    </row>
    <row r="773" spans="1:27" x14ac:dyDescent="0.3">
      <c r="A773" s="286">
        <v>200208</v>
      </c>
      <c r="B773" s="287">
        <v>0.41666666666666669</v>
      </c>
      <c r="C773" s="286" t="s">
        <v>418</v>
      </c>
      <c r="D773" s="286" t="s">
        <v>422</v>
      </c>
      <c r="E773" s="286">
        <v>29</v>
      </c>
      <c r="F773" s="286">
        <v>23</v>
      </c>
      <c r="G773" s="286">
        <v>26</v>
      </c>
      <c r="H773" s="286">
        <v>30</v>
      </c>
      <c r="I773" s="286"/>
      <c r="J773" s="286">
        <v>24</v>
      </c>
      <c r="K773" s="286">
        <v>23</v>
      </c>
      <c r="L773" s="286">
        <v>21</v>
      </c>
      <c r="M773" s="286">
        <v>33</v>
      </c>
      <c r="O773" s="286">
        <f t="shared" si="311"/>
        <v>108</v>
      </c>
      <c r="P773" s="286">
        <f t="shared" si="312"/>
        <v>101</v>
      </c>
      <c r="Q773" s="286" t="str">
        <f t="shared" si="313"/>
        <v>HW</v>
      </c>
      <c r="R773" s="286" t="str">
        <f t="shared" si="314"/>
        <v>TT</v>
      </c>
      <c r="S773" s="286" t="str">
        <f t="shared" si="315"/>
        <v>HW</v>
      </c>
      <c r="T773" s="286" t="str">
        <f t="shared" si="316"/>
        <v>HL</v>
      </c>
      <c r="U773" s="286" t="str">
        <f t="shared" si="317"/>
        <v>U</v>
      </c>
      <c r="V773" s="286" t="str">
        <f t="shared" si="318"/>
        <v>U</v>
      </c>
      <c r="W773" s="286" t="str">
        <f t="shared" si="319"/>
        <v>U</v>
      </c>
      <c r="X773" s="286" t="str">
        <f t="shared" si="320"/>
        <v>O</v>
      </c>
      <c r="Y773" s="286"/>
      <c r="Z773" s="286">
        <v>55</v>
      </c>
      <c r="AA773" s="286" t="str">
        <f t="shared" si="310"/>
        <v>OKC/DET</v>
      </c>
    </row>
    <row r="774" spans="1:27" x14ac:dyDescent="0.3">
      <c r="A774" s="286">
        <v>200208</v>
      </c>
      <c r="B774" s="287">
        <v>0.45833333333333331</v>
      </c>
      <c r="C774" s="286" t="s">
        <v>404</v>
      </c>
      <c r="D774" s="286" t="s">
        <v>403</v>
      </c>
      <c r="E774" s="286">
        <v>46</v>
      </c>
      <c r="F774" s="286">
        <v>19</v>
      </c>
      <c r="G774" s="286">
        <v>32</v>
      </c>
      <c r="H774" s="286">
        <v>30</v>
      </c>
      <c r="I774" s="286"/>
      <c r="J774" s="286">
        <v>26</v>
      </c>
      <c r="K774" s="286">
        <v>29</v>
      </c>
      <c r="L774" s="286">
        <v>18</v>
      </c>
      <c r="M774" s="286">
        <v>18</v>
      </c>
      <c r="O774" s="286">
        <f t="shared" si="311"/>
        <v>127</v>
      </c>
      <c r="P774" s="286">
        <f t="shared" si="312"/>
        <v>91</v>
      </c>
      <c r="Q774" s="286" t="str">
        <f t="shared" si="313"/>
        <v>HW</v>
      </c>
      <c r="R774" s="286" t="str">
        <f t="shared" si="314"/>
        <v>HL</v>
      </c>
      <c r="S774" s="286" t="str">
        <f t="shared" si="315"/>
        <v>HW</v>
      </c>
      <c r="T774" s="286" t="str">
        <f t="shared" si="316"/>
        <v>HW</v>
      </c>
      <c r="U774" s="286" t="str">
        <f t="shared" si="317"/>
        <v>O</v>
      </c>
      <c r="V774" s="286" t="str">
        <f t="shared" si="318"/>
        <v>U</v>
      </c>
      <c r="W774" s="286" t="str">
        <f t="shared" si="319"/>
        <v>U</v>
      </c>
      <c r="X774" s="286" t="str">
        <f t="shared" si="320"/>
        <v>U</v>
      </c>
      <c r="Y774" s="286"/>
      <c r="Z774" s="286">
        <v>60</v>
      </c>
      <c r="AA774" s="286" t="str">
        <f t="shared" si="310"/>
        <v>PHO/HOU</v>
      </c>
    </row>
    <row r="775" spans="1:27" x14ac:dyDescent="0.3">
      <c r="A775" s="286">
        <v>200208</v>
      </c>
      <c r="B775" s="287">
        <v>0.5</v>
      </c>
      <c r="C775" s="286" t="s">
        <v>416</v>
      </c>
      <c r="D775" s="286" t="s">
        <v>411</v>
      </c>
      <c r="E775" s="286">
        <v>30</v>
      </c>
      <c r="F775" s="286">
        <v>22</v>
      </c>
      <c r="G775" s="286">
        <v>31</v>
      </c>
      <c r="H775" s="286">
        <v>22</v>
      </c>
      <c r="I775" s="286"/>
      <c r="J775" s="286">
        <v>28</v>
      </c>
      <c r="K775" s="286">
        <v>22</v>
      </c>
      <c r="L775" s="286">
        <v>26</v>
      </c>
      <c r="M775" s="286">
        <v>21</v>
      </c>
      <c r="O775" s="286">
        <f t="shared" si="311"/>
        <v>105</v>
      </c>
      <c r="P775" s="286">
        <f t="shared" si="312"/>
        <v>97</v>
      </c>
      <c r="Q775" s="286" t="str">
        <f t="shared" si="313"/>
        <v>HW</v>
      </c>
      <c r="R775" s="286" t="str">
        <f t="shared" si="314"/>
        <v>TT</v>
      </c>
      <c r="S775" s="286" t="str">
        <f t="shared" si="315"/>
        <v>HW</v>
      </c>
      <c r="T775" s="286" t="str">
        <f t="shared" si="316"/>
        <v>HW</v>
      </c>
      <c r="U775" s="286" t="str">
        <f t="shared" si="317"/>
        <v>O</v>
      </c>
      <c r="V775" s="286" t="str">
        <f t="shared" si="318"/>
        <v>U</v>
      </c>
      <c r="W775" s="286" t="str">
        <f t="shared" si="319"/>
        <v>O</v>
      </c>
      <c r="X775" s="286" t="str">
        <f t="shared" si="320"/>
        <v>U</v>
      </c>
      <c r="Y775" s="286"/>
      <c r="Z775" s="286">
        <v>56.5</v>
      </c>
      <c r="AA775" s="286" t="str">
        <f t="shared" si="310"/>
        <v>SAC/MIA</v>
      </c>
    </row>
    <row r="776" spans="1:27" x14ac:dyDescent="0.3">
      <c r="A776" s="286">
        <v>200208</v>
      </c>
      <c r="B776" s="287">
        <v>0.52083333333333337</v>
      </c>
      <c r="C776" s="286" t="s">
        <v>405</v>
      </c>
      <c r="D776" s="286" t="s">
        <v>417</v>
      </c>
      <c r="E776" s="286">
        <v>32</v>
      </c>
      <c r="F776" s="286">
        <v>26</v>
      </c>
      <c r="G776" s="286">
        <v>30</v>
      </c>
      <c r="H776" s="286">
        <v>29</v>
      </c>
      <c r="I776" s="286"/>
      <c r="J776" s="286">
        <v>38</v>
      </c>
      <c r="K776" s="286">
        <v>34</v>
      </c>
      <c r="L776" s="286">
        <v>17</v>
      </c>
      <c r="M776" s="286">
        <v>25</v>
      </c>
      <c r="O776" s="286">
        <f t="shared" si="311"/>
        <v>117</v>
      </c>
      <c r="P776" s="286">
        <f t="shared" si="312"/>
        <v>114</v>
      </c>
      <c r="Q776" s="286" t="str">
        <f t="shared" si="313"/>
        <v>HL</v>
      </c>
      <c r="R776" s="286" t="str">
        <f t="shared" si="314"/>
        <v>HL</v>
      </c>
      <c r="S776" s="286" t="str">
        <f t="shared" si="315"/>
        <v>HW</v>
      </c>
      <c r="T776" s="286" t="str">
        <f t="shared" si="316"/>
        <v>HW</v>
      </c>
      <c r="U776" s="286" t="str">
        <f t="shared" si="317"/>
        <v>O</v>
      </c>
      <c r="V776" s="286" t="str">
        <f t="shared" si="318"/>
        <v>O</v>
      </c>
      <c r="W776" s="286" t="str">
        <f t="shared" si="319"/>
        <v>U</v>
      </c>
      <c r="X776" s="286" t="str">
        <f t="shared" si="320"/>
        <v>U</v>
      </c>
      <c r="Y776" s="286"/>
      <c r="Z776" s="286">
        <v>58.5</v>
      </c>
      <c r="AA776" s="286" t="str">
        <f t="shared" si="310"/>
        <v>UTA/POR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776"/>
  <sheetViews>
    <sheetView tabSelected="1" zoomScale="85" zoomScaleNormal="85" workbookViewId="0">
      <pane xSplit="1" ySplit="1" topLeftCell="B759" activePane="bottomRight" state="frozen"/>
      <selection pane="topRight" activeCell="B1" sqref="B1"/>
      <selection pane="bottomLeft" activeCell="A2" sqref="A2"/>
      <selection pane="bottomRight" activeCell="AD721" sqref="AD721"/>
    </sheetView>
  </sheetViews>
  <sheetFormatPr defaultRowHeight="16.5" x14ac:dyDescent="0.3"/>
  <cols>
    <col min="1" max="1" width="7.5" style="3" bestFit="1" customWidth="1"/>
    <col min="2" max="2" width="8.75" style="44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SUBTOTAL(109,AC2:AC776)</f>
        <v>1395</v>
      </c>
      <c r="AD1" s="3">
        <f>SUBTOTAL(109,AD2:AD776)</f>
        <v>1652</v>
      </c>
      <c r="AF1" s="8">
        <f>AC1/(SUM($AC$1:$AD$1))</f>
        <v>0.4578273711847719</v>
      </c>
      <c r="AG1" s="9">
        <f>AD1/(SUM($AC$1:$AD$1))</f>
        <v>0.5421726288152281</v>
      </c>
    </row>
    <row r="2" spans="1:33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x14ac:dyDescent="0.45">
      <c r="A408" s="74">
        <v>191219</v>
      </c>
      <c r="B408" s="44">
        <v>0.375</v>
      </c>
      <c r="C408" s="74" t="s">
        <v>402</v>
      </c>
      <c r="D408" s="74" t="s">
        <v>409</v>
      </c>
      <c r="E408" s="74">
        <v>29</v>
      </c>
      <c r="F408" s="74">
        <v>24</v>
      </c>
      <c r="G408" s="74">
        <v>23</v>
      </c>
      <c r="H408" s="74">
        <v>24</v>
      </c>
      <c r="I408" s="74"/>
      <c r="J408" s="74">
        <v>21</v>
      </c>
      <c r="K408" s="74">
        <v>20</v>
      </c>
      <c r="L408" s="74">
        <v>23</v>
      </c>
      <c r="M408" s="74">
        <v>34</v>
      </c>
      <c r="N408" s="74" t="s">
        <v>427</v>
      </c>
      <c r="O408" s="74">
        <f t="shared" ref="O408:O430" si="209">SUM(E408:I408)</f>
        <v>100</v>
      </c>
      <c r="P408" s="74">
        <f t="shared" ref="P408:P430" si="210">SUM(J408:N408)</f>
        <v>98</v>
      </c>
      <c r="Q408" s="74" t="str">
        <f t="shared" ref="Q408:Q430" si="211">IF(E408=J408,"TT",IF(E408&gt;J408,"HW","HL"))</f>
        <v>HW</v>
      </c>
      <c r="R408" s="74" t="str">
        <f t="shared" ref="R408:R430" si="212">IF(F408=K408,"TT",IF(F408&gt;K408,"HW","HL"))</f>
        <v>HW</v>
      </c>
      <c r="S408" s="74" t="str">
        <f t="shared" ref="S408:S430" si="213">IF(G408=L408,"TT",IF(G408&gt;L408,"HW","HL"))</f>
        <v>TT</v>
      </c>
      <c r="T408" s="74" t="str">
        <f t="shared" ref="T408:T430" si="214">IF(H408=M408,"TT",IF(H408&gt;M408,"HW","HL"))</f>
        <v>HL</v>
      </c>
      <c r="U408" s="74" t="str">
        <f t="shared" ref="U408:U430" si="215">IF(SUM(E408,J408)=$Z408,"T",IF(SUM(E408,J408)&gt;$Z408,"O","U"))</f>
        <v>U</v>
      </c>
      <c r="V408" s="74" t="str">
        <f t="shared" ref="V408:V430" si="216">IF(SUM(F408,K408)=$Z408,"T",IF(SUM(F408,K408)&gt;$Z408,"O","U"))</f>
        <v>U</v>
      </c>
      <c r="W408" s="74" t="str">
        <f t="shared" ref="W408:W430" si="217">IF(SUM(G408,L408)=$Z408,"T",IF(SUM(G408,L408)&gt;$Z408,"O","U"))</f>
        <v>U</v>
      </c>
      <c r="X408" s="74" t="str">
        <f t="shared" ref="X408:X430" si="218">IF(SUM(H408,M408)=$Z408,"T",IF(SUM(H408,M408)&gt;$Z408,"O","U"))</f>
        <v>O</v>
      </c>
      <c r="Y408" s="74"/>
      <c r="Z408" s="74">
        <v>54.5</v>
      </c>
      <c r="AB408" s="74" t="str">
        <f t="shared" ref="AB408:AB471" si="219">C408&amp;"/"&amp;D408</f>
        <v>CLE/CHA</v>
      </c>
      <c r="AC408" s="74">
        <f t="shared" ref="AC408:AC430" si="220">COUNTIF(U408:X408,"o")</f>
        <v>1</v>
      </c>
      <c r="AD408" s="74">
        <f t="shared" ref="AD408:AD430" si="221">COUNTIF(U408:X408,"u")</f>
        <v>3</v>
      </c>
    </row>
    <row r="409" spans="1:30" x14ac:dyDescent="0.45">
      <c r="A409" s="74">
        <v>191219</v>
      </c>
      <c r="B409" s="44">
        <v>0.375</v>
      </c>
      <c r="C409" s="15" t="s">
        <v>422</v>
      </c>
      <c r="D409" s="15" t="s">
        <v>413</v>
      </c>
      <c r="E409" s="74">
        <v>29</v>
      </c>
      <c r="F409" s="74">
        <v>35</v>
      </c>
      <c r="G409" s="74">
        <v>15</v>
      </c>
      <c r="H409" s="74">
        <v>20</v>
      </c>
      <c r="I409" s="74"/>
      <c r="J409" s="74">
        <v>30</v>
      </c>
      <c r="K409" s="74">
        <v>40</v>
      </c>
      <c r="L409" s="74">
        <v>26</v>
      </c>
      <c r="M409" s="74">
        <v>16</v>
      </c>
      <c r="N409" s="74" t="s">
        <v>427</v>
      </c>
      <c r="O409" s="74">
        <f t="shared" si="209"/>
        <v>99</v>
      </c>
      <c r="P409" s="74">
        <f t="shared" si="210"/>
        <v>112</v>
      </c>
      <c r="Q409" s="74" t="str">
        <f t="shared" si="211"/>
        <v>HL</v>
      </c>
      <c r="R409" s="74" t="str">
        <f t="shared" si="212"/>
        <v>HL</v>
      </c>
      <c r="S409" s="74" t="str">
        <f t="shared" si="213"/>
        <v>HL</v>
      </c>
      <c r="T409" s="74" t="str">
        <f t="shared" si="214"/>
        <v>HW</v>
      </c>
      <c r="U409" s="74" t="str">
        <f t="shared" si="215"/>
        <v>O</v>
      </c>
      <c r="V409" s="74" t="str">
        <f t="shared" si="216"/>
        <v>O</v>
      </c>
      <c r="W409" s="74" t="str">
        <f t="shared" si="217"/>
        <v>U</v>
      </c>
      <c r="X409" s="74" t="str">
        <f t="shared" si="218"/>
        <v>U</v>
      </c>
      <c r="Y409" s="74"/>
      <c r="Z409" s="74">
        <v>56</v>
      </c>
      <c r="AB409" s="74" t="str">
        <f t="shared" si="219"/>
        <v>DET/TOR</v>
      </c>
      <c r="AC409" s="74">
        <f t="shared" si="220"/>
        <v>2</v>
      </c>
      <c r="AD409" s="74">
        <f t="shared" si="221"/>
        <v>2</v>
      </c>
    </row>
    <row r="410" spans="1:30" x14ac:dyDescent="0.45">
      <c r="A410" s="74">
        <v>191219</v>
      </c>
      <c r="B410" s="44">
        <v>0.375</v>
      </c>
      <c r="C410" s="15" t="s">
        <v>401</v>
      </c>
      <c r="D410" s="15" t="s">
        <v>411</v>
      </c>
      <c r="E410" s="74">
        <v>29</v>
      </c>
      <c r="F410" s="74">
        <v>19</v>
      </c>
      <c r="G410" s="74">
        <v>26</v>
      </c>
      <c r="H410" s="74">
        <v>30</v>
      </c>
      <c r="I410" s="74"/>
      <c r="J410" s="74">
        <v>19</v>
      </c>
      <c r="K410" s="74">
        <v>37</v>
      </c>
      <c r="L410" s="74">
        <v>26</v>
      </c>
      <c r="M410" s="74">
        <v>26</v>
      </c>
      <c r="N410" s="74" t="s">
        <v>427</v>
      </c>
      <c r="O410" s="74">
        <f t="shared" si="209"/>
        <v>104</v>
      </c>
      <c r="P410" s="74">
        <f t="shared" si="210"/>
        <v>108</v>
      </c>
      <c r="Q410" s="74" t="str">
        <f t="shared" si="211"/>
        <v>HW</v>
      </c>
      <c r="R410" s="74" t="str">
        <f t="shared" si="212"/>
        <v>HL</v>
      </c>
      <c r="S410" s="74" t="str">
        <f t="shared" si="213"/>
        <v>TT</v>
      </c>
      <c r="T410" s="74" t="str">
        <f t="shared" si="214"/>
        <v>HW</v>
      </c>
      <c r="U410" s="74" t="str">
        <f t="shared" si="215"/>
        <v>U</v>
      </c>
      <c r="V410" s="74" t="str">
        <f t="shared" si="216"/>
        <v>O</v>
      </c>
      <c r="W410" s="74" t="str">
        <f t="shared" si="217"/>
        <v>U</v>
      </c>
      <c r="X410" s="74" t="str">
        <f t="shared" si="218"/>
        <v>O</v>
      </c>
      <c r="Y410" s="74"/>
      <c r="Z410" s="74">
        <v>54.5</v>
      </c>
      <c r="AB410" s="74" t="str">
        <f t="shared" si="219"/>
        <v>PHI/MIA</v>
      </c>
      <c r="AC410" s="74">
        <f t="shared" si="220"/>
        <v>2</v>
      </c>
      <c r="AD410" s="74">
        <f t="shared" si="221"/>
        <v>2</v>
      </c>
    </row>
    <row r="411" spans="1:30" x14ac:dyDescent="0.45">
      <c r="A411" s="74">
        <v>191219</v>
      </c>
      <c r="B411" s="44">
        <v>0.375</v>
      </c>
      <c r="C411" s="74" t="s">
        <v>414</v>
      </c>
      <c r="D411" s="74" t="s">
        <v>412</v>
      </c>
      <c r="E411" s="74">
        <v>27</v>
      </c>
      <c r="F411" s="74">
        <v>31</v>
      </c>
      <c r="G411" s="74">
        <v>27</v>
      </c>
      <c r="H411" s="74">
        <v>13</v>
      </c>
      <c r="I411" s="74">
        <v>11</v>
      </c>
      <c r="J411" s="74">
        <v>23</v>
      </c>
      <c r="K411" s="74">
        <v>29</v>
      </c>
      <c r="L411" s="74">
        <v>21</v>
      </c>
      <c r="M411" s="74">
        <v>25</v>
      </c>
      <c r="N411" s="74">
        <v>12</v>
      </c>
      <c r="O411" s="74">
        <f t="shared" si="209"/>
        <v>109</v>
      </c>
      <c r="P411" s="74">
        <f t="shared" si="210"/>
        <v>110</v>
      </c>
      <c r="Q411" s="74" t="str">
        <f t="shared" si="211"/>
        <v>HW</v>
      </c>
      <c r="R411" s="74" t="str">
        <f t="shared" si="212"/>
        <v>HW</v>
      </c>
      <c r="S411" s="74" t="str">
        <f t="shared" si="213"/>
        <v>HW</v>
      </c>
      <c r="T411" s="74" t="str">
        <f t="shared" si="214"/>
        <v>HL</v>
      </c>
      <c r="U411" s="74" t="str">
        <f t="shared" si="215"/>
        <v>U</v>
      </c>
      <c r="V411" s="74" t="str">
        <f t="shared" si="216"/>
        <v>O</v>
      </c>
      <c r="W411" s="74" t="str">
        <f t="shared" si="217"/>
        <v>U</v>
      </c>
      <c r="X411" s="74" t="str">
        <f t="shared" si="218"/>
        <v>U</v>
      </c>
      <c r="Y411" s="74"/>
      <c r="Z411" s="74">
        <v>59</v>
      </c>
      <c r="AB411" s="74" t="str">
        <f t="shared" si="219"/>
        <v>WAS/CHI</v>
      </c>
      <c r="AC411" s="74">
        <f t="shared" si="220"/>
        <v>1</v>
      </c>
      <c r="AD411" s="74">
        <f t="shared" si="221"/>
        <v>3</v>
      </c>
    </row>
    <row r="412" spans="1:30" x14ac:dyDescent="0.45">
      <c r="A412" s="74">
        <v>191219</v>
      </c>
      <c r="B412" s="44">
        <v>0.41666666666666669</v>
      </c>
      <c r="C412" s="15" t="s">
        <v>420</v>
      </c>
      <c r="D412" s="13" t="s">
        <v>398</v>
      </c>
      <c r="E412" s="74">
        <v>25</v>
      </c>
      <c r="F412" s="74">
        <v>25</v>
      </c>
      <c r="G412" s="74">
        <v>22</v>
      </c>
      <c r="H412" s="74">
        <v>27</v>
      </c>
      <c r="I412" s="74"/>
      <c r="J412" s="74">
        <v>32</v>
      </c>
      <c r="K412" s="74">
        <v>31</v>
      </c>
      <c r="L412" s="74">
        <v>24</v>
      </c>
      <c r="M412" s="74">
        <v>20</v>
      </c>
      <c r="N412" s="74" t="s">
        <v>427</v>
      </c>
      <c r="O412" s="74">
        <f t="shared" si="209"/>
        <v>99</v>
      </c>
      <c r="P412" s="74">
        <f t="shared" si="210"/>
        <v>107</v>
      </c>
      <c r="Q412" s="74" t="str">
        <f t="shared" si="211"/>
        <v>HL</v>
      </c>
      <c r="R412" s="74" t="str">
        <f t="shared" si="212"/>
        <v>HL</v>
      </c>
      <c r="S412" s="74" t="str">
        <f t="shared" si="213"/>
        <v>HL</v>
      </c>
      <c r="T412" s="74" t="str">
        <f t="shared" si="214"/>
        <v>HW</v>
      </c>
      <c r="U412" s="74" t="str">
        <f t="shared" si="215"/>
        <v>U</v>
      </c>
      <c r="V412" s="74" t="str">
        <f t="shared" si="216"/>
        <v>U</v>
      </c>
      <c r="W412" s="74" t="str">
        <f t="shared" si="217"/>
        <v>U</v>
      </c>
      <c r="X412" s="74" t="str">
        <f t="shared" si="218"/>
        <v>U</v>
      </c>
      <c r="Y412" s="74"/>
      <c r="Z412" s="74">
        <v>59</v>
      </c>
      <c r="AB412" s="74" t="str">
        <f t="shared" si="219"/>
        <v>MIN/NO</v>
      </c>
      <c r="AC412" s="74">
        <f t="shared" si="220"/>
        <v>0</v>
      </c>
      <c r="AD412" s="74">
        <f t="shared" si="221"/>
        <v>4</v>
      </c>
    </row>
    <row r="413" spans="1:30" x14ac:dyDescent="0.45">
      <c r="A413" s="74">
        <v>191219</v>
      </c>
      <c r="B413" s="44">
        <v>0.41666666666666669</v>
      </c>
      <c r="C413" s="5" t="s">
        <v>418</v>
      </c>
      <c r="D413" s="5" t="s">
        <v>406</v>
      </c>
      <c r="E413" s="74">
        <v>27</v>
      </c>
      <c r="F413" s="74">
        <v>32</v>
      </c>
      <c r="G413" s="74">
        <v>34</v>
      </c>
      <c r="H413" s="74">
        <v>33</v>
      </c>
      <c r="I413" s="74"/>
      <c r="J413" s="74">
        <v>32</v>
      </c>
      <c r="K413" s="74">
        <v>36</v>
      </c>
      <c r="L413" s="74">
        <v>32</v>
      </c>
      <c r="M413" s="74">
        <v>22</v>
      </c>
      <c r="N413" s="74" t="s">
        <v>427</v>
      </c>
      <c r="O413" s="74">
        <f t="shared" si="209"/>
        <v>126</v>
      </c>
      <c r="P413" s="74">
        <f t="shared" si="210"/>
        <v>122</v>
      </c>
      <c r="Q413" s="74" t="str">
        <f t="shared" si="211"/>
        <v>HL</v>
      </c>
      <c r="R413" s="74" t="str">
        <f t="shared" si="212"/>
        <v>HL</v>
      </c>
      <c r="S413" s="74" t="str">
        <f t="shared" si="213"/>
        <v>HW</v>
      </c>
      <c r="T413" s="74" t="str">
        <f t="shared" si="214"/>
        <v>HW</v>
      </c>
      <c r="U413" s="74" t="str">
        <f t="shared" si="215"/>
        <v>O</v>
      </c>
      <c r="V413" s="74" t="str">
        <f t="shared" si="216"/>
        <v>O</v>
      </c>
      <c r="W413" s="74" t="str">
        <f t="shared" si="217"/>
        <v>O</v>
      </c>
      <c r="X413" s="74" t="str">
        <f t="shared" si="218"/>
        <v>O</v>
      </c>
      <c r="Y413" s="74"/>
      <c r="Z413" s="74">
        <v>54</v>
      </c>
      <c r="AB413" s="74" t="str">
        <f t="shared" si="219"/>
        <v>OKC/MEM</v>
      </c>
      <c r="AC413" s="74">
        <f t="shared" si="220"/>
        <v>4</v>
      </c>
      <c r="AD413" s="74">
        <f t="shared" si="221"/>
        <v>0</v>
      </c>
    </row>
    <row r="414" spans="1:30" x14ac:dyDescent="0.45">
      <c r="A414" s="74">
        <v>191219</v>
      </c>
      <c r="B414" s="44">
        <v>0.45833333333333331</v>
      </c>
      <c r="C414" s="13" t="s">
        <v>46</v>
      </c>
      <c r="D414" s="15" t="s">
        <v>424</v>
      </c>
      <c r="E414" s="74">
        <v>27</v>
      </c>
      <c r="F414" s="74">
        <v>18</v>
      </c>
      <c r="G414" s="74">
        <v>39</v>
      </c>
      <c r="H414" s="74">
        <v>29</v>
      </c>
      <c r="I414" s="74"/>
      <c r="J414" s="74">
        <v>32</v>
      </c>
      <c r="K414" s="74">
        <v>28</v>
      </c>
      <c r="L414" s="74">
        <v>16</v>
      </c>
      <c r="M414" s="74">
        <v>28</v>
      </c>
      <c r="N414" s="74" t="s">
        <v>427</v>
      </c>
      <c r="O414" s="74">
        <f t="shared" si="209"/>
        <v>113</v>
      </c>
      <c r="P414" s="74">
        <f t="shared" si="210"/>
        <v>104</v>
      </c>
      <c r="Q414" s="74" t="str">
        <f t="shared" si="211"/>
        <v>HL</v>
      </c>
      <c r="R414" s="74" t="str">
        <f t="shared" si="212"/>
        <v>HL</v>
      </c>
      <c r="S414" s="74" t="str">
        <f t="shared" si="213"/>
        <v>HW</v>
      </c>
      <c r="T414" s="74" t="str">
        <f t="shared" si="214"/>
        <v>HW</v>
      </c>
      <c r="U414" s="74" t="str">
        <f t="shared" si="215"/>
        <v>O</v>
      </c>
      <c r="V414" s="74" t="str">
        <f t="shared" si="216"/>
        <v>U</v>
      </c>
      <c r="W414" s="74" t="str">
        <f t="shared" si="217"/>
        <v>O</v>
      </c>
      <c r="X414" s="74" t="str">
        <f t="shared" si="218"/>
        <v>O</v>
      </c>
      <c r="Y414" s="74"/>
      <c r="Z414" s="74">
        <v>52.5</v>
      </c>
      <c r="AB414" s="74" t="str">
        <f t="shared" si="219"/>
        <v>DEN/ORL</v>
      </c>
      <c r="AC414" s="74">
        <f t="shared" si="220"/>
        <v>3</v>
      </c>
      <c r="AD414" s="74">
        <f t="shared" si="221"/>
        <v>1</v>
      </c>
    </row>
    <row r="415" spans="1:30" x14ac:dyDescent="0.45">
      <c r="A415" s="74">
        <v>191219</v>
      </c>
      <c r="B415" s="44">
        <v>0.47916666666666669</v>
      </c>
      <c r="C415" s="15" t="s">
        <v>98</v>
      </c>
      <c r="D415" s="48" t="s">
        <v>421</v>
      </c>
      <c r="E415" s="74">
        <v>29</v>
      </c>
      <c r="F415" s="74">
        <v>26</v>
      </c>
      <c r="G415" s="74">
        <v>18</v>
      </c>
      <c r="H415" s="74">
        <v>30</v>
      </c>
      <c r="I415" s="74"/>
      <c r="J415" s="74">
        <v>29</v>
      </c>
      <c r="K415" s="74">
        <v>21</v>
      </c>
      <c r="L415" s="74">
        <v>26</v>
      </c>
      <c r="M415" s="74">
        <v>33</v>
      </c>
      <c r="N415" s="74" t="s">
        <v>427</v>
      </c>
      <c r="O415" s="74">
        <f t="shared" si="209"/>
        <v>103</v>
      </c>
      <c r="P415" s="74">
        <f t="shared" si="210"/>
        <v>109</v>
      </c>
      <c r="Q415" s="74" t="str">
        <f t="shared" si="211"/>
        <v>TT</v>
      </c>
      <c r="R415" s="74" t="str">
        <f t="shared" si="212"/>
        <v>HW</v>
      </c>
      <c r="S415" s="74" t="str">
        <f t="shared" si="213"/>
        <v>HL</v>
      </c>
      <c r="T415" s="74" t="str">
        <f t="shared" si="214"/>
        <v>HL</v>
      </c>
      <c r="U415" s="74" t="str">
        <f t="shared" si="215"/>
        <v>O</v>
      </c>
      <c r="V415" s="74" t="str">
        <f t="shared" si="216"/>
        <v>U</v>
      </c>
      <c r="W415" s="74" t="str">
        <f t="shared" si="217"/>
        <v>U</v>
      </c>
      <c r="X415" s="74" t="str">
        <f t="shared" si="218"/>
        <v>O</v>
      </c>
      <c r="Y415" s="74"/>
      <c r="Z415" s="74">
        <v>52.5</v>
      </c>
      <c r="AB415" s="74" t="str">
        <f t="shared" si="219"/>
        <v>DAL/BOS</v>
      </c>
      <c r="AC415" s="74">
        <f t="shared" si="220"/>
        <v>2</v>
      </c>
      <c r="AD415" s="74">
        <f t="shared" si="221"/>
        <v>2</v>
      </c>
    </row>
    <row r="416" spans="1:30" x14ac:dyDescent="0.45">
      <c r="A416" s="74">
        <v>191219</v>
      </c>
      <c r="B416" s="44">
        <v>0.5</v>
      </c>
      <c r="C416" s="74" t="s">
        <v>417</v>
      </c>
      <c r="D416" s="74" t="s">
        <v>425</v>
      </c>
      <c r="E416" s="74">
        <v>40</v>
      </c>
      <c r="F416" s="74">
        <v>27</v>
      </c>
      <c r="G416" s="74">
        <v>30</v>
      </c>
      <c r="H416" s="74">
        <v>25</v>
      </c>
      <c r="I416" s="74"/>
      <c r="J416" s="74">
        <v>29</v>
      </c>
      <c r="K416" s="74">
        <v>37</v>
      </c>
      <c r="L416" s="74">
        <v>26</v>
      </c>
      <c r="M416" s="74">
        <v>20</v>
      </c>
      <c r="N416" s="74" t="s">
        <v>427</v>
      </c>
      <c r="O416" s="74">
        <f t="shared" si="209"/>
        <v>122</v>
      </c>
      <c r="P416" s="74">
        <f t="shared" si="210"/>
        <v>112</v>
      </c>
      <c r="Q416" s="74" t="str">
        <f t="shared" si="211"/>
        <v>HW</v>
      </c>
      <c r="R416" s="74" t="str">
        <f t="shared" si="212"/>
        <v>HL</v>
      </c>
      <c r="S416" s="74" t="str">
        <f t="shared" si="213"/>
        <v>HW</v>
      </c>
      <c r="T416" s="74" t="str">
        <f t="shared" si="214"/>
        <v>HW</v>
      </c>
      <c r="U416" s="74" t="str">
        <f t="shared" si="215"/>
        <v>O</v>
      </c>
      <c r="V416" s="74" t="str">
        <f t="shared" si="216"/>
        <v>O</v>
      </c>
      <c r="W416" s="74" t="str">
        <f t="shared" si="217"/>
        <v>U</v>
      </c>
      <c r="X416" s="74" t="str">
        <f t="shared" si="218"/>
        <v>U</v>
      </c>
      <c r="Y416" s="74"/>
      <c r="Z416" s="74">
        <v>56.5</v>
      </c>
      <c r="AB416" s="74" t="str">
        <f t="shared" si="219"/>
        <v>POR/GS</v>
      </c>
      <c r="AC416" s="74">
        <f t="shared" si="220"/>
        <v>2</v>
      </c>
      <c r="AD416" s="74">
        <f t="shared" si="221"/>
        <v>2</v>
      </c>
    </row>
    <row r="417" spans="1:30" x14ac:dyDescent="0.45">
      <c r="A417" s="74">
        <v>191220</v>
      </c>
      <c r="B417" s="75">
        <v>0.39583333333333331</v>
      </c>
      <c r="C417" s="74" t="s">
        <v>410</v>
      </c>
      <c r="D417" s="74" t="s">
        <v>405</v>
      </c>
      <c r="E417" s="74">
        <v>30</v>
      </c>
      <c r="F417" s="74">
        <v>26</v>
      </c>
      <c r="G417" s="74">
        <v>28</v>
      </c>
      <c r="H417" s="74">
        <v>22</v>
      </c>
      <c r="I417" s="74"/>
      <c r="J417" s="74">
        <v>28</v>
      </c>
      <c r="K417" s="74">
        <v>24</v>
      </c>
      <c r="L417" s="74">
        <v>31</v>
      </c>
      <c r="M417" s="74">
        <v>28</v>
      </c>
      <c r="N417" s="74" t="s">
        <v>427</v>
      </c>
      <c r="O417" s="74">
        <f t="shared" si="209"/>
        <v>106</v>
      </c>
      <c r="P417" s="74">
        <f t="shared" si="210"/>
        <v>111</v>
      </c>
      <c r="Q417" s="74" t="str">
        <f t="shared" si="211"/>
        <v>HW</v>
      </c>
      <c r="R417" s="74" t="str">
        <f t="shared" si="212"/>
        <v>HW</v>
      </c>
      <c r="S417" s="74" t="str">
        <f t="shared" si="213"/>
        <v>HL</v>
      </c>
      <c r="T417" s="74" t="str">
        <f t="shared" si="214"/>
        <v>HL</v>
      </c>
      <c r="U417" s="74" t="str">
        <f t="shared" si="215"/>
        <v>O</v>
      </c>
      <c r="V417" s="74" t="str">
        <f t="shared" si="216"/>
        <v>U</v>
      </c>
      <c r="W417" s="74" t="str">
        <f t="shared" si="217"/>
        <v>O</v>
      </c>
      <c r="X417" s="74" t="str">
        <f t="shared" si="218"/>
        <v>U</v>
      </c>
      <c r="Y417" s="74"/>
      <c r="Z417" s="74">
        <v>55</v>
      </c>
      <c r="AB417" s="74" t="str">
        <f t="shared" si="219"/>
        <v>ATL/UTA</v>
      </c>
      <c r="AC417" s="74">
        <f t="shared" si="220"/>
        <v>2</v>
      </c>
      <c r="AD417" s="74">
        <f t="shared" si="221"/>
        <v>2</v>
      </c>
    </row>
    <row r="418" spans="1:30" x14ac:dyDescent="0.45">
      <c r="A418" s="74">
        <v>191220</v>
      </c>
      <c r="B418" s="75">
        <v>0.41666666666666669</v>
      </c>
      <c r="C418" s="74" t="s">
        <v>423</v>
      </c>
      <c r="D418" s="74" t="s">
        <v>419</v>
      </c>
      <c r="E418" s="74">
        <v>23</v>
      </c>
      <c r="F418" s="74">
        <v>42</v>
      </c>
      <c r="G418" s="74">
        <v>24</v>
      </c>
      <c r="H418" s="74">
        <v>22</v>
      </c>
      <c r="I418" s="74"/>
      <c r="J418" s="74">
        <v>17</v>
      </c>
      <c r="K418" s="74">
        <v>29</v>
      </c>
      <c r="L418" s="74">
        <v>35</v>
      </c>
      <c r="M418" s="74">
        <v>23</v>
      </c>
      <c r="N418" s="74" t="s">
        <v>427</v>
      </c>
      <c r="O418" s="74">
        <f t="shared" si="209"/>
        <v>111</v>
      </c>
      <c r="P418" s="74">
        <f t="shared" si="210"/>
        <v>104</v>
      </c>
      <c r="Q418" s="74" t="str">
        <f t="shared" si="211"/>
        <v>HW</v>
      </c>
      <c r="R418" s="74" t="str">
        <f t="shared" si="212"/>
        <v>HW</v>
      </c>
      <c r="S418" s="74" t="str">
        <f t="shared" si="213"/>
        <v>HL</v>
      </c>
      <c r="T418" s="74" t="str">
        <f t="shared" si="214"/>
        <v>HL</v>
      </c>
      <c r="U418" s="74" t="str">
        <f t="shared" si="215"/>
        <v>U</v>
      </c>
      <c r="V418" s="74" t="str">
        <f t="shared" si="216"/>
        <v>O</v>
      </c>
      <c r="W418" s="74" t="str">
        <f t="shared" si="217"/>
        <v>O</v>
      </c>
      <c r="X418" s="74" t="str">
        <f t="shared" si="218"/>
        <v>U</v>
      </c>
      <c r="Y418" s="74"/>
      <c r="Z418" s="74">
        <v>58.5</v>
      </c>
      <c r="AB418" s="74" t="str">
        <f t="shared" si="219"/>
        <v>MIL/LAL</v>
      </c>
      <c r="AC418" s="74">
        <f t="shared" si="220"/>
        <v>2</v>
      </c>
      <c r="AD418" s="74">
        <f t="shared" si="221"/>
        <v>2</v>
      </c>
    </row>
    <row r="419" spans="1:30" x14ac:dyDescent="0.45">
      <c r="A419" s="74">
        <v>191220</v>
      </c>
      <c r="B419" s="75">
        <v>0.4375</v>
      </c>
      <c r="C419" s="74" t="s">
        <v>426</v>
      </c>
      <c r="D419" s="74" t="s">
        <v>407</v>
      </c>
      <c r="E419" s="74">
        <v>27</v>
      </c>
      <c r="F419" s="74">
        <v>23</v>
      </c>
      <c r="G419" s="74">
        <v>33</v>
      </c>
      <c r="H419" s="74">
        <v>35</v>
      </c>
      <c r="I419" s="74"/>
      <c r="J419" s="74">
        <v>33</v>
      </c>
      <c r="K419" s="74">
        <v>23</v>
      </c>
      <c r="L419" s="74">
        <v>25</v>
      </c>
      <c r="M419" s="74">
        <v>24</v>
      </c>
      <c r="N419" s="74" t="s">
        <v>427</v>
      </c>
      <c r="O419" s="74">
        <f t="shared" si="209"/>
        <v>118</v>
      </c>
      <c r="P419" s="74">
        <f t="shared" si="210"/>
        <v>105</v>
      </c>
      <c r="Q419" s="74" t="str">
        <f t="shared" si="211"/>
        <v>HL</v>
      </c>
      <c r="R419" s="74" t="str">
        <f t="shared" si="212"/>
        <v>TT</v>
      </c>
      <c r="S419" s="74" t="str">
        <f t="shared" si="213"/>
        <v>HW</v>
      </c>
      <c r="T419" s="74" t="str">
        <f t="shared" si="214"/>
        <v>HW</v>
      </c>
      <c r="U419" s="74" t="str">
        <f t="shared" si="215"/>
        <v>O</v>
      </c>
      <c r="V419" s="74" t="str">
        <f t="shared" si="216"/>
        <v>U</v>
      </c>
      <c r="W419" s="74" t="str">
        <f t="shared" si="217"/>
        <v>O</v>
      </c>
      <c r="X419" s="74" t="str">
        <f t="shared" si="218"/>
        <v>O</v>
      </c>
      <c r="Y419" s="74"/>
      <c r="Z419" s="74">
        <v>53.5</v>
      </c>
      <c r="AB419" s="74" t="str">
        <f t="shared" si="219"/>
        <v>SAS/BKN</v>
      </c>
      <c r="AC419" s="74">
        <f t="shared" si="220"/>
        <v>3</v>
      </c>
      <c r="AD419" s="74">
        <f t="shared" si="221"/>
        <v>1</v>
      </c>
    </row>
    <row r="420" spans="1:30" x14ac:dyDescent="0.45">
      <c r="A420" s="74">
        <v>191220</v>
      </c>
      <c r="B420" s="75">
        <v>0.52083333333333337</v>
      </c>
      <c r="C420" s="74" t="s">
        <v>415</v>
      </c>
      <c r="D420" s="74" t="s">
        <v>403</v>
      </c>
      <c r="E420" s="74">
        <v>28</v>
      </c>
      <c r="F420" s="74">
        <v>41</v>
      </c>
      <c r="G420" s="74">
        <v>18</v>
      </c>
      <c r="H420" s="74">
        <v>30</v>
      </c>
      <c r="I420" s="74"/>
      <c r="J420" s="74">
        <v>27</v>
      </c>
      <c r="K420" s="74">
        <v>27</v>
      </c>
      <c r="L420" s="74">
        <v>36</v>
      </c>
      <c r="M420" s="74">
        <v>32</v>
      </c>
      <c r="N420" s="74" t="s">
        <v>427</v>
      </c>
      <c r="O420" s="74">
        <f t="shared" si="209"/>
        <v>117</v>
      </c>
      <c r="P420" s="74">
        <f t="shared" si="210"/>
        <v>122</v>
      </c>
      <c r="Q420" s="74" t="str">
        <f t="shared" si="211"/>
        <v>HW</v>
      </c>
      <c r="R420" s="74" t="str">
        <f t="shared" si="212"/>
        <v>HW</v>
      </c>
      <c r="S420" s="74" t="str">
        <f t="shared" si="213"/>
        <v>HL</v>
      </c>
      <c r="T420" s="74" t="str">
        <f t="shared" si="214"/>
        <v>HL</v>
      </c>
      <c r="U420" s="74" t="str">
        <f t="shared" si="215"/>
        <v>U</v>
      </c>
      <c r="V420" s="74" t="str">
        <f t="shared" si="216"/>
        <v>O</v>
      </c>
      <c r="W420" s="74" t="str">
        <f t="shared" si="217"/>
        <v>U</v>
      </c>
      <c r="X420" s="74" t="str">
        <f t="shared" si="218"/>
        <v>O</v>
      </c>
      <c r="Y420" s="74"/>
      <c r="Z420" s="74">
        <v>60.5</v>
      </c>
      <c r="AB420" s="74" t="str">
        <f t="shared" si="219"/>
        <v>LAC/HOU</v>
      </c>
      <c r="AC420" s="74">
        <f t="shared" si="220"/>
        <v>2</v>
      </c>
      <c r="AD420" s="74">
        <f t="shared" si="221"/>
        <v>2</v>
      </c>
    </row>
    <row r="421" spans="1:30" x14ac:dyDescent="0.45">
      <c r="A421" s="74">
        <v>191221</v>
      </c>
      <c r="B421" s="75">
        <v>0.375</v>
      </c>
      <c r="C421" s="74" t="s">
        <v>402</v>
      </c>
      <c r="D421" s="74" t="s">
        <v>406</v>
      </c>
      <c r="E421" s="74">
        <v>25</v>
      </c>
      <c r="F421" s="74">
        <v>30</v>
      </c>
      <c r="G421" s="74">
        <v>26</v>
      </c>
      <c r="H421" s="74">
        <v>33</v>
      </c>
      <c r="I421" s="74"/>
      <c r="J421" s="74">
        <v>27</v>
      </c>
      <c r="K421" s="74">
        <v>24</v>
      </c>
      <c r="L421" s="74">
        <v>36</v>
      </c>
      <c r="M421" s="74">
        <v>20</v>
      </c>
      <c r="N421" s="74" t="s">
        <v>427</v>
      </c>
      <c r="O421" s="74">
        <f t="shared" si="209"/>
        <v>114</v>
      </c>
      <c r="P421" s="74">
        <f t="shared" si="210"/>
        <v>107</v>
      </c>
      <c r="Q421" s="74" t="str">
        <f t="shared" si="211"/>
        <v>HL</v>
      </c>
      <c r="R421" s="74" t="str">
        <f t="shared" si="212"/>
        <v>HW</v>
      </c>
      <c r="S421" s="74" t="str">
        <f t="shared" si="213"/>
        <v>HL</v>
      </c>
      <c r="T421" s="74" t="str">
        <f t="shared" si="214"/>
        <v>HW</v>
      </c>
      <c r="U421" s="74" t="str">
        <f t="shared" si="215"/>
        <v>U</v>
      </c>
      <c r="V421" s="74" t="str">
        <f t="shared" si="216"/>
        <v>U</v>
      </c>
      <c r="W421" s="74" t="str">
        <f t="shared" si="217"/>
        <v>O</v>
      </c>
      <c r="X421" s="74" t="str">
        <f t="shared" si="218"/>
        <v>U</v>
      </c>
      <c r="Y421" s="74"/>
      <c r="Z421" s="74">
        <v>55</v>
      </c>
      <c r="AB421" s="74" t="str">
        <f t="shared" si="219"/>
        <v>CLE/MEM</v>
      </c>
      <c r="AC421" s="74">
        <f t="shared" si="220"/>
        <v>1</v>
      </c>
      <c r="AD421" s="74">
        <f t="shared" si="221"/>
        <v>3</v>
      </c>
    </row>
    <row r="422" spans="1:30" x14ac:dyDescent="0.45">
      <c r="A422" s="74">
        <v>191221</v>
      </c>
      <c r="B422" s="75">
        <v>0.375</v>
      </c>
      <c r="C422" s="74" t="s">
        <v>400</v>
      </c>
      <c r="D422" s="74" t="s">
        <v>416</v>
      </c>
      <c r="E422" s="74">
        <v>30</v>
      </c>
      <c r="F422" s="74">
        <v>38</v>
      </c>
      <c r="G422" s="74">
        <v>24</v>
      </c>
      <c r="H422" s="74">
        <v>27</v>
      </c>
      <c r="I422" s="74"/>
      <c r="J422" s="74">
        <v>32</v>
      </c>
      <c r="K422" s="74">
        <v>25</v>
      </c>
      <c r="L422" s="74">
        <v>22</v>
      </c>
      <c r="M422" s="74">
        <v>26</v>
      </c>
      <c r="N422" s="74" t="s">
        <v>427</v>
      </c>
      <c r="O422" s="74">
        <f t="shared" si="209"/>
        <v>119</v>
      </c>
      <c r="P422" s="74">
        <f t="shared" si="210"/>
        <v>105</v>
      </c>
      <c r="Q422" s="74" t="str">
        <f t="shared" si="211"/>
        <v>HL</v>
      </c>
      <c r="R422" s="74" t="str">
        <f t="shared" si="212"/>
        <v>HW</v>
      </c>
      <c r="S422" s="74" t="str">
        <f t="shared" si="213"/>
        <v>HW</v>
      </c>
      <c r="T422" s="74" t="str">
        <f t="shared" si="214"/>
        <v>HW</v>
      </c>
      <c r="U422" s="74" t="str">
        <f t="shared" si="215"/>
        <v>O</v>
      </c>
      <c r="V422" s="74" t="str">
        <f t="shared" si="216"/>
        <v>O</v>
      </c>
      <c r="W422" s="74" t="str">
        <f t="shared" si="217"/>
        <v>U</v>
      </c>
      <c r="X422" s="74" t="str">
        <f t="shared" si="218"/>
        <v>U</v>
      </c>
      <c r="Y422" s="74"/>
      <c r="Z422" s="74">
        <v>54</v>
      </c>
      <c r="AB422" s="74" t="str">
        <f t="shared" si="219"/>
        <v>IND/SAC</v>
      </c>
      <c r="AC422" s="74">
        <f t="shared" si="220"/>
        <v>2</v>
      </c>
      <c r="AD422" s="74">
        <f t="shared" si="221"/>
        <v>2</v>
      </c>
    </row>
    <row r="423" spans="1:30" x14ac:dyDescent="0.45">
      <c r="A423" s="74">
        <v>191221</v>
      </c>
      <c r="B423" s="75">
        <v>0.39583333333333331</v>
      </c>
      <c r="C423" s="74" t="s">
        <v>421</v>
      </c>
      <c r="D423" s="74" t="s">
        <v>422</v>
      </c>
      <c r="E423" s="74">
        <v>28</v>
      </c>
      <c r="F423" s="74">
        <v>32</v>
      </c>
      <c r="G423" s="74">
        <v>31</v>
      </c>
      <c r="H423" s="74">
        <v>23</v>
      </c>
      <c r="I423" s="74"/>
      <c r="J423" s="74">
        <v>26</v>
      </c>
      <c r="K423" s="74">
        <v>22</v>
      </c>
      <c r="L423" s="74">
        <v>21</v>
      </c>
      <c r="M423" s="74">
        <v>24</v>
      </c>
      <c r="N423" s="74" t="s">
        <v>427</v>
      </c>
      <c r="O423" s="74">
        <f t="shared" si="209"/>
        <v>114</v>
      </c>
      <c r="P423" s="74">
        <f t="shared" si="210"/>
        <v>93</v>
      </c>
      <c r="Q423" s="74" t="str">
        <f t="shared" si="211"/>
        <v>HW</v>
      </c>
      <c r="R423" s="74" t="str">
        <f t="shared" si="212"/>
        <v>HW</v>
      </c>
      <c r="S423" s="74" t="str">
        <f t="shared" si="213"/>
        <v>HW</v>
      </c>
      <c r="T423" s="74" t="str">
        <f t="shared" si="214"/>
        <v>HL</v>
      </c>
      <c r="U423" s="74" t="str">
        <f t="shared" si="215"/>
        <v>U</v>
      </c>
      <c r="V423" s="74" t="str">
        <f t="shared" si="216"/>
        <v>U</v>
      </c>
      <c r="W423" s="74" t="str">
        <f t="shared" si="217"/>
        <v>U</v>
      </c>
      <c r="X423" s="74" t="str">
        <f t="shared" si="218"/>
        <v>U</v>
      </c>
      <c r="Y423" s="74"/>
      <c r="Z423" s="74">
        <v>54.5</v>
      </c>
      <c r="AB423" s="74" t="str">
        <f t="shared" si="219"/>
        <v>BOS/DET</v>
      </c>
      <c r="AC423" s="74">
        <f t="shared" si="220"/>
        <v>0</v>
      </c>
      <c r="AD423" s="74">
        <f t="shared" si="221"/>
        <v>4</v>
      </c>
    </row>
    <row r="424" spans="1:30" x14ac:dyDescent="0.45">
      <c r="A424" s="74">
        <v>191221</v>
      </c>
      <c r="B424" s="75">
        <v>0.39583333333333331</v>
      </c>
      <c r="C424" s="74" t="s">
        <v>413</v>
      </c>
      <c r="D424" s="74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09"/>
        <v>122</v>
      </c>
      <c r="P424" s="74">
        <f t="shared" si="210"/>
        <v>118</v>
      </c>
      <c r="Q424" s="74" t="str">
        <f t="shared" si="211"/>
        <v>HW</v>
      </c>
      <c r="R424" s="74" t="str">
        <f t="shared" si="212"/>
        <v>HL</v>
      </c>
      <c r="S424" s="74" t="str">
        <f t="shared" si="213"/>
        <v>HL</v>
      </c>
      <c r="T424" s="74" t="str">
        <f t="shared" si="214"/>
        <v>HL</v>
      </c>
      <c r="U424" s="74" t="str">
        <f t="shared" si="215"/>
        <v>O</v>
      </c>
      <c r="V424" s="74" t="str">
        <f t="shared" si="216"/>
        <v>U</v>
      </c>
      <c r="W424" s="74" t="str">
        <f t="shared" si="217"/>
        <v>O</v>
      </c>
      <c r="X424" s="74" t="str">
        <f t="shared" si="218"/>
        <v>T</v>
      </c>
      <c r="Y424" s="74"/>
      <c r="Z424" s="74">
        <v>59</v>
      </c>
      <c r="AB424" s="74" t="str">
        <f t="shared" si="219"/>
        <v>TOR/WAS</v>
      </c>
      <c r="AC424" s="74">
        <f t="shared" si="220"/>
        <v>2</v>
      </c>
      <c r="AD424" s="74">
        <f t="shared" si="221"/>
        <v>1</v>
      </c>
    </row>
    <row r="425" spans="1:30" x14ac:dyDescent="0.45">
      <c r="A425" s="74">
        <v>191221</v>
      </c>
      <c r="B425" s="75">
        <v>0.41666666666666669</v>
      </c>
      <c r="C425" s="74" t="s">
        <v>411</v>
      </c>
      <c r="D425" s="74" t="s">
        <v>399</v>
      </c>
      <c r="E425" s="74">
        <v>39</v>
      </c>
      <c r="F425" s="74">
        <v>31</v>
      </c>
      <c r="G425" s="74">
        <v>28</v>
      </c>
      <c r="H425" s="74">
        <v>31</v>
      </c>
      <c r="I425" s="74"/>
      <c r="J425" s="74">
        <v>20</v>
      </c>
      <c r="K425" s="74">
        <v>27</v>
      </c>
      <c r="L425" s="74">
        <v>27</v>
      </c>
      <c r="M425" s="74">
        <v>40</v>
      </c>
      <c r="N425" s="74" t="s">
        <v>427</v>
      </c>
      <c r="O425" s="74">
        <f t="shared" si="209"/>
        <v>129</v>
      </c>
      <c r="P425" s="74">
        <f t="shared" si="210"/>
        <v>114</v>
      </c>
      <c r="Q425" s="74" t="str">
        <f t="shared" si="211"/>
        <v>HW</v>
      </c>
      <c r="R425" s="74" t="str">
        <f t="shared" si="212"/>
        <v>HW</v>
      </c>
      <c r="S425" s="74" t="str">
        <f t="shared" si="213"/>
        <v>HW</v>
      </c>
      <c r="T425" s="74" t="str">
        <f t="shared" si="214"/>
        <v>HL</v>
      </c>
      <c r="U425" s="74" t="str">
        <f t="shared" si="215"/>
        <v>O</v>
      </c>
      <c r="V425" s="74" t="str">
        <f t="shared" si="216"/>
        <v>O</v>
      </c>
      <c r="W425" s="74" t="str">
        <f t="shared" si="217"/>
        <v>U</v>
      </c>
      <c r="X425" s="74" t="str">
        <f t="shared" si="218"/>
        <v>O</v>
      </c>
      <c r="Y425" s="74"/>
      <c r="Z425" s="74">
        <v>55.5</v>
      </c>
      <c r="AB425" s="74" t="str">
        <f t="shared" si="219"/>
        <v>MIA/NYK</v>
      </c>
      <c r="AC425" s="74">
        <f t="shared" si="220"/>
        <v>3</v>
      </c>
      <c r="AD425" s="74">
        <f t="shared" si="221"/>
        <v>1</v>
      </c>
    </row>
    <row r="426" spans="1:30" x14ac:dyDescent="0.45">
      <c r="A426" s="74">
        <v>191221</v>
      </c>
      <c r="B426" s="75">
        <v>0.41666666666666669</v>
      </c>
      <c r="C426" s="74" t="s">
        <v>401</v>
      </c>
      <c r="D426" s="74" t="s">
        <v>397</v>
      </c>
      <c r="E426" s="74">
        <v>28</v>
      </c>
      <c r="F426" s="74">
        <v>29</v>
      </c>
      <c r="G426" s="74">
        <v>20</v>
      </c>
      <c r="H426" s="74">
        <v>21</v>
      </c>
      <c r="I426" s="74"/>
      <c r="J426" s="74">
        <v>35</v>
      </c>
      <c r="K426" s="74">
        <v>28</v>
      </c>
      <c r="L426" s="74">
        <v>25</v>
      </c>
      <c r="M426" s="74">
        <v>29</v>
      </c>
      <c r="N426" s="74" t="s">
        <v>427</v>
      </c>
      <c r="O426" s="74">
        <f t="shared" si="209"/>
        <v>98</v>
      </c>
      <c r="P426" s="74">
        <f t="shared" si="210"/>
        <v>117</v>
      </c>
      <c r="Q426" s="74" t="str">
        <f t="shared" si="211"/>
        <v>HL</v>
      </c>
      <c r="R426" s="74" t="str">
        <f t="shared" si="212"/>
        <v>HW</v>
      </c>
      <c r="S426" s="74" t="str">
        <f t="shared" si="213"/>
        <v>HL</v>
      </c>
      <c r="T426" s="74" t="str">
        <f t="shared" si="214"/>
        <v>HL</v>
      </c>
      <c r="U426" s="74" t="str">
        <f t="shared" si="215"/>
        <v>O</v>
      </c>
      <c r="V426" s="74" t="str">
        <f t="shared" si="216"/>
        <v>O</v>
      </c>
      <c r="W426" s="74" t="str">
        <f t="shared" si="217"/>
        <v>U</v>
      </c>
      <c r="X426" s="74" t="str">
        <f t="shared" si="218"/>
        <v>U</v>
      </c>
      <c r="Y426" s="74"/>
      <c r="Z426" s="74">
        <v>54.5</v>
      </c>
      <c r="AB426" s="74" t="str">
        <f t="shared" si="219"/>
        <v>PHI/DAL</v>
      </c>
      <c r="AC426" s="74">
        <f t="shared" si="220"/>
        <v>2</v>
      </c>
      <c r="AD426" s="74">
        <f t="shared" si="221"/>
        <v>2</v>
      </c>
    </row>
    <row r="427" spans="1:30" x14ac:dyDescent="0.45">
      <c r="A427" s="74">
        <v>191221</v>
      </c>
      <c r="B427" s="75">
        <v>0.41666666666666669</v>
      </c>
      <c r="C427" s="74" t="s">
        <v>418</v>
      </c>
      <c r="D427" s="74" t="s">
        <v>404</v>
      </c>
      <c r="E427" s="74">
        <v>26</v>
      </c>
      <c r="F427" s="74">
        <v>31</v>
      </c>
      <c r="G427" s="74">
        <v>44</v>
      </c>
      <c r="H427" s="74">
        <v>25</v>
      </c>
      <c r="I427" s="74"/>
      <c r="J427" s="74">
        <v>23</v>
      </c>
      <c r="K427" s="74">
        <v>27</v>
      </c>
      <c r="L427" s="74">
        <v>41</v>
      </c>
      <c r="M427" s="74">
        <v>17</v>
      </c>
      <c r="N427" s="74" t="s">
        <v>427</v>
      </c>
      <c r="O427" s="74">
        <f t="shared" si="209"/>
        <v>126</v>
      </c>
      <c r="P427" s="74">
        <f t="shared" si="210"/>
        <v>108</v>
      </c>
      <c r="Q427" s="74" t="str">
        <f t="shared" si="211"/>
        <v>HW</v>
      </c>
      <c r="R427" s="74" t="str">
        <f t="shared" si="212"/>
        <v>HW</v>
      </c>
      <c r="S427" s="74" t="str">
        <f t="shared" si="213"/>
        <v>HW</v>
      </c>
      <c r="T427" s="74" t="str">
        <f t="shared" si="214"/>
        <v>HW</v>
      </c>
      <c r="U427" s="74" t="str">
        <f t="shared" si="215"/>
        <v>U</v>
      </c>
      <c r="V427" s="74" t="str">
        <f t="shared" si="216"/>
        <v>O</v>
      </c>
      <c r="W427" s="74" t="str">
        <f t="shared" si="217"/>
        <v>O</v>
      </c>
      <c r="X427" s="74" t="str">
        <f t="shared" si="218"/>
        <v>U</v>
      </c>
      <c r="Y427" s="74"/>
      <c r="Z427" s="74">
        <v>54</v>
      </c>
      <c r="AB427" s="74" t="str">
        <f t="shared" si="219"/>
        <v>OKC/PHO</v>
      </c>
      <c r="AC427" s="74">
        <f t="shared" si="220"/>
        <v>2</v>
      </c>
      <c r="AD427" s="74">
        <f t="shared" si="221"/>
        <v>2</v>
      </c>
    </row>
    <row r="428" spans="1:30" x14ac:dyDescent="0.45">
      <c r="A428" s="74">
        <v>191221</v>
      </c>
      <c r="B428" s="75">
        <v>0.45833333333333331</v>
      </c>
      <c r="C428" s="74" t="s">
        <v>408</v>
      </c>
      <c r="D428" s="74" t="s">
        <v>420</v>
      </c>
      <c r="E428" s="74">
        <v>33</v>
      </c>
      <c r="F428" s="74">
        <v>28</v>
      </c>
      <c r="G428" s="74">
        <v>21</v>
      </c>
      <c r="H428" s="74">
        <v>27</v>
      </c>
      <c r="I428" s="74"/>
      <c r="J428" s="74">
        <v>20</v>
      </c>
      <c r="K428" s="74">
        <v>31</v>
      </c>
      <c r="L428" s="74">
        <v>24</v>
      </c>
      <c r="M428" s="74">
        <v>25</v>
      </c>
      <c r="N428" s="74" t="s">
        <v>427</v>
      </c>
      <c r="O428" s="74">
        <f t="shared" si="209"/>
        <v>109</v>
      </c>
      <c r="P428" s="74">
        <f t="shared" si="210"/>
        <v>100</v>
      </c>
      <c r="Q428" s="74" t="str">
        <f t="shared" si="211"/>
        <v>HW</v>
      </c>
      <c r="R428" s="74" t="str">
        <f t="shared" si="212"/>
        <v>HL</v>
      </c>
      <c r="S428" s="74" t="str">
        <f t="shared" si="213"/>
        <v>HL</v>
      </c>
      <c r="T428" s="74" t="str">
        <f t="shared" si="214"/>
        <v>HW</v>
      </c>
      <c r="U428" s="74" t="str">
        <f t="shared" si="215"/>
        <v>U</v>
      </c>
      <c r="V428" s="74" t="str">
        <f t="shared" si="216"/>
        <v>O</v>
      </c>
      <c r="W428" s="74" t="str">
        <f t="shared" si="217"/>
        <v>U</v>
      </c>
      <c r="X428" s="74" t="str">
        <f t="shared" si="218"/>
        <v>U</v>
      </c>
      <c r="Y428" s="74"/>
      <c r="Z428" s="74">
        <v>55.5</v>
      </c>
      <c r="AB428" s="74" t="str">
        <f t="shared" si="219"/>
        <v>DEN/MIN</v>
      </c>
      <c r="AC428" s="74">
        <f t="shared" si="220"/>
        <v>1</v>
      </c>
      <c r="AD428" s="74">
        <f t="shared" si="221"/>
        <v>3</v>
      </c>
    </row>
    <row r="429" spans="1:30" x14ac:dyDescent="0.45">
      <c r="A429" s="74">
        <v>191221</v>
      </c>
      <c r="B429" s="75">
        <v>0.5</v>
      </c>
      <c r="C429" s="74" t="s">
        <v>417</v>
      </c>
      <c r="D429" s="74" t="s">
        <v>424</v>
      </c>
      <c r="E429" s="74">
        <v>31</v>
      </c>
      <c r="F429" s="74">
        <v>26</v>
      </c>
      <c r="G429" s="74">
        <v>36</v>
      </c>
      <c r="H429" s="74">
        <v>25</v>
      </c>
      <c r="I429" s="74"/>
      <c r="J429" s="74">
        <v>13</v>
      </c>
      <c r="K429" s="74">
        <v>31</v>
      </c>
      <c r="L429" s="74">
        <v>31</v>
      </c>
      <c r="M429" s="74">
        <v>28</v>
      </c>
      <c r="N429" s="74" t="s">
        <v>427</v>
      </c>
      <c r="O429" s="74">
        <f t="shared" si="209"/>
        <v>118</v>
      </c>
      <c r="P429" s="74">
        <f t="shared" si="210"/>
        <v>103</v>
      </c>
      <c r="Q429" s="74" t="str">
        <f t="shared" si="211"/>
        <v>HW</v>
      </c>
      <c r="R429" s="74" t="str">
        <f t="shared" si="212"/>
        <v>HL</v>
      </c>
      <c r="S429" s="74" t="str">
        <f t="shared" si="213"/>
        <v>HW</v>
      </c>
      <c r="T429" s="74" t="str">
        <f t="shared" si="214"/>
        <v>HL</v>
      </c>
      <c r="U429" s="74" t="str">
        <f t="shared" si="215"/>
        <v>U</v>
      </c>
      <c r="V429" s="74" t="str">
        <f t="shared" si="216"/>
        <v>O</v>
      </c>
      <c r="W429" s="74" t="str">
        <f t="shared" si="217"/>
        <v>O</v>
      </c>
      <c r="X429" s="74" t="str">
        <f t="shared" si="218"/>
        <v>U</v>
      </c>
      <c r="Y429" s="74"/>
      <c r="Z429" s="74">
        <v>56</v>
      </c>
      <c r="AB429" s="74" t="str">
        <f t="shared" si="219"/>
        <v>POR/ORL</v>
      </c>
      <c r="AC429" s="74">
        <f t="shared" si="220"/>
        <v>2</v>
      </c>
      <c r="AD429" s="74">
        <f t="shared" si="221"/>
        <v>2</v>
      </c>
    </row>
    <row r="430" spans="1:30" x14ac:dyDescent="0.45">
      <c r="A430" s="74">
        <v>191221</v>
      </c>
      <c r="B430" s="75">
        <v>0.52083333333333337</v>
      </c>
      <c r="C430" s="74" t="s">
        <v>425</v>
      </c>
      <c r="D430" s="74" t="s">
        <v>398</v>
      </c>
      <c r="E430" s="74">
        <v>31</v>
      </c>
      <c r="F430" s="74">
        <v>25</v>
      </c>
      <c r="G430" s="74">
        <v>22</v>
      </c>
      <c r="H430" s="74">
        <v>28</v>
      </c>
      <c r="I430" s="74"/>
      <c r="J430" s="74">
        <v>16</v>
      </c>
      <c r="K430" s="74">
        <v>28</v>
      </c>
      <c r="L430" s="74">
        <v>37</v>
      </c>
      <c r="M430" s="74">
        <v>21</v>
      </c>
      <c r="N430" s="74" t="s">
        <v>427</v>
      </c>
      <c r="O430" s="74">
        <f t="shared" si="209"/>
        <v>106</v>
      </c>
      <c r="P430" s="74">
        <f t="shared" si="210"/>
        <v>102</v>
      </c>
      <c r="Q430" s="74" t="str">
        <f t="shared" si="211"/>
        <v>HW</v>
      </c>
      <c r="R430" s="74" t="str">
        <f t="shared" si="212"/>
        <v>HL</v>
      </c>
      <c r="S430" s="74" t="str">
        <f t="shared" si="213"/>
        <v>HL</v>
      </c>
      <c r="T430" s="74" t="str">
        <f t="shared" si="214"/>
        <v>HW</v>
      </c>
      <c r="U430" s="74" t="str">
        <f t="shared" si="215"/>
        <v>U</v>
      </c>
      <c r="V430" s="74" t="str">
        <f t="shared" si="216"/>
        <v>U</v>
      </c>
      <c r="W430" s="74" t="str">
        <f t="shared" si="217"/>
        <v>O</v>
      </c>
      <c r="X430" s="74" t="str">
        <f t="shared" si="218"/>
        <v>U</v>
      </c>
      <c r="Y430" s="74"/>
      <c r="Z430" s="74">
        <v>57.5</v>
      </c>
      <c r="AB430" s="74" t="str">
        <f t="shared" si="219"/>
        <v>GS/NO</v>
      </c>
      <c r="AC430" s="74">
        <f t="shared" si="220"/>
        <v>1</v>
      </c>
      <c r="AD430" s="74">
        <f t="shared" si="221"/>
        <v>3</v>
      </c>
    </row>
    <row r="431" spans="1:30" x14ac:dyDescent="0.45">
      <c r="A431" s="49">
        <v>191222</v>
      </c>
      <c r="B431" s="51">
        <v>0.29166666666666669</v>
      </c>
      <c r="C431" s="50" t="s">
        <v>428</v>
      </c>
      <c r="D431" s="50" t="s">
        <v>405</v>
      </c>
      <c r="E431" s="101">
        <v>33</v>
      </c>
      <c r="F431" s="101">
        <v>31</v>
      </c>
      <c r="G431" s="101">
        <v>22</v>
      </c>
      <c r="H431" s="101">
        <v>21</v>
      </c>
      <c r="I431" s="101"/>
      <c r="J431" s="101">
        <v>31</v>
      </c>
      <c r="K431" s="101">
        <v>25</v>
      </c>
      <c r="L431" s="101">
        <v>28</v>
      </c>
      <c r="M431" s="101">
        <v>30</v>
      </c>
      <c r="N431" s="101" t="s">
        <v>427</v>
      </c>
      <c r="O431" s="186">
        <f t="shared" ref="O431:O494" si="222">SUM(E431:I431)</f>
        <v>107</v>
      </c>
      <c r="P431" s="186">
        <f t="shared" ref="P431:P494" si="223">SUM(J431:N431)</f>
        <v>114</v>
      </c>
      <c r="Q431" s="186" t="str">
        <f t="shared" ref="Q431:Q494" si="224">IF(E431=J431,"TT",IF(E431&gt;J431,"HW","HL"))</f>
        <v>HW</v>
      </c>
      <c r="R431" s="186" t="str">
        <f t="shared" ref="R431:R494" si="225">IF(F431=K431,"TT",IF(F431&gt;K431,"HW","HL"))</f>
        <v>HW</v>
      </c>
      <c r="S431" s="186" t="str">
        <f t="shared" ref="S431:S494" si="226">IF(G431=L431,"TT",IF(G431&gt;L431,"HW","HL"))</f>
        <v>HL</v>
      </c>
      <c r="T431" s="186" t="str">
        <f t="shared" ref="T431:T494" si="227">IF(H431=M431,"TT",IF(H431&gt;M431,"HW","HL"))</f>
        <v>HL</v>
      </c>
      <c r="U431" s="186" t="str">
        <f t="shared" ref="U431:U494" si="228">IF(SUM(E431,J431)=$Z431,"T",IF(SUM(E431,J431)&gt;$Z431,"O","U"))</f>
        <v>O</v>
      </c>
      <c r="V431" s="186" t="str">
        <f t="shared" ref="V431:V494" si="229">IF(SUM(F431,K431)=$Z431,"T",IF(SUM(F431,K431)&gt;$Z431,"O","U"))</f>
        <v>O</v>
      </c>
      <c r="W431" s="186" t="str">
        <f t="shared" ref="W431:W494" si="230">IF(SUM(G431,L431)=$Z431,"T",IF(SUM(G431,L431)&gt;$Z431,"O","U"))</f>
        <v>U</v>
      </c>
      <c r="X431" s="186" t="str">
        <f t="shared" ref="X431:X494" si="231">IF(SUM(H431,M431)=$Z431,"T",IF(SUM(H431,M431)&gt;$Z431,"O","U"))</f>
        <v>U</v>
      </c>
      <c r="Y431" s="186"/>
      <c r="Z431" s="98">
        <v>52.5</v>
      </c>
      <c r="AB431" s="90" t="str">
        <f t="shared" si="219"/>
        <v>CHA/UTA</v>
      </c>
      <c r="AC431" s="186">
        <f t="shared" ref="AC431:AC494" si="232">COUNTIF(U431:X431,"o")</f>
        <v>2</v>
      </c>
      <c r="AD431" s="186">
        <f t="shared" ref="AD431:AD494" si="233">COUNTIF(U431:X431,"u")</f>
        <v>2</v>
      </c>
    </row>
    <row r="432" spans="1:30" x14ac:dyDescent="0.45">
      <c r="A432" s="50">
        <v>191222</v>
      </c>
      <c r="B432" s="51">
        <v>0.33333333333333331</v>
      </c>
      <c r="C432" s="50" t="s">
        <v>407</v>
      </c>
      <c r="D432" s="50" t="s">
        <v>410</v>
      </c>
      <c r="E432" s="100">
        <v>34</v>
      </c>
      <c r="F432" s="100">
        <v>26</v>
      </c>
      <c r="G432" s="100">
        <v>25</v>
      </c>
      <c r="H432" s="100">
        <v>37</v>
      </c>
      <c r="I432" s="100"/>
      <c r="J432" s="100">
        <v>34</v>
      </c>
      <c r="K432" s="100">
        <v>39</v>
      </c>
      <c r="L432" s="100">
        <v>25</v>
      </c>
      <c r="M432" s="100">
        <v>14</v>
      </c>
      <c r="O432" s="186">
        <f t="shared" si="222"/>
        <v>122</v>
      </c>
      <c r="P432" s="186">
        <f t="shared" si="223"/>
        <v>112</v>
      </c>
      <c r="Q432" s="186" t="str">
        <f t="shared" si="224"/>
        <v>TT</v>
      </c>
      <c r="R432" s="186" t="str">
        <f t="shared" si="225"/>
        <v>HL</v>
      </c>
      <c r="S432" s="186" t="str">
        <f t="shared" si="226"/>
        <v>TT</v>
      </c>
      <c r="T432" s="186" t="str">
        <f t="shared" si="227"/>
        <v>HW</v>
      </c>
      <c r="U432" s="186" t="str">
        <f t="shared" si="228"/>
        <v>O</v>
      </c>
      <c r="V432" s="186" t="str">
        <f t="shared" si="229"/>
        <v>O</v>
      </c>
      <c r="W432" s="186" t="str">
        <f t="shared" si="230"/>
        <v>U</v>
      </c>
      <c r="X432" s="186" t="str">
        <f t="shared" si="231"/>
        <v>U</v>
      </c>
      <c r="Y432" s="186"/>
      <c r="Z432" s="98">
        <v>58</v>
      </c>
      <c r="AB432" s="90" t="str">
        <f t="shared" si="219"/>
        <v>BKN/ATL</v>
      </c>
      <c r="AC432" s="186">
        <f t="shared" si="232"/>
        <v>2</v>
      </c>
      <c r="AD432" s="186">
        <f t="shared" si="233"/>
        <v>2</v>
      </c>
    </row>
    <row r="433" spans="1:30" x14ac:dyDescent="0.45">
      <c r="A433" s="50">
        <v>191222</v>
      </c>
      <c r="B433" s="51">
        <v>0.375</v>
      </c>
      <c r="C433" s="50" t="s">
        <v>422</v>
      </c>
      <c r="D433" s="50" t="s">
        <v>412</v>
      </c>
      <c r="E433" s="102">
        <v>28</v>
      </c>
      <c r="F433" s="102">
        <v>31</v>
      </c>
      <c r="G433" s="102">
        <v>30</v>
      </c>
      <c r="H433" s="102">
        <v>18</v>
      </c>
      <c r="I433" s="102"/>
      <c r="J433" s="102">
        <v>25</v>
      </c>
      <c r="K433" s="102">
        <v>28</v>
      </c>
      <c r="L433" s="102">
        <v>40</v>
      </c>
      <c r="M433" s="102">
        <v>26</v>
      </c>
      <c r="N433" s="102" t="s">
        <v>427</v>
      </c>
      <c r="O433" s="186">
        <f t="shared" si="222"/>
        <v>107</v>
      </c>
      <c r="P433" s="186">
        <f t="shared" si="223"/>
        <v>119</v>
      </c>
      <c r="Q433" s="186" t="str">
        <f t="shared" si="224"/>
        <v>HW</v>
      </c>
      <c r="R433" s="186" t="str">
        <f t="shared" si="225"/>
        <v>HW</v>
      </c>
      <c r="S433" s="186" t="str">
        <f t="shared" si="226"/>
        <v>HL</v>
      </c>
      <c r="T433" s="186" t="str">
        <f t="shared" si="227"/>
        <v>HL</v>
      </c>
      <c r="U433" s="186" t="str">
        <f t="shared" si="228"/>
        <v>O</v>
      </c>
      <c r="V433" s="186" t="str">
        <f t="shared" si="229"/>
        <v>O</v>
      </c>
      <c r="W433" s="186" t="str">
        <f t="shared" si="230"/>
        <v>O</v>
      </c>
      <c r="X433" s="186" t="str">
        <f t="shared" si="231"/>
        <v>U</v>
      </c>
      <c r="Y433" s="186"/>
      <c r="Z433" s="98">
        <v>52.5</v>
      </c>
      <c r="AB433" s="90" t="str">
        <f t="shared" si="219"/>
        <v>DET/CHI</v>
      </c>
      <c r="AC433" s="186">
        <f t="shared" si="232"/>
        <v>3</v>
      </c>
      <c r="AD433" s="186">
        <f t="shared" si="233"/>
        <v>1</v>
      </c>
    </row>
    <row r="434" spans="1:30" x14ac:dyDescent="0.45">
      <c r="A434" s="50">
        <v>191222</v>
      </c>
      <c r="B434" s="51">
        <v>0.375</v>
      </c>
      <c r="C434" s="50" t="s">
        <v>401</v>
      </c>
      <c r="D434" s="50" t="s">
        <v>414</v>
      </c>
      <c r="E434" s="105">
        <v>32</v>
      </c>
      <c r="F434" s="105">
        <v>33</v>
      </c>
      <c r="G434" s="105">
        <v>23</v>
      </c>
      <c r="H434" s="105">
        <v>37</v>
      </c>
      <c r="I434" s="105"/>
      <c r="J434" s="105">
        <v>25</v>
      </c>
      <c r="K434" s="105">
        <v>28</v>
      </c>
      <c r="L434" s="105">
        <v>27</v>
      </c>
      <c r="M434" s="105">
        <v>28</v>
      </c>
      <c r="N434" s="105" t="s">
        <v>427</v>
      </c>
      <c r="O434" s="186">
        <f t="shared" si="222"/>
        <v>125</v>
      </c>
      <c r="P434" s="186">
        <f t="shared" si="223"/>
        <v>108</v>
      </c>
      <c r="Q434" s="186" t="str">
        <f t="shared" si="224"/>
        <v>HW</v>
      </c>
      <c r="R434" s="186" t="str">
        <f t="shared" si="225"/>
        <v>HW</v>
      </c>
      <c r="S434" s="186" t="str">
        <f t="shared" si="226"/>
        <v>HL</v>
      </c>
      <c r="T434" s="186" t="str">
        <f t="shared" si="227"/>
        <v>HW</v>
      </c>
      <c r="U434" s="186" t="str">
        <f t="shared" si="228"/>
        <v>T</v>
      </c>
      <c r="V434" s="186" t="str">
        <f t="shared" si="229"/>
        <v>O</v>
      </c>
      <c r="W434" s="186" t="str">
        <f t="shared" si="230"/>
        <v>U</v>
      </c>
      <c r="X434" s="186" t="str">
        <f t="shared" si="231"/>
        <v>O</v>
      </c>
      <c r="Y434" s="186"/>
      <c r="Z434" s="98">
        <v>57</v>
      </c>
      <c r="AB434" s="90" t="str">
        <f t="shared" si="219"/>
        <v>PHI/WAS</v>
      </c>
      <c r="AC434" s="186">
        <f t="shared" si="232"/>
        <v>2</v>
      </c>
      <c r="AD434" s="186">
        <f t="shared" si="233"/>
        <v>1</v>
      </c>
    </row>
    <row r="435" spans="1:30" x14ac:dyDescent="0.45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04">
        <v>23</v>
      </c>
      <c r="F435" s="104">
        <v>31</v>
      </c>
      <c r="G435" s="104">
        <v>16</v>
      </c>
      <c r="H435" s="104">
        <v>32</v>
      </c>
      <c r="I435" s="104"/>
      <c r="J435" s="104">
        <v>37</v>
      </c>
      <c r="K435" s="104">
        <v>31</v>
      </c>
      <c r="L435" s="104">
        <v>27</v>
      </c>
      <c r="M435" s="104">
        <v>28</v>
      </c>
      <c r="N435" s="104" t="s">
        <v>427</v>
      </c>
      <c r="O435" s="186">
        <f t="shared" si="222"/>
        <v>102</v>
      </c>
      <c r="P435" s="186">
        <f t="shared" si="223"/>
        <v>123</v>
      </c>
      <c r="Q435" s="186" t="str">
        <f t="shared" si="224"/>
        <v>HL</v>
      </c>
      <c r="R435" s="186" t="str">
        <f t="shared" si="225"/>
        <v>TT</v>
      </c>
      <c r="S435" s="186" t="str">
        <f t="shared" si="226"/>
        <v>HL</v>
      </c>
      <c r="T435" s="186" t="str">
        <f t="shared" si="227"/>
        <v>HW</v>
      </c>
      <c r="U435" s="186" t="str">
        <f t="shared" si="228"/>
        <v>O</v>
      </c>
      <c r="V435" s="186" t="str">
        <f t="shared" si="229"/>
        <v>O</v>
      </c>
      <c r="W435" s="186" t="str">
        <f t="shared" si="230"/>
        <v>U</v>
      </c>
      <c r="X435" s="186" t="str">
        <f t="shared" si="231"/>
        <v>O</v>
      </c>
      <c r="Y435" s="186"/>
      <c r="Z435" s="98">
        <v>57</v>
      </c>
      <c r="AB435" s="90" t="str">
        <f t="shared" si="219"/>
        <v>NYK/MIL</v>
      </c>
      <c r="AC435" s="186">
        <f t="shared" si="232"/>
        <v>3</v>
      </c>
      <c r="AD435" s="186">
        <f t="shared" si="233"/>
        <v>1</v>
      </c>
    </row>
    <row r="436" spans="1:30" x14ac:dyDescent="0.45">
      <c r="A436" s="50">
        <v>191222</v>
      </c>
      <c r="B436" s="51">
        <v>0.41666666666666669</v>
      </c>
      <c r="C436" s="50" t="s">
        <v>406</v>
      </c>
      <c r="D436" s="50" t="s">
        <v>416</v>
      </c>
      <c r="E436" s="103">
        <v>23</v>
      </c>
      <c r="F436" s="103">
        <v>37</v>
      </c>
      <c r="G436" s="103">
        <v>31</v>
      </c>
      <c r="H436" s="103">
        <v>28</v>
      </c>
      <c r="I436" s="103"/>
      <c r="J436" s="103">
        <v>21</v>
      </c>
      <c r="K436" s="103">
        <v>29</v>
      </c>
      <c r="L436" s="103">
        <v>28</v>
      </c>
      <c r="M436" s="103">
        <v>37</v>
      </c>
      <c r="N436" s="103" t="s">
        <v>427</v>
      </c>
      <c r="O436" s="186">
        <f t="shared" si="222"/>
        <v>119</v>
      </c>
      <c r="P436" s="186">
        <f t="shared" si="223"/>
        <v>115</v>
      </c>
      <c r="Q436" s="186" t="str">
        <f t="shared" si="224"/>
        <v>HW</v>
      </c>
      <c r="R436" s="186" t="str">
        <f t="shared" si="225"/>
        <v>HW</v>
      </c>
      <c r="S436" s="186" t="str">
        <f t="shared" si="226"/>
        <v>HW</v>
      </c>
      <c r="T436" s="186" t="str">
        <f t="shared" si="227"/>
        <v>HL</v>
      </c>
      <c r="U436" s="186" t="str">
        <f t="shared" si="228"/>
        <v>U</v>
      </c>
      <c r="V436" s="186" t="str">
        <f t="shared" si="229"/>
        <v>O</v>
      </c>
      <c r="W436" s="186" t="str">
        <f t="shared" si="230"/>
        <v>O</v>
      </c>
      <c r="X436" s="186" t="str">
        <f t="shared" si="231"/>
        <v>O</v>
      </c>
      <c r="Y436" s="186"/>
      <c r="Z436" s="98">
        <v>55.5</v>
      </c>
      <c r="AB436" s="90" t="str">
        <f t="shared" si="219"/>
        <v>MEM/SAC</v>
      </c>
      <c r="AC436" s="186">
        <f t="shared" si="232"/>
        <v>3</v>
      </c>
      <c r="AD436" s="186">
        <f t="shared" si="233"/>
        <v>1</v>
      </c>
    </row>
    <row r="437" spans="1:30" x14ac:dyDescent="0.45">
      <c r="A437" s="50">
        <v>191222</v>
      </c>
      <c r="B437" s="51">
        <v>0.4375</v>
      </c>
      <c r="C437" s="50" t="s">
        <v>426</v>
      </c>
      <c r="D437" s="50" t="s">
        <v>415</v>
      </c>
      <c r="E437" s="108">
        <v>31</v>
      </c>
      <c r="F437" s="108">
        <v>30</v>
      </c>
      <c r="G437" s="108">
        <v>22</v>
      </c>
      <c r="H437" s="108">
        <v>26</v>
      </c>
      <c r="I437" s="108"/>
      <c r="J437" s="108">
        <v>33</v>
      </c>
      <c r="K437" s="108">
        <v>39</v>
      </c>
      <c r="L437" s="108">
        <v>38</v>
      </c>
      <c r="M437" s="108">
        <v>24</v>
      </c>
      <c r="N437" s="108" t="s">
        <v>427</v>
      </c>
      <c r="O437" s="186">
        <f t="shared" si="222"/>
        <v>109</v>
      </c>
      <c r="P437" s="186">
        <f t="shared" si="223"/>
        <v>134</v>
      </c>
      <c r="Q437" s="186" t="str">
        <f t="shared" si="224"/>
        <v>HL</v>
      </c>
      <c r="R437" s="186" t="str">
        <f t="shared" si="225"/>
        <v>HL</v>
      </c>
      <c r="S437" s="186" t="str">
        <f t="shared" si="226"/>
        <v>HL</v>
      </c>
      <c r="T437" s="186" t="str">
        <f t="shared" si="227"/>
        <v>HW</v>
      </c>
      <c r="U437" s="186" t="str">
        <f t="shared" si="228"/>
        <v>O</v>
      </c>
      <c r="V437" s="186" t="str">
        <f t="shared" si="229"/>
        <v>O</v>
      </c>
      <c r="W437" s="186" t="str">
        <f t="shared" si="230"/>
        <v>O</v>
      </c>
      <c r="X437" s="186" t="str">
        <f t="shared" si="231"/>
        <v>U</v>
      </c>
      <c r="Y437" s="186"/>
      <c r="Z437" s="98">
        <v>56.5</v>
      </c>
      <c r="AB437" s="90" t="str">
        <f t="shared" si="219"/>
        <v>SAS/LAC</v>
      </c>
      <c r="AC437" s="186">
        <f t="shared" si="232"/>
        <v>3</v>
      </c>
      <c r="AD437" s="186">
        <f t="shared" si="233"/>
        <v>1</v>
      </c>
    </row>
    <row r="438" spans="1:30" x14ac:dyDescent="0.45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06">
        <v>35</v>
      </c>
      <c r="F438" s="106">
        <v>30</v>
      </c>
      <c r="G438" s="106">
        <v>30</v>
      </c>
      <c r="H438" s="106">
        <v>30</v>
      </c>
      <c r="I438" s="106"/>
      <c r="J438" s="106">
        <v>36</v>
      </c>
      <c r="K438" s="106">
        <v>34</v>
      </c>
      <c r="L438" s="106">
        <v>36</v>
      </c>
      <c r="M438" s="106">
        <v>33</v>
      </c>
      <c r="N438" s="106" t="s">
        <v>427</v>
      </c>
      <c r="O438" s="186">
        <f t="shared" si="222"/>
        <v>125</v>
      </c>
      <c r="P438" s="186">
        <f t="shared" si="223"/>
        <v>139</v>
      </c>
      <c r="Q438" s="186" t="str">
        <f t="shared" si="224"/>
        <v>HL</v>
      </c>
      <c r="R438" s="186" t="str">
        <f t="shared" si="225"/>
        <v>HL</v>
      </c>
      <c r="S438" s="186" t="str">
        <f t="shared" si="226"/>
        <v>HL</v>
      </c>
      <c r="T438" s="186" t="str">
        <f t="shared" si="227"/>
        <v>HL</v>
      </c>
      <c r="U438" s="186" t="str">
        <f t="shared" si="228"/>
        <v>O</v>
      </c>
      <c r="V438" s="186" t="str">
        <f t="shared" si="229"/>
        <v>O</v>
      </c>
      <c r="W438" s="186" t="str">
        <f t="shared" si="230"/>
        <v>O</v>
      </c>
      <c r="X438" s="186" t="str">
        <f t="shared" si="231"/>
        <v>O</v>
      </c>
      <c r="Y438" s="186"/>
      <c r="Z438" s="98">
        <v>59</v>
      </c>
      <c r="AB438" s="90" t="str">
        <f t="shared" si="219"/>
        <v>PHO/HOU</v>
      </c>
      <c r="AC438" s="186">
        <f t="shared" si="232"/>
        <v>4</v>
      </c>
      <c r="AD438" s="186">
        <f t="shared" si="233"/>
        <v>0</v>
      </c>
    </row>
    <row r="439" spans="1:30" x14ac:dyDescent="0.45">
      <c r="A439" s="50">
        <v>191222</v>
      </c>
      <c r="B439" s="51">
        <v>0.5</v>
      </c>
      <c r="C439" s="50" t="s">
        <v>417</v>
      </c>
      <c r="D439" s="50" t="s">
        <v>420</v>
      </c>
      <c r="E439" s="107">
        <v>27</v>
      </c>
      <c r="F439" s="107">
        <v>34</v>
      </c>
      <c r="G439" s="107">
        <v>22</v>
      </c>
      <c r="H439" s="107">
        <v>30</v>
      </c>
      <c r="I439" s="107"/>
      <c r="J439" s="107">
        <v>23</v>
      </c>
      <c r="K439" s="107">
        <v>29</v>
      </c>
      <c r="L439" s="107">
        <v>28</v>
      </c>
      <c r="M439" s="107">
        <v>26</v>
      </c>
      <c r="N439" s="107" t="s">
        <v>427</v>
      </c>
      <c r="O439" s="186">
        <f t="shared" si="222"/>
        <v>113</v>
      </c>
      <c r="P439" s="186">
        <f t="shared" si="223"/>
        <v>106</v>
      </c>
      <c r="Q439" s="186" t="str">
        <f t="shared" si="224"/>
        <v>HW</v>
      </c>
      <c r="R439" s="186" t="str">
        <f t="shared" si="225"/>
        <v>HW</v>
      </c>
      <c r="S439" s="186" t="str">
        <f t="shared" si="226"/>
        <v>HL</v>
      </c>
      <c r="T439" s="186" t="str">
        <f t="shared" si="227"/>
        <v>HW</v>
      </c>
      <c r="U439" s="186" t="str">
        <f t="shared" si="228"/>
        <v>U</v>
      </c>
      <c r="V439" s="186" t="str">
        <f t="shared" si="229"/>
        <v>O</v>
      </c>
      <c r="W439" s="186" t="str">
        <f t="shared" si="230"/>
        <v>U</v>
      </c>
      <c r="X439" s="186" t="str">
        <f t="shared" si="231"/>
        <v>U</v>
      </c>
      <c r="Y439" s="186"/>
      <c r="Z439" s="98">
        <v>57</v>
      </c>
      <c r="AB439" s="90" t="str">
        <f t="shared" si="219"/>
        <v>POR/MIN</v>
      </c>
      <c r="AC439" s="186">
        <f t="shared" si="232"/>
        <v>1</v>
      </c>
      <c r="AD439" s="186">
        <f t="shared" si="233"/>
        <v>3</v>
      </c>
    </row>
    <row r="440" spans="1:30" x14ac:dyDescent="0.45">
      <c r="A440" s="90">
        <v>191223</v>
      </c>
      <c r="B440" s="91">
        <v>0.22916666666666666</v>
      </c>
      <c r="C440" s="90" t="s">
        <v>413</v>
      </c>
      <c r="D440" s="90" t="s">
        <v>397</v>
      </c>
      <c r="E440" s="113">
        <v>20</v>
      </c>
      <c r="F440" s="113">
        <v>22</v>
      </c>
      <c r="G440" s="113">
        <v>21</v>
      </c>
      <c r="H440" s="113">
        <v>47</v>
      </c>
      <c r="I440" s="113"/>
      <c r="J440" s="113">
        <v>17</v>
      </c>
      <c r="K440" s="113">
        <v>34</v>
      </c>
      <c r="L440" s="113">
        <v>35</v>
      </c>
      <c r="M440" s="113">
        <v>21</v>
      </c>
      <c r="N440" s="113" t="s">
        <v>427</v>
      </c>
      <c r="O440" s="186">
        <f t="shared" si="222"/>
        <v>110</v>
      </c>
      <c r="P440" s="186">
        <f t="shared" si="223"/>
        <v>107</v>
      </c>
      <c r="Q440" s="186" t="str">
        <f t="shared" si="224"/>
        <v>HW</v>
      </c>
      <c r="R440" s="186" t="str">
        <f t="shared" si="225"/>
        <v>HL</v>
      </c>
      <c r="S440" s="186" t="str">
        <f t="shared" si="226"/>
        <v>HL</v>
      </c>
      <c r="T440" s="186" t="str">
        <f t="shared" si="227"/>
        <v>HW</v>
      </c>
      <c r="U440" s="186" t="str">
        <f t="shared" si="228"/>
        <v>U</v>
      </c>
      <c r="V440" s="186" t="str">
        <f t="shared" si="229"/>
        <v>O</v>
      </c>
      <c r="W440" s="186" t="str">
        <f t="shared" si="230"/>
        <v>O</v>
      </c>
      <c r="X440" s="186" t="str">
        <f t="shared" si="231"/>
        <v>O</v>
      </c>
      <c r="Y440" s="186"/>
      <c r="Z440" s="98">
        <v>55</v>
      </c>
      <c r="AB440" s="90" t="str">
        <f t="shared" si="219"/>
        <v>TOR/DAL</v>
      </c>
      <c r="AC440" s="186">
        <f t="shared" si="232"/>
        <v>3</v>
      </c>
      <c r="AD440" s="186">
        <f t="shared" si="233"/>
        <v>1</v>
      </c>
    </row>
    <row r="441" spans="1:30" x14ac:dyDescent="0.45">
      <c r="A441" s="90">
        <v>191223</v>
      </c>
      <c r="B441" s="91">
        <v>0.33333333333333331</v>
      </c>
      <c r="C441" s="90" t="s">
        <v>421</v>
      </c>
      <c r="D441" s="90" t="s">
        <v>409</v>
      </c>
      <c r="E441" s="109">
        <v>30</v>
      </c>
      <c r="F441" s="109">
        <v>29</v>
      </c>
      <c r="G441" s="109">
        <v>25</v>
      </c>
      <c r="H441" s="109">
        <v>35</v>
      </c>
      <c r="I441" s="109"/>
      <c r="J441" s="109">
        <v>37</v>
      </c>
      <c r="K441" s="109">
        <v>19</v>
      </c>
      <c r="L441" s="109">
        <v>21</v>
      </c>
      <c r="M441" s="109">
        <v>16</v>
      </c>
      <c r="N441" s="109" t="s">
        <v>427</v>
      </c>
      <c r="O441" s="186">
        <f t="shared" si="222"/>
        <v>119</v>
      </c>
      <c r="P441" s="186">
        <f t="shared" si="223"/>
        <v>93</v>
      </c>
      <c r="Q441" s="186" t="str">
        <f t="shared" si="224"/>
        <v>HL</v>
      </c>
      <c r="R441" s="186" t="str">
        <f t="shared" si="225"/>
        <v>HW</v>
      </c>
      <c r="S441" s="186" t="str">
        <f t="shared" si="226"/>
        <v>HW</v>
      </c>
      <c r="T441" s="186" t="str">
        <f t="shared" si="227"/>
        <v>HW</v>
      </c>
      <c r="U441" s="186" t="str">
        <f t="shared" si="228"/>
        <v>O</v>
      </c>
      <c r="V441" s="186" t="str">
        <f t="shared" si="229"/>
        <v>U</v>
      </c>
      <c r="W441" s="186" t="str">
        <f t="shared" si="230"/>
        <v>U</v>
      </c>
      <c r="X441" s="186" t="str">
        <f t="shared" si="231"/>
        <v>U</v>
      </c>
      <c r="Y441" s="186"/>
      <c r="Z441" s="98">
        <v>52.5</v>
      </c>
      <c r="AB441" s="90" t="str">
        <f t="shared" si="219"/>
        <v>BOS/CHA</v>
      </c>
      <c r="AC441" s="186">
        <f t="shared" si="232"/>
        <v>1</v>
      </c>
      <c r="AD441" s="186">
        <f t="shared" si="233"/>
        <v>3</v>
      </c>
    </row>
    <row r="442" spans="1:30" x14ac:dyDescent="0.45">
      <c r="A442" s="90">
        <v>191223</v>
      </c>
      <c r="B442" s="91">
        <v>0.375</v>
      </c>
      <c r="C442" s="90" t="s">
        <v>423</v>
      </c>
      <c r="D442" s="90" t="s">
        <v>400</v>
      </c>
      <c r="E442" s="111">
        <v>21</v>
      </c>
      <c r="F442" s="111">
        <v>38</v>
      </c>
      <c r="G442" s="111">
        <v>24</v>
      </c>
      <c r="H442" s="111">
        <v>34</v>
      </c>
      <c r="I442" s="111"/>
      <c r="J442" s="111">
        <v>22</v>
      </c>
      <c r="K442" s="111">
        <v>33</v>
      </c>
      <c r="L442" s="111">
        <v>18</v>
      </c>
      <c r="M442" s="111">
        <v>16</v>
      </c>
      <c r="O442" s="186">
        <f t="shared" si="222"/>
        <v>117</v>
      </c>
      <c r="P442" s="186">
        <f t="shared" si="223"/>
        <v>89</v>
      </c>
      <c r="Q442" s="186" t="str">
        <f t="shared" si="224"/>
        <v>HL</v>
      </c>
      <c r="R442" s="186" t="str">
        <f t="shared" si="225"/>
        <v>HW</v>
      </c>
      <c r="S442" s="186" t="str">
        <f t="shared" si="226"/>
        <v>HW</v>
      </c>
      <c r="T442" s="186" t="str">
        <f t="shared" si="227"/>
        <v>HW</v>
      </c>
      <c r="U442" s="186" t="str">
        <f t="shared" si="228"/>
        <v>U</v>
      </c>
      <c r="V442" s="186" t="str">
        <f t="shared" si="229"/>
        <v>O</v>
      </c>
      <c r="W442" s="186" t="str">
        <f t="shared" si="230"/>
        <v>U</v>
      </c>
      <c r="X442" s="186" t="str">
        <f t="shared" si="231"/>
        <v>U</v>
      </c>
      <c r="Y442" s="186"/>
      <c r="Z442" s="98">
        <v>55.5</v>
      </c>
      <c r="AB442" s="90" t="str">
        <f t="shared" si="219"/>
        <v>MIL/IND</v>
      </c>
      <c r="AC442" s="186">
        <f t="shared" si="232"/>
        <v>1</v>
      </c>
      <c r="AD442" s="186">
        <f t="shared" si="233"/>
        <v>3</v>
      </c>
    </row>
    <row r="443" spans="1:30" x14ac:dyDescent="0.45">
      <c r="A443" s="90">
        <v>191223</v>
      </c>
      <c r="B443" s="91">
        <v>0.375</v>
      </c>
      <c r="C443" s="90" t="s">
        <v>418</v>
      </c>
      <c r="D443" s="90" t="s">
        <v>415</v>
      </c>
      <c r="E443" s="112">
        <v>27</v>
      </c>
      <c r="F443" s="112">
        <v>30</v>
      </c>
      <c r="G443" s="112">
        <v>29</v>
      </c>
      <c r="H443" s="112">
        <v>32</v>
      </c>
      <c r="I443" s="112"/>
      <c r="J443" s="112">
        <v>33</v>
      </c>
      <c r="K443" s="112">
        <v>30</v>
      </c>
      <c r="L443" s="112">
        <v>26</v>
      </c>
      <c r="M443" s="112">
        <v>23</v>
      </c>
      <c r="N443" s="112" t="s">
        <v>427</v>
      </c>
      <c r="O443" s="186">
        <f t="shared" si="222"/>
        <v>118</v>
      </c>
      <c r="P443" s="186">
        <f t="shared" si="223"/>
        <v>112</v>
      </c>
      <c r="Q443" s="186" t="str">
        <f t="shared" si="224"/>
        <v>HL</v>
      </c>
      <c r="R443" s="186" t="str">
        <f t="shared" si="225"/>
        <v>TT</v>
      </c>
      <c r="S443" s="186" t="str">
        <f t="shared" si="226"/>
        <v>HW</v>
      </c>
      <c r="T443" s="186" t="str">
        <f t="shared" si="227"/>
        <v>HW</v>
      </c>
      <c r="U443" s="186" t="str">
        <f t="shared" si="228"/>
        <v>O</v>
      </c>
      <c r="V443" s="186" t="str">
        <f t="shared" si="229"/>
        <v>O</v>
      </c>
      <c r="W443" s="186" t="str">
        <f t="shared" si="230"/>
        <v>U</v>
      </c>
      <c r="X443" s="186" t="str">
        <f t="shared" si="231"/>
        <v>U</v>
      </c>
      <c r="Y443" s="186"/>
      <c r="Z443" s="98">
        <v>56</v>
      </c>
      <c r="AB443" s="90" t="str">
        <f t="shared" si="219"/>
        <v>OKC/LAC</v>
      </c>
      <c r="AC443" s="186">
        <f t="shared" si="232"/>
        <v>2</v>
      </c>
      <c r="AD443" s="186">
        <f t="shared" si="233"/>
        <v>2</v>
      </c>
    </row>
    <row r="444" spans="1:30" x14ac:dyDescent="0.45">
      <c r="A444" s="90">
        <v>191223</v>
      </c>
      <c r="B444" s="91">
        <v>0.47916666666666669</v>
      </c>
      <c r="C444" s="90" t="s">
        <v>419</v>
      </c>
      <c r="D444" s="90" t="s">
        <v>408</v>
      </c>
      <c r="E444" s="110">
        <v>28</v>
      </c>
      <c r="F444" s="110">
        <v>25</v>
      </c>
      <c r="G444" s="110">
        <v>25</v>
      </c>
      <c r="H444" s="110">
        <v>26</v>
      </c>
      <c r="I444" s="110"/>
      <c r="J444" s="110">
        <v>23</v>
      </c>
      <c r="K444" s="110">
        <v>32</v>
      </c>
      <c r="L444" s="110">
        <v>36</v>
      </c>
      <c r="M444" s="110">
        <v>37</v>
      </c>
      <c r="N444" s="110" t="s">
        <v>427</v>
      </c>
      <c r="O444" s="186">
        <f t="shared" si="222"/>
        <v>104</v>
      </c>
      <c r="P444" s="186">
        <f t="shared" si="223"/>
        <v>128</v>
      </c>
      <c r="Q444" s="186" t="str">
        <f t="shared" si="224"/>
        <v>HW</v>
      </c>
      <c r="R444" s="186" t="str">
        <f t="shared" si="225"/>
        <v>HL</v>
      </c>
      <c r="S444" s="186" t="str">
        <f t="shared" si="226"/>
        <v>HL</v>
      </c>
      <c r="T444" s="186" t="str">
        <f t="shared" si="227"/>
        <v>HL</v>
      </c>
      <c r="U444" s="186" t="str">
        <f t="shared" si="228"/>
        <v>U</v>
      </c>
      <c r="V444" s="186" t="str">
        <f t="shared" si="229"/>
        <v>O</v>
      </c>
      <c r="W444" s="186" t="str">
        <f t="shared" si="230"/>
        <v>O</v>
      </c>
      <c r="X444" s="186" t="str">
        <f t="shared" si="231"/>
        <v>O</v>
      </c>
      <c r="Y444" s="186"/>
      <c r="Z444" s="98">
        <v>52</v>
      </c>
      <c r="AB444" s="90" t="str">
        <f t="shared" si="219"/>
        <v>LAL/DEN</v>
      </c>
      <c r="AC444" s="186">
        <f t="shared" si="232"/>
        <v>3</v>
      </c>
      <c r="AD444" s="186">
        <f t="shared" si="233"/>
        <v>1</v>
      </c>
    </row>
    <row r="445" spans="1:30" x14ac:dyDescent="0.45">
      <c r="A445" s="90">
        <v>191224</v>
      </c>
      <c r="B445" s="91">
        <v>0.375</v>
      </c>
      <c r="C445" s="90" t="s">
        <v>402</v>
      </c>
      <c r="D445" s="90" t="s">
        <v>410</v>
      </c>
      <c r="E445" s="114">
        <v>42</v>
      </c>
      <c r="F445" s="114">
        <v>29</v>
      </c>
      <c r="G445" s="114">
        <v>23</v>
      </c>
      <c r="H445" s="114">
        <v>27</v>
      </c>
      <c r="I445" s="114"/>
      <c r="J445" s="114">
        <v>32</v>
      </c>
      <c r="K445" s="114">
        <v>32</v>
      </c>
      <c r="L445" s="114">
        <v>30</v>
      </c>
      <c r="M445" s="114">
        <v>24</v>
      </c>
      <c r="N445" s="114" t="s">
        <v>427</v>
      </c>
      <c r="O445" s="186">
        <f t="shared" si="222"/>
        <v>121</v>
      </c>
      <c r="P445" s="186">
        <f t="shared" si="223"/>
        <v>118</v>
      </c>
      <c r="Q445" s="186" t="str">
        <f t="shared" si="224"/>
        <v>HW</v>
      </c>
      <c r="R445" s="186" t="str">
        <f t="shared" si="225"/>
        <v>HL</v>
      </c>
      <c r="S445" s="186" t="str">
        <f t="shared" si="226"/>
        <v>HL</v>
      </c>
      <c r="T445" s="186" t="str">
        <f t="shared" si="227"/>
        <v>HW</v>
      </c>
      <c r="U445" s="186" t="str">
        <f t="shared" si="228"/>
        <v>O</v>
      </c>
      <c r="V445" s="186" t="str">
        <f t="shared" si="229"/>
        <v>O</v>
      </c>
      <c r="W445" s="186" t="str">
        <f t="shared" si="230"/>
        <v>U</v>
      </c>
      <c r="X445" s="186" t="str">
        <f t="shared" si="231"/>
        <v>U</v>
      </c>
      <c r="Y445" s="186"/>
      <c r="Z445" s="98">
        <v>57.5</v>
      </c>
      <c r="AB445" s="90" t="str">
        <f t="shared" si="219"/>
        <v>CLE/ATL</v>
      </c>
      <c r="AC445" s="186">
        <f t="shared" si="232"/>
        <v>2</v>
      </c>
      <c r="AD445" s="186">
        <f t="shared" si="233"/>
        <v>2</v>
      </c>
    </row>
    <row r="446" spans="1:30" x14ac:dyDescent="0.45">
      <c r="A446" s="90">
        <v>191224</v>
      </c>
      <c r="B446" s="91">
        <v>0.375</v>
      </c>
      <c r="C446" s="90" t="s">
        <v>422</v>
      </c>
      <c r="D446" s="90" t="s">
        <v>401</v>
      </c>
      <c r="E446" s="115">
        <v>23</v>
      </c>
      <c r="F446" s="115">
        <v>29</v>
      </c>
      <c r="G446" s="115">
        <v>34</v>
      </c>
      <c r="H446" s="115">
        <v>23</v>
      </c>
      <c r="I446" s="115"/>
      <c r="J446" s="115">
        <v>30</v>
      </c>
      <c r="K446" s="115">
        <v>30</v>
      </c>
      <c r="L446" s="115">
        <v>34</v>
      </c>
      <c r="M446" s="115">
        <v>31</v>
      </c>
      <c r="N446" s="115" t="s">
        <v>427</v>
      </c>
      <c r="O446" s="186">
        <f t="shared" si="222"/>
        <v>109</v>
      </c>
      <c r="P446" s="186">
        <f t="shared" si="223"/>
        <v>125</v>
      </c>
      <c r="Q446" s="186" t="str">
        <f t="shared" si="224"/>
        <v>HL</v>
      </c>
      <c r="R446" s="186" t="str">
        <f t="shared" si="225"/>
        <v>HL</v>
      </c>
      <c r="S446" s="186" t="str">
        <f t="shared" si="226"/>
        <v>TT</v>
      </c>
      <c r="T446" s="186" t="str">
        <f t="shared" si="227"/>
        <v>HL</v>
      </c>
      <c r="U446" s="186" t="str">
        <f t="shared" si="228"/>
        <v>U</v>
      </c>
      <c r="V446" s="186" t="str">
        <f t="shared" si="229"/>
        <v>O</v>
      </c>
      <c r="W446" s="186" t="str">
        <f t="shared" si="230"/>
        <v>O</v>
      </c>
      <c r="X446" s="186" t="str">
        <f t="shared" si="231"/>
        <v>T</v>
      </c>
      <c r="Y446" s="186"/>
      <c r="Z446" s="98">
        <v>54</v>
      </c>
      <c r="AB446" s="90" t="str">
        <f t="shared" si="219"/>
        <v>DET/PHI</v>
      </c>
      <c r="AC446" s="186">
        <f t="shared" si="232"/>
        <v>2</v>
      </c>
      <c r="AD446" s="186">
        <f t="shared" si="233"/>
        <v>1</v>
      </c>
    </row>
    <row r="447" spans="1:30" x14ac:dyDescent="0.45">
      <c r="A447" s="90">
        <v>191224</v>
      </c>
      <c r="B447" s="91">
        <v>0.375</v>
      </c>
      <c r="C447" s="90" t="s">
        <v>400</v>
      </c>
      <c r="D447" s="90" t="s">
        <v>413</v>
      </c>
      <c r="E447" s="117">
        <v>30</v>
      </c>
      <c r="F447" s="117">
        <v>24</v>
      </c>
      <c r="G447" s="117">
        <v>24</v>
      </c>
      <c r="H447" s="117">
        <v>29</v>
      </c>
      <c r="I447" s="117">
        <v>13</v>
      </c>
      <c r="J447" s="117">
        <v>19</v>
      </c>
      <c r="K447" s="117">
        <v>25</v>
      </c>
      <c r="L447" s="117">
        <v>35</v>
      </c>
      <c r="M447" s="117">
        <v>28</v>
      </c>
      <c r="N447" s="117">
        <v>8</v>
      </c>
      <c r="O447" s="186">
        <f t="shared" si="222"/>
        <v>120</v>
      </c>
      <c r="P447" s="186">
        <f t="shared" si="223"/>
        <v>115</v>
      </c>
      <c r="Q447" s="186" t="str">
        <f t="shared" si="224"/>
        <v>HW</v>
      </c>
      <c r="R447" s="186" t="str">
        <f t="shared" si="225"/>
        <v>HL</v>
      </c>
      <c r="S447" s="186" t="str">
        <f t="shared" si="226"/>
        <v>HL</v>
      </c>
      <c r="T447" s="186" t="str">
        <f t="shared" si="227"/>
        <v>HW</v>
      </c>
      <c r="U447" s="186" t="str">
        <f t="shared" si="228"/>
        <v>U</v>
      </c>
      <c r="V447" s="186" t="str">
        <f t="shared" si="229"/>
        <v>U</v>
      </c>
      <c r="W447" s="186" t="str">
        <f t="shared" si="230"/>
        <v>O</v>
      </c>
      <c r="X447" s="186" t="str">
        <f t="shared" si="231"/>
        <v>O</v>
      </c>
      <c r="Y447" s="186"/>
      <c r="Z447" s="98">
        <v>52.5</v>
      </c>
      <c r="AB447" s="90" t="str">
        <f t="shared" si="219"/>
        <v>IND/TOR</v>
      </c>
      <c r="AC447" s="186">
        <f t="shared" si="232"/>
        <v>2</v>
      </c>
      <c r="AD447" s="186">
        <f t="shared" si="233"/>
        <v>2</v>
      </c>
    </row>
    <row r="448" spans="1:30" x14ac:dyDescent="0.45">
      <c r="A448" s="90">
        <v>191224</v>
      </c>
      <c r="B448" s="91">
        <v>0.375</v>
      </c>
      <c r="C448" s="90" t="s">
        <v>399</v>
      </c>
      <c r="D448" s="90" t="s">
        <v>414</v>
      </c>
      <c r="E448" s="120">
        <v>37</v>
      </c>
      <c r="F448" s="120">
        <v>27</v>
      </c>
      <c r="G448" s="120">
        <v>27</v>
      </c>
      <c r="H448" s="120">
        <v>24</v>
      </c>
      <c r="I448" s="120"/>
      <c r="J448" s="120">
        <v>32</v>
      </c>
      <c r="K448" s="120">
        <v>31</v>
      </c>
      <c r="L448" s="120">
        <v>31</v>
      </c>
      <c r="M448" s="120">
        <v>27</v>
      </c>
      <c r="N448" s="120" t="s">
        <v>427</v>
      </c>
      <c r="O448" s="186">
        <f t="shared" si="222"/>
        <v>115</v>
      </c>
      <c r="P448" s="186">
        <f t="shared" si="223"/>
        <v>121</v>
      </c>
      <c r="Q448" s="186" t="str">
        <f t="shared" si="224"/>
        <v>HW</v>
      </c>
      <c r="R448" s="186" t="str">
        <f t="shared" si="225"/>
        <v>HL</v>
      </c>
      <c r="S448" s="186" t="str">
        <f t="shared" si="226"/>
        <v>HL</v>
      </c>
      <c r="T448" s="186" t="str">
        <f t="shared" si="227"/>
        <v>HL</v>
      </c>
      <c r="U448" s="186" t="str">
        <f t="shared" si="228"/>
        <v>O</v>
      </c>
      <c r="V448" s="186" t="str">
        <f t="shared" si="229"/>
        <v>O</v>
      </c>
      <c r="W448" s="186" t="str">
        <f t="shared" si="230"/>
        <v>O</v>
      </c>
      <c r="X448" s="186" t="str">
        <f t="shared" si="231"/>
        <v>U</v>
      </c>
      <c r="Y448" s="186"/>
      <c r="Z448" s="98">
        <v>57</v>
      </c>
      <c r="AB448" s="90" t="str">
        <f t="shared" si="219"/>
        <v>NYK/WAS</v>
      </c>
      <c r="AC448" s="186">
        <f t="shared" si="232"/>
        <v>3</v>
      </c>
      <c r="AD448" s="186">
        <f t="shared" si="233"/>
        <v>1</v>
      </c>
    </row>
    <row r="449" spans="1:30" x14ac:dyDescent="0.45">
      <c r="A449" s="90">
        <v>191224</v>
      </c>
      <c r="B449" s="91">
        <v>0.375</v>
      </c>
      <c r="C449" s="90" t="s">
        <v>424</v>
      </c>
      <c r="D449" s="90" t="s">
        <v>412</v>
      </c>
      <c r="E449" s="121">
        <v>28</v>
      </c>
      <c r="F449" s="121">
        <v>23</v>
      </c>
      <c r="G449" s="121">
        <v>32</v>
      </c>
      <c r="H449" s="121">
        <v>20</v>
      </c>
      <c r="I449" s="121"/>
      <c r="J449" s="121">
        <v>28</v>
      </c>
      <c r="K449" s="121">
        <v>26</v>
      </c>
      <c r="L449" s="121">
        <v>27</v>
      </c>
      <c r="M449" s="121">
        <v>14</v>
      </c>
      <c r="N449" s="121" t="s">
        <v>427</v>
      </c>
      <c r="O449" s="186">
        <f t="shared" si="222"/>
        <v>103</v>
      </c>
      <c r="P449" s="186">
        <f t="shared" si="223"/>
        <v>95</v>
      </c>
      <c r="Q449" s="186" t="str">
        <f t="shared" si="224"/>
        <v>TT</v>
      </c>
      <c r="R449" s="186" t="str">
        <f t="shared" si="225"/>
        <v>HL</v>
      </c>
      <c r="S449" s="186" t="str">
        <f t="shared" si="226"/>
        <v>HW</v>
      </c>
      <c r="T449" s="186" t="str">
        <f t="shared" si="227"/>
        <v>HW</v>
      </c>
      <c r="U449" s="186" t="str">
        <f t="shared" si="228"/>
        <v>O</v>
      </c>
      <c r="V449" s="186" t="str">
        <f t="shared" si="229"/>
        <v>U</v>
      </c>
      <c r="W449" s="186" t="str">
        <f t="shared" si="230"/>
        <v>O</v>
      </c>
      <c r="X449" s="186" t="str">
        <f t="shared" si="231"/>
        <v>U</v>
      </c>
      <c r="Y449" s="186"/>
      <c r="Z449" s="98">
        <v>51.5</v>
      </c>
      <c r="AB449" s="90" t="str">
        <f t="shared" si="219"/>
        <v>ORL/CHI</v>
      </c>
      <c r="AC449" s="186">
        <f t="shared" si="232"/>
        <v>2</v>
      </c>
      <c r="AD449" s="186">
        <f t="shared" si="233"/>
        <v>2</v>
      </c>
    </row>
    <row r="450" spans="1:30" x14ac:dyDescent="0.45">
      <c r="A450" s="90">
        <v>191224</v>
      </c>
      <c r="B450" s="91">
        <v>0.39583333333333331</v>
      </c>
      <c r="C450" s="90" t="s">
        <v>411</v>
      </c>
      <c r="D450" s="90" t="s">
        <v>405</v>
      </c>
      <c r="E450" s="119">
        <v>32</v>
      </c>
      <c r="F450" s="119">
        <v>21</v>
      </c>
      <c r="G450" s="119">
        <v>23</v>
      </c>
      <c r="H450" s="119">
        <v>31</v>
      </c>
      <c r="I450" s="119"/>
      <c r="J450" s="119">
        <v>28</v>
      </c>
      <c r="K450" s="119">
        <v>24</v>
      </c>
      <c r="L450" s="119">
        <v>29</v>
      </c>
      <c r="M450" s="119">
        <v>23</v>
      </c>
      <c r="N450" s="119" t="s">
        <v>427</v>
      </c>
      <c r="O450" s="186">
        <f t="shared" si="222"/>
        <v>107</v>
      </c>
      <c r="P450" s="186">
        <f t="shared" si="223"/>
        <v>104</v>
      </c>
      <c r="Q450" s="186" t="str">
        <f t="shared" si="224"/>
        <v>HW</v>
      </c>
      <c r="R450" s="186" t="str">
        <f t="shared" si="225"/>
        <v>HL</v>
      </c>
      <c r="S450" s="186" t="str">
        <f t="shared" si="226"/>
        <v>HL</v>
      </c>
      <c r="T450" s="186" t="str">
        <f t="shared" si="227"/>
        <v>HW</v>
      </c>
      <c r="U450" s="186" t="str">
        <f t="shared" si="228"/>
        <v>O</v>
      </c>
      <c r="V450" s="186" t="str">
        <f t="shared" si="229"/>
        <v>U</v>
      </c>
      <c r="W450" s="186" t="str">
        <f t="shared" si="230"/>
        <v>U</v>
      </c>
      <c r="X450" s="186" t="str">
        <f t="shared" si="231"/>
        <v>O</v>
      </c>
      <c r="Y450" s="186"/>
      <c r="Z450" s="98">
        <v>53.5</v>
      </c>
      <c r="AB450" s="90" t="str">
        <f t="shared" si="219"/>
        <v>MIA/UTA</v>
      </c>
      <c r="AC450" s="186">
        <f t="shared" si="232"/>
        <v>2</v>
      </c>
      <c r="AD450" s="186">
        <f t="shared" si="233"/>
        <v>2</v>
      </c>
    </row>
    <row r="451" spans="1:30" x14ac:dyDescent="0.45">
      <c r="A451" s="90">
        <v>191224</v>
      </c>
      <c r="B451" s="91">
        <v>0.41666666666666669</v>
      </c>
      <c r="C451" s="90" t="s">
        <v>406</v>
      </c>
      <c r="D451" s="90" t="s">
        <v>426</v>
      </c>
      <c r="E451" s="118">
        <v>31</v>
      </c>
      <c r="F451" s="118">
        <v>30</v>
      </c>
      <c r="G451" s="118">
        <v>28</v>
      </c>
      <c r="H451" s="118">
        <v>26</v>
      </c>
      <c r="I451" s="118"/>
      <c r="J451" s="118">
        <v>46</v>
      </c>
      <c r="K451" s="118">
        <v>26</v>
      </c>
      <c r="L451" s="118">
        <v>36</v>
      </c>
      <c r="M451" s="118">
        <v>37</v>
      </c>
      <c r="N451" s="118" t="s">
        <v>427</v>
      </c>
      <c r="O451" s="186">
        <f t="shared" si="222"/>
        <v>115</v>
      </c>
      <c r="P451" s="186">
        <f t="shared" si="223"/>
        <v>145</v>
      </c>
      <c r="Q451" s="186" t="str">
        <f t="shared" si="224"/>
        <v>HL</v>
      </c>
      <c r="R451" s="186" t="str">
        <f t="shared" si="225"/>
        <v>HW</v>
      </c>
      <c r="S451" s="186" t="str">
        <f t="shared" si="226"/>
        <v>HL</v>
      </c>
      <c r="T451" s="186" t="str">
        <f t="shared" si="227"/>
        <v>HL</v>
      </c>
      <c r="U451" s="186" t="str">
        <f t="shared" si="228"/>
        <v>O</v>
      </c>
      <c r="V451" s="186" t="str">
        <f t="shared" si="229"/>
        <v>U</v>
      </c>
      <c r="W451" s="186" t="str">
        <f t="shared" si="230"/>
        <v>O</v>
      </c>
      <c r="X451" s="186" t="str">
        <f t="shared" si="231"/>
        <v>O</v>
      </c>
      <c r="Y451" s="186"/>
      <c r="Z451" s="98">
        <v>57</v>
      </c>
      <c r="AB451" s="90" t="str">
        <f t="shared" si="219"/>
        <v>MEM/SAS</v>
      </c>
      <c r="AC451" s="186">
        <f t="shared" si="232"/>
        <v>3</v>
      </c>
      <c r="AD451" s="186">
        <f t="shared" si="233"/>
        <v>1</v>
      </c>
    </row>
    <row r="452" spans="1:30" x14ac:dyDescent="0.45">
      <c r="A452" s="90">
        <v>191224</v>
      </c>
      <c r="B452" s="91">
        <v>0.45833333333333331</v>
      </c>
      <c r="C452" s="90" t="s">
        <v>404</v>
      </c>
      <c r="D452" s="90" t="s">
        <v>408</v>
      </c>
      <c r="E452" s="122">
        <v>22</v>
      </c>
      <c r="F452" s="122">
        <v>27</v>
      </c>
      <c r="G452" s="122">
        <v>32</v>
      </c>
      <c r="H452" s="122">
        <v>30</v>
      </c>
      <c r="I452" s="122"/>
      <c r="J452" s="122">
        <v>34</v>
      </c>
      <c r="K452" s="122">
        <v>22</v>
      </c>
      <c r="L452" s="122">
        <v>26</v>
      </c>
      <c r="M452" s="122">
        <v>31</v>
      </c>
      <c r="N452" s="122" t="s">
        <v>427</v>
      </c>
      <c r="O452" s="186">
        <f t="shared" si="222"/>
        <v>111</v>
      </c>
      <c r="P452" s="186">
        <f t="shared" si="223"/>
        <v>113</v>
      </c>
      <c r="Q452" s="186" t="str">
        <f t="shared" si="224"/>
        <v>HL</v>
      </c>
      <c r="R452" s="186" t="str">
        <f t="shared" si="225"/>
        <v>HW</v>
      </c>
      <c r="S452" s="186" t="str">
        <f t="shared" si="226"/>
        <v>HW</v>
      </c>
      <c r="T452" s="186" t="str">
        <f t="shared" si="227"/>
        <v>HL</v>
      </c>
      <c r="U452" s="186" t="str">
        <f t="shared" si="228"/>
        <v>O</v>
      </c>
      <c r="V452" s="186" t="str">
        <f t="shared" si="229"/>
        <v>U</v>
      </c>
      <c r="W452" s="186" t="str">
        <f t="shared" si="230"/>
        <v>O</v>
      </c>
      <c r="X452" s="186" t="str">
        <f t="shared" si="231"/>
        <v>O</v>
      </c>
      <c r="Y452" s="186"/>
      <c r="Z452" s="98">
        <v>55</v>
      </c>
      <c r="AB452" s="90" t="str">
        <f t="shared" si="219"/>
        <v>PHO/DEN</v>
      </c>
      <c r="AC452" s="186">
        <f t="shared" si="232"/>
        <v>3</v>
      </c>
      <c r="AD452" s="186">
        <f t="shared" si="233"/>
        <v>1</v>
      </c>
    </row>
    <row r="453" spans="1:30" x14ac:dyDescent="0.45">
      <c r="A453" s="90">
        <v>191224</v>
      </c>
      <c r="B453" s="91">
        <v>0.5</v>
      </c>
      <c r="C453" s="90" t="s">
        <v>417</v>
      </c>
      <c r="D453" s="90" t="s">
        <v>398</v>
      </c>
      <c r="E453" s="123">
        <v>31</v>
      </c>
      <c r="F453" s="123">
        <v>25</v>
      </c>
      <c r="G453" s="123">
        <v>21</v>
      </c>
      <c r="H453" s="123">
        <v>17</v>
      </c>
      <c r="I453" s="123"/>
      <c r="J453" s="123">
        <v>31</v>
      </c>
      <c r="K453" s="123">
        <v>23</v>
      </c>
      <c r="L453" s="123">
        <v>28</v>
      </c>
      <c r="M453" s="123">
        <v>20</v>
      </c>
      <c r="N453" s="123" t="s">
        <v>427</v>
      </c>
      <c r="O453" s="186">
        <f t="shared" si="222"/>
        <v>94</v>
      </c>
      <c r="P453" s="186">
        <f t="shared" si="223"/>
        <v>102</v>
      </c>
      <c r="Q453" s="186" t="str">
        <f t="shared" si="224"/>
        <v>TT</v>
      </c>
      <c r="R453" s="186" t="str">
        <f t="shared" si="225"/>
        <v>HW</v>
      </c>
      <c r="S453" s="186" t="str">
        <f t="shared" si="226"/>
        <v>HL</v>
      </c>
      <c r="T453" s="186" t="str">
        <f t="shared" si="227"/>
        <v>HL</v>
      </c>
      <c r="U453" s="186" t="str">
        <f t="shared" si="228"/>
        <v>O</v>
      </c>
      <c r="V453" s="186" t="str">
        <f t="shared" si="229"/>
        <v>U</v>
      </c>
      <c r="W453" s="186" t="str">
        <f t="shared" si="230"/>
        <v>U</v>
      </c>
      <c r="X453" s="186" t="str">
        <f t="shared" si="231"/>
        <v>U</v>
      </c>
      <c r="Y453" s="186"/>
      <c r="Z453" s="98">
        <v>57.5</v>
      </c>
      <c r="AB453" s="90" t="str">
        <f t="shared" si="219"/>
        <v>POR/NO</v>
      </c>
      <c r="AC453" s="186">
        <f t="shared" si="232"/>
        <v>1</v>
      </c>
      <c r="AD453" s="186">
        <f t="shared" si="233"/>
        <v>3</v>
      </c>
    </row>
    <row r="454" spans="1:30" x14ac:dyDescent="0.45">
      <c r="A454" s="90">
        <v>191224</v>
      </c>
      <c r="B454" s="91">
        <v>0.5</v>
      </c>
      <c r="C454" s="90" t="s">
        <v>416</v>
      </c>
      <c r="D454" s="90" t="s">
        <v>403</v>
      </c>
      <c r="E454" s="124">
        <v>21</v>
      </c>
      <c r="F454" s="124">
        <v>36</v>
      </c>
      <c r="G454" s="124">
        <v>22</v>
      </c>
      <c r="H454" s="124">
        <v>25</v>
      </c>
      <c r="I454" s="124"/>
      <c r="J454" s="124">
        <v>37</v>
      </c>
      <c r="K454" s="124">
        <v>28</v>
      </c>
      <c r="L454" s="124">
        <v>32</v>
      </c>
      <c r="M454" s="124">
        <v>16</v>
      </c>
      <c r="N454" s="124" t="s">
        <v>427</v>
      </c>
      <c r="O454" s="186">
        <f t="shared" si="222"/>
        <v>104</v>
      </c>
      <c r="P454" s="186">
        <f t="shared" si="223"/>
        <v>113</v>
      </c>
      <c r="Q454" s="186" t="str">
        <f t="shared" si="224"/>
        <v>HL</v>
      </c>
      <c r="R454" s="186" t="str">
        <f t="shared" si="225"/>
        <v>HW</v>
      </c>
      <c r="S454" s="186" t="str">
        <f t="shared" si="226"/>
        <v>HL</v>
      </c>
      <c r="T454" s="186" t="str">
        <f t="shared" si="227"/>
        <v>HW</v>
      </c>
      <c r="U454" s="186" t="str">
        <f t="shared" si="228"/>
        <v>O</v>
      </c>
      <c r="V454" s="186" t="str">
        <f t="shared" si="229"/>
        <v>O</v>
      </c>
      <c r="W454" s="186" t="str">
        <f t="shared" si="230"/>
        <v>U</v>
      </c>
      <c r="X454" s="186" t="str">
        <f t="shared" si="231"/>
        <v>U</v>
      </c>
      <c r="Y454" s="186"/>
      <c r="Z454" s="98">
        <v>57.5</v>
      </c>
      <c r="AB454" s="90" t="str">
        <f t="shared" si="219"/>
        <v>SAC/HOU</v>
      </c>
      <c r="AC454" s="186">
        <f t="shared" si="232"/>
        <v>2</v>
      </c>
      <c r="AD454" s="186">
        <f t="shared" si="233"/>
        <v>2</v>
      </c>
    </row>
    <row r="455" spans="1:30" x14ac:dyDescent="0.45">
      <c r="A455" s="90">
        <v>191224</v>
      </c>
      <c r="B455" s="91">
        <v>0.52083333333333337</v>
      </c>
      <c r="C455" s="90" t="s">
        <v>425</v>
      </c>
      <c r="D455" s="90" t="s">
        <v>420</v>
      </c>
      <c r="E455" s="116">
        <v>22</v>
      </c>
      <c r="F455" s="116">
        <v>35</v>
      </c>
      <c r="G455" s="116">
        <v>27</v>
      </c>
      <c r="H455" s="116">
        <v>29</v>
      </c>
      <c r="I455" s="116"/>
      <c r="J455" s="116">
        <v>22</v>
      </c>
      <c r="K455" s="116">
        <v>21</v>
      </c>
      <c r="L455" s="116">
        <v>24</v>
      </c>
      <c r="M455" s="116">
        <v>37</v>
      </c>
      <c r="N455" s="116" t="s">
        <v>427</v>
      </c>
      <c r="O455" s="186">
        <f t="shared" si="222"/>
        <v>113</v>
      </c>
      <c r="P455" s="186">
        <f t="shared" si="223"/>
        <v>104</v>
      </c>
      <c r="Q455" s="186" t="str">
        <f t="shared" si="224"/>
        <v>TT</v>
      </c>
      <c r="R455" s="186" t="str">
        <f t="shared" si="225"/>
        <v>HW</v>
      </c>
      <c r="S455" s="186" t="str">
        <f t="shared" si="226"/>
        <v>HW</v>
      </c>
      <c r="T455" s="186" t="str">
        <f t="shared" si="227"/>
        <v>HL</v>
      </c>
      <c r="U455" s="186" t="str">
        <f t="shared" si="228"/>
        <v>U</v>
      </c>
      <c r="V455" s="186" t="str">
        <f t="shared" si="229"/>
        <v>T</v>
      </c>
      <c r="W455" s="186" t="str">
        <f t="shared" si="230"/>
        <v>U</v>
      </c>
      <c r="X455" s="186" t="str">
        <f t="shared" si="231"/>
        <v>O</v>
      </c>
      <c r="Y455" s="186"/>
      <c r="Z455" s="98">
        <v>56</v>
      </c>
      <c r="AB455" s="90" t="str">
        <f t="shared" si="219"/>
        <v>GS/MIN</v>
      </c>
      <c r="AC455" s="186">
        <f t="shared" si="232"/>
        <v>1</v>
      </c>
      <c r="AD455" s="186">
        <f t="shared" si="233"/>
        <v>2</v>
      </c>
    </row>
    <row r="456" spans="1:30" x14ac:dyDescent="0.45">
      <c r="A456" s="90">
        <v>191226</v>
      </c>
      <c r="B456" s="91">
        <v>8.3333333333333329E-2</v>
      </c>
      <c r="C456" s="90" t="s">
        <v>413</v>
      </c>
      <c r="D456" s="90" t="s">
        <v>421</v>
      </c>
      <c r="E456" s="129">
        <v>19</v>
      </c>
      <c r="F456" s="129">
        <v>28</v>
      </c>
      <c r="G456" s="129">
        <v>22</v>
      </c>
      <c r="H456" s="129">
        <v>33</v>
      </c>
      <c r="I456" s="129"/>
      <c r="J456" s="129">
        <v>28</v>
      </c>
      <c r="K456" s="129">
        <v>27</v>
      </c>
      <c r="L456" s="129">
        <v>33</v>
      </c>
      <c r="M456" s="129">
        <v>30</v>
      </c>
      <c r="N456" s="129" t="s">
        <v>427</v>
      </c>
      <c r="O456" s="186">
        <f t="shared" si="222"/>
        <v>102</v>
      </c>
      <c r="P456" s="186">
        <f t="shared" si="223"/>
        <v>118</v>
      </c>
      <c r="Q456" s="186" t="str">
        <f t="shared" si="224"/>
        <v>HL</v>
      </c>
      <c r="R456" s="186" t="str">
        <f t="shared" si="225"/>
        <v>HW</v>
      </c>
      <c r="S456" s="186" t="str">
        <f t="shared" si="226"/>
        <v>HL</v>
      </c>
      <c r="T456" s="186" t="str">
        <f t="shared" si="227"/>
        <v>HW</v>
      </c>
      <c r="U456" s="186" t="str">
        <f t="shared" si="228"/>
        <v>U</v>
      </c>
      <c r="V456" s="186" t="str">
        <f t="shared" si="229"/>
        <v>O</v>
      </c>
      <c r="W456" s="186" t="str">
        <f t="shared" si="230"/>
        <v>O</v>
      </c>
      <c r="X456" s="186" t="str">
        <f t="shared" si="231"/>
        <v>O</v>
      </c>
      <c r="Y456" s="186"/>
      <c r="Z456" s="90">
        <v>53</v>
      </c>
      <c r="AB456" s="90" t="str">
        <f t="shared" si="219"/>
        <v>TOR/BOS</v>
      </c>
      <c r="AC456" s="186">
        <f t="shared" si="232"/>
        <v>3</v>
      </c>
      <c r="AD456" s="186">
        <f t="shared" si="233"/>
        <v>1</v>
      </c>
    </row>
    <row r="457" spans="1:30" x14ac:dyDescent="0.45">
      <c r="A457" s="90">
        <v>191226</v>
      </c>
      <c r="B457" s="91">
        <v>0.1875</v>
      </c>
      <c r="C457" s="90" t="s">
        <v>401</v>
      </c>
      <c r="D457" s="90" t="s">
        <v>423</v>
      </c>
      <c r="E457" s="128">
        <v>38</v>
      </c>
      <c r="F457" s="128">
        <v>31</v>
      </c>
      <c r="G457" s="128">
        <v>31</v>
      </c>
      <c r="H457" s="128">
        <v>21</v>
      </c>
      <c r="I457" s="128"/>
      <c r="J457" s="128">
        <v>30</v>
      </c>
      <c r="K457" s="128">
        <v>18</v>
      </c>
      <c r="L457" s="128">
        <v>25</v>
      </c>
      <c r="M457" s="128">
        <v>36</v>
      </c>
      <c r="N457" s="128" t="s">
        <v>427</v>
      </c>
      <c r="O457" s="186">
        <f t="shared" si="222"/>
        <v>121</v>
      </c>
      <c r="P457" s="186">
        <f t="shared" si="223"/>
        <v>109</v>
      </c>
      <c r="Q457" s="186" t="str">
        <f t="shared" si="224"/>
        <v>HW</v>
      </c>
      <c r="R457" s="186" t="str">
        <f t="shared" si="225"/>
        <v>HW</v>
      </c>
      <c r="S457" s="186" t="str">
        <f t="shared" si="226"/>
        <v>HW</v>
      </c>
      <c r="T457" s="186" t="str">
        <f t="shared" si="227"/>
        <v>HL</v>
      </c>
      <c r="U457" s="186" t="str">
        <f t="shared" si="228"/>
        <v>O</v>
      </c>
      <c r="V457" s="186" t="str">
        <f t="shared" si="229"/>
        <v>U</v>
      </c>
      <c r="W457" s="186" t="str">
        <f t="shared" si="230"/>
        <v>O</v>
      </c>
      <c r="X457" s="186" t="str">
        <f t="shared" si="231"/>
        <v>O</v>
      </c>
      <c r="Y457" s="186"/>
      <c r="Z457" s="90">
        <v>54.5</v>
      </c>
      <c r="AB457" s="90" t="str">
        <f t="shared" si="219"/>
        <v>PHI/MIL</v>
      </c>
      <c r="AC457" s="186">
        <f t="shared" si="232"/>
        <v>3</v>
      </c>
      <c r="AD457" s="186">
        <f t="shared" si="233"/>
        <v>1</v>
      </c>
    </row>
    <row r="458" spans="1:30" x14ac:dyDescent="0.45">
      <c r="A458" s="90">
        <v>191226</v>
      </c>
      <c r="B458" s="91">
        <v>0.29166666666666669</v>
      </c>
      <c r="C458" s="90" t="s">
        <v>425</v>
      </c>
      <c r="D458" s="90" t="s">
        <v>403</v>
      </c>
      <c r="E458" s="126">
        <v>28</v>
      </c>
      <c r="F458" s="126">
        <v>36</v>
      </c>
      <c r="G458" s="126">
        <v>28</v>
      </c>
      <c r="H458" s="126">
        <v>24</v>
      </c>
      <c r="I458" s="126"/>
      <c r="J458" s="126">
        <v>29</v>
      </c>
      <c r="K458" s="126">
        <v>39</v>
      </c>
      <c r="L458" s="126">
        <v>19</v>
      </c>
      <c r="M458" s="126">
        <v>17</v>
      </c>
      <c r="N458" s="126" t="s">
        <v>427</v>
      </c>
      <c r="O458" s="186">
        <f t="shared" si="222"/>
        <v>116</v>
      </c>
      <c r="P458" s="186">
        <f t="shared" si="223"/>
        <v>104</v>
      </c>
      <c r="Q458" s="186" t="str">
        <f t="shared" si="224"/>
        <v>HL</v>
      </c>
      <c r="R458" s="186" t="str">
        <f t="shared" si="225"/>
        <v>HL</v>
      </c>
      <c r="S458" s="186" t="str">
        <f t="shared" si="226"/>
        <v>HW</v>
      </c>
      <c r="T458" s="186" t="str">
        <f t="shared" si="227"/>
        <v>HW</v>
      </c>
      <c r="U458" s="186" t="str">
        <f t="shared" si="228"/>
        <v>U</v>
      </c>
      <c r="V458" s="186" t="str">
        <f t="shared" si="229"/>
        <v>O</v>
      </c>
      <c r="W458" s="186" t="str">
        <f t="shared" si="230"/>
        <v>U</v>
      </c>
      <c r="X458" s="186" t="str">
        <f t="shared" si="231"/>
        <v>U</v>
      </c>
      <c r="Y458" s="186"/>
      <c r="Z458" s="90">
        <v>59</v>
      </c>
      <c r="AB458" s="90" t="str">
        <f t="shared" si="219"/>
        <v>GS/HOU</v>
      </c>
      <c r="AC458" s="186">
        <f t="shared" si="232"/>
        <v>1</v>
      </c>
      <c r="AD458" s="186">
        <f t="shared" si="233"/>
        <v>3</v>
      </c>
    </row>
    <row r="459" spans="1:30" x14ac:dyDescent="0.45">
      <c r="A459" s="90">
        <v>191226</v>
      </c>
      <c r="B459" s="91">
        <v>0.41666666666666669</v>
      </c>
      <c r="C459" s="90" t="s">
        <v>419</v>
      </c>
      <c r="D459" s="90" t="s">
        <v>415</v>
      </c>
      <c r="E459" s="127">
        <v>33</v>
      </c>
      <c r="F459" s="127">
        <v>30</v>
      </c>
      <c r="G459" s="127">
        <v>23</v>
      </c>
      <c r="H459" s="127">
        <v>20</v>
      </c>
      <c r="I459" s="127"/>
      <c r="J459" s="127">
        <v>31</v>
      </c>
      <c r="K459" s="127">
        <v>20</v>
      </c>
      <c r="L459" s="127">
        <v>35</v>
      </c>
      <c r="M459" s="127">
        <v>25</v>
      </c>
      <c r="N459" s="127" t="s">
        <v>427</v>
      </c>
      <c r="O459" s="186">
        <f t="shared" si="222"/>
        <v>106</v>
      </c>
      <c r="P459" s="186">
        <f t="shared" si="223"/>
        <v>111</v>
      </c>
      <c r="Q459" s="186" t="str">
        <f t="shared" si="224"/>
        <v>HW</v>
      </c>
      <c r="R459" s="186" t="str">
        <f t="shared" si="225"/>
        <v>HW</v>
      </c>
      <c r="S459" s="186" t="str">
        <f t="shared" si="226"/>
        <v>HL</v>
      </c>
      <c r="T459" s="186" t="str">
        <f t="shared" si="227"/>
        <v>HL</v>
      </c>
      <c r="U459" s="186" t="str">
        <f t="shared" si="228"/>
        <v>O</v>
      </c>
      <c r="V459" s="186" t="str">
        <f t="shared" si="229"/>
        <v>U</v>
      </c>
      <c r="W459" s="186" t="str">
        <f t="shared" si="230"/>
        <v>T</v>
      </c>
      <c r="X459" s="186" t="str">
        <f t="shared" si="231"/>
        <v>U</v>
      </c>
      <c r="Y459" s="186"/>
      <c r="Z459" s="90">
        <v>58</v>
      </c>
      <c r="AB459" s="90" t="str">
        <f t="shared" si="219"/>
        <v>LAL/LAC</v>
      </c>
      <c r="AC459" s="186">
        <f t="shared" si="232"/>
        <v>1</v>
      </c>
      <c r="AD459" s="186">
        <f t="shared" si="233"/>
        <v>2</v>
      </c>
    </row>
    <row r="460" spans="1:30" x14ac:dyDescent="0.45">
      <c r="A460" s="90">
        <v>191226</v>
      </c>
      <c r="B460" s="91">
        <v>0.52083333333333337</v>
      </c>
      <c r="C460" s="90" t="s">
        <v>408</v>
      </c>
      <c r="D460" s="90" t="s">
        <v>398</v>
      </c>
      <c r="E460" s="125">
        <v>26</v>
      </c>
      <c r="F460" s="125">
        <v>29</v>
      </c>
      <c r="G460" s="125">
        <v>25</v>
      </c>
      <c r="H460" s="125">
        <v>20</v>
      </c>
      <c r="I460" s="125"/>
      <c r="J460" s="125">
        <v>29</v>
      </c>
      <c r="K460" s="125">
        <v>29</v>
      </c>
      <c r="L460" s="125">
        <v>26</v>
      </c>
      <c r="M460" s="125">
        <v>28</v>
      </c>
      <c r="N460" s="125" t="s">
        <v>427</v>
      </c>
      <c r="O460" s="186">
        <f t="shared" si="222"/>
        <v>100</v>
      </c>
      <c r="P460" s="186">
        <f t="shared" si="223"/>
        <v>112</v>
      </c>
      <c r="Q460" s="186" t="str">
        <f t="shared" si="224"/>
        <v>HL</v>
      </c>
      <c r="R460" s="186" t="str">
        <f t="shared" si="225"/>
        <v>TT</v>
      </c>
      <c r="S460" s="186" t="str">
        <f t="shared" si="226"/>
        <v>HL</v>
      </c>
      <c r="T460" s="186" t="str">
        <f t="shared" si="227"/>
        <v>HL</v>
      </c>
      <c r="U460" s="186" t="str">
        <f t="shared" si="228"/>
        <v>U</v>
      </c>
      <c r="V460" s="186" t="str">
        <f t="shared" si="229"/>
        <v>O</v>
      </c>
      <c r="W460" s="186" t="str">
        <f t="shared" si="230"/>
        <v>U</v>
      </c>
      <c r="X460" s="186" t="str">
        <f t="shared" si="231"/>
        <v>U</v>
      </c>
      <c r="Y460" s="186"/>
      <c r="Z460" s="90">
        <v>56</v>
      </c>
      <c r="AB460" s="90" t="str">
        <f t="shared" si="219"/>
        <v>DEN/NO</v>
      </c>
      <c r="AC460" s="186">
        <f t="shared" si="232"/>
        <v>1</v>
      </c>
      <c r="AD460" s="186">
        <f t="shared" si="233"/>
        <v>3</v>
      </c>
    </row>
    <row r="461" spans="1:30" x14ac:dyDescent="0.45">
      <c r="A461" s="90">
        <v>191227</v>
      </c>
      <c r="B461" s="91">
        <v>0.375</v>
      </c>
      <c r="C461" s="90" t="s">
        <v>422</v>
      </c>
      <c r="D461" s="90" t="s">
        <v>414</v>
      </c>
      <c r="E461" s="132">
        <v>31</v>
      </c>
      <c r="F461" s="132">
        <v>37</v>
      </c>
      <c r="G461" s="132">
        <v>38</v>
      </c>
      <c r="H461" s="132">
        <v>26</v>
      </c>
      <c r="I461" s="132"/>
      <c r="J461" s="132">
        <v>23</v>
      </c>
      <c r="K461" s="132">
        <v>25</v>
      </c>
      <c r="L461" s="132">
        <v>28</v>
      </c>
      <c r="M461" s="132">
        <v>26</v>
      </c>
      <c r="N461" s="132" t="s">
        <v>427</v>
      </c>
      <c r="O461" s="186">
        <f t="shared" si="222"/>
        <v>132</v>
      </c>
      <c r="P461" s="186">
        <f t="shared" si="223"/>
        <v>102</v>
      </c>
      <c r="Q461" s="186" t="str">
        <f t="shared" si="224"/>
        <v>HW</v>
      </c>
      <c r="R461" s="186" t="str">
        <f t="shared" si="225"/>
        <v>HW</v>
      </c>
      <c r="S461" s="186" t="str">
        <f t="shared" si="226"/>
        <v>HW</v>
      </c>
      <c r="T461" s="186" t="str">
        <f t="shared" si="227"/>
        <v>TT</v>
      </c>
      <c r="U461" s="186" t="str">
        <f t="shared" si="228"/>
        <v>U</v>
      </c>
      <c r="V461" s="186" t="str">
        <f t="shared" si="229"/>
        <v>O</v>
      </c>
      <c r="W461" s="186" t="str">
        <f t="shared" si="230"/>
        <v>O</v>
      </c>
      <c r="X461" s="186" t="str">
        <f t="shared" si="231"/>
        <v>U</v>
      </c>
      <c r="Y461" s="186"/>
      <c r="Z461" s="90">
        <v>59</v>
      </c>
      <c r="AB461" s="90" t="str">
        <f t="shared" si="219"/>
        <v>DET/WAS</v>
      </c>
      <c r="AC461" s="186">
        <f t="shared" si="232"/>
        <v>2</v>
      </c>
      <c r="AD461" s="186">
        <f t="shared" si="233"/>
        <v>2</v>
      </c>
    </row>
    <row r="462" spans="1:30" x14ac:dyDescent="0.45">
      <c r="A462" s="90">
        <v>191227</v>
      </c>
      <c r="B462" s="91">
        <v>0.39583333333333331</v>
      </c>
      <c r="C462" s="90" t="s">
        <v>407</v>
      </c>
      <c r="D462" s="90" t="s">
        <v>399</v>
      </c>
      <c r="E462" s="130">
        <v>15</v>
      </c>
      <c r="F462" s="130">
        <v>26</v>
      </c>
      <c r="G462" s="130">
        <v>20</v>
      </c>
      <c r="H462" s="130">
        <v>21</v>
      </c>
      <c r="I462" s="130"/>
      <c r="J462" s="130">
        <v>24</v>
      </c>
      <c r="K462" s="130">
        <v>22</v>
      </c>
      <c r="L462" s="130">
        <v>33</v>
      </c>
      <c r="M462" s="130">
        <v>15</v>
      </c>
      <c r="N462" s="130" t="s">
        <v>427</v>
      </c>
      <c r="O462" s="186">
        <f t="shared" si="222"/>
        <v>82</v>
      </c>
      <c r="P462" s="186">
        <f t="shared" si="223"/>
        <v>94</v>
      </c>
      <c r="Q462" s="186" t="str">
        <f t="shared" si="224"/>
        <v>HL</v>
      </c>
      <c r="R462" s="186" t="str">
        <f t="shared" si="225"/>
        <v>HW</v>
      </c>
      <c r="S462" s="186" t="str">
        <f t="shared" si="226"/>
        <v>HL</v>
      </c>
      <c r="T462" s="186" t="str">
        <f t="shared" si="227"/>
        <v>HW</v>
      </c>
      <c r="U462" s="186" t="str">
        <f t="shared" si="228"/>
        <v>U</v>
      </c>
      <c r="V462" s="186" t="str">
        <f t="shared" si="229"/>
        <v>U</v>
      </c>
      <c r="W462" s="186" t="str">
        <f t="shared" si="230"/>
        <v>U</v>
      </c>
      <c r="X462" s="186" t="str">
        <f t="shared" si="231"/>
        <v>U</v>
      </c>
      <c r="Y462" s="186"/>
      <c r="Z462" s="90">
        <v>58</v>
      </c>
      <c r="AB462" s="90" t="str">
        <f t="shared" si="219"/>
        <v>BKN/NYK</v>
      </c>
      <c r="AC462" s="186">
        <f t="shared" si="232"/>
        <v>0</v>
      </c>
      <c r="AD462" s="186">
        <f t="shared" si="233"/>
        <v>4</v>
      </c>
    </row>
    <row r="463" spans="1:30" x14ac:dyDescent="0.45">
      <c r="A463" s="90">
        <v>191227</v>
      </c>
      <c r="B463" s="91">
        <v>0.41666666666666669</v>
      </c>
      <c r="C463" s="90" t="s">
        <v>397</v>
      </c>
      <c r="D463" s="90" t="s">
        <v>426</v>
      </c>
      <c r="E463" s="131">
        <v>20</v>
      </c>
      <c r="F463" s="131">
        <v>32</v>
      </c>
      <c r="G463" s="131">
        <v>27</v>
      </c>
      <c r="H463" s="131">
        <v>23</v>
      </c>
      <c r="I463" s="131"/>
      <c r="J463" s="131">
        <v>24</v>
      </c>
      <c r="K463" s="131">
        <v>23</v>
      </c>
      <c r="L463" s="131">
        <v>27</v>
      </c>
      <c r="M463" s="131">
        <v>24</v>
      </c>
      <c r="N463" s="131" t="s">
        <v>427</v>
      </c>
      <c r="O463" s="186">
        <f t="shared" si="222"/>
        <v>102</v>
      </c>
      <c r="P463" s="186">
        <f t="shared" si="223"/>
        <v>98</v>
      </c>
      <c r="Q463" s="186" t="str">
        <f t="shared" si="224"/>
        <v>HL</v>
      </c>
      <c r="R463" s="186" t="str">
        <f t="shared" si="225"/>
        <v>HW</v>
      </c>
      <c r="S463" s="186" t="str">
        <f t="shared" si="226"/>
        <v>TT</v>
      </c>
      <c r="T463" s="186" t="str">
        <f t="shared" si="227"/>
        <v>HL</v>
      </c>
      <c r="U463" s="186" t="str">
        <f t="shared" si="228"/>
        <v>U</v>
      </c>
      <c r="V463" s="186" t="str">
        <f t="shared" si="229"/>
        <v>U</v>
      </c>
      <c r="W463" s="186" t="str">
        <f t="shared" si="230"/>
        <v>U</v>
      </c>
      <c r="X463" s="186" t="str">
        <f t="shared" si="231"/>
        <v>U</v>
      </c>
      <c r="Y463" s="186"/>
      <c r="Z463" s="90">
        <v>56</v>
      </c>
      <c r="AB463" s="90" t="str">
        <f t="shared" si="219"/>
        <v>DAL/SAS</v>
      </c>
      <c r="AC463" s="186">
        <f t="shared" si="232"/>
        <v>0</v>
      </c>
      <c r="AD463" s="186">
        <f t="shared" si="233"/>
        <v>4</v>
      </c>
    </row>
    <row r="464" spans="1:30" x14ac:dyDescent="0.45">
      <c r="A464" s="90">
        <v>191227</v>
      </c>
      <c r="B464" s="91">
        <v>0.41666666666666669</v>
      </c>
      <c r="C464" s="90" t="s">
        <v>418</v>
      </c>
      <c r="D464" s="90" t="s">
        <v>406</v>
      </c>
      <c r="E464" s="133">
        <v>18</v>
      </c>
      <c r="F464" s="133">
        <v>29</v>
      </c>
      <c r="G464" s="133">
        <v>27</v>
      </c>
      <c r="H464" s="133">
        <v>23</v>
      </c>
      <c r="I464" s="133"/>
      <c r="J464" s="133">
        <v>23</v>
      </c>
      <c r="K464" s="133">
        <v>26</v>
      </c>
      <c r="L464" s="133">
        <v>37</v>
      </c>
      <c r="M464" s="133">
        <v>24</v>
      </c>
      <c r="N464" s="133" t="s">
        <v>427</v>
      </c>
      <c r="O464" s="186">
        <f t="shared" si="222"/>
        <v>97</v>
      </c>
      <c r="P464" s="186">
        <f t="shared" si="223"/>
        <v>110</v>
      </c>
      <c r="Q464" s="186" t="str">
        <f t="shared" si="224"/>
        <v>HL</v>
      </c>
      <c r="R464" s="186" t="str">
        <f t="shared" si="225"/>
        <v>HW</v>
      </c>
      <c r="S464" s="186" t="str">
        <f t="shared" si="226"/>
        <v>HL</v>
      </c>
      <c r="T464" s="186" t="str">
        <f t="shared" si="227"/>
        <v>HL</v>
      </c>
      <c r="U464" s="186" t="str">
        <f t="shared" si="228"/>
        <v>U</v>
      </c>
      <c r="V464" s="186" t="str">
        <f t="shared" si="229"/>
        <v>T</v>
      </c>
      <c r="W464" s="186" t="str">
        <f t="shared" si="230"/>
        <v>O</v>
      </c>
      <c r="X464" s="186" t="str">
        <f t="shared" si="231"/>
        <v>U</v>
      </c>
      <c r="Y464" s="186"/>
      <c r="Z464" s="90">
        <v>55</v>
      </c>
      <c r="AB464" s="90" t="str">
        <f t="shared" si="219"/>
        <v>OKC/MEM</v>
      </c>
      <c r="AC464" s="186">
        <f t="shared" si="232"/>
        <v>1</v>
      </c>
      <c r="AD464" s="186">
        <f t="shared" si="233"/>
        <v>2</v>
      </c>
    </row>
    <row r="465" spans="1:30" x14ac:dyDescent="0.45">
      <c r="A465" s="90">
        <v>191227</v>
      </c>
      <c r="B465" s="91">
        <v>0.5</v>
      </c>
      <c r="C465" s="90" t="s">
        <v>416</v>
      </c>
      <c r="D465" s="90" t="s">
        <v>420</v>
      </c>
      <c r="E465" s="134">
        <v>26</v>
      </c>
      <c r="F465" s="134">
        <v>22</v>
      </c>
      <c r="G465" s="134">
        <v>31</v>
      </c>
      <c r="H465" s="134">
        <v>11</v>
      </c>
      <c r="I465" s="134">
        <v>14</v>
      </c>
      <c r="J465" s="134">
        <v>21</v>
      </c>
      <c r="K465" s="134">
        <v>29</v>
      </c>
      <c r="L465" s="134">
        <v>21</v>
      </c>
      <c r="M465" s="134">
        <v>19</v>
      </c>
      <c r="N465" s="134">
        <v>15</v>
      </c>
      <c r="O465" s="186">
        <f t="shared" si="222"/>
        <v>104</v>
      </c>
      <c r="P465" s="186">
        <f t="shared" si="223"/>
        <v>105</v>
      </c>
      <c r="Q465" s="186" t="str">
        <f t="shared" si="224"/>
        <v>HW</v>
      </c>
      <c r="R465" s="186" t="str">
        <f t="shared" si="225"/>
        <v>HL</v>
      </c>
      <c r="S465" s="186" t="str">
        <f t="shared" si="226"/>
        <v>HW</v>
      </c>
      <c r="T465" s="186" t="str">
        <f t="shared" si="227"/>
        <v>HL</v>
      </c>
      <c r="U465" s="186" t="str">
        <f t="shared" si="228"/>
        <v>U</v>
      </c>
      <c r="V465" s="186" t="str">
        <f t="shared" si="229"/>
        <v>U</v>
      </c>
      <c r="W465" s="186" t="str">
        <f t="shared" si="230"/>
        <v>U</v>
      </c>
      <c r="X465" s="186" t="str">
        <f t="shared" si="231"/>
        <v>U</v>
      </c>
      <c r="Y465" s="186"/>
      <c r="Z465" s="90">
        <v>57</v>
      </c>
      <c r="AB465" s="90" t="str">
        <f t="shared" si="219"/>
        <v>SAC/MIN</v>
      </c>
      <c r="AC465" s="186">
        <f t="shared" si="232"/>
        <v>0</v>
      </c>
      <c r="AD465" s="186">
        <f t="shared" si="233"/>
        <v>4</v>
      </c>
    </row>
    <row r="466" spans="1:30" x14ac:dyDescent="0.45">
      <c r="A466" s="90">
        <v>191227</v>
      </c>
      <c r="B466" s="91">
        <v>0.52083333333333337</v>
      </c>
      <c r="C466" s="90" t="s">
        <v>405</v>
      </c>
      <c r="D466" s="90" t="s">
        <v>417</v>
      </c>
      <c r="E466" s="135">
        <v>37</v>
      </c>
      <c r="F466" s="135">
        <v>25</v>
      </c>
      <c r="G466" s="135">
        <v>34</v>
      </c>
      <c r="H466" s="135">
        <v>25</v>
      </c>
      <c r="I466" s="135"/>
      <c r="J466" s="135">
        <v>22</v>
      </c>
      <c r="K466" s="135">
        <v>30</v>
      </c>
      <c r="L466" s="135">
        <v>24</v>
      </c>
      <c r="M466" s="135">
        <v>39</v>
      </c>
      <c r="N466" s="135" t="s">
        <v>427</v>
      </c>
      <c r="O466" s="186">
        <f t="shared" si="222"/>
        <v>121</v>
      </c>
      <c r="P466" s="186">
        <f t="shared" si="223"/>
        <v>115</v>
      </c>
      <c r="Q466" s="186" t="str">
        <f t="shared" si="224"/>
        <v>HW</v>
      </c>
      <c r="R466" s="186" t="str">
        <f t="shared" si="225"/>
        <v>HL</v>
      </c>
      <c r="S466" s="186" t="str">
        <f t="shared" si="226"/>
        <v>HW</v>
      </c>
      <c r="T466" s="186" t="str">
        <f t="shared" si="227"/>
        <v>HL</v>
      </c>
      <c r="U466" s="186" t="str">
        <f t="shared" si="228"/>
        <v>O</v>
      </c>
      <c r="V466" s="186" t="str">
        <f t="shared" si="229"/>
        <v>U</v>
      </c>
      <c r="W466" s="186" t="str">
        <f t="shared" si="230"/>
        <v>O</v>
      </c>
      <c r="X466" s="186" t="str">
        <f t="shared" si="231"/>
        <v>O</v>
      </c>
      <c r="Y466" s="186"/>
      <c r="Z466" s="90">
        <v>56.5</v>
      </c>
      <c r="AB466" s="90" t="str">
        <f t="shared" si="219"/>
        <v>UTA/POR</v>
      </c>
      <c r="AC466" s="186">
        <f t="shared" si="232"/>
        <v>3</v>
      </c>
      <c r="AD466" s="186">
        <f t="shared" si="233"/>
        <v>1</v>
      </c>
    </row>
    <row r="467" spans="1:30" x14ac:dyDescent="0.45">
      <c r="A467" s="90">
        <v>191228</v>
      </c>
      <c r="B467" s="91">
        <v>0.25</v>
      </c>
      <c r="C467" s="90" t="s">
        <v>421</v>
      </c>
      <c r="D467" s="90" t="s">
        <v>402</v>
      </c>
      <c r="E467" s="137">
        <v>33</v>
      </c>
      <c r="F467" s="137">
        <v>29</v>
      </c>
      <c r="G467" s="137">
        <v>30</v>
      </c>
      <c r="H467" s="137">
        <v>37</v>
      </c>
      <c r="I467" s="137"/>
      <c r="J467" s="137">
        <v>22</v>
      </c>
      <c r="K467" s="137">
        <v>25</v>
      </c>
      <c r="L467" s="137">
        <v>34</v>
      </c>
      <c r="M467" s="137">
        <v>36</v>
      </c>
      <c r="N467" s="137" t="s">
        <v>427</v>
      </c>
      <c r="O467" s="186">
        <f t="shared" si="222"/>
        <v>129</v>
      </c>
      <c r="P467" s="186">
        <f t="shared" si="223"/>
        <v>117</v>
      </c>
      <c r="Q467" s="186" t="str">
        <f t="shared" si="224"/>
        <v>HW</v>
      </c>
      <c r="R467" s="186" t="str">
        <f t="shared" si="225"/>
        <v>HW</v>
      </c>
      <c r="S467" s="186" t="str">
        <f t="shared" si="226"/>
        <v>HL</v>
      </c>
      <c r="T467" s="186" t="str">
        <f t="shared" si="227"/>
        <v>HW</v>
      </c>
      <c r="U467" s="186" t="str">
        <f t="shared" si="228"/>
        <v>O</v>
      </c>
      <c r="V467" s="186" t="str">
        <f t="shared" si="229"/>
        <v>O</v>
      </c>
      <c r="W467" s="186" t="str">
        <f t="shared" si="230"/>
        <v>O</v>
      </c>
      <c r="X467" s="186" t="str">
        <f t="shared" si="231"/>
        <v>O</v>
      </c>
      <c r="Y467" s="186"/>
      <c r="Z467" s="90">
        <v>53.5</v>
      </c>
      <c r="AB467" s="90" t="str">
        <f t="shared" si="219"/>
        <v>BOS/CLE</v>
      </c>
      <c r="AC467" s="186">
        <f t="shared" si="232"/>
        <v>4</v>
      </c>
      <c r="AD467" s="186">
        <f t="shared" si="233"/>
        <v>0</v>
      </c>
    </row>
    <row r="468" spans="1:30" x14ac:dyDescent="0.45">
      <c r="A468" s="90">
        <v>191228</v>
      </c>
      <c r="B468" s="91">
        <v>0.375</v>
      </c>
      <c r="C468" s="90" t="s">
        <v>424</v>
      </c>
      <c r="D468" s="90" t="s">
        <v>401</v>
      </c>
      <c r="E468" s="141">
        <v>19</v>
      </c>
      <c r="F468" s="141">
        <v>27</v>
      </c>
      <c r="G468" s="141">
        <v>25</v>
      </c>
      <c r="H468" s="141">
        <v>27</v>
      </c>
      <c r="I468" s="141"/>
      <c r="J468" s="141">
        <v>21</v>
      </c>
      <c r="K468" s="141">
        <v>26</v>
      </c>
      <c r="L468" s="141">
        <v>21</v>
      </c>
      <c r="M468" s="141">
        <v>29</v>
      </c>
      <c r="N468" s="141" t="s">
        <v>427</v>
      </c>
      <c r="O468" s="186">
        <f t="shared" si="222"/>
        <v>98</v>
      </c>
      <c r="P468" s="186">
        <f t="shared" si="223"/>
        <v>97</v>
      </c>
      <c r="Q468" s="186" t="str">
        <f t="shared" si="224"/>
        <v>HL</v>
      </c>
      <c r="R468" s="186" t="str">
        <f t="shared" si="225"/>
        <v>HW</v>
      </c>
      <c r="S468" s="186" t="str">
        <f t="shared" si="226"/>
        <v>HW</v>
      </c>
      <c r="T468" s="186" t="str">
        <f t="shared" si="227"/>
        <v>HL</v>
      </c>
      <c r="U468" s="186" t="str">
        <f t="shared" si="228"/>
        <v>U</v>
      </c>
      <c r="V468" s="186" t="str">
        <f t="shared" si="229"/>
        <v>O</v>
      </c>
      <c r="W468" s="186" t="str">
        <f t="shared" si="230"/>
        <v>U</v>
      </c>
      <c r="X468" s="186" t="str">
        <f t="shared" si="231"/>
        <v>O</v>
      </c>
      <c r="Y468" s="186"/>
      <c r="Z468" s="90">
        <v>52</v>
      </c>
      <c r="AB468" s="90" t="str">
        <f t="shared" si="219"/>
        <v>ORL/PHI</v>
      </c>
      <c r="AC468" s="186">
        <f t="shared" si="232"/>
        <v>2</v>
      </c>
      <c r="AD468" s="186">
        <f t="shared" si="233"/>
        <v>2</v>
      </c>
    </row>
    <row r="469" spans="1:30" x14ac:dyDescent="0.45">
      <c r="A469" s="90">
        <v>191228</v>
      </c>
      <c r="B469" s="91">
        <v>0.375</v>
      </c>
      <c r="C469" s="90" t="s">
        <v>409</v>
      </c>
      <c r="D469" s="90" t="s">
        <v>418</v>
      </c>
      <c r="E469" s="138">
        <v>18</v>
      </c>
      <c r="F469" s="138">
        <v>25</v>
      </c>
      <c r="G469" s="138">
        <v>22</v>
      </c>
      <c r="H469" s="138">
        <v>29</v>
      </c>
      <c r="I469" s="138">
        <v>8</v>
      </c>
      <c r="J469" s="138">
        <v>26</v>
      </c>
      <c r="K469" s="138">
        <v>27</v>
      </c>
      <c r="L469" s="138">
        <v>19</v>
      </c>
      <c r="M469" s="138">
        <v>22</v>
      </c>
      <c r="N469" s="138">
        <v>10</v>
      </c>
      <c r="O469" s="186">
        <f t="shared" si="222"/>
        <v>102</v>
      </c>
      <c r="P469" s="186">
        <f t="shared" si="223"/>
        <v>104</v>
      </c>
      <c r="Q469" s="186" t="str">
        <f t="shared" si="224"/>
        <v>HL</v>
      </c>
      <c r="R469" s="186" t="str">
        <f t="shared" si="225"/>
        <v>HL</v>
      </c>
      <c r="S469" s="186" t="str">
        <f t="shared" si="226"/>
        <v>HW</v>
      </c>
      <c r="T469" s="186" t="str">
        <f t="shared" si="227"/>
        <v>HW</v>
      </c>
      <c r="U469" s="186" t="str">
        <f t="shared" si="228"/>
        <v>U</v>
      </c>
      <c r="V469" s="186" t="str">
        <f t="shared" si="229"/>
        <v>U</v>
      </c>
      <c r="W469" s="186" t="str">
        <f t="shared" si="230"/>
        <v>U</v>
      </c>
      <c r="X469" s="186" t="str">
        <f t="shared" si="231"/>
        <v>U</v>
      </c>
      <c r="Y469" s="186"/>
      <c r="Z469" s="90">
        <v>53.5</v>
      </c>
      <c r="AB469" s="90" t="str">
        <f t="shared" si="219"/>
        <v>CHA/OKC</v>
      </c>
      <c r="AC469" s="186">
        <f t="shared" si="232"/>
        <v>0</v>
      </c>
      <c r="AD469" s="186">
        <f t="shared" si="233"/>
        <v>4</v>
      </c>
    </row>
    <row r="470" spans="1:30" x14ac:dyDescent="0.45">
      <c r="A470" s="90">
        <v>191228</v>
      </c>
      <c r="B470" s="91">
        <v>0.39583333333333331</v>
      </c>
      <c r="C470" s="90" t="s">
        <v>410</v>
      </c>
      <c r="D470" s="90" t="s">
        <v>423</v>
      </c>
      <c r="E470" s="136">
        <v>19</v>
      </c>
      <c r="F470" s="136">
        <v>21</v>
      </c>
      <c r="G470" s="136">
        <v>23</v>
      </c>
      <c r="H470" s="136">
        <v>23</v>
      </c>
      <c r="I470" s="136"/>
      <c r="J470" s="136">
        <v>32</v>
      </c>
      <c r="K470" s="136">
        <v>31</v>
      </c>
      <c r="L470" s="136">
        <v>21</v>
      </c>
      <c r="M470" s="136">
        <v>28</v>
      </c>
      <c r="N470" s="136" t="s">
        <v>427</v>
      </c>
      <c r="O470" s="186">
        <f t="shared" si="222"/>
        <v>86</v>
      </c>
      <c r="P470" s="186">
        <f t="shared" si="223"/>
        <v>112</v>
      </c>
      <c r="Q470" s="186" t="str">
        <f t="shared" si="224"/>
        <v>HL</v>
      </c>
      <c r="R470" s="186" t="str">
        <f t="shared" si="225"/>
        <v>HL</v>
      </c>
      <c r="S470" s="186" t="str">
        <f t="shared" si="226"/>
        <v>HW</v>
      </c>
      <c r="T470" s="186" t="str">
        <f t="shared" si="227"/>
        <v>HL</v>
      </c>
      <c r="U470" s="186" t="str">
        <f t="shared" si="228"/>
        <v>U</v>
      </c>
      <c r="V470" s="186" t="str">
        <f t="shared" si="229"/>
        <v>U</v>
      </c>
      <c r="W470" s="186" t="str">
        <f t="shared" si="230"/>
        <v>U</v>
      </c>
      <c r="X470" s="186" t="str">
        <f t="shared" si="231"/>
        <v>U</v>
      </c>
      <c r="Y470" s="186"/>
      <c r="Z470" s="90">
        <v>58</v>
      </c>
      <c r="AB470" s="90" t="str">
        <f t="shared" si="219"/>
        <v>ATL/MIL</v>
      </c>
      <c r="AC470" s="186">
        <f t="shared" si="232"/>
        <v>0</v>
      </c>
      <c r="AD470" s="186">
        <f t="shared" si="233"/>
        <v>4</v>
      </c>
    </row>
    <row r="471" spans="1:30" x14ac:dyDescent="0.45">
      <c r="A471" s="90">
        <v>191228</v>
      </c>
      <c r="B471" s="91">
        <v>0.41666666666666669</v>
      </c>
      <c r="C471" s="90" t="s">
        <v>411</v>
      </c>
      <c r="D471" s="90" t="s">
        <v>400</v>
      </c>
      <c r="E471" s="140">
        <v>25</v>
      </c>
      <c r="F471" s="140">
        <v>33</v>
      </c>
      <c r="G471" s="140">
        <v>26</v>
      </c>
      <c r="H471" s="140">
        <v>29</v>
      </c>
      <c r="I471" s="140"/>
      <c r="J471" s="140">
        <v>27</v>
      </c>
      <c r="K471" s="140">
        <v>28</v>
      </c>
      <c r="L471" s="140">
        <v>27</v>
      </c>
      <c r="M471" s="140">
        <v>30</v>
      </c>
      <c r="N471" s="140" t="s">
        <v>427</v>
      </c>
      <c r="O471" s="186">
        <f t="shared" si="222"/>
        <v>113</v>
      </c>
      <c r="P471" s="186">
        <f t="shared" si="223"/>
        <v>112</v>
      </c>
      <c r="Q471" s="186" t="str">
        <f t="shared" si="224"/>
        <v>HL</v>
      </c>
      <c r="R471" s="186" t="str">
        <f t="shared" si="225"/>
        <v>HW</v>
      </c>
      <c r="S471" s="186" t="str">
        <f t="shared" si="226"/>
        <v>HL</v>
      </c>
      <c r="T471" s="186" t="str">
        <f t="shared" si="227"/>
        <v>HL</v>
      </c>
      <c r="U471" s="186" t="str">
        <f t="shared" si="228"/>
        <v>U</v>
      </c>
      <c r="V471" s="186" t="str">
        <f t="shared" si="229"/>
        <v>O</v>
      </c>
      <c r="W471" s="186" t="str">
        <f t="shared" si="230"/>
        <v>U</v>
      </c>
      <c r="X471" s="186" t="str">
        <f t="shared" si="231"/>
        <v>O</v>
      </c>
      <c r="Y471" s="186"/>
      <c r="Z471" s="90">
        <v>54.5</v>
      </c>
      <c r="AB471" s="90" t="str">
        <f t="shared" si="219"/>
        <v>MIA/IND</v>
      </c>
      <c r="AC471" s="186">
        <f t="shared" si="232"/>
        <v>2</v>
      </c>
      <c r="AD471" s="186">
        <f t="shared" si="233"/>
        <v>2</v>
      </c>
    </row>
    <row r="472" spans="1:30" x14ac:dyDescent="0.45">
      <c r="A472" s="90">
        <v>191228</v>
      </c>
      <c r="B472" s="91">
        <v>0.52083333333333337</v>
      </c>
      <c r="C472" s="90" t="s">
        <v>425</v>
      </c>
      <c r="D472" s="90" t="s">
        <v>404</v>
      </c>
      <c r="E472" s="139">
        <v>25</v>
      </c>
      <c r="F472" s="139">
        <v>18</v>
      </c>
      <c r="G472" s="139">
        <v>23</v>
      </c>
      <c r="H472" s="139">
        <v>39</v>
      </c>
      <c r="I472" s="139"/>
      <c r="J472" s="139">
        <v>29</v>
      </c>
      <c r="K472" s="139">
        <v>22</v>
      </c>
      <c r="L472" s="139">
        <v>27</v>
      </c>
      <c r="M472" s="139">
        <v>18</v>
      </c>
      <c r="N472" s="139" t="s">
        <v>427</v>
      </c>
      <c r="O472" s="186">
        <f t="shared" si="222"/>
        <v>105</v>
      </c>
      <c r="P472" s="186">
        <f t="shared" si="223"/>
        <v>96</v>
      </c>
      <c r="Q472" s="186" t="str">
        <f t="shared" si="224"/>
        <v>HL</v>
      </c>
      <c r="R472" s="186" t="str">
        <f t="shared" si="225"/>
        <v>HL</v>
      </c>
      <c r="S472" s="186" t="str">
        <f t="shared" si="226"/>
        <v>HL</v>
      </c>
      <c r="T472" s="186" t="str">
        <f t="shared" si="227"/>
        <v>HW</v>
      </c>
      <c r="U472" s="186" t="str">
        <f t="shared" si="228"/>
        <v>U</v>
      </c>
      <c r="V472" s="186" t="str">
        <f t="shared" si="229"/>
        <v>U</v>
      </c>
      <c r="W472" s="186" t="str">
        <f t="shared" si="230"/>
        <v>U</v>
      </c>
      <c r="X472" s="186" t="str">
        <f t="shared" si="231"/>
        <v>O</v>
      </c>
      <c r="Y472" s="186"/>
      <c r="Z472" s="90">
        <v>55.5</v>
      </c>
      <c r="AB472" s="90" t="str">
        <f t="shared" ref="AB472:AB523" si="234">C472&amp;"/"&amp;D472</f>
        <v>GS/PHO</v>
      </c>
      <c r="AC472" s="186">
        <f t="shared" si="232"/>
        <v>1</v>
      </c>
      <c r="AD472" s="186">
        <f t="shared" si="233"/>
        <v>3</v>
      </c>
    </row>
    <row r="473" spans="1:30" x14ac:dyDescent="0.45">
      <c r="A473" s="90">
        <v>191229</v>
      </c>
      <c r="B473" s="91">
        <v>0.29166666666666669</v>
      </c>
      <c r="C473" s="90" t="s">
        <v>408</v>
      </c>
      <c r="D473" s="90" t="s">
        <v>406</v>
      </c>
      <c r="E473" s="144">
        <v>26</v>
      </c>
      <c r="F473" s="144">
        <v>24</v>
      </c>
      <c r="G473" s="144">
        <v>32</v>
      </c>
      <c r="H473" s="144">
        <v>37</v>
      </c>
      <c r="I473" s="144"/>
      <c r="J473" s="144">
        <v>11</v>
      </c>
      <c r="K473" s="144">
        <v>28</v>
      </c>
      <c r="L473" s="144">
        <v>29</v>
      </c>
      <c r="M473" s="144">
        <v>42</v>
      </c>
      <c r="N473" s="144" t="s">
        <v>427</v>
      </c>
      <c r="O473" s="186">
        <f t="shared" si="222"/>
        <v>119</v>
      </c>
      <c r="P473" s="186">
        <f t="shared" si="223"/>
        <v>110</v>
      </c>
      <c r="Q473" s="186" t="str">
        <f t="shared" si="224"/>
        <v>HW</v>
      </c>
      <c r="R473" s="186" t="str">
        <f t="shared" si="225"/>
        <v>HL</v>
      </c>
      <c r="S473" s="186" t="str">
        <f t="shared" si="226"/>
        <v>HW</v>
      </c>
      <c r="T473" s="186" t="str">
        <f t="shared" si="227"/>
        <v>HL</v>
      </c>
      <c r="U473" s="186" t="str">
        <f t="shared" si="228"/>
        <v>U</v>
      </c>
      <c r="V473" s="186" t="str">
        <f t="shared" si="229"/>
        <v>U</v>
      </c>
      <c r="W473" s="186" t="str">
        <f t="shared" si="230"/>
        <v>O</v>
      </c>
      <c r="X473" s="186" t="str">
        <f t="shared" si="231"/>
        <v>O</v>
      </c>
      <c r="Y473" s="186"/>
      <c r="Z473" s="90">
        <v>54.5</v>
      </c>
      <c r="AB473" s="90" t="str">
        <f t="shared" si="234"/>
        <v>DEN/MEM</v>
      </c>
      <c r="AC473" s="186">
        <f t="shared" si="232"/>
        <v>2</v>
      </c>
      <c r="AD473" s="186">
        <f t="shared" si="233"/>
        <v>2</v>
      </c>
    </row>
    <row r="474" spans="1:30" x14ac:dyDescent="0.45">
      <c r="A474" s="90">
        <v>191229</v>
      </c>
      <c r="B474" s="91">
        <v>0.375</v>
      </c>
      <c r="C474" s="90" t="s">
        <v>421</v>
      </c>
      <c r="D474" s="90" t="s">
        <v>413</v>
      </c>
      <c r="E474" s="142">
        <v>25</v>
      </c>
      <c r="F474" s="142">
        <v>29</v>
      </c>
      <c r="G474" s="142">
        <v>25</v>
      </c>
      <c r="H474" s="142">
        <v>18</v>
      </c>
      <c r="I474" s="142"/>
      <c r="J474" s="142">
        <v>36</v>
      </c>
      <c r="K474" s="142">
        <v>23</v>
      </c>
      <c r="L474" s="142">
        <v>30</v>
      </c>
      <c r="M474" s="142">
        <v>24</v>
      </c>
      <c r="N474" s="142" t="s">
        <v>427</v>
      </c>
      <c r="O474" s="186">
        <f t="shared" si="222"/>
        <v>97</v>
      </c>
      <c r="P474" s="186">
        <f t="shared" si="223"/>
        <v>113</v>
      </c>
      <c r="Q474" s="186" t="str">
        <f t="shared" si="224"/>
        <v>HL</v>
      </c>
      <c r="R474" s="186" t="str">
        <f t="shared" si="225"/>
        <v>HW</v>
      </c>
      <c r="S474" s="186" t="str">
        <f t="shared" si="226"/>
        <v>HL</v>
      </c>
      <c r="T474" s="186" t="str">
        <f t="shared" si="227"/>
        <v>HL</v>
      </c>
      <c r="U474" s="186" t="str">
        <f t="shared" si="228"/>
        <v>O</v>
      </c>
      <c r="V474" s="186" t="str">
        <f t="shared" si="229"/>
        <v>U</v>
      </c>
      <c r="W474" s="186" t="str">
        <f t="shared" si="230"/>
        <v>U</v>
      </c>
      <c r="X474" s="186" t="str">
        <f t="shared" si="231"/>
        <v>U</v>
      </c>
      <c r="Y474" s="186"/>
      <c r="Z474" s="90">
        <v>55.5</v>
      </c>
      <c r="AB474" s="90" t="str">
        <f t="shared" si="234"/>
        <v>BOS/TOR</v>
      </c>
      <c r="AC474" s="186">
        <f t="shared" si="232"/>
        <v>1</v>
      </c>
      <c r="AD474" s="186">
        <f t="shared" si="233"/>
        <v>3</v>
      </c>
    </row>
    <row r="475" spans="1:30" x14ac:dyDescent="0.45">
      <c r="A475" s="90">
        <v>191229</v>
      </c>
      <c r="B475" s="91">
        <v>0.375</v>
      </c>
      <c r="C475" s="90" t="s">
        <v>398</v>
      </c>
      <c r="D475" s="90" t="s">
        <v>400</v>
      </c>
      <c r="E475" s="151">
        <v>19</v>
      </c>
      <c r="F475" s="151">
        <v>29</v>
      </c>
      <c r="G475" s="151">
        <v>38</v>
      </c>
      <c r="H475" s="151">
        <v>34</v>
      </c>
      <c r="I475" s="151"/>
      <c r="J475" s="151">
        <v>32</v>
      </c>
      <c r="K475" s="151">
        <v>13</v>
      </c>
      <c r="L475" s="151">
        <v>23</v>
      </c>
      <c r="M475" s="151">
        <v>30</v>
      </c>
      <c r="N475" s="151" t="s">
        <v>427</v>
      </c>
      <c r="O475" s="186">
        <f t="shared" si="222"/>
        <v>120</v>
      </c>
      <c r="P475" s="186">
        <f t="shared" si="223"/>
        <v>98</v>
      </c>
      <c r="Q475" s="186" t="str">
        <f t="shared" si="224"/>
        <v>HL</v>
      </c>
      <c r="R475" s="186" t="str">
        <f t="shared" si="225"/>
        <v>HW</v>
      </c>
      <c r="S475" s="186" t="str">
        <f t="shared" si="226"/>
        <v>HW</v>
      </c>
      <c r="T475" s="186" t="str">
        <f t="shared" si="227"/>
        <v>HW</v>
      </c>
      <c r="U475" s="186" t="str">
        <f t="shared" si="228"/>
        <v>U</v>
      </c>
      <c r="V475" s="186" t="str">
        <f t="shared" si="229"/>
        <v>U</v>
      </c>
      <c r="W475" s="186" t="str">
        <f t="shared" si="230"/>
        <v>O</v>
      </c>
      <c r="X475" s="186" t="str">
        <f t="shared" si="231"/>
        <v>O</v>
      </c>
      <c r="Y475" s="186"/>
      <c r="Z475" s="90">
        <v>56.5</v>
      </c>
      <c r="AB475" s="90" t="str">
        <f t="shared" si="234"/>
        <v>NO/IND</v>
      </c>
      <c r="AC475" s="186">
        <f t="shared" si="232"/>
        <v>2</v>
      </c>
      <c r="AD475" s="186">
        <f t="shared" si="233"/>
        <v>2</v>
      </c>
    </row>
    <row r="476" spans="1:30" x14ac:dyDescent="0.45">
      <c r="A476" s="90">
        <v>191229</v>
      </c>
      <c r="B476" s="91">
        <v>0.41666666666666669</v>
      </c>
      <c r="C476" s="90" t="s">
        <v>412</v>
      </c>
      <c r="D476" s="90" t="s">
        <v>410</v>
      </c>
      <c r="E476" s="143">
        <v>35</v>
      </c>
      <c r="F476" s="143">
        <v>29</v>
      </c>
      <c r="G476" s="143">
        <v>19</v>
      </c>
      <c r="H476" s="143">
        <v>33</v>
      </c>
      <c r="I476" s="143"/>
      <c r="J476" s="143">
        <v>19</v>
      </c>
      <c r="K476" s="143">
        <v>24</v>
      </c>
      <c r="L476" s="143">
        <v>22</v>
      </c>
      <c r="M476" s="143">
        <v>16</v>
      </c>
      <c r="N476" s="143" t="s">
        <v>427</v>
      </c>
      <c r="O476" s="186">
        <f t="shared" si="222"/>
        <v>116</v>
      </c>
      <c r="P476" s="186">
        <f t="shared" si="223"/>
        <v>81</v>
      </c>
      <c r="Q476" s="186" t="str">
        <f t="shared" si="224"/>
        <v>HW</v>
      </c>
      <c r="R476" s="186" t="str">
        <f t="shared" si="225"/>
        <v>HW</v>
      </c>
      <c r="S476" s="186" t="str">
        <f t="shared" si="226"/>
        <v>HL</v>
      </c>
      <c r="T476" s="186" t="str">
        <f t="shared" si="227"/>
        <v>HW</v>
      </c>
      <c r="U476" s="186" t="str">
        <f t="shared" si="228"/>
        <v>U</v>
      </c>
      <c r="V476" s="186" t="str">
        <f t="shared" si="229"/>
        <v>U</v>
      </c>
      <c r="W476" s="186" t="str">
        <f t="shared" si="230"/>
        <v>U</v>
      </c>
      <c r="X476" s="186" t="str">
        <f t="shared" si="231"/>
        <v>U</v>
      </c>
      <c r="Y476" s="186"/>
      <c r="Z476" s="90">
        <v>55.5</v>
      </c>
      <c r="AB476" s="90" t="str">
        <f t="shared" si="234"/>
        <v>CHI/ATL</v>
      </c>
      <c r="AC476" s="186">
        <f t="shared" si="232"/>
        <v>0</v>
      </c>
      <c r="AD476" s="186">
        <f t="shared" si="233"/>
        <v>4</v>
      </c>
    </row>
    <row r="477" spans="1:30" x14ac:dyDescent="0.45">
      <c r="A477" s="90">
        <v>191229</v>
      </c>
      <c r="B477" s="91">
        <v>0.41666666666666669</v>
      </c>
      <c r="C477" s="90" t="s">
        <v>403</v>
      </c>
      <c r="D477" s="90" t="s">
        <v>407</v>
      </c>
      <c r="E477" s="146">
        <v>42</v>
      </c>
      <c r="F477" s="146">
        <v>21</v>
      </c>
      <c r="G477" s="146">
        <v>25</v>
      </c>
      <c r="H477" s="146">
        <v>20</v>
      </c>
      <c r="I477" s="146"/>
      <c r="J477" s="146">
        <v>20</v>
      </c>
      <c r="K477" s="146">
        <v>34</v>
      </c>
      <c r="L477" s="146">
        <v>25</v>
      </c>
      <c r="M477" s="146">
        <v>19</v>
      </c>
      <c r="N477" s="146" t="s">
        <v>427</v>
      </c>
      <c r="O477" s="186">
        <f t="shared" si="222"/>
        <v>108</v>
      </c>
      <c r="P477" s="186">
        <f t="shared" si="223"/>
        <v>98</v>
      </c>
      <c r="Q477" s="186" t="str">
        <f t="shared" si="224"/>
        <v>HW</v>
      </c>
      <c r="R477" s="186" t="str">
        <f t="shared" si="225"/>
        <v>HL</v>
      </c>
      <c r="S477" s="186" t="str">
        <f t="shared" si="226"/>
        <v>TT</v>
      </c>
      <c r="T477" s="186" t="str">
        <f t="shared" si="227"/>
        <v>HW</v>
      </c>
      <c r="U477" s="186" t="str">
        <f t="shared" si="228"/>
        <v>O</v>
      </c>
      <c r="V477" s="186" t="str">
        <f t="shared" si="229"/>
        <v>U</v>
      </c>
      <c r="W477" s="186" t="str">
        <f t="shared" si="230"/>
        <v>U</v>
      </c>
      <c r="X477" s="186" t="str">
        <f t="shared" si="231"/>
        <v>U</v>
      </c>
      <c r="Y477" s="186"/>
      <c r="Z477" s="90">
        <v>57.5</v>
      </c>
      <c r="AB477" s="90" t="str">
        <f t="shared" si="234"/>
        <v>HOU/BKN</v>
      </c>
      <c r="AC477" s="186">
        <f t="shared" si="232"/>
        <v>1</v>
      </c>
      <c r="AD477" s="186">
        <f t="shared" si="233"/>
        <v>3</v>
      </c>
    </row>
    <row r="478" spans="1:30" x14ac:dyDescent="0.45">
      <c r="A478" s="90">
        <v>191229</v>
      </c>
      <c r="B478" s="91">
        <v>0.41666666666666669</v>
      </c>
      <c r="C478" s="90" t="s">
        <v>411</v>
      </c>
      <c r="D478" s="90" t="s">
        <v>401</v>
      </c>
      <c r="E478" s="148">
        <v>28</v>
      </c>
      <c r="F478" s="148">
        <v>26</v>
      </c>
      <c r="G478" s="148">
        <v>31</v>
      </c>
      <c r="H478" s="148">
        <v>23</v>
      </c>
      <c r="I478" s="148">
        <v>9</v>
      </c>
      <c r="J478" s="148">
        <v>33</v>
      </c>
      <c r="K478" s="148">
        <v>26</v>
      </c>
      <c r="L478" s="148">
        <v>20</v>
      </c>
      <c r="M478" s="148">
        <v>29</v>
      </c>
      <c r="N478" s="148">
        <v>8</v>
      </c>
      <c r="O478" s="186">
        <f t="shared" si="222"/>
        <v>117</v>
      </c>
      <c r="P478" s="186">
        <f t="shared" si="223"/>
        <v>116</v>
      </c>
      <c r="Q478" s="186" t="str">
        <f t="shared" si="224"/>
        <v>HL</v>
      </c>
      <c r="R478" s="186" t="str">
        <f t="shared" si="225"/>
        <v>TT</v>
      </c>
      <c r="S478" s="186" t="str">
        <f t="shared" si="226"/>
        <v>HW</v>
      </c>
      <c r="T478" s="186" t="str">
        <f t="shared" si="227"/>
        <v>HL</v>
      </c>
      <c r="U478" s="186" t="str">
        <f t="shared" si="228"/>
        <v>O</v>
      </c>
      <c r="V478" s="186" t="str">
        <f t="shared" si="229"/>
        <v>U</v>
      </c>
      <c r="W478" s="186" t="str">
        <f t="shared" si="230"/>
        <v>U</v>
      </c>
      <c r="X478" s="186" t="str">
        <f t="shared" si="231"/>
        <v>U</v>
      </c>
      <c r="Y478" s="186"/>
      <c r="Z478" s="90">
        <v>52.5</v>
      </c>
      <c r="AB478" s="90" t="str">
        <f t="shared" si="234"/>
        <v>MIA/PHI</v>
      </c>
      <c r="AC478" s="186">
        <f t="shared" si="232"/>
        <v>1</v>
      </c>
      <c r="AD478" s="186">
        <f t="shared" si="233"/>
        <v>3</v>
      </c>
    </row>
    <row r="479" spans="1:30" x14ac:dyDescent="0.45">
      <c r="A479" s="90">
        <v>191229</v>
      </c>
      <c r="B479" s="91">
        <v>0.41666666666666669</v>
      </c>
      <c r="C479" s="90" t="s">
        <v>420</v>
      </c>
      <c r="D479" s="90" t="s">
        <v>402</v>
      </c>
      <c r="E479" s="150">
        <v>21</v>
      </c>
      <c r="F479" s="150">
        <v>22</v>
      </c>
      <c r="G479" s="150">
        <v>17</v>
      </c>
      <c r="H479" s="150">
        <v>28</v>
      </c>
      <c r="I479" s="150"/>
      <c r="J479" s="150">
        <v>27</v>
      </c>
      <c r="K479" s="150">
        <v>22</v>
      </c>
      <c r="L479" s="150">
        <v>18</v>
      </c>
      <c r="M479" s="150">
        <v>27</v>
      </c>
      <c r="N479" s="150" t="s">
        <v>427</v>
      </c>
      <c r="O479" s="186">
        <f t="shared" si="222"/>
        <v>88</v>
      </c>
      <c r="P479" s="186">
        <f t="shared" si="223"/>
        <v>94</v>
      </c>
      <c r="Q479" s="186" t="str">
        <f t="shared" si="224"/>
        <v>HL</v>
      </c>
      <c r="R479" s="186" t="str">
        <f t="shared" si="225"/>
        <v>TT</v>
      </c>
      <c r="S479" s="186" t="str">
        <f t="shared" si="226"/>
        <v>HL</v>
      </c>
      <c r="T479" s="186" t="str">
        <f t="shared" si="227"/>
        <v>HW</v>
      </c>
      <c r="U479" s="186" t="str">
        <f t="shared" si="228"/>
        <v>U</v>
      </c>
      <c r="V479" s="186" t="str">
        <f t="shared" si="229"/>
        <v>U</v>
      </c>
      <c r="W479" s="186" t="str">
        <f t="shared" si="230"/>
        <v>U</v>
      </c>
      <c r="X479" s="186" t="str">
        <f t="shared" si="231"/>
        <v>O</v>
      </c>
      <c r="Y479" s="186"/>
      <c r="Z479" s="90">
        <v>53.5</v>
      </c>
      <c r="AB479" s="90" t="str">
        <f t="shared" si="234"/>
        <v>MIN/CLE</v>
      </c>
      <c r="AC479" s="186">
        <f t="shared" si="232"/>
        <v>1</v>
      </c>
      <c r="AD479" s="186">
        <f t="shared" si="233"/>
        <v>3</v>
      </c>
    </row>
    <row r="480" spans="1:30" x14ac:dyDescent="0.45">
      <c r="A480" s="90">
        <v>191229</v>
      </c>
      <c r="B480" s="91">
        <v>0.41666666666666669</v>
      </c>
      <c r="C480" s="90" t="s">
        <v>414</v>
      </c>
      <c r="D480" s="90" t="s">
        <v>399</v>
      </c>
      <c r="E480" s="155">
        <v>23</v>
      </c>
      <c r="F480" s="155">
        <v>35</v>
      </c>
      <c r="G480" s="155">
        <v>20</v>
      </c>
      <c r="H480" s="155">
        <v>22</v>
      </c>
      <c r="I480" s="155"/>
      <c r="J480" s="155">
        <v>33</v>
      </c>
      <c r="K480" s="155">
        <v>26</v>
      </c>
      <c r="L480" s="155">
        <v>27</v>
      </c>
      <c r="M480" s="155">
        <v>21</v>
      </c>
      <c r="N480" s="155" t="s">
        <v>427</v>
      </c>
      <c r="O480" s="186">
        <f t="shared" si="222"/>
        <v>100</v>
      </c>
      <c r="P480" s="186">
        <f t="shared" si="223"/>
        <v>107</v>
      </c>
      <c r="Q480" s="186" t="str">
        <f t="shared" si="224"/>
        <v>HL</v>
      </c>
      <c r="R480" s="186" t="str">
        <f t="shared" si="225"/>
        <v>HW</v>
      </c>
      <c r="S480" s="186" t="str">
        <f t="shared" si="226"/>
        <v>HL</v>
      </c>
      <c r="T480" s="186" t="str">
        <f t="shared" si="227"/>
        <v>HW</v>
      </c>
      <c r="U480" s="186" t="str">
        <f t="shared" si="228"/>
        <v>U</v>
      </c>
      <c r="V480" s="186" t="str">
        <f t="shared" si="229"/>
        <v>O</v>
      </c>
      <c r="W480" s="186" t="str">
        <f t="shared" si="230"/>
        <v>U</v>
      </c>
      <c r="X480" s="186" t="str">
        <f t="shared" si="231"/>
        <v>U</v>
      </c>
      <c r="Y480" s="186"/>
      <c r="Z480" s="90">
        <v>58</v>
      </c>
      <c r="AB480" s="90" t="str">
        <f t="shared" si="234"/>
        <v>WAS/NYK</v>
      </c>
      <c r="AC480" s="186">
        <f t="shared" si="232"/>
        <v>1</v>
      </c>
      <c r="AD480" s="186">
        <f t="shared" si="233"/>
        <v>3</v>
      </c>
    </row>
    <row r="481" spans="1:30" x14ac:dyDescent="0.45">
      <c r="A481" s="90">
        <v>191229</v>
      </c>
      <c r="B481" s="91">
        <v>0.4375</v>
      </c>
      <c r="C481" s="90" t="s">
        <v>425</v>
      </c>
      <c r="D481" s="90" t="s">
        <v>397</v>
      </c>
      <c r="E481" s="145">
        <v>41</v>
      </c>
      <c r="F481" s="145">
        <v>33</v>
      </c>
      <c r="G481" s="145">
        <v>24</v>
      </c>
      <c r="H481" s="145">
        <v>23</v>
      </c>
      <c r="I481" s="145"/>
      <c r="J481" s="145">
        <v>41</v>
      </c>
      <c r="K481" s="145">
        <v>31</v>
      </c>
      <c r="L481" s="145">
        <v>45</v>
      </c>
      <c r="M481" s="145">
        <v>24</v>
      </c>
      <c r="N481" s="145" t="s">
        <v>427</v>
      </c>
      <c r="O481" s="186">
        <f t="shared" si="222"/>
        <v>121</v>
      </c>
      <c r="P481" s="186">
        <f t="shared" si="223"/>
        <v>141</v>
      </c>
      <c r="Q481" s="186" t="str">
        <f t="shared" si="224"/>
        <v>TT</v>
      </c>
      <c r="R481" s="186" t="str">
        <f t="shared" si="225"/>
        <v>HW</v>
      </c>
      <c r="S481" s="186" t="str">
        <f t="shared" si="226"/>
        <v>HL</v>
      </c>
      <c r="T481" s="186" t="str">
        <f t="shared" si="227"/>
        <v>HL</v>
      </c>
      <c r="U481" s="186" t="str">
        <f t="shared" si="228"/>
        <v>O</v>
      </c>
      <c r="V481" s="186" t="str">
        <f t="shared" si="229"/>
        <v>O</v>
      </c>
      <c r="W481" s="186" t="str">
        <f t="shared" si="230"/>
        <v>O</v>
      </c>
      <c r="X481" s="186" t="str">
        <f t="shared" si="231"/>
        <v>U</v>
      </c>
      <c r="Y481" s="186"/>
      <c r="Z481" s="90">
        <v>56</v>
      </c>
      <c r="AB481" s="90" t="str">
        <f t="shared" si="234"/>
        <v>GS/DAL</v>
      </c>
      <c r="AC481" s="186">
        <f t="shared" si="232"/>
        <v>3</v>
      </c>
      <c r="AD481" s="186">
        <f t="shared" si="233"/>
        <v>1</v>
      </c>
    </row>
    <row r="482" spans="1:30" x14ac:dyDescent="0.45">
      <c r="A482" s="90">
        <v>191229</v>
      </c>
      <c r="B482" s="91">
        <v>0.4375</v>
      </c>
      <c r="C482" s="90" t="s">
        <v>423</v>
      </c>
      <c r="D482" s="90" t="s">
        <v>424</v>
      </c>
      <c r="E482" s="149">
        <v>37</v>
      </c>
      <c r="F482" s="149">
        <v>19</v>
      </c>
      <c r="G482" s="149">
        <v>22</v>
      </c>
      <c r="H482" s="149">
        <v>33</v>
      </c>
      <c r="I482" s="149"/>
      <c r="J482" s="149">
        <v>25</v>
      </c>
      <c r="K482" s="149">
        <v>21</v>
      </c>
      <c r="L482" s="149">
        <v>28</v>
      </c>
      <c r="M482" s="149">
        <v>26</v>
      </c>
      <c r="N482" s="149" t="s">
        <v>427</v>
      </c>
      <c r="O482" s="186">
        <f t="shared" si="222"/>
        <v>111</v>
      </c>
      <c r="P482" s="186">
        <f t="shared" si="223"/>
        <v>100</v>
      </c>
      <c r="Q482" s="186" t="str">
        <f t="shared" si="224"/>
        <v>HW</v>
      </c>
      <c r="R482" s="186" t="str">
        <f t="shared" si="225"/>
        <v>HL</v>
      </c>
      <c r="S482" s="186" t="str">
        <f t="shared" si="226"/>
        <v>HL</v>
      </c>
      <c r="T482" s="186" t="str">
        <f t="shared" si="227"/>
        <v>HW</v>
      </c>
      <c r="U482" s="186" t="str">
        <f t="shared" si="228"/>
        <v>O</v>
      </c>
      <c r="V482" s="186" t="str">
        <f t="shared" si="229"/>
        <v>U</v>
      </c>
      <c r="W482" s="186" t="str">
        <f t="shared" si="230"/>
        <v>U</v>
      </c>
      <c r="X482" s="186" t="str">
        <f t="shared" si="231"/>
        <v>O</v>
      </c>
      <c r="Y482" s="186"/>
      <c r="Z482" s="90">
        <v>55.5</v>
      </c>
      <c r="AB482" s="90" t="str">
        <f t="shared" si="234"/>
        <v>MIL/ORL</v>
      </c>
      <c r="AC482" s="186">
        <f t="shared" si="232"/>
        <v>2</v>
      </c>
      <c r="AD482" s="186">
        <f t="shared" si="233"/>
        <v>2</v>
      </c>
    </row>
    <row r="483" spans="1:30" x14ac:dyDescent="0.45">
      <c r="A483" s="90">
        <v>191229</v>
      </c>
      <c r="B483" s="91">
        <v>0.4375</v>
      </c>
      <c r="C483" s="90" t="s">
        <v>426</v>
      </c>
      <c r="D483" s="90" t="s">
        <v>422</v>
      </c>
      <c r="E483" s="154">
        <v>30</v>
      </c>
      <c r="F483" s="154">
        <v>29</v>
      </c>
      <c r="G483" s="154">
        <v>42</v>
      </c>
      <c r="H483" s="154">
        <v>35</v>
      </c>
      <c r="I483" s="154"/>
      <c r="J483" s="154">
        <v>28</v>
      </c>
      <c r="K483" s="154">
        <v>27</v>
      </c>
      <c r="L483" s="154">
        <v>25</v>
      </c>
      <c r="M483" s="154">
        <v>29</v>
      </c>
      <c r="N483" s="154" t="s">
        <v>427</v>
      </c>
      <c r="O483" s="186">
        <f t="shared" si="222"/>
        <v>136</v>
      </c>
      <c r="P483" s="186">
        <f t="shared" si="223"/>
        <v>109</v>
      </c>
      <c r="Q483" s="186" t="str">
        <f t="shared" si="224"/>
        <v>HW</v>
      </c>
      <c r="R483" s="186" t="str">
        <f t="shared" si="225"/>
        <v>HW</v>
      </c>
      <c r="S483" s="186" t="str">
        <f t="shared" si="226"/>
        <v>HW</v>
      </c>
      <c r="T483" s="186" t="str">
        <f t="shared" si="227"/>
        <v>HW</v>
      </c>
      <c r="U483" s="186" t="str">
        <f t="shared" si="228"/>
        <v>O</v>
      </c>
      <c r="V483" s="186" t="str">
        <f t="shared" si="229"/>
        <v>U</v>
      </c>
      <c r="W483" s="186" t="str">
        <f t="shared" si="230"/>
        <v>O</v>
      </c>
      <c r="X483" s="186" t="str">
        <f t="shared" si="231"/>
        <v>O</v>
      </c>
      <c r="Y483" s="186"/>
      <c r="Z483" s="90">
        <v>57</v>
      </c>
      <c r="AB483" s="90" t="str">
        <f t="shared" si="234"/>
        <v>SAS/DET</v>
      </c>
      <c r="AC483" s="186">
        <f t="shared" si="232"/>
        <v>3</v>
      </c>
      <c r="AD483" s="186">
        <f t="shared" si="233"/>
        <v>1</v>
      </c>
    </row>
    <row r="484" spans="1:30" x14ac:dyDescent="0.45">
      <c r="A484" s="90">
        <v>191229</v>
      </c>
      <c r="B484" s="91">
        <v>0.45833333333333331</v>
      </c>
      <c r="C484" s="90" t="s">
        <v>416</v>
      </c>
      <c r="D484" s="90" t="s">
        <v>404</v>
      </c>
      <c r="E484" s="153">
        <v>30</v>
      </c>
      <c r="F484" s="153">
        <v>19</v>
      </c>
      <c r="G484" s="153">
        <v>28</v>
      </c>
      <c r="H484" s="153">
        <v>33</v>
      </c>
      <c r="I484" s="153"/>
      <c r="J484" s="153">
        <v>31</v>
      </c>
      <c r="K484" s="153">
        <v>28</v>
      </c>
      <c r="L484" s="153">
        <v>22</v>
      </c>
      <c r="M484" s="153">
        <v>31</v>
      </c>
      <c r="N484" s="153" t="s">
        <v>427</v>
      </c>
      <c r="O484" s="186">
        <f t="shared" si="222"/>
        <v>110</v>
      </c>
      <c r="P484" s="186">
        <f t="shared" si="223"/>
        <v>112</v>
      </c>
      <c r="Q484" s="186" t="str">
        <f t="shared" si="224"/>
        <v>HL</v>
      </c>
      <c r="R484" s="186" t="str">
        <f t="shared" si="225"/>
        <v>HL</v>
      </c>
      <c r="S484" s="186" t="str">
        <f t="shared" si="226"/>
        <v>HW</v>
      </c>
      <c r="T484" s="186" t="str">
        <f t="shared" si="227"/>
        <v>HW</v>
      </c>
      <c r="U484" s="186" t="str">
        <f t="shared" si="228"/>
        <v>O</v>
      </c>
      <c r="V484" s="186" t="str">
        <f t="shared" si="229"/>
        <v>U</v>
      </c>
      <c r="W484" s="186" t="str">
        <f t="shared" si="230"/>
        <v>U</v>
      </c>
      <c r="X484" s="186" t="str">
        <f t="shared" si="231"/>
        <v>O</v>
      </c>
      <c r="Y484" s="186"/>
      <c r="Z484" s="90">
        <v>53.5</v>
      </c>
      <c r="AB484" s="90" t="str">
        <f t="shared" si="234"/>
        <v>SAC/PHO</v>
      </c>
      <c r="AC484" s="186">
        <f t="shared" si="232"/>
        <v>2</v>
      </c>
      <c r="AD484" s="186">
        <f t="shared" si="233"/>
        <v>2</v>
      </c>
    </row>
    <row r="485" spans="1:30" x14ac:dyDescent="0.45">
      <c r="A485" s="90">
        <v>191229</v>
      </c>
      <c r="B485" s="91">
        <v>0.5</v>
      </c>
      <c r="C485" s="90" t="s">
        <v>417</v>
      </c>
      <c r="D485" s="90" t="s">
        <v>419</v>
      </c>
      <c r="E485" s="152">
        <v>32</v>
      </c>
      <c r="F485" s="152">
        <v>32</v>
      </c>
      <c r="G485" s="152">
        <v>31</v>
      </c>
      <c r="H485" s="152">
        <v>25</v>
      </c>
      <c r="I485" s="152"/>
      <c r="J485" s="152">
        <v>34</v>
      </c>
      <c r="K485" s="152">
        <v>37</v>
      </c>
      <c r="L485" s="152">
        <v>32</v>
      </c>
      <c r="M485" s="152">
        <v>25</v>
      </c>
      <c r="N485" s="152" t="s">
        <v>427</v>
      </c>
      <c r="O485" s="186">
        <f t="shared" si="222"/>
        <v>120</v>
      </c>
      <c r="P485" s="186">
        <f t="shared" si="223"/>
        <v>128</v>
      </c>
      <c r="Q485" s="186" t="str">
        <f t="shared" si="224"/>
        <v>HL</v>
      </c>
      <c r="R485" s="186" t="str">
        <f t="shared" si="225"/>
        <v>HL</v>
      </c>
      <c r="S485" s="186" t="str">
        <f t="shared" si="226"/>
        <v>HL</v>
      </c>
      <c r="T485" s="186" t="str">
        <f t="shared" si="227"/>
        <v>TT</v>
      </c>
      <c r="U485" s="186" t="str">
        <f t="shared" si="228"/>
        <v>O</v>
      </c>
      <c r="V485" s="186" t="str">
        <f t="shared" si="229"/>
        <v>O</v>
      </c>
      <c r="W485" s="186" t="str">
        <f t="shared" si="230"/>
        <v>O</v>
      </c>
      <c r="X485" s="186" t="str">
        <f t="shared" si="231"/>
        <v>U</v>
      </c>
      <c r="Y485" s="186"/>
      <c r="Z485" s="90">
        <v>57.5</v>
      </c>
      <c r="AB485" s="90" t="str">
        <f t="shared" si="234"/>
        <v>POR/LAL</v>
      </c>
      <c r="AC485" s="186">
        <f t="shared" si="232"/>
        <v>3</v>
      </c>
      <c r="AD485" s="186">
        <f t="shared" si="233"/>
        <v>1</v>
      </c>
    </row>
    <row r="486" spans="1:30" x14ac:dyDescent="0.45">
      <c r="A486" s="90">
        <v>191229</v>
      </c>
      <c r="B486" s="91">
        <v>0.52083333333333337</v>
      </c>
      <c r="C486" s="90" t="s">
        <v>415</v>
      </c>
      <c r="D486" s="90" t="s">
        <v>405</v>
      </c>
      <c r="E486" s="147">
        <v>32</v>
      </c>
      <c r="F486" s="147">
        <v>31</v>
      </c>
      <c r="G486" s="147">
        <v>29</v>
      </c>
      <c r="H486" s="147">
        <v>15</v>
      </c>
      <c r="I486" s="147"/>
      <c r="J486" s="147">
        <v>22</v>
      </c>
      <c r="K486" s="147">
        <v>39</v>
      </c>
      <c r="L486" s="147">
        <v>32</v>
      </c>
      <c r="M486" s="147">
        <v>27</v>
      </c>
      <c r="N486" s="147" t="s">
        <v>427</v>
      </c>
      <c r="O486" s="186">
        <f t="shared" si="222"/>
        <v>107</v>
      </c>
      <c r="P486" s="186">
        <f t="shared" si="223"/>
        <v>120</v>
      </c>
      <c r="Q486" s="186" t="str">
        <f t="shared" si="224"/>
        <v>HW</v>
      </c>
      <c r="R486" s="186" t="str">
        <f t="shared" si="225"/>
        <v>HL</v>
      </c>
      <c r="S486" s="186" t="str">
        <f t="shared" si="226"/>
        <v>HL</v>
      </c>
      <c r="T486" s="186" t="str">
        <f t="shared" si="227"/>
        <v>HL</v>
      </c>
      <c r="U486" s="186" t="str">
        <f t="shared" si="228"/>
        <v>U</v>
      </c>
      <c r="V486" s="186" t="str">
        <f t="shared" si="229"/>
        <v>O</v>
      </c>
      <c r="W486" s="186" t="str">
        <f t="shared" si="230"/>
        <v>O</v>
      </c>
      <c r="X486" s="186" t="str">
        <f t="shared" si="231"/>
        <v>U</v>
      </c>
      <c r="Y486" s="186"/>
      <c r="Z486" s="90">
        <v>55</v>
      </c>
      <c r="AB486" s="90" t="str">
        <f t="shared" si="234"/>
        <v>LAC/UTA</v>
      </c>
      <c r="AC486" s="186">
        <f t="shared" si="232"/>
        <v>2</v>
      </c>
      <c r="AD486" s="186">
        <f t="shared" si="233"/>
        <v>2</v>
      </c>
    </row>
    <row r="487" spans="1:30" x14ac:dyDescent="0.45">
      <c r="A487" s="90">
        <v>191230</v>
      </c>
      <c r="B487" s="91">
        <v>0.33333333333333331</v>
      </c>
      <c r="C487" s="90" t="s">
        <v>413</v>
      </c>
      <c r="D487" s="90" t="s">
        <v>418</v>
      </c>
      <c r="E487" s="160">
        <v>20</v>
      </c>
      <c r="F487" s="160">
        <v>27</v>
      </c>
      <c r="G487" s="160">
        <v>33</v>
      </c>
      <c r="H487" s="160">
        <v>17</v>
      </c>
      <c r="I487" s="160"/>
      <c r="J487" s="160">
        <v>22</v>
      </c>
      <c r="K487" s="160">
        <v>25</v>
      </c>
      <c r="L487" s="160">
        <v>29</v>
      </c>
      <c r="M487" s="160">
        <v>22</v>
      </c>
      <c r="N487" s="160" t="s">
        <v>427</v>
      </c>
      <c r="O487" s="186">
        <f t="shared" si="222"/>
        <v>97</v>
      </c>
      <c r="P487" s="186">
        <f t="shared" si="223"/>
        <v>98</v>
      </c>
      <c r="Q487" s="186" t="str">
        <f t="shared" si="224"/>
        <v>HL</v>
      </c>
      <c r="R487" s="186" t="str">
        <f t="shared" si="225"/>
        <v>HW</v>
      </c>
      <c r="S487" s="186" t="str">
        <f t="shared" si="226"/>
        <v>HW</v>
      </c>
      <c r="T487" s="186" t="str">
        <f t="shared" si="227"/>
        <v>HL</v>
      </c>
      <c r="U487" s="186" t="str">
        <f t="shared" si="228"/>
        <v>U</v>
      </c>
      <c r="V487" s="186" t="str">
        <f t="shared" si="229"/>
        <v>U</v>
      </c>
      <c r="W487" s="186" t="str">
        <f t="shared" si="230"/>
        <v>O</v>
      </c>
      <c r="X487" s="186" t="str">
        <f t="shared" si="231"/>
        <v>U</v>
      </c>
      <c r="Y487" s="186"/>
      <c r="Z487" s="90">
        <v>54</v>
      </c>
      <c r="AB487" s="90" t="str">
        <f t="shared" si="234"/>
        <v>TOR/OKC</v>
      </c>
      <c r="AC487" s="186">
        <f t="shared" si="232"/>
        <v>1</v>
      </c>
      <c r="AD487" s="186">
        <f t="shared" si="233"/>
        <v>3</v>
      </c>
    </row>
    <row r="488" spans="1:30" x14ac:dyDescent="0.45">
      <c r="A488" s="90">
        <v>191230</v>
      </c>
      <c r="B488" s="91">
        <v>0.41666666666666669</v>
      </c>
      <c r="C488" s="90" t="s">
        <v>398</v>
      </c>
      <c r="D488" s="90" t="s">
        <v>403</v>
      </c>
      <c r="E488" s="159">
        <v>36</v>
      </c>
      <c r="F488" s="159">
        <v>28</v>
      </c>
      <c r="G488" s="159">
        <v>22</v>
      </c>
      <c r="H488" s="159">
        <v>41</v>
      </c>
      <c r="I488" s="159"/>
      <c r="J488" s="159">
        <v>37</v>
      </c>
      <c r="K488" s="159">
        <v>27</v>
      </c>
      <c r="L488" s="159">
        <v>29</v>
      </c>
      <c r="M488" s="159">
        <v>19</v>
      </c>
      <c r="N488" s="159" t="s">
        <v>427</v>
      </c>
      <c r="O488" s="186">
        <f t="shared" si="222"/>
        <v>127</v>
      </c>
      <c r="P488" s="186">
        <f t="shared" si="223"/>
        <v>112</v>
      </c>
      <c r="Q488" s="186" t="str">
        <f t="shared" si="224"/>
        <v>HL</v>
      </c>
      <c r="R488" s="186" t="str">
        <f t="shared" si="225"/>
        <v>HW</v>
      </c>
      <c r="S488" s="186" t="str">
        <f t="shared" si="226"/>
        <v>HL</v>
      </c>
      <c r="T488" s="186" t="str">
        <f t="shared" si="227"/>
        <v>HW</v>
      </c>
      <c r="U488" s="186" t="str">
        <f t="shared" si="228"/>
        <v>O</v>
      </c>
      <c r="V488" s="186" t="str">
        <f t="shared" si="229"/>
        <v>U</v>
      </c>
      <c r="W488" s="186" t="str">
        <f t="shared" si="230"/>
        <v>U</v>
      </c>
      <c r="X488" s="186" t="str">
        <f t="shared" si="231"/>
        <v>O</v>
      </c>
      <c r="Y488" s="186"/>
      <c r="Z488" s="90">
        <v>57.5</v>
      </c>
      <c r="AB488" s="90" t="str">
        <f t="shared" si="234"/>
        <v>NO/HOU</v>
      </c>
      <c r="AC488" s="186">
        <f t="shared" si="232"/>
        <v>2</v>
      </c>
      <c r="AD488" s="186">
        <f t="shared" si="233"/>
        <v>2</v>
      </c>
    </row>
    <row r="489" spans="1:30" x14ac:dyDescent="0.45">
      <c r="A489" s="90">
        <v>191230</v>
      </c>
      <c r="B489" s="91">
        <v>0.41666666666666669</v>
      </c>
      <c r="C489" s="90" t="s">
        <v>408</v>
      </c>
      <c r="D489" s="90" t="s">
        <v>416</v>
      </c>
      <c r="E489" s="156">
        <v>31</v>
      </c>
      <c r="F489" s="156">
        <v>31</v>
      </c>
      <c r="G489" s="156">
        <v>26</v>
      </c>
      <c r="H489" s="156">
        <v>32</v>
      </c>
      <c r="I489" s="156"/>
      <c r="J489" s="156">
        <v>32</v>
      </c>
      <c r="K489" s="156">
        <v>25</v>
      </c>
      <c r="L489" s="156">
        <v>24</v>
      </c>
      <c r="M489" s="156">
        <v>34</v>
      </c>
      <c r="N489" s="156" t="s">
        <v>427</v>
      </c>
      <c r="O489" s="186">
        <f t="shared" si="222"/>
        <v>120</v>
      </c>
      <c r="P489" s="186">
        <f t="shared" si="223"/>
        <v>115</v>
      </c>
      <c r="Q489" s="186" t="str">
        <f t="shared" si="224"/>
        <v>HL</v>
      </c>
      <c r="R489" s="186" t="str">
        <f t="shared" si="225"/>
        <v>HW</v>
      </c>
      <c r="S489" s="186" t="str">
        <f t="shared" si="226"/>
        <v>HW</v>
      </c>
      <c r="T489" s="186" t="str">
        <f t="shared" si="227"/>
        <v>HL</v>
      </c>
      <c r="U489" s="186" t="str">
        <f t="shared" si="228"/>
        <v>O</v>
      </c>
      <c r="V489" s="186" t="str">
        <f t="shared" si="229"/>
        <v>O</v>
      </c>
      <c r="W489" s="186" t="str">
        <f t="shared" si="230"/>
        <v>U</v>
      </c>
      <c r="X489" s="186" t="str">
        <f t="shared" si="231"/>
        <v>O</v>
      </c>
      <c r="Y489" s="186"/>
      <c r="Z489" s="90">
        <v>54</v>
      </c>
      <c r="AB489" s="90" t="str">
        <f t="shared" si="234"/>
        <v>DEN/SAC</v>
      </c>
      <c r="AC489" s="186">
        <f t="shared" si="232"/>
        <v>3</v>
      </c>
      <c r="AD489" s="186">
        <f t="shared" si="233"/>
        <v>1</v>
      </c>
    </row>
    <row r="490" spans="1:30" x14ac:dyDescent="0.45">
      <c r="A490" s="90">
        <v>191230</v>
      </c>
      <c r="B490" s="91">
        <v>0.41666666666666669</v>
      </c>
      <c r="C490" s="90" t="s">
        <v>406</v>
      </c>
      <c r="D490" s="90" t="s">
        <v>409</v>
      </c>
      <c r="E490" s="158">
        <v>31</v>
      </c>
      <c r="F490" s="158">
        <v>25</v>
      </c>
      <c r="G490" s="158">
        <v>30</v>
      </c>
      <c r="H490" s="158">
        <v>31</v>
      </c>
      <c r="I490" s="158"/>
      <c r="J490" s="158">
        <v>20</v>
      </c>
      <c r="K490" s="158">
        <v>26</v>
      </c>
      <c r="L490" s="158">
        <v>29</v>
      </c>
      <c r="M490" s="158">
        <v>29</v>
      </c>
      <c r="N490" s="158" t="s">
        <v>427</v>
      </c>
      <c r="O490" s="186">
        <f t="shared" si="222"/>
        <v>117</v>
      </c>
      <c r="P490" s="186">
        <f t="shared" si="223"/>
        <v>104</v>
      </c>
      <c r="Q490" s="186" t="str">
        <f t="shared" si="224"/>
        <v>HW</v>
      </c>
      <c r="R490" s="186" t="str">
        <f t="shared" si="225"/>
        <v>HL</v>
      </c>
      <c r="S490" s="186" t="str">
        <f t="shared" si="226"/>
        <v>HW</v>
      </c>
      <c r="T490" s="186" t="str">
        <f t="shared" si="227"/>
        <v>HW</v>
      </c>
      <c r="U490" s="186" t="str">
        <f t="shared" si="228"/>
        <v>U</v>
      </c>
      <c r="V490" s="186" t="str">
        <f t="shared" si="229"/>
        <v>U</v>
      </c>
      <c r="W490" s="186" t="str">
        <f t="shared" si="230"/>
        <v>O</v>
      </c>
      <c r="X490" s="186" t="str">
        <f t="shared" si="231"/>
        <v>O</v>
      </c>
      <c r="Y490" s="186"/>
      <c r="Z490" s="90">
        <v>56.5</v>
      </c>
      <c r="AB490" s="90" t="str">
        <f t="shared" si="234"/>
        <v>MEM/CHA</v>
      </c>
      <c r="AC490" s="186">
        <f t="shared" si="232"/>
        <v>2</v>
      </c>
      <c r="AD490" s="186">
        <f t="shared" si="233"/>
        <v>2</v>
      </c>
    </row>
    <row r="491" spans="1:30" x14ac:dyDescent="0.45">
      <c r="A491" s="90">
        <v>191230</v>
      </c>
      <c r="B491" s="91">
        <v>0.47916666666666669</v>
      </c>
      <c r="C491" s="90" t="s">
        <v>419</v>
      </c>
      <c r="D491" s="90" t="s">
        <v>397</v>
      </c>
      <c r="E491" s="157">
        <v>25</v>
      </c>
      <c r="F491" s="157">
        <v>29</v>
      </c>
      <c r="G491" s="157">
        <v>30</v>
      </c>
      <c r="H491" s="157">
        <v>24</v>
      </c>
      <c r="I491" s="157"/>
      <c r="J491" s="157">
        <v>19</v>
      </c>
      <c r="K491" s="157">
        <v>24</v>
      </c>
      <c r="L491" s="157">
        <v>26</v>
      </c>
      <c r="M491" s="157">
        <v>26</v>
      </c>
      <c r="N491" s="157" t="s">
        <v>427</v>
      </c>
      <c r="O491" s="186">
        <f t="shared" si="222"/>
        <v>108</v>
      </c>
      <c r="P491" s="186">
        <f t="shared" si="223"/>
        <v>95</v>
      </c>
      <c r="Q491" s="186" t="str">
        <f t="shared" si="224"/>
        <v>HW</v>
      </c>
      <c r="R491" s="186" t="str">
        <f t="shared" si="225"/>
        <v>HW</v>
      </c>
      <c r="S491" s="186" t="str">
        <f t="shared" si="226"/>
        <v>HW</v>
      </c>
      <c r="T491" s="186" t="str">
        <f t="shared" si="227"/>
        <v>HL</v>
      </c>
      <c r="U491" s="186" t="str">
        <f t="shared" si="228"/>
        <v>U</v>
      </c>
      <c r="V491" s="186" t="str">
        <f t="shared" si="229"/>
        <v>U</v>
      </c>
      <c r="W491" s="186" t="str">
        <f t="shared" si="230"/>
        <v>U</v>
      </c>
      <c r="X491" s="186" t="str">
        <f t="shared" si="231"/>
        <v>U</v>
      </c>
      <c r="Y491" s="186"/>
      <c r="Z491" s="90">
        <v>58</v>
      </c>
      <c r="AB491" s="90" t="str">
        <f t="shared" si="234"/>
        <v>LAL/DAL</v>
      </c>
      <c r="AC491" s="186">
        <f t="shared" si="232"/>
        <v>0</v>
      </c>
      <c r="AD491" s="186">
        <f t="shared" si="233"/>
        <v>4</v>
      </c>
    </row>
    <row r="492" spans="1:30" x14ac:dyDescent="0.45">
      <c r="A492" s="90">
        <v>191231</v>
      </c>
      <c r="B492" s="91">
        <v>0.375</v>
      </c>
      <c r="C492" s="90" t="s">
        <v>424</v>
      </c>
      <c r="D492" s="90" t="s">
        <v>410</v>
      </c>
      <c r="E492" s="163">
        <v>21</v>
      </c>
      <c r="F492" s="163">
        <v>36</v>
      </c>
      <c r="G492" s="163">
        <v>15</v>
      </c>
      <c r="H492" s="163">
        <v>21</v>
      </c>
      <c r="I492" s="163"/>
      <c r="J492" s="163">
        <v>25</v>
      </c>
      <c r="K492" s="163">
        <v>22</v>
      </c>
      <c r="L492" s="163">
        <v>27</v>
      </c>
      <c r="M492" s="163">
        <v>27</v>
      </c>
      <c r="N492" s="163" t="s">
        <v>427</v>
      </c>
      <c r="O492" s="186">
        <f t="shared" si="222"/>
        <v>93</v>
      </c>
      <c r="P492" s="186">
        <f t="shared" si="223"/>
        <v>101</v>
      </c>
      <c r="Q492" s="186" t="str">
        <f t="shared" si="224"/>
        <v>HL</v>
      </c>
      <c r="R492" s="186" t="str">
        <f t="shared" si="225"/>
        <v>HW</v>
      </c>
      <c r="S492" s="186" t="str">
        <f t="shared" si="226"/>
        <v>HL</v>
      </c>
      <c r="T492" s="186" t="str">
        <f t="shared" si="227"/>
        <v>HL</v>
      </c>
      <c r="U492" s="186" t="str">
        <f t="shared" si="228"/>
        <v>U</v>
      </c>
      <c r="V492" s="186" t="str">
        <f t="shared" si="229"/>
        <v>O</v>
      </c>
      <c r="W492" s="186" t="str">
        <f t="shared" si="230"/>
        <v>U</v>
      </c>
      <c r="X492" s="186" t="str">
        <f t="shared" si="231"/>
        <v>U</v>
      </c>
      <c r="Y492" s="186"/>
      <c r="Z492" s="90">
        <v>54</v>
      </c>
      <c r="AB492" s="90" t="str">
        <f t="shared" si="234"/>
        <v>ORL/ATL</v>
      </c>
      <c r="AC492" s="186">
        <f t="shared" si="232"/>
        <v>1</v>
      </c>
      <c r="AD492" s="186">
        <f t="shared" si="233"/>
        <v>3</v>
      </c>
    </row>
    <row r="493" spans="1:30" x14ac:dyDescent="0.45">
      <c r="A493" s="90">
        <v>191231</v>
      </c>
      <c r="B493" s="91">
        <v>0.375</v>
      </c>
      <c r="C493" s="90" t="s">
        <v>414</v>
      </c>
      <c r="D493" s="90" t="s">
        <v>411</v>
      </c>
      <c r="E493" s="166">
        <v>29</v>
      </c>
      <c r="F493" s="166">
        <v>42</v>
      </c>
      <c r="G493" s="166">
        <v>19</v>
      </c>
      <c r="H493" s="166">
        <v>33</v>
      </c>
      <c r="I493" s="166"/>
      <c r="J493" s="166">
        <v>39</v>
      </c>
      <c r="K493" s="166">
        <v>24</v>
      </c>
      <c r="L493" s="166">
        <v>18</v>
      </c>
      <c r="M493" s="166">
        <v>24</v>
      </c>
      <c r="N493" s="166" t="s">
        <v>427</v>
      </c>
      <c r="O493" s="186">
        <f t="shared" si="222"/>
        <v>123</v>
      </c>
      <c r="P493" s="186">
        <f t="shared" si="223"/>
        <v>105</v>
      </c>
      <c r="Q493" s="186" t="str">
        <f t="shared" si="224"/>
        <v>HL</v>
      </c>
      <c r="R493" s="186" t="str">
        <f t="shared" si="225"/>
        <v>HW</v>
      </c>
      <c r="S493" s="186" t="str">
        <f t="shared" si="226"/>
        <v>HW</v>
      </c>
      <c r="T493" s="186" t="str">
        <f t="shared" si="227"/>
        <v>HW</v>
      </c>
      <c r="U493" s="186" t="str">
        <f t="shared" si="228"/>
        <v>O</v>
      </c>
      <c r="V493" s="186" t="str">
        <f t="shared" si="229"/>
        <v>O</v>
      </c>
      <c r="W493" s="186" t="str">
        <f t="shared" si="230"/>
        <v>U</v>
      </c>
      <c r="X493" s="186" t="str">
        <f t="shared" si="231"/>
        <v>U</v>
      </c>
      <c r="Y493" s="186"/>
      <c r="Z493" s="90">
        <v>57.5</v>
      </c>
      <c r="AB493" s="90" t="str">
        <f t="shared" si="234"/>
        <v>WAS/MIA</v>
      </c>
      <c r="AC493" s="186">
        <f t="shared" si="232"/>
        <v>2</v>
      </c>
      <c r="AD493" s="186">
        <f t="shared" si="233"/>
        <v>2</v>
      </c>
    </row>
    <row r="494" spans="1:30" x14ac:dyDescent="0.45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61">
        <v>20</v>
      </c>
      <c r="F494" s="161">
        <v>32</v>
      </c>
      <c r="G494" s="161">
        <v>25</v>
      </c>
      <c r="H494" s="161">
        <v>25</v>
      </c>
      <c r="I494" s="161"/>
      <c r="J494" s="161">
        <v>31</v>
      </c>
      <c r="K494" s="161">
        <v>24</v>
      </c>
      <c r="L494" s="161">
        <v>40</v>
      </c>
      <c r="M494" s="161">
        <v>28</v>
      </c>
      <c r="N494" s="161" t="s">
        <v>427</v>
      </c>
      <c r="O494" s="186">
        <f t="shared" si="222"/>
        <v>102</v>
      </c>
      <c r="P494" s="186">
        <f t="shared" si="223"/>
        <v>123</v>
      </c>
      <c r="Q494" s="186" t="str">
        <f t="shared" si="224"/>
        <v>HL</v>
      </c>
      <c r="R494" s="186" t="str">
        <f t="shared" si="225"/>
        <v>HW</v>
      </c>
      <c r="S494" s="186" t="str">
        <f t="shared" si="226"/>
        <v>HL</v>
      </c>
      <c r="T494" s="186" t="str">
        <f t="shared" si="227"/>
        <v>HL</v>
      </c>
      <c r="U494" s="186" t="str">
        <f t="shared" si="228"/>
        <v>U</v>
      </c>
      <c r="V494" s="186" t="str">
        <f t="shared" si="229"/>
        <v>O</v>
      </c>
      <c r="W494" s="186" t="str">
        <f t="shared" si="230"/>
        <v>O</v>
      </c>
      <c r="X494" s="186" t="str">
        <f t="shared" si="231"/>
        <v>U</v>
      </c>
      <c r="Y494" s="186"/>
      <c r="Z494" s="90">
        <v>55</v>
      </c>
      <c r="AB494" s="90" t="str">
        <f t="shared" si="234"/>
        <v>CHI/MIL</v>
      </c>
      <c r="AC494" s="186">
        <f t="shared" si="232"/>
        <v>2</v>
      </c>
      <c r="AD494" s="186">
        <f t="shared" si="233"/>
        <v>2</v>
      </c>
    </row>
    <row r="495" spans="1:30" x14ac:dyDescent="0.45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62">
        <v>27</v>
      </c>
      <c r="F495" s="162">
        <v>22</v>
      </c>
      <c r="G495" s="162">
        <v>25</v>
      </c>
      <c r="H495" s="162">
        <v>29</v>
      </c>
      <c r="I495" s="162">
        <v>19</v>
      </c>
      <c r="J495" s="162">
        <v>29</v>
      </c>
      <c r="K495" s="162">
        <v>21</v>
      </c>
      <c r="L495" s="162">
        <v>30</v>
      </c>
      <c r="M495" s="162">
        <v>23</v>
      </c>
      <c r="N495" s="162">
        <v>12</v>
      </c>
      <c r="O495" s="186">
        <f t="shared" ref="O495:O517" si="235">SUM(E495:I495)</f>
        <v>122</v>
      </c>
      <c r="P495" s="186">
        <f t="shared" ref="P495:P517" si="236">SUM(J495:N495)</f>
        <v>115</v>
      </c>
      <c r="Q495" s="186" t="str">
        <f t="shared" ref="Q495:Q517" si="237">IF(E495=J495,"TT",IF(E495&gt;J495,"HW","HL"))</f>
        <v>HL</v>
      </c>
      <c r="R495" s="186" t="str">
        <f t="shared" ref="R495:R517" si="238">IF(F495=K495,"TT",IF(F495&gt;K495,"HW","HL"))</f>
        <v>HW</v>
      </c>
      <c r="S495" s="186" t="str">
        <f t="shared" ref="S495:S517" si="239">IF(G495=L495,"TT",IF(G495&gt;L495,"HW","HL"))</f>
        <v>HL</v>
      </c>
      <c r="T495" s="186" t="str">
        <f t="shared" ref="T495:T517" si="240">IF(H495=M495,"TT",IF(H495&gt;M495,"HW","HL"))</f>
        <v>HW</v>
      </c>
      <c r="U495" s="186" t="str">
        <f t="shared" ref="U495:U517" si="241">IF(SUM(E495,J495)=$Z495,"T",IF(SUM(E495,J495)&gt;$Z495,"O","U"))</f>
        <v>O</v>
      </c>
      <c r="V495" s="186" t="str">
        <f t="shared" ref="V495:V517" si="242">IF(SUM(F495,K495)=$Z495,"T",IF(SUM(F495,K495)&gt;$Z495,"O","U"))</f>
        <v>U</v>
      </c>
      <c r="W495" s="186" t="str">
        <f t="shared" ref="W495:W517" si="243">IF(SUM(G495,L495)=$Z495,"T",IF(SUM(G495,L495)&gt;$Z495,"O","U"))</f>
        <v>O</v>
      </c>
      <c r="X495" s="186" t="str">
        <f t="shared" ref="X495:X517" si="244">IF(SUM(H495,M495)=$Z495,"T",IF(SUM(H495,M495)&gt;$Z495,"O","U"))</f>
        <v>U</v>
      </c>
      <c r="Y495" s="186"/>
      <c r="Z495" s="90">
        <v>53.5</v>
      </c>
      <c r="AB495" s="90" t="str">
        <f t="shared" si="234"/>
        <v>MIN/BKN</v>
      </c>
      <c r="AC495" s="186">
        <f t="shared" ref="AC495:AC517" si="245">COUNTIF(U495:X495,"o")</f>
        <v>2</v>
      </c>
      <c r="AD495" s="186">
        <f t="shared" ref="AD495:AD517" si="246">COUNTIF(U495:X495,"u")</f>
        <v>2</v>
      </c>
    </row>
    <row r="496" spans="1:30" x14ac:dyDescent="0.45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65">
        <v>19</v>
      </c>
      <c r="F496" s="165">
        <v>20</v>
      </c>
      <c r="G496" s="165">
        <v>29</v>
      </c>
      <c r="H496" s="165">
        <v>36</v>
      </c>
      <c r="I496" s="165"/>
      <c r="J496" s="165">
        <v>21</v>
      </c>
      <c r="K496" s="165">
        <v>19</v>
      </c>
      <c r="L496" s="165">
        <v>18</v>
      </c>
      <c r="M496" s="165">
        <v>23</v>
      </c>
      <c r="N496" s="165" t="s">
        <v>427</v>
      </c>
      <c r="O496" s="186">
        <f t="shared" si="235"/>
        <v>104</v>
      </c>
      <c r="P496" s="186">
        <f t="shared" si="236"/>
        <v>81</v>
      </c>
      <c r="Q496" s="186" t="str">
        <f t="shared" si="237"/>
        <v>HL</v>
      </c>
      <c r="R496" s="186" t="str">
        <f t="shared" si="238"/>
        <v>HW</v>
      </c>
      <c r="S496" s="186" t="str">
        <f t="shared" si="239"/>
        <v>HW</v>
      </c>
      <c r="T496" s="186" t="str">
        <f t="shared" si="240"/>
        <v>HW</v>
      </c>
      <c r="U496" s="186" t="str">
        <f t="shared" si="241"/>
        <v>U</v>
      </c>
      <c r="V496" s="186" t="str">
        <f t="shared" si="242"/>
        <v>U</v>
      </c>
      <c r="W496" s="186" t="str">
        <f t="shared" si="243"/>
        <v>U</v>
      </c>
      <c r="X496" s="186" t="str">
        <f t="shared" si="244"/>
        <v>O</v>
      </c>
      <c r="Y496" s="186"/>
      <c r="Z496" s="90">
        <v>56</v>
      </c>
      <c r="AB496" s="90" t="str">
        <f t="shared" si="234"/>
        <v>UTA/DET</v>
      </c>
      <c r="AC496" s="186">
        <f t="shared" si="245"/>
        <v>1</v>
      </c>
      <c r="AD496" s="186">
        <f t="shared" si="246"/>
        <v>3</v>
      </c>
    </row>
    <row r="497" spans="1:30" x14ac:dyDescent="0.45">
      <c r="A497" s="90">
        <v>191231</v>
      </c>
      <c r="B497" s="91">
        <v>0.5</v>
      </c>
      <c r="C497" s="90" t="s">
        <v>417</v>
      </c>
      <c r="D497" s="90" t="s">
        <v>404</v>
      </c>
      <c r="E497" s="164">
        <v>38</v>
      </c>
      <c r="F497" s="164">
        <v>26</v>
      </c>
      <c r="G497" s="164">
        <v>25</v>
      </c>
      <c r="H497" s="164">
        <v>27</v>
      </c>
      <c r="I497" s="164"/>
      <c r="J497" s="164">
        <v>19</v>
      </c>
      <c r="K497" s="164">
        <v>36</v>
      </c>
      <c r="L497" s="164">
        <v>28</v>
      </c>
      <c r="M497" s="164">
        <v>39</v>
      </c>
      <c r="N497" s="164" t="s">
        <v>427</v>
      </c>
      <c r="O497" s="186">
        <f t="shared" si="235"/>
        <v>116</v>
      </c>
      <c r="P497" s="186">
        <f t="shared" si="236"/>
        <v>122</v>
      </c>
      <c r="Q497" s="186" t="str">
        <f t="shared" si="237"/>
        <v>HW</v>
      </c>
      <c r="R497" s="186" t="str">
        <f t="shared" si="238"/>
        <v>HL</v>
      </c>
      <c r="S497" s="186" t="str">
        <f t="shared" si="239"/>
        <v>HL</v>
      </c>
      <c r="T497" s="186" t="str">
        <f t="shared" si="240"/>
        <v>HL</v>
      </c>
      <c r="U497" s="186" t="str">
        <f t="shared" si="241"/>
        <v>O</v>
      </c>
      <c r="V497" s="186" t="str">
        <f t="shared" si="242"/>
        <v>O</v>
      </c>
      <c r="W497" s="186" t="str">
        <f t="shared" si="243"/>
        <v>U</v>
      </c>
      <c r="X497" s="186" t="str">
        <f t="shared" si="244"/>
        <v>O</v>
      </c>
      <c r="Y497" s="186"/>
      <c r="Z497" s="90">
        <v>56.5</v>
      </c>
      <c r="AB497" s="90" t="str">
        <f t="shared" si="234"/>
        <v>POR/PHO</v>
      </c>
      <c r="AC497" s="186">
        <f t="shared" si="245"/>
        <v>3</v>
      </c>
      <c r="AD497" s="186">
        <f t="shared" si="246"/>
        <v>1</v>
      </c>
    </row>
    <row r="498" spans="1:30" x14ac:dyDescent="0.45">
      <c r="A498" s="98">
        <v>200101</v>
      </c>
      <c r="B498" s="99">
        <v>0.20833333333333334</v>
      </c>
      <c r="C498" s="98" t="s">
        <v>400</v>
      </c>
      <c r="D498" s="98" t="s">
        <v>401</v>
      </c>
      <c r="E498" s="169">
        <v>29</v>
      </c>
      <c r="F498" s="169">
        <v>38</v>
      </c>
      <c r="G498" s="169">
        <v>29</v>
      </c>
      <c r="H498" s="169">
        <v>19</v>
      </c>
      <c r="I498" s="169"/>
      <c r="J498" s="169">
        <v>27</v>
      </c>
      <c r="K498" s="169">
        <v>16</v>
      </c>
      <c r="L498" s="169">
        <v>23</v>
      </c>
      <c r="M498" s="169">
        <v>31</v>
      </c>
      <c r="N498" s="169" t="s">
        <v>427</v>
      </c>
      <c r="O498" s="186">
        <f t="shared" si="235"/>
        <v>115</v>
      </c>
      <c r="P498" s="186">
        <f t="shared" si="236"/>
        <v>97</v>
      </c>
      <c r="Q498" s="186" t="str">
        <f t="shared" si="237"/>
        <v>HW</v>
      </c>
      <c r="R498" s="186" t="str">
        <f t="shared" si="238"/>
        <v>HW</v>
      </c>
      <c r="S498" s="186" t="str">
        <f t="shared" si="239"/>
        <v>HW</v>
      </c>
      <c r="T498" s="186" t="str">
        <f t="shared" si="240"/>
        <v>HL</v>
      </c>
      <c r="U498" s="186" t="str">
        <f t="shared" si="241"/>
        <v>O</v>
      </c>
      <c r="V498" s="186" t="str">
        <f t="shared" si="242"/>
        <v>O</v>
      </c>
      <c r="W498" s="186" t="str">
        <f t="shared" si="243"/>
        <v>U</v>
      </c>
      <c r="X498" s="186" t="str">
        <f t="shared" si="244"/>
        <v>U</v>
      </c>
      <c r="Y498" s="186"/>
      <c r="Z498" s="186">
        <v>53</v>
      </c>
      <c r="AB498" s="186" t="str">
        <f t="shared" si="234"/>
        <v>IND/PHI</v>
      </c>
      <c r="AC498" s="186">
        <f t="shared" si="245"/>
        <v>2</v>
      </c>
      <c r="AD498" s="186">
        <f t="shared" si="246"/>
        <v>2</v>
      </c>
    </row>
    <row r="499" spans="1:30" x14ac:dyDescent="0.45">
      <c r="A499" s="98">
        <v>200101</v>
      </c>
      <c r="B499" s="99">
        <v>0.20833333333333334</v>
      </c>
      <c r="C499" s="98" t="s">
        <v>409</v>
      </c>
      <c r="D499" s="98" t="s">
        <v>421</v>
      </c>
      <c r="E499" s="167">
        <v>18</v>
      </c>
      <c r="F499" s="167">
        <v>25</v>
      </c>
      <c r="G499" s="167">
        <v>30</v>
      </c>
      <c r="H499" s="167">
        <v>19</v>
      </c>
      <c r="I499" s="167"/>
      <c r="J499" s="167">
        <v>24</v>
      </c>
      <c r="K499" s="167">
        <v>26</v>
      </c>
      <c r="L499" s="167">
        <v>30</v>
      </c>
      <c r="M499" s="167">
        <v>29</v>
      </c>
      <c r="N499" s="167" t="s">
        <v>427</v>
      </c>
      <c r="O499" s="186">
        <f t="shared" si="235"/>
        <v>92</v>
      </c>
      <c r="P499" s="186">
        <f t="shared" si="236"/>
        <v>109</v>
      </c>
      <c r="Q499" s="186" t="str">
        <f t="shared" si="237"/>
        <v>HL</v>
      </c>
      <c r="R499" s="186" t="str">
        <f t="shared" si="238"/>
        <v>HL</v>
      </c>
      <c r="S499" s="186" t="str">
        <f t="shared" si="239"/>
        <v>TT</v>
      </c>
      <c r="T499" s="186" t="str">
        <f t="shared" si="240"/>
        <v>HL</v>
      </c>
      <c r="U499" s="186" t="str">
        <f t="shared" si="241"/>
        <v>U</v>
      </c>
      <c r="V499" s="186" t="str">
        <f t="shared" si="242"/>
        <v>U</v>
      </c>
      <c r="W499" s="186" t="str">
        <f t="shared" si="243"/>
        <v>O</v>
      </c>
      <c r="X499" s="186" t="str">
        <f t="shared" si="244"/>
        <v>U</v>
      </c>
      <c r="Y499" s="186"/>
      <c r="Z499" s="186">
        <v>52.5</v>
      </c>
      <c r="AB499" s="186" t="str">
        <f t="shared" si="234"/>
        <v>CHA/BOS</v>
      </c>
      <c r="AC499" s="186">
        <f t="shared" si="245"/>
        <v>1</v>
      </c>
      <c r="AD499" s="186">
        <f t="shared" si="246"/>
        <v>3</v>
      </c>
    </row>
    <row r="500" spans="1:30" x14ac:dyDescent="0.45">
      <c r="A500" s="98">
        <v>200101</v>
      </c>
      <c r="B500" s="99">
        <v>0.29166666666666669</v>
      </c>
      <c r="C500" s="98" t="s">
        <v>416</v>
      </c>
      <c r="D500" s="98" t="s">
        <v>415</v>
      </c>
      <c r="E500" s="171">
        <v>23</v>
      </c>
      <c r="F500" s="171">
        <v>17</v>
      </c>
      <c r="G500" s="171">
        <v>33</v>
      </c>
      <c r="H500" s="171">
        <v>14</v>
      </c>
      <c r="I500" s="171"/>
      <c r="J500" s="171">
        <v>28</v>
      </c>
      <c r="K500" s="171">
        <v>29</v>
      </c>
      <c r="L500" s="171">
        <v>31</v>
      </c>
      <c r="M500" s="171">
        <v>17</v>
      </c>
      <c r="N500" s="171" t="s">
        <v>427</v>
      </c>
      <c r="O500" s="186">
        <f t="shared" si="235"/>
        <v>87</v>
      </c>
      <c r="P500" s="186">
        <f t="shared" si="236"/>
        <v>105</v>
      </c>
      <c r="Q500" s="186" t="str">
        <f t="shared" si="237"/>
        <v>HL</v>
      </c>
      <c r="R500" s="186" t="str">
        <f t="shared" si="238"/>
        <v>HL</v>
      </c>
      <c r="S500" s="186" t="str">
        <f t="shared" si="239"/>
        <v>HW</v>
      </c>
      <c r="T500" s="186" t="str">
        <f t="shared" si="240"/>
        <v>HL</v>
      </c>
      <c r="U500" s="186" t="str">
        <f t="shared" si="241"/>
        <v>U</v>
      </c>
      <c r="V500" s="186" t="str">
        <f t="shared" si="242"/>
        <v>U</v>
      </c>
      <c r="W500" s="186" t="str">
        <f t="shared" si="243"/>
        <v>O</v>
      </c>
      <c r="X500" s="186" t="str">
        <f t="shared" si="244"/>
        <v>U</v>
      </c>
      <c r="Y500" s="186"/>
      <c r="Z500" s="186">
        <v>57</v>
      </c>
      <c r="AB500" s="186" t="str">
        <f t="shared" si="234"/>
        <v>SAC/LAC</v>
      </c>
      <c r="AC500" s="186">
        <f t="shared" si="245"/>
        <v>1</v>
      </c>
      <c r="AD500" s="186">
        <f t="shared" si="246"/>
        <v>3</v>
      </c>
    </row>
    <row r="501" spans="1:30" x14ac:dyDescent="0.45">
      <c r="A501" s="98">
        <v>200101</v>
      </c>
      <c r="B501" s="99">
        <v>0.375</v>
      </c>
      <c r="C501" s="98" t="s">
        <v>403</v>
      </c>
      <c r="D501" s="98" t="s">
        <v>408</v>
      </c>
      <c r="E501" s="168">
        <v>38</v>
      </c>
      <c r="F501" s="168">
        <v>31</v>
      </c>
      <c r="G501" s="168">
        <v>23</v>
      </c>
      <c r="H501" s="168">
        <v>38</v>
      </c>
      <c r="I501" s="168"/>
      <c r="J501" s="168">
        <v>26</v>
      </c>
      <c r="K501" s="168">
        <v>26</v>
      </c>
      <c r="L501" s="168">
        <v>37</v>
      </c>
      <c r="M501" s="168">
        <v>15</v>
      </c>
      <c r="N501" s="168" t="s">
        <v>427</v>
      </c>
      <c r="O501" s="186">
        <f t="shared" si="235"/>
        <v>130</v>
      </c>
      <c r="P501" s="186">
        <f t="shared" si="236"/>
        <v>104</v>
      </c>
      <c r="Q501" s="186" t="str">
        <f t="shared" si="237"/>
        <v>HW</v>
      </c>
      <c r="R501" s="186" t="str">
        <f t="shared" si="238"/>
        <v>HW</v>
      </c>
      <c r="S501" s="186" t="str">
        <f t="shared" si="239"/>
        <v>HL</v>
      </c>
      <c r="T501" s="186" t="str">
        <f t="shared" si="240"/>
        <v>HW</v>
      </c>
      <c r="U501" s="186" t="str">
        <f t="shared" si="241"/>
        <v>O</v>
      </c>
      <c r="V501" s="186" t="str">
        <f t="shared" si="242"/>
        <v>U</v>
      </c>
      <c r="W501" s="186" t="str">
        <f t="shared" si="243"/>
        <v>O</v>
      </c>
      <c r="X501" s="186" t="str">
        <f t="shared" si="244"/>
        <v>U</v>
      </c>
      <c r="Y501" s="186"/>
      <c r="Z501" s="186">
        <v>58</v>
      </c>
      <c r="AB501" s="186" t="str">
        <f t="shared" si="234"/>
        <v>HOU/DEN</v>
      </c>
      <c r="AC501" s="186">
        <f t="shared" si="245"/>
        <v>2</v>
      </c>
      <c r="AD501" s="186">
        <f t="shared" si="246"/>
        <v>2</v>
      </c>
    </row>
    <row r="502" spans="1:30" x14ac:dyDescent="0.45">
      <c r="A502" s="98">
        <v>200101</v>
      </c>
      <c r="B502" s="99">
        <v>0.375</v>
      </c>
      <c r="C502" s="98" t="s">
        <v>426</v>
      </c>
      <c r="D502" s="98" t="s">
        <v>425</v>
      </c>
      <c r="E502" s="172">
        <v>25</v>
      </c>
      <c r="F502" s="172">
        <v>28</v>
      </c>
      <c r="G502" s="172">
        <v>24</v>
      </c>
      <c r="H502" s="172">
        <v>23</v>
      </c>
      <c r="I502" s="172">
        <v>17</v>
      </c>
      <c r="J502" s="172">
        <v>32</v>
      </c>
      <c r="K502" s="172">
        <v>23</v>
      </c>
      <c r="L502" s="172">
        <v>20</v>
      </c>
      <c r="M502" s="172">
        <v>25</v>
      </c>
      <c r="N502" s="172">
        <v>13</v>
      </c>
      <c r="O502" s="186">
        <f t="shared" si="235"/>
        <v>117</v>
      </c>
      <c r="P502" s="186">
        <f t="shared" si="236"/>
        <v>113</v>
      </c>
      <c r="Q502" s="186" t="str">
        <f t="shared" si="237"/>
        <v>HL</v>
      </c>
      <c r="R502" s="186" t="str">
        <f t="shared" si="238"/>
        <v>HW</v>
      </c>
      <c r="S502" s="186" t="str">
        <f t="shared" si="239"/>
        <v>HW</v>
      </c>
      <c r="T502" s="186" t="str">
        <f t="shared" si="240"/>
        <v>HL</v>
      </c>
      <c r="U502" s="186" t="str">
        <f t="shared" si="241"/>
        <v>O</v>
      </c>
      <c r="V502" s="186" t="str">
        <f t="shared" si="242"/>
        <v>U</v>
      </c>
      <c r="W502" s="186" t="str">
        <f t="shared" si="243"/>
        <v>U</v>
      </c>
      <c r="X502" s="186" t="str">
        <f t="shared" si="244"/>
        <v>U</v>
      </c>
      <c r="Y502" s="186"/>
      <c r="Z502" s="186">
        <v>56</v>
      </c>
      <c r="AB502" s="186" t="str">
        <f t="shared" si="234"/>
        <v>SAS/GS</v>
      </c>
      <c r="AC502" s="186">
        <f t="shared" si="245"/>
        <v>1</v>
      </c>
      <c r="AD502" s="186">
        <f t="shared" si="246"/>
        <v>3</v>
      </c>
    </row>
    <row r="503" spans="1:30" x14ac:dyDescent="0.45">
      <c r="A503" s="98">
        <v>200101</v>
      </c>
      <c r="B503" s="99">
        <v>0.375</v>
      </c>
      <c r="C503" s="98" t="s">
        <v>413</v>
      </c>
      <c r="D503" s="98" t="s">
        <v>402</v>
      </c>
      <c r="E503" s="173">
        <v>27</v>
      </c>
      <c r="F503" s="173">
        <v>32</v>
      </c>
      <c r="G503" s="173">
        <v>27</v>
      </c>
      <c r="H503" s="173">
        <v>31</v>
      </c>
      <c r="I503" s="173"/>
      <c r="J503" s="173">
        <v>25</v>
      </c>
      <c r="K503" s="173">
        <v>18</v>
      </c>
      <c r="L503" s="173">
        <v>26</v>
      </c>
      <c r="M503" s="173">
        <v>28</v>
      </c>
      <c r="N503" s="173" t="s">
        <v>427</v>
      </c>
      <c r="O503" s="186">
        <f t="shared" si="235"/>
        <v>117</v>
      </c>
      <c r="P503" s="186">
        <f t="shared" si="236"/>
        <v>97</v>
      </c>
      <c r="Q503" s="186" t="str">
        <f t="shared" si="237"/>
        <v>HW</v>
      </c>
      <c r="R503" s="186" t="str">
        <f t="shared" si="238"/>
        <v>HW</v>
      </c>
      <c r="S503" s="186" t="str">
        <f t="shared" si="239"/>
        <v>HW</v>
      </c>
      <c r="T503" s="186" t="str">
        <f t="shared" si="240"/>
        <v>HW</v>
      </c>
      <c r="U503" s="186" t="str">
        <f t="shared" si="241"/>
        <v>U</v>
      </c>
      <c r="V503" s="186" t="str">
        <f t="shared" si="242"/>
        <v>U</v>
      </c>
      <c r="W503" s="186" t="str">
        <f t="shared" si="243"/>
        <v>U</v>
      </c>
      <c r="X503" s="186" t="str">
        <f t="shared" si="244"/>
        <v>O</v>
      </c>
      <c r="Y503" s="186"/>
      <c r="Z503" s="186">
        <v>53.5</v>
      </c>
      <c r="AB503" s="186" t="str">
        <f t="shared" si="234"/>
        <v>TOR/CLE</v>
      </c>
      <c r="AC503" s="186">
        <f t="shared" si="245"/>
        <v>1</v>
      </c>
      <c r="AD503" s="186">
        <f t="shared" si="246"/>
        <v>3</v>
      </c>
    </row>
    <row r="504" spans="1:30" x14ac:dyDescent="0.45">
      <c r="A504" s="98">
        <v>200101</v>
      </c>
      <c r="B504" s="99">
        <v>0.41666666666666669</v>
      </c>
      <c r="C504" s="98" t="s">
        <v>418</v>
      </c>
      <c r="D504" s="98" t="s">
        <v>397</v>
      </c>
      <c r="E504" s="170">
        <v>20</v>
      </c>
      <c r="F504" s="170">
        <v>30</v>
      </c>
      <c r="G504" s="170">
        <v>27</v>
      </c>
      <c r="H504" s="170">
        <v>29</v>
      </c>
      <c r="I504" s="170"/>
      <c r="J504" s="170">
        <v>32</v>
      </c>
      <c r="K504" s="170">
        <v>19</v>
      </c>
      <c r="L504" s="170">
        <v>27</v>
      </c>
      <c r="M504" s="170">
        <v>23</v>
      </c>
      <c r="N504" s="170" t="s">
        <v>427</v>
      </c>
      <c r="O504" s="186">
        <f t="shared" si="235"/>
        <v>106</v>
      </c>
      <c r="P504" s="186">
        <f t="shared" si="236"/>
        <v>101</v>
      </c>
      <c r="Q504" s="186" t="str">
        <f t="shared" si="237"/>
        <v>HL</v>
      </c>
      <c r="R504" s="186" t="str">
        <f t="shared" si="238"/>
        <v>HW</v>
      </c>
      <c r="S504" s="186" t="str">
        <f t="shared" si="239"/>
        <v>TT</v>
      </c>
      <c r="T504" s="186" t="str">
        <f t="shared" si="240"/>
        <v>HW</v>
      </c>
      <c r="U504" s="186" t="str">
        <f t="shared" si="241"/>
        <v>U</v>
      </c>
      <c r="V504" s="186" t="str">
        <f t="shared" si="242"/>
        <v>U</v>
      </c>
      <c r="W504" s="186" t="str">
        <f t="shared" si="243"/>
        <v>U</v>
      </c>
      <c r="X504" s="186" t="str">
        <f t="shared" si="244"/>
        <v>U</v>
      </c>
      <c r="Y504" s="186"/>
      <c r="Z504" s="186">
        <v>56.5</v>
      </c>
      <c r="AB504" s="186" t="str">
        <f t="shared" si="234"/>
        <v>OKC/DAL</v>
      </c>
      <c r="AC504" s="186">
        <f t="shared" si="245"/>
        <v>0</v>
      </c>
      <c r="AD504" s="186">
        <f t="shared" si="246"/>
        <v>4</v>
      </c>
    </row>
    <row r="505" spans="1:30" x14ac:dyDescent="0.45">
      <c r="A505" s="98">
        <v>200102</v>
      </c>
      <c r="B505" s="99">
        <v>0.33333333333333331</v>
      </c>
      <c r="C505" s="98" t="s">
        <v>414</v>
      </c>
      <c r="D505" s="98" t="s">
        <v>424</v>
      </c>
      <c r="E505" s="177">
        <v>29</v>
      </c>
      <c r="F505" s="177">
        <v>29</v>
      </c>
      <c r="G505" s="177">
        <v>25</v>
      </c>
      <c r="H505" s="177">
        <v>18</v>
      </c>
      <c r="I505" s="177"/>
      <c r="J505" s="177">
        <v>31</v>
      </c>
      <c r="K505" s="177">
        <v>31</v>
      </c>
      <c r="L505" s="177">
        <v>32</v>
      </c>
      <c r="M505" s="177">
        <v>28</v>
      </c>
      <c r="N505" s="177" t="s">
        <v>427</v>
      </c>
      <c r="O505" s="186">
        <f t="shared" si="235"/>
        <v>101</v>
      </c>
      <c r="P505" s="186">
        <f t="shared" si="236"/>
        <v>122</v>
      </c>
      <c r="Q505" s="186" t="str">
        <f t="shared" si="237"/>
        <v>HL</v>
      </c>
      <c r="R505" s="186" t="str">
        <f t="shared" si="238"/>
        <v>HL</v>
      </c>
      <c r="S505" s="186" t="str">
        <f t="shared" si="239"/>
        <v>HL</v>
      </c>
      <c r="T505" s="186" t="str">
        <f t="shared" si="240"/>
        <v>HL</v>
      </c>
      <c r="U505" s="186" t="str">
        <f t="shared" si="241"/>
        <v>O</v>
      </c>
      <c r="V505" s="186" t="str">
        <f t="shared" si="242"/>
        <v>O</v>
      </c>
      <c r="W505" s="186" t="str">
        <f t="shared" si="243"/>
        <v>T</v>
      </c>
      <c r="X505" s="186" t="str">
        <f t="shared" si="244"/>
        <v>U</v>
      </c>
      <c r="Y505" s="186"/>
      <c r="Z505" s="186">
        <v>57</v>
      </c>
      <c r="AB505" s="186" t="str">
        <f t="shared" si="234"/>
        <v>WAS/ORL</v>
      </c>
      <c r="AC505" s="186">
        <f t="shared" si="245"/>
        <v>2</v>
      </c>
      <c r="AD505" s="186">
        <f t="shared" si="246"/>
        <v>1</v>
      </c>
    </row>
    <row r="506" spans="1:30" x14ac:dyDescent="0.45">
      <c r="A506" s="98">
        <v>200102</v>
      </c>
      <c r="B506" s="99">
        <v>0.39583333333333331</v>
      </c>
      <c r="C506" s="98" t="s">
        <v>399</v>
      </c>
      <c r="D506" s="98" t="s">
        <v>417</v>
      </c>
      <c r="E506" s="176">
        <v>25</v>
      </c>
      <c r="F506" s="176">
        <v>26</v>
      </c>
      <c r="G506" s="176">
        <v>32</v>
      </c>
      <c r="H506" s="176">
        <v>34</v>
      </c>
      <c r="I506" s="176"/>
      <c r="J506" s="176">
        <v>27</v>
      </c>
      <c r="K506" s="176">
        <v>21</v>
      </c>
      <c r="L506" s="176">
        <v>29</v>
      </c>
      <c r="M506" s="176">
        <v>16</v>
      </c>
      <c r="N506" s="176" t="s">
        <v>427</v>
      </c>
      <c r="O506" s="186">
        <f t="shared" si="235"/>
        <v>117</v>
      </c>
      <c r="P506" s="186">
        <f t="shared" si="236"/>
        <v>93</v>
      </c>
      <c r="Q506" s="186" t="str">
        <f t="shared" si="237"/>
        <v>HL</v>
      </c>
      <c r="R506" s="186" t="str">
        <f t="shared" si="238"/>
        <v>HW</v>
      </c>
      <c r="S506" s="186" t="str">
        <f t="shared" si="239"/>
        <v>HW</v>
      </c>
      <c r="T506" s="186" t="str">
        <f t="shared" si="240"/>
        <v>HW</v>
      </c>
      <c r="U506" s="186" t="str">
        <f t="shared" si="241"/>
        <v>U</v>
      </c>
      <c r="V506" s="186" t="str">
        <f t="shared" si="242"/>
        <v>U</v>
      </c>
      <c r="W506" s="186" t="str">
        <f t="shared" si="243"/>
        <v>O</v>
      </c>
      <c r="X506" s="186" t="str">
        <f t="shared" si="244"/>
        <v>U</v>
      </c>
      <c r="Y506" s="186"/>
      <c r="Z506" s="186">
        <v>57.5</v>
      </c>
      <c r="AB506" s="186" t="str">
        <f t="shared" si="234"/>
        <v>NYK/POR</v>
      </c>
      <c r="AC506" s="186">
        <f t="shared" si="245"/>
        <v>1</v>
      </c>
      <c r="AD506" s="186">
        <f t="shared" si="246"/>
        <v>3</v>
      </c>
    </row>
    <row r="507" spans="1:30" x14ac:dyDescent="0.45">
      <c r="A507" s="98">
        <v>200102</v>
      </c>
      <c r="B507" s="99">
        <v>0.41666666666666669</v>
      </c>
      <c r="C507" s="98" t="s">
        <v>423</v>
      </c>
      <c r="D507" s="98" t="s">
        <v>420</v>
      </c>
      <c r="E507" s="175">
        <v>19</v>
      </c>
      <c r="F507" s="175">
        <v>33</v>
      </c>
      <c r="G507" s="175">
        <v>25</v>
      </c>
      <c r="H507" s="175">
        <v>29</v>
      </c>
      <c r="I507" s="175"/>
      <c r="J507" s="175">
        <v>23</v>
      </c>
      <c r="K507" s="175">
        <v>28</v>
      </c>
      <c r="L507" s="175">
        <v>20</v>
      </c>
      <c r="M507" s="175">
        <v>33</v>
      </c>
      <c r="N507" s="175" t="s">
        <v>427</v>
      </c>
      <c r="O507" s="186">
        <f t="shared" si="235"/>
        <v>106</v>
      </c>
      <c r="P507" s="186">
        <f t="shared" si="236"/>
        <v>104</v>
      </c>
      <c r="Q507" s="186" t="str">
        <f t="shared" si="237"/>
        <v>HL</v>
      </c>
      <c r="R507" s="186" t="str">
        <f t="shared" si="238"/>
        <v>HW</v>
      </c>
      <c r="S507" s="186" t="str">
        <f t="shared" si="239"/>
        <v>HW</v>
      </c>
      <c r="T507" s="186" t="str">
        <f t="shared" si="240"/>
        <v>HL</v>
      </c>
      <c r="U507" s="186" t="str">
        <f t="shared" si="241"/>
        <v>U</v>
      </c>
      <c r="V507" s="186" t="str">
        <f t="shared" si="242"/>
        <v>O</v>
      </c>
      <c r="W507" s="186" t="str">
        <f t="shared" si="243"/>
        <v>U</v>
      </c>
      <c r="X507" s="186" t="str">
        <f t="shared" si="244"/>
        <v>O</v>
      </c>
      <c r="Y507" s="186"/>
      <c r="Z507" s="186">
        <v>57</v>
      </c>
      <c r="AB507" s="186" t="str">
        <f t="shared" si="234"/>
        <v>MIL/MIN</v>
      </c>
      <c r="AC507" s="186">
        <f t="shared" si="245"/>
        <v>2</v>
      </c>
      <c r="AD507" s="186">
        <f t="shared" si="246"/>
        <v>2</v>
      </c>
    </row>
    <row r="508" spans="1:30" x14ac:dyDescent="0.45">
      <c r="A508" s="98">
        <v>200102</v>
      </c>
      <c r="B508" s="99">
        <v>0.52083333333333337</v>
      </c>
      <c r="C508" s="98" t="s">
        <v>419</v>
      </c>
      <c r="D508" s="98" t="s">
        <v>404</v>
      </c>
      <c r="E508" s="174">
        <v>43</v>
      </c>
      <c r="F508" s="174">
        <v>31</v>
      </c>
      <c r="G508" s="174">
        <v>27</v>
      </c>
      <c r="H508" s="174">
        <v>16</v>
      </c>
      <c r="I508" s="174"/>
      <c r="J508" s="174">
        <v>17</v>
      </c>
      <c r="K508" s="174">
        <v>24</v>
      </c>
      <c r="L508" s="174">
        <v>38</v>
      </c>
      <c r="M508" s="174">
        <v>28</v>
      </c>
      <c r="N508" s="174" t="s">
        <v>427</v>
      </c>
      <c r="O508" s="186">
        <f t="shared" si="235"/>
        <v>117</v>
      </c>
      <c r="P508" s="186">
        <f t="shared" si="236"/>
        <v>107</v>
      </c>
      <c r="Q508" s="186" t="str">
        <f t="shared" si="237"/>
        <v>HW</v>
      </c>
      <c r="R508" s="186" t="str">
        <f t="shared" si="238"/>
        <v>HW</v>
      </c>
      <c r="S508" s="186" t="str">
        <f t="shared" si="239"/>
        <v>HL</v>
      </c>
      <c r="T508" s="186" t="str">
        <f t="shared" si="240"/>
        <v>HL</v>
      </c>
      <c r="U508" s="186" t="str">
        <f t="shared" si="241"/>
        <v>O</v>
      </c>
      <c r="V508" s="186" t="str">
        <f t="shared" si="242"/>
        <v>U</v>
      </c>
      <c r="W508" s="186" t="str">
        <f t="shared" si="243"/>
        <v>O</v>
      </c>
      <c r="X508" s="186" t="str">
        <f t="shared" si="244"/>
        <v>U</v>
      </c>
      <c r="Y508" s="186"/>
      <c r="Z508" s="186">
        <v>56</v>
      </c>
      <c r="AB508" s="186" t="str">
        <f t="shared" si="234"/>
        <v>LAL/PHO</v>
      </c>
      <c r="AC508" s="186">
        <f t="shared" si="245"/>
        <v>2</v>
      </c>
      <c r="AD508" s="186">
        <f t="shared" si="246"/>
        <v>2</v>
      </c>
    </row>
    <row r="509" spans="1:30" x14ac:dyDescent="0.45">
      <c r="A509" s="98">
        <v>200103</v>
      </c>
      <c r="B509" s="99">
        <v>0.375</v>
      </c>
      <c r="C509" s="98" t="s">
        <v>402</v>
      </c>
      <c r="D509" s="98" t="s">
        <v>409</v>
      </c>
      <c r="E509" s="179">
        <v>29</v>
      </c>
      <c r="F509" s="179">
        <v>30</v>
      </c>
      <c r="G509" s="179">
        <v>26</v>
      </c>
      <c r="H509" s="179">
        <v>21</v>
      </c>
      <c r="I509" s="179"/>
      <c r="J509" s="179">
        <v>31</v>
      </c>
      <c r="K509" s="179">
        <v>21</v>
      </c>
      <c r="L509" s="179">
        <v>30</v>
      </c>
      <c r="M509" s="179">
        <v>27</v>
      </c>
      <c r="N509" s="179" t="s">
        <v>427</v>
      </c>
      <c r="O509" s="186">
        <f t="shared" si="235"/>
        <v>106</v>
      </c>
      <c r="P509" s="186">
        <f t="shared" si="236"/>
        <v>109</v>
      </c>
      <c r="Q509" s="186" t="str">
        <f t="shared" si="237"/>
        <v>HL</v>
      </c>
      <c r="R509" s="186" t="str">
        <f t="shared" si="238"/>
        <v>HW</v>
      </c>
      <c r="S509" s="186" t="str">
        <f t="shared" si="239"/>
        <v>HL</v>
      </c>
      <c r="T509" s="186" t="str">
        <f t="shared" si="240"/>
        <v>HL</v>
      </c>
      <c r="U509" s="186" t="str">
        <f t="shared" si="241"/>
        <v>O</v>
      </c>
      <c r="V509" s="186" t="str">
        <f t="shared" si="242"/>
        <v>U</v>
      </c>
      <c r="W509" s="186" t="str">
        <f t="shared" si="243"/>
        <v>O</v>
      </c>
      <c r="X509" s="186" t="str">
        <f t="shared" si="244"/>
        <v>U</v>
      </c>
      <c r="Y509" s="186"/>
      <c r="Z509" s="186">
        <v>54.5</v>
      </c>
      <c r="AB509" s="186" t="str">
        <f t="shared" si="234"/>
        <v>CLE/CHA</v>
      </c>
      <c r="AC509" s="186">
        <f t="shared" si="245"/>
        <v>2</v>
      </c>
      <c r="AD509" s="186">
        <f t="shared" si="246"/>
        <v>2</v>
      </c>
    </row>
    <row r="510" spans="1:30" x14ac:dyDescent="0.45">
      <c r="A510" s="98">
        <v>200103</v>
      </c>
      <c r="B510" s="99">
        <v>0.375</v>
      </c>
      <c r="C510" s="98" t="s">
        <v>400</v>
      </c>
      <c r="D510" s="98" t="s">
        <v>408</v>
      </c>
      <c r="E510" s="181">
        <v>37</v>
      </c>
      <c r="F510" s="181">
        <v>27</v>
      </c>
      <c r="G510" s="181">
        <v>24</v>
      </c>
      <c r="H510" s="181">
        <v>28</v>
      </c>
      <c r="I510" s="181"/>
      <c r="J510" s="181">
        <v>27</v>
      </c>
      <c r="K510" s="181">
        <v>35</v>
      </c>
      <c r="L510" s="181">
        <v>30</v>
      </c>
      <c r="M510" s="181">
        <v>32</v>
      </c>
      <c r="N510" s="181" t="s">
        <v>427</v>
      </c>
      <c r="O510" s="186">
        <f t="shared" si="235"/>
        <v>116</v>
      </c>
      <c r="P510" s="186">
        <f t="shared" si="236"/>
        <v>124</v>
      </c>
      <c r="Q510" s="186" t="str">
        <f t="shared" si="237"/>
        <v>HW</v>
      </c>
      <c r="R510" s="186" t="str">
        <f t="shared" si="238"/>
        <v>HL</v>
      </c>
      <c r="S510" s="186" t="str">
        <f t="shared" si="239"/>
        <v>HL</v>
      </c>
      <c r="T510" s="186" t="str">
        <f t="shared" si="240"/>
        <v>HL</v>
      </c>
      <c r="U510" s="186" t="str">
        <f t="shared" si="241"/>
        <v>O</v>
      </c>
      <c r="V510" s="186" t="str">
        <f t="shared" si="242"/>
        <v>O</v>
      </c>
      <c r="W510" s="186" t="str">
        <f t="shared" si="243"/>
        <v>O</v>
      </c>
      <c r="X510" s="186" t="str">
        <f t="shared" si="244"/>
        <v>O</v>
      </c>
      <c r="Y510" s="186"/>
      <c r="Z510" s="186">
        <v>53.5</v>
      </c>
      <c r="AB510" s="186" t="str">
        <f t="shared" si="234"/>
        <v>IND/DEN</v>
      </c>
      <c r="AC510" s="186">
        <f t="shared" si="245"/>
        <v>4</v>
      </c>
      <c r="AD510" s="186">
        <f t="shared" si="246"/>
        <v>0</v>
      </c>
    </row>
    <row r="511" spans="1:30" x14ac:dyDescent="0.45">
      <c r="A511" s="98">
        <v>200103</v>
      </c>
      <c r="B511" s="99">
        <v>0.39583333333333331</v>
      </c>
      <c r="C511" s="98" t="s">
        <v>411</v>
      </c>
      <c r="D511" s="98" t="s">
        <v>413</v>
      </c>
      <c r="E511" s="183">
        <v>18</v>
      </c>
      <c r="F511" s="183">
        <v>24</v>
      </c>
      <c r="G511" s="183">
        <v>21</v>
      </c>
      <c r="H511" s="183">
        <v>21</v>
      </c>
      <c r="I511" s="183"/>
      <c r="J511" s="183">
        <v>20</v>
      </c>
      <c r="K511" s="183">
        <v>19</v>
      </c>
      <c r="L511" s="183">
        <v>21</v>
      </c>
      <c r="M511" s="183">
        <v>16</v>
      </c>
      <c r="N511" s="183" t="s">
        <v>427</v>
      </c>
      <c r="O511" s="186">
        <f t="shared" si="235"/>
        <v>84</v>
      </c>
      <c r="P511" s="186">
        <f t="shared" si="236"/>
        <v>76</v>
      </c>
      <c r="Q511" s="186" t="str">
        <f t="shared" si="237"/>
        <v>HL</v>
      </c>
      <c r="R511" s="186" t="str">
        <f t="shared" si="238"/>
        <v>HW</v>
      </c>
      <c r="S511" s="186" t="str">
        <f t="shared" si="239"/>
        <v>TT</v>
      </c>
      <c r="T511" s="186" t="str">
        <f t="shared" si="240"/>
        <v>HW</v>
      </c>
      <c r="U511" s="186" t="str">
        <f t="shared" si="241"/>
        <v>U</v>
      </c>
      <c r="V511" s="186" t="str">
        <f t="shared" si="242"/>
        <v>U</v>
      </c>
      <c r="W511" s="186" t="str">
        <f t="shared" si="243"/>
        <v>U</v>
      </c>
      <c r="X511" s="186" t="str">
        <f t="shared" si="244"/>
        <v>U</v>
      </c>
      <c r="Y511" s="186"/>
      <c r="Z511" s="186">
        <v>55.5</v>
      </c>
      <c r="AB511" s="186" t="str">
        <f t="shared" si="234"/>
        <v>MIA/TOR</v>
      </c>
      <c r="AC511" s="186">
        <f t="shared" si="245"/>
        <v>0</v>
      </c>
      <c r="AD511" s="186">
        <f t="shared" si="246"/>
        <v>4</v>
      </c>
    </row>
    <row r="512" spans="1:30" x14ac:dyDescent="0.45">
      <c r="A512" s="98">
        <v>200103</v>
      </c>
      <c r="B512" s="99">
        <v>0.41666666666666669</v>
      </c>
      <c r="C512" s="98" t="s">
        <v>412</v>
      </c>
      <c r="D512" s="98" t="s">
        <v>405</v>
      </c>
      <c r="E512" s="178">
        <v>22</v>
      </c>
      <c r="F512" s="178">
        <v>29</v>
      </c>
      <c r="G512" s="178">
        <v>19</v>
      </c>
      <c r="H512" s="178">
        <v>28</v>
      </c>
      <c r="I512" s="178"/>
      <c r="J512" s="178">
        <v>25</v>
      </c>
      <c r="K512" s="178">
        <v>22</v>
      </c>
      <c r="L512" s="178">
        <v>29</v>
      </c>
      <c r="M512" s="178">
        <v>26</v>
      </c>
      <c r="N512" s="178" t="s">
        <v>427</v>
      </c>
      <c r="O512" s="186">
        <f t="shared" si="235"/>
        <v>98</v>
      </c>
      <c r="P512" s="186">
        <f t="shared" si="236"/>
        <v>102</v>
      </c>
      <c r="Q512" s="186" t="str">
        <f t="shared" si="237"/>
        <v>HL</v>
      </c>
      <c r="R512" s="186" t="str">
        <f t="shared" si="238"/>
        <v>HW</v>
      </c>
      <c r="S512" s="186" t="str">
        <f t="shared" si="239"/>
        <v>HL</v>
      </c>
      <c r="T512" s="186" t="str">
        <f t="shared" si="240"/>
        <v>HW</v>
      </c>
      <c r="U512" s="186" t="str">
        <f t="shared" si="241"/>
        <v>U</v>
      </c>
      <c r="V512" s="186" t="str">
        <f t="shared" si="242"/>
        <v>U</v>
      </c>
      <c r="W512" s="186" t="str">
        <f t="shared" si="243"/>
        <v>U</v>
      </c>
      <c r="X512" s="186" t="str">
        <f t="shared" si="244"/>
        <v>O</v>
      </c>
      <c r="Y512" s="186"/>
      <c r="Z512" s="186">
        <v>51.5</v>
      </c>
      <c r="AB512" s="186" t="str">
        <f t="shared" si="234"/>
        <v>CHI/UTA</v>
      </c>
      <c r="AC512" s="186">
        <f t="shared" si="245"/>
        <v>1</v>
      </c>
      <c r="AD512" s="186">
        <f t="shared" si="246"/>
        <v>3</v>
      </c>
    </row>
    <row r="513" spans="1:30" x14ac:dyDescent="0.45">
      <c r="A513" s="98">
        <v>200103</v>
      </c>
      <c r="B513" s="99">
        <v>0.41666666666666669</v>
      </c>
      <c r="C513" s="98" t="s">
        <v>420</v>
      </c>
      <c r="D513" s="98" t="s">
        <v>425</v>
      </c>
      <c r="E513" s="184">
        <v>34</v>
      </c>
      <c r="F513" s="184">
        <v>24</v>
      </c>
      <c r="G513" s="184">
        <v>23</v>
      </c>
      <c r="H513" s="184">
        <v>18</v>
      </c>
      <c r="I513" s="184"/>
      <c r="J513" s="184">
        <v>19</v>
      </c>
      <c r="K513" s="184">
        <v>22</v>
      </c>
      <c r="L513" s="184">
        <v>26</v>
      </c>
      <c r="M513" s="184">
        <v>17</v>
      </c>
      <c r="N513" s="184" t="s">
        <v>427</v>
      </c>
      <c r="O513" s="186">
        <f t="shared" si="235"/>
        <v>99</v>
      </c>
      <c r="P513" s="186">
        <f t="shared" si="236"/>
        <v>84</v>
      </c>
      <c r="Q513" s="186" t="str">
        <f t="shared" si="237"/>
        <v>HW</v>
      </c>
      <c r="R513" s="186" t="str">
        <f t="shared" si="238"/>
        <v>HW</v>
      </c>
      <c r="S513" s="186" t="str">
        <f t="shared" si="239"/>
        <v>HL</v>
      </c>
      <c r="T513" s="186" t="str">
        <f t="shared" si="240"/>
        <v>HW</v>
      </c>
      <c r="U513" s="186" t="str">
        <f t="shared" si="241"/>
        <v>U</v>
      </c>
      <c r="V513" s="186" t="str">
        <f t="shared" si="242"/>
        <v>U</v>
      </c>
      <c r="W513" s="186" t="str">
        <f t="shared" si="243"/>
        <v>U</v>
      </c>
      <c r="X513" s="186" t="str">
        <f t="shared" si="244"/>
        <v>U</v>
      </c>
      <c r="Y513" s="186"/>
      <c r="Z513" s="186">
        <v>54.5</v>
      </c>
      <c r="AB513" s="186" t="str">
        <f t="shared" si="234"/>
        <v>MIN/GS</v>
      </c>
      <c r="AC513" s="186">
        <f t="shared" si="245"/>
        <v>0</v>
      </c>
      <c r="AD513" s="186">
        <f t="shared" si="246"/>
        <v>4</v>
      </c>
    </row>
    <row r="514" spans="1:30" x14ac:dyDescent="0.45">
      <c r="A514" s="98">
        <v>200103</v>
      </c>
      <c r="B514" s="99">
        <v>0.4375</v>
      </c>
      <c r="C514" s="98" t="s">
        <v>397</v>
      </c>
      <c r="D514" s="98" t="s">
        <v>407</v>
      </c>
      <c r="E514" s="180">
        <v>31</v>
      </c>
      <c r="F514" s="180">
        <v>29</v>
      </c>
      <c r="G514" s="180">
        <v>33</v>
      </c>
      <c r="H514" s="180">
        <v>30</v>
      </c>
      <c r="I514" s="180"/>
      <c r="J514" s="180">
        <v>30</v>
      </c>
      <c r="K514" s="180">
        <v>35</v>
      </c>
      <c r="L514" s="180">
        <v>28</v>
      </c>
      <c r="M514" s="180">
        <v>18</v>
      </c>
      <c r="N514" s="180" t="s">
        <v>427</v>
      </c>
      <c r="O514" s="186">
        <f t="shared" si="235"/>
        <v>123</v>
      </c>
      <c r="P514" s="186">
        <f t="shared" si="236"/>
        <v>111</v>
      </c>
      <c r="Q514" s="186" t="str">
        <f t="shared" si="237"/>
        <v>HW</v>
      </c>
      <c r="R514" s="186" t="str">
        <f t="shared" si="238"/>
        <v>HL</v>
      </c>
      <c r="S514" s="186" t="str">
        <f t="shared" si="239"/>
        <v>HW</v>
      </c>
      <c r="T514" s="186" t="str">
        <f t="shared" si="240"/>
        <v>HW</v>
      </c>
      <c r="U514" s="186" t="str">
        <f t="shared" si="241"/>
        <v>O</v>
      </c>
      <c r="V514" s="186" t="str">
        <f t="shared" si="242"/>
        <v>O</v>
      </c>
      <c r="W514" s="186" t="str">
        <f t="shared" si="243"/>
        <v>O</v>
      </c>
      <c r="X514" s="186" t="str">
        <f t="shared" si="244"/>
        <v>U</v>
      </c>
      <c r="Y514" s="186"/>
      <c r="Z514" s="186">
        <v>54.5</v>
      </c>
      <c r="AB514" s="186" t="str">
        <f t="shared" si="234"/>
        <v>DAL/BKN</v>
      </c>
      <c r="AC514" s="186">
        <f t="shared" si="245"/>
        <v>3</v>
      </c>
      <c r="AD514" s="186">
        <f t="shared" si="246"/>
        <v>1</v>
      </c>
    </row>
    <row r="515" spans="1:30" x14ac:dyDescent="0.45">
      <c r="A515" s="98">
        <v>200103</v>
      </c>
      <c r="B515" s="99">
        <v>0.4375</v>
      </c>
      <c r="C515" s="98" t="s">
        <v>426</v>
      </c>
      <c r="D515" s="98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5"/>
        <v>103</v>
      </c>
      <c r="P515" s="186">
        <f t="shared" si="236"/>
        <v>109</v>
      </c>
      <c r="Q515" s="186" t="str">
        <f t="shared" si="237"/>
        <v>TT</v>
      </c>
      <c r="R515" s="186" t="str">
        <f t="shared" si="238"/>
        <v>HW</v>
      </c>
      <c r="S515" s="186" t="str">
        <f t="shared" si="239"/>
        <v>HL</v>
      </c>
      <c r="T515" s="186" t="str">
        <f t="shared" si="240"/>
        <v>HL</v>
      </c>
      <c r="U515" s="186" t="str">
        <f t="shared" si="241"/>
        <v>U</v>
      </c>
      <c r="V515" s="186" t="str">
        <f t="shared" si="242"/>
        <v>U</v>
      </c>
      <c r="W515" s="186" t="str">
        <f t="shared" si="243"/>
        <v>U</v>
      </c>
      <c r="X515" s="186" t="str">
        <f t="shared" si="244"/>
        <v>O</v>
      </c>
      <c r="Y515" s="186"/>
      <c r="Z515" s="186">
        <v>56</v>
      </c>
      <c r="AB515" s="186" t="str">
        <f t="shared" si="234"/>
        <v>SAS/OKC</v>
      </c>
      <c r="AC515" s="186">
        <f t="shared" si="245"/>
        <v>1</v>
      </c>
      <c r="AD515" s="186">
        <f t="shared" si="246"/>
        <v>3</v>
      </c>
    </row>
    <row r="516" spans="1:30" x14ac:dyDescent="0.45">
      <c r="A516" s="98">
        <v>200103</v>
      </c>
      <c r="B516" s="99">
        <v>0.5</v>
      </c>
      <c r="C516" s="98" t="s">
        <v>416</v>
      </c>
      <c r="D516" s="98" t="s">
        <v>406</v>
      </c>
      <c r="E516" s="185">
        <v>26</v>
      </c>
      <c r="F516" s="185">
        <v>37</v>
      </c>
      <c r="G516" s="185">
        <v>27</v>
      </c>
      <c r="H516" s="185">
        <v>38</v>
      </c>
      <c r="I516" s="185"/>
      <c r="J516" s="185">
        <v>42</v>
      </c>
      <c r="K516" s="185">
        <v>18</v>
      </c>
      <c r="L516" s="185">
        <v>37</v>
      </c>
      <c r="M516" s="185">
        <v>26</v>
      </c>
      <c r="N516" s="185" t="s">
        <v>427</v>
      </c>
      <c r="O516" s="186">
        <f t="shared" si="235"/>
        <v>128</v>
      </c>
      <c r="P516" s="186">
        <f t="shared" si="236"/>
        <v>123</v>
      </c>
      <c r="Q516" s="186" t="str">
        <f t="shared" si="237"/>
        <v>HL</v>
      </c>
      <c r="R516" s="186" t="str">
        <f t="shared" si="238"/>
        <v>HW</v>
      </c>
      <c r="S516" s="186" t="str">
        <f t="shared" si="239"/>
        <v>HL</v>
      </c>
      <c r="T516" s="186" t="str">
        <f t="shared" si="240"/>
        <v>HW</v>
      </c>
      <c r="U516" s="186" t="str">
        <f t="shared" si="241"/>
        <v>O</v>
      </c>
      <c r="V516" s="186" t="str">
        <f t="shared" si="242"/>
        <v>T</v>
      </c>
      <c r="W516" s="186" t="str">
        <f t="shared" si="243"/>
        <v>O</v>
      </c>
      <c r="X516" s="186" t="str">
        <f t="shared" si="244"/>
        <v>O</v>
      </c>
      <c r="Y516" s="186"/>
      <c r="Z516" s="186">
        <v>55</v>
      </c>
      <c r="AB516" s="186" t="str">
        <f t="shared" si="234"/>
        <v>SAC/MEM</v>
      </c>
      <c r="AC516" s="186">
        <f t="shared" si="245"/>
        <v>3</v>
      </c>
      <c r="AD516" s="186">
        <f t="shared" si="246"/>
        <v>0</v>
      </c>
    </row>
    <row r="517" spans="1:30" x14ac:dyDescent="0.45">
      <c r="A517" s="98">
        <v>200103</v>
      </c>
      <c r="B517" s="99">
        <v>0.52083333333333337</v>
      </c>
      <c r="C517" s="98" t="s">
        <v>415</v>
      </c>
      <c r="D517" s="98" t="s">
        <v>422</v>
      </c>
      <c r="E517" s="182">
        <v>30</v>
      </c>
      <c r="F517" s="182">
        <v>39</v>
      </c>
      <c r="G517" s="182">
        <v>37</v>
      </c>
      <c r="H517" s="182">
        <v>20</v>
      </c>
      <c r="I517" s="182"/>
      <c r="J517" s="182">
        <v>33</v>
      </c>
      <c r="K517" s="182">
        <v>30</v>
      </c>
      <c r="L517" s="182">
        <v>16</v>
      </c>
      <c r="M517" s="182">
        <v>33</v>
      </c>
      <c r="N517" s="182" t="s">
        <v>427</v>
      </c>
      <c r="O517" s="186">
        <f t="shared" si="235"/>
        <v>126</v>
      </c>
      <c r="P517" s="186">
        <f t="shared" si="236"/>
        <v>112</v>
      </c>
      <c r="Q517" s="186" t="str">
        <f t="shared" si="237"/>
        <v>HL</v>
      </c>
      <c r="R517" s="186" t="str">
        <f t="shared" si="238"/>
        <v>HW</v>
      </c>
      <c r="S517" s="186" t="str">
        <f t="shared" si="239"/>
        <v>HW</v>
      </c>
      <c r="T517" s="186" t="str">
        <f t="shared" si="240"/>
        <v>HL</v>
      </c>
      <c r="U517" s="186" t="str">
        <f t="shared" si="241"/>
        <v>O</v>
      </c>
      <c r="V517" s="186" t="str">
        <f t="shared" si="242"/>
        <v>O</v>
      </c>
      <c r="W517" s="186" t="str">
        <f t="shared" si="243"/>
        <v>U</v>
      </c>
      <c r="X517" s="186" t="str">
        <f t="shared" si="244"/>
        <v>U</v>
      </c>
      <c r="Y517" s="186"/>
      <c r="Z517" s="186">
        <v>58.5</v>
      </c>
      <c r="AB517" s="186" t="str">
        <f t="shared" si="234"/>
        <v>LAC/DET</v>
      </c>
      <c r="AC517" s="186">
        <f t="shared" si="245"/>
        <v>2</v>
      </c>
      <c r="AD517" s="186">
        <f t="shared" si="246"/>
        <v>2</v>
      </c>
    </row>
    <row r="518" spans="1:30" x14ac:dyDescent="0.45">
      <c r="A518" s="98">
        <v>200104</v>
      </c>
      <c r="B518" s="99">
        <v>0.375</v>
      </c>
      <c r="C518" s="98" t="s">
        <v>421</v>
      </c>
      <c r="D518" s="98" t="s">
        <v>410</v>
      </c>
      <c r="E518" s="192">
        <v>19</v>
      </c>
      <c r="F518" s="192">
        <v>34</v>
      </c>
      <c r="G518" s="192">
        <v>29</v>
      </c>
      <c r="H518" s="192">
        <v>27</v>
      </c>
      <c r="I518" s="192"/>
      <c r="J518" s="192">
        <v>32</v>
      </c>
      <c r="K518" s="192">
        <v>23</v>
      </c>
      <c r="L518" s="192">
        <v>25</v>
      </c>
      <c r="M518" s="192">
        <v>26</v>
      </c>
      <c r="N518" s="192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 s="186">
        <v>58</v>
      </c>
      <c r="AB518" s="186" t="str">
        <f t="shared" si="234"/>
        <v>BOS/ATL</v>
      </c>
      <c r="AC518" s="192">
        <f t="shared" ref="AC518:AC523" si="257">COUNTIF(U518:X518,"o")</f>
        <v>0</v>
      </c>
      <c r="AD518" s="192">
        <f t="shared" ref="AD518:AD523" si="258">COUNTIF(U518:X518,"u")</f>
        <v>4</v>
      </c>
    </row>
    <row r="519" spans="1:30" x14ac:dyDescent="0.45">
      <c r="A519" s="98">
        <v>200104</v>
      </c>
      <c r="B519" s="99">
        <v>0.375</v>
      </c>
      <c r="C519" s="98" t="s">
        <v>424</v>
      </c>
      <c r="D519" s="98" t="s">
        <v>411</v>
      </c>
      <c r="E519" s="192">
        <v>27</v>
      </c>
      <c r="F519" s="192">
        <v>29</v>
      </c>
      <c r="G519" s="192">
        <v>28</v>
      </c>
      <c r="H519" s="192">
        <v>21</v>
      </c>
      <c r="I519" s="192"/>
      <c r="J519" s="192">
        <v>22</v>
      </c>
      <c r="K519" s="192">
        <v>22</v>
      </c>
      <c r="L519" s="192">
        <v>35</v>
      </c>
      <c r="M519" s="192">
        <v>6</v>
      </c>
      <c r="N519" s="192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 s="186">
        <v>53</v>
      </c>
      <c r="AB519" s="186" t="str">
        <f t="shared" si="234"/>
        <v>ORL/MIA</v>
      </c>
      <c r="AC519" s="192">
        <f t="shared" si="257"/>
        <v>1</v>
      </c>
      <c r="AD519" s="192">
        <f t="shared" si="258"/>
        <v>3</v>
      </c>
    </row>
    <row r="520" spans="1:30" x14ac:dyDescent="0.45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 s="186">
        <v>60</v>
      </c>
      <c r="AB520" s="186" t="str">
        <f t="shared" si="234"/>
        <v>WAS/POR</v>
      </c>
      <c r="AC520" s="192">
        <f t="shared" si="257"/>
        <v>1</v>
      </c>
      <c r="AD520" s="192">
        <f t="shared" si="258"/>
        <v>3</v>
      </c>
    </row>
    <row r="521" spans="1:30" x14ac:dyDescent="0.45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92">
        <v>20</v>
      </c>
      <c r="F521" s="192">
        <v>40</v>
      </c>
      <c r="G521" s="192">
        <v>36</v>
      </c>
      <c r="H521" s="192">
        <v>22</v>
      </c>
      <c r="I521" s="192"/>
      <c r="J521" s="192">
        <v>27</v>
      </c>
      <c r="K521" s="192">
        <v>26</v>
      </c>
      <c r="L521" s="192">
        <v>31</v>
      </c>
      <c r="M521" s="192">
        <v>24</v>
      </c>
      <c r="N521" s="192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 s="186">
        <v>57</v>
      </c>
      <c r="AB521" s="186" t="str">
        <f t="shared" si="234"/>
        <v>HOU/PHI</v>
      </c>
      <c r="AC521" s="192">
        <f t="shared" si="257"/>
        <v>2</v>
      </c>
      <c r="AD521" s="192">
        <f t="shared" si="258"/>
        <v>2</v>
      </c>
    </row>
    <row r="522" spans="1:30" x14ac:dyDescent="0.45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2">
        <v>29</v>
      </c>
      <c r="F522" s="192">
        <v>22</v>
      </c>
      <c r="G522" s="192">
        <v>32</v>
      </c>
      <c r="H522" s="192">
        <v>37</v>
      </c>
      <c r="I522" s="192"/>
      <c r="J522" s="192">
        <v>37</v>
      </c>
      <c r="K522" s="192">
        <v>24</v>
      </c>
      <c r="L522" s="192">
        <v>26</v>
      </c>
      <c r="M522" s="192">
        <v>25</v>
      </c>
      <c r="N522" s="192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 s="186">
        <v>58</v>
      </c>
      <c r="AB522" s="186" t="str">
        <f t="shared" si="234"/>
        <v>PHO/NYK</v>
      </c>
      <c r="AC522" s="192">
        <f t="shared" si="257"/>
        <v>2</v>
      </c>
      <c r="AD522" s="192">
        <f t="shared" si="258"/>
        <v>1</v>
      </c>
    </row>
    <row r="523" spans="1:30" x14ac:dyDescent="0.45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92">
        <v>42</v>
      </c>
      <c r="F523" s="192">
        <v>32</v>
      </c>
      <c r="G523" s="192">
        <v>31</v>
      </c>
      <c r="H523" s="192">
        <v>18</v>
      </c>
      <c r="I523" s="192"/>
      <c r="J523" s="192">
        <v>30</v>
      </c>
      <c r="K523" s="192">
        <v>32</v>
      </c>
      <c r="L523" s="192">
        <v>21</v>
      </c>
      <c r="M523" s="192">
        <v>30</v>
      </c>
      <c r="N523" s="192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186">
        <v>58</v>
      </c>
      <c r="AB523" s="186" t="str">
        <f t="shared" si="234"/>
        <v>LAL/NO</v>
      </c>
      <c r="AC523" s="192">
        <f t="shared" si="257"/>
        <v>2</v>
      </c>
      <c r="AD523" s="192">
        <f t="shared" si="258"/>
        <v>2</v>
      </c>
    </row>
    <row r="524" spans="1:30" x14ac:dyDescent="0.45">
      <c r="A524" s="98">
        <v>200105</v>
      </c>
      <c r="B524" s="194">
        <v>0.22916666666666666</v>
      </c>
      <c r="C524" s="193" t="s">
        <v>415</v>
      </c>
      <c r="D524" s="193" t="s">
        <v>406</v>
      </c>
      <c r="E524" s="206">
        <v>27</v>
      </c>
      <c r="F524" s="206">
        <v>30</v>
      </c>
      <c r="G524" s="206">
        <v>23</v>
      </c>
      <c r="H524" s="206">
        <v>34</v>
      </c>
      <c r="I524" s="206"/>
      <c r="J524" s="206">
        <v>40</v>
      </c>
      <c r="K524" s="206">
        <v>25</v>
      </c>
      <c r="L524" s="206">
        <v>39</v>
      </c>
      <c r="M524" s="206">
        <v>36</v>
      </c>
      <c r="N524" s="206" t="s">
        <v>427</v>
      </c>
      <c r="O524" s="206">
        <f t="shared" ref="O524:O534" si="259">SUM(E524:I524)</f>
        <v>114</v>
      </c>
      <c r="P524" s="206">
        <f t="shared" ref="P524:P534" si="260">SUM(J524:N524)</f>
        <v>140</v>
      </c>
      <c r="Q524" s="206" t="str">
        <f t="shared" ref="Q524:Q534" si="261">IF(E524=J524,"TT",IF(E524&gt;J524,"HW","HL"))</f>
        <v>HL</v>
      </c>
      <c r="R524" s="206" t="str">
        <f t="shared" ref="R524:R534" si="262">IF(F524=K524,"TT",IF(F524&gt;K524,"HW","HL"))</f>
        <v>HW</v>
      </c>
      <c r="S524" s="206" t="str">
        <f t="shared" ref="S524:S534" si="263">IF(G524=L524,"TT",IF(G524&gt;L524,"HW","HL"))</f>
        <v>HL</v>
      </c>
      <c r="T524" s="206" t="str">
        <f t="shared" ref="T524:T534" si="264">IF(H524=M524,"TT",IF(H524&gt;M524,"HW","HL"))</f>
        <v>HL</v>
      </c>
      <c r="U524" s="206" t="str">
        <f t="shared" ref="U524:U534" si="265">IF(SUM(E524,J524)=$Z524,"T",IF(SUM(E524,J524)&gt;$Z524,"O","U"))</f>
        <v>O</v>
      </c>
      <c r="V524" s="206" t="str">
        <f t="shared" ref="V524:V534" si="266">IF(SUM(F524,K524)=$Z524,"T",IF(SUM(F524,K524)&gt;$Z524,"O","U"))</f>
        <v>U</v>
      </c>
      <c r="W524" s="206" t="str">
        <f t="shared" ref="W524:W534" si="267">IF(SUM(G524,L524)=$Z524,"T",IF(SUM(G524,L524)&gt;$Z524,"O","U"))</f>
        <v>O</v>
      </c>
      <c r="X524" s="206" t="str">
        <f t="shared" ref="X524:X534" si="268">IF(SUM(H524,M524)=$Z524,"T",IF(SUM(H524,M524)&gt;$Z524,"O","U"))</f>
        <v>O</v>
      </c>
      <c r="Y524" s="206"/>
      <c r="Z524" s="206">
        <v>56</v>
      </c>
      <c r="AA524" s="206"/>
      <c r="AB524" s="206" t="str">
        <f t="shared" ref="AB524:AB587" si="269">C524&amp;"/"&amp;D524</f>
        <v>LAC/MEM</v>
      </c>
      <c r="AC524" s="206">
        <f t="shared" ref="AC524:AC534" si="270">COUNTIF(U524:X524,"o")</f>
        <v>3</v>
      </c>
      <c r="AD524" s="206">
        <f t="shared" ref="AD524:AD534" si="271">COUNTIF(U524:X524,"u")</f>
        <v>1</v>
      </c>
    </row>
    <row r="525" spans="1:30" x14ac:dyDescent="0.45">
      <c r="A525" s="193">
        <v>200105</v>
      </c>
      <c r="B525" s="194">
        <v>0.33333333333333331</v>
      </c>
      <c r="C525" s="193" t="s">
        <v>407</v>
      </c>
      <c r="D525" s="193" t="s">
        <v>413</v>
      </c>
      <c r="E525" s="206">
        <v>33</v>
      </c>
      <c r="F525" s="206">
        <v>19</v>
      </c>
      <c r="G525" s="206">
        <v>28</v>
      </c>
      <c r="H525" s="206">
        <v>22</v>
      </c>
      <c r="I525" s="206"/>
      <c r="J525" s="206">
        <v>24</v>
      </c>
      <c r="K525" s="206">
        <v>24</v>
      </c>
      <c r="L525" s="206">
        <v>35</v>
      </c>
      <c r="M525" s="206">
        <v>38</v>
      </c>
      <c r="N525" s="206" t="s">
        <v>427</v>
      </c>
      <c r="O525" s="206">
        <f t="shared" si="259"/>
        <v>102</v>
      </c>
      <c r="P525" s="206">
        <f t="shared" si="260"/>
        <v>121</v>
      </c>
      <c r="Q525" s="206" t="str">
        <f t="shared" si="261"/>
        <v>HW</v>
      </c>
      <c r="R525" s="206" t="str">
        <f t="shared" si="262"/>
        <v>HL</v>
      </c>
      <c r="S525" s="206" t="str">
        <f t="shared" si="263"/>
        <v>HL</v>
      </c>
      <c r="T525" s="206" t="str">
        <f t="shared" si="264"/>
        <v>HL</v>
      </c>
      <c r="U525" s="206" t="str">
        <f t="shared" si="265"/>
        <v>O</v>
      </c>
      <c r="V525" s="206" t="str">
        <f t="shared" si="266"/>
        <v>U</v>
      </c>
      <c r="W525" s="206" t="str">
        <f t="shared" si="267"/>
        <v>O</v>
      </c>
      <c r="X525" s="206" t="str">
        <f t="shared" si="268"/>
        <v>O</v>
      </c>
      <c r="Y525" s="206"/>
      <c r="Z525" s="206">
        <v>55</v>
      </c>
      <c r="AA525" s="206"/>
      <c r="AB525" s="206" t="str">
        <f t="shared" si="269"/>
        <v>BKN/TOR</v>
      </c>
      <c r="AC525" s="206">
        <f t="shared" si="270"/>
        <v>3</v>
      </c>
      <c r="AD525" s="206">
        <f t="shared" si="271"/>
        <v>1</v>
      </c>
    </row>
    <row r="526" spans="1:30" x14ac:dyDescent="0.45">
      <c r="A526" s="193">
        <v>200105</v>
      </c>
      <c r="B526" s="194">
        <v>0.375</v>
      </c>
      <c r="C526" s="193" t="s">
        <v>431</v>
      </c>
      <c r="D526" s="193" t="s">
        <v>405</v>
      </c>
      <c r="E526" s="206">
        <v>25</v>
      </c>
      <c r="F526" s="206">
        <v>22</v>
      </c>
      <c r="G526" s="206">
        <v>28</v>
      </c>
      <c r="H526" s="206">
        <v>21</v>
      </c>
      <c r="I526" s="206"/>
      <c r="J526" s="206">
        <v>33</v>
      </c>
      <c r="K526" s="206">
        <v>19</v>
      </c>
      <c r="L526" s="206">
        <v>24</v>
      </c>
      <c r="M526" s="206">
        <v>33</v>
      </c>
      <c r="N526" s="206" t="s">
        <v>427</v>
      </c>
      <c r="O526" s="206">
        <f t="shared" si="259"/>
        <v>96</v>
      </c>
      <c r="P526" s="206">
        <f t="shared" si="260"/>
        <v>109</v>
      </c>
      <c r="Q526" s="206" t="str">
        <f t="shared" si="261"/>
        <v>HL</v>
      </c>
      <c r="R526" s="206" t="str">
        <f t="shared" si="262"/>
        <v>HW</v>
      </c>
      <c r="S526" s="206" t="str">
        <f t="shared" si="263"/>
        <v>HW</v>
      </c>
      <c r="T526" s="206" t="str">
        <f t="shared" si="264"/>
        <v>HL</v>
      </c>
      <c r="U526" s="206" t="str">
        <f t="shared" si="265"/>
        <v>O</v>
      </c>
      <c r="V526" s="206" t="str">
        <f t="shared" si="266"/>
        <v>U</v>
      </c>
      <c r="W526" s="206" t="str">
        <f t="shared" si="267"/>
        <v>O</v>
      </c>
      <c r="X526" s="206" t="str">
        <f t="shared" si="268"/>
        <v>O</v>
      </c>
      <c r="Y526" s="206"/>
      <c r="Z526" s="206">
        <v>50.5</v>
      </c>
      <c r="AA526" s="206"/>
      <c r="AB526" s="206" t="str">
        <f t="shared" si="269"/>
        <v>ORL/UTA</v>
      </c>
      <c r="AC526" s="206">
        <f t="shared" si="270"/>
        <v>3</v>
      </c>
      <c r="AD526" s="206">
        <f t="shared" si="271"/>
        <v>1</v>
      </c>
    </row>
    <row r="527" spans="1:30" x14ac:dyDescent="0.45">
      <c r="A527" s="193">
        <v>200105</v>
      </c>
      <c r="B527" s="194">
        <v>0.39583333333333331</v>
      </c>
      <c r="C527" s="193" t="s">
        <v>410</v>
      </c>
      <c r="D527" s="193" t="s">
        <v>400</v>
      </c>
      <c r="E527" s="206">
        <v>43</v>
      </c>
      <c r="F527" s="206">
        <v>21</v>
      </c>
      <c r="G527" s="206">
        <v>32</v>
      </c>
      <c r="H527" s="206">
        <v>20</v>
      </c>
      <c r="I527" s="206"/>
      <c r="J527" s="206">
        <v>26</v>
      </c>
      <c r="K527" s="206">
        <v>34</v>
      </c>
      <c r="L527" s="206">
        <v>35</v>
      </c>
      <c r="M527" s="206">
        <v>16</v>
      </c>
      <c r="N527" s="206" t="s">
        <v>427</v>
      </c>
      <c r="O527" s="206">
        <f t="shared" si="259"/>
        <v>116</v>
      </c>
      <c r="P527" s="206">
        <f t="shared" si="260"/>
        <v>111</v>
      </c>
      <c r="Q527" s="206" t="str">
        <f t="shared" si="261"/>
        <v>HW</v>
      </c>
      <c r="R527" s="206" t="str">
        <f t="shared" si="262"/>
        <v>HL</v>
      </c>
      <c r="S527" s="206" t="str">
        <f t="shared" si="263"/>
        <v>HL</v>
      </c>
      <c r="T527" s="206" t="str">
        <f t="shared" si="264"/>
        <v>HW</v>
      </c>
      <c r="U527" s="206" t="str">
        <f t="shared" si="265"/>
        <v>O</v>
      </c>
      <c r="V527" s="206" t="str">
        <f t="shared" si="266"/>
        <v>U</v>
      </c>
      <c r="W527" s="206" t="str">
        <f t="shared" si="267"/>
        <v>O</v>
      </c>
      <c r="X527" s="206" t="str">
        <f t="shared" si="268"/>
        <v>U</v>
      </c>
      <c r="Y527" s="206"/>
      <c r="Z527" s="206">
        <v>56.5</v>
      </c>
      <c r="AA527" s="206"/>
      <c r="AB527" s="206" t="str">
        <f t="shared" si="269"/>
        <v>ATL/IND</v>
      </c>
      <c r="AC527" s="206">
        <f t="shared" si="270"/>
        <v>2</v>
      </c>
      <c r="AD527" s="206">
        <f t="shared" si="271"/>
        <v>2</v>
      </c>
    </row>
    <row r="528" spans="1:30" x14ac:dyDescent="0.45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206">
        <v>27</v>
      </c>
      <c r="F528" s="206">
        <v>26</v>
      </c>
      <c r="G528" s="206">
        <v>26</v>
      </c>
      <c r="H528" s="206">
        <v>27</v>
      </c>
      <c r="I528" s="206"/>
      <c r="J528" s="206">
        <v>34</v>
      </c>
      <c r="K528" s="206">
        <v>32</v>
      </c>
      <c r="L528" s="206">
        <v>25</v>
      </c>
      <c r="M528" s="206">
        <v>30</v>
      </c>
      <c r="N528" s="206" t="s">
        <v>427</v>
      </c>
      <c r="O528" s="206">
        <f t="shared" si="259"/>
        <v>106</v>
      </c>
      <c r="P528" s="206">
        <f t="shared" si="260"/>
        <v>121</v>
      </c>
      <c r="Q528" s="206" t="str">
        <f t="shared" si="261"/>
        <v>HL</v>
      </c>
      <c r="R528" s="206" t="str">
        <f t="shared" si="262"/>
        <v>HL</v>
      </c>
      <c r="S528" s="206" t="str">
        <f t="shared" si="263"/>
        <v>HW</v>
      </c>
      <c r="T528" s="206" t="str">
        <f t="shared" si="264"/>
        <v>HL</v>
      </c>
      <c r="U528" s="206" t="str">
        <f t="shared" si="265"/>
        <v>O</v>
      </c>
      <c r="V528" s="206" t="str">
        <f t="shared" si="266"/>
        <v>O</v>
      </c>
      <c r="W528" s="206" t="str">
        <f t="shared" si="267"/>
        <v>U</v>
      </c>
      <c r="X528" s="206" t="str">
        <f t="shared" si="268"/>
        <v>O</v>
      </c>
      <c r="Y528" s="206"/>
      <c r="Z528" s="206">
        <v>55</v>
      </c>
      <c r="AA528" s="206"/>
      <c r="AB528" s="206" t="str">
        <f t="shared" si="269"/>
        <v>CLE/OKC</v>
      </c>
      <c r="AC528" s="206">
        <f t="shared" si="270"/>
        <v>3</v>
      </c>
      <c r="AD528" s="206">
        <f t="shared" si="271"/>
        <v>1</v>
      </c>
    </row>
    <row r="529" spans="1:30" x14ac:dyDescent="0.45">
      <c r="A529" s="193">
        <v>200105</v>
      </c>
      <c r="B529" s="194">
        <v>0.41666666666666669</v>
      </c>
      <c r="C529" s="193" t="s">
        <v>432</v>
      </c>
      <c r="D529" s="193" t="s">
        <v>421</v>
      </c>
      <c r="E529" s="206">
        <v>28</v>
      </c>
      <c r="F529" s="206">
        <v>24</v>
      </c>
      <c r="G529" s="206">
        <v>21</v>
      </c>
      <c r="H529" s="206">
        <v>31</v>
      </c>
      <c r="I529" s="206"/>
      <c r="J529" s="206">
        <v>30</v>
      </c>
      <c r="K529" s="206">
        <v>25</v>
      </c>
      <c r="L529" s="206">
        <v>30</v>
      </c>
      <c r="M529" s="206">
        <v>26</v>
      </c>
      <c r="N529" s="206" t="s">
        <v>427</v>
      </c>
      <c r="O529" s="206">
        <f t="shared" si="259"/>
        <v>104</v>
      </c>
      <c r="P529" s="206">
        <f t="shared" si="260"/>
        <v>111</v>
      </c>
      <c r="Q529" s="206" t="str">
        <f t="shared" si="261"/>
        <v>HL</v>
      </c>
      <c r="R529" s="206" t="str">
        <f t="shared" si="262"/>
        <v>HL</v>
      </c>
      <c r="S529" s="206" t="str">
        <f t="shared" si="263"/>
        <v>HL</v>
      </c>
      <c r="T529" s="206" t="str">
        <f t="shared" si="264"/>
        <v>HW</v>
      </c>
      <c r="U529" s="206" t="str">
        <f t="shared" si="265"/>
        <v>O</v>
      </c>
      <c r="V529" s="206" t="str">
        <f t="shared" si="266"/>
        <v>U</v>
      </c>
      <c r="W529" s="206" t="str">
        <f t="shared" si="267"/>
        <v>T</v>
      </c>
      <c r="X529" s="206" t="str">
        <f t="shared" si="268"/>
        <v>O</v>
      </c>
      <c r="Y529" s="206"/>
      <c r="Z529" s="206">
        <v>51</v>
      </c>
      <c r="AA529" s="206"/>
      <c r="AB529" s="206" t="str">
        <f t="shared" si="269"/>
        <v>CHI/BOS</v>
      </c>
      <c r="AC529" s="206">
        <f t="shared" si="270"/>
        <v>2</v>
      </c>
      <c r="AD529" s="206">
        <f t="shared" si="271"/>
        <v>1</v>
      </c>
    </row>
    <row r="530" spans="1:30" x14ac:dyDescent="0.45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6">
        <v>31</v>
      </c>
      <c r="F530" s="206">
        <v>30</v>
      </c>
      <c r="G530" s="206">
        <v>34</v>
      </c>
      <c r="H530" s="206">
        <v>33</v>
      </c>
      <c r="I530" s="206"/>
      <c r="J530" s="206">
        <v>19</v>
      </c>
      <c r="K530" s="206">
        <v>36</v>
      </c>
      <c r="L530" s="206">
        <v>35</v>
      </c>
      <c r="M530" s="206">
        <v>24</v>
      </c>
      <c r="N530" s="206" t="s">
        <v>427</v>
      </c>
      <c r="O530" s="206">
        <f t="shared" si="259"/>
        <v>128</v>
      </c>
      <c r="P530" s="206">
        <f t="shared" si="260"/>
        <v>114</v>
      </c>
      <c r="Q530" s="206" t="str">
        <f t="shared" si="261"/>
        <v>HW</v>
      </c>
      <c r="R530" s="206" t="str">
        <f t="shared" si="262"/>
        <v>HL</v>
      </c>
      <c r="S530" s="206" t="str">
        <f t="shared" si="263"/>
        <v>HL</v>
      </c>
      <c r="T530" s="206" t="str">
        <f t="shared" si="264"/>
        <v>HW</v>
      </c>
      <c r="U530" s="206" t="str">
        <f t="shared" si="265"/>
        <v>U</v>
      </c>
      <c r="V530" s="206" t="str">
        <f t="shared" si="266"/>
        <v>O</v>
      </c>
      <c r="W530" s="206" t="str">
        <f t="shared" si="267"/>
        <v>O</v>
      </c>
      <c r="X530" s="206" t="str">
        <f t="shared" si="268"/>
        <v>T</v>
      </c>
      <c r="Y530" s="206"/>
      <c r="Z530" s="206">
        <v>57</v>
      </c>
      <c r="AA530" s="206"/>
      <c r="AB530" s="206" t="str">
        <f t="shared" si="269"/>
        <v>WAS/DEN</v>
      </c>
      <c r="AC530" s="206">
        <f t="shared" si="270"/>
        <v>2</v>
      </c>
      <c r="AD530" s="206">
        <f t="shared" si="271"/>
        <v>1</v>
      </c>
    </row>
    <row r="531" spans="1:30" x14ac:dyDescent="0.45">
      <c r="A531" s="193">
        <v>200105</v>
      </c>
      <c r="B531" s="194">
        <v>0.4375</v>
      </c>
      <c r="C531" s="193" t="s">
        <v>434</v>
      </c>
      <c r="D531" s="193" t="s">
        <v>409</v>
      </c>
      <c r="E531" s="206">
        <v>20</v>
      </c>
      <c r="F531" s="206">
        <v>24</v>
      </c>
      <c r="G531" s="206">
        <v>40</v>
      </c>
      <c r="H531" s="206">
        <v>19</v>
      </c>
      <c r="I531" s="206">
        <v>17</v>
      </c>
      <c r="J531" s="206">
        <v>32</v>
      </c>
      <c r="K531" s="206">
        <v>25</v>
      </c>
      <c r="L531" s="206">
        <v>23</v>
      </c>
      <c r="M531" s="206">
        <v>23</v>
      </c>
      <c r="N531" s="206">
        <v>20</v>
      </c>
      <c r="O531" s="206">
        <f t="shared" si="259"/>
        <v>120</v>
      </c>
      <c r="P531" s="206">
        <f t="shared" si="260"/>
        <v>123</v>
      </c>
      <c r="Q531" s="206" t="str">
        <f t="shared" si="261"/>
        <v>HL</v>
      </c>
      <c r="R531" s="206" t="str">
        <f t="shared" si="262"/>
        <v>HL</v>
      </c>
      <c r="S531" s="206" t="str">
        <f t="shared" si="263"/>
        <v>HW</v>
      </c>
      <c r="T531" s="206" t="str">
        <f t="shared" si="264"/>
        <v>HL</v>
      </c>
      <c r="U531" s="206" t="str">
        <f t="shared" si="265"/>
        <v>U</v>
      </c>
      <c r="V531" s="206" t="str">
        <f t="shared" si="266"/>
        <v>U</v>
      </c>
      <c r="W531" s="206" t="str">
        <f t="shared" si="267"/>
        <v>O</v>
      </c>
      <c r="X531" s="206" t="str">
        <f t="shared" si="268"/>
        <v>U</v>
      </c>
      <c r="Y531" s="206"/>
      <c r="Z531" s="206">
        <v>55.5</v>
      </c>
      <c r="AA531" s="206"/>
      <c r="AB531" s="206" t="str">
        <f t="shared" si="269"/>
        <v>DAL/CHA</v>
      </c>
      <c r="AC531" s="206">
        <f t="shared" si="270"/>
        <v>1</v>
      </c>
      <c r="AD531" s="206">
        <f t="shared" si="271"/>
        <v>3</v>
      </c>
    </row>
    <row r="532" spans="1:30" x14ac:dyDescent="0.45">
      <c r="A532" s="193">
        <v>200105</v>
      </c>
      <c r="B532" s="194">
        <v>0.4375</v>
      </c>
      <c r="C532" s="193" t="s">
        <v>425</v>
      </c>
      <c r="D532" s="193" t="s">
        <v>422</v>
      </c>
      <c r="E532" s="206">
        <v>23</v>
      </c>
      <c r="F532" s="206">
        <v>36</v>
      </c>
      <c r="G532" s="206">
        <v>21</v>
      </c>
      <c r="H532" s="206">
        <v>24</v>
      </c>
      <c r="I532" s="206"/>
      <c r="J532" s="206">
        <v>25</v>
      </c>
      <c r="K532" s="206">
        <v>31</v>
      </c>
      <c r="L532" s="206">
        <v>27</v>
      </c>
      <c r="M532" s="206">
        <v>28</v>
      </c>
      <c r="N532" s="206" t="s">
        <v>427</v>
      </c>
      <c r="O532" s="206">
        <f t="shared" si="259"/>
        <v>104</v>
      </c>
      <c r="P532" s="206">
        <f t="shared" si="260"/>
        <v>111</v>
      </c>
      <c r="Q532" s="206" t="str">
        <f t="shared" si="261"/>
        <v>HL</v>
      </c>
      <c r="R532" s="206" t="str">
        <f t="shared" si="262"/>
        <v>HW</v>
      </c>
      <c r="S532" s="206" t="str">
        <f t="shared" si="263"/>
        <v>HL</v>
      </c>
      <c r="T532" s="206" t="str">
        <f t="shared" si="264"/>
        <v>HL</v>
      </c>
      <c r="U532" s="206" t="str">
        <f t="shared" si="265"/>
        <v>U</v>
      </c>
      <c r="V532" s="206" t="str">
        <f t="shared" si="266"/>
        <v>O</v>
      </c>
      <c r="W532" s="206" t="str">
        <f t="shared" si="267"/>
        <v>U</v>
      </c>
      <c r="X532" s="206" t="str">
        <f t="shared" si="268"/>
        <v>U</v>
      </c>
      <c r="Y532" s="206"/>
      <c r="Z532" s="206">
        <v>55</v>
      </c>
      <c r="AA532" s="206"/>
      <c r="AB532" s="206" t="str">
        <f t="shared" si="269"/>
        <v>GS/DET</v>
      </c>
      <c r="AC532" s="206">
        <f t="shared" si="270"/>
        <v>1</v>
      </c>
      <c r="AD532" s="206">
        <f t="shared" si="271"/>
        <v>3</v>
      </c>
    </row>
    <row r="533" spans="1:30" x14ac:dyDescent="0.45">
      <c r="A533" s="193">
        <v>200105</v>
      </c>
      <c r="B533" s="194">
        <v>0.4375</v>
      </c>
      <c r="C533" s="193" t="s">
        <v>423</v>
      </c>
      <c r="D533" s="193" t="s">
        <v>426</v>
      </c>
      <c r="E533" s="206">
        <v>29</v>
      </c>
      <c r="F533" s="206">
        <v>42</v>
      </c>
      <c r="G533" s="206">
        <v>32</v>
      </c>
      <c r="H533" s="206">
        <v>24</v>
      </c>
      <c r="I533" s="206"/>
      <c r="J533" s="206">
        <v>31</v>
      </c>
      <c r="K533" s="206">
        <v>35</v>
      </c>
      <c r="L533" s="206">
        <v>25</v>
      </c>
      <c r="M533" s="206">
        <v>27</v>
      </c>
      <c r="N533" s="206" t="s">
        <v>427</v>
      </c>
      <c r="O533" s="206">
        <f t="shared" si="259"/>
        <v>127</v>
      </c>
      <c r="P533" s="206">
        <f t="shared" si="260"/>
        <v>118</v>
      </c>
      <c r="Q533" s="206" t="str">
        <f t="shared" si="261"/>
        <v>HL</v>
      </c>
      <c r="R533" s="206" t="str">
        <f t="shared" si="262"/>
        <v>HW</v>
      </c>
      <c r="S533" s="206" t="str">
        <f t="shared" si="263"/>
        <v>HW</v>
      </c>
      <c r="T533" s="206" t="str">
        <f t="shared" si="264"/>
        <v>HL</v>
      </c>
      <c r="U533" s="206" t="str">
        <f t="shared" si="265"/>
        <v>O</v>
      </c>
      <c r="V533" s="206" t="str">
        <f t="shared" si="266"/>
        <v>O</v>
      </c>
      <c r="W533" s="206" t="str">
        <f t="shared" si="267"/>
        <v>O</v>
      </c>
      <c r="X533" s="206" t="str">
        <f t="shared" si="268"/>
        <v>U</v>
      </c>
      <c r="Y533" s="206"/>
      <c r="Z533" s="206">
        <v>56</v>
      </c>
      <c r="AA533" s="206"/>
      <c r="AB533" s="206" t="str">
        <f t="shared" si="269"/>
        <v>MIL/SAS</v>
      </c>
      <c r="AC533" s="206">
        <f t="shared" si="270"/>
        <v>3</v>
      </c>
      <c r="AD533" s="206">
        <f t="shared" si="271"/>
        <v>1</v>
      </c>
    </row>
    <row r="534" spans="1:30" x14ac:dyDescent="0.45">
      <c r="A534" s="193">
        <v>200105</v>
      </c>
      <c r="B534" s="194">
        <v>0.5</v>
      </c>
      <c r="C534" s="193" t="s">
        <v>416</v>
      </c>
      <c r="D534" s="193" t="s">
        <v>398</v>
      </c>
      <c r="E534" s="206">
        <v>26</v>
      </c>
      <c r="F534" s="206">
        <v>22</v>
      </c>
      <c r="G534" s="206">
        <v>32</v>
      </c>
      <c r="H534" s="206">
        <v>35</v>
      </c>
      <c r="I534" s="206"/>
      <c r="J534" s="206">
        <v>25</v>
      </c>
      <c r="K534" s="206">
        <v>27</v>
      </c>
      <c r="L534" s="206">
        <v>24</v>
      </c>
      <c r="M534" s="206">
        <v>41</v>
      </c>
      <c r="N534" s="206" t="s">
        <v>427</v>
      </c>
      <c r="O534" s="206">
        <f t="shared" si="259"/>
        <v>115</v>
      </c>
      <c r="P534" s="206">
        <f t="shared" si="260"/>
        <v>117</v>
      </c>
      <c r="Q534" s="206" t="str">
        <f t="shared" si="261"/>
        <v>HW</v>
      </c>
      <c r="R534" s="206" t="str">
        <f t="shared" si="262"/>
        <v>HL</v>
      </c>
      <c r="S534" s="206" t="str">
        <f t="shared" si="263"/>
        <v>HW</v>
      </c>
      <c r="T534" s="206" t="str">
        <f t="shared" si="264"/>
        <v>HL</v>
      </c>
      <c r="U534" s="206" t="str">
        <f t="shared" si="265"/>
        <v>U</v>
      </c>
      <c r="V534" s="206" t="str">
        <f t="shared" si="266"/>
        <v>U</v>
      </c>
      <c r="W534" s="206" t="str">
        <f t="shared" si="267"/>
        <v>U</v>
      </c>
      <c r="X534" s="206" t="str">
        <f t="shared" si="268"/>
        <v>O</v>
      </c>
      <c r="Y534" s="206"/>
      <c r="Z534" s="206">
        <v>58</v>
      </c>
      <c r="AA534" s="206"/>
      <c r="AB534" s="206" t="str">
        <f t="shared" si="269"/>
        <v>SAC/NO</v>
      </c>
      <c r="AC534" s="206">
        <f t="shared" si="270"/>
        <v>1</v>
      </c>
      <c r="AD534" s="206">
        <f t="shared" si="271"/>
        <v>3</v>
      </c>
    </row>
    <row r="535" spans="1:30" x14ac:dyDescent="0.45">
      <c r="A535" s="206">
        <v>200106</v>
      </c>
      <c r="B535" s="207">
        <v>0.22916666666666666</v>
      </c>
      <c r="C535" s="206" t="s">
        <v>415</v>
      </c>
      <c r="D535" s="206" t="s">
        <v>399</v>
      </c>
      <c r="E535" s="3">
        <v>29</v>
      </c>
      <c r="F535" s="3">
        <v>47</v>
      </c>
      <c r="G535" s="3">
        <v>38</v>
      </c>
      <c r="H535" s="3">
        <v>21</v>
      </c>
      <c r="J535" s="3">
        <v>45</v>
      </c>
      <c r="K535" s="3">
        <v>24</v>
      </c>
      <c r="L535" s="3">
        <v>31</v>
      </c>
      <c r="M535" s="3">
        <v>32</v>
      </c>
      <c r="N535" s="3" t="s">
        <v>427</v>
      </c>
      <c r="O535" s="206">
        <f t="shared" ref="O535:O598" si="272">SUM(E535:I535)</f>
        <v>135</v>
      </c>
      <c r="P535" s="206">
        <f t="shared" ref="P535:P598" si="273">SUM(J535:N535)</f>
        <v>132</v>
      </c>
      <c r="Q535" s="206" t="str">
        <f t="shared" ref="Q535:Q598" si="274">IF(E535=J535,"TT",IF(E535&gt;J535,"HW","HL"))</f>
        <v>HL</v>
      </c>
      <c r="R535" s="206" t="str">
        <f t="shared" ref="R535:R598" si="275">IF(F535=K535,"TT",IF(F535&gt;K535,"HW","HL"))</f>
        <v>HW</v>
      </c>
      <c r="S535" s="206" t="str">
        <f t="shared" ref="S535:S598" si="276">IF(G535=L535,"TT",IF(G535&gt;L535,"HW","HL"))</f>
        <v>HW</v>
      </c>
      <c r="T535" s="206" t="str">
        <f t="shared" ref="T535:T598" si="277">IF(H535=M535,"TT",IF(H535&gt;M535,"HW","HL"))</f>
        <v>HL</v>
      </c>
      <c r="U535" s="206" t="str">
        <f t="shared" ref="U535:U598" si="278">IF(SUM(E535,J535)=$Z535,"T",IF(SUM(E535,J535)&gt;$Z535,"O","U"))</f>
        <v>O</v>
      </c>
      <c r="V535" s="206" t="str">
        <f t="shared" ref="V535:V598" si="279">IF(SUM(F535,K535)=$Z535,"T",IF(SUM(F535,K535)&gt;$Z535,"O","U"))</f>
        <v>O</v>
      </c>
      <c r="W535" s="206" t="str">
        <f t="shared" ref="W535:W598" si="280">IF(SUM(G535,L535)=$Z535,"T",IF(SUM(G535,L535)&gt;$Z535,"O","U"))</f>
        <v>O</v>
      </c>
      <c r="X535" s="206" t="str">
        <f t="shared" ref="X535:X598" si="281">IF(SUM(H535,M535)=$Z535,"T",IF(SUM(H535,M535)&gt;$Z535,"O","U"))</f>
        <v>U</v>
      </c>
      <c r="Y535" s="206"/>
      <c r="Z535" s="206">
        <v>57</v>
      </c>
      <c r="AB535" s="206" t="str">
        <f t="shared" si="269"/>
        <v>LAC/NYK</v>
      </c>
      <c r="AC535" s="206">
        <f t="shared" ref="AC535:AC598" si="282">COUNTIF(U535:X535,"o")</f>
        <v>3</v>
      </c>
      <c r="AD535" s="206">
        <f t="shared" ref="AD535:AD598" si="283">COUNTIF(U535:X535,"u")</f>
        <v>1</v>
      </c>
    </row>
    <row r="536" spans="1:30" x14ac:dyDescent="0.45">
      <c r="A536" s="206">
        <v>200106</v>
      </c>
      <c r="B536" s="207">
        <v>0.33333333333333331</v>
      </c>
      <c r="C536" s="206" t="s">
        <v>411</v>
      </c>
      <c r="D536" s="206" t="s">
        <v>417</v>
      </c>
      <c r="E536" s="3">
        <v>31</v>
      </c>
      <c r="F536" s="3">
        <v>34</v>
      </c>
      <c r="G536" s="3">
        <v>29</v>
      </c>
      <c r="H536" s="3">
        <v>28</v>
      </c>
      <c r="J536" s="3">
        <v>19</v>
      </c>
      <c r="K536" s="3">
        <v>27</v>
      </c>
      <c r="L536" s="3">
        <v>35</v>
      </c>
      <c r="M536" s="3">
        <v>30</v>
      </c>
      <c r="N536" s="3" t="s">
        <v>427</v>
      </c>
      <c r="O536" s="206">
        <f t="shared" si="272"/>
        <v>122</v>
      </c>
      <c r="P536" s="206">
        <f t="shared" si="273"/>
        <v>111</v>
      </c>
      <c r="Q536" s="206" t="str">
        <f t="shared" si="274"/>
        <v>HW</v>
      </c>
      <c r="R536" s="206" t="str">
        <f t="shared" si="275"/>
        <v>HW</v>
      </c>
      <c r="S536" s="206" t="str">
        <f t="shared" si="276"/>
        <v>HL</v>
      </c>
      <c r="T536" s="206" t="str">
        <f t="shared" si="277"/>
        <v>HL</v>
      </c>
      <c r="U536" s="206" t="str">
        <f t="shared" si="278"/>
        <v>U</v>
      </c>
      <c r="V536" s="206" t="str">
        <f t="shared" si="279"/>
        <v>O</v>
      </c>
      <c r="W536" s="206" t="str">
        <f t="shared" si="280"/>
        <v>O</v>
      </c>
      <c r="X536" s="206" t="str">
        <f t="shared" si="281"/>
        <v>O</v>
      </c>
      <c r="Y536" s="206"/>
      <c r="Z536" s="206">
        <v>55.5</v>
      </c>
      <c r="AB536" s="206" t="str">
        <f t="shared" si="269"/>
        <v>MIA/POR</v>
      </c>
      <c r="AC536" s="206">
        <f t="shared" si="282"/>
        <v>3</v>
      </c>
      <c r="AD536" s="206">
        <f t="shared" si="283"/>
        <v>1</v>
      </c>
    </row>
    <row r="537" spans="1:30" x14ac:dyDescent="0.45">
      <c r="A537" s="206">
        <v>200106</v>
      </c>
      <c r="B537" s="207">
        <v>0.39583333333333331</v>
      </c>
      <c r="C537" s="206" t="s">
        <v>402</v>
      </c>
      <c r="D537" s="206" t="s">
        <v>420</v>
      </c>
      <c r="E537" s="3">
        <v>20</v>
      </c>
      <c r="F537" s="3">
        <v>28</v>
      </c>
      <c r="G537" s="3">
        <v>31</v>
      </c>
      <c r="H537" s="3">
        <v>24</v>
      </c>
      <c r="J537" s="3">
        <v>24</v>
      </c>
      <c r="K537" s="3">
        <v>42</v>
      </c>
      <c r="L537" s="3">
        <v>28</v>
      </c>
      <c r="M537" s="3">
        <v>24</v>
      </c>
      <c r="N537" s="3" t="s">
        <v>427</v>
      </c>
      <c r="O537" s="206">
        <f t="shared" si="272"/>
        <v>103</v>
      </c>
      <c r="P537" s="206">
        <f t="shared" si="273"/>
        <v>118</v>
      </c>
      <c r="Q537" s="206" t="str">
        <f t="shared" si="274"/>
        <v>HL</v>
      </c>
      <c r="R537" s="206" t="str">
        <f t="shared" si="275"/>
        <v>HL</v>
      </c>
      <c r="S537" s="206" t="str">
        <f t="shared" si="276"/>
        <v>HW</v>
      </c>
      <c r="T537" s="206" t="str">
        <f t="shared" si="277"/>
        <v>TT</v>
      </c>
      <c r="U537" s="206" t="str">
        <f t="shared" si="278"/>
        <v>U</v>
      </c>
      <c r="V537" s="206" t="str">
        <f t="shared" si="279"/>
        <v>O</v>
      </c>
      <c r="W537" s="206" t="str">
        <f t="shared" si="280"/>
        <v>O</v>
      </c>
      <c r="X537" s="206" t="str">
        <f t="shared" si="281"/>
        <v>U</v>
      </c>
      <c r="Y537" s="206"/>
      <c r="Z537" s="206">
        <v>55.5</v>
      </c>
      <c r="AB537" s="206" t="str">
        <f t="shared" si="269"/>
        <v>CLE/MIN</v>
      </c>
      <c r="AC537" s="206">
        <f t="shared" si="282"/>
        <v>2</v>
      </c>
      <c r="AD537" s="206">
        <f t="shared" si="283"/>
        <v>2</v>
      </c>
    </row>
    <row r="538" spans="1:30" x14ac:dyDescent="0.45">
      <c r="A538" s="206">
        <v>200106</v>
      </c>
      <c r="B538" s="207">
        <v>0.41666666666666669</v>
      </c>
      <c r="C538" s="206" t="s">
        <v>435</v>
      </c>
      <c r="D538" s="206" t="s">
        <v>406</v>
      </c>
      <c r="E538" s="3">
        <v>31</v>
      </c>
      <c r="F538" s="3">
        <v>26</v>
      </c>
      <c r="G538" s="3">
        <v>20</v>
      </c>
      <c r="H538" s="3">
        <v>37</v>
      </c>
      <c r="J538" s="3">
        <v>27</v>
      </c>
      <c r="K538" s="3">
        <v>35</v>
      </c>
      <c r="L538" s="3">
        <v>34</v>
      </c>
      <c r="M538" s="3">
        <v>25</v>
      </c>
      <c r="N538" s="3" t="s">
        <v>427</v>
      </c>
      <c r="O538" s="206">
        <f t="shared" si="272"/>
        <v>114</v>
      </c>
      <c r="P538" s="206">
        <f t="shared" si="273"/>
        <v>121</v>
      </c>
      <c r="Q538" s="206" t="str">
        <f t="shared" si="274"/>
        <v>HW</v>
      </c>
      <c r="R538" s="206" t="str">
        <f t="shared" si="275"/>
        <v>HL</v>
      </c>
      <c r="S538" s="206" t="str">
        <f t="shared" si="276"/>
        <v>HL</v>
      </c>
      <c r="T538" s="206" t="str">
        <f t="shared" si="277"/>
        <v>HW</v>
      </c>
      <c r="U538" s="206" t="str">
        <f t="shared" si="278"/>
        <v>O</v>
      </c>
      <c r="V538" s="206" t="str">
        <f t="shared" si="279"/>
        <v>O</v>
      </c>
      <c r="W538" s="206" t="str">
        <f t="shared" si="280"/>
        <v>U</v>
      </c>
      <c r="X538" s="206" t="str">
        <f t="shared" si="281"/>
        <v>O</v>
      </c>
      <c r="Y538" s="206"/>
      <c r="Z538" s="206">
        <v>57.5</v>
      </c>
      <c r="AB538" s="206" t="str">
        <f t="shared" si="269"/>
        <v>PHO/MEM</v>
      </c>
      <c r="AC538" s="206">
        <f t="shared" si="282"/>
        <v>3</v>
      </c>
      <c r="AD538" s="206">
        <f t="shared" si="283"/>
        <v>1</v>
      </c>
    </row>
    <row r="539" spans="1:30" x14ac:dyDescent="0.45">
      <c r="A539" s="206">
        <v>200106</v>
      </c>
      <c r="B539" s="207">
        <v>0.5</v>
      </c>
      <c r="C539" s="206" t="s">
        <v>419</v>
      </c>
      <c r="D539" s="206" t="s">
        <v>422</v>
      </c>
      <c r="E539" s="3">
        <v>23</v>
      </c>
      <c r="F539" s="3">
        <v>33</v>
      </c>
      <c r="G539" s="3">
        <v>19</v>
      </c>
      <c r="H539" s="3">
        <v>31</v>
      </c>
      <c r="J539" s="3">
        <v>22</v>
      </c>
      <c r="K539" s="3">
        <v>25</v>
      </c>
      <c r="L539" s="3">
        <v>32</v>
      </c>
      <c r="M539" s="3">
        <v>20</v>
      </c>
      <c r="N539" s="3" t="s">
        <v>427</v>
      </c>
      <c r="O539" s="206">
        <f t="shared" si="272"/>
        <v>106</v>
      </c>
      <c r="P539" s="206">
        <f t="shared" si="273"/>
        <v>99</v>
      </c>
      <c r="Q539" s="206" t="str">
        <f t="shared" si="274"/>
        <v>HW</v>
      </c>
      <c r="R539" s="206" t="str">
        <f t="shared" si="275"/>
        <v>HW</v>
      </c>
      <c r="S539" s="206" t="str">
        <f t="shared" si="276"/>
        <v>HL</v>
      </c>
      <c r="T539" s="206" t="str">
        <f t="shared" si="277"/>
        <v>HW</v>
      </c>
      <c r="U539" s="206" t="str">
        <f t="shared" si="278"/>
        <v>U</v>
      </c>
      <c r="V539" s="206" t="str">
        <f t="shared" si="279"/>
        <v>O</v>
      </c>
      <c r="W539" s="206" t="str">
        <f t="shared" si="280"/>
        <v>U</v>
      </c>
      <c r="X539" s="206" t="str">
        <f t="shared" si="281"/>
        <v>U</v>
      </c>
      <c r="Y539" s="206"/>
      <c r="Z539" s="206">
        <v>57.5</v>
      </c>
      <c r="AB539" s="206" t="str">
        <f t="shared" si="269"/>
        <v>LAL/DET</v>
      </c>
      <c r="AC539" s="206">
        <f t="shared" si="282"/>
        <v>1</v>
      </c>
      <c r="AD539" s="206">
        <f t="shared" si="283"/>
        <v>3</v>
      </c>
    </row>
    <row r="540" spans="1:30" x14ac:dyDescent="0.45">
      <c r="A540" s="206">
        <v>200107</v>
      </c>
      <c r="B540" s="44">
        <v>0.375</v>
      </c>
      <c r="C540" s="3" t="s">
        <v>424</v>
      </c>
      <c r="D540" s="3" t="s">
        <v>407</v>
      </c>
      <c r="E540" s="3">
        <v>20</v>
      </c>
      <c r="F540" s="3">
        <v>32</v>
      </c>
      <c r="G540" s="3">
        <v>23</v>
      </c>
      <c r="H540" s="3">
        <v>26</v>
      </c>
      <c r="J540" s="3">
        <v>22</v>
      </c>
      <c r="K540" s="3">
        <v>17</v>
      </c>
      <c r="L540" s="3">
        <v>32</v>
      </c>
      <c r="M540" s="3">
        <v>18</v>
      </c>
      <c r="N540" s="3" t="s">
        <v>427</v>
      </c>
      <c r="O540" s="206">
        <f t="shared" si="272"/>
        <v>101</v>
      </c>
      <c r="P540" s="206">
        <f t="shared" si="273"/>
        <v>89</v>
      </c>
      <c r="Q540" s="206" t="str">
        <f t="shared" si="274"/>
        <v>HL</v>
      </c>
      <c r="R540" s="206" t="str">
        <f t="shared" si="275"/>
        <v>HW</v>
      </c>
      <c r="S540" s="206" t="str">
        <f t="shared" si="276"/>
        <v>HL</v>
      </c>
      <c r="T540" s="206" t="str">
        <f t="shared" si="277"/>
        <v>HW</v>
      </c>
      <c r="U540" s="206" t="str">
        <f t="shared" si="278"/>
        <v>U</v>
      </c>
      <c r="V540" s="206" t="str">
        <f t="shared" si="279"/>
        <v>U</v>
      </c>
      <c r="W540" s="206" t="str">
        <f t="shared" si="280"/>
        <v>O</v>
      </c>
      <c r="X540" s="206" t="str">
        <f t="shared" si="281"/>
        <v>U</v>
      </c>
      <c r="Y540" s="206"/>
      <c r="Z540" s="3">
        <v>52</v>
      </c>
      <c r="AB540" s="206" t="str">
        <f t="shared" si="269"/>
        <v>ORL/BKN</v>
      </c>
      <c r="AC540" s="206">
        <f t="shared" si="282"/>
        <v>1</v>
      </c>
      <c r="AD540" s="206">
        <f t="shared" si="283"/>
        <v>3</v>
      </c>
    </row>
    <row r="541" spans="1:30" x14ac:dyDescent="0.45">
      <c r="A541" s="206">
        <v>200107</v>
      </c>
      <c r="B541" s="44">
        <v>0.375</v>
      </c>
      <c r="C541" s="3" t="s">
        <v>401</v>
      </c>
      <c r="D541" s="3" t="s">
        <v>418</v>
      </c>
      <c r="E541" s="3">
        <v>31</v>
      </c>
      <c r="F541" s="3">
        <v>31</v>
      </c>
      <c r="G541" s="3">
        <v>28</v>
      </c>
      <c r="H541" s="3">
        <v>30</v>
      </c>
      <c r="J541" s="3">
        <v>31</v>
      </c>
      <c r="K541" s="3">
        <v>21</v>
      </c>
      <c r="L541" s="3">
        <v>34</v>
      </c>
      <c r="M541" s="3">
        <v>27</v>
      </c>
      <c r="N541" s="3" t="s">
        <v>427</v>
      </c>
      <c r="O541" s="206">
        <f t="shared" si="272"/>
        <v>120</v>
      </c>
      <c r="P541" s="206">
        <f t="shared" si="273"/>
        <v>113</v>
      </c>
      <c r="Q541" s="206" t="str">
        <f t="shared" si="274"/>
        <v>TT</v>
      </c>
      <c r="R541" s="206" t="str">
        <f t="shared" si="275"/>
        <v>HW</v>
      </c>
      <c r="S541" s="206" t="str">
        <f t="shared" si="276"/>
        <v>HL</v>
      </c>
      <c r="T541" s="206" t="str">
        <f t="shared" si="277"/>
        <v>HW</v>
      </c>
      <c r="U541" s="206" t="str">
        <f t="shared" si="278"/>
        <v>O</v>
      </c>
      <c r="V541" s="206" t="str">
        <f t="shared" si="279"/>
        <v>U</v>
      </c>
      <c r="W541" s="206" t="str">
        <f t="shared" si="280"/>
        <v>O</v>
      </c>
      <c r="X541" s="206" t="str">
        <f t="shared" si="281"/>
        <v>O</v>
      </c>
      <c r="Y541" s="206"/>
      <c r="Z541" s="3">
        <v>55</v>
      </c>
      <c r="AB541" s="206" t="str">
        <f t="shared" si="269"/>
        <v>PHI/OKC</v>
      </c>
      <c r="AC541" s="206">
        <f t="shared" si="282"/>
        <v>3</v>
      </c>
      <c r="AD541" s="206">
        <f t="shared" si="283"/>
        <v>1</v>
      </c>
    </row>
    <row r="542" spans="1:30" x14ac:dyDescent="0.45">
      <c r="A542" s="206">
        <v>200107</v>
      </c>
      <c r="B542" s="44">
        <v>0.375</v>
      </c>
      <c r="C542" s="3" t="s">
        <v>414</v>
      </c>
      <c r="D542" s="3" t="s">
        <v>421</v>
      </c>
      <c r="E542" s="3">
        <v>26</v>
      </c>
      <c r="F542" s="3">
        <v>25</v>
      </c>
      <c r="G542" s="3">
        <v>23</v>
      </c>
      <c r="H542" s="3">
        <v>25</v>
      </c>
      <c r="J542" s="3">
        <v>17</v>
      </c>
      <c r="K542" s="3">
        <v>23</v>
      </c>
      <c r="L542" s="3">
        <v>32</v>
      </c>
      <c r="M542" s="3">
        <v>22</v>
      </c>
      <c r="N542" s="3" t="s">
        <v>427</v>
      </c>
      <c r="O542" s="206">
        <f t="shared" si="272"/>
        <v>99</v>
      </c>
      <c r="P542" s="206">
        <f t="shared" si="273"/>
        <v>94</v>
      </c>
      <c r="Q542" s="206" t="str">
        <f t="shared" si="274"/>
        <v>HW</v>
      </c>
      <c r="R542" s="206" t="str">
        <f t="shared" si="275"/>
        <v>HW</v>
      </c>
      <c r="S542" s="206" t="str">
        <f t="shared" si="276"/>
        <v>HL</v>
      </c>
      <c r="T542" s="206" t="str">
        <f t="shared" si="277"/>
        <v>HW</v>
      </c>
      <c r="U542" s="206" t="str">
        <f t="shared" si="278"/>
        <v>U</v>
      </c>
      <c r="V542" s="206" t="str">
        <f t="shared" si="279"/>
        <v>U</v>
      </c>
      <c r="W542" s="206" t="str">
        <f t="shared" si="280"/>
        <v>T</v>
      </c>
      <c r="X542" s="206" t="str">
        <f t="shared" si="281"/>
        <v>U</v>
      </c>
      <c r="Y542" s="206"/>
      <c r="Z542" s="3">
        <v>55</v>
      </c>
      <c r="AB542" s="206" t="str">
        <f t="shared" si="269"/>
        <v>WAS/BOS</v>
      </c>
      <c r="AC542" s="206">
        <f t="shared" si="282"/>
        <v>0</v>
      </c>
      <c r="AD542" s="206">
        <f t="shared" si="283"/>
        <v>3</v>
      </c>
    </row>
    <row r="543" spans="1:30" x14ac:dyDescent="0.45">
      <c r="A543" s="206">
        <v>200107</v>
      </c>
      <c r="B543" s="44">
        <v>0.375</v>
      </c>
      <c r="C543" s="3" t="s">
        <v>409</v>
      </c>
      <c r="D543" s="3" t="s">
        <v>400</v>
      </c>
      <c r="E543" s="3">
        <v>29</v>
      </c>
      <c r="F543" s="3">
        <v>15</v>
      </c>
      <c r="G543" s="3">
        <v>21</v>
      </c>
      <c r="H543" s="3">
        <v>39</v>
      </c>
      <c r="J543" s="3">
        <v>27</v>
      </c>
      <c r="K543" s="3">
        <v>15</v>
      </c>
      <c r="L543" s="3">
        <v>37</v>
      </c>
      <c r="M543" s="3">
        <v>36</v>
      </c>
      <c r="N543" s="3" t="s">
        <v>427</v>
      </c>
      <c r="O543" s="206">
        <f t="shared" si="272"/>
        <v>104</v>
      </c>
      <c r="P543" s="206">
        <f t="shared" si="273"/>
        <v>115</v>
      </c>
      <c r="Q543" s="206" t="str">
        <f t="shared" si="274"/>
        <v>HW</v>
      </c>
      <c r="R543" s="206" t="str">
        <f t="shared" si="275"/>
        <v>TT</v>
      </c>
      <c r="S543" s="206" t="str">
        <f t="shared" si="276"/>
        <v>HL</v>
      </c>
      <c r="T543" s="206" t="str">
        <f t="shared" si="277"/>
        <v>HW</v>
      </c>
      <c r="U543" s="206" t="str">
        <f t="shared" si="278"/>
        <v>O</v>
      </c>
      <c r="V543" s="206" t="str">
        <f t="shared" si="279"/>
        <v>U</v>
      </c>
      <c r="W543" s="206" t="str">
        <f t="shared" si="280"/>
        <v>O</v>
      </c>
      <c r="X543" s="206" t="str">
        <f t="shared" si="281"/>
        <v>O</v>
      </c>
      <c r="Y543" s="206"/>
      <c r="Z543" s="3">
        <v>54</v>
      </c>
      <c r="AB543" s="206" t="str">
        <f t="shared" si="269"/>
        <v>CHA/IND</v>
      </c>
      <c r="AC543" s="206">
        <f t="shared" si="282"/>
        <v>3</v>
      </c>
      <c r="AD543" s="206">
        <f t="shared" si="283"/>
        <v>1</v>
      </c>
    </row>
    <row r="544" spans="1:30" x14ac:dyDescent="0.45">
      <c r="A544" s="206">
        <v>200107</v>
      </c>
      <c r="B544" s="44">
        <v>0.39583333333333331</v>
      </c>
      <c r="C544" s="3" t="s">
        <v>410</v>
      </c>
      <c r="D544" s="3" t="s">
        <v>408</v>
      </c>
      <c r="E544" s="3">
        <v>31</v>
      </c>
      <c r="F544" s="3">
        <v>25</v>
      </c>
      <c r="G544" s="3">
        <v>30</v>
      </c>
      <c r="H544" s="3">
        <v>29</v>
      </c>
      <c r="J544" s="3">
        <v>29</v>
      </c>
      <c r="K544" s="3">
        <v>35</v>
      </c>
      <c r="L544" s="3">
        <v>27</v>
      </c>
      <c r="M544" s="3">
        <v>32</v>
      </c>
      <c r="N544" s="3" t="s">
        <v>427</v>
      </c>
      <c r="O544" s="206">
        <f t="shared" si="272"/>
        <v>115</v>
      </c>
      <c r="P544" s="206">
        <f t="shared" si="273"/>
        <v>123</v>
      </c>
      <c r="Q544" s="206" t="str">
        <f t="shared" si="274"/>
        <v>HW</v>
      </c>
      <c r="R544" s="206" t="str">
        <f t="shared" si="275"/>
        <v>HL</v>
      </c>
      <c r="S544" s="206" t="str">
        <f t="shared" si="276"/>
        <v>HW</v>
      </c>
      <c r="T544" s="206" t="str">
        <f t="shared" si="277"/>
        <v>HL</v>
      </c>
      <c r="U544" s="206" t="str">
        <f t="shared" si="278"/>
        <v>O</v>
      </c>
      <c r="V544" s="206" t="str">
        <f t="shared" si="279"/>
        <v>O</v>
      </c>
      <c r="W544" s="206" t="str">
        <f t="shared" si="280"/>
        <v>U</v>
      </c>
      <c r="X544" s="206" t="str">
        <f t="shared" si="281"/>
        <v>O</v>
      </c>
      <c r="Y544" s="206"/>
      <c r="Z544" s="3">
        <v>58</v>
      </c>
      <c r="AB544" s="206" t="str">
        <f t="shared" si="269"/>
        <v>ATL/DEN</v>
      </c>
      <c r="AC544" s="206">
        <f t="shared" si="282"/>
        <v>3</v>
      </c>
      <c r="AD544" s="206">
        <f t="shared" si="283"/>
        <v>1</v>
      </c>
    </row>
    <row r="545" spans="1:30" x14ac:dyDescent="0.45">
      <c r="A545" s="206">
        <v>200107</v>
      </c>
      <c r="B545" s="44">
        <v>0.41666666666666669</v>
      </c>
      <c r="C545" s="3" t="s">
        <v>398</v>
      </c>
      <c r="D545" s="3" t="s">
        <v>405</v>
      </c>
      <c r="E545" s="3">
        <v>36</v>
      </c>
      <c r="F545" s="3">
        <v>28</v>
      </c>
      <c r="G545" s="3">
        <v>33</v>
      </c>
      <c r="H545" s="3">
        <v>29</v>
      </c>
      <c r="J545" s="3">
        <v>35</v>
      </c>
      <c r="K545" s="3">
        <v>33</v>
      </c>
      <c r="L545" s="3">
        <v>27</v>
      </c>
      <c r="M545" s="3">
        <v>33</v>
      </c>
      <c r="N545" s="3" t="s">
        <v>427</v>
      </c>
      <c r="O545" s="206">
        <f t="shared" si="272"/>
        <v>126</v>
      </c>
      <c r="P545" s="206">
        <f t="shared" si="273"/>
        <v>128</v>
      </c>
      <c r="Q545" s="206" t="str">
        <f t="shared" si="274"/>
        <v>HW</v>
      </c>
      <c r="R545" s="206" t="str">
        <f t="shared" si="275"/>
        <v>HL</v>
      </c>
      <c r="S545" s="206" t="str">
        <f t="shared" si="276"/>
        <v>HW</v>
      </c>
      <c r="T545" s="206" t="str">
        <f t="shared" si="277"/>
        <v>HL</v>
      </c>
      <c r="U545" s="206" t="str">
        <f t="shared" si="278"/>
        <v>O</v>
      </c>
      <c r="V545" s="206" t="str">
        <f t="shared" si="279"/>
        <v>O</v>
      </c>
      <c r="W545" s="206" t="str">
        <f t="shared" si="280"/>
        <v>O</v>
      </c>
      <c r="X545" s="206" t="str">
        <f t="shared" si="281"/>
        <v>O</v>
      </c>
      <c r="Y545" s="206"/>
      <c r="Z545" s="3">
        <v>54</v>
      </c>
      <c r="AB545" s="206" t="str">
        <f t="shared" si="269"/>
        <v>NO/UTA</v>
      </c>
      <c r="AC545" s="206">
        <f t="shared" si="282"/>
        <v>4</v>
      </c>
      <c r="AD545" s="206">
        <f t="shared" si="283"/>
        <v>0</v>
      </c>
    </row>
    <row r="546" spans="1:30" x14ac:dyDescent="0.45">
      <c r="A546" s="206">
        <v>200107</v>
      </c>
      <c r="B546" s="44">
        <v>0.4375</v>
      </c>
      <c r="C546" s="3" t="s">
        <v>397</v>
      </c>
      <c r="D546" s="3" t="s">
        <v>412</v>
      </c>
      <c r="E546" s="3">
        <v>33</v>
      </c>
      <c r="F546" s="3">
        <v>28</v>
      </c>
      <c r="G546" s="3">
        <v>27</v>
      </c>
      <c r="H546" s="3">
        <v>30</v>
      </c>
      <c r="J546" s="3">
        <v>27</v>
      </c>
      <c r="K546" s="3">
        <v>28</v>
      </c>
      <c r="L546" s="3">
        <v>27</v>
      </c>
      <c r="M546" s="3">
        <v>28</v>
      </c>
      <c r="N546" s="3" t="s">
        <v>427</v>
      </c>
      <c r="O546" s="206">
        <f t="shared" si="272"/>
        <v>118</v>
      </c>
      <c r="P546" s="206">
        <f t="shared" si="273"/>
        <v>110</v>
      </c>
      <c r="Q546" s="206" t="str">
        <f t="shared" si="274"/>
        <v>HW</v>
      </c>
      <c r="R546" s="206" t="str">
        <f t="shared" si="275"/>
        <v>TT</v>
      </c>
      <c r="S546" s="206" t="str">
        <f t="shared" si="276"/>
        <v>TT</v>
      </c>
      <c r="T546" s="206" t="str">
        <f t="shared" si="277"/>
        <v>HW</v>
      </c>
      <c r="U546" s="206" t="str">
        <f t="shared" si="278"/>
        <v>O</v>
      </c>
      <c r="V546" s="206" t="str">
        <f t="shared" si="279"/>
        <v>T</v>
      </c>
      <c r="W546" s="206" t="str">
        <f t="shared" si="280"/>
        <v>U</v>
      </c>
      <c r="X546" s="206" t="str">
        <f t="shared" si="281"/>
        <v>O</v>
      </c>
      <c r="Y546" s="206"/>
      <c r="Z546" s="3">
        <v>56</v>
      </c>
      <c r="AB546" s="206" t="str">
        <f t="shared" si="269"/>
        <v>DAL/CHI</v>
      </c>
      <c r="AC546" s="206">
        <f t="shared" si="282"/>
        <v>2</v>
      </c>
      <c r="AD546" s="206">
        <f t="shared" si="283"/>
        <v>1</v>
      </c>
    </row>
    <row r="547" spans="1:30" x14ac:dyDescent="0.45">
      <c r="A547" s="206">
        <v>200107</v>
      </c>
      <c r="B547" s="44">
        <v>0.4375</v>
      </c>
      <c r="C547" s="3" t="s">
        <v>426</v>
      </c>
      <c r="D547" s="3" t="s">
        <v>423</v>
      </c>
      <c r="E547" s="3">
        <v>27</v>
      </c>
      <c r="F547" s="3">
        <v>38</v>
      </c>
      <c r="G547" s="3">
        <v>26</v>
      </c>
      <c r="H547" s="3">
        <v>35</v>
      </c>
      <c r="J547" s="3">
        <v>22</v>
      </c>
      <c r="K547" s="3">
        <v>30</v>
      </c>
      <c r="L547" s="3">
        <v>29</v>
      </c>
      <c r="M547" s="3">
        <v>23</v>
      </c>
      <c r="N547" s="3" t="s">
        <v>427</v>
      </c>
      <c r="O547" s="206">
        <f t="shared" si="272"/>
        <v>126</v>
      </c>
      <c r="P547" s="206">
        <f t="shared" si="273"/>
        <v>104</v>
      </c>
      <c r="Q547" s="206" t="str">
        <f t="shared" si="274"/>
        <v>HW</v>
      </c>
      <c r="R547" s="206" t="str">
        <f t="shared" si="275"/>
        <v>HW</v>
      </c>
      <c r="S547" s="206" t="str">
        <f t="shared" si="276"/>
        <v>HL</v>
      </c>
      <c r="T547" s="206" t="str">
        <f t="shared" si="277"/>
        <v>HW</v>
      </c>
      <c r="U547" s="206" t="str">
        <f t="shared" si="278"/>
        <v>U</v>
      </c>
      <c r="V547" s="206" t="str">
        <f t="shared" si="279"/>
        <v>O</v>
      </c>
      <c r="W547" s="206" t="str">
        <f t="shared" si="280"/>
        <v>U</v>
      </c>
      <c r="X547" s="206" t="str">
        <f t="shared" si="281"/>
        <v>O</v>
      </c>
      <c r="Y547" s="206"/>
      <c r="Z547" s="3">
        <v>56.5</v>
      </c>
      <c r="AB547" s="206" t="str">
        <f t="shared" si="269"/>
        <v>SAS/MIL</v>
      </c>
      <c r="AC547" s="206">
        <f t="shared" si="282"/>
        <v>2</v>
      </c>
      <c r="AD547" s="206">
        <f t="shared" si="283"/>
        <v>2</v>
      </c>
    </row>
    <row r="548" spans="1:30" x14ac:dyDescent="0.45">
      <c r="A548" s="206">
        <v>200107</v>
      </c>
      <c r="B548" s="44">
        <v>0.5</v>
      </c>
      <c r="C548" s="3" t="s">
        <v>416</v>
      </c>
      <c r="D548" s="3" t="s">
        <v>425</v>
      </c>
      <c r="E548" s="3">
        <v>26</v>
      </c>
      <c r="F548" s="3">
        <v>26</v>
      </c>
      <c r="G548" s="3">
        <v>38</v>
      </c>
      <c r="H548" s="3">
        <v>21</v>
      </c>
      <c r="J548" s="3">
        <v>19</v>
      </c>
      <c r="K548" s="3">
        <v>21</v>
      </c>
      <c r="L548" s="3">
        <v>24</v>
      </c>
      <c r="M548" s="3">
        <v>34</v>
      </c>
      <c r="N548" s="3" t="s">
        <v>427</v>
      </c>
      <c r="O548" s="206">
        <f t="shared" si="272"/>
        <v>111</v>
      </c>
      <c r="P548" s="206">
        <f t="shared" si="273"/>
        <v>98</v>
      </c>
      <c r="Q548" s="206" t="str">
        <f t="shared" si="274"/>
        <v>HW</v>
      </c>
      <c r="R548" s="206" t="str">
        <f t="shared" si="275"/>
        <v>HW</v>
      </c>
      <c r="S548" s="206" t="str">
        <f t="shared" si="276"/>
        <v>HW</v>
      </c>
      <c r="T548" s="206" t="str">
        <f t="shared" si="277"/>
        <v>HL</v>
      </c>
      <c r="U548" s="206" t="str">
        <f t="shared" si="278"/>
        <v>U</v>
      </c>
      <c r="V548" s="206" t="str">
        <f t="shared" si="279"/>
        <v>U</v>
      </c>
      <c r="W548" s="206" t="str">
        <f t="shared" si="280"/>
        <v>O</v>
      </c>
      <c r="X548" s="206" t="str">
        <f t="shared" si="281"/>
        <v>T</v>
      </c>
      <c r="Y548" s="206"/>
      <c r="Z548" s="3">
        <v>55</v>
      </c>
      <c r="AB548" s="206" t="str">
        <f t="shared" si="269"/>
        <v>SAC/GS</v>
      </c>
      <c r="AC548" s="206">
        <f t="shared" si="282"/>
        <v>1</v>
      </c>
      <c r="AD548" s="206">
        <f t="shared" si="283"/>
        <v>2</v>
      </c>
    </row>
    <row r="549" spans="1:30" x14ac:dyDescent="0.45">
      <c r="A549" s="206">
        <v>200108</v>
      </c>
      <c r="B549" s="44">
        <v>0.375</v>
      </c>
      <c r="C549" s="3" t="s">
        <v>402</v>
      </c>
      <c r="D549" s="3" t="s">
        <v>422</v>
      </c>
      <c r="E549" s="3">
        <v>29</v>
      </c>
      <c r="F549" s="3">
        <v>38</v>
      </c>
      <c r="G549" s="3">
        <v>28</v>
      </c>
      <c r="H549" s="3">
        <v>18</v>
      </c>
      <c r="J549" s="3">
        <v>27</v>
      </c>
      <c r="K549" s="3">
        <v>27</v>
      </c>
      <c r="L549" s="3">
        <v>30</v>
      </c>
      <c r="M549" s="3">
        <v>31</v>
      </c>
      <c r="N549" s="3" t="s">
        <v>427</v>
      </c>
      <c r="O549" s="206">
        <f t="shared" si="272"/>
        <v>113</v>
      </c>
      <c r="P549" s="206">
        <f t="shared" si="273"/>
        <v>115</v>
      </c>
      <c r="Q549" s="206" t="str">
        <f t="shared" si="274"/>
        <v>HW</v>
      </c>
      <c r="R549" s="206" t="str">
        <f t="shared" si="275"/>
        <v>HW</v>
      </c>
      <c r="S549" s="206" t="str">
        <f t="shared" si="276"/>
        <v>HL</v>
      </c>
      <c r="T549" s="206" t="str">
        <f t="shared" si="277"/>
        <v>HL</v>
      </c>
      <c r="U549" s="206" t="str">
        <f t="shared" si="278"/>
        <v>U</v>
      </c>
      <c r="V549" s="206" t="str">
        <f t="shared" si="279"/>
        <v>O</v>
      </c>
      <c r="W549" s="206" t="str">
        <f t="shared" si="280"/>
        <v>O</v>
      </c>
      <c r="X549" s="206" t="str">
        <f t="shared" si="281"/>
        <v>U</v>
      </c>
      <c r="Y549" s="206"/>
      <c r="Z549" s="3">
        <v>56.5</v>
      </c>
      <c r="AB549" s="206" t="str">
        <f t="shared" si="269"/>
        <v>CLE/DET</v>
      </c>
      <c r="AC549" s="206">
        <f t="shared" si="282"/>
        <v>2</v>
      </c>
      <c r="AD549" s="206">
        <f t="shared" si="283"/>
        <v>2</v>
      </c>
    </row>
    <row r="550" spans="1:30" x14ac:dyDescent="0.45">
      <c r="A550" s="206">
        <v>200108</v>
      </c>
      <c r="B550" s="44">
        <v>0.375</v>
      </c>
      <c r="C550" s="3" t="s">
        <v>413</v>
      </c>
      <c r="D550" s="3" t="s">
        <v>417</v>
      </c>
      <c r="E550" s="3">
        <v>24</v>
      </c>
      <c r="F550" s="3">
        <v>32</v>
      </c>
      <c r="G550" s="3">
        <v>22</v>
      </c>
      <c r="H550" s="3">
        <v>21</v>
      </c>
      <c r="J550" s="3">
        <v>15</v>
      </c>
      <c r="K550" s="3">
        <v>31</v>
      </c>
      <c r="L550" s="3">
        <v>23</v>
      </c>
      <c r="M550" s="3">
        <v>32</v>
      </c>
      <c r="N550" s="3" t="s">
        <v>427</v>
      </c>
      <c r="O550" s="206">
        <f t="shared" si="272"/>
        <v>99</v>
      </c>
      <c r="P550" s="206">
        <f t="shared" si="273"/>
        <v>101</v>
      </c>
      <c r="Q550" s="206" t="str">
        <f t="shared" si="274"/>
        <v>HW</v>
      </c>
      <c r="R550" s="206" t="str">
        <f t="shared" si="275"/>
        <v>HW</v>
      </c>
      <c r="S550" s="206" t="str">
        <f t="shared" si="276"/>
        <v>HL</v>
      </c>
      <c r="T550" s="206" t="str">
        <f t="shared" si="277"/>
        <v>HL</v>
      </c>
      <c r="U550" s="206" t="str">
        <f t="shared" si="278"/>
        <v>U</v>
      </c>
      <c r="V550" s="206" t="str">
        <f t="shared" si="279"/>
        <v>O</v>
      </c>
      <c r="W550" s="206" t="str">
        <f t="shared" si="280"/>
        <v>U</v>
      </c>
      <c r="X550" s="206" t="str">
        <f t="shared" si="281"/>
        <v>U</v>
      </c>
      <c r="Y550" s="206"/>
      <c r="Z550" s="3">
        <v>57.5</v>
      </c>
      <c r="AB550" s="206" t="str">
        <f t="shared" si="269"/>
        <v>TOR/POR</v>
      </c>
      <c r="AC550" s="206">
        <f t="shared" si="282"/>
        <v>1</v>
      </c>
      <c r="AD550" s="206">
        <f t="shared" si="283"/>
        <v>3</v>
      </c>
    </row>
    <row r="551" spans="1:30" x14ac:dyDescent="0.45">
      <c r="A551" s="206">
        <v>200108</v>
      </c>
      <c r="B551" s="44">
        <v>0.39583333333333331</v>
      </c>
      <c r="C551" s="3" t="s">
        <v>407</v>
      </c>
      <c r="D551" s="3" t="s">
        <v>418</v>
      </c>
      <c r="E551" s="3">
        <v>23</v>
      </c>
      <c r="F551" s="3">
        <v>25</v>
      </c>
      <c r="G551" s="3">
        <v>29</v>
      </c>
      <c r="H551" s="3">
        <v>24</v>
      </c>
      <c r="I551" s="3">
        <v>2</v>
      </c>
      <c r="J551" s="3">
        <v>27</v>
      </c>
      <c r="K551" s="3">
        <v>22</v>
      </c>
      <c r="L551" s="3">
        <v>25</v>
      </c>
      <c r="M551" s="3">
        <v>27</v>
      </c>
      <c r="N551" s="3">
        <v>10</v>
      </c>
      <c r="O551" s="206">
        <f t="shared" si="272"/>
        <v>103</v>
      </c>
      <c r="P551" s="206">
        <f t="shared" si="273"/>
        <v>111</v>
      </c>
      <c r="Q551" s="206" t="str">
        <f t="shared" si="274"/>
        <v>HL</v>
      </c>
      <c r="R551" s="206" t="str">
        <f t="shared" si="275"/>
        <v>HW</v>
      </c>
      <c r="S551" s="206" t="str">
        <f t="shared" si="276"/>
        <v>HW</v>
      </c>
      <c r="T551" s="206" t="str">
        <f t="shared" si="277"/>
        <v>HL</v>
      </c>
      <c r="U551" s="206" t="str">
        <f t="shared" si="278"/>
        <v>U</v>
      </c>
      <c r="V551" s="206" t="str">
        <f t="shared" si="279"/>
        <v>U</v>
      </c>
      <c r="W551" s="206" t="str">
        <f t="shared" si="280"/>
        <v>U</v>
      </c>
      <c r="X551" s="206" t="str">
        <f t="shared" si="281"/>
        <v>U</v>
      </c>
      <c r="Y551" s="206"/>
      <c r="Z551" s="3">
        <v>55.5</v>
      </c>
      <c r="AB551" s="206" t="str">
        <f t="shared" si="269"/>
        <v>BKN/OKC</v>
      </c>
      <c r="AC551" s="206">
        <f t="shared" si="282"/>
        <v>0</v>
      </c>
      <c r="AD551" s="206">
        <f t="shared" si="283"/>
        <v>4</v>
      </c>
    </row>
    <row r="552" spans="1:30" x14ac:dyDescent="0.45">
      <c r="A552" s="206">
        <v>200108</v>
      </c>
      <c r="B552" s="44">
        <v>0.41666666666666669</v>
      </c>
      <c r="C552" s="3" t="s">
        <v>406</v>
      </c>
      <c r="D552" s="3" t="s">
        <v>420</v>
      </c>
      <c r="E552" s="3">
        <v>27</v>
      </c>
      <c r="F552" s="3">
        <v>24</v>
      </c>
      <c r="G552" s="3">
        <v>31</v>
      </c>
      <c r="H552" s="3">
        <v>37</v>
      </c>
      <c r="J552" s="3">
        <v>32</v>
      </c>
      <c r="K552" s="3">
        <v>24</v>
      </c>
      <c r="L552" s="3">
        <v>28</v>
      </c>
      <c r="M552" s="3">
        <v>28</v>
      </c>
      <c r="N552" s="3" t="s">
        <v>427</v>
      </c>
      <c r="O552" s="206">
        <f t="shared" si="272"/>
        <v>119</v>
      </c>
      <c r="P552" s="206">
        <f t="shared" si="273"/>
        <v>112</v>
      </c>
      <c r="Q552" s="206" t="str">
        <f t="shared" si="274"/>
        <v>HL</v>
      </c>
      <c r="R552" s="206" t="str">
        <f t="shared" si="275"/>
        <v>TT</v>
      </c>
      <c r="S552" s="206" t="str">
        <f t="shared" si="276"/>
        <v>HW</v>
      </c>
      <c r="T552" s="206" t="str">
        <f t="shared" si="277"/>
        <v>HW</v>
      </c>
      <c r="U552" s="206" t="str">
        <f t="shared" si="278"/>
        <v>O</v>
      </c>
      <c r="V552" s="206" t="str">
        <f t="shared" si="279"/>
        <v>U</v>
      </c>
      <c r="W552" s="206" t="str">
        <f t="shared" si="280"/>
        <v>O</v>
      </c>
      <c r="X552" s="206" t="str">
        <f t="shared" si="281"/>
        <v>O</v>
      </c>
      <c r="Y552" s="206"/>
      <c r="Z552" s="3">
        <v>58.5</v>
      </c>
      <c r="AB552" s="206" t="str">
        <f t="shared" si="269"/>
        <v>MEM/MIN</v>
      </c>
      <c r="AC552" s="206">
        <f t="shared" si="282"/>
        <v>3</v>
      </c>
      <c r="AD552" s="206">
        <f t="shared" si="283"/>
        <v>1</v>
      </c>
    </row>
    <row r="553" spans="1:30" x14ac:dyDescent="0.45">
      <c r="A553" s="206">
        <v>200108</v>
      </c>
      <c r="B553" s="44">
        <v>0.45833333333333331</v>
      </c>
      <c r="C553" s="3" t="s">
        <v>404</v>
      </c>
      <c r="D553" s="3" t="s">
        <v>416</v>
      </c>
      <c r="E553" s="3">
        <v>29</v>
      </c>
      <c r="F553" s="3">
        <v>24</v>
      </c>
      <c r="G553" s="3">
        <v>34</v>
      </c>
      <c r="H553" s="3">
        <v>16</v>
      </c>
      <c r="J553" s="3">
        <v>26</v>
      </c>
      <c r="K553" s="3">
        <v>27</v>
      </c>
      <c r="L553" s="3">
        <v>25</v>
      </c>
      <c r="M553" s="3">
        <v>36</v>
      </c>
      <c r="N553" s="3" t="s">
        <v>427</v>
      </c>
      <c r="O553" s="206">
        <f t="shared" si="272"/>
        <v>103</v>
      </c>
      <c r="P553" s="206">
        <f t="shared" si="273"/>
        <v>114</v>
      </c>
      <c r="Q553" s="206" t="str">
        <f t="shared" si="274"/>
        <v>HW</v>
      </c>
      <c r="R553" s="206" t="str">
        <f t="shared" si="275"/>
        <v>HL</v>
      </c>
      <c r="S553" s="206" t="str">
        <f t="shared" si="276"/>
        <v>HW</v>
      </c>
      <c r="T553" s="206" t="str">
        <f t="shared" si="277"/>
        <v>HL</v>
      </c>
      <c r="U553" s="206" t="str">
        <f t="shared" si="278"/>
        <v>U</v>
      </c>
      <c r="V553" s="206" t="str">
        <f t="shared" si="279"/>
        <v>U</v>
      </c>
      <c r="W553" s="206" t="str">
        <f t="shared" si="280"/>
        <v>O</v>
      </c>
      <c r="X553" s="206" t="str">
        <f t="shared" si="281"/>
        <v>U</v>
      </c>
      <c r="Y553" s="206"/>
      <c r="Z553" s="3">
        <v>58</v>
      </c>
      <c r="AB553" s="206" t="str">
        <f t="shared" si="269"/>
        <v>PHO/SAC</v>
      </c>
      <c r="AC553" s="206">
        <f t="shared" si="282"/>
        <v>1</v>
      </c>
      <c r="AD553" s="206">
        <f t="shared" si="283"/>
        <v>3</v>
      </c>
    </row>
    <row r="554" spans="1:30" x14ac:dyDescent="0.45">
      <c r="A554" s="206">
        <v>200108</v>
      </c>
      <c r="B554" s="44">
        <v>0.52083333333333337</v>
      </c>
      <c r="C554" s="3" t="s">
        <v>419</v>
      </c>
      <c r="D554" s="3" t="s">
        <v>399</v>
      </c>
      <c r="E554" s="3">
        <v>26</v>
      </c>
      <c r="F554" s="3">
        <v>36</v>
      </c>
      <c r="G554" s="3">
        <v>23</v>
      </c>
      <c r="H554" s="3">
        <v>32</v>
      </c>
      <c r="J554" s="3">
        <v>21</v>
      </c>
      <c r="K554" s="3">
        <v>24</v>
      </c>
      <c r="L554" s="3">
        <v>25</v>
      </c>
      <c r="M554" s="3">
        <v>17</v>
      </c>
      <c r="N554" s="3" t="s">
        <v>427</v>
      </c>
      <c r="O554" s="206">
        <f t="shared" si="272"/>
        <v>117</v>
      </c>
      <c r="P554" s="206">
        <f t="shared" si="273"/>
        <v>87</v>
      </c>
      <c r="Q554" s="206" t="str">
        <f t="shared" si="274"/>
        <v>HW</v>
      </c>
      <c r="R554" s="206" t="str">
        <f t="shared" si="275"/>
        <v>HW</v>
      </c>
      <c r="S554" s="206" t="str">
        <f t="shared" si="276"/>
        <v>HL</v>
      </c>
      <c r="T554" s="206" t="str">
        <f t="shared" si="277"/>
        <v>HW</v>
      </c>
      <c r="U554" s="206" t="str">
        <f t="shared" si="278"/>
        <v>U</v>
      </c>
      <c r="V554" s="206" t="str">
        <f t="shared" si="279"/>
        <v>O</v>
      </c>
      <c r="W554" s="206" t="str">
        <f t="shared" si="280"/>
        <v>U</v>
      </c>
      <c r="X554" s="206" t="str">
        <f t="shared" si="281"/>
        <v>U</v>
      </c>
      <c r="Y554" s="206"/>
      <c r="Z554" s="3">
        <v>57.5</v>
      </c>
      <c r="AB554" s="206" t="str">
        <f t="shared" si="269"/>
        <v>LAL/NYK</v>
      </c>
      <c r="AC554" s="206">
        <f t="shared" si="282"/>
        <v>1</v>
      </c>
      <c r="AD554" s="206">
        <f t="shared" si="283"/>
        <v>3</v>
      </c>
    </row>
    <row r="555" spans="1:30" x14ac:dyDescent="0.45">
      <c r="A555" s="206">
        <v>200109</v>
      </c>
      <c r="B555" s="44">
        <v>0.375</v>
      </c>
      <c r="C555" s="3" t="s">
        <v>421</v>
      </c>
      <c r="D555" s="3" t="s">
        <v>426</v>
      </c>
      <c r="E555" s="3">
        <v>22</v>
      </c>
      <c r="F555" s="3">
        <v>25</v>
      </c>
      <c r="G555" s="3">
        <v>36</v>
      </c>
      <c r="H555" s="3">
        <v>31</v>
      </c>
      <c r="J555" s="3">
        <v>34</v>
      </c>
      <c r="K555" s="3">
        <v>31</v>
      </c>
      <c r="L555" s="3">
        <v>34</v>
      </c>
      <c r="M555" s="3">
        <v>30</v>
      </c>
      <c r="N555" s="3" t="s">
        <v>427</v>
      </c>
      <c r="O555" s="206">
        <f t="shared" si="272"/>
        <v>114</v>
      </c>
      <c r="P555" s="206">
        <f t="shared" si="273"/>
        <v>129</v>
      </c>
      <c r="Q555" s="206" t="str">
        <f t="shared" si="274"/>
        <v>HL</v>
      </c>
      <c r="R555" s="206" t="str">
        <f t="shared" si="275"/>
        <v>HL</v>
      </c>
      <c r="S555" s="206" t="str">
        <f t="shared" si="276"/>
        <v>HW</v>
      </c>
      <c r="T555" s="206" t="str">
        <f t="shared" si="277"/>
        <v>HW</v>
      </c>
      <c r="U555" s="206" t="str">
        <f t="shared" si="278"/>
        <v>O</v>
      </c>
      <c r="V555" s="206" t="str">
        <f t="shared" si="279"/>
        <v>O</v>
      </c>
      <c r="W555" s="206" t="str">
        <f t="shared" si="280"/>
        <v>O</v>
      </c>
      <c r="X555" s="206" t="str">
        <f t="shared" si="281"/>
        <v>O</v>
      </c>
      <c r="Y555" s="206"/>
      <c r="Z555" s="3">
        <v>54</v>
      </c>
      <c r="AB555" s="206" t="str">
        <f t="shared" si="269"/>
        <v>BOS/SAS</v>
      </c>
      <c r="AC555" s="206">
        <f t="shared" si="282"/>
        <v>4</v>
      </c>
      <c r="AD555" s="206">
        <f t="shared" si="283"/>
        <v>0</v>
      </c>
    </row>
    <row r="556" spans="1:30" x14ac:dyDescent="0.45">
      <c r="A556" s="206">
        <v>200109</v>
      </c>
      <c r="B556" s="44">
        <v>0.375</v>
      </c>
      <c r="C556" s="3" t="s">
        <v>400</v>
      </c>
      <c r="D556" s="3" t="s">
        <v>411</v>
      </c>
      <c r="E556" s="3">
        <v>23</v>
      </c>
      <c r="F556" s="3">
        <v>26</v>
      </c>
      <c r="G556" s="3">
        <v>23</v>
      </c>
      <c r="H556" s="3">
        <v>36</v>
      </c>
      <c r="J556" s="3">
        <v>31</v>
      </c>
      <c r="K556" s="3">
        <v>31</v>
      </c>
      <c r="L556" s="3">
        <v>38</v>
      </c>
      <c r="M556" s="3">
        <v>22</v>
      </c>
      <c r="N556" s="3" t="s">
        <v>427</v>
      </c>
      <c r="O556" s="206">
        <f t="shared" si="272"/>
        <v>108</v>
      </c>
      <c r="P556" s="206">
        <f t="shared" si="273"/>
        <v>122</v>
      </c>
      <c r="Q556" s="206" t="str">
        <f t="shared" si="274"/>
        <v>HL</v>
      </c>
      <c r="R556" s="206" t="str">
        <f t="shared" si="275"/>
        <v>HL</v>
      </c>
      <c r="S556" s="206" t="str">
        <f t="shared" si="276"/>
        <v>HL</v>
      </c>
      <c r="T556" s="206" t="str">
        <f t="shared" si="277"/>
        <v>HW</v>
      </c>
      <c r="U556" s="206" t="str">
        <f t="shared" si="278"/>
        <v>U</v>
      </c>
      <c r="V556" s="206" t="str">
        <f t="shared" si="279"/>
        <v>O</v>
      </c>
      <c r="W556" s="206" t="str">
        <f t="shared" si="280"/>
        <v>O</v>
      </c>
      <c r="X556" s="206" t="str">
        <f t="shared" si="281"/>
        <v>O</v>
      </c>
      <c r="Y556" s="206"/>
      <c r="Z556" s="3">
        <v>54.5</v>
      </c>
      <c r="AB556" s="206" t="str">
        <f t="shared" si="269"/>
        <v>IND/MIA</v>
      </c>
      <c r="AC556" s="206">
        <f t="shared" si="282"/>
        <v>3</v>
      </c>
      <c r="AD556" s="206">
        <f t="shared" si="283"/>
        <v>1</v>
      </c>
    </row>
    <row r="557" spans="1:30" x14ac:dyDescent="0.45">
      <c r="A557" s="206">
        <v>200109</v>
      </c>
      <c r="B557" s="44">
        <v>0.375</v>
      </c>
      <c r="C557" s="3" t="s">
        <v>424</v>
      </c>
      <c r="D557" s="3" t="s">
        <v>414</v>
      </c>
      <c r="E557" s="3">
        <v>32</v>
      </c>
      <c r="F557" s="3">
        <v>37</v>
      </c>
      <c r="G557" s="3">
        <v>28</v>
      </c>
      <c r="H557" s="3">
        <v>26</v>
      </c>
      <c r="J557" s="3">
        <v>23</v>
      </c>
      <c r="K557" s="3">
        <v>29</v>
      </c>
      <c r="L557" s="3">
        <v>20</v>
      </c>
      <c r="M557" s="3">
        <v>17</v>
      </c>
      <c r="N557" s="3" t="s">
        <v>427</v>
      </c>
      <c r="O557" s="206">
        <f t="shared" si="272"/>
        <v>123</v>
      </c>
      <c r="P557" s="206">
        <f t="shared" si="273"/>
        <v>89</v>
      </c>
      <c r="Q557" s="206" t="str">
        <f t="shared" si="274"/>
        <v>HW</v>
      </c>
      <c r="R557" s="206" t="str">
        <f t="shared" si="275"/>
        <v>HW</v>
      </c>
      <c r="S557" s="206" t="str">
        <f t="shared" si="276"/>
        <v>HW</v>
      </c>
      <c r="T557" s="206" t="str">
        <f t="shared" si="277"/>
        <v>HW</v>
      </c>
      <c r="U557" s="206" t="str">
        <f t="shared" si="278"/>
        <v>U</v>
      </c>
      <c r="V557" s="206" t="str">
        <f t="shared" si="279"/>
        <v>O</v>
      </c>
      <c r="W557" s="206" t="str">
        <f t="shared" si="280"/>
        <v>U</v>
      </c>
      <c r="X557" s="206" t="str">
        <f t="shared" si="281"/>
        <v>U</v>
      </c>
      <c r="Y557" s="206"/>
      <c r="Z557" s="3">
        <v>56.5</v>
      </c>
      <c r="AB557" s="206" t="str">
        <f t="shared" si="269"/>
        <v>ORL/WAS</v>
      </c>
      <c r="AC557" s="206">
        <f t="shared" si="282"/>
        <v>1</v>
      </c>
      <c r="AD557" s="206">
        <f t="shared" si="283"/>
        <v>3</v>
      </c>
    </row>
    <row r="558" spans="1:30" x14ac:dyDescent="0.45">
      <c r="A558" s="206">
        <v>200109</v>
      </c>
      <c r="B558" s="44">
        <v>0.375</v>
      </c>
      <c r="C558" s="3" t="s">
        <v>409</v>
      </c>
      <c r="D558" s="3" t="s">
        <v>413</v>
      </c>
      <c r="E558" s="3">
        <v>31</v>
      </c>
      <c r="F558" s="3">
        <v>24</v>
      </c>
      <c r="G558" s="3">
        <v>26</v>
      </c>
      <c r="H558" s="3">
        <v>19</v>
      </c>
      <c r="I558" s="3">
        <v>10</v>
      </c>
      <c r="J558" s="3">
        <v>29</v>
      </c>
      <c r="K558" s="3">
        <v>31</v>
      </c>
      <c r="L558" s="3">
        <v>22</v>
      </c>
      <c r="M558" s="3">
        <v>18</v>
      </c>
      <c r="N558" s="3">
        <v>12</v>
      </c>
      <c r="O558" s="206">
        <f t="shared" si="272"/>
        <v>110</v>
      </c>
      <c r="P558" s="206">
        <f t="shared" si="273"/>
        <v>112</v>
      </c>
      <c r="Q558" s="206" t="str">
        <f t="shared" si="274"/>
        <v>HW</v>
      </c>
      <c r="R558" s="206" t="str">
        <f t="shared" si="275"/>
        <v>HL</v>
      </c>
      <c r="S558" s="206" t="str">
        <f t="shared" si="276"/>
        <v>HW</v>
      </c>
      <c r="T558" s="206" t="str">
        <f t="shared" si="277"/>
        <v>HW</v>
      </c>
      <c r="U558" s="206" t="str">
        <f t="shared" si="278"/>
        <v>O</v>
      </c>
      <c r="V558" s="206" t="str">
        <f t="shared" si="279"/>
        <v>O</v>
      </c>
      <c r="W558" s="206" t="str">
        <f t="shared" si="280"/>
        <v>U</v>
      </c>
      <c r="X558" s="206" t="str">
        <f t="shared" si="281"/>
        <v>U</v>
      </c>
      <c r="Y558" s="206"/>
      <c r="Z558" s="3">
        <v>53.5</v>
      </c>
      <c r="AB558" s="206" t="str">
        <f t="shared" si="269"/>
        <v>CHA/TOR</v>
      </c>
      <c r="AC558" s="206">
        <f t="shared" si="282"/>
        <v>2</v>
      </c>
      <c r="AD558" s="206">
        <f t="shared" si="283"/>
        <v>2</v>
      </c>
    </row>
    <row r="559" spans="1:30" x14ac:dyDescent="0.45">
      <c r="A559" s="206">
        <v>200109</v>
      </c>
      <c r="B559" s="44">
        <v>0.39583333333333331</v>
      </c>
      <c r="C559" s="3" t="s">
        <v>410</v>
      </c>
      <c r="D559" s="3" t="s">
        <v>403</v>
      </c>
      <c r="E559" s="3">
        <v>29</v>
      </c>
      <c r="F559" s="3">
        <v>33</v>
      </c>
      <c r="G559" s="3">
        <v>23</v>
      </c>
      <c r="H559" s="3">
        <v>30</v>
      </c>
      <c r="J559" s="3">
        <v>45</v>
      </c>
      <c r="K559" s="3">
        <v>32</v>
      </c>
      <c r="L559" s="3">
        <v>22</v>
      </c>
      <c r="M559" s="3">
        <v>23</v>
      </c>
      <c r="N559" s="3" t="s">
        <v>427</v>
      </c>
      <c r="O559" s="206">
        <f t="shared" si="272"/>
        <v>115</v>
      </c>
      <c r="P559" s="206">
        <f t="shared" si="273"/>
        <v>122</v>
      </c>
      <c r="Q559" s="206" t="str">
        <f t="shared" si="274"/>
        <v>HL</v>
      </c>
      <c r="R559" s="206" t="str">
        <f t="shared" si="275"/>
        <v>HW</v>
      </c>
      <c r="S559" s="206" t="str">
        <f t="shared" si="276"/>
        <v>HW</v>
      </c>
      <c r="T559" s="206" t="str">
        <f t="shared" si="277"/>
        <v>HW</v>
      </c>
      <c r="U559" s="206" t="str">
        <f t="shared" si="278"/>
        <v>O</v>
      </c>
      <c r="V559" s="206" t="str">
        <f t="shared" si="279"/>
        <v>O</v>
      </c>
      <c r="W559" s="206" t="str">
        <f t="shared" si="280"/>
        <v>U</v>
      </c>
      <c r="X559" s="206" t="str">
        <f t="shared" si="281"/>
        <v>U</v>
      </c>
      <c r="Y559" s="206"/>
      <c r="Z559" s="3">
        <v>60.5</v>
      </c>
      <c r="AB559" s="206" t="str">
        <f t="shared" si="269"/>
        <v>ATL/HOU</v>
      </c>
      <c r="AC559" s="206">
        <f t="shared" si="282"/>
        <v>2</v>
      </c>
      <c r="AD559" s="206">
        <f t="shared" si="283"/>
        <v>2</v>
      </c>
    </row>
    <row r="560" spans="1:30" x14ac:dyDescent="0.45">
      <c r="A560" s="206">
        <v>200109</v>
      </c>
      <c r="B560" s="44">
        <v>0.39583333333333331</v>
      </c>
      <c r="C560" s="3" t="s">
        <v>397</v>
      </c>
      <c r="D560" s="3" t="s">
        <v>408</v>
      </c>
      <c r="E560" s="3">
        <v>32</v>
      </c>
      <c r="F560" s="3">
        <v>27</v>
      </c>
      <c r="G560" s="3">
        <v>30</v>
      </c>
      <c r="H560" s="3">
        <v>17</v>
      </c>
      <c r="J560" s="3">
        <v>27</v>
      </c>
      <c r="K560" s="3">
        <v>29</v>
      </c>
      <c r="L560" s="3">
        <v>30</v>
      </c>
      <c r="M560" s="3">
        <v>21</v>
      </c>
      <c r="N560" s="3" t="s">
        <v>427</v>
      </c>
      <c r="O560" s="206">
        <f t="shared" si="272"/>
        <v>106</v>
      </c>
      <c r="P560" s="206">
        <f t="shared" si="273"/>
        <v>107</v>
      </c>
      <c r="Q560" s="206" t="str">
        <f t="shared" si="274"/>
        <v>HW</v>
      </c>
      <c r="R560" s="206" t="str">
        <f t="shared" si="275"/>
        <v>HL</v>
      </c>
      <c r="S560" s="206" t="str">
        <f t="shared" si="276"/>
        <v>TT</v>
      </c>
      <c r="T560" s="206" t="str">
        <f t="shared" si="277"/>
        <v>HL</v>
      </c>
      <c r="U560" s="206" t="str">
        <f t="shared" si="278"/>
        <v>O</v>
      </c>
      <c r="V560" s="206" t="str">
        <f t="shared" si="279"/>
        <v>U</v>
      </c>
      <c r="W560" s="206" t="str">
        <f t="shared" si="280"/>
        <v>O</v>
      </c>
      <c r="X560" s="206" t="str">
        <f t="shared" si="281"/>
        <v>U</v>
      </c>
      <c r="Y560" s="206"/>
      <c r="Z560" s="3">
        <v>56.5</v>
      </c>
      <c r="AB560" s="206" t="str">
        <f t="shared" si="269"/>
        <v>DAL/DEN</v>
      </c>
      <c r="AC560" s="206">
        <f t="shared" si="282"/>
        <v>2</v>
      </c>
      <c r="AD560" s="206">
        <f t="shared" si="283"/>
        <v>2</v>
      </c>
    </row>
    <row r="561" spans="1:30" x14ac:dyDescent="0.45">
      <c r="A561" s="206">
        <v>200109</v>
      </c>
      <c r="B561" s="44">
        <v>0.41666666666666669</v>
      </c>
      <c r="C561" s="3" t="s">
        <v>398</v>
      </c>
      <c r="D561" s="3" t="s">
        <v>412</v>
      </c>
      <c r="E561" s="3">
        <v>23</v>
      </c>
      <c r="F561" s="3">
        <v>25</v>
      </c>
      <c r="G561" s="3">
        <v>44</v>
      </c>
      <c r="H561" s="3">
        <v>31</v>
      </c>
      <c r="J561" s="3">
        <v>21</v>
      </c>
      <c r="K561" s="3">
        <v>27</v>
      </c>
      <c r="L561" s="3">
        <v>27</v>
      </c>
      <c r="M561" s="3">
        <v>33</v>
      </c>
      <c r="N561" s="3" t="s">
        <v>427</v>
      </c>
      <c r="O561" s="206">
        <f t="shared" si="272"/>
        <v>123</v>
      </c>
      <c r="P561" s="206">
        <f t="shared" si="273"/>
        <v>108</v>
      </c>
      <c r="Q561" s="206" t="str">
        <f t="shared" si="274"/>
        <v>HW</v>
      </c>
      <c r="R561" s="206" t="str">
        <f t="shared" si="275"/>
        <v>HL</v>
      </c>
      <c r="S561" s="206" t="str">
        <f t="shared" si="276"/>
        <v>HW</v>
      </c>
      <c r="T561" s="206" t="str">
        <f t="shared" si="277"/>
        <v>HL</v>
      </c>
      <c r="U561" s="206" t="str">
        <f t="shared" si="278"/>
        <v>U</v>
      </c>
      <c r="V561" s="206" t="str">
        <f t="shared" si="279"/>
        <v>U</v>
      </c>
      <c r="W561" s="206" t="str">
        <f t="shared" si="280"/>
        <v>O</v>
      </c>
      <c r="X561" s="206" t="str">
        <f t="shared" si="281"/>
        <v>O</v>
      </c>
      <c r="Y561" s="206"/>
      <c r="Z561" s="3">
        <v>58</v>
      </c>
      <c r="AB561" s="206" t="str">
        <f t="shared" si="269"/>
        <v>NO/CHI</v>
      </c>
      <c r="AC561" s="206">
        <f t="shared" si="282"/>
        <v>2</v>
      </c>
      <c r="AD561" s="206">
        <f t="shared" si="283"/>
        <v>2</v>
      </c>
    </row>
    <row r="562" spans="1:30" x14ac:dyDescent="0.45">
      <c r="A562" s="206">
        <v>200109</v>
      </c>
      <c r="B562" s="44">
        <v>0.45833333333333331</v>
      </c>
      <c r="C562" s="3" t="s">
        <v>405</v>
      </c>
      <c r="D562" s="3" t="s">
        <v>399</v>
      </c>
      <c r="E562" s="3">
        <v>39</v>
      </c>
      <c r="F562" s="3">
        <v>33</v>
      </c>
      <c r="G562" s="3">
        <v>23</v>
      </c>
      <c r="H562" s="3">
        <v>33</v>
      </c>
      <c r="J562" s="3">
        <v>29</v>
      </c>
      <c r="K562" s="3">
        <v>24</v>
      </c>
      <c r="L562" s="3">
        <v>16</v>
      </c>
      <c r="M562" s="3">
        <v>35</v>
      </c>
      <c r="N562" s="3" t="s">
        <v>427</v>
      </c>
      <c r="O562" s="206">
        <f t="shared" si="272"/>
        <v>128</v>
      </c>
      <c r="P562" s="206">
        <f t="shared" si="273"/>
        <v>104</v>
      </c>
      <c r="Q562" s="206" t="str">
        <f t="shared" si="274"/>
        <v>HW</v>
      </c>
      <c r="R562" s="206" t="str">
        <f t="shared" si="275"/>
        <v>HW</v>
      </c>
      <c r="S562" s="206" t="str">
        <f t="shared" si="276"/>
        <v>HW</v>
      </c>
      <c r="T562" s="206" t="str">
        <f t="shared" si="277"/>
        <v>HL</v>
      </c>
      <c r="U562" s="206" t="str">
        <f t="shared" si="278"/>
        <v>O</v>
      </c>
      <c r="V562" s="206" t="str">
        <f t="shared" si="279"/>
        <v>O</v>
      </c>
      <c r="W562" s="206" t="str">
        <f t="shared" si="280"/>
        <v>U</v>
      </c>
      <c r="X562" s="206" t="str">
        <f t="shared" si="281"/>
        <v>O</v>
      </c>
      <c r="Y562" s="206"/>
      <c r="Z562" s="3">
        <v>55.5</v>
      </c>
      <c r="AB562" s="206" t="str">
        <f t="shared" si="269"/>
        <v>UTA/NYK</v>
      </c>
      <c r="AC562" s="206">
        <f t="shared" si="282"/>
        <v>3</v>
      </c>
      <c r="AD562" s="206">
        <f t="shared" si="283"/>
        <v>1</v>
      </c>
    </row>
    <row r="563" spans="1:30" x14ac:dyDescent="0.45">
      <c r="A563" s="206">
        <v>200109</v>
      </c>
      <c r="B563" s="44">
        <v>0.5</v>
      </c>
      <c r="C563" s="3" t="s">
        <v>425</v>
      </c>
      <c r="D563" s="3" t="s">
        <v>423</v>
      </c>
      <c r="E563" s="3">
        <v>19</v>
      </c>
      <c r="F563" s="3">
        <v>20</v>
      </c>
      <c r="G563" s="3">
        <v>33</v>
      </c>
      <c r="H563" s="3">
        <v>26</v>
      </c>
      <c r="J563" s="3">
        <v>19</v>
      </c>
      <c r="K563" s="3">
        <v>28</v>
      </c>
      <c r="L563" s="3">
        <v>34</v>
      </c>
      <c r="M563" s="3">
        <v>26</v>
      </c>
      <c r="N563" s="3" t="s">
        <v>427</v>
      </c>
      <c r="O563" s="206">
        <f t="shared" si="272"/>
        <v>98</v>
      </c>
      <c r="P563" s="206">
        <f t="shared" si="273"/>
        <v>107</v>
      </c>
      <c r="Q563" s="206" t="str">
        <f t="shared" si="274"/>
        <v>TT</v>
      </c>
      <c r="R563" s="206" t="str">
        <f t="shared" si="275"/>
        <v>HL</v>
      </c>
      <c r="S563" s="206" t="str">
        <f t="shared" si="276"/>
        <v>HL</v>
      </c>
      <c r="T563" s="206" t="str">
        <f t="shared" si="277"/>
        <v>TT</v>
      </c>
      <c r="U563" s="206" t="str">
        <f t="shared" si="278"/>
        <v>U</v>
      </c>
      <c r="V563" s="206" t="str">
        <f t="shared" si="279"/>
        <v>U</v>
      </c>
      <c r="W563" s="206" t="str">
        <f t="shared" si="280"/>
        <v>O</v>
      </c>
      <c r="X563" s="206" t="str">
        <f t="shared" si="281"/>
        <v>U</v>
      </c>
      <c r="Y563" s="206"/>
      <c r="Z563" s="3">
        <v>53</v>
      </c>
      <c r="AB563" s="206" t="str">
        <f t="shared" si="269"/>
        <v>GS/MIL</v>
      </c>
      <c r="AC563" s="206">
        <f t="shared" si="282"/>
        <v>1</v>
      </c>
      <c r="AD563" s="206">
        <f t="shared" si="283"/>
        <v>3</v>
      </c>
    </row>
    <row r="564" spans="1:30" x14ac:dyDescent="0.45">
      <c r="A564" s="206">
        <v>200110</v>
      </c>
      <c r="B564" s="44">
        <v>0.375</v>
      </c>
      <c r="C564" s="3" t="s">
        <v>422</v>
      </c>
      <c r="D564" s="3" t="s">
        <v>402</v>
      </c>
      <c r="E564" s="3">
        <v>32</v>
      </c>
      <c r="F564" s="3">
        <v>29</v>
      </c>
      <c r="G564" s="3">
        <v>22</v>
      </c>
      <c r="H564" s="3">
        <v>19</v>
      </c>
      <c r="I564" s="3">
        <v>10</v>
      </c>
      <c r="J564" s="3">
        <v>26</v>
      </c>
      <c r="K564" s="3">
        <v>24</v>
      </c>
      <c r="L564" s="3">
        <v>31</v>
      </c>
      <c r="M564" s="3">
        <v>21</v>
      </c>
      <c r="N564" s="3">
        <v>13</v>
      </c>
      <c r="O564" s="206">
        <f t="shared" si="272"/>
        <v>112</v>
      </c>
      <c r="P564" s="206">
        <f t="shared" si="273"/>
        <v>115</v>
      </c>
      <c r="Q564" s="206" t="str">
        <f t="shared" si="274"/>
        <v>HW</v>
      </c>
      <c r="R564" s="206" t="str">
        <f t="shared" si="275"/>
        <v>HW</v>
      </c>
      <c r="S564" s="206" t="str">
        <f t="shared" si="276"/>
        <v>HL</v>
      </c>
      <c r="T564" s="206" t="str">
        <f t="shared" si="277"/>
        <v>HL</v>
      </c>
      <c r="U564" s="206" t="str">
        <f t="shared" si="278"/>
        <v>O</v>
      </c>
      <c r="V564" s="206" t="str">
        <f t="shared" si="279"/>
        <v>U</v>
      </c>
      <c r="W564" s="206" t="str">
        <f t="shared" si="280"/>
        <v>U</v>
      </c>
      <c r="X564" s="206" t="str">
        <f t="shared" si="281"/>
        <v>U</v>
      </c>
      <c r="Y564" s="206"/>
      <c r="Z564" s="3">
        <v>54</v>
      </c>
      <c r="AB564" s="206" t="str">
        <f t="shared" si="269"/>
        <v>DET/CLE</v>
      </c>
      <c r="AC564" s="206">
        <f t="shared" si="282"/>
        <v>1</v>
      </c>
      <c r="AD564" s="206">
        <f t="shared" si="283"/>
        <v>3</v>
      </c>
    </row>
    <row r="565" spans="1:30" x14ac:dyDescent="0.45">
      <c r="A565" s="206">
        <v>200110</v>
      </c>
      <c r="B565" s="44">
        <v>0.375</v>
      </c>
      <c r="C565" s="3" t="s">
        <v>401</v>
      </c>
      <c r="D565" s="3" t="s">
        <v>421</v>
      </c>
      <c r="E565" s="3">
        <v>26</v>
      </c>
      <c r="F565" s="3">
        <v>22</v>
      </c>
      <c r="G565" s="3">
        <v>29</v>
      </c>
      <c r="H565" s="3">
        <v>32</v>
      </c>
      <c r="J565" s="3">
        <v>35</v>
      </c>
      <c r="K565" s="3">
        <v>20</v>
      </c>
      <c r="L565" s="3">
        <v>25</v>
      </c>
      <c r="M565" s="3">
        <v>18</v>
      </c>
      <c r="N565" s="3" t="s">
        <v>427</v>
      </c>
      <c r="O565" s="206">
        <f t="shared" si="272"/>
        <v>109</v>
      </c>
      <c r="P565" s="206">
        <f t="shared" si="273"/>
        <v>98</v>
      </c>
      <c r="Q565" s="206" t="str">
        <f t="shared" si="274"/>
        <v>HL</v>
      </c>
      <c r="R565" s="206" t="str">
        <f t="shared" si="275"/>
        <v>HW</v>
      </c>
      <c r="S565" s="206" t="str">
        <f t="shared" si="276"/>
        <v>HW</v>
      </c>
      <c r="T565" s="206" t="str">
        <f t="shared" si="277"/>
        <v>HW</v>
      </c>
      <c r="U565" s="206" t="str">
        <f t="shared" si="278"/>
        <v>O</v>
      </c>
      <c r="V565" s="206" t="str">
        <f t="shared" si="279"/>
        <v>U</v>
      </c>
      <c r="W565" s="206" t="str">
        <f t="shared" si="280"/>
        <v>U</v>
      </c>
      <c r="X565" s="206" t="str">
        <f t="shared" si="281"/>
        <v>U</v>
      </c>
      <c r="Y565" s="206"/>
      <c r="Z565" s="3">
        <v>54.5</v>
      </c>
      <c r="AB565" s="206" t="str">
        <f t="shared" si="269"/>
        <v>PHI/BOS</v>
      </c>
      <c r="AC565" s="206">
        <f t="shared" si="282"/>
        <v>1</v>
      </c>
      <c r="AD565" s="206">
        <f t="shared" si="283"/>
        <v>3</v>
      </c>
    </row>
    <row r="566" spans="1:30" x14ac:dyDescent="0.45">
      <c r="A566" s="206">
        <v>200110</v>
      </c>
      <c r="B566" s="44">
        <v>0.41666666666666669</v>
      </c>
      <c r="C566" s="3" t="s">
        <v>420</v>
      </c>
      <c r="D566" s="3" t="s">
        <v>417</v>
      </c>
      <c r="E566" s="3">
        <v>28</v>
      </c>
      <c r="F566" s="3">
        <v>31</v>
      </c>
      <c r="G566" s="3">
        <v>41</v>
      </c>
      <c r="H566" s="3">
        <v>16</v>
      </c>
      <c r="J566" s="3">
        <v>34</v>
      </c>
      <c r="K566" s="3">
        <v>13</v>
      </c>
      <c r="L566" s="3">
        <v>27</v>
      </c>
      <c r="M566" s="3">
        <v>28</v>
      </c>
      <c r="N566" s="3" t="s">
        <v>427</v>
      </c>
      <c r="O566" s="206">
        <f t="shared" si="272"/>
        <v>116</v>
      </c>
      <c r="P566" s="206">
        <f t="shared" si="273"/>
        <v>102</v>
      </c>
      <c r="Q566" s="206" t="str">
        <f t="shared" si="274"/>
        <v>HL</v>
      </c>
      <c r="R566" s="206" t="str">
        <f t="shared" si="275"/>
        <v>HW</v>
      </c>
      <c r="S566" s="206" t="str">
        <f t="shared" si="276"/>
        <v>HW</v>
      </c>
      <c r="T566" s="206" t="str">
        <f t="shared" si="277"/>
        <v>HL</v>
      </c>
      <c r="U566" s="206" t="str">
        <f t="shared" si="278"/>
        <v>O</v>
      </c>
      <c r="V566" s="206" t="str">
        <f t="shared" si="279"/>
        <v>U</v>
      </c>
      <c r="W566" s="206" t="str">
        <f t="shared" si="280"/>
        <v>O</v>
      </c>
      <c r="X566" s="206" t="str">
        <f t="shared" si="281"/>
        <v>U</v>
      </c>
      <c r="Y566" s="206"/>
      <c r="Z566" s="3">
        <v>58</v>
      </c>
      <c r="AB566" s="206" t="str">
        <f t="shared" si="269"/>
        <v>MIN/POR</v>
      </c>
      <c r="AC566" s="206">
        <f t="shared" si="282"/>
        <v>2</v>
      </c>
      <c r="AD566" s="206">
        <f t="shared" si="283"/>
        <v>2</v>
      </c>
    </row>
    <row r="567" spans="1:30" x14ac:dyDescent="0.45">
      <c r="A567" s="206">
        <v>200110</v>
      </c>
      <c r="B567" s="44">
        <v>0.47916666666666669</v>
      </c>
      <c r="C567" s="3" t="s">
        <v>418</v>
      </c>
      <c r="D567" s="3" t="s">
        <v>403</v>
      </c>
      <c r="E567" s="3">
        <v>37</v>
      </c>
      <c r="F567" s="3">
        <v>23</v>
      </c>
      <c r="G567" s="3">
        <v>29</v>
      </c>
      <c r="H567" s="3">
        <v>24</v>
      </c>
      <c r="J567" s="3">
        <v>21</v>
      </c>
      <c r="K567" s="3">
        <v>27</v>
      </c>
      <c r="L567" s="3">
        <v>19</v>
      </c>
      <c r="M567" s="3">
        <v>25</v>
      </c>
      <c r="N567" s="3" t="s">
        <v>427</v>
      </c>
      <c r="O567" s="206">
        <f t="shared" si="272"/>
        <v>113</v>
      </c>
      <c r="P567" s="206">
        <f t="shared" si="273"/>
        <v>92</v>
      </c>
      <c r="Q567" s="206" t="str">
        <f t="shared" si="274"/>
        <v>HW</v>
      </c>
      <c r="R567" s="206" t="str">
        <f t="shared" si="275"/>
        <v>HL</v>
      </c>
      <c r="S567" s="206" t="str">
        <f t="shared" si="276"/>
        <v>HW</v>
      </c>
      <c r="T567" s="206" t="str">
        <f t="shared" si="277"/>
        <v>HL</v>
      </c>
      <c r="U567" s="206" t="str">
        <f t="shared" si="278"/>
        <v>U</v>
      </c>
      <c r="V567" s="206" t="str">
        <f t="shared" si="279"/>
        <v>U</v>
      </c>
      <c r="W567" s="206" t="str">
        <f t="shared" si="280"/>
        <v>U</v>
      </c>
      <c r="X567" s="206" t="str">
        <f t="shared" si="281"/>
        <v>U</v>
      </c>
      <c r="Y567" s="206"/>
      <c r="Z567" s="3">
        <v>59</v>
      </c>
      <c r="AB567" s="206" t="str">
        <f t="shared" si="269"/>
        <v>OKC/HOU</v>
      </c>
      <c r="AC567" s="206">
        <f t="shared" si="282"/>
        <v>0</v>
      </c>
      <c r="AD567" s="206">
        <f t="shared" si="283"/>
        <v>4</v>
      </c>
    </row>
    <row r="568" spans="1:30" x14ac:dyDescent="0.45">
      <c r="A568" s="206">
        <v>200111</v>
      </c>
      <c r="B568" s="44">
        <v>0.375</v>
      </c>
      <c r="C568" s="3" t="s">
        <v>414</v>
      </c>
      <c r="D568" s="3" t="s">
        <v>410</v>
      </c>
      <c r="E568" s="3">
        <v>30</v>
      </c>
      <c r="F568" s="3">
        <v>26</v>
      </c>
      <c r="G568" s="3">
        <v>25</v>
      </c>
      <c r="H568" s="3">
        <v>30</v>
      </c>
      <c r="J568" s="3">
        <v>21</v>
      </c>
      <c r="K568" s="3">
        <v>30</v>
      </c>
      <c r="L568" s="3">
        <v>28</v>
      </c>
      <c r="M568" s="3">
        <v>22</v>
      </c>
      <c r="N568" s="3" t="s">
        <v>427</v>
      </c>
      <c r="O568" s="206">
        <f t="shared" si="272"/>
        <v>111</v>
      </c>
      <c r="P568" s="206">
        <f t="shared" si="273"/>
        <v>101</v>
      </c>
      <c r="Q568" s="206" t="str">
        <f t="shared" si="274"/>
        <v>HW</v>
      </c>
      <c r="R568" s="206" t="str">
        <f t="shared" si="275"/>
        <v>HL</v>
      </c>
      <c r="S568" s="206" t="str">
        <f t="shared" si="276"/>
        <v>HL</v>
      </c>
      <c r="T568" s="206" t="str">
        <f t="shared" si="277"/>
        <v>HW</v>
      </c>
      <c r="U568" s="206" t="str">
        <f t="shared" si="278"/>
        <v>U</v>
      </c>
      <c r="V568" s="206" t="str">
        <f t="shared" si="279"/>
        <v>U</v>
      </c>
      <c r="W568" s="206" t="str">
        <f t="shared" si="280"/>
        <v>U</v>
      </c>
      <c r="X568" s="206" t="str">
        <f t="shared" si="281"/>
        <v>U</v>
      </c>
      <c r="Y568" s="206"/>
      <c r="Z568" s="3">
        <v>61.5</v>
      </c>
      <c r="AB568" s="206" t="str">
        <f t="shared" si="269"/>
        <v>WAS/ATL</v>
      </c>
      <c r="AC568" s="206">
        <f t="shared" si="282"/>
        <v>0</v>
      </c>
      <c r="AD568" s="206">
        <f t="shared" si="283"/>
        <v>4</v>
      </c>
    </row>
    <row r="569" spans="1:30" x14ac:dyDescent="0.45">
      <c r="A569" s="206">
        <v>200111</v>
      </c>
      <c r="B569" s="44">
        <v>0.38541666666666669</v>
      </c>
      <c r="C569" s="3" t="s">
        <v>399</v>
      </c>
      <c r="D569" s="3" t="s">
        <v>398</v>
      </c>
      <c r="E569" s="3">
        <v>31</v>
      </c>
      <c r="F569" s="3">
        <v>30</v>
      </c>
      <c r="G569" s="3">
        <v>25</v>
      </c>
      <c r="H569" s="3">
        <v>25</v>
      </c>
      <c r="J569" s="3">
        <v>33</v>
      </c>
      <c r="K569" s="3">
        <v>34</v>
      </c>
      <c r="L569" s="3">
        <v>28</v>
      </c>
      <c r="M569" s="3">
        <v>28</v>
      </c>
      <c r="N569" s="3" t="s">
        <v>427</v>
      </c>
      <c r="O569" s="206">
        <f t="shared" si="272"/>
        <v>111</v>
      </c>
      <c r="P569" s="206">
        <f t="shared" si="273"/>
        <v>123</v>
      </c>
      <c r="Q569" s="206" t="str">
        <f t="shared" si="274"/>
        <v>HL</v>
      </c>
      <c r="R569" s="206" t="str">
        <f t="shared" si="275"/>
        <v>HL</v>
      </c>
      <c r="S569" s="206" t="str">
        <f t="shared" si="276"/>
        <v>HL</v>
      </c>
      <c r="T569" s="206" t="str">
        <f t="shared" si="277"/>
        <v>HL</v>
      </c>
      <c r="U569" s="206" t="str">
        <f t="shared" si="278"/>
        <v>O</v>
      </c>
      <c r="V569" s="206" t="str">
        <f t="shared" si="279"/>
        <v>O</v>
      </c>
      <c r="W569" s="206" t="str">
        <f t="shared" si="280"/>
        <v>U</v>
      </c>
      <c r="X569" s="206" t="str">
        <f t="shared" si="281"/>
        <v>U</v>
      </c>
      <c r="Y569" s="206"/>
      <c r="Z569" s="3">
        <v>58.5</v>
      </c>
      <c r="AB569" s="206" t="str">
        <f t="shared" si="269"/>
        <v>NYK/NO</v>
      </c>
      <c r="AC569" s="206">
        <f t="shared" si="282"/>
        <v>2</v>
      </c>
      <c r="AD569" s="206">
        <f t="shared" si="283"/>
        <v>2</v>
      </c>
    </row>
    <row r="570" spans="1:30" x14ac:dyDescent="0.45">
      <c r="A570" s="206">
        <v>200111</v>
      </c>
      <c r="B570" s="44">
        <v>0.39583333333333331</v>
      </c>
      <c r="C570" s="3" t="s">
        <v>407</v>
      </c>
      <c r="D570" s="3" t="s">
        <v>411</v>
      </c>
      <c r="E570" s="3">
        <v>32</v>
      </c>
      <c r="F570" s="3">
        <v>25</v>
      </c>
      <c r="G570" s="3">
        <v>32</v>
      </c>
      <c r="H570" s="3">
        <v>28</v>
      </c>
      <c r="J570" s="3">
        <v>42</v>
      </c>
      <c r="K570" s="3">
        <v>27</v>
      </c>
      <c r="L570" s="3">
        <v>20</v>
      </c>
      <c r="M570" s="3">
        <v>24</v>
      </c>
      <c r="N570" s="3" t="s">
        <v>427</v>
      </c>
      <c r="O570" s="206">
        <f t="shared" si="272"/>
        <v>117</v>
      </c>
      <c r="P570" s="206">
        <f t="shared" si="273"/>
        <v>113</v>
      </c>
      <c r="Q570" s="206" t="str">
        <f t="shared" si="274"/>
        <v>HL</v>
      </c>
      <c r="R570" s="206" t="str">
        <f t="shared" si="275"/>
        <v>HL</v>
      </c>
      <c r="S570" s="206" t="str">
        <f t="shared" si="276"/>
        <v>HW</v>
      </c>
      <c r="T570" s="206" t="str">
        <f t="shared" si="277"/>
        <v>HW</v>
      </c>
      <c r="U570" s="206" t="str">
        <f t="shared" si="278"/>
        <v>O</v>
      </c>
      <c r="V570" s="206" t="str">
        <f t="shared" si="279"/>
        <v>U</v>
      </c>
      <c r="W570" s="206" t="str">
        <f t="shared" si="280"/>
        <v>U</v>
      </c>
      <c r="X570" s="206" t="str">
        <f t="shared" si="281"/>
        <v>U</v>
      </c>
      <c r="Y570" s="206"/>
      <c r="Z570" s="3">
        <v>56</v>
      </c>
      <c r="AB570" s="206" t="str">
        <f t="shared" si="269"/>
        <v>BKN/MIA</v>
      </c>
      <c r="AC570" s="206">
        <f t="shared" si="282"/>
        <v>1</v>
      </c>
      <c r="AD570" s="206">
        <f t="shared" si="283"/>
        <v>3</v>
      </c>
    </row>
    <row r="571" spans="1:30" x14ac:dyDescent="0.45">
      <c r="A571" s="206">
        <v>200111</v>
      </c>
      <c r="B571" s="44">
        <v>0.41666666666666669</v>
      </c>
      <c r="C571" s="3" t="s">
        <v>412</v>
      </c>
      <c r="D571" s="3" t="s">
        <v>400</v>
      </c>
      <c r="E571" s="3">
        <v>27</v>
      </c>
      <c r="F571" s="3">
        <v>19</v>
      </c>
      <c r="G571" s="3">
        <v>26</v>
      </c>
      <c r="H571" s="3">
        <v>33</v>
      </c>
      <c r="J571" s="3">
        <v>29</v>
      </c>
      <c r="K571" s="3">
        <v>25</v>
      </c>
      <c r="L571" s="3">
        <v>25</v>
      </c>
      <c r="M571" s="3">
        <v>37</v>
      </c>
      <c r="N571" s="3" t="s">
        <v>427</v>
      </c>
      <c r="O571" s="206">
        <f t="shared" si="272"/>
        <v>105</v>
      </c>
      <c r="P571" s="206">
        <f t="shared" si="273"/>
        <v>116</v>
      </c>
      <c r="Q571" s="206" t="str">
        <f t="shared" si="274"/>
        <v>HL</v>
      </c>
      <c r="R571" s="206" t="str">
        <f t="shared" si="275"/>
        <v>HL</v>
      </c>
      <c r="S571" s="206" t="str">
        <f t="shared" si="276"/>
        <v>HW</v>
      </c>
      <c r="T571" s="206" t="str">
        <f t="shared" si="277"/>
        <v>HL</v>
      </c>
      <c r="U571" s="206" t="str">
        <f t="shared" si="278"/>
        <v>O</v>
      </c>
      <c r="V571" s="206" t="str">
        <f t="shared" si="279"/>
        <v>U</v>
      </c>
      <c r="W571" s="206" t="str">
        <f t="shared" si="280"/>
        <v>U</v>
      </c>
      <c r="X571" s="206" t="str">
        <f t="shared" si="281"/>
        <v>O</v>
      </c>
      <c r="Y571" s="206"/>
      <c r="Z571" s="3">
        <v>54.5</v>
      </c>
      <c r="AB571" s="206" t="str">
        <f t="shared" si="269"/>
        <v>CHI/IND</v>
      </c>
      <c r="AC571" s="206">
        <f t="shared" si="282"/>
        <v>2</v>
      </c>
      <c r="AD571" s="206">
        <f t="shared" si="283"/>
        <v>2</v>
      </c>
    </row>
    <row r="572" spans="1:30" x14ac:dyDescent="0.45">
      <c r="A572" s="206">
        <v>200111</v>
      </c>
      <c r="B572" s="44">
        <v>0.41666666666666669</v>
      </c>
      <c r="C572" s="3" t="s">
        <v>406</v>
      </c>
      <c r="D572" s="3" t="s">
        <v>426</v>
      </c>
      <c r="E572" s="3">
        <v>37</v>
      </c>
      <c r="F572" s="3">
        <v>26</v>
      </c>
      <c r="G572" s="3">
        <v>37</v>
      </c>
      <c r="H572" s="3">
        <v>34</v>
      </c>
      <c r="J572" s="3">
        <v>32</v>
      </c>
      <c r="K572" s="3">
        <v>25</v>
      </c>
      <c r="L572" s="3">
        <v>41</v>
      </c>
      <c r="M572" s="3">
        <v>23</v>
      </c>
      <c r="N572" s="3" t="s">
        <v>427</v>
      </c>
      <c r="O572" s="206">
        <f t="shared" si="272"/>
        <v>134</v>
      </c>
      <c r="P572" s="206">
        <f t="shared" si="273"/>
        <v>121</v>
      </c>
      <c r="Q572" s="206" t="str">
        <f t="shared" si="274"/>
        <v>HW</v>
      </c>
      <c r="R572" s="206" t="str">
        <f t="shared" si="275"/>
        <v>HW</v>
      </c>
      <c r="S572" s="206" t="str">
        <f t="shared" si="276"/>
        <v>HL</v>
      </c>
      <c r="T572" s="206" t="str">
        <f t="shared" si="277"/>
        <v>HW</v>
      </c>
      <c r="U572" s="206" t="str">
        <f t="shared" si="278"/>
        <v>O</v>
      </c>
      <c r="V572" s="206" t="str">
        <f t="shared" si="279"/>
        <v>U</v>
      </c>
      <c r="W572" s="206" t="str">
        <f t="shared" si="280"/>
        <v>O</v>
      </c>
      <c r="X572" s="206" t="str">
        <f t="shared" si="281"/>
        <v>O</v>
      </c>
      <c r="Y572" s="206"/>
      <c r="Z572" s="3">
        <v>56</v>
      </c>
      <c r="AB572" s="206" t="str">
        <f t="shared" si="269"/>
        <v>MEM/SAS</v>
      </c>
      <c r="AC572" s="206">
        <f t="shared" si="282"/>
        <v>3</v>
      </c>
      <c r="AD572" s="206">
        <f t="shared" si="283"/>
        <v>1</v>
      </c>
    </row>
    <row r="573" spans="1:30" x14ac:dyDescent="0.45">
      <c r="A573" s="206">
        <v>200111</v>
      </c>
      <c r="B573" s="44">
        <v>0.45833333333333331</v>
      </c>
      <c r="C573" s="3" t="s">
        <v>404</v>
      </c>
      <c r="D573" s="3" t="s">
        <v>424</v>
      </c>
      <c r="E573" s="3">
        <v>27</v>
      </c>
      <c r="F573" s="3">
        <v>31</v>
      </c>
      <c r="G573" s="3">
        <v>19</v>
      </c>
      <c r="H573" s="3">
        <v>21</v>
      </c>
      <c r="J573" s="3">
        <v>25</v>
      </c>
      <c r="K573" s="3">
        <v>23</v>
      </c>
      <c r="L573" s="3">
        <v>27</v>
      </c>
      <c r="M573" s="3">
        <v>19</v>
      </c>
      <c r="N573" s="3" t="s">
        <v>427</v>
      </c>
      <c r="O573" s="206">
        <f t="shared" si="272"/>
        <v>98</v>
      </c>
      <c r="P573" s="206">
        <f t="shared" si="273"/>
        <v>94</v>
      </c>
      <c r="Q573" s="206" t="str">
        <f t="shared" si="274"/>
        <v>HW</v>
      </c>
      <c r="R573" s="206" t="str">
        <f t="shared" si="275"/>
        <v>HW</v>
      </c>
      <c r="S573" s="206" t="str">
        <f t="shared" si="276"/>
        <v>HL</v>
      </c>
      <c r="T573" s="206" t="str">
        <f t="shared" si="277"/>
        <v>HW</v>
      </c>
      <c r="U573" s="206" t="str">
        <f t="shared" si="278"/>
        <v>U</v>
      </c>
      <c r="V573" s="206" t="str">
        <f t="shared" si="279"/>
        <v>U</v>
      </c>
      <c r="W573" s="206" t="str">
        <f t="shared" si="280"/>
        <v>U</v>
      </c>
      <c r="X573" s="206" t="str">
        <f t="shared" si="281"/>
        <v>U</v>
      </c>
      <c r="Y573" s="206"/>
      <c r="Z573" s="3">
        <v>55.5</v>
      </c>
      <c r="AB573" s="206" t="str">
        <f t="shared" si="269"/>
        <v>PHO/ORL</v>
      </c>
      <c r="AC573" s="206">
        <f t="shared" si="282"/>
        <v>0</v>
      </c>
      <c r="AD573" s="206">
        <f t="shared" si="283"/>
        <v>4</v>
      </c>
    </row>
    <row r="574" spans="1:30" x14ac:dyDescent="0.45">
      <c r="A574" s="206">
        <v>200111</v>
      </c>
      <c r="B574" s="44">
        <v>0.45833333333333331</v>
      </c>
      <c r="C574" s="3" t="s">
        <v>405</v>
      </c>
      <c r="D574" s="3" t="s">
        <v>409</v>
      </c>
      <c r="E574" s="3">
        <v>29</v>
      </c>
      <c r="F574" s="3">
        <v>32</v>
      </c>
      <c r="G574" s="3">
        <v>26</v>
      </c>
      <c r="H574" s="3">
        <v>22</v>
      </c>
      <c r="J574" s="3">
        <v>13</v>
      </c>
      <c r="K574" s="3">
        <v>25</v>
      </c>
      <c r="L574" s="3">
        <v>24</v>
      </c>
      <c r="M574" s="3">
        <v>30</v>
      </c>
      <c r="N574" s="3" t="s">
        <v>427</v>
      </c>
      <c r="O574" s="206">
        <f t="shared" si="272"/>
        <v>109</v>
      </c>
      <c r="P574" s="206">
        <f t="shared" si="273"/>
        <v>92</v>
      </c>
      <c r="Q574" s="206" t="str">
        <f t="shared" si="274"/>
        <v>HW</v>
      </c>
      <c r="R574" s="206" t="str">
        <f t="shared" si="275"/>
        <v>HW</v>
      </c>
      <c r="S574" s="206" t="str">
        <f t="shared" si="276"/>
        <v>HW</v>
      </c>
      <c r="T574" s="206" t="str">
        <f t="shared" si="277"/>
        <v>HL</v>
      </c>
      <c r="U574" s="206" t="str">
        <f t="shared" si="278"/>
        <v>U</v>
      </c>
      <c r="V574" s="206" t="str">
        <f t="shared" si="279"/>
        <v>O</v>
      </c>
      <c r="W574" s="206" t="str">
        <f t="shared" si="280"/>
        <v>U</v>
      </c>
      <c r="X574" s="206" t="str">
        <f t="shared" si="281"/>
        <v>U</v>
      </c>
      <c r="Y574" s="206"/>
      <c r="Z574" s="3">
        <v>54.5</v>
      </c>
      <c r="AB574" s="206" t="str">
        <f t="shared" si="269"/>
        <v>UTA/CHA</v>
      </c>
      <c r="AC574" s="206">
        <f t="shared" si="282"/>
        <v>1</v>
      </c>
      <c r="AD574" s="206">
        <f t="shared" si="283"/>
        <v>3</v>
      </c>
    </row>
    <row r="575" spans="1:30" x14ac:dyDescent="0.45">
      <c r="A575" s="206">
        <v>200111</v>
      </c>
      <c r="B575" s="44">
        <v>0.48958333333333331</v>
      </c>
      <c r="C575" s="3" t="s">
        <v>397</v>
      </c>
      <c r="D575" s="3" t="s">
        <v>419</v>
      </c>
      <c r="E575" s="3">
        <v>27</v>
      </c>
      <c r="F575" s="3">
        <v>31</v>
      </c>
      <c r="G575" s="3">
        <v>28</v>
      </c>
      <c r="H575" s="3">
        <v>28</v>
      </c>
      <c r="J575" s="3">
        <v>45</v>
      </c>
      <c r="K575" s="3">
        <v>34</v>
      </c>
      <c r="L575" s="3">
        <v>20</v>
      </c>
      <c r="M575" s="3">
        <v>30</v>
      </c>
      <c r="N575" s="3" t="s">
        <v>427</v>
      </c>
      <c r="O575" s="206">
        <f t="shared" si="272"/>
        <v>114</v>
      </c>
      <c r="P575" s="206">
        <f t="shared" si="273"/>
        <v>129</v>
      </c>
      <c r="Q575" s="206" t="str">
        <f t="shared" si="274"/>
        <v>HL</v>
      </c>
      <c r="R575" s="206" t="str">
        <f t="shared" si="275"/>
        <v>HL</v>
      </c>
      <c r="S575" s="206" t="str">
        <f t="shared" si="276"/>
        <v>HW</v>
      </c>
      <c r="T575" s="206" t="str">
        <f t="shared" si="277"/>
        <v>HL</v>
      </c>
      <c r="U575" s="206" t="str">
        <f t="shared" si="278"/>
        <v>O</v>
      </c>
      <c r="V575" s="206" t="str">
        <f t="shared" si="279"/>
        <v>O</v>
      </c>
      <c r="W575" s="206" t="str">
        <f t="shared" si="280"/>
        <v>U</v>
      </c>
      <c r="X575" s="206" t="str">
        <f t="shared" si="281"/>
        <v>O</v>
      </c>
      <c r="Y575" s="206"/>
      <c r="Z575" s="3">
        <v>57</v>
      </c>
      <c r="AB575" s="206" t="str">
        <f t="shared" si="269"/>
        <v>DAL/LAL</v>
      </c>
      <c r="AC575" s="206">
        <f t="shared" si="282"/>
        <v>3</v>
      </c>
      <c r="AD575" s="206">
        <f t="shared" si="283"/>
        <v>1</v>
      </c>
    </row>
    <row r="576" spans="1:30" x14ac:dyDescent="0.45">
      <c r="A576" s="206">
        <v>200111</v>
      </c>
      <c r="B576" s="44">
        <v>0.5</v>
      </c>
      <c r="C576" s="3" t="s">
        <v>416</v>
      </c>
      <c r="D576" s="3" t="s">
        <v>423</v>
      </c>
      <c r="E576" s="3">
        <v>18</v>
      </c>
      <c r="F576" s="3">
        <v>26</v>
      </c>
      <c r="G576" s="3">
        <v>31</v>
      </c>
      <c r="H576" s="3">
        <v>31</v>
      </c>
      <c r="J576" s="3">
        <v>34</v>
      </c>
      <c r="K576" s="3">
        <v>19</v>
      </c>
      <c r="L576" s="3">
        <v>37</v>
      </c>
      <c r="M576" s="3">
        <v>37</v>
      </c>
      <c r="N576" s="3" t="s">
        <v>427</v>
      </c>
      <c r="O576" s="206">
        <f t="shared" si="272"/>
        <v>106</v>
      </c>
      <c r="P576" s="206">
        <f t="shared" si="273"/>
        <v>127</v>
      </c>
      <c r="Q576" s="206" t="str">
        <f t="shared" si="274"/>
        <v>HL</v>
      </c>
      <c r="R576" s="206" t="str">
        <f t="shared" si="275"/>
        <v>HW</v>
      </c>
      <c r="S576" s="206" t="str">
        <f t="shared" si="276"/>
        <v>HL</v>
      </c>
      <c r="T576" s="206" t="str">
        <f t="shared" si="277"/>
        <v>HL</v>
      </c>
      <c r="U576" s="206" t="str">
        <f t="shared" si="278"/>
        <v>U</v>
      </c>
      <c r="V576" s="206" t="str">
        <f t="shared" si="279"/>
        <v>U</v>
      </c>
      <c r="W576" s="206" t="str">
        <f t="shared" si="280"/>
        <v>O</v>
      </c>
      <c r="X576" s="206" t="str">
        <f t="shared" si="281"/>
        <v>O</v>
      </c>
      <c r="Y576" s="206"/>
      <c r="Z576" s="3">
        <v>55</v>
      </c>
      <c r="AB576" s="206" t="str">
        <f t="shared" si="269"/>
        <v>SAC/MIL</v>
      </c>
      <c r="AC576" s="206">
        <f t="shared" si="282"/>
        <v>2</v>
      </c>
      <c r="AD576" s="206">
        <f t="shared" si="283"/>
        <v>2</v>
      </c>
    </row>
    <row r="577" spans="1:30" x14ac:dyDescent="0.45">
      <c r="A577" s="206">
        <v>200111</v>
      </c>
      <c r="B577" s="44">
        <v>0.52083333333333337</v>
      </c>
      <c r="C577" s="3" t="s">
        <v>415</v>
      </c>
      <c r="D577" s="3" t="s">
        <v>425</v>
      </c>
      <c r="E577" s="3">
        <v>22</v>
      </c>
      <c r="F577" s="3">
        <v>26</v>
      </c>
      <c r="G577" s="3">
        <v>25</v>
      </c>
      <c r="H577" s="3">
        <v>36</v>
      </c>
      <c r="J577" s="3">
        <v>20</v>
      </c>
      <c r="K577" s="3">
        <v>33</v>
      </c>
      <c r="L577" s="3">
        <v>30</v>
      </c>
      <c r="M577" s="3">
        <v>17</v>
      </c>
      <c r="N577" s="3" t="s">
        <v>427</v>
      </c>
      <c r="O577" s="206">
        <f t="shared" si="272"/>
        <v>109</v>
      </c>
      <c r="P577" s="206">
        <f t="shared" si="273"/>
        <v>100</v>
      </c>
      <c r="Q577" s="206" t="str">
        <f t="shared" si="274"/>
        <v>HW</v>
      </c>
      <c r="R577" s="206" t="str">
        <f t="shared" si="275"/>
        <v>HL</v>
      </c>
      <c r="S577" s="206" t="str">
        <f t="shared" si="276"/>
        <v>HL</v>
      </c>
      <c r="T577" s="206" t="str">
        <f t="shared" si="277"/>
        <v>HW</v>
      </c>
      <c r="U577" s="206" t="str">
        <f t="shared" si="278"/>
        <v>U</v>
      </c>
      <c r="V577" s="206" t="str">
        <f t="shared" si="279"/>
        <v>O</v>
      </c>
      <c r="W577" s="206" t="str">
        <f t="shared" si="280"/>
        <v>U</v>
      </c>
      <c r="X577" s="206" t="str">
        <f t="shared" si="281"/>
        <v>U</v>
      </c>
      <c r="Y577" s="206"/>
      <c r="Z577" s="3">
        <v>56</v>
      </c>
      <c r="AB577" s="206" t="str">
        <f t="shared" si="269"/>
        <v>LAC/GS</v>
      </c>
      <c r="AC577" s="206">
        <f t="shared" si="282"/>
        <v>1</v>
      </c>
      <c r="AD577" s="206">
        <f t="shared" si="283"/>
        <v>3</v>
      </c>
    </row>
    <row r="578" spans="1:30" x14ac:dyDescent="0.45">
      <c r="A578" s="206">
        <v>200112</v>
      </c>
      <c r="B578" s="44">
        <v>0.29166666666666669</v>
      </c>
      <c r="C578" s="3" t="s">
        <v>403</v>
      </c>
      <c r="D578" s="3" t="s">
        <v>420</v>
      </c>
      <c r="E578" s="3">
        <v>22</v>
      </c>
      <c r="F578" s="3">
        <v>35</v>
      </c>
      <c r="G578" s="3">
        <v>45</v>
      </c>
      <c r="H578" s="3">
        <v>37</v>
      </c>
      <c r="J578" s="3">
        <v>20</v>
      </c>
      <c r="K578" s="3">
        <v>21</v>
      </c>
      <c r="L578" s="3">
        <v>35</v>
      </c>
      <c r="M578" s="3">
        <v>33</v>
      </c>
      <c r="N578" s="3" t="s">
        <v>427</v>
      </c>
      <c r="O578" s="206">
        <f t="shared" si="272"/>
        <v>139</v>
      </c>
      <c r="P578" s="206">
        <f t="shared" si="273"/>
        <v>109</v>
      </c>
      <c r="Q578" s="206" t="str">
        <f t="shared" si="274"/>
        <v>HW</v>
      </c>
      <c r="R578" s="206" t="str">
        <f t="shared" si="275"/>
        <v>HW</v>
      </c>
      <c r="S578" s="206" t="str">
        <f t="shared" si="276"/>
        <v>HW</v>
      </c>
      <c r="T578" s="206" t="str">
        <f t="shared" si="277"/>
        <v>HW</v>
      </c>
      <c r="U578" s="206" t="str">
        <f t="shared" si="278"/>
        <v>U</v>
      </c>
      <c r="V578" s="206" t="str">
        <f t="shared" si="279"/>
        <v>U</v>
      </c>
      <c r="W578" s="206" t="str">
        <f t="shared" si="280"/>
        <v>O</v>
      </c>
      <c r="X578" s="206" t="str">
        <f t="shared" si="281"/>
        <v>O</v>
      </c>
      <c r="Y578" s="206"/>
      <c r="Z578" s="3">
        <v>60</v>
      </c>
      <c r="AB578" s="206" t="str">
        <f t="shared" si="269"/>
        <v>HOU/MIN</v>
      </c>
      <c r="AC578" s="206">
        <f t="shared" si="282"/>
        <v>2</v>
      </c>
      <c r="AD578" s="206">
        <f t="shared" si="283"/>
        <v>2</v>
      </c>
    </row>
    <row r="579" spans="1:30" x14ac:dyDescent="0.45">
      <c r="A579" s="206">
        <v>200112</v>
      </c>
      <c r="B579" s="44">
        <v>0.375</v>
      </c>
      <c r="C579" s="3" t="s">
        <v>421</v>
      </c>
      <c r="D579" s="3" t="s">
        <v>398</v>
      </c>
      <c r="E579" s="3">
        <v>41</v>
      </c>
      <c r="F579" s="3">
        <v>31</v>
      </c>
      <c r="G579" s="3">
        <v>42</v>
      </c>
      <c r="H579" s="3">
        <v>26</v>
      </c>
      <c r="J579" s="3">
        <v>24</v>
      </c>
      <c r="K579" s="3">
        <v>33</v>
      </c>
      <c r="L579" s="3">
        <v>25</v>
      </c>
      <c r="M579" s="3">
        <v>23</v>
      </c>
      <c r="N579" s="3" t="s">
        <v>427</v>
      </c>
      <c r="O579" s="206">
        <f t="shared" si="272"/>
        <v>140</v>
      </c>
      <c r="P579" s="206">
        <f t="shared" si="273"/>
        <v>105</v>
      </c>
      <c r="Q579" s="206" t="str">
        <f t="shared" si="274"/>
        <v>HW</v>
      </c>
      <c r="R579" s="206" t="str">
        <f t="shared" si="275"/>
        <v>HL</v>
      </c>
      <c r="S579" s="206" t="str">
        <f t="shared" si="276"/>
        <v>HW</v>
      </c>
      <c r="T579" s="206" t="str">
        <f t="shared" si="277"/>
        <v>HW</v>
      </c>
      <c r="U579" s="206" t="str">
        <f t="shared" si="278"/>
        <v>O</v>
      </c>
      <c r="V579" s="206" t="str">
        <f t="shared" si="279"/>
        <v>O</v>
      </c>
      <c r="W579" s="206" t="str">
        <f t="shared" si="280"/>
        <v>O</v>
      </c>
      <c r="X579" s="206" t="str">
        <f t="shared" si="281"/>
        <v>U</v>
      </c>
      <c r="Y579" s="206"/>
      <c r="Z579" s="3">
        <v>57.5</v>
      </c>
      <c r="AB579" s="206" t="str">
        <f t="shared" si="269"/>
        <v>BOS/NO</v>
      </c>
      <c r="AC579" s="206">
        <f t="shared" si="282"/>
        <v>3</v>
      </c>
      <c r="AD579" s="206">
        <f t="shared" si="283"/>
        <v>1</v>
      </c>
    </row>
    <row r="580" spans="1:30" x14ac:dyDescent="0.45">
      <c r="A580" s="206">
        <v>200112</v>
      </c>
      <c r="B580" s="44">
        <v>0.375</v>
      </c>
      <c r="C580" s="3" t="s">
        <v>422</v>
      </c>
      <c r="D580" s="3" t="s">
        <v>412</v>
      </c>
      <c r="E580" s="3">
        <v>20</v>
      </c>
      <c r="F580" s="3">
        <v>29</v>
      </c>
      <c r="G580" s="3">
        <v>22</v>
      </c>
      <c r="H580" s="3">
        <v>28</v>
      </c>
      <c r="J580" s="3">
        <v>35</v>
      </c>
      <c r="K580" s="3">
        <v>26</v>
      </c>
      <c r="L580" s="3">
        <v>20</v>
      </c>
      <c r="M580" s="3">
        <v>27</v>
      </c>
      <c r="N580" s="3" t="s">
        <v>427</v>
      </c>
      <c r="O580" s="206">
        <f t="shared" si="272"/>
        <v>99</v>
      </c>
      <c r="P580" s="206">
        <f t="shared" si="273"/>
        <v>108</v>
      </c>
      <c r="Q580" s="206" t="str">
        <f t="shared" si="274"/>
        <v>HL</v>
      </c>
      <c r="R580" s="206" t="str">
        <f t="shared" si="275"/>
        <v>HW</v>
      </c>
      <c r="S580" s="206" t="str">
        <f t="shared" si="276"/>
        <v>HW</v>
      </c>
      <c r="T580" s="206" t="str">
        <f t="shared" si="277"/>
        <v>HW</v>
      </c>
      <c r="U580" s="206" t="str">
        <f t="shared" si="278"/>
        <v>U</v>
      </c>
      <c r="V580" s="206" t="str">
        <f t="shared" si="279"/>
        <v>U</v>
      </c>
      <c r="W580" s="206" t="str">
        <f t="shared" si="280"/>
        <v>U</v>
      </c>
      <c r="X580" s="206" t="str">
        <f t="shared" si="281"/>
        <v>U</v>
      </c>
      <c r="Y580" s="206"/>
      <c r="Z580" s="3">
        <v>55.5</v>
      </c>
      <c r="AB580" s="206" t="str">
        <f t="shared" si="269"/>
        <v>DET/CHI</v>
      </c>
      <c r="AC580" s="206">
        <f t="shared" si="282"/>
        <v>0</v>
      </c>
      <c r="AD580" s="206">
        <f t="shared" si="283"/>
        <v>4</v>
      </c>
    </row>
    <row r="581" spans="1:30" x14ac:dyDescent="0.45">
      <c r="A581" s="206">
        <v>200112</v>
      </c>
      <c r="B581" s="44">
        <v>0.41666666666666669</v>
      </c>
      <c r="C581" s="3" t="s">
        <v>418</v>
      </c>
      <c r="D581" s="3" t="s">
        <v>419</v>
      </c>
      <c r="E581" s="3">
        <v>19</v>
      </c>
      <c r="F581" s="3">
        <v>30</v>
      </c>
      <c r="G581" s="3">
        <v>33</v>
      </c>
      <c r="H581" s="3">
        <v>28</v>
      </c>
      <c r="J581" s="3">
        <v>41</v>
      </c>
      <c r="K581" s="3">
        <v>32</v>
      </c>
      <c r="L581" s="3">
        <v>29</v>
      </c>
      <c r="M581" s="3">
        <v>23</v>
      </c>
      <c r="N581" s="3" t="s">
        <v>427</v>
      </c>
      <c r="O581" s="206">
        <f t="shared" si="272"/>
        <v>110</v>
      </c>
      <c r="P581" s="206">
        <f t="shared" si="273"/>
        <v>125</v>
      </c>
      <c r="Q581" s="206" t="str">
        <f t="shared" si="274"/>
        <v>HL</v>
      </c>
      <c r="R581" s="206" t="str">
        <f t="shared" si="275"/>
        <v>HL</v>
      </c>
      <c r="S581" s="206" t="str">
        <f t="shared" si="276"/>
        <v>HW</v>
      </c>
      <c r="T581" s="206" t="str">
        <f t="shared" si="277"/>
        <v>HW</v>
      </c>
      <c r="U581" s="206" t="str">
        <f t="shared" si="278"/>
        <v>O</v>
      </c>
      <c r="V581" s="206" t="str">
        <f t="shared" si="279"/>
        <v>O</v>
      </c>
      <c r="W581" s="206" t="str">
        <f t="shared" si="280"/>
        <v>O</v>
      </c>
      <c r="X581" s="206" t="str">
        <f t="shared" si="281"/>
        <v>U</v>
      </c>
      <c r="Y581" s="206"/>
      <c r="Z581" s="3">
        <v>55</v>
      </c>
      <c r="AB581" s="206" t="str">
        <f t="shared" si="269"/>
        <v>OKC/LAL</v>
      </c>
      <c r="AC581" s="206">
        <f t="shared" si="282"/>
        <v>3</v>
      </c>
      <c r="AD581" s="206">
        <f t="shared" si="283"/>
        <v>1</v>
      </c>
    </row>
    <row r="582" spans="1:30" x14ac:dyDescent="0.45">
      <c r="A582" s="206">
        <v>200112</v>
      </c>
      <c r="B582" s="44">
        <v>0.4375</v>
      </c>
      <c r="C582" s="3" t="s">
        <v>397</v>
      </c>
      <c r="D582" s="3" t="s">
        <v>401</v>
      </c>
      <c r="E582" s="3">
        <v>20</v>
      </c>
      <c r="F582" s="3">
        <v>21</v>
      </c>
      <c r="G582" s="3">
        <v>32</v>
      </c>
      <c r="H582" s="3">
        <v>36</v>
      </c>
      <c r="J582" s="3">
        <v>22</v>
      </c>
      <c r="K582" s="3">
        <v>28</v>
      </c>
      <c r="L582" s="3">
        <v>16</v>
      </c>
      <c r="M582" s="3">
        <v>25</v>
      </c>
      <c r="N582" s="3" t="s">
        <v>427</v>
      </c>
      <c r="O582" s="206">
        <f t="shared" si="272"/>
        <v>109</v>
      </c>
      <c r="P582" s="206">
        <f t="shared" si="273"/>
        <v>91</v>
      </c>
      <c r="Q582" s="206" t="str">
        <f t="shared" si="274"/>
        <v>HL</v>
      </c>
      <c r="R582" s="206" t="str">
        <f t="shared" si="275"/>
        <v>HL</v>
      </c>
      <c r="S582" s="206" t="str">
        <f t="shared" si="276"/>
        <v>HW</v>
      </c>
      <c r="T582" s="206" t="str">
        <f t="shared" si="277"/>
        <v>HW</v>
      </c>
      <c r="U582" s="206" t="str">
        <f t="shared" si="278"/>
        <v>U</v>
      </c>
      <c r="V582" s="206" t="str">
        <f t="shared" si="279"/>
        <v>U</v>
      </c>
      <c r="W582" s="206" t="str">
        <f t="shared" si="280"/>
        <v>U</v>
      </c>
      <c r="X582" s="206" t="str">
        <f t="shared" si="281"/>
        <v>O</v>
      </c>
      <c r="Y582" s="206"/>
      <c r="Z582" s="3">
        <v>55.5</v>
      </c>
      <c r="AB582" s="206" t="str">
        <f t="shared" si="269"/>
        <v>DAL/PHI</v>
      </c>
      <c r="AC582" s="206">
        <f t="shared" si="282"/>
        <v>1</v>
      </c>
      <c r="AD582" s="206">
        <f t="shared" si="283"/>
        <v>3</v>
      </c>
    </row>
    <row r="583" spans="1:30" x14ac:dyDescent="0.45">
      <c r="A583" s="206">
        <v>200112</v>
      </c>
      <c r="B583" s="44">
        <v>0.45833333333333331</v>
      </c>
      <c r="C583" s="3" t="s">
        <v>408</v>
      </c>
      <c r="D583" s="3" t="s">
        <v>402</v>
      </c>
      <c r="E583" s="3">
        <v>18</v>
      </c>
      <c r="F583" s="3">
        <v>24</v>
      </c>
      <c r="G583" s="3">
        <v>29</v>
      </c>
      <c r="H583" s="3">
        <v>32</v>
      </c>
      <c r="J583" s="3">
        <v>23</v>
      </c>
      <c r="K583" s="3">
        <v>28</v>
      </c>
      <c r="L583" s="3">
        <v>34</v>
      </c>
      <c r="M583" s="3">
        <v>26</v>
      </c>
      <c r="N583" s="3" t="s">
        <v>427</v>
      </c>
      <c r="O583" s="206">
        <f t="shared" si="272"/>
        <v>103</v>
      </c>
      <c r="P583" s="206">
        <f t="shared" si="273"/>
        <v>111</v>
      </c>
      <c r="Q583" s="206" t="str">
        <f t="shared" si="274"/>
        <v>HL</v>
      </c>
      <c r="R583" s="206" t="str">
        <f t="shared" si="275"/>
        <v>HL</v>
      </c>
      <c r="S583" s="206" t="str">
        <f t="shared" si="276"/>
        <v>HL</v>
      </c>
      <c r="T583" s="206" t="str">
        <f t="shared" si="277"/>
        <v>HW</v>
      </c>
      <c r="U583" s="206" t="str">
        <f t="shared" si="278"/>
        <v>U</v>
      </c>
      <c r="V583" s="206" t="str">
        <f t="shared" si="279"/>
        <v>U</v>
      </c>
      <c r="W583" s="206" t="str">
        <f t="shared" si="280"/>
        <v>O</v>
      </c>
      <c r="X583" s="206" t="str">
        <f t="shared" si="281"/>
        <v>O</v>
      </c>
      <c r="Y583" s="206"/>
      <c r="Z583" s="3">
        <v>53</v>
      </c>
      <c r="AB583" s="206" t="str">
        <f t="shared" si="269"/>
        <v>DEN/CLE</v>
      </c>
      <c r="AC583" s="206">
        <f t="shared" si="282"/>
        <v>2</v>
      </c>
      <c r="AD583" s="206">
        <f t="shared" si="283"/>
        <v>2</v>
      </c>
    </row>
    <row r="584" spans="1:30" x14ac:dyDescent="0.45">
      <c r="A584" s="206">
        <v>200112</v>
      </c>
      <c r="B584" s="44">
        <v>0.5</v>
      </c>
      <c r="C584" s="3" t="s">
        <v>417</v>
      </c>
      <c r="D584" s="3" t="s">
        <v>423</v>
      </c>
      <c r="E584" s="3">
        <v>24</v>
      </c>
      <c r="F584" s="3">
        <v>31</v>
      </c>
      <c r="G584" s="3">
        <v>25</v>
      </c>
      <c r="H584" s="3">
        <v>21</v>
      </c>
      <c r="J584" s="3">
        <v>32</v>
      </c>
      <c r="K584" s="3">
        <v>32</v>
      </c>
      <c r="L584" s="3">
        <v>33</v>
      </c>
      <c r="M584" s="3">
        <v>25</v>
      </c>
      <c r="N584" s="3" t="s">
        <v>427</v>
      </c>
      <c r="O584" s="206">
        <f t="shared" si="272"/>
        <v>101</v>
      </c>
      <c r="P584" s="206">
        <f t="shared" si="273"/>
        <v>122</v>
      </c>
      <c r="Q584" s="206" t="str">
        <f t="shared" si="274"/>
        <v>HL</v>
      </c>
      <c r="R584" s="206" t="str">
        <f t="shared" si="275"/>
        <v>HL</v>
      </c>
      <c r="S584" s="206" t="str">
        <f t="shared" si="276"/>
        <v>HL</v>
      </c>
      <c r="T584" s="206" t="str">
        <f t="shared" si="277"/>
        <v>HL</v>
      </c>
      <c r="U584" s="206" t="str">
        <f t="shared" si="278"/>
        <v>U</v>
      </c>
      <c r="V584" s="206" t="str">
        <f t="shared" si="279"/>
        <v>O</v>
      </c>
      <c r="W584" s="206" t="str">
        <f t="shared" si="280"/>
        <v>O</v>
      </c>
      <c r="X584" s="206" t="str">
        <f t="shared" si="281"/>
        <v>U</v>
      </c>
      <c r="Y584" s="206"/>
      <c r="Z584" s="3">
        <v>57</v>
      </c>
      <c r="AB584" s="206" t="str">
        <f t="shared" si="269"/>
        <v>POR/MIL</v>
      </c>
      <c r="AC584" s="206">
        <f t="shared" si="282"/>
        <v>2</v>
      </c>
      <c r="AD584" s="206">
        <f t="shared" si="283"/>
        <v>2</v>
      </c>
    </row>
    <row r="585" spans="1:30" x14ac:dyDescent="0.45">
      <c r="A585" s="206">
        <v>200113</v>
      </c>
      <c r="B585" s="44">
        <v>0.22916666666666666</v>
      </c>
      <c r="C585" s="3" t="s">
        <v>399</v>
      </c>
      <c r="D585" s="3" t="s">
        <v>411</v>
      </c>
      <c r="E585" s="3">
        <v>27</v>
      </c>
      <c r="F585" s="3">
        <v>28</v>
      </c>
      <c r="G585" s="3">
        <v>29</v>
      </c>
      <c r="H585" s="3">
        <v>40</v>
      </c>
      <c r="J585" s="3">
        <v>31</v>
      </c>
      <c r="K585" s="3">
        <v>29</v>
      </c>
      <c r="L585" s="3">
        <v>34</v>
      </c>
      <c r="M585" s="3">
        <v>27</v>
      </c>
      <c r="N585" s="3" t="s">
        <v>427</v>
      </c>
      <c r="O585" s="206">
        <f t="shared" si="272"/>
        <v>124</v>
      </c>
      <c r="P585" s="206">
        <f t="shared" si="273"/>
        <v>121</v>
      </c>
      <c r="Q585" s="206" t="str">
        <f t="shared" si="274"/>
        <v>HL</v>
      </c>
      <c r="R585" s="206" t="str">
        <f t="shared" si="275"/>
        <v>HL</v>
      </c>
      <c r="S585" s="206" t="str">
        <f t="shared" si="276"/>
        <v>HL</v>
      </c>
      <c r="T585" s="206" t="str">
        <f t="shared" si="277"/>
        <v>HW</v>
      </c>
      <c r="U585" s="206" t="str">
        <f t="shared" si="278"/>
        <v>O</v>
      </c>
      <c r="V585" s="206" t="str">
        <f t="shared" si="279"/>
        <v>O</v>
      </c>
      <c r="W585" s="206" t="str">
        <f t="shared" si="280"/>
        <v>O</v>
      </c>
      <c r="X585" s="206" t="str">
        <f t="shared" si="281"/>
        <v>O</v>
      </c>
      <c r="Y585" s="206"/>
      <c r="Z585" s="3">
        <v>56</v>
      </c>
      <c r="AB585" s="206" t="str">
        <f t="shared" si="269"/>
        <v>NYK/MIA</v>
      </c>
      <c r="AC585" s="206">
        <f t="shared" si="282"/>
        <v>4</v>
      </c>
      <c r="AD585" s="206">
        <f t="shared" si="283"/>
        <v>0</v>
      </c>
    </row>
    <row r="586" spans="1:30" x14ac:dyDescent="0.45">
      <c r="A586" s="206">
        <v>200113</v>
      </c>
      <c r="B586" s="44">
        <v>0.22916666666666666</v>
      </c>
      <c r="C586" s="3" t="s">
        <v>414</v>
      </c>
      <c r="D586" s="3" t="s">
        <v>405</v>
      </c>
      <c r="E586" s="3">
        <v>34</v>
      </c>
      <c r="F586" s="3">
        <v>32</v>
      </c>
      <c r="G586" s="3">
        <v>25</v>
      </c>
      <c r="H586" s="3">
        <v>25</v>
      </c>
      <c r="J586" s="3">
        <v>23</v>
      </c>
      <c r="K586" s="3">
        <v>32</v>
      </c>
      <c r="L586" s="3">
        <v>38</v>
      </c>
      <c r="M586" s="3">
        <v>34</v>
      </c>
      <c r="N586" s="3" t="s">
        <v>427</v>
      </c>
      <c r="O586" s="206">
        <f t="shared" si="272"/>
        <v>116</v>
      </c>
      <c r="P586" s="206">
        <f t="shared" si="273"/>
        <v>127</v>
      </c>
      <c r="Q586" s="206" t="str">
        <f t="shared" si="274"/>
        <v>HW</v>
      </c>
      <c r="R586" s="206" t="str">
        <f t="shared" si="275"/>
        <v>TT</v>
      </c>
      <c r="S586" s="206" t="str">
        <f t="shared" si="276"/>
        <v>HL</v>
      </c>
      <c r="T586" s="206" t="str">
        <f t="shared" si="277"/>
        <v>HL</v>
      </c>
      <c r="U586" s="206" t="str">
        <f t="shared" si="278"/>
        <v>O</v>
      </c>
      <c r="V586" s="206" t="str">
        <f t="shared" si="279"/>
        <v>O</v>
      </c>
      <c r="W586" s="206" t="str">
        <f t="shared" si="280"/>
        <v>O</v>
      </c>
      <c r="X586" s="206" t="str">
        <f t="shared" si="281"/>
        <v>O</v>
      </c>
      <c r="Y586" s="206"/>
      <c r="Z586" s="3">
        <v>55</v>
      </c>
      <c r="AB586" s="206" t="str">
        <f t="shared" si="269"/>
        <v>WAS/UTA</v>
      </c>
      <c r="AC586" s="206">
        <f t="shared" si="282"/>
        <v>4</v>
      </c>
      <c r="AD586" s="206">
        <f t="shared" si="283"/>
        <v>0</v>
      </c>
    </row>
    <row r="587" spans="1:30" x14ac:dyDescent="0.45">
      <c r="A587" s="206">
        <v>200113</v>
      </c>
      <c r="B587" s="44">
        <v>0.33333333333333331</v>
      </c>
      <c r="C587" s="3" t="s">
        <v>407</v>
      </c>
      <c r="D587" s="3" t="s">
        <v>410</v>
      </c>
      <c r="E587" s="3">
        <v>37</v>
      </c>
      <c r="F587" s="3">
        <v>33</v>
      </c>
      <c r="G587" s="3">
        <v>22</v>
      </c>
      <c r="H587" s="3">
        <v>16</v>
      </c>
      <c r="J587" s="3">
        <v>16</v>
      </c>
      <c r="K587" s="3">
        <v>30</v>
      </c>
      <c r="L587" s="3">
        <v>20</v>
      </c>
      <c r="M587" s="3">
        <v>20</v>
      </c>
      <c r="N587" s="3" t="s">
        <v>427</v>
      </c>
      <c r="O587" s="206">
        <f t="shared" si="272"/>
        <v>108</v>
      </c>
      <c r="P587" s="206">
        <f t="shared" si="273"/>
        <v>86</v>
      </c>
      <c r="Q587" s="206" t="str">
        <f t="shared" si="274"/>
        <v>HW</v>
      </c>
      <c r="R587" s="206" t="str">
        <f t="shared" si="275"/>
        <v>HW</v>
      </c>
      <c r="S587" s="206" t="str">
        <f t="shared" si="276"/>
        <v>HW</v>
      </c>
      <c r="T587" s="206" t="str">
        <f t="shared" si="277"/>
        <v>HL</v>
      </c>
      <c r="U587" s="206" t="str">
        <f t="shared" si="278"/>
        <v>U</v>
      </c>
      <c r="V587" s="206" t="str">
        <f t="shared" si="279"/>
        <v>O</v>
      </c>
      <c r="W587" s="206" t="str">
        <f t="shared" si="280"/>
        <v>U</v>
      </c>
      <c r="X587" s="206" t="str">
        <f t="shared" si="281"/>
        <v>U</v>
      </c>
      <c r="Y587" s="206"/>
      <c r="Z587" s="3">
        <v>58</v>
      </c>
      <c r="AB587" s="206" t="str">
        <f t="shared" si="269"/>
        <v>BKN/ATL</v>
      </c>
      <c r="AC587" s="206">
        <f t="shared" si="282"/>
        <v>1</v>
      </c>
      <c r="AD587" s="206">
        <f t="shared" si="283"/>
        <v>3</v>
      </c>
    </row>
    <row r="588" spans="1:30" x14ac:dyDescent="0.45">
      <c r="A588" s="206">
        <v>200113</v>
      </c>
      <c r="B588" s="44">
        <v>0.33333333333333331</v>
      </c>
      <c r="C588" s="3" t="s">
        <v>413</v>
      </c>
      <c r="D588" s="3" t="s">
        <v>426</v>
      </c>
      <c r="E588" s="3">
        <v>28</v>
      </c>
      <c r="F588" s="3">
        <v>23</v>
      </c>
      <c r="G588" s="3">
        <v>31</v>
      </c>
      <c r="H588" s="3">
        <v>22</v>
      </c>
      <c r="J588" s="3">
        <v>21</v>
      </c>
      <c r="K588" s="3">
        <v>22</v>
      </c>
      <c r="L588" s="3">
        <v>26</v>
      </c>
      <c r="M588" s="3">
        <v>36</v>
      </c>
      <c r="N588" s="3" t="s">
        <v>427</v>
      </c>
      <c r="O588" s="206">
        <f t="shared" si="272"/>
        <v>104</v>
      </c>
      <c r="P588" s="206">
        <f t="shared" si="273"/>
        <v>105</v>
      </c>
      <c r="Q588" s="206" t="str">
        <f t="shared" si="274"/>
        <v>HW</v>
      </c>
      <c r="R588" s="206" t="str">
        <f t="shared" si="275"/>
        <v>HW</v>
      </c>
      <c r="S588" s="206" t="str">
        <f t="shared" si="276"/>
        <v>HW</v>
      </c>
      <c r="T588" s="206" t="str">
        <f t="shared" si="277"/>
        <v>HL</v>
      </c>
      <c r="U588" s="206" t="str">
        <f t="shared" si="278"/>
        <v>U</v>
      </c>
      <c r="V588" s="206" t="str">
        <f t="shared" si="279"/>
        <v>U</v>
      </c>
      <c r="W588" s="206" t="str">
        <f t="shared" si="280"/>
        <v>O</v>
      </c>
      <c r="X588" s="206" t="str">
        <f t="shared" si="281"/>
        <v>O</v>
      </c>
      <c r="Y588" s="206"/>
      <c r="Z588" s="3">
        <v>54.5</v>
      </c>
      <c r="AB588" s="206" t="str">
        <f t="shared" ref="AB588:AB651" si="284">C588&amp;"/"&amp;D588</f>
        <v>TOR/SAS</v>
      </c>
      <c r="AC588" s="206">
        <f t="shared" si="282"/>
        <v>2</v>
      </c>
      <c r="AD588" s="206">
        <f t="shared" si="283"/>
        <v>2</v>
      </c>
    </row>
    <row r="589" spans="1:30" x14ac:dyDescent="0.45">
      <c r="A589" s="206">
        <v>200113</v>
      </c>
      <c r="B589" s="44">
        <v>0.33333333333333331</v>
      </c>
      <c r="C589" s="3" t="s">
        <v>406</v>
      </c>
      <c r="D589" s="3" t="s">
        <v>425</v>
      </c>
      <c r="E589" s="3">
        <v>27</v>
      </c>
      <c r="F589" s="3">
        <v>33</v>
      </c>
      <c r="G589" s="3">
        <v>35</v>
      </c>
      <c r="H589" s="3">
        <v>27</v>
      </c>
      <c r="J589" s="3">
        <v>26</v>
      </c>
      <c r="K589" s="3">
        <v>33</v>
      </c>
      <c r="L589" s="3">
        <v>17</v>
      </c>
      <c r="M589" s="3">
        <v>26</v>
      </c>
      <c r="N589" s="3" t="s">
        <v>427</v>
      </c>
      <c r="O589" s="206">
        <f t="shared" si="272"/>
        <v>122</v>
      </c>
      <c r="P589" s="206">
        <f t="shared" si="273"/>
        <v>102</v>
      </c>
      <c r="Q589" s="206" t="str">
        <f t="shared" si="274"/>
        <v>HW</v>
      </c>
      <c r="R589" s="206" t="str">
        <f t="shared" si="275"/>
        <v>TT</v>
      </c>
      <c r="S589" s="206" t="str">
        <f t="shared" si="276"/>
        <v>HW</v>
      </c>
      <c r="T589" s="206" t="str">
        <f t="shared" si="277"/>
        <v>HW</v>
      </c>
      <c r="U589" s="206" t="str">
        <f t="shared" si="278"/>
        <v>U</v>
      </c>
      <c r="V589" s="206" t="str">
        <f t="shared" si="279"/>
        <v>O</v>
      </c>
      <c r="W589" s="206" t="str">
        <f t="shared" si="280"/>
        <v>U</v>
      </c>
      <c r="X589" s="206" t="str">
        <f t="shared" si="281"/>
        <v>U</v>
      </c>
      <c r="Y589" s="206"/>
      <c r="Z589" s="3">
        <v>57.5</v>
      </c>
      <c r="AB589" s="206" t="str">
        <f t="shared" si="284"/>
        <v>MEM/GS</v>
      </c>
      <c r="AC589" s="206">
        <f t="shared" si="282"/>
        <v>1</v>
      </c>
      <c r="AD589" s="206">
        <f t="shared" si="283"/>
        <v>3</v>
      </c>
    </row>
    <row r="590" spans="1:30" x14ac:dyDescent="0.45">
      <c r="A590" s="206">
        <v>200113</v>
      </c>
      <c r="B590" s="44">
        <v>0.41666666666666669</v>
      </c>
      <c r="C590" s="3" t="s">
        <v>408</v>
      </c>
      <c r="D590" s="3" t="s">
        <v>415</v>
      </c>
      <c r="E590" s="3">
        <v>29</v>
      </c>
      <c r="F590" s="3">
        <v>37</v>
      </c>
      <c r="G590" s="3">
        <v>23</v>
      </c>
      <c r="H590" s="3">
        <v>25</v>
      </c>
      <c r="J590" s="3">
        <v>30</v>
      </c>
      <c r="K590" s="3">
        <v>22</v>
      </c>
      <c r="L590" s="3">
        <v>22</v>
      </c>
      <c r="M590" s="3">
        <v>30</v>
      </c>
      <c r="N590" s="3" t="s">
        <v>427</v>
      </c>
      <c r="O590" s="206">
        <f t="shared" si="272"/>
        <v>114</v>
      </c>
      <c r="P590" s="206">
        <f t="shared" si="273"/>
        <v>104</v>
      </c>
      <c r="Q590" s="206" t="str">
        <f t="shared" si="274"/>
        <v>HL</v>
      </c>
      <c r="R590" s="206" t="str">
        <f t="shared" si="275"/>
        <v>HW</v>
      </c>
      <c r="S590" s="206" t="str">
        <f t="shared" si="276"/>
        <v>HW</v>
      </c>
      <c r="T590" s="206" t="str">
        <f t="shared" si="277"/>
        <v>HL</v>
      </c>
      <c r="U590" s="206" t="str">
        <f t="shared" si="278"/>
        <v>O</v>
      </c>
      <c r="V590" s="206" t="str">
        <f t="shared" si="279"/>
        <v>O</v>
      </c>
      <c r="W590" s="206" t="str">
        <f t="shared" si="280"/>
        <v>U</v>
      </c>
      <c r="X590" s="206" t="str">
        <f t="shared" si="281"/>
        <v>U</v>
      </c>
      <c r="Y590" s="206"/>
      <c r="Z590" s="3">
        <v>57</v>
      </c>
      <c r="AB590" s="206" t="str">
        <f t="shared" si="284"/>
        <v>DEN/LAC</v>
      </c>
      <c r="AC590" s="206">
        <f t="shared" si="282"/>
        <v>2</v>
      </c>
      <c r="AD590" s="206">
        <f t="shared" si="283"/>
        <v>2</v>
      </c>
    </row>
    <row r="591" spans="1:30" x14ac:dyDescent="0.45">
      <c r="A591" s="206">
        <v>200113</v>
      </c>
      <c r="B591" s="44">
        <v>0.41666666666666669</v>
      </c>
      <c r="C591" s="3" t="s">
        <v>404</v>
      </c>
      <c r="D591" s="3" t="s">
        <v>409</v>
      </c>
      <c r="E591" s="3">
        <v>18</v>
      </c>
      <c r="F591" s="3">
        <v>28</v>
      </c>
      <c r="G591" s="3">
        <v>25</v>
      </c>
      <c r="H591" s="3">
        <v>29</v>
      </c>
      <c r="J591" s="3">
        <v>24</v>
      </c>
      <c r="K591" s="3">
        <v>21</v>
      </c>
      <c r="L591" s="3">
        <v>26</v>
      </c>
      <c r="M591" s="3">
        <v>21</v>
      </c>
      <c r="N591" s="3" t="s">
        <v>427</v>
      </c>
      <c r="O591" s="206">
        <f t="shared" si="272"/>
        <v>100</v>
      </c>
      <c r="P591" s="206">
        <f t="shared" si="273"/>
        <v>92</v>
      </c>
      <c r="Q591" s="206" t="str">
        <f t="shared" si="274"/>
        <v>HL</v>
      </c>
      <c r="R591" s="206" t="str">
        <f t="shared" si="275"/>
        <v>HW</v>
      </c>
      <c r="S591" s="206" t="str">
        <f t="shared" si="276"/>
        <v>HL</v>
      </c>
      <c r="T591" s="206" t="str">
        <f t="shared" si="277"/>
        <v>HW</v>
      </c>
      <c r="U591" s="206" t="str">
        <f t="shared" si="278"/>
        <v>U</v>
      </c>
      <c r="V591" s="206" t="str">
        <f t="shared" si="279"/>
        <v>U</v>
      </c>
      <c r="W591" s="206" t="str">
        <f t="shared" si="280"/>
        <v>U</v>
      </c>
      <c r="X591" s="206" t="str">
        <f t="shared" si="281"/>
        <v>U</v>
      </c>
      <c r="Y591" s="206"/>
      <c r="Z591" s="3">
        <v>55.5</v>
      </c>
      <c r="AB591" s="206" t="str">
        <f t="shared" si="284"/>
        <v>PHO/CHA</v>
      </c>
      <c r="AC591" s="206">
        <f t="shared" si="282"/>
        <v>0</v>
      </c>
      <c r="AD591" s="206">
        <f t="shared" si="283"/>
        <v>4</v>
      </c>
    </row>
    <row r="592" spans="1:30" x14ac:dyDescent="0.45">
      <c r="A592" s="206">
        <v>200114</v>
      </c>
      <c r="B592" s="44">
        <v>0.375</v>
      </c>
      <c r="C592" s="3" t="s">
        <v>422</v>
      </c>
      <c r="D592" s="3" t="s">
        <v>398</v>
      </c>
      <c r="E592" s="3">
        <v>23</v>
      </c>
      <c r="F592" s="3">
        <v>29</v>
      </c>
      <c r="G592" s="3">
        <v>25</v>
      </c>
      <c r="H592" s="3">
        <v>25</v>
      </c>
      <c r="I592" s="3">
        <v>8</v>
      </c>
      <c r="J592" s="3">
        <v>32</v>
      </c>
      <c r="K592" s="3">
        <v>31</v>
      </c>
      <c r="L592" s="3">
        <v>26</v>
      </c>
      <c r="M592" s="3">
        <v>13</v>
      </c>
      <c r="N592" s="3">
        <v>15</v>
      </c>
      <c r="O592" s="206">
        <f t="shared" si="272"/>
        <v>110</v>
      </c>
      <c r="P592" s="206">
        <f t="shared" si="273"/>
        <v>117</v>
      </c>
      <c r="Q592" s="206" t="str">
        <f t="shared" si="274"/>
        <v>HL</v>
      </c>
      <c r="R592" s="206" t="str">
        <f t="shared" si="275"/>
        <v>HL</v>
      </c>
      <c r="S592" s="206" t="str">
        <f t="shared" si="276"/>
        <v>HL</v>
      </c>
      <c r="T592" s="206" t="str">
        <f t="shared" si="277"/>
        <v>HW</v>
      </c>
      <c r="U592" s="206" t="str">
        <f t="shared" si="278"/>
        <v>U</v>
      </c>
      <c r="V592" s="206" t="str">
        <f t="shared" si="279"/>
        <v>O</v>
      </c>
      <c r="W592" s="206" t="str">
        <f t="shared" si="280"/>
        <v>U</v>
      </c>
      <c r="X592" s="206" t="str">
        <f t="shared" si="281"/>
        <v>U</v>
      </c>
      <c r="Y592" s="206"/>
      <c r="Z592" s="3">
        <v>57</v>
      </c>
      <c r="AB592" s="206" t="str">
        <f t="shared" si="284"/>
        <v>DET/NO</v>
      </c>
      <c r="AC592" s="206">
        <f t="shared" si="282"/>
        <v>1</v>
      </c>
      <c r="AD592" s="206">
        <f t="shared" si="283"/>
        <v>3</v>
      </c>
    </row>
    <row r="593" spans="1:30" x14ac:dyDescent="0.45">
      <c r="A593" s="206">
        <v>200114</v>
      </c>
      <c r="B593" s="44">
        <v>0.375</v>
      </c>
      <c r="C593" s="3" t="s">
        <v>400</v>
      </c>
      <c r="D593" s="3" t="s">
        <v>401</v>
      </c>
      <c r="E593" s="3">
        <v>22</v>
      </c>
      <c r="F593" s="3">
        <v>18</v>
      </c>
      <c r="G593" s="3">
        <v>29</v>
      </c>
      <c r="H593" s="3">
        <v>32</v>
      </c>
      <c r="J593" s="3">
        <v>23</v>
      </c>
      <c r="K593" s="3">
        <v>26</v>
      </c>
      <c r="L593" s="3">
        <v>20</v>
      </c>
      <c r="M593" s="3">
        <v>26</v>
      </c>
      <c r="N593" s="3" t="s">
        <v>427</v>
      </c>
      <c r="O593" s="206">
        <f t="shared" si="272"/>
        <v>101</v>
      </c>
      <c r="P593" s="206">
        <f t="shared" si="273"/>
        <v>95</v>
      </c>
      <c r="Q593" s="206" t="str">
        <f t="shared" si="274"/>
        <v>HL</v>
      </c>
      <c r="R593" s="206" t="str">
        <f t="shared" si="275"/>
        <v>HL</v>
      </c>
      <c r="S593" s="206" t="str">
        <f t="shared" si="276"/>
        <v>HW</v>
      </c>
      <c r="T593" s="206" t="str">
        <f t="shared" si="277"/>
        <v>HW</v>
      </c>
      <c r="U593" s="206" t="str">
        <f t="shared" si="278"/>
        <v>U</v>
      </c>
      <c r="V593" s="206" t="str">
        <f t="shared" si="279"/>
        <v>U</v>
      </c>
      <c r="W593" s="206" t="str">
        <f t="shared" si="280"/>
        <v>U</v>
      </c>
      <c r="X593" s="206" t="str">
        <f t="shared" si="281"/>
        <v>O</v>
      </c>
      <c r="Y593" s="206"/>
      <c r="Z593" s="3">
        <v>53</v>
      </c>
      <c r="AB593" s="206" t="str">
        <f t="shared" si="284"/>
        <v>IND/PHI</v>
      </c>
      <c r="AC593" s="206">
        <f t="shared" si="282"/>
        <v>1</v>
      </c>
      <c r="AD593" s="206">
        <f t="shared" si="283"/>
        <v>3</v>
      </c>
    </row>
    <row r="594" spans="1:30" x14ac:dyDescent="0.45">
      <c r="A594" s="206">
        <v>200114</v>
      </c>
      <c r="B594" s="44">
        <v>0.39583333333333331</v>
      </c>
      <c r="C594" s="3" t="s">
        <v>421</v>
      </c>
      <c r="D594" s="3" t="s">
        <v>412</v>
      </c>
      <c r="E594" s="3">
        <v>28</v>
      </c>
      <c r="F594" s="3">
        <v>27</v>
      </c>
      <c r="G594" s="3">
        <v>28</v>
      </c>
      <c r="H594" s="3">
        <v>30</v>
      </c>
      <c r="J594" s="3">
        <v>14</v>
      </c>
      <c r="K594" s="3">
        <v>23</v>
      </c>
      <c r="L594" s="3">
        <v>34</v>
      </c>
      <c r="M594" s="3">
        <v>30</v>
      </c>
      <c r="N594" s="3" t="s">
        <v>427</v>
      </c>
      <c r="O594" s="206">
        <f t="shared" si="272"/>
        <v>113</v>
      </c>
      <c r="P594" s="206">
        <f t="shared" si="273"/>
        <v>101</v>
      </c>
      <c r="Q594" s="206" t="str">
        <f t="shared" si="274"/>
        <v>HW</v>
      </c>
      <c r="R594" s="206" t="str">
        <f t="shared" si="275"/>
        <v>HW</v>
      </c>
      <c r="S594" s="206" t="str">
        <f t="shared" si="276"/>
        <v>HL</v>
      </c>
      <c r="T594" s="206" t="str">
        <f t="shared" si="277"/>
        <v>TT</v>
      </c>
      <c r="U594" s="206" t="str">
        <f t="shared" si="278"/>
        <v>U</v>
      </c>
      <c r="V594" s="206" t="str">
        <f t="shared" si="279"/>
        <v>U</v>
      </c>
      <c r="W594" s="206" t="str">
        <f t="shared" si="280"/>
        <v>O</v>
      </c>
      <c r="X594" s="206" t="str">
        <f t="shared" si="281"/>
        <v>O</v>
      </c>
      <c r="Y594" s="206"/>
      <c r="Z594" s="3">
        <v>55.5</v>
      </c>
      <c r="AB594" s="206" t="str">
        <f t="shared" si="284"/>
        <v>BOS/CHI</v>
      </c>
      <c r="AC594" s="206">
        <f t="shared" si="282"/>
        <v>2</v>
      </c>
      <c r="AD594" s="206">
        <f t="shared" si="283"/>
        <v>2</v>
      </c>
    </row>
    <row r="595" spans="1:30" x14ac:dyDescent="0.45">
      <c r="A595" s="206">
        <v>200114</v>
      </c>
      <c r="B595" s="44">
        <v>0.41666666666666669</v>
      </c>
      <c r="C595" s="3" t="s">
        <v>420</v>
      </c>
      <c r="D595" s="3" t="s">
        <v>418</v>
      </c>
      <c r="E595" s="3">
        <v>33</v>
      </c>
      <c r="F595" s="3">
        <v>27</v>
      </c>
      <c r="G595" s="3">
        <v>19</v>
      </c>
      <c r="H595" s="3">
        <v>25</v>
      </c>
      <c r="J595" s="3">
        <v>30</v>
      </c>
      <c r="K595" s="3">
        <v>33</v>
      </c>
      <c r="L595" s="3">
        <v>29</v>
      </c>
      <c r="M595" s="3">
        <v>25</v>
      </c>
      <c r="N595" s="3" t="s">
        <v>427</v>
      </c>
      <c r="O595" s="206">
        <f t="shared" si="272"/>
        <v>104</v>
      </c>
      <c r="P595" s="206">
        <f t="shared" si="273"/>
        <v>117</v>
      </c>
      <c r="Q595" s="206" t="str">
        <f t="shared" si="274"/>
        <v>HW</v>
      </c>
      <c r="R595" s="206" t="str">
        <f t="shared" si="275"/>
        <v>HL</v>
      </c>
      <c r="S595" s="206" t="str">
        <f t="shared" si="276"/>
        <v>HL</v>
      </c>
      <c r="T595" s="206" t="str">
        <f t="shared" si="277"/>
        <v>TT</v>
      </c>
      <c r="U595" s="206" t="str">
        <f t="shared" si="278"/>
        <v>O</v>
      </c>
      <c r="V595" s="206" t="str">
        <f t="shared" si="279"/>
        <v>O</v>
      </c>
      <c r="W595" s="206" t="str">
        <f t="shared" si="280"/>
        <v>U</v>
      </c>
      <c r="X595" s="206" t="str">
        <f t="shared" si="281"/>
        <v>U</v>
      </c>
      <c r="Y595" s="206"/>
      <c r="Z595" s="3">
        <v>56</v>
      </c>
      <c r="AB595" s="206" t="str">
        <f t="shared" si="284"/>
        <v>MIN/OKC</v>
      </c>
      <c r="AC595" s="206">
        <f t="shared" si="282"/>
        <v>2</v>
      </c>
      <c r="AD595" s="206">
        <f t="shared" si="283"/>
        <v>2</v>
      </c>
    </row>
    <row r="596" spans="1:30" x14ac:dyDescent="0.45">
      <c r="A596" s="206">
        <v>200114</v>
      </c>
      <c r="B596" s="44">
        <v>0.5</v>
      </c>
      <c r="C596" s="3" t="s">
        <v>417</v>
      </c>
      <c r="D596" s="3" t="s">
        <v>409</v>
      </c>
      <c r="E596" s="3">
        <v>25</v>
      </c>
      <c r="F596" s="3">
        <v>37</v>
      </c>
      <c r="G596" s="3">
        <v>29</v>
      </c>
      <c r="H596" s="3">
        <v>24</v>
      </c>
      <c r="J596" s="3">
        <v>26</v>
      </c>
      <c r="K596" s="3">
        <v>20</v>
      </c>
      <c r="L596" s="3">
        <v>43</v>
      </c>
      <c r="M596" s="3">
        <v>23</v>
      </c>
      <c r="N596" s="3" t="s">
        <v>427</v>
      </c>
      <c r="O596" s="206">
        <f t="shared" si="272"/>
        <v>115</v>
      </c>
      <c r="P596" s="206">
        <f t="shared" si="273"/>
        <v>112</v>
      </c>
      <c r="Q596" s="206" t="str">
        <f t="shared" si="274"/>
        <v>HL</v>
      </c>
      <c r="R596" s="206" t="str">
        <f t="shared" si="275"/>
        <v>HW</v>
      </c>
      <c r="S596" s="206" t="str">
        <f t="shared" si="276"/>
        <v>HL</v>
      </c>
      <c r="T596" s="206" t="str">
        <f t="shared" si="277"/>
        <v>HW</v>
      </c>
      <c r="U596" s="206" t="str">
        <f t="shared" si="278"/>
        <v>U</v>
      </c>
      <c r="V596" s="206" t="str">
        <f t="shared" si="279"/>
        <v>O</v>
      </c>
      <c r="W596" s="206" t="str">
        <f t="shared" si="280"/>
        <v>O</v>
      </c>
      <c r="X596" s="206" t="str">
        <f t="shared" si="281"/>
        <v>U</v>
      </c>
      <c r="Y596" s="206"/>
      <c r="Z596" s="3">
        <v>55.5</v>
      </c>
      <c r="AB596" s="206" t="str">
        <f t="shared" si="284"/>
        <v>POR/CHA</v>
      </c>
      <c r="AC596" s="206">
        <f t="shared" si="282"/>
        <v>2</v>
      </c>
      <c r="AD596" s="206">
        <f t="shared" si="283"/>
        <v>2</v>
      </c>
    </row>
    <row r="597" spans="1:30" x14ac:dyDescent="0.45">
      <c r="A597" s="206">
        <v>200114</v>
      </c>
      <c r="B597" s="44">
        <v>0.5</v>
      </c>
      <c r="C597" s="3" t="s">
        <v>416</v>
      </c>
      <c r="D597" s="3" t="s">
        <v>424</v>
      </c>
      <c r="E597" s="3">
        <v>25</v>
      </c>
      <c r="F597" s="3">
        <v>27</v>
      </c>
      <c r="G597" s="3">
        <v>33</v>
      </c>
      <c r="H597" s="3">
        <v>27</v>
      </c>
      <c r="J597" s="3">
        <v>33</v>
      </c>
      <c r="K597" s="3">
        <v>32</v>
      </c>
      <c r="L597" s="3">
        <v>21</v>
      </c>
      <c r="M597" s="3">
        <v>28</v>
      </c>
      <c r="N597" s="3" t="s">
        <v>427</v>
      </c>
      <c r="O597" s="206">
        <f t="shared" si="272"/>
        <v>112</v>
      </c>
      <c r="P597" s="206">
        <f t="shared" si="273"/>
        <v>114</v>
      </c>
      <c r="Q597" s="206" t="str">
        <f t="shared" si="274"/>
        <v>HL</v>
      </c>
      <c r="R597" s="206" t="str">
        <f t="shared" si="275"/>
        <v>HL</v>
      </c>
      <c r="S597" s="206" t="str">
        <f t="shared" si="276"/>
        <v>HW</v>
      </c>
      <c r="T597" s="206" t="str">
        <f t="shared" si="277"/>
        <v>HL</v>
      </c>
      <c r="U597" s="206" t="str">
        <f t="shared" si="278"/>
        <v>O</v>
      </c>
      <c r="V597" s="206" t="str">
        <f t="shared" si="279"/>
        <v>O</v>
      </c>
      <c r="W597" s="206" t="str">
        <f t="shared" si="280"/>
        <v>U</v>
      </c>
      <c r="X597" s="206" t="str">
        <f t="shared" si="281"/>
        <v>O</v>
      </c>
      <c r="Y597" s="206"/>
      <c r="Z597" s="3">
        <v>54.5</v>
      </c>
      <c r="AB597" s="206" t="str">
        <f t="shared" si="284"/>
        <v>SAC/ORL</v>
      </c>
      <c r="AC597" s="206">
        <f t="shared" si="282"/>
        <v>3</v>
      </c>
      <c r="AD597" s="206">
        <f t="shared" si="283"/>
        <v>1</v>
      </c>
    </row>
    <row r="598" spans="1:30" x14ac:dyDescent="0.45">
      <c r="A598" s="206">
        <v>200114</v>
      </c>
      <c r="B598" s="44">
        <v>0.52083333333333337</v>
      </c>
      <c r="C598" s="3" t="s">
        <v>419</v>
      </c>
      <c r="D598" s="3" t="s">
        <v>402</v>
      </c>
      <c r="E598" s="3">
        <v>21</v>
      </c>
      <c r="F598" s="3">
        <v>26</v>
      </c>
      <c r="G598" s="3">
        <v>37</v>
      </c>
      <c r="H598" s="3">
        <v>44</v>
      </c>
      <c r="J598" s="3">
        <v>27</v>
      </c>
      <c r="K598" s="3">
        <v>21</v>
      </c>
      <c r="L598" s="3">
        <v>22</v>
      </c>
      <c r="M598" s="3">
        <v>29</v>
      </c>
      <c r="N598" s="3" t="s">
        <v>427</v>
      </c>
      <c r="O598" s="206">
        <f t="shared" si="272"/>
        <v>128</v>
      </c>
      <c r="P598" s="206">
        <f t="shared" si="273"/>
        <v>99</v>
      </c>
      <c r="Q598" s="206" t="str">
        <f t="shared" si="274"/>
        <v>HL</v>
      </c>
      <c r="R598" s="206" t="str">
        <f t="shared" si="275"/>
        <v>HW</v>
      </c>
      <c r="S598" s="206" t="str">
        <f t="shared" si="276"/>
        <v>HW</v>
      </c>
      <c r="T598" s="206" t="str">
        <f t="shared" si="277"/>
        <v>HW</v>
      </c>
      <c r="U598" s="206" t="str">
        <f t="shared" si="278"/>
        <v>U</v>
      </c>
      <c r="V598" s="206" t="str">
        <f t="shared" si="279"/>
        <v>U</v>
      </c>
      <c r="W598" s="206" t="str">
        <f t="shared" si="280"/>
        <v>O</v>
      </c>
      <c r="X598" s="206" t="str">
        <f t="shared" si="281"/>
        <v>O</v>
      </c>
      <c r="Y598" s="206"/>
      <c r="Z598" s="3">
        <v>55</v>
      </c>
      <c r="AB598" s="206" t="str">
        <f t="shared" si="284"/>
        <v>LAL/CLE</v>
      </c>
      <c r="AC598" s="206">
        <f t="shared" si="282"/>
        <v>2</v>
      </c>
      <c r="AD598" s="206">
        <f t="shared" si="283"/>
        <v>2</v>
      </c>
    </row>
    <row r="599" spans="1:30" x14ac:dyDescent="0.45">
      <c r="A599" s="206">
        <v>200115</v>
      </c>
      <c r="B599" s="44">
        <v>0.39583333333333331</v>
      </c>
      <c r="C599" s="3" t="s">
        <v>410</v>
      </c>
      <c r="D599" s="3" t="s">
        <v>404</v>
      </c>
      <c r="E599" s="3">
        <v>28</v>
      </c>
      <c r="F599" s="3">
        <v>28</v>
      </c>
      <c r="G599" s="3">
        <v>28</v>
      </c>
      <c r="H599" s="3">
        <v>39</v>
      </c>
      <c r="J599" s="3">
        <v>25</v>
      </c>
      <c r="K599" s="3">
        <v>26</v>
      </c>
      <c r="L599" s="3">
        <v>32</v>
      </c>
      <c r="M599" s="3">
        <v>27</v>
      </c>
      <c r="N599" s="3" t="s">
        <v>427</v>
      </c>
      <c r="O599" s="206">
        <f t="shared" ref="O599:O604" si="285">SUM(E599:I599)</f>
        <v>123</v>
      </c>
      <c r="P599" s="206">
        <f t="shared" ref="P599:P604" si="286">SUM(J599:N599)</f>
        <v>110</v>
      </c>
      <c r="Q599" s="206" t="str">
        <f t="shared" ref="Q599:Q604" si="287">IF(E599=J599,"TT",IF(E599&gt;J599,"HW","HL"))</f>
        <v>HW</v>
      </c>
      <c r="R599" s="206" t="str">
        <f t="shared" ref="R599:R604" si="288">IF(F599=K599,"TT",IF(F599&gt;K599,"HW","HL"))</f>
        <v>HW</v>
      </c>
      <c r="S599" s="206" t="str">
        <f t="shared" ref="S599:S604" si="289">IF(G599=L599,"TT",IF(G599&gt;L599,"HW","HL"))</f>
        <v>HL</v>
      </c>
      <c r="T599" s="206" t="str">
        <f t="shared" ref="T599:T604" si="290">IF(H599=M599,"TT",IF(H599&gt;M599,"HW","HL"))</f>
        <v>HW</v>
      </c>
      <c r="U599" s="206" t="str">
        <f t="shared" ref="U599:U604" si="291">IF(SUM(E599,J599)=$Z599,"T",IF(SUM(E599,J599)&gt;$Z599,"O","U"))</f>
        <v>U</v>
      </c>
      <c r="V599" s="206" t="str">
        <f t="shared" ref="V599:V604" si="292">IF(SUM(F599,K599)=$Z599,"T",IF(SUM(F599,K599)&gt;$Z599,"O","U"))</f>
        <v>U</v>
      </c>
      <c r="W599" s="206" t="str">
        <f t="shared" ref="W599:W604" si="293">IF(SUM(G599,L599)=$Z599,"T",IF(SUM(G599,L599)&gt;$Z599,"O","U"))</f>
        <v>O</v>
      </c>
      <c r="X599" s="206" t="str">
        <f t="shared" ref="X599:X604" si="294">IF(SUM(H599,M599)=$Z599,"T",IF(SUM(H599,M599)&gt;$Z599,"O","U"))</f>
        <v>O</v>
      </c>
      <c r="Y599" s="206"/>
      <c r="Z599" s="3">
        <v>56</v>
      </c>
      <c r="AB599" s="206" t="str">
        <f t="shared" si="284"/>
        <v>ATL/PHO</v>
      </c>
      <c r="AC599" s="206">
        <f t="shared" ref="AC599:AC604" si="295">COUNTIF(U599:X599,"o")</f>
        <v>2</v>
      </c>
      <c r="AD599" s="206">
        <f t="shared" ref="AD599:AD604" si="296">COUNTIF(U599:X599,"u")</f>
        <v>2</v>
      </c>
    </row>
    <row r="600" spans="1:30" x14ac:dyDescent="0.45">
      <c r="A600" s="206">
        <v>200115</v>
      </c>
      <c r="B600" s="44">
        <v>0.39583333333333331</v>
      </c>
      <c r="C600" s="3" t="s">
        <v>407</v>
      </c>
      <c r="D600" s="3" t="s">
        <v>405</v>
      </c>
      <c r="E600" s="3">
        <v>26</v>
      </c>
      <c r="F600" s="3">
        <v>19</v>
      </c>
      <c r="G600" s="3">
        <v>29</v>
      </c>
      <c r="H600" s="3">
        <v>33</v>
      </c>
      <c r="J600" s="3">
        <v>30</v>
      </c>
      <c r="K600" s="3">
        <v>29</v>
      </c>
      <c r="L600" s="3">
        <v>29</v>
      </c>
      <c r="M600" s="3">
        <v>30</v>
      </c>
      <c r="N600" s="3" t="s">
        <v>427</v>
      </c>
      <c r="O600" s="206">
        <f t="shared" si="285"/>
        <v>107</v>
      </c>
      <c r="P600" s="206">
        <f t="shared" si="286"/>
        <v>118</v>
      </c>
      <c r="Q600" s="206" t="str">
        <f t="shared" si="287"/>
        <v>HL</v>
      </c>
      <c r="R600" s="206" t="str">
        <f t="shared" si="288"/>
        <v>HL</v>
      </c>
      <c r="S600" s="206" t="str">
        <f t="shared" si="289"/>
        <v>TT</v>
      </c>
      <c r="T600" s="206" t="str">
        <f t="shared" si="290"/>
        <v>HW</v>
      </c>
      <c r="U600" s="206" t="str">
        <f t="shared" si="291"/>
        <v>O</v>
      </c>
      <c r="V600" s="206" t="str">
        <f t="shared" si="292"/>
        <v>U</v>
      </c>
      <c r="W600" s="206" t="str">
        <f t="shared" si="293"/>
        <v>O</v>
      </c>
      <c r="X600" s="206" t="str">
        <f t="shared" si="294"/>
        <v>O</v>
      </c>
      <c r="Y600" s="206"/>
      <c r="Z600" s="3">
        <v>54.5</v>
      </c>
      <c r="AB600" s="206" t="str">
        <f t="shared" si="284"/>
        <v>BKN/UTA</v>
      </c>
      <c r="AC600" s="206">
        <f t="shared" si="295"/>
        <v>3</v>
      </c>
      <c r="AD600" s="206">
        <f t="shared" si="296"/>
        <v>1</v>
      </c>
    </row>
    <row r="601" spans="1:30" x14ac:dyDescent="0.45">
      <c r="A601" s="206">
        <v>200115</v>
      </c>
      <c r="B601" s="44">
        <v>0.41666666666666669</v>
      </c>
      <c r="C601" s="3" t="s">
        <v>423</v>
      </c>
      <c r="D601" s="3" t="s">
        <v>399</v>
      </c>
      <c r="E601" s="3">
        <v>29</v>
      </c>
      <c r="F601" s="3">
        <v>36</v>
      </c>
      <c r="G601" s="3">
        <v>43</v>
      </c>
      <c r="H601" s="3">
        <v>20</v>
      </c>
      <c r="J601" s="3">
        <v>23</v>
      </c>
      <c r="K601" s="3">
        <v>17</v>
      </c>
      <c r="L601" s="3">
        <v>36</v>
      </c>
      <c r="M601" s="3">
        <v>26</v>
      </c>
      <c r="N601" s="3" t="s">
        <v>427</v>
      </c>
      <c r="O601" s="206">
        <f t="shared" si="285"/>
        <v>128</v>
      </c>
      <c r="P601" s="206">
        <f t="shared" si="286"/>
        <v>102</v>
      </c>
      <c r="Q601" s="206" t="str">
        <f t="shared" si="287"/>
        <v>HW</v>
      </c>
      <c r="R601" s="206" t="str">
        <f t="shared" si="288"/>
        <v>HW</v>
      </c>
      <c r="S601" s="206" t="str">
        <f t="shared" si="289"/>
        <v>HW</v>
      </c>
      <c r="T601" s="206" t="str">
        <f t="shared" si="290"/>
        <v>HL</v>
      </c>
      <c r="U601" s="206" t="str">
        <f t="shared" si="291"/>
        <v>U</v>
      </c>
      <c r="V601" s="206" t="str">
        <f t="shared" si="292"/>
        <v>U</v>
      </c>
      <c r="W601" s="206" t="str">
        <f t="shared" si="293"/>
        <v>O</v>
      </c>
      <c r="X601" s="206" t="str">
        <f t="shared" si="294"/>
        <v>U</v>
      </c>
      <c r="Y601" s="206"/>
      <c r="Z601" s="3">
        <v>59.5</v>
      </c>
      <c r="AB601" s="206" t="str">
        <f t="shared" si="284"/>
        <v>MIL/NYK</v>
      </c>
      <c r="AC601" s="206">
        <f t="shared" si="295"/>
        <v>1</v>
      </c>
      <c r="AD601" s="206">
        <f t="shared" si="296"/>
        <v>3</v>
      </c>
    </row>
    <row r="602" spans="1:30" x14ac:dyDescent="0.45">
      <c r="A602" s="206">
        <v>200115</v>
      </c>
      <c r="B602" s="44">
        <v>0.41666666666666669</v>
      </c>
      <c r="C602" s="3" t="s">
        <v>406</v>
      </c>
      <c r="D602" s="3" t="s">
        <v>403</v>
      </c>
      <c r="E602" s="3">
        <v>32</v>
      </c>
      <c r="F602" s="3">
        <v>35</v>
      </c>
      <c r="G602" s="3">
        <v>18</v>
      </c>
      <c r="H602" s="3">
        <v>36</v>
      </c>
      <c r="J602" s="3">
        <v>37</v>
      </c>
      <c r="K602" s="3">
        <v>24</v>
      </c>
      <c r="L602" s="3">
        <v>22</v>
      </c>
      <c r="M602" s="3">
        <v>27</v>
      </c>
      <c r="N602" s="3" t="s">
        <v>427</v>
      </c>
      <c r="O602" s="206">
        <f t="shared" si="285"/>
        <v>121</v>
      </c>
      <c r="P602" s="206">
        <f t="shared" si="286"/>
        <v>110</v>
      </c>
      <c r="Q602" s="206" t="str">
        <f t="shared" si="287"/>
        <v>HL</v>
      </c>
      <c r="R602" s="206" t="str">
        <f t="shared" si="288"/>
        <v>HW</v>
      </c>
      <c r="S602" s="206" t="str">
        <f t="shared" si="289"/>
        <v>HL</v>
      </c>
      <c r="T602" s="206" t="str">
        <f t="shared" si="290"/>
        <v>HW</v>
      </c>
      <c r="U602" s="206" t="str">
        <f t="shared" si="291"/>
        <v>O</v>
      </c>
      <c r="V602" s="206" t="str">
        <f t="shared" si="292"/>
        <v>U</v>
      </c>
      <c r="W602" s="206" t="str">
        <f t="shared" si="293"/>
        <v>U</v>
      </c>
      <c r="X602" s="206" t="str">
        <f t="shared" si="294"/>
        <v>O</v>
      </c>
      <c r="Y602" s="206"/>
      <c r="Z602" s="3">
        <v>62</v>
      </c>
      <c r="AB602" s="206" t="str">
        <f t="shared" si="284"/>
        <v>MEM/HOU</v>
      </c>
      <c r="AC602" s="206">
        <f t="shared" si="295"/>
        <v>2</v>
      </c>
      <c r="AD602" s="206">
        <f t="shared" si="296"/>
        <v>2</v>
      </c>
    </row>
    <row r="603" spans="1:30" x14ac:dyDescent="0.45">
      <c r="A603" s="206">
        <v>200115</v>
      </c>
      <c r="B603" s="44">
        <v>0.52083333333333337</v>
      </c>
      <c r="C603" s="3" t="s">
        <v>425</v>
      </c>
      <c r="D603" s="3" t="s">
        <v>397</v>
      </c>
      <c r="E603" s="3">
        <v>26</v>
      </c>
      <c r="F603" s="3">
        <v>21</v>
      </c>
      <c r="G603" s="3">
        <v>24</v>
      </c>
      <c r="H603" s="3">
        <v>26</v>
      </c>
      <c r="J603" s="3">
        <v>36</v>
      </c>
      <c r="K603" s="3">
        <v>29</v>
      </c>
      <c r="L603" s="3">
        <v>29</v>
      </c>
      <c r="M603" s="3">
        <v>30</v>
      </c>
      <c r="N603" s="3" t="s">
        <v>427</v>
      </c>
      <c r="O603" s="206">
        <f t="shared" si="285"/>
        <v>97</v>
      </c>
      <c r="P603" s="206">
        <f t="shared" si="286"/>
        <v>124</v>
      </c>
      <c r="Q603" s="206" t="str">
        <f t="shared" si="287"/>
        <v>HL</v>
      </c>
      <c r="R603" s="206" t="str">
        <f t="shared" si="288"/>
        <v>HL</v>
      </c>
      <c r="S603" s="206" t="str">
        <f t="shared" si="289"/>
        <v>HL</v>
      </c>
      <c r="T603" s="206" t="str">
        <f t="shared" si="290"/>
        <v>HL</v>
      </c>
      <c r="U603" s="206" t="str">
        <f t="shared" si="291"/>
        <v>O</v>
      </c>
      <c r="V603" s="206" t="str">
        <f t="shared" si="292"/>
        <v>U</v>
      </c>
      <c r="W603" s="206" t="str">
        <f t="shared" si="293"/>
        <v>U</v>
      </c>
      <c r="X603" s="206" t="str">
        <f t="shared" si="294"/>
        <v>U</v>
      </c>
      <c r="Y603" s="206"/>
      <c r="Z603" s="3">
        <v>57.5</v>
      </c>
      <c r="AB603" s="206" t="str">
        <f t="shared" si="284"/>
        <v>GS/DAL</v>
      </c>
      <c r="AC603" s="206">
        <f t="shared" si="295"/>
        <v>1</v>
      </c>
      <c r="AD603" s="206">
        <f t="shared" si="296"/>
        <v>3</v>
      </c>
    </row>
    <row r="604" spans="1:30" x14ac:dyDescent="0.45">
      <c r="A604" s="206">
        <v>200115</v>
      </c>
      <c r="B604" s="44">
        <v>0.52083333333333337</v>
      </c>
      <c r="C604" s="3" t="s">
        <v>415</v>
      </c>
      <c r="D604" s="3" t="s">
        <v>402</v>
      </c>
      <c r="E604" s="3">
        <v>31</v>
      </c>
      <c r="F604" s="3">
        <v>35</v>
      </c>
      <c r="G604" s="3">
        <v>40</v>
      </c>
      <c r="H604" s="3">
        <v>22</v>
      </c>
      <c r="J604" s="3">
        <v>26</v>
      </c>
      <c r="K604" s="3">
        <v>24</v>
      </c>
      <c r="L604" s="3">
        <v>21</v>
      </c>
      <c r="M604" s="3">
        <v>32</v>
      </c>
      <c r="N604" s="3" t="s">
        <v>427</v>
      </c>
      <c r="O604" s="206">
        <f t="shared" si="285"/>
        <v>128</v>
      </c>
      <c r="P604" s="206">
        <f t="shared" si="286"/>
        <v>103</v>
      </c>
      <c r="Q604" s="206" t="str">
        <f t="shared" si="287"/>
        <v>HW</v>
      </c>
      <c r="R604" s="206" t="str">
        <f t="shared" si="288"/>
        <v>HW</v>
      </c>
      <c r="S604" s="206" t="str">
        <f t="shared" si="289"/>
        <v>HW</v>
      </c>
      <c r="T604" s="206" t="str">
        <f t="shared" si="290"/>
        <v>HL</v>
      </c>
      <c r="U604" s="206" t="str">
        <f t="shared" si="291"/>
        <v>O</v>
      </c>
      <c r="V604" s="206" t="str">
        <f t="shared" si="292"/>
        <v>O</v>
      </c>
      <c r="W604" s="206" t="str">
        <f t="shared" si="293"/>
        <v>O</v>
      </c>
      <c r="X604" s="206" t="str">
        <f t="shared" si="294"/>
        <v>U</v>
      </c>
      <c r="Y604" s="206"/>
      <c r="Z604" s="3">
        <v>55</v>
      </c>
      <c r="AB604" s="206" t="str">
        <f t="shared" si="284"/>
        <v>LAC/CLE</v>
      </c>
      <c r="AC604" s="206">
        <f t="shared" si="295"/>
        <v>3</v>
      </c>
      <c r="AD604" s="206">
        <f t="shared" si="296"/>
        <v>1</v>
      </c>
    </row>
    <row r="605" spans="1:30" x14ac:dyDescent="0.45">
      <c r="A605" s="256">
        <v>200116</v>
      </c>
      <c r="B605" s="44">
        <v>0.375</v>
      </c>
      <c r="C605" s="256" t="s">
        <v>421</v>
      </c>
      <c r="D605" s="256" t="s">
        <v>422</v>
      </c>
      <c r="E605" s="256">
        <v>24</v>
      </c>
      <c r="F605" s="256">
        <v>35</v>
      </c>
      <c r="G605" s="256">
        <v>23</v>
      </c>
      <c r="H605" s="256">
        <v>21</v>
      </c>
      <c r="I605" s="256"/>
      <c r="J605" s="256">
        <v>27</v>
      </c>
      <c r="K605" s="256">
        <v>30</v>
      </c>
      <c r="L605" s="256">
        <v>34</v>
      </c>
      <c r="M605" s="256">
        <v>25</v>
      </c>
      <c r="N605" s="256"/>
      <c r="O605" s="256">
        <f t="shared" ref="O605:O668" si="297">SUM(E605:I605)</f>
        <v>103</v>
      </c>
      <c r="P605" s="256">
        <f t="shared" ref="P605:P668" si="298">SUM(J605:N605)</f>
        <v>116</v>
      </c>
      <c r="Q605" s="256" t="str">
        <f t="shared" ref="Q605:Q668" si="299">IF(E605=J605,"TT",IF(E605&gt;J605,"HW","HL"))</f>
        <v>HL</v>
      </c>
      <c r="R605" s="256" t="str">
        <f t="shared" ref="R605:R668" si="300">IF(F605=K605,"TT",IF(F605&gt;K605,"HW","HL"))</f>
        <v>HW</v>
      </c>
      <c r="S605" s="256" t="str">
        <f t="shared" ref="S605:S668" si="301">IF(G605=L605,"TT",IF(G605&gt;L605,"HW","HL"))</f>
        <v>HL</v>
      </c>
      <c r="T605" s="256" t="str">
        <f t="shared" ref="T605:T668" si="302">IF(H605=M605,"TT",IF(H605&gt;M605,"HW","HL"))</f>
        <v>HL</v>
      </c>
      <c r="U605" s="256" t="str">
        <f t="shared" ref="U605:U668" si="303">IF(SUM(E605,J605)=$Z605,"T",IF(SUM(E605,J605)&gt;$Z605,"O","U"))</f>
        <v>U</v>
      </c>
      <c r="V605" s="256" t="str">
        <f t="shared" ref="V605:V668" si="304">IF(SUM(F605,K605)=$Z605,"T",IF(SUM(F605,K605)&gt;$Z605,"O","U"))</f>
        <v>O</v>
      </c>
      <c r="W605" s="256" t="str">
        <f t="shared" ref="W605:W668" si="305">IF(SUM(G605,L605)=$Z605,"T",IF(SUM(G605,L605)&gt;$Z605,"O","U"))</f>
        <v>O</v>
      </c>
      <c r="X605" s="256" t="str">
        <f t="shared" ref="X605:X668" si="306">IF(SUM(H605,M605)=$Z605,"T",IF(SUM(H605,M605)&gt;$Z605,"O","U"))</f>
        <v>U</v>
      </c>
      <c r="Z605" s="3">
        <v>55</v>
      </c>
      <c r="AB605" s="256" t="str">
        <f t="shared" si="284"/>
        <v>BOS/DET</v>
      </c>
      <c r="AC605" s="256">
        <f t="shared" ref="AC605:AC668" si="307">COUNTIF(U605:X605,"o")</f>
        <v>2</v>
      </c>
      <c r="AD605" s="256">
        <f t="shared" ref="AD605:AD668" si="308">COUNTIF(U605:X605,"u")</f>
        <v>2</v>
      </c>
    </row>
    <row r="606" spans="1:30" x14ac:dyDescent="0.45">
      <c r="A606" s="256">
        <v>200116</v>
      </c>
      <c r="B606" s="44">
        <v>0.375</v>
      </c>
      <c r="C606" s="11" t="s">
        <v>401</v>
      </c>
      <c r="D606" s="11" t="s">
        <v>407</v>
      </c>
      <c r="E606" s="256">
        <v>25</v>
      </c>
      <c r="F606" s="256">
        <v>29</v>
      </c>
      <c r="G606" s="256">
        <v>32</v>
      </c>
      <c r="H606" s="256">
        <v>31</v>
      </c>
      <c r="I606" s="256"/>
      <c r="J606" s="256">
        <v>28</v>
      </c>
      <c r="K606" s="256">
        <v>29</v>
      </c>
      <c r="L606" s="256">
        <v>33</v>
      </c>
      <c r="M606" s="256">
        <v>16</v>
      </c>
      <c r="N606" s="256" t="s">
        <v>427</v>
      </c>
      <c r="O606" s="256">
        <f t="shared" si="297"/>
        <v>117</v>
      </c>
      <c r="P606" s="256">
        <f t="shared" si="298"/>
        <v>106</v>
      </c>
      <c r="Q606" s="256" t="str">
        <f t="shared" si="299"/>
        <v>HL</v>
      </c>
      <c r="R606" s="256" t="str">
        <f t="shared" si="300"/>
        <v>TT</v>
      </c>
      <c r="S606" s="256" t="str">
        <f t="shared" si="301"/>
        <v>HL</v>
      </c>
      <c r="T606" s="256" t="str">
        <f t="shared" si="302"/>
        <v>HW</v>
      </c>
      <c r="U606" s="256" t="str">
        <f t="shared" si="303"/>
        <v>U</v>
      </c>
      <c r="V606" s="256" t="str">
        <f t="shared" si="304"/>
        <v>O</v>
      </c>
      <c r="W606" s="256" t="str">
        <f t="shared" si="305"/>
        <v>O</v>
      </c>
      <c r="X606" s="256" t="str">
        <f t="shared" si="306"/>
        <v>U</v>
      </c>
      <c r="Z606" s="3">
        <v>56</v>
      </c>
      <c r="AB606" s="256" t="str">
        <f t="shared" si="284"/>
        <v>PHI/BKN</v>
      </c>
      <c r="AC606" s="256">
        <f t="shared" si="307"/>
        <v>2</v>
      </c>
      <c r="AD606" s="256">
        <f t="shared" si="308"/>
        <v>2</v>
      </c>
    </row>
    <row r="607" spans="1:30" x14ac:dyDescent="0.45">
      <c r="A607" s="256">
        <v>200116</v>
      </c>
      <c r="B607" s="44">
        <v>0.39583333333333331</v>
      </c>
      <c r="C607" s="256" t="s">
        <v>411</v>
      </c>
      <c r="D607" s="256" t="s">
        <v>426</v>
      </c>
      <c r="E607" s="256">
        <v>24</v>
      </c>
      <c r="F607" s="256">
        <v>27</v>
      </c>
      <c r="G607" s="256">
        <v>24</v>
      </c>
      <c r="H607" s="256">
        <v>31</v>
      </c>
      <c r="I607" s="256"/>
      <c r="J607" s="256">
        <v>17</v>
      </c>
      <c r="K607" s="256">
        <v>34</v>
      </c>
      <c r="L607" s="256">
        <v>26</v>
      </c>
      <c r="M607" s="256">
        <v>23</v>
      </c>
      <c r="N607" s="256" t="s">
        <v>427</v>
      </c>
      <c r="O607" s="256">
        <f t="shared" si="297"/>
        <v>106</v>
      </c>
      <c r="P607" s="256">
        <f t="shared" si="298"/>
        <v>100</v>
      </c>
      <c r="Q607" s="256" t="str">
        <f t="shared" si="299"/>
        <v>HW</v>
      </c>
      <c r="R607" s="256" t="str">
        <f t="shared" si="300"/>
        <v>HL</v>
      </c>
      <c r="S607" s="256" t="str">
        <f t="shared" si="301"/>
        <v>HL</v>
      </c>
      <c r="T607" s="256" t="str">
        <f t="shared" si="302"/>
        <v>HW</v>
      </c>
      <c r="U607" s="256" t="str">
        <f t="shared" si="303"/>
        <v>U</v>
      </c>
      <c r="V607" s="256" t="str">
        <f t="shared" si="304"/>
        <v>O</v>
      </c>
      <c r="W607" s="256" t="str">
        <f t="shared" si="305"/>
        <v>U</v>
      </c>
      <c r="X607" s="256" t="str">
        <f t="shared" si="306"/>
        <v>U</v>
      </c>
      <c r="Z607" s="3">
        <v>55.5</v>
      </c>
      <c r="AB607" s="256" t="str">
        <f t="shared" si="284"/>
        <v>MIA/SAS</v>
      </c>
      <c r="AC607" s="256">
        <f t="shared" si="307"/>
        <v>1</v>
      </c>
      <c r="AD607" s="256">
        <f t="shared" si="308"/>
        <v>3</v>
      </c>
    </row>
    <row r="608" spans="1:30" x14ac:dyDescent="0.45">
      <c r="A608" s="256">
        <v>200116</v>
      </c>
      <c r="B608" s="44">
        <v>0.41666666666666669</v>
      </c>
      <c r="C608" s="256" t="s">
        <v>32</v>
      </c>
      <c r="D608" s="256" t="s">
        <v>414</v>
      </c>
      <c r="E608" s="256">
        <v>24</v>
      </c>
      <c r="F608" s="256">
        <v>31</v>
      </c>
      <c r="G608" s="256">
        <v>30</v>
      </c>
      <c r="H608" s="256">
        <v>30</v>
      </c>
      <c r="I608" s="256"/>
      <c r="J608" s="256">
        <v>26</v>
      </c>
      <c r="K608" s="256">
        <v>34</v>
      </c>
      <c r="L608" s="256">
        <v>20</v>
      </c>
      <c r="M608" s="256">
        <v>26</v>
      </c>
      <c r="N608" s="256"/>
      <c r="O608" s="256">
        <f t="shared" si="297"/>
        <v>115</v>
      </c>
      <c r="P608" s="256">
        <f t="shared" si="298"/>
        <v>106</v>
      </c>
      <c r="Q608" s="256" t="str">
        <f t="shared" si="299"/>
        <v>HL</v>
      </c>
      <c r="R608" s="256" t="str">
        <f t="shared" si="300"/>
        <v>HL</v>
      </c>
      <c r="S608" s="256" t="str">
        <f t="shared" si="301"/>
        <v>HW</v>
      </c>
      <c r="T608" s="256" t="str">
        <f t="shared" si="302"/>
        <v>HW</v>
      </c>
      <c r="U608" s="256" t="str">
        <f t="shared" si="303"/>
        <v>U</v>
      </c>
      <c r="V608" s="256" t="str">
        <f t="shared" si="304"/>
        <v>O</v>
      </c>
      <c r="W608" s="256" t="str">
        <f t="shared" si="305"/>
        <v>U</v>
      </c>
      <c r="X608" s="256" t="str">
        <f t="shared" si="306"/>
        <v>U</v>
      </c>
      <c r="Z608" s="3">
        <v>57.5</v>
      </c>
      <c r="AB608" s="256" t="str">
        <f t="shared" si="284"/>
        <v>CHI/WAS</v>
      </c>
      <c r="AC608" s="256">
        <f t="shared" si="307"/>
        <v>1</v>
      </c>
      <c r="AD608" s="256">
        <f t="shared" si="308"/>
        <v>3</v>
      </c>
    </row>
    <row r="609" spans="1:30" x14ac:dyDescent="0.45">
      <c r="A609" s="256">
        <v>200116</v>
      </c>
      <c r="B609" s="44">
        <v>0.41666666666666669</v>
      </c>
      <c r="C609" s="256" t="s">
        <v>420</v>
      </c>
      <c r="D609" s="256" t="s">
        <v>400</v>
      </c>
      <c r="E609" s="256">
        <v>30</v>
      </c>
      <c r="F609" s="256">
        <v>29</v>
      </c>
      <c r="G609" s="256">
        <v>18</v>
      </c>
      <c r="H609" s="256">
        <v>22</v>
      </c>
      <c r="I609" s="256"/>
      <c r="J609" s="256">
        <v>24</v>
      </c>
      <c r="K609" s="256">
        <v>30</v>
      </c>
      <c r="L609" s="256">
        <v>22</v>
      </c>
      <c r="M609" s="256">
        <v>28</v>
      </c>
      <c r="N609" s="256" t="s">
        <v>427</v>
      </c>
      <c r="O609" s="256">
        <f t="shared" si="297"/>
        <v>99</v>
      </c>
      <c r="P609" s="256">
        <f t="shared" si="298"/>
        <v>104</v>
      </c>
      <c r="Q609" s="256" t="str">
        <f t="shared" si="299"/>
        <v>HW</v>
      </c>
      <c r="R609" s="256" t="str">
        <f t="shared" si="300"/>
        <v>HL</v>
      </c>
      <c r="S609" s="256" t="str">
        <f t="shared" si="301"/>
        <v>HL</v>
      </c>
      <c r="T609" s="256" t="str">
        <f t="shared" si="302"/>
        <v>HL</v>
      </c>
      <c r="U609" s="256" t="str">
        <f t="shared" si="303"/>
        <v>U</v>
      </c>
      <c r="V609" s="256" t="str">
        <f t="shared" si="304"/>
        <v>O</v>
      </c>
      <c r="W609" s="256" t="str">
        <f t="shared" si="305"/>
        <v>U</v>
      </c>
      <c r="X609" s="256" t="str">
        <f t="shared" si="306"/>
        <v>U</v>
      </c>
      <c r="Z609" s="3">
        <v>55</v>
      </c>
      <c r="AB609" s="256" t="str">
        <f t="shared" si="284"/>
        <v>MIN/IND</v>
      </c>
      <c r="AC609" s="256">
        <f t="shared" si="307"/>
        <v>1</v>
      </c>
      <c r="AD609" s="256">
        <f t="shared" si="308"/>
        <v>3</v>
      </c>
    </row>
    <row r="610" spans="1:30" x14ac:dyDescent="0.45">
      <c r="A610" s="256">
        <v>200116</v>
      </c>
      <c r="B610" s="44">
        <v>0.41666666666666669</v>
      </c>
      <c r="C610" s="14" t="s">
        <v>418</v>
      </c>
      <c r="D610" s="14" t="s">
        <v>413</v>
      </c>
      <c r="E610" s="256">
        <v>25</v>
      </c>
      <c r="F610" s="256">
        <v>30</v>
      </c>
      <c r="G610" s="256">
        <v>28</v>
      </c>
      <c r="H610" s="256">
        <v>38</v>
      </c>
      <c r="I610" s="256"/>
      <c r="J610" s="256">
        <v>38</v>
      </c>
      <c r="K610" s="256">
        <v>35</v>
      </c>
      <c r="L610" s="256">
        <v>24</v>
      </c>
      <c r="M610" s="256">
        <v>33</v>
      </c>
      <c r="N610" s="256" t="s">
        <v>427</v>
      </c>
      <c r="O610" s="256">
        <f t="shared" si="297"/>
        <v>121</v>
      </c>
      <c r="P610" s="256">
        <f t="shared" si="298"/>
        <v>130</v>
      </c>
      <c r="Q610" s="256" t="str">
        <f t="shared" si="299"/>
        <v>HL</v>
      </c>
      <c r="R610" s="256" t="str">
        <f t="shared" si="300"/>
        <v>HL</v>
      </c>
      <c r="S610" s="256" t="str">
        <f t="shared" si="301"/>
        <v>HW</v>
      </c>
      <c r="T610" s="256" t="str">
        <f t="shared" si="302"/>
        <v>HW</v>
      </c>
      <c r="U610" s="256" t="str">
        <f t="shared" si="303"/>
        <v>O</v>
      </c>
      <c r="V610" s="256" t="str">
        <f t="shared" si="304"/>
        <v>O</v>
      </c>
      <c r="W610" s="256" t="str">
        <f t="shared" si="305"/>
        <v>U</v>
      </c>
      <c r="X610" s="256" t="str">
        <f t="shared" si="306"/>
        <v>O</v>
      </c>
      <c r="Z610" s="3">
        <v>53.5</v>
      </c>
      <c r="AB610" s="256" t="str">
        <f t="shared" si="284"/>
        <v>OKC/TOR</v>
      </c>
      <c r="AC610" s="256">
        <f t="shared" si="307"/>
        <v>3</v>
      </c>
      <c r="AD610" s="256">
        <f t="shared" si="308"/>
        <v>1</v>
      </c>
    </row>
    <row r="611" spans="1:30" x14ac:dyDescent="0.45">
      <c r="A611" s="256">
        <v>200116</v>
      </c>
      <c r="B611" s="257">
        <v>0.45833333333333331</v>
      </c>
      <c r="C611" s="256" t="s">
        <v>87</v>
      </c>
      <c r="D611" s="256" t="s">
        <v>409</v>
      </c>
      <c r="E611" s="256">
        <v>28</v>
      </c>
      <c r="F611" s="256">
        <v>29</v>
      </c>
      <c r="G611" s="256">
        <v>17</v>
      </c>
      <c r="H611" s="256">
        <v>26</v>
      </c>
      <c r="I611" s="256"/>
      <c r="J611" s="256">
        <v>25</v>
      </c>
      <c r="K611" s="256">
        <v>17</v>
      </c>
      <c r="L611" s="256">
        <v>27</v>
      </c>
      <c r="M611" s="256">
        <v>17</v>
      </c>
      <c r="N611" s="256"/>
      <c r="O611" s="256">
        <f t="shared" si="297"/>
        <v>100</v>
      </c>
      <c r="P611" s="256">
        <f t="shared" si="298"/>
        <v>86</v>
      </c>
      <c r="Q611" s="256" t="str">
        <f t="shared" si="299"/>
        <v>HW</v>
      </c>
      <c r="R611" s="256" t="str">
        <f t="shared" si="300"/>
        <v>HW</v>
      </c>
      <c r="S611" s="256" t="str">
        <f t="shared" si="301"/>
        <v>HL</v>
      </c>
      <c r="T611" s="256" t="str">
        <f t="shared" si="302"/>
        <v>HW</v>
      </c>
      <c r="U611" s="256" t="str">
        <f t="shared" si="303"/>
        <v>T</v>
      </c>
      <c r="V611" s="256" t="str">
        <f t="shared" si="304"/>
        <v>U</v>
      </c>
      <c r="W611" s="256" t="str">
        <f t="shared" si="305"/>
        <v>U</v>
      </c>
      <c r="X611" s="256" t="str">
        <f t="shared" si="306"/>
        <v>U</v>
      </c>
      <c r="Z611" s="3">
        <v>53</v>
      </c>
      <c r="AB611" s="256" t="str">
        <f t="shared" si="284"/>
        <v>DEN/CHA</v>
      </c>
      <c r="AC611" s="256">
        <f t="shared" si="307"/>
        <v>0</v>
      </c>
      <c r="AD611" s="256">
        <f t="shared" si="308"/>
        <v>3</v>
      </c>
    </row>
    <row r="612" spans="1:30" x14ac:dyDescent="0.45">
      <c r="A612" s="256">
        <v>200116</v>
      </c>
      <c r="B612" s="257">
        <v>0.47916666666666669</v>
      </c>
      <c r="C612" s="256" t="s">
        <v>403</v>
      </c>
      <c r="D612" s="256" t="s">
        <v>417</v>
      </c>
      <c r="E612" s="256">
        <v>26</v>
      </c>
      <c r="F612" s="256">
        <v>21</v>
      </c>
      <c r="G612" s="256">
        <v>30</v>
      </c>
      <c r="H612" s="256">
        <v>30</v>
      </c>
      <c r="I612" s="256"/>
      <c r="J612" s="256">
        <v>28</v>
      </c>
      <c r="K612" s="256">
        <v>32</v>
      </c>
      <c r="L612" s="256">
        <v>30</v>
      </c>
      <c r="M612" s="256">
        <v>27</v>
      </c>
      <c r="N612" s="256"/>
      <c r="O612" s="256">
        <f t="shared" si="297"/>
        <v>107</v>
      </c>
      <c r="P612" s="256">
        <f t="shared" si="298"/>
        <v>117</v>
      </c>
      <c r="Q612" s="256" t="str">
        <f t="shared" si="299"/>
        <v>HL</v>
      </c>
      <c r="R612" s="256" t="str">
        <f t="shared" si="300"/>
        <v>HL</v>
      </c>
      <c r="S612" s="256" t="str">
        <f t="shared" si="301"/>
        <v>TT</v>
      </c>
      <c r="T612" s="256" t="str">
        <f t="shared" si="302"/>
        <v>HW</v>
      </c>
      <c r="U612" s="256" t="str">
        <f t="shared" si="303"/>
        <v>U</v>
      </c>
      <c r="V612" s="256" t="str">
        <f t="shared" si="304"/>
        <v>U</v>
      </c>
      <c r="W612" s="256" t="str">
        <f t="shared" si="305"/>
        <v>O</v>
      </c>
      <c r="X612" s="256" t="str">
        <f t="shared" si="306"/>
        <v>U</v>
      </c>
      <c r="Z612" s="3">
        <v>59.5</v>
      </c>
      <c r="AB612" s="256" t="str">
        <f t="shared" si="284"/>
        <v>HOU/POR</v>
      </c>
      <c r="AC612" s="256">
        <f t="shared" si="307"/>
        <v>1</v>
      </c>
      <c r="AD612" s="256">
        <f t="shared" si="308"/>
        <v>3</v>
      </c>
    </row>
    <row r="613" spans="1:30" x14ac:dyDescent="0.45">
      <c r="A613" s="256">
        <v>200116</v>
      </c>
      <c r="B613" s="44">
        <v>0.5</v>
      </c>
      <c r="C613" s="11" t="s">
        <v>416</v>
      </c>
      <c r="D613" s="11" t="s">
        <v>397</v>
      </c>
      <c r="E613" s="256">
        <v>31</v>
      </c>
      <c r="F613" s="256">
        <v>36</v>
      </c>
      <c r="G613" s="256">
        <v>26</v>
      </c>
      <c r="H613" s="256">
        <v>30</v>
      </c>
      <c r="I613" s="256"/>
      <c r="J613" s="256">
        <v>35</v>
      </c>
      <c r="K613" s="256">
        <v>36</v>
      </c>
      <c r="L613" s="256">
        <v>37</v>
      </c>
      <c r="M613" s="256">
        <v>19</v>
      </c>
      <c r="N613" s="256" t="s">
        <v>427</v>
      </c>
      <c r="O613" s="256">
        <f t="shared" si="297"/>
        <v>123</v>
      </c>
      <c r="P613" s="256">
        <f t="shared" si="298"/>
        <v>127</v>
      </c>
      <c r="Q613" s="256" t="str">
        <f t="shared" si="299"/>
        <v>HL</v>
      </c>
      <c r="R613" s="256" t="str">
        <f t="shared" si="300"/>
        <v>TT</v>
      </c>
      <c r="S613" s="256" t="str">
        <f t="shared" si="301"/>
        <v>HL</v>
      </c>
      <c r="T613" s="256" t="str">
        <f t="shared" si="302"/>
        <v>HW</v>
      </c>
      <c r="U613" s="256" t="str">
        <f t="shared" si="303"/>
        <v>O</v>
      </c>
      <c r="V613" s="256" t="str">
        <f t="shared" si="304"/>
        <v>O</v>
      </c>
      <c r="W613" s="256" t="str">
        <f t="shared" si="305"/>
        <v>O</v>
      </c>
      <c r="X613" s="256" t="str">
        <f t="shared" si="306"/>
        <v>U</v>
      </c>
      <c r="Z613" s="3">
        <v>56.5</v>
      </c>
      <c r="AB613" s="256" t="str">
        <f t="shared" si="284"/>
        <v>SAC/DAL</v>
      </c>
      <c r="AC613" s="256">
        <f t="shared" si="307"/>
        <v>3</v>
      </c>
      <c r="AD613" s="256">
        <f t="shared" si="308"/>
        <v>1</v>
      </c>
    </row>
    <row r="614" spans="1:30" x14ac:dyDescent="0.45">
      <c r="A614" s="256">
        <v>200116</v>
      </c>
      <c r="B614" s="44">
        <v>0.52083333333333337</v>
      </c>
      <c r="C614" s="11" t="s">
        <v>419</v>
      </c>
      <c r="D614" s="11" t="s">
        <v>424</v>
      </c>
      <c r="E614" s="256">
        <v>29</v>
      </c>
      <c r="F614" s="256">
        <v>29</v>
      </c>
      <c r="G614" s="256">
        <v>30</v>
      </c>
      <c r="H614" s="256">
        <v>30</v>
      </c>
      <c r="I614" s="256"/>
      <c r="J614" s="256">
        <v>35</v>
      </c>
      <c r="K614" s="256">
        <v>30</v>
      </c>
      <c r="L614" s="256">
        <v>24</v>
      </c>
      <c r="M614" s="256">
        <v>30</v>
      </c>
      <c r="N614" s="256" t="s">
        <v>427</v>
      </c>
      <c r="O614" s="256">
        <f t="shared" si="297"/>
        <v>118</v>
      </c>
      <c r="P614" s="256">
        <f t="shared" si="298"/>
        <v>119</v>
      </c>
      <c r="Q614" s="256" t="str">
        <f t="shared" si="299"/>
        <v>HL</v>
      </c>
      <c r="R614" s="256" t="str">
        <f t="shared" si="300"/>
        <v>HL</v>
      </c>
      <c r="S614" s="256" t="str">
        <f t="shared" si="301"/>
        <v>HW</v>
      </c>
      <c r="T614" s="256" t="str">
        <f t="shared" si="302"/>
        <v>TT</v>
      </c>
      <c r="U614" s="256" t="str">
        <f t="shared" si="303"/>
        <v>O</v>
      </c>
      <c r="V614" s="256" t="str">
        <f t="shared" si="304"/>
        <v>O</v>
      </c>
      <c r="W614" s="256" t="str">
        <f t="shared" si="305"/>
        <v>O</v>
      </c>
      <c r="X614" s="256" t="str">
        <f t="shared" si="306"/>
        <v>O</v>
      </c>
      <c r="Z614" s="3">
        <v>52.5</v>
      </c>
      <c r="AB614" s="256" t="str">
        <f t="shared" si="284"/>
        <v>LAL/ORL</v>
      </c>
      <c r="AC614" s="256">
        <f t="shared" si="307"/>
        <v>4</v>
      </c>
      <c r="AD614" s="256">
        <f t="shared" si="308"/>
        <v>0</v>
      </c>
    </row>
    <row r="615" spans="1:30" x14ac:dyDescent="0.3">
      <c r="A615" s="256">
        <v>200117</v>
      </c>
      <c r="B615" s="257">
        <v>0.39583333333333331</v>
      </c>
      <c r="C615" s="256" t="s">
        <v>399</v>
      </c>
      <c r="D615" s="256" t="s">
        <v>404</v>
      </c>
      <c r="E615" s="256">
        <v>32</v>
      </c>
      <c r="F615" s="256">
        <v>20</v>
      </c>
      <c r="G615" s="256">
        <v>27</v>
      </c>
      <c r="H615" s="256">
        <v>19</v>
      </c>
      <c r="I615" s="256"/>
      <c r="J615" s="256">
        <v>25</v>
      </c>
      <c r="K615" s="256">
        <v>33</v>
      </c>
      <c r="L615" s="256">
        <v>32</v>
      </c>
      <c r="M615" s="256">
        <v>31</v>
      </c>
      <c r="N615" s="256"/>
      <c r="O615" s="256">
        <f t="shared" si="297"/>
        <v>98</v>
      </c>
      <c r="P615" s="256">
        <f t="shared" si="298"/>
        <v>121</v>
      </c>
      <c r="Q615" s="256" t="str">
        <f t="shared" si="299"/>
        <v>HW</v>
      </c>
      <c r="R615" s="256" t="str">
        <f t="shared" si="300"/>
        <v>HL</v>
      </c>
      <c r="S615" s="256" t="str">
        <f t="shared" si="301"/>
        <v>HL</v>
      </c>
      <c r="T615" s="256" t="str">
        <f t="shared" si="302"/>
        <v>HL</v>
      </c>
      <c r="U615" s="256" t="str">
        <f t="shared" si="303"/>
        <v>T</v>
      </c>
      <c r="V615" s="256" t="str">
        <f t="shared" si="304"/>
        <v>U</v>
      </c>
      <c r="W615" s="256" t="str">
        <f t="shared" si="305"/>
        <v>O</v>
      </c>
      <c r="X615" s="256" t="str">
        <f t="shared" si="306"/>
        <v>U</v>
      </c>
      <c r="Z615" s="3">
        <v>57</v>
      </c>
      <c r="AB615" s="256" t="str">
        <f t="shared" si="284"/>
        <v>NYK/PHO</v>
      </c>
      <c r="AC615" s="256">
        <f t="shared" si="307"/>
        <v>1</v>
      </c>
      <c r="AD615" s="256">
        <f t="shared" si="308"/>
        <v>2</v>
      </c>
    </row>
    <row r="616" spans="1:30" x14ac:dyDescent="0.3">
      <c r="A616" s="256">
        <v>200117</v>
      </c>
      <c r="B616" s="257">
        <v>0.41666666666666669</v>
      </c>
      <c r="C616" s="256" t="s">
        <v>398</v>
      </c>
      <c r="D616" s="256" t="s">
        <v>405</v>
      </c>
      <c r="E616" s="256">
        <v>25</v>
      </c>
      <c r="F616" s="256">
        <v>31</v>
      </c>
      <c r="G616" s="256">
        <v>31</v>
      </c>
      <c r="H616" s="256">
        <v>35</v>
      </c>
      <c r="I616" s="256">
        <v>16</v>
      </c>
      <c r="J616" s="256">
        <v>28</v>
      </c>
      <c r="K616" s="256">
        <v>21</v>
      </c>
      <c r="L616" s="256">
        <v>42</v>
      </c>
      <c r="M616" s="256">
        <v>31</v>
      </c>
      <c r="N616" s="256">
        <v>10</v>
      </c>
      <c r="O616" s="256">
        <f t="shared" si="297"/>
        <v>138</v>
      </c>
      <c r="P616" s="256">
        <f t="shared" si="298"/>
        <v>132</v>
      </c>
      <c r="Q616" s="256" t="str">
        <f t="shared" si="299"/>
        <v>HL</v>
      </c>
      <c r="R616" s="256" t="str">
        <f t="shared" si="300"/>
        <v>HW</v>
      </c>
      <c r="S616" s="256" t="str">
        <f t="shared" si="301"/>
        <v>HL</v>
      </c>
      <c r="T616" s="256" t="str">
        <f t="shared" si="302"/>
        <v>HW</v>
      </c>
      <c r="U616" s="256" t="str">
        <f t="shared" si="303"/>
        <v>U</v>
      </c>
      <c r="V616" s="256" t="str">
        <f t="shared" si="304"/>
        <v>U</v>
      </c>
      <c r="W616" s="256" t="str">
        <f t="shared" si="305"/>
        <v>O</v>
      </c>
      <c r="X616" s="256" t="str">
        <f t="shared" si="306"/>
        <v>O</v>
      </c>
      <c r="Z616" s="3">
        <v>56.5</v>
      </c>
      <c r="AB616" s="256" t="str">
        <f t="shared" si="284"/>
        <v>NO/UTA</v>
      </c>
      <c r="AC616" s="256">
        <f t="shared" si="307"/>
        <v>2</v>
      </c>
      <c r="AD616" s="256">
        <f t="shared" si="308"/>
        <v>2</v>
      </c>
    </row>
    <row r="617" spans="1:30" x14ac:dyDescent="0.3">
      <c r="A617" s="256">
        <v>200117</v>
      </c>
      <c r="B617" s="257">
        <v>0.41666666666666669</v>
      </c>
      <c r="C617" s="256" t="s">
        <v>423</v>
      </c>
      <c r="D617" s="256" t="s">
        <v>421</v>
      </c>
      <c r="E617" s="256">
        <v>36</v>
      </c>
      <c r="F617" s="256">
        <v>40</v>
      </c>
      <c r="G617" s="256">
        <v>30</v>
      </c>
      <c r="H617" s="256">
        <v>22</v>
      </c>
      <c r="I617" s="256"/>
      <c r="J617" s="256">
        <v>20</v>
      </c>
      <c r="K617" s="256">
        <v>38</v>
      </c>
      <c r="L617" s="256">
        <v>29</v>
      </c>
      <c r="M617" s="256">
        <v>36</v>
      </c>
      <c r="N617" s="256"/>
      <c r="O617" s="256">
        <f t="shared" si="297"/>
        <v>128</v>
      </c>
      <c r="P617" s="256">
        <f t="shared" si="298"/>
        <v>123</v>
      </c>
      <c r="Q617" s="256" t="str">
        <f t="shared" si="299"/>
        <v>HW</v>
      </c>
      <c r="R617" s="256" t="str">
        <f t="shared" si="300"/>
        <v>HW</v>
      </c>
      <c r="S617" s="256" t="str">
        <f t="shared" si="301"/>
        <v>HW</v>
      </c>
      <c r="T617" s="256" t="str">
        <f t="shared" si="302"/>
        <v>HL</v>
      </c>
      <c r="U617" s="256" t="str">
        <f t="shared" si="303"/>
        <v>U</v>
      </c>
      <c r="V617" s="256" t="str">
        <f t="shared" si="304"/>
        <v>O</v>
      </c>
      <c r="W617" s="256" t="str">
        <f t="shared" si="305"/>
        <v>O</v>
      </c>
      <c r="X617" s="256" t="str">
        <f t="shared" si="306"/>
        <v>O</v>
      </c>
      <c r="Z617" s="3">
        <v>57</v>
      </c>
      <c r="AB617" s="256" t="str">
        <f t="shared" si="284"/>
        <v>MIL/BOS</v>
      </c>
      <c r="AC617" s="256">
        <f t="shared" si="307"/>
        <v>3</v>
      </c>
      <c r="AD617" s="256">
        <f t="shared" si="308"/>
        <v>1</v>
      </c>
    </row>
    <row r="618" spans="1:30" x14ac:dyDescent="0.3">
      <c r="A618" s="256">
        <v>200117</v>
      </c>
      <c r="B618" s="257">
        <v>0.52083333333333337</v>
      </c>
      <c r="C618" s="256" t="s">
        <v>425</v>
      </c>
      <c r="D618" s="256" t="s">
        <v>408</v>
      </c>
      <c r="E618" s="256">
        <v>34</v>
      </c>
      <c r="F618" s="256">
        <v>28</v>
      </c>
      <c r="G618" s="256">
        <v>23</v>
      </c>
      <c r="H618" s="256">
        <v>28</v>
      </c>
      <c r="I618" s="256">
        <v>18</v>
      </c>
      <c r="J618" s="256">
        <v>19</v>
      </c>
      <c r="K618" s="256">
        <v>26</v>
      </c>
      <c r="L618" s="256">
        <v>28</v>
      </c>
      <c r="M618" s="256">
        <v>40</v>
      </c>
      <c r="N618" s="256">
        <v>21</v>
      </c>
      <c r="O618" s="256">
        <f t="shared" si="297"/>
        <v>131</v>
      </c>
      <c r="P618" s="256">
        <f t="shared" si="298"/>
        <v>134</v>
      </c>
      <c r="Q618" s="256" t="str">
        <f t="shared" si="299"/>
        <v>HW</v>
      </c>
      <c r="R618" s="256" t="str">
        <f t="shared" si="300"/>
        <v>HW</v>
      </c>
      <c r="S618" s="256" t="str">
        <f t="shared" si="301"/>
        <v>HL</v>
      </c>
      <c r="T618" s="256" t="str">
        <f t="shared" si="302"/>
        <v>HL</v>
      </c>
      <c r="U618" s="256" t="str">
        <f t="shared" si="303"/>
        <v>U</v>
      </c>
      <c r="V618" s="256" t="str">
        <f t="shared" si="304"/>
        <v>O</v>
      </c>
      <c r="W618" s="256" t="str">
        <f t="shared" si="305"/>
        <v>U</v>
      </c>
      <c r="X618" s="256" t="str">
        <f t="shared" si="306"/>
        <v>O</v>
      </c>
      <c r="Z618" s="3">
        <v>53.5</v>
      </c>
      <c r="AB618" s="256" t="str">
        <f t="shared" si="284"/>
        <v>GS/DEN</v>
      </c>
      <c r="AC618" s="256">
        <f t="shared" si="307"/>
        <v>2</v>
      </c>
      <c r="AD618" s="256">
        <f t="shared" si="308"/>
        <v>2</v>
      </c>
    </row>
    <row r="619" spans="1:30" x14ac:dyDescent="0.3">
      <c r="A619" s="256">
        <v>200117</v>
      </c>
      <c r="B619" s="257">
        <v>0.52083333333333337</v>
      </c>
      <c r="C619" s="256" t="s">
        <v>415</v>
      </c>
      <c r="D619" s="256" t="s">
        <v>424</v>
      </c>
      <c r="E619" s="256">
        <v>34</v>
      </c>
      <c r="F619" s="256">
        <v>33</v>
      </c>
      <c r="G619" s="256">
        <v>24</v>
      </c>
      <c r="H619" s="256">
        <v>31</v>
      </c>
      <c r="I619" s="256"/>
      <c r="J619" s="256">
        <v>26</v>
      </c>
      <c r="K619" s="256">
        <v>22</v>
      </c>
      <c r="L619" s="256">
        <v>28</v>
      </c>
      <c r="M619" s="256">
        <v>19</v>
      </c>
      <c r="N619" s="256"/>
      <c r="O619" s="256">
        <f t="shared" si="297"/>
        <v>122</v>
      </c>
      <c r="P619" s="256">
        <f t="shared" si="298"/>
        <v>95</v>
      </c>
      <c r="Q619" s="256" t="str">
        <f t="shared" si="299"/>
        <v>HW</v>
      </c>
      <c r="R619" s="256" t="str">
        <f t="shared" si="300"/>
        <v>HW</v>
      </c>
      <c r="S619" s="256" t="str">
        <f t="shared" si="301"/>
        <v>HL</v>
      </c>
      <c r="T619" s="256" t="str">
        <f t="shared" si="302"/>
        <v>HW</v>
      </c>
      <c r="U619" s="256" t="str">
        <f t="shared" si="303"/>
        <v>O</v>
      </c>
      <c r="V619" s="256" t="str">
        <f t="shared" si="304"/>
        <v>O</v>
      </c>
      <c r="W619" s="256" t="str">
        <f t="shared" si="305"/>
        <v>U</v>
      </c>
      <c r="X619" s="256" t="str">
        <f t="shared" si="306"/>
        <v>U</v>
      </c>
      <c r="Z619" s="3">
        <v>54.5</v>
      </c>
      <c r="AB619" s="256" t="str">
        <f t="shared" si="284"/>
        <v>LAC/ORL</v>
      </c>
      <c r="AC619" s="256">
        <f t="shared" si="307"/>
        <v>2</v>
      </c>
      <c r="AD619" s="256">
        <f t="shared" si="308"/>
        <v>2</v>
      </c>
    </row>
    <row r="620" spans="1:30" x14ac:dyDescent="0.3">
      <c r="A620" s="256">
        <v>200118</v>
      </c>
      <c r="B620" s="257">
        <v>0.375</v>
      </c>
      <c r="C620" s="256" t="s">
        <v>400</v>
      </c>
      <c r="D620" s="256" t="s">
        <v>420</v>
      </c>
      <c r="E620" s="256">
        <v>32</v>
      </c>
      <c r="F620" s="256">
        <v>35</v>
      </c>
      <c r="G620" s="256">
        <v>32</v>
      </c>
      <c r="H620" s="256">
        <v>17</v>
      </c>
      <c r="I620" s="256"/>
      <c r="J620" s="256">
        <v>26</v>
      </c>
      <c r="K620" s="256">
        <v>35</v>
      </c>
      <c r="L620" s="256">
        <v>32</v>
      </c>
      <c r="M620" s="256">
        <v>21</v>
      </c>
      <c r="N620" s="256"/>
      <c r="O620" s="256">
        <f t="shared" si="297"/>
        <v>116</v>
      </c>
      <c r="P620" s="256">
        <f t="shared" si="298"/>
        <v>114</v>
      </c>
      <c r="Q620" s="256" t="str">
        <f t="shared" si="299"/>
        <v>HW</v>
      </c>
      <c r="R620" s="256" t="str">
        <f t="shared" si="300"/>
        <v>TT</v>
      </c>
      <c r="S620" s="256" t="str">
        <f t="shared" si="301"/>
        <v>TT</v>
      </c>
      <c r="T620" s="256" t="str">
        <f t="shared" si="302"/>
        <v>HL</v>
      </c>
      <c r="U620" s="256" t="str">
        <f t="shared" si="303"/>
        <v>O</v>
      </c>
      <c r="V620" s="256" t="str">
        <f t="shared" si="304"/>
        <v>O</v>
      </c>
      <c r="W620" s="256" t="str">
        <f t="shared" si="305"/>
        <v>O</v>
      </c>
      <c r="X620" s="256" t="str">
        <f t="shared" si="306"/>
        <v>U</v>
      </c>
      <c r="Z620" s="3">
        <v>54.5</v>
      </c>
      <c r="AB620" s="256" t="str">
        <f t="shared" si="284"/>
        <v>IND/MIN</v>
      </c>
      <c r="AC620" s="256">
        <f t="shared" si="307"/>
        <v>3</v>
      </c>
      <c r="AD620" s="256">
        <f t="shared" si="308"/>
        <v>1</v>
      </c>
    </row>
    <row r="621" spans="1:30" x14ac:dyDescent="0.3">
      <c r="A621" s="256">
        <v>200118</v>
      </c>
      <c r="B621" s="257">
        <v>0.375</v>
      </c>
      <c r="C621" s="256" t="s">
        <v>401</v>
      </c>
      <c r="D621" s="256" t="s">
        <v>412</v>
      </c>
      <c r="E621" s="256">
        <v>21</v>
      </c>
      <c r="F621" s="256">
        <v>25</v>
      </c>
      <c r="G621" s="256">
        <v>35</v>
      </c>
      <c r="H621" s="256">
        <v>19</v>
      </c>
      <c r="I621" s="256"/>
      <c r="J621" s="256">
        <v>24</v>
      </c>
      <c r="K621" s="256">
        <v>23</v>
      </c>
      <c r="L621" s="256">
        <v>24</v>
      </c>
      <c r="M621" s="256">
        <v>18</v>
      </c>
      <c r="N621" s="256"/>
      <c r="O621" s="256">
        <f t="shared" si="297"/>
        <v>100</v>
      </c>
      <c r="P621" s="256">
        <f t="shared" si="298"/>
        <v>89</v>
      </c>
      <c r="Q621" s="256" t="str">
        <f t="shared" si="299"/>
        <v>HL</v>
      </c>
      <c r="R621" s="256" t="str">
        <f t="shared" si="300"/>
        <v>HW</v>
      </c>
      <c r="S621" s="256" t="str">
        <f t="shared" si="301"/>
        <v>HW</v>
      </c>
      <c r="T621" s="256" t="str">
        <f t="shared" si="302"/>
        <v>HW</v>
      </c>
      <c r="U621" s="256" t="str">
        <f t="shared" si="303"/>
        <v>U</v>
      </c>
      <c r="V621" s="256" t="str">
        <f t="shared" si="304"/>
        <v>U</v>
      </c>
      <c r="W621" s="256" t="str">
        <f t="shared" si="305"/>
        <v>O</v>
      </c>
      <c r="X621" s="256" t="str">
        <f t="shared" si="306"/>
        <v>U</v>
      </c>
      <c r="Z621" s="3">
        <v>53.5</v>
      </c>
      <c r="AB621" s="256" t="str">
        <f t="shared" si="284"/>
        <v>PHI/CHI</v>
      </c>
      <c r="AC621" s="256">
        <f t="shared" si="307"/>
        <v>1</v>
      </c>
      <c r="AD621" s="256">
        <f t="shared" si="308"/>
        <v>3</v>
      </c>
    </row>
    <row r="622" spans="1:30" x14ac:dyDescent="0.3">
      <c r="A622" s="256">
        <v>200118</v>
      </c>
      <c r="B622" s="257">
        <v>0.375</v>
      </c>
      <c r="C622" s="256" t="s">
        <v>413</v>
      </c>
      <c r="D622" s="256" t="s">
        <v>414</v>
      </c>
      <c r="E622" s="256">
        <v>38</v>
      </c>
      <c r="F622" s="256">
        <v>27</v>
      </c>
      <c r="G622" s="256">
        <v>35</v>
      </c>
      <c r="H622" s="256">
        <v>40</v>
      </c>
      <c r="I622" s="256"/>
      <c r="J622" s="256">
        <v>26</v>
      </c>
      <c r="K622" s="256">
        <v>25</v>
      </c>
      <c r="L622" s="256">
        <v>25</v>
      </c>
      <c r="M622" s="256">
        <v>35</v>
      </c>
      <c r="N622" s="256"/>
      <c r="O622" s="256">
        <f t="shared" si="297"/>
        <v>140</v>
      </c>
      <c r="P622" s="256">
        <f t="shared" si="298"/>
        <v>111</v>
      </c>
      <c r="Q622" s="256" t="str">
        <f t="shared" si="299"/>
        <v>HW</v>
      </c>
      <c r="R622" s="256" t="str">
        <f t="shared" si="300"/>
        <v>HW</v>
      </c>
      <c r="S622" s="256" t="str">
        <f t="shared" si="301"/>
        <v>HW</v>
      </c>
      <c r="T622" s="256" t="str">
        <f t="shared" si="302"/>
        <v>HW</v>
      </c>
      <c r="U622" s="256" t="str">
        <f t="shared" si="303"/>
        <v>O</v>
      </c>
      <c r="V622" s="256" t="str">
        <f t="shared" si="304"/>
        <v>U</v>
      </c>
      <c r="W622" s="256" t="str">
        <f t="shared" si="305"/>
        <v>O</v>
      </c>
      <c r="X622" s="256" t="str">
        <f t="shared" si="306"/>
        <v>O</v>
      </c>
      <c r="Z622" s="3">
        <v>58</v>
      </c>
      <c r="AB622" s="256" t="str">
        <f t="shared" si="284"/>
        <v>TOR/WAS</v>
      </c>
      <c r="AC622" s="256">
        <f t="shared" si="307"/>
        <v>3</v>
      </c>
      <c r="AD622" s="256">
        <f t="shared" si="308"/>
        <v>1</v>
      </c>
    </row>
    <row r="623" spans="1:30" x14ac:dyDescent="0.3">
      <c r="A623" s="256">
        <v>200118</v>
      </c>
      <c r="B623" s="257">
        <v>0.41666666666666669</v>
      </c>
      <c r="C623" s="256" t="s">
        <v>418</v>
      </c>
      <c r="D623" s="256" t="s">
        <v>411</v>
      </c>
      <c r="E623" s="256">
        <v>26</v>
      </c>
      <c r="F623" s="256">
        <v>21</v>
      </c>
      <c r="G623" s="256">
        <v>31</v>
      </c>
      <c r="H623" s="256">
        <v>30</v>
      </c>
      <c r="I623" s="256"/>
      <c r="J623" s="256">
        <v>40</v>
      </c>
      <c r="K623" s="256">
        <v>21</v>
      </c>
      <c r="L623" s="256">
        <v>31</v>
      </c>
      <c r="M623" s="256">
        <v>23</v>
      </c>
      <c r="N623" s="256"/>
      <c r="O623" s="256">
        <f t="shared" si="297"/>
        <v>108</v>
      </c>
      <c r="P623" s="256">
        <f t="shared" si="298"/>
        <v>115</v>
      </c>
      <c r="Q623" s="256" t="str">
        <f t="shared" si="299"/>
        <v>HL</v>
      </c>
      <c r="R623" s="256" t="str">
        <f t="shared" si="300"/>
        <v>TT</v>
      </c>
      <c r="S623" s="256" t="str">
        <f t="shared" si="301"/>
        <v>TT</v>
      </c>
      <c r="T623" s="256" t="str">
        <f t="shared" si="302"/>
        <v>HW</v>
      </c>
      <c r="U623" s="256" t="str">
        <f t="shared" si="303"/>
        <v>O</v>
      </c>
      <c r="V623" s="256" t="str">
        <f t="shared" si="304"/>
        <v>U</v>
      </c>
      <c r="W623" s="256" t="str">
        <f t="shared" si="305"/>
        <v>O</v>
      </c>
      <c r="X623" s="256" t="str">
        <f t="shared" si="306"/>
        <v>U</v>
      </c>
      <c r="Z623" s="3">
        <v>54.5</v>
      </c>
      <c r="AB623" s="256" t="str">
        <f t="shared" si="284"/>
        <v>OKC/MIA</v>
      </c>
      <c r="AC623" s="256">
        <f t="shared" si="307"/>
        <v>2</v>
      </c>
      <c r="AD623" s="256">
        <f t="shared" si="308"/>
        <v>2</v>
      </c>
    </row>
    <row r="624" spans="1:30" x14ac:dyDescent="0.3">
      <c r="A624" s="256">
        <v>200118</v>
      </c>
      <c r="B624" s="257">
        <v>0.41666666666666669</v>
      </c>
      <c r="C624" s="256" t="s">
        <v>406</v>
      </c>
      <c r="D624" s="256" t="s">
        <v>402</v>
      </c>
      <c r="E624" s="256">
        <v>27</v>
      </c>
      <c r="F624" s="256">
        <v>27</v>
      </c>
      <c r="G624" s="256">
        <v>38</v>
      </c>
      <c r="H624" s="256">
        <v>21</v>
      </c>
      <c r="I624" s="256"/>
      <c r="J624" s="256">
        <v>25</v>
      </c>
      <c r="K624" s="256">
        <v>31</v>
      </c>
      <c r="L624" s="256">
        <v>20</v>
      </c>
      <c r="M624" s="256">
        <v>33</v>
      </c>
      <c r="N624" s="256"/>
      <c r="O624" s="256">
        <f t="shared" si="297"/>
        <v>113</v>
      </c>
      <c r="P624" s="256">
        <f t="shared" si="298"/>
        <v>109</v>
      </c>
      <c r="Q624" s="256" t="str">
        <f t="shared" si="299"/>
        <v>HW</v>
      </c>
      <c r="R624" s="256" t="str">
        <f t="shared" si="300"/>
        <v>HL</v>
      </c>
      <c r="S624" s="256" t="str">
        <f t="shared" si="301"/>
        <v>HW</v>
      </c>
      <c r="T624" s="256" t="str">
        <f t="shared" si="302"/>
        <v>HL</v>
      </c>
      <c r="U624" s="256" t="str">
        <f t="shared" si="303"/>
        <v>U</v>
      </c>
      <c r="V624" s="256" t="str">
        <f t="shared" si="304"/>
        <v>O</v>
      </c>
      <c r="W624" s="256" t="str">
        <f t="shared" si="305"/>
        <v>O</v>
      </c>
      <c r="X624" s="256" t="str">
        <f t="shared" si="306"/>
        <v>U</v>
      </c>
      <c r="Z624" s="3">
        <v>57.5</v>
      </c>
      <c r="AB624" s="256" t="str">
        <f t="shared" si="284"/>
        <v>MEM/CLE</v>
      </c>
      <c r="AC624" s="256">
        <f t="shared" si="307"/>
        <v>2</v>
      </c>
      <c r="AD624" s="256">
        <f t="shared" si="308"/>
        <v>2</v>
      </c>
    </row>
    <row r="625" spans="1:30" x14ac:dyDescent="0.3">
      <c r="A625" s="256">
        <v>200118</v>
      </c>
      <c r="B625" s="257">
        <v>0.4375</v>
      </c>
      <c r="C625" s="256" t="s">
        <v>426</v>
      </c>
      <c r="D625" s="256" t="s">
        <v>410</v>
      </c>
      <c r="E625" s="256">
        <v>27</v>
      </c>
      <c r="F625" s="256">
        <v>31</v>
      </c>
      <c r="G625" s="256">
        <v>41</v>
      </c>
      <c r="H625" s="256">
        <v>21</v>
      </c>
      <c r="I625" s="256"/>
      <c r="J625" s="256">
        <v>29</v>
      </c>
      <c r="K625" s="256">
        <v>38</v>
      </c>
      <c r="L625" s="256">
        <v>21</v>
      </c>
      <c r="M625" s="256">
        <v>33</v>
      </c>
      <c r="N625" s="256"/>
      <c r="O625" s="256">
        <f t="shared" si="297"/>
        <v>120</v>
      </c>
      <c r="P625" s="256">
        <f t="shared" si="298"/>
        <v>121</v>
      </c>
      <c r="Q625" s="256" t="str">
        <f t="shared" si="299"/>
        <v>HL</v>
      </c>
      <c r="R625" s="256" t="str">
        <f t="shared" si="300"/>
        <v>HL</v>
      </c>
      <c r="S625" s="256" t="str">
        <f t="shared" si="301"/>
        <v>HW</v>
      </c>
      <c r="T625" s="256" t="str">
        <f t="shared" si="302"/>
        <v>HL</v>
      </c>
      <c r="U625" s="256" t="str">
        <f t="shared" si="303"/>
        <v>U</v>
      </c>
      <c r="V625" s="256" t="str">
        <f t="shared" si="304"/>
        <v>O</v>
      </c>
      <c r="W625" s="256" t="str">
        <f t="shared" si="305"/>
        <v>O</v>
      </c>
      <c r="X625" s="256" t="str">
        <f t="shared" si="306"/>
        <v>U</v>
      </c>
      <c r="Z625" s="3">
        <v>58</v>
      </c>
      <c r="AB625" s="256" t="str">
        <f t="shared" si="284"/>
        <v>SAS/ATL</v>
      </c>
      <c r="AC625" s="256">
        <f t="shared" si="307"/>
        <v>2</v>
      </c>
      <c r="AD625" s="256">
        <f t="shared" si="308"/>
        <v>2</v>
      </c>
    </row>
    <row r="626" spans="1:30" x14ac:dyDescent="0.3">
      <c r="A626" s="256">
        <v>200118</v>
      </c>
      <c r="B626" s="257">
        <v>0.47916666666666669</v>
      </c>
      <c r="C626" s="256" t="s">
        <v>397</v>
      </c>
      <c r="D626" s="256" t="s">
        <v>417</v>
      </c>
      <c r="E626" s="256">
        <v>38</v>
      </c>
      <c r="F626" s="256">
        <v>34</v>
      </c>
      <c r="G626" s="256">
        <v>26</v>
      </c>
      <c r="H626" s="256">
        <v>22</v>
      </c>
      <c r="I626" s="256"/>
      <c r="J626" s="256">
        <v>37</v>
      </c>
      <c r="K626" s="256">
        <v>26</v>
      </c>
      <c r="L626" s="256">
        <v>26</v>
      </c>
      <c r="M626" s="256">
        <v>23</v>
      </c>
      <c r="N626" s="256"/>
      <c r="O626" s="256">
        <f t="shared" si="297"/>
        <v>120</v>
      </c>
      <c r="P626" s="256">
        <f t="shared" si="298"/>
        <v>112</v>
      </c>
      <c r="Q626" s="256" t="str">
        <f t="shared" si="299"/>
        <v>HW</v>
      </c>
      <c r="R626" s="256" t="str">
        <f t="shared" si="300"/>
        <v>HW</v>
      </c>
      <c r="S626" s="256" t="str">
        <f t="shared" si="301"/>
        <v>TT</v>
      </c>
      <c r="T626" s="256" t="str">
        <f t="shared" si="302"/>
        <v>HL</v>
      </c>
      <c r="U626" s="256" t="str">
        <f t="shared" si="303"/>
        <v>O</v>
      </c>
      <c r="V626" s="256" t="str">
        <f t="shared" si="304"/>
        <v>O</v>
      </c>
      <c r="W626" s="256" t="str">
        <f t="shared" si="305"/>
        <v>U</v>
      </c>
      <c r="X626" s="256" t="str">
        <f t="shared" si="306"/>
        <v>U</v>
      </c>
      <c r="Z626" s="3">
        <v>57.5</v>
      </c>
      <c r="AB626" s="256" t="str">
        <f t="shared" si="284"/>
        <v>DAL/POR</v>
      </c>
      <c r="AC626" s="256">
        <f t="shared" si="307"/>
        <v>2</v>
      </c>
      <c r="AD626" s="256">
        <f t="shared" si="308"/>
        <v>2</v>
      </c>
    </row>
    <row r="627" spans="1:30" x14ac:dyDescent="0.3">
      <c r="A627" s="256">
        <v>200119</v>
      </c>
      <c r="B627" s="257">
        <v>0.22916666666666666</v>
      </c>
      <c r="C627" s="256" t="s">
        <v>398</v>
      </c>
      <c r="D627" s="256" t="s">
        <v>415</v>
      </c>
      <c r="E627" s="256">
        <v>35</v>
      </c>
      <c r="F627" s="256">
        <v>45</v>
      </c>
      <c r="G627" s="256">
        <v>30</v>
      </c>
      <c r="H627" s="256">
        <v>20</v>
      </c>
      <c r="I627" s="256"/>
      <c r="J627" s="256">
        <v>33</v>
      </c>
      <c r="K627" s="256">
        <v>39</v>
      </c>
      <c r="L627" s="256">
        <v>30</v>
      </c>
      <c r="M627" s="256">
        <v>31</v>
      </c>
      <c r="N627" s="256"/>
      <c r="O627" s="256">
        <f t="shared" si="297"/>
        <v>130</v>
      </c>
      <c r="P627" s="256">
        <f t="shared" si="298"/>
        <v>133</v>
      </c>
      <c r="Q627" s="256" t="str">
        <f t="shared" si="299"/>
        <v>HW</v>
      </c>
      <c r="R627" s="256" t="str">
        <f t="shared" si="300"/>
        <v>HW</v>
      </c>
      <c r="S627" s="256" t="str">
        <f t="shared" si="301"/>
        <v>TT</v>
      </c>
      <c r="T627" s="256" t="str">
        <f t="shared" si="302"/>
        <v>HL</v>
      </c>
      <c r="U627" s="256" t="str">
        <f t="shared" si="303"/>
        <v>O</v>
      </c>
      <c r="V627" s="256" t="str">
        <f t="shared" si="304"/>
        <v>O</v>
      </c>
      <c r="W627" s="256" t="str">
        <f t="shared" si="305"/>
        <v>O</v>
      </c>
      <c r="X627" s="256" t="str">
        <f t="shared" si="306"/>
        <v>U</v>
      </c>
      <c r="Z627" s="3">
        <v>59</v>
      </c>
      <c r="AB627" s="256" t="str">
        <f t="shared" si="284"/>
        <v>NO/LAC</v>
      </c>
      <c r="AC627" s="256">
        <f t="shared" si="307"/>
        <v>3</v>
      </c>
      <c r="AD627" s="256">
        <f t="shared" si="308"/>
        <v>1</v>
      </c>
    </row>
    <row r="628" spans="1:30" x14ac:dyDescent="0.3">
      <c r="A628" s="256">
        <v>200119</v>
      </c>
      <c r="B628" s="257">
        <v>0.33333333333333331</v>
      </c>
      <c r="C628" s="256" t="s">
        <v>407</v>
      </c>
      <c r="D628" s="256" t="s">
        <v>423</v>
      </c>
      <c r="E628" s="256">
        <v>22</v>
      </c>
      <c r="F628" s="256">
        <v>20</v>
      </c>
      <c r="G628" s="256">
        <v>29</v>
      </c>
      <c r="H628" s="256">
        <v>26</v>
      </c>
      <c r="I628" s="256"/>
      <c r="J628" s="256">
        <v>30</v>
      </c>
      <c r="K628" s="256">
        <v>27</v>
      </c>
      <c r="L628" s="256">
        <v>36</v>
      </c>
      <c r="M628" s="256">
        <v>24</v>
      </c>
      <c r="N628" s="256"/>
      <c r="O628" s="256">
        <f t="shared" si="297"/>
        <v>97</v>
      </c>
      <c r="P628" s="256">
        <f t="shared" si="298"/>
        <v>117</v>
      </c>
      <c r="Q628" s="256" t="str">
        <f t="shared" si="299"/>
        <v>HL</v>
      </c>
      <c r="R628" s="256" t="str">
        <f t="shared" si="300"/>
        <v>HL</v>
      </c>
      <c r="S628" s="256" t="str">
        <f t="shared" si="301"/>
        <v>HL</v>
      </c>
      <c r="T628" s="256" t="str">
        <f t="shared" si="302"/>
        <v>HW</v>
      </c>
      <c r="U628" s="256" t="str">
        <f t="shared" si="303"/>
        <v>U</v>
      </c>
      <c r="V628" s="256" t="str">
        <f t="shared" si="304"/>
        <v>U</v>
      </c>
      <c r="W628" s="256" t="str">
        <f t="shared" si="305"/>
        <v>O</v>
      </c>
      <c r="X628" s="256" t="str">
        <f t="shared" si="306"/>
        <v>U</v>
      </c>
      <c r="Z628" s="3">
        <v>59.5</v>
      </c>
      <c r="AB628" s="256" t="str">
        <f t="shared" si="284"/>
        <v>BKN/MIL</v>
      </c>
      <c r="AC628" s="256">
        <f t="shared" si="307"/>
        <v>1</v>
      </c>
      <c r="AD628" s="256">
        <f t="shared" si="308"/>
        <v>3</v>
      </c>
    </row>
    <row r="629" spans="1:30" x14ac:dyDescent="0.3">
      <c r="A629" s="256">
        <v>200119</v>
      </c>
      <c r="B629" s="257">
        <v>0.375</v>
      </c>
      <c r="C629" s="256" t="s">
        <v>421</v>
      </c>
      <c r="D629" s="256" t="s">
        <v>404</v>
      </c>
      <c r="E629" s="256">
        <v>20</v>
      </c>
      <c r="F629" s="256">
        <v>31</v>
      </c>
      <c r="G629" s="256">
        <v>25</v>
      </c>
      <c r="H629" s="256">
        <v>43</v>
      </c>
      <c r="I629" s="256"/>
      <c r="J629" s="256">
        <v>26</v>
      </c>
      <c r="K629" s="256">
        <v>34</v>
      </c>
      <c r="L629" s="256">
        <v>27</v>
      </c>
      <c r="M629" s="256">
        <v>36</v>
      </c>
      <c r="N629" s="256"/>
      <c r="O629" s="256">
        <f t="shared" si="297"/>
        <v>119</v>
      </c>
      <c r="P629" s="256">
        <f t="shared" si="298"/>
        <v>123</v>
      </c>
      <c r="Q629" s="256" t="str">
        <f t="shared" si="299"/>
        <v>HL</v>
      </c>
      <c r="R629" s="256" t="str">
        <f t="shared" si="300"/>
        <v>HL</v>
      </c>
      <c r="S629" s="256" t="str">
        <f t="shared" si="301"/>
        <v>HL</v>
      </c>
      <c r="T629" s="256" t="str">
        <f t="shared" si="302"/>
        <v>HW</v>
      </c>
      <c r="U629" s="256" t="str">
        <f t="shared" si="303"/>
        <v>U</v>
      </c>
      <c r="V629" s="256" t="str">
        <f t="shared" si="304"/>
        <v>O</v>
      </c>
      <c r="W629" s="256" t="str">
        <f t="shared" si="305"/>
        <v>U</v>
      </c>
      <c r="X629" s="256" t="str">
        <f t="shared" si="306"/>
        <v>O</v>
      </c>
      <c r="Z629" s="3">
        <v>55.5</v>
      </c>
      <c r="AB629" s="256" t="str">
        <f t="shared" si="284"/>
        <v>BOS/PHO</v>
      </c>
      <c r="AC629" s="256">
        <f t="shared" si="307"/>
        <v>2</v>
      </c>
      <c r="AD629" s="256">
        <f t="shared" si="308"/>
        <v>2</v>
      </c>
    </row>
    <row r="630" spans="1:30" x14ac:dyDescent="0.3">
      <c r="A630" s="256">
        <v>200119</v>
      </c>
      <c r="B630" s="257">
        <v>0.39583333333333331</v>
      </c>
      <c r="C630" s="256" t="s">
        <v>410</v>
      </c>
      <c r="D630" s="256" t="s">
        <v>422</v>
      </c>
      <c r="E630" s="256">
        <v>29</v>
      </c>
      <c r="F630" s="256">
        <v>26</v>
      </c>
      <c r="G630" s="256">
        <v>21</v>
      </c>
      <c r="H630" s="256">
        <v>27</v>
      </c>
      <c r="I630" s="256"/>
      <c r="J630" s="256">
        <v>36</v>
      </c>
      <c r="K630" s="256">
        <v>35</v>
      </c>
      <c r="L630" s="256">
        <v>32</v>
      </c>
      <c r="M630" s="256">
        <v>33</v>
      </c>
      <c r="N630" s="256"/>
      <c r="O630" s="256">
        <f t="shared" si="297"/>
        <v>103</v>
      </c>
      <c r="P630" s="256">
        <f t="shared" si="298"/>
        <v>136</v>
      </c>
      <c r="Q630" s="256" t="str">
        <f t="shared" si="299"/>
        <v>HL</v>
      </c>
      <c r="R630" s="256" t="str">
        <f t="shared" si="300"/>
        <v>HL</v>
      </c>
      <c r="S630" s="256" t="str">
        <f t="shared" si="301"/>
        <v>HL</v>
      </c>
      <c r="T630" s="256" t="str">
        <f t="shared" si="302"/>
        <v>HL</v>
      </c>
      <c r="U630" s="256" t="str">
        <f t="shared" si="303"/>
        <v>O</v>
      </c>
      <c r="V630" s="256" t="str">
        <f t="shared" si="304"/>
        <v>O</v>
      </c>
      <c r="W630" s="256" t="str">
        <f t="shared" si="305"/>
        <v>U</v>
      </c>
      <c r="X630" s="256" t="str">
        <f t="shared" si="306"/>
        <v>O</v>
      </c>
      <c r="Z630" s="3">
        <v>57</v>
      </c>
      <c r="AB630" s="256" t="str">
        <f t="shared" si="284"/>
        <v>ATL/DET</v>
      </c>
      <c r="AC630" s="256">
        <f t="shared" si="307"/>
        <v>3</v>
      </c>
      <c r="AD630" s="256">
        <f t="shared" si="308"/>
        <v>1</v>
      </c>
    </row>
    <row r="631" spans="1:30" x14ac:dyDescent="0.3">
      <c r="A631" s="256">
        <v>200119</v>
      </c>
      <c r="B631" s="257">
        <v>0.39583333333333331</v>
      </c>
      <c r="C631" s="256" t="s">
        <v>399</v>
      </c>
      <c r="D631" s="256" t="s">
        <v>401</v>
      </c>
      <c r="E631" s="256">
        <v>25</v>
      </c>
      <c r="F631" s="256">
        <v>21</v>
      </c>
      <c r="G631" s="256">
        <v>23</v>
      </c>
      <c r="H631" s="256">
        <v>18</v>
      </c>
      <c r="I631" s="256"/>
      <c r="J631" s="256">
        <v>28</v>
      </c>
      <c r="K631" s="256">
        <v>24</v>
      </c>
      <c r="L631" s="256">
        <v>18</v>
      </c>
      <c r="M631" s="256">
        <v>20</v>
      </c>
      <c r="N631" s="256"/>
      <c r="O631" s="256">
        <f t="shared" si="297"/>
        <v>87</v>
      </c>
      <c r="P631" s="256">
        <f t="shared" si="298"/>
        <v>90</v>
      </c>
      <c r="Q631" s="256" t="str">
        <f t="shared" si="299"/>
        <v>HL</v>
      </c>
      <c r="R631" s="256" t="str">
        <f t="shared" si="300"/>
        <v>HL</v>
      </c>
      <c r="S631" s="256" t="str">
        <f t="shared" si="301"/>
        <v>HW</v>
      </c>
      <c r="T631" s="256" t="str">
        <f t="shared" si="302"/>
        <v>HL</v>
      </c>
      <c r="U631" s="256" t="str">
        <f t="shared" si="303"/>
        <v>U</v>
      </c>
      <c r="V631" s="256" t="str">
        <f t="shared" si="304"/>
        <v>U</v>
      </c>
      <c r="W631" s="256" t="str">
        <f t="shared" si="305"/>
        <v>U</v>
      </c>
      <c r="X631" s="256" t="str">
        <f t="shared" si="306"/>
        <v>U</v>
      </c>
      <c r="Z631" s="3">
        <v>55</v>
      </c>
      <c r="AB631" s="256" t="str">
        <f t="shared" si="284"/>
        <v>NYK/PHI</v>
      </c>
      <c r="AC631" s="256">
        <f t="shared" si="307"/>
        <v>0</v>
      </c>
      <c r="AD631" s="256">
        <f t="shared" si="308"/>
        <v>4</v>
      </c>
    </row>
    <row r="632" spans="1:30" x14ac:dyDescent="0.3">
      <c r="A632" s="256">
        <v>200119</v>
      </c>
      <c r="B632" s="257">
        <v>0.41666666666666669</v>
      </c>
      <c r="C632" s="256" t="s">
        <v>412</v>
      </c>
      <c r="D632" s="256" t="s">
        <v>402</v>
      </c>
      <c r="E632" s="256">
        <v>31</v>
      </c>
      <c r="F632" s="256">
        <v>25</v>
      </c>
      <c r="G632" s="256">
        <v>31</v>
      </c>
      <c r="H632" s="256">
        <v>31</v>
      </c>
      <c r="I632" s="256"/>
      <c r="J632" s="256">
        <v>33</v>
      </c>
      <c r="K632" s="256">
        <v>40</v>
      </c>
      <c r="L632" s="256">
        <v>29</v>
      </c>
      <c r="M632" s="256">
        <v>14</v>
      </c>
      <c r="N632" s="256"/>
      <c r="O632" s="256">
        <f t="shared" si="297"/>
        <v>118</v>
      </c>
      <c r="P632" s="256">
        <f t="shared" si="298"/>
        <v>116</v>
      </c>
      <c r="Q632" s="256" t="str">
        <f t="shared" si="299"/>
        <v>HL</v>
      </c>
      <c r="R632" s="256" t="str">
        <f t="shared" si="300"/>
        <v>HL</v>
      </c>
      <c r="S632" s="256" t="str">
        <f t="shared" si="301"/>
        <v>HW</v>
      </c>
      <c r="T632" s="256" t="str">
        <f t="shared" si="302"/>
        <v>HW</v>
      </c>
      <c r="U632" s="256" t="str">
        <f t="shared" si="303"/>
        <v>O</v>
      </c>
      <c r="V632" s="256" t="str">
        <f t="shared" si="304"/>
        <v>O</v>
      </c>
      <c r="W632" s="256" t="str">
        <f t="shared" si="305"/>
        <v>O</v>
      </c>
      <c r="X632" s="256" t="str">
        <f t="shared" si="306"/>
        <v>U</v>
      </c>
      <c r="Z632" s="3">
        <v>54</v>
      </c>
      <c r="AB632" s="256" t="str">
        <f t="shared" si="284"/>
        <v>CHI/CLE</v>
      </c>
      <c r="AC632" s="256">
        <f t="shared" si="307"/>
        <v>3</v>
      </c>
      <c r="AD632" s="256">
        <f t="shared" si="308"/>
        <v>1</v>
      </c>
    </row>
    <row r="633" spans="1:30" x14ac:dyDescent="0.3">
      <c r="A633" s="256">
        <v>200119</v>
      </c>
      <c r="B633" s="257">
        <v>0.41666666666666669</v>
      </c>
      <c r="C633" s="256" t="s">
        <v>420</v>
      </c>
      <c r="D633" s="256" t="s">
        <v>413</v>
      </c>
      <c r="E633" s="256">
        <v>39</v>
      </c>
      <c r="F633" s="256">
        <v>23</v>
      </c>
      <c r="G633" s="256">
        <v>22</v>
      </c>
      <c r="H633" s="256">
        <v>28</v>
      </c>
      <c r="I633" s="256"/>
      <c r="J633" s="256">
        <v>32</v>
      </c>
      <c r="K633" s="256">
        <v>26</v>
      </c>
      <c r="L633" s="256">
        <v>31</v>
      </c>
      <c r="M633" s="256">
        <v>33</v>
      </c>
      <c r="N633" s="256"/>
      <c r="O633" s="256">
        <f t="shared" si="297"/>
        <v>112</v>
      </c>
      <c r="P633" s="256">
        <f t="shared" si="298"/>
        <v>122</v>
      </c>
      <c r="Q633" s="256" t="str">
        <f t="shared" si="299"/>
        <v>HW</v>
      </c>
      <c r="R633" s="256" t="str">
        <f t="shared" si="300"/>
        <v>HL</v>
      </c>
      <c r="S633" s="256" t="str">
        <f t="shared" si="301"/>
        <v>HL</v>
      </c>
      <c r="T633" s="256" t="str">
        <f t="shared" si="302"/>
        <v>HL</v>
      </c>
      <c r="U633" s="256" t="str">
        <f t="shared" si="303"/>
        <v>O</v>
      </c>
      <c r="V633" s="256" t="str">
        <f t="shared" si="304"/>
        <v>U</v>
      </c>
      <c r="W633" s="256" t="str">
        <f t="shared" si="305"/>
        <v>U</v>
      </c>
      <c r="X633" s="256" t="str">
        <f t="shared" si="306"/>
        <v>O</v>
      </c>
      <c r="Z633" s="3">
        <v>56.5</v>
      </c>
      <c r="AB633" s="256" t="str">
        <f t="shared" si="284"/>
        <v>MIN/TOR</v>
      </c>
      <c r="AC633" s="256">
        <f t="shared" si="307"/>
        <v>2</v>
      </c>
      <c r="AD633" s="256">
        <f t="shared" si="308"/>
        <v>2</v>
      </c>
    </row>
    <row r="634" spans="1:30" x14ac:dyDescent="0.3">
      <c r="A634" s="256">
        <v>200119</v>
      </c>
      <c r="B634" s="257">
        <v>0.4375</v>
      </c>
      <c r="C634" s="256" t="s">
        <v>425</v>
      </c>
      <c r="D634" s="256" t="s">
        <v>424</v>
      </c>
      <c r="E634" s="256">
        <v>28</v>
      </c>
      <c r="F634" s="256">
        <v>25</v>
      </c>
      <c r="G634" s="256">
        <v>29</v>
      </c>
      <c r="H634" s="256">
        <v>27</v>
      </c>
      <c r="I634" s="256"/>
      <c r="J634" s="256">
        <v>25</v>
      </c>
      <c r="K634" s="256">
        <v>27</v>
      </c>
      <c r="L634" s="256">
        <v>19</v>
      </c>
      <c r="M634" s="256">
        <v>24</v>
      </c>
      <c r="N634" s="256"/>
      <c r="O634" s="256">
        <f t="shared" si="297"/>
        <v>109</v>
      </c>
      <c r="P634" s="256">
        <f t="shared" si="298"/>
        <v>95</v>
      </c>
      <c r="Q634" s="256" t="str">
        <f t="shared" si="299"/>
        <v>HW</v>
      </c>
      <c r="R634" s="256" t="str">
        <f t="shared" si="300"/>
        <v>HL</v>
      </c>
      <c r="S634" s="256" t="str">
        <f t="shared" si="301"/>
        <v>HW</v>
      </c>
      <c r="T634" s="256" t="str">
        <f t="shared" si="302"/>
        <v>HW</v>
      </c>
      <c r="U634" s="256" t="str">
        <f t="shared" si="303"/>
        <v>U</v>
      </c>
      <c r="V634" s="256" t="str">
        <f t="shared" si="304"/>
        <v>U</v>
      </c>
      <c r="W634" s="256" t="str">
        <f t="shared" si="305"/>
        <v>U</v>
      </c>
      <c r="X634" s="256" t="str">
        <f t="shared" si="306"/>
        <v>U</v>
      </c>
      <c r="Z634" s="3">
        <v>54</v>
      </c>
      <c r="AB634" s="256" t="str">
        <f t="shared" si="284"/>
        <v>GS/ORL</v>
      </c>
      <c r="AC634" s="256">
        <f t="shared" si="307"/>
        <v>0</v>
      </c>
      <c r="AD634" s="256">
        <f t="shared" si="308"/>
        <v>4</v>
      </c>
    </row>
    <row r="635" spans="1:30" x14ac:dyDescent="0.3">
      <c r="A635" s="256">
        <v>200119</v>
      </c>
      <c r="B635" s="257">
        <v>0.4375</v>
      </c>
      <c r="C635" s="256" t="s">
        <v>403</v>
      </c>
      <c r="D635" s="256" t="s">
        <v>419</v>
      </c>
      <c r="E635" s="256">
        <v>34</v>
      </c>
      <c r="F635" s="256">
        <v>31</v>
      </c>
      <c r="G635" s="256">
        <v>17</v>
      </c>
      <c r="H635" s="256">
        <v>33</v>
      </c>
      <c r="I635" s="256"/>
      <c r="J635" s="256">
        <v>27</v>
      </c>
      <c r="K635" s="256">
        <v>32</v>
      </c>
      <c r="L635" s="256">
        <v>32</v>
      </c>
      <c r="M635" s="256">
        <v>33</v>
      </c>
      <c r="N635" s="256"/>
      <c r="O635" s="256">
        <f t="shared" si="297"/>
        <v>115</v>
      </c>
      <c r="P635" s="256">
        <f t="shared" si="298"/>
        <v>124</v>
      </c>
      <c r="Q635" s="256" t="str">
        <f t="shared" si="299"/>
        <v>HW</v>
      </c>
      <c r="R635" s="256" t="str">
        <f t="shared" si="300"/>
        <v>HL</v>
      </c>
      <c r="S635" s="256" t="str">
        <f t="shared" si="301"/>
        <v>HL</v>
      </c>
      <c r="T635" s="256" t="str">
        <f t="shared" si="302"/>
        <v>TT</v>
      </c>
      <c r="U635" s="256" t="str">
        <f t="shared" si="303"/>
        <v>O</v>
      </c>
      <c r="V635" s="256" t="str">
        <f t="shared" si="304"/>
        <v>O</v>
      </c>
      <c r="W635" s="256" t="str">
        <f t="shared" si="305"/>
        <v>U</v>
      </c>
      <c r="X635" s="256" t="str">
        <f t="shared" si="306"/>
        <v>O</v>
      </c>
      <c r="Z635" s="3">
        <v>59.5</v>
      </c>
      <c r="AB635" s="256" t="str">
        <f t="shared" si="284"/>
        <v>HOU/LAL</v>
      </c>
      <c r="AC635" s="256">
        <f t="shared" si="307"/>
        <v>3</v>
      </c>
      <c r="AD635" s="256">
        <f t="shared" si="308"/>
        <v>1</v>
      </c>
    </row>
    <row r="636" spans="1:30" x14ac:dyDescent="0.3">
      <c r="A636" s="256">
        <v>200119</v>
      </c>
      <c r="B636" s="257">
        <v>0.45833333333333331</v>
      </c>
      <c r="C636" s="256" t="s">
        <v>418</v>
      </c>
      <c r="D636" s="256" t="s">
        <v>417</v>
      </c>
      <c r="E636" s="256">
        <v>32</v>
      </c>
      <c r="F636" s="256">
        <v>32</v>
      </c>
      <c r="G636" s="256">
        <v>23</v>
      </c>
      <c r="H636" s="256">
        <v>32</v>
      </c>
      <c r="I636" s="256"/>
      <c r="J636" s="256">
        <v>24</v>
      </c>
      <c r="K636" s="256">
        <v>33</v>
      </c>
      <c r="L636" s="256">
        <v>20</v>
      </c>
      <c r="M636" s="256">
        <v>29</v>
      </c>
      <c r="N636" s="256"/>
      <c r="O636" s="256">
        <f t="shared" si="297"/>
        <v>119</v>
      </c>
      <c r="P636" s="256">
        <f t="shared" si="298"/>
        <v>106</v>
      </c>
      <c r="Q636" s="256" t="str">
        <f t="shared" si="299"/>
        <v>HW</v>
      </c>
      <c r="R636" s="256" t="str">
        <f t="shared" si="300"/>
        <v>HL</v>
      </c>
      <c r="S636" s="256" t="str">
        <f t="shared" si="301"/>
        <v>HW</v>
      </c>
      <c r="T636" s="256" t="str">
        <f t="shared" si="302"/>
        <v>HW</v>
      </c>
      <c r="U636" s="256" t="str">
        <f t="shared" si="303"/>
        <v>O</v>
      </c>
      <c r="V636" s="256" t="str">
        <f t="shared" si="304"/>
        <v>O</v>
      </c>
      <c r="W636" s="256" t="str">
        <f t="shared" si="305"/>
        <v>U</v>
      </c>
      <c r="X636" s="256" t="str">
        <f t="shared" si="306"/>
        <v>O</v>
      </c>
      <c r="Z636" s="3">
        <v>54</v>
      </c>
      <c r="AB636" s="256" t="str">
        <f t="shared" si="284"/>
        <v>OKC/POR</v>
      </c>
      <c r="AC636" s="256">
        <f t="shared" si="307"/>
        <v>3</v>
      </c>
      <c r="AD636" s="256">
        <f t="shared" si="308"/>
        <v>1</v>
      </c>
    </row>
    <row r="637" spans="1:30" x14ac:dyDescent="0.3">
      <c r="A637" s="256">
        <v>200119</v>
      </c>
      <c r="B637" s="257">
        <v>0.45833333333333331</v>
      </c>
      <c r="C637" s="256" t="s">
        <v>405</v>
      </c>
      <c r="D637" s="256" t="s">
        <v>416</v>
      </c>
      <c r="E637" s="256">
        <v>38</v>
      </c>
      <c r="F637" s="256">
        <v>25</v>
      </c>
      <c r="G637" s="256">
        <v>32</v>
      </c>
      <c r="H637" s="256">
        <v>28</v>
      </c>
      <c r="I637" s="256"/>
      <c r="J637" s="256">
        <v>22</v>
      </c>
      <c r="K637" s="256">
        <v>27</v>
      </c>
      <c r="L637" s="256">
        <v>28</v>
      </c>
      <c r="M637" s="256">
        <v>24</v>
      </c>
      <c r="N637" s="256"/>
      <c r="O637" s="256">
        <f t="shared" si="297"/>
        <v>123</v>
      </c>
      <c r="P637" s="256">
        <f t="shared" si="298"/>
        <v>101</v>
      </c>
      <c r="Q637" s="256" t="str">
        <f t="shared" si="299"/>
        <v>HW</v>
      </c>
      <c r="R637" s="256" t="str">
        <f t="shared" si="300"/>
        <v>HL</v>
      </c>
      <c r="S637" s="256" t="str">
        <f t="shared" si="301"/>
        <v>HW</v>
      </c>
      <c r="T637" s="256" t="str">
        <f t="shared" si="302"/>
        <v>HW</v>
      </c>
      <c r="U637" s="256" t="str">
        <f t="shared" si="303"/>
        <v>O</v>
      </c>
      <c r="V637" s="256" t="str">
        <f t="shared" si="304"/>
        <v>U</v>
      </c>
      <c r="W637" s="256" t="str">
        <f t="shared" si="305"/>
        <v>O</v>
      </c>
      <c r="X637" s="256" t="str">
        <f t="shared" si="306"/>
        <v>U</v>
      </c>
      <c r="Z637" s="3">
        <v>56</v>
      </c>
      <c r="AB637" s="256" t="str">
        <f t="shared" si="284"/>
        <v>UTA/SAC</v>
      </c>
      <c r="AC637" s="256">
        <f t="shared" si="307"/>
        <v>2</v>
      </c>
      <c r="AD637" s="256">
        <f t="shared" si="308"/>
        <v>2</v>
      </c>
    </row>
    <row r="638" spans="1:30" x14ac:dyDescent="0.3">
      <c r="A638" s="256">
        <v>200120</v>
      </c>
      <c r="B638" s="257">
        <v>0.20833333333333334</v>
      </c>
      <c r="C638" s="256" t="s">
        <v>426</v>
      </c>
      <c r="D638" s="256" t="s">
        <v>411</v>
      </c>
      <c r="E638" s="256">
        <v>28</v>
      </c>
      <c r="F638" s="256">
        <v>32</v>
      </c>
      <c r="G638" s="256">
        <v>26</v>
      </c>
      <c r="H638" s="256">
        <v>21</v>
      </c>
      <c r="I638" s="256"/>
      <c r="J638" s="256">
        <v>31</v>
      </c>
      <c r="K638" s="256">
        <v>23</v>
      </c>
      <c r="L638" s="256">
        <v>30</v>
      </c>
      <c r="M638" s="256">
        <v>18</v>
      </c>
      <c r="N638" s="256"/>
      <c r="O638" s="256">
        <f t="shared" si="297"/>
        <v>107</v>
      </c>
      <c r="P638" s="256">
        <f t="shared" si="298"/>
        <v>102</v>
      </c>
      <c r="Q638" s="256" t="str">
        <f t="shared" si="299"/>
        <v>HL</v>
      </c>
      <c r="R638" s="256" t="str">
        <f t="shared" si="300"/>
        <v>HW</v>
      </c>
      <c r="S638" s="256" t="str">
        <f t="shared" si="301"/>
        <v>HL</v>
      </c>
      <c r="T638" s="256" t="str">
        <f t="shared" si="302"/>
        <v>HW</v>
      </c>
      <c r="U638" s="256" t="str">
        <f t="shared" si="303"/>
        <v>O</v>
      </c>
      <c r="V638" s="256" t="str">
        <f t="shared" si="304"/>
        <v>U</v>
      </c>
      <c r="W638" s="256" t="str">
        <f t="shared" si="305"/>
        <v>T</v>
      </c>
      <c r="X638" s="256" t="str">
        <f t="shared" si="306"/>
        <v>U</v>
      </c>
      <c r="Z638" s="3">
        <v>56</v>
      </c>
      <c r="AB638" s="256" t="str">
        <f t="shared" si="284"/>
        <v>SAS/MIA</v>
      </c>
      <c r="AC638" s="256">
        <f t="shared" si="307"/>
        <v>1</v>
      </c>
      <c r="AD638" s="256">
        <f t="shared" si="308"/>
        <v>2</v>
      </c>
    </row>
    <row r="639" spans="1:30" x14ac:dyDescent="0.3">
      <c r="A639" s="256">
        <v>200120</v>
      </c>
      <c r="B639" s="257">
        <v>0.41666666666666669</v>
      </c>
      <c r="C639" s="256" t="s">
        <v>408</v>
      </c>
      <c r="D639" s="256" t="s">
        <v>400</v>
      </c>
      <c r="E639" s="256">
        <v>21</v>
      </c>
      <c r="F639" s="256">
        <v>29</v>
      </c>
      <c r="G639" s="256">
        <v>31</v>
      </c>
      <c r="H639" s="256">
        <v>26</v>
      </c>
      <c r="I639" s="256"/>
      <c r="J639" s="256">
        <v>15</v>
      </c>
      <c r="K639" s="256">
        <v>29</v>
      </c>
      <c r="L639" s="256">
        <v>30</v>
      </c>
      <c r="M639" s="256">
        <v>41</v>
      </c>
      <c r="N639" s="256"/>
      <c r="O639" s="256">
        <f t="shared" si="297"/>
        <v>107</v>
      </c>
      <c r="P639" s="256">
        <f t="shared" si="298"/>
        <v>115</v>
      </c>
      <c r="Q639" s="256" t="str">
        <f t="shared" si="299"/>
        <v>HW</v>
      </c>
      <c r="R639" s="256" t="str">
        <f t="shared" si="300"/>
        <v>TT</v>
      </c>
      <c r="S639" s="256" t="str">
        <f t="shared" si="301"/>
        <v>HW</v>
      </c>
      <c r="T639" s="256" t="str">
        <f t="shared" si="302"/>
        <v>HL</v>
      </c>
      <c r="U639" s="256" t="str">
        <f t="shared" si="303"/>
        <v>U</v>
      </c>
      <c r="V639" s="256" t="str">
        <f t="shared" si="304"/>
        <v>O</v>
      </c>
      <c r="W639" s="256" t="str">
        <f t="shared" si="305"/>
        <v>O</v>
      </c>
      <c r="X639" s="256" t="str">
        <f t="shared" si="306"/>
        <v>O</v>
      </c>
      <c r="Z639" s="3">
        <v>53.5</v>
      </c>
      <c r="AB639" s="256" t="str">
        <f t="shared" si="284"/>
        <v>DEN/IND</v>
      </c>
      <c r="AC639" s="256">
        <f t="shared" si="307"/>
        <v>3</v>
      </c>
      <c r="AD639" s="256">
        <f t="shared" si="308"/>
        <v>1</v>
      </c>
    </row>
    <row r="640" spans="1:30" x14ac:dyDescent="0.3">
      <c r="A640" s="256">
        <v>200121</v>
      </c>
      <c r="B640" s="257">
        <v>0.16666666666666666</v>
      </c>
      <c r="C640" s="256" t="s">
        <v>414</v>
      </c>
      <c r="D640" s="256" t="s">
        <v>422</v>
      </c>
      <c r="E640" s="256">
        <v>30</v>
      </c>
      <c r="F640" s="256">
        <v>30</v>
      </c>
      <c r="G640" s="256">
        <v>23</v>
      </c>
      <c r="H640" s="256">
        <v>23</v>
      </c>
      <c r="I640" s="256"/>
      <c r="J640" s="256">
        <v>35</v>
      </c>
      <c r="K640" s="256">
        <v>23</v>
      </c>
      <c r="L640" s="256">
        <v>23</v>
      </c>
      <c r="M640" s="256">
        <v>19</v>
      </c>
      <c r="N640" s="256" t="s">
        <v>427</v>
      </c>
      <c r="O640" s="256">
        <f t="shared" si="297"/>
        <v>106</v>
      </c>
      <c r="P640" s="256">
        <f t="shared" si="298"/>
        <v>100</v>
      </c>
      <c r="Q640" s="256" t="str">
        <f t="shared" si="299"/>
        <v>HL</v>
      </c>
      <c r="R640" s="256" t="str">
        <f t="shared" si="300"/>
        <v>HW</v>
      </c>
      <c r="S640" s="256" t="str">
        <f t="shared" si="301"/>
        <v>TT</v>
      </c>
      <c r="T640" s="256" t="str">
        <f t="shared" si="302"/>
        <v>HW</v>
      </c>
      <c r="U640" s="256" t="str">
        <f t="shared" si="303"/>
        <v>O</v>
      </c>
      <c r="V640" s="256" t="str">
        <f t="shared" si="304"/>
        <v>U</v>
      </c>
      <c r="W640" s="256" t="str">
        <f t="shared" si="305"/>
        <v>U</v>
      </c>
      <c r="X640" s="256" t="str">
        <f t="shared" si="306"/>
        <v>U</v>
      </c>
      <c r="Z640" s="3">
        <v>58.5</v>
      </c>
      <c r="AB640" s="256" t="str">
        <f t="shared" si="284"/>
        <v>WAS/DET</v>
      </c>
      <c r="AC640" s="256">
        <f t="shared" si="307"/>
        <v>1</v>
      </c>
      <c r="AD640" s="256">
        <f t="shared" si="308"/>
        <v>3</v>
      </c>
    </row>
    <row r="641" spans="1:30" x14ac:dyDescent="0.3">
      <c r="A641" s="256">
        <v>200121</v>
      </c>
      <c r="B641" s="257">
        <v>0.1875</v>
      </c>
      <c r="C641" s="256" t="s">
        <v>410</v>
      </c>
      <c r="D641" s="256" t="s">
        <v>413</v>
      </c>
      <c r="E641" s="256">
        <v>25</v>
      </c>
      <c r="F641" s="256">
        <v>35</v>
      </c>
      <c r="G641" s="256">
        <v>22</v>
      </c>
      <c r="H641" s="256">
        <v>35</v>
      </c>
      <c r="I641" s="256"/>
      <c r="J641" s="256">
        <v>36</v>
      </c>
      <c r="K641" s="256">
        <v>21</v>
      </c>
      <c r="L641" s="256">
        <v>26</v>
      </c>
      <c r="M641" s="256">
        <v>39</v>
      </c>
      <c r="N641" s="256"/>
      <c r="O641" s="256">
        <f t="shared" si="297"/>
        <v>117</v>
      </c>
      <c r="P641" s="256">
        <f t="shared" si="298"/>
        <v>122</v>
      </c>
      <c r="Q641" s="256" t="str">
        <f t="shared" si="299"/>
        <v>HL</v>
      </c>
      <c r="R641" s="256" t="str">
        <f t="shared" si="300"/>
        <v>HW</v>
      </c>
      <c r="S641" s="256" t="str">
        <f t="shared" si="301"/>
        <v>HL</v>
      </c>
      <c r="T641" s="256" t="str">
        <f t="shared" si="302"/>
        <v>HL</v>
      </c>
      <c r="U641" s="256" t="str">
        <f t="shared" si="303"/>
        <v>O</v>
      </c>
      <c r="V641" s="256" t="str">
        <f t="shared" si="304"/>
        <v>U</v>
      </c>
      <c r="W641" s="256" t="str">
        <f t="shared" si="305"/>
        <v>U</v>
      </c>
      <c r="X641" s="256" t="str">
        <f t="shared" si="306"/>
        <v>O</v>
      </c>
      <c r="Z641" s="3">
        <v>58</v>
      </c>
      <c r="AB641" s="256" t="str">
        <f t="shared" si="284"/>
        <v>ATL/TOR</v>
      </c>
      <c r="AC641" s="256">
        <f t="shared" si="307"/>
        <v>2</v>
      </c>
      <c r="AD641" s="256">
        <f t="shared" si="308"/>
        <v>2</v>
      </c>
    </row>
    <row r="642" spans="1:30" x14ac:dyDescent="0.3">
      <c r="A642" s="256">
        <v>200121</v>
      </c>
      <c r="B642" s="257">
        <v>0.20833333333333334</v>
      </c>
      <c r="C642" s="256" t="s">
        <v>407</v>
      </c>
      <c r="D642" s="256" t="s">
        <v>401</v>
      </c>
      <c r="E642" s="256">
        <v>32</v>
      </c>
      <c r="F642" s="256">
        <v>36</v>
      </c>
      <c r="G642" s="256">
        <v>23</v>
      </c>
      <c r="H642" s="256">
        <v>20</v>
      </c>
      <c r="I642" s="256"/>
      <c r="J642" s="256">
        <v>29</v>
      </c>
      <c r="K642" s="256">
        <v>35</v>
      </c>
      <c r="L642" s="256">
        <v>26</v>
      </c>
      <c r="M642" s="256">
        <v>27</v>
      </c>
      <c r="N642" s="256"/>
      <c r="O642" s="256">
        <f t="shared" si="297"/>
        <v>111</v>
      </c>
      <c r="P642" s="256">
        <f t="shared" si="298"/>
        <v>117</v>
      </c>
      <c r="Q642" s="256" t="str">
        <f t="shared" si="299"/>
        <v>HW</v>
      </c>
      <c r="R642" s="256" t="str">
        <f t="shared" si="300"/>
        <v>HW</v>
      </c>
      <c r="S642" s="256" t="str">
        <f t="shared" si="301"/>
        <v>HL</v>
      </c>
      <c r="T642" s="256" t="str">
        <f t="shared" si="302"/>
        <v>HL</v>
      </c>
      <c r="U642" s="256" t="str">
        <f t="shared" si="303"/>
        <v>O</v>
      </c>
      <c r="V642" s="256" t="str">
        <f t="shared" si="304"/>
        <v>O</v>
      </c>
      <c r="W642" s="256" t="str">
        <f t="shared" si="305"/>
        <v>U</v>
      </c>
      <c r="X642" s="256" t="str">
        <f t="shared" si="306"/>
        <v>U</v>
      </c>
      <c r="Z642" s="3">
        <v>55</v>
      </c>
      <c r="AB642" s="256" t="str">
        <f t="shared" si="284"/>
        <v>BKN/PHI</v>
      </c>
      <c r="AC642" s="256">
        <f t="shared" si="307"/>
        <v>2</v>
      </c>
      <c r="AD642" s="256">
        <f t="shared" si="308"/>
        <v>2</v>
      </c>
    </row>
    <row r="643" spans="1:30" x14ac:dyDescent="0.3">
      <c r="A643" s="256">
        <v>200121</v>
      </c>
      <c r="B643" s="257">
        <v>0.29166666666666669</v>
      </c>
      <c r="C643" s="256" t="s">
        <v>402</v>
      </c>
      <c r="D643" s="256" t="s">
        <v>399</v>
      </c>
      <c r="E643" s="256">
        <v>26</v>
      </c>
      <c r="F643" s="256">
        <v>24</v>
      </c>
      <c r="G643" s="256">
        <v>14</v>
      </c>
      <c r="H643" s="256">
        <v>22</v>
      </c>
      <c r="I643" s="256"/>
      <c r="J643" s="256">
        <v>26</v>
      </c>
      <c r="K643" s="256">
        <v>23</v>
      </c>
      <c r="L643" s="256">
        <v>30</v>
      </c>
      <c r="M643" s="256">
        <v>27</v>
      </c>
      <c r="N643" s="256" t="s">
        <v>427</v>
      </c>
      <c r="O643" s="256">
        <f t="shared" si="297"/>
        <v>86</v>
      </c>
      <c r="P643" s="256">
        <f t="shared" si="298"/>
        <v>106</v>
      </c>
      <c r="Q643" s="256" t="str">
        <f t="shared" si="299"/>
        <v>TT</v>
      </c>
      <c r="R643" s="256" t="str">
        <f t="shared" si="300"/>
        <v>HW</v>
      </c>
      <c r="S643" s="256" t="str">
        <f t="shared" si="301"/>
        <v>HL</v>
      </c>
      <c r="T643" s="256" t="str">
        <f t="shared" si="302"/>
        <v>HL</v>
      </c>
      <c r="U643" s="256" t="str">
        <f t="shared" si="303"/>
        <v>U</v>
      </c>
      <c r="V643" s="256" t="str">
        <f t="shared" si="304"/>
        <v>U</v>
      </c>
      <c r="W643" s="256" t="str">
        <f t="shared" si="305"/>
        <v>U</v>
      </c>
      <c r="X643" s="256" t="str">
        <f t="shared" si="306"/>
        <v>U</v>
      </c>
      <c r="Z643" s="3">
        <v>56</v>
      </c>
      <c r="AB643" s="256" t="str">
        <f t="shared" si="284"/>
        <v>CLE/NYK</v>
      </c>
      <c r="AC643" s="256">
        <f t="shared" si="307"/>
        <v>0</v>
      </c>
      <c r="AD643" s="256">
        <f t="shared" si="308"/>
        <v>4</v>
      </c>
    </row>
    <row r="644" spans="1:30" x14ac:dyDescent="0.3">
      <c r="A644" s="256">
        <v>200121</v>
      </c>
      <c r="B644" s="257">
        <v>0.29166666666666669</v>
      </c>
      <c r="C644" s="256" t="s">
        <v>403</v>
      </c>
      <c r="D644" s="256" t="s">
        <v>418</v>
      </c>
      <c r="E644" s="256">
        <v>25</v>
      </c>
      <c r="F644" s="256">
        <v>39</v>
      </c>
      <c r="G644" s="256">
        <v>23</v>
      </c>
      <c r="H644" s="256">
        <v>20</v>
      </c>
      <c r="I644" s="256"/>
      <c r="J644" s="256">
        <v>22</v>
      </c>
      <c r="K644" s="256">
        <v>35</v>
      </c>
      <c r="L644" s="256">
        <v>14</v>
      </c>
      <c r="M644" s="256">
        <v>41</v>
      </c>
      <c r="N644" s="256" t="s">
        <v>427</v>
      </c>
      <c r="O644" s="256">
        <f t="shared" si="297"/>
        <v>107</v>
      </c>
      <c r="P644" s="256">
        <f t="shared" si="298"/>
        <v>112</v>
      </c>
      <c r="Q644" s="256" t="str">
        <f t="shared" si="299"/>
        <v>HW</v>
      </c>
      <c r="R644" s="256" t="str">
        <f t="shared" si="300"/>
        <v>HW</v>
      </c>
      <c r="S644" s="256" t="str">
        <f t="shared" si="301"/>
        <v>HW</v>
      </c>
      <c r="T644" s="256" t="str">
        <f t="shared" si="302"/>
        <v>HL</v>
      </c>
      <c r="U644" s="256" t="str">
        <f t="shared" si="303"/>
        <v>U</v>
      </c>
      <c r="V644" s="256" t="str">
        <f t="shared" si="304"/>
        <v>O</v>
      </c>
      <c r="W644" s="256" t="str">
        <f t="shared" si="305"/>
        <v>U</v>
      </c>
      <c r="X644" s="256" t="str">
        <f t="shared" si="306"/>
        <v>O</v>
      </c>
      <c r="Z644" s="3">
        <v>58</v>
      </c>
      <c r="AB644" s="256" t="str">
        <f t="shared" si="284"/>
        <v>HOU/OKC</v>
      </c>
      <c r="AC644" s="256">
        <f t="shared" si="307"/>
        <v>2</v>
      </c>
      <c r="AD644" s="256">
        <f t="shared" si="308"/>
        <v>2</v>
      </c>
    </row>
    <row r="645" spans="1:30" x14ac:dyDescent="0.3">
      <c r="A645" s="256">
        <v>200121</v>
      </c>
      <c r="B645" s="257">
        <v>0.29166666666666669</v>
      </c>
      <c r="C645" s="256" t="s">
        <v>411</v>
      </c>
      <c r="D645" s="256" t="s">
        <v>416</v>
      </c>
      <c r="E645" s="256">
        <v>21</v>
      </c>
      <c r="F645" s="256">
        <v>35</v>
      </c>
      <c r="G645" s="256">
        <v>20</v>
      </c>
      <c r="H645" s="256">
        <v>29</v>
      </c>
      <c r="I645" s="256">
        <v>13</v>
      </c>
      <c r="J645" s="256">
        <v>24</v>
      </c>
      <c r="K645" s="256">
        <v>34</v>
      </c>
      <c r="L645" s="256">
        <v>20</v>
      </c>
      <c r="M645" s="256">
        <v>27</v>
      </c>
      <c r="N645" s="256">
        <v>8</v>
      </c>
      <c r="O645" s="256">
        <f t="shared" si="297"/>
        <v>118</v>
      </c>
      <c r="P645" s="256">
        <f t="shared" si="298"/>
        <v>113</v>
      </c>
      <c r="Q645" s="256" t="str">
        <f t="shared" si="299"/>
        <v>HL</v>
      </c>
      <c r="R645" s="256" t="str">
        <f t="shared" si="300"/>
        <v>HW</v>
      </c>
      <c r="S645" s="256" t="str">
        <f t="shared" si="301"/>
        <v>TT</v>
      </c>
      <c r="T645" s="256" t="str">
        <f t="shared" si="302"/>
        <v>HW</v>
      </c>
      <c r="U645" s="256" t="str">
        <f t="shared" si="303"/>
        <v>U</v>
      </c>
      <c r="V645" s="256" t="str">
        <f t="shared" si="304"/>
        <v>O</v>
      </c>
      <c r="W645" s="256" t="str">
        <f t="shared" si="305"/>
        <v>U</v>
      </c>
      <c r="X645" s="256" t="str">
        <f t="shared" si="306"/>
        <v>O</v>
      </c>
      <c r="Z645" s="3">
        <v>55.5</v>
      </c>
      <c r="AB645" s="256" t="str">
        <f t="shared" si="284"/>
        <v>MIA/SAC</v>
      </c>
      <c r="AC645" s="256">
        <f t="shared" si="307"/>
        <v>2</v>
      </c>
      <c r="AD645" s="256">
        <f t="shared" si="308"/>
        <v>2</v>
      </c>
    </row>
    <row r="646" spans="1:30" x14ac:dyDescent="0.3">
      <c r="A646" s="256">
        <v>200121</v>
      </c>
      <c r="B646" s="257">
        <v>0.29166666666666669</v>
      </c>
      <c r="C646" s="256" t="s">
        <v>423</v>
      </c>
      <c r="D646" s="256" t="s">
        <v>412</v>
      </c>
      <c r="E646" s="256">
        <v>30</v>
      </c>
      <c r="F646" s="256">
        <v>23</v>
      </c>
      <c r="G646" s="256">
        <v>31</v>
      </c>
      <c r="H646" s="256">
        <v>27</v>
      </c>
      <c r="I646" s="256"/>
      <c r="J646" s="256">
        <v>23</v>
      </c>
      <c r="K646" s="256">
        <v>29</v>
      </c>
      <c r="L646" s="256">
        <v>25</v>
      </c>
      <c r="M646" s="256">
        <v>21</v>
      </c>
      <c r="N646" s="256" t="s">
        <v>427</v>
      </c>
      <c r="O646" s="256">
        <f t="shared" si="297"/>
        <v>111</v>
      </c>
      <c r="P646" s="256">
        <f t="shared" si="298"/>
        <v>98</v>
      </c>
      <c r="Q646" s="256" t="str">
        <f t="shared" si="299"/>
        <v>HW</v>
      </c>
      <c r="R646" s="256" t="str">
        <f t="shared" si="300"/>
        <v>HL</v>
      </c>
      <c r="S646" s="256" t="str">
        <f t="shared" si="301"/>
        <v>HW</v>
      </c>
      <c r="T646" s="256" t="str">
        <f t="shared" si="302"/>
        <v>HW</v>
      </c>
      <c r="U646" s="256" t="str">
        <f t="shared" si="303"/>
        <v>U</v>
      </c>
      <c r="V646" s="256" t="str">
        <f t="shared" si="304"/>
        <v>U</v>
      </c>
      <c r="W646" s="256" t="str">
        <f t="shared" si="305"/>
        <v>U</v>
      </c>
      <c r="X646" s="256" t="str">
        <f t="shared" si="306"/>
        <v>U</v>
      </c>
      <c r="Z646" s="3">
        <v>56.5</v>
      </c>
      <c r="AB646" s="256" t="str">
        <f t="shared" si="284"/>
        <v>MIL/CHI</v>
      </c>
      <c r="AC646" s="256">
        <f t="shared" si="307"/>
        <v>0</v>
      </c>
      <c r="AD646" s="256">
        <f t="shared" si="308"/>
        <v>4</v>
      </c>
    </row>
    <row r="647" spans="1:30" x14ac:dyDescent="0.3">
      <c r="A647" s="256">
        <v>200121</v>
      </c>
      <c r="B647" s="257">
        <v>0.29166666666666669</v>
      </c>
      <c r="C647" s="256" t="s">
        <v>406</v>
      </c>
      <c r="D647" s="256" t="s">
        <v>398</v>
      </c>
      <c r="E647" s="256">
        <v>30</v>
      </c>
      <c r="F647" s="256">
        <v>20</v>
      </c>
      <c r="G647" s="256">
        <v>27</v>
      </c>
      <c r="H647" s="256">
        <v>39</v>
      </c>
      <c r="I647" s="256"/>
      <c r="J647" s="256">
        <v>31</v>
      </c>
      <c r="K647" s="256">
        <v>38</v>
      </c>
      <c r="L647" s="256">
        <v>29</v>
      </c>
      <c r="M647" s="256">
        <v>28</v>
      </c>
      <c r="N647" s="256" t="s">
        <v>427</v>
      </c>
      <c r="O647" s="256">
        <f t="shared" si="297"/>
        <v>116</v>
      </c>
      <c r="P647" s="256">
        <f t="shared" si="298"/>
        <v>126</v>
      </c>
      <c r="Q647" s="256" t="str">
        <f t="shared" si="299"/>
        <v>HL</v>
      </c>
      <c r="R647" s="256" t="str">
        <f t="shared" si="300"/>
        <v>HL</v>
      </c>
      <c r="S647" s="256" t="str">
        <f t="shared" si="301"/>
        <v>HL</v>
      </c>
      <c r="T647" s="256" t="str">
        <f t="shared" si="302"/>
        <v>HW</v>
      </c>
      <c r="U647" s="256" t="str">
        <f t="shared" si="303"/>
        <v>T</v>
      </c>
      <c r="V647" s="256" t="str">
        <f t="shared" si="304"/>
        <v>U</v>
      </c>
      <c r="W647" s="256" t="str">
        <f t="shared" si="305"/>
        <v>U</v>
      </c>
      <c r="X647" s="256" t="str">
        <f t="shared" si="306"/>
        <v>O</v>
      </c>
      <c r="Z647" s="3">
        <v>61</v>
      </c>
      <c r="AB647" s="256" t="str">
        <f t="shared" si="284"/>
        <v>MEM/NO</v>
      </c>
      <c r="AC647" s="256">
        <f t="shared" si="307"/>
        <v>1</v>
      </c>
      <c r="AD647" s="256">
        <f t="shared" si="308"/>
        <v>2</v>
      </c>
    </row>
    <row r="648" spans="1:30" x14ac:dyDescent="0.3">
      <c r="A648" s="256">
        <v>200121</v>
      </c>
      <c r="B648" s="257">
        <v>0.29166666666666669</v>
      </c>
      <c r="C648" s="256" t="s">
        <v>409</v>
      </c>
      <c r="D648" s="256" t="s">
        <v>424</v>
      </c>
      <c r="E648" s="256">
        <v>27</v>
      </c>
      <c r="F648" s="256">
        <v>18</v>
      </c>
      <c r="G648" s="256">
        <v>20</v>
      </c>
      <c r="H648" s="256">
        <v>18</v>
      </c>
      <c r="I648" s="256"/>
      <c r="J648" s="256">
        <v>19</v>
      </c>
      <c r="K648" s="256">
        <v>32</v>
      </c>
      <c r="L648" s="256">
        <v>21</v>
      </c>
      <c r="M648" s="256">
        <v>34</v>
      </c>
      <c r="N648" s="256"/>
      <c r="O648" s="256">
        <f t="shared" si="297"/>
        <v>83</v>
      </c>
      <c r="P648" s="256">
        <f t="shared" si="298"/>
        <v>106</v>
      </c>
      <c r="Q648" s="256" t="str">
        <f t="shared" si="299"/>
        <v>HW</v>
      </c>
      <c r="R648" s="256" t="str">
        <f t="shared" si="300"/>
        <v>HL</v>
      </c>
      <c r="S648" s="256" t="str">
        <f t="shared" si="301"/>
        <v>HL</v>
      </c>
      <c r="T648" s="256" t="str">
        <f t="shared" si="302"/>
        <v>HL</v>
      </c>
      <c r="U648" s="256" t="str">
        <f t="shared" si="303"/>
        <v>U</v>
      </c>
      <c r="V648" s="256" t="str">
        <f t="shared" si="304"/>
        <v>U</v>
      </c>
      <c r="W648" s="256" t="str">
        <f t="shared" si="305"/>
        <v>U</v>
      </c>
      <c r="X648" s="256" t="str">
        <f t="shared" si="306"/>
        <v>T</v>
      </c>
      <c r="Z648" s="3">
        <v>52</v>
      </c>
      <c r="AB648" s="256" t="str">
        <f t="shared" si="284"/>
        <v>CHA/ORL</v>
      </c>
      <c r="AC648" s="256">
        <f t="shared" si="307"/>
        <v>0</v>
      </c>
      <c r="AD648" s="256">
        <f t="shared" si="308"/>
        <v>3</v>
      </c>
    </row>
    <row r="649" spans="1:30" x14ac:dyDescent="0.3">
      <c r="A649" s="256">
        <v>200121</v>
      </c>
      <c r="B649" s="257">
        <v>0.39583333333333331</v>
      </c>
      <c r="C649" s="256" t="s">
        <v>421</v>
      </c>
      <c r="D649" s="256" t="s">
        <v>419</v>
      </c>
      <c r="E649" s="256">
        <v>33</v>
      </c>
      <c r="F649" s="256">
        <v>36</v>
      </c>
      <c r="G649" s="256">
        <v>35</v>
      </c>
      <c r="H649" s="256">
        <v>35</v>
      </c>
      <c r="I649" s="256"/>
      <c r="J649" s="256">
        <v>30</v>
      </c>
      <c r="K649" s="256">
        <v>25</v>
      </c>
      <c r="L649" s="256">
        <v>25</v>
      </c>
      <c r="M649" s="256">
        <v>27</v>
      </c>
      <c r="N649" s="256"/>
      <c r="O649" s="256">
        <f t="shared" si="297"/>
        <v>139</v>
      </c>
      <c r="P649" s="256">
        <f t="shared" si="298"/>
        <v>107</v>
      </c>
      <c r="Q649" s="256" t="str">
        <f t="shared" si="299"/>
        <v>HW</v>
      </c>
      <c r="R649" s="256" t="str">
        <f t="shared" si="300"/>
        <v>HW</v>
      </c>
      <c r="S649" s="256" t="str">
        <f t="shared" si="301"/>
        <v>HW</v>
      </c>
      <c r="T649" s="256" t="str">
        <f t="shared" si="302"/>
        <v>HW</v>
      </c>
      <c r="U649" s="256" t="str">
        <f t="shared" si="303"/>
        <v>O</v>
      </c>
      <c r="V649" s="256" t="str">
        <f t="shared" si="304"/>
        <v>O</v>
      </c>
      <c r="W649" s="256" t="str">
        <f t="shared" si="305"/>
        <v>O</v>
      </c>
      <c r="X649" s="256" t="str">
        <f t="shared" si="306"/>
        <v>O</v>
      </c>
      <c r="Z649" s="3">
        <v>57</v>
      </c>
      <c r="AB649" s="256" t="str">
        <f t="shared" si="284"/>
        <v>BOS/LAL</v>
      </c>
      <c r="AC649" s="256">
        <f t="shared" si="307"/>
        <v>4</v>
      </c>
      <c r="AD649" s="256">
        <f t="shared" si="308"/>
        <v>0</v>
      </c>
    </row>
    <row r="650" spans="1:30" x14ac:dyDescent="0.3">
      <c r="A650" s="256">
        <v>200121</v>
      </c>
      <c r="B650" s="257">
        <v>0.41666666666666669</v>
      </c>
      <c r="C650" s="256" t="s">
        <v>420</v>
      </c>
      <c r="D650" s="256" t="s">
        <v>408</v>
      </c>
      <c r="E650" s="256">
        <v>29</v>
      </c>
      <c r="F650" s="256">
        <v>25</v>
      </c>
      <c r="G650" s="256">
        <v>25</v>
      </c>
      <c r="H650" s="256">
        <v>21</v>
      </c>
      <c r="I650" s="256"/>
      <c r="J650" s="256">
        <v>26</v>
      </c>
      <c r="K650" s="256">
        <v>29</v>
      </c>
      <c r="L650" s="256">
        <v>26</v>
      </c>
      <c r="M650" s="256">
        <v>26</v>
      </c>
      <c r="N650" s="256" t="s">
        <v>427</v>
      </c>
      <c r="O650" s="256">
        <f t="shared" si="297"/>
        <v>100</v>
      </c>
      <c r="P650" s="256">
        <f t="shared" si="298"/>
        <v>107</v>
      </c>
      <c r="Q650" s="256" t="str">
        <f t="shared" si="299"/>
        <v>HW</v>
      </c>
      <c r="R650" s="256" t="str">
        <f t="shared" si="300"/>
        <v>HL</v>
      </c>
      <c r="S650" s="256" t="str">
        <f t="shared" si="301"/>
        <v>HL</v>
      </c>
      <c r="T650" s="256" t="str">
        <f t="shared" si="302"/>
        <v>HL</v>
      </c>
      <c r="U650" s="256" t="str">
        <f t="shared" si="303"/>
        <v>U</v>
      </c>
      <c r="V650" s="256" t="str">
        <f t="shared" si="304"/>
        <v>U</v>
      </c>
      <c r="W650" s="256" t="str">
        <f t="shared" si="305"/>
        <v>U</v>
      </c>
      <c r="X650" s="256" t="str">
        <f t="shared" si="306"/>
        <v>U</v>
      </c>
      <c r="Z650" s="3">
        <v>55.5</v>
      </c>
      <c r="AB650" s="256" t="str">
        <f t="shared" si="284"/>
        <v>MIN/DEN</v>
      </c>
      <c r="AC650" s="256">
        <f t="shared" si="307"/>
        <v>0</v>
      </c>
      <c r="AD650" s="256">
        <f t="shared" si="308"/>
        <v>4</v>
      </c>
    </row>
    <row r="651" spans="1:30" x14ac:dyDescent="0.3">
      <c r="A651" s="256">
        <v>200121</v>
      </c>
      <c r="B651" s="257">
        <v>0.45833333333333331</v>
      </c>
      <c r="C651" s="256" t="s">
        <v>404</v>
      </c>
      <c r="D651" s="256" t="s">
        <v>426</v>
      </c>
      <c r="E651" s="256">
        <v>26</v>
      </c>
      <c r="F651" s="256">
        <v>25</v>
      </c>
      <c r="G651" s="256">
        <v>32</v>
      </c>
      <c r="H651" s="256">
        <v>35</v>
      </c>
      <c r="I651" s="256"/>
      <c r="J651" s="256">
        <v>28</v>
      </c>
      <c r="K651" s="256">
        <v>38</v>
      </c>
      <c r="L651" s="256">
        <v>30</v>
      </c>
      <c r="M651" s="256">
        <v>24</v>
      </c>
      <c r="N651" s="256" t="s">
        <v>427</v>
      </c>
      <c r="O651" s="256">
        <f t="shared" si="297"/>
        <v>118</v>
      </c>
      <c r="P651" s="256">
        <f t="shared" si="298"/>
        <v>120</v>
      </c>
      <c r="Q651" s="256" t="str">
        <f t="shared" si="299"/>
        <v>HL</v>
      </c>
      <c r="R651" s="256" t="str">
        <f t="shared" si="300"/>
        <v>HL</v>
      </c>
      <c r="S651" s="256" t="str">
        <f t="shared" si="301"/>
        <v>HW</v>
      </c>
      <c r="T651" s="256" t="str">
        <f t="shared" si="302"/>
        <v>HW</v>
      </c>
      <c r="U651" s="256" t="str">
        <f t="shared" si="303"/>
        <v>U</v>
      </c>
      <c r="V651" s="256" t="str">
        <f t="shared" si="304"/>
        <v>O</v>
      </c>
      <c r="W651" s="256" t="str">
        <f t="shared" si="305"/>
        <v>O</v>
      </c>
      <c r="X651" s="256" t="str">
        <f t="shared" si="306"/>
        <v>O</v>
      </c>
      <c r="Z651" s="3">
        <v>58</v>
      </c>
      <c r="AB651" s="256" t="str">
        <f t="shared" si="284"/>
        <v>PHO/SAS</v>
      </c>
      <c r="AC651" s="256">
        <f t="shared" si="307"/>
        <v>3</v>
      </c>
      <c r="AD651" s="256">
        <f t="shared" si="308"/>
        <v>1</v>
      </c>
    </row>
    <row r="652" spans="1:30" x14ac:dyDescent="0.3">
      <c r="A652" s="256">
        <v>200121</v>
      </c>
      <c r="B652" s="257">
        <v>0.45833333333333331</v>
      </c>
      <c r="C652" s="256" t="s">
        <v>405</v>
      </c>
      <c r="D652" s="256" t="s">
        <v>400</v>
      </c>
      <c r="E652" s="256">
        <v>29</v>
      </c>
      <c r="F652" s="256">
        <v>27</v>
      </c>
      <c r="G652" s="256">
        <v>24</v>
      </c>
      <c r="H652" s="256">
        <v>38</v>
      </c>
      <c r="I652" s="256"/>
      <c r="J652" s="256">
        <v>23</v>
      </c>
      <c r="K652" s="256">
        <v>21</v>
      </c>
      <c r="L652" s="256">
        <v>19</v>
      </c>
      <c r="M652" s="256">
        <v>25</v>
      </c>
      <c r="N652" s="256" t="s">
        <v>427</v>
      </c>
      <c r="O652" s="256">
        <f t="shared" si="297"/>
        <v>118</v>
      </c>
      <c r="P652" s="256">
        <f t="shared" si="298"/>
        <v>88</v>
      </c>
      <c r="Q652" s="256" t="str">
        <f t="shared" si="299"/>
        <v>HW</v>
      </c>
      <c r="R652" s="256" t="str">
        <f t="shared" si="300"/>
        <v>HW</v>
      </c>
      <c r="S652" s="256" t="str">
        <f t="shared" si="301"/>
        <v>HW</v>
      </c>
      <c r="T652" s="256" t="str">
        <f t="shared" si="302"/>
        <v>HW</v>
      </c>
      <c r="U652" s="256" t="str">
        <f t="shared" si="303"/>
        <v>U</v>
      </c>
      <c r="V652" s="256" t="str">
        <f t="shared" si="304"/>
        <v>U</v>
      </c>
      <c r="W652" s="256" t="str">
        <f t="shared" si="305"/>
        <v>U</v>
      </c>
      <c r="X652" s="256" t="str">
        <f t="shared" si="306"/>
        <v>O</v>
      </c>
      <c r="Z652" s="3">
        <v>54</v>
      </c>
      <c r="AB652" s="256" t="str">
        <f t="shared" ref="AB652:AB715" si="309">C652&amp;"/"&amp;D652</f>
        <v>UTA/IND</v>
      </c>
      <c r="AC652" s="256">
        <f t="shared" si="307"/>
        <v>1</v>
      </c>
      <c r="AD652" s="256">
        <f t="shared" si="308"/>
        <v>3</v>
      </c>
    </row>
    <row r="653" spans="1:30" x14ac:dyDescent="0.3">
      <c r="A653" s="256">
        <v>200121</v>
      </c>
      <c r="B653" s="257">
        <v>0.5</v>
      </c>
      <c r="C653" s="256" t="s">
        <v>417</v>
      </c>
      <c r="D653" s="256" t="s">
        <v>425</v>
      </c>
      <c r="E653" s="256">
        <v>27</v>
      </c>
      <c r="F653" s="256">
        <v>26</v>
      </c>
      <c r="G653" s="256">
        <v>34</v>
      </c>
      <c r="H653" s="256">
        <v>26</v>
      </c>
      <c r="I653" s="256">
        <v>16</v>
      </c>
      <c r="J653" s="256">
        <v>23</v>
      </c>
      <c r="K653" s="256">
        <v>34</v>
      </c>
      <c r="L653" s="256">
        <v>35</v>
      </c>
      <c r="M653" s="256">
        <v>21</v>
      </c>
      <c r="N653" s="256">
        <v>11</v>
      </c>
      <c r="O653" s="256">
        <f t="shared" si="297"/>
        <v>129</v>
      </c>
      <c r="P653" s="256">
        <f t="shared" si="298"/>
        <v>124</v>
      </c>
      <c r="Q653" s="256" t="str">
        <f t="shared" si="299"/>
        <v>HW</v>
      </c>
      <c r="R653" s="256" t="str">
        <f t="shared" si="300"/>
        <v>HL</v>
      </c>
      <c r="S653" s="256" t="str">
        <f t="shared" si="301"/>
        <v>HL</v>
      </c>
      <c r="T653" s="256" t="str">
        <f t="shared" si="302"/>
        <v>HW</v>
      </c>
      <c r="U653" s="256" t="str">
        <f t="shared" si="303"/>
        <v>U</v>
      </c>
      <c r="V653" s="256" t="str">
        <f t="shared" si="304"/>
        <v>O</v>
      </c>
      <c r="W653" s="256" t="str">
        <f t="shared" si="305"/>
        <v>O</v>
      </c>
      <c r="X653" s="256" t="str">
        <f t="shared" si="306"/>
        <v>U</v>
      </c>
      <c r="Z653" s="3">
        <v>56</v>
      </c>
      <c r="AB653" s="256" t="str">
        <f t="shared" si="309"/>
        <v>POR/GS</v>
      </c>
      <c r="AC653" s="256">
        <f t="shared" si="307"/>
        <v>2</v>
      </c>
      <c r="AD653" s="256">
        <f t="shared" si="308"/>
        <v>2</v>
      </c>
    </row>
    <row r="654" spans="1:30" x14ac:dyDescent="0.3">
      <c r="A654" s="256">
        <v>200122</v>
      </c>
      <c r="B654" s="257">
        <v>0.4375</v>
      </c>
      <c r="C654" s="256" t="s">
        <v>397</v>
      </c>
      <c r="D654" s="256" t="s">
        <v>415</v>
      </c>
      <c r="E654" s="256">
        <v>24</v>
      </c>
      <c r="F654" s="256">
        <v>25</v>
      </c>
      <c r="G654" s="256">
        <v>29</v>
      </c>
      <c r="H654" s="256">
        <v>29</v>
      </c>
      <c r="I654" s="256"/>
      <c r="J654" s="256">
        <v>24</v>
      </c>
      <c r="K654" s="256">
        <v>36</v>
      </c>
      <c r="L654" s="256">
        <v>22</v>
      </c>
      <c r="M654" s="256">
        <v>28</v>
      </c>
      <c r="N654" s="256"/>
      <c r="O654" s="256">
        <f t="shared" si="297"/>
        <v>107</v>
      </c>
      <c r="P654" s="256">
        <f t="shared" si="298"/>
        <v>110</v>
      </c>
      <c r="Q654" s="256" t="str">
        <f t="shared" si="299"/>
        <v>TT</v>
      </c>
      <c r="R654" s="256" t="str">
        <f t="shared" si="300"/>
        <v>HL</v>
      </c>
      <c r="S654" s="256" t="str">
        <f t="shared" si="301"/>
        <v>HW</v>
      </c>
      <c r="T654" s="256" t="str">
        <f t="shared" si="302"/>
        <v>HW</v>
      </c>
      <c r="U654" s="256" t="str">
        <f t="shared" si="303"/>
        <v>U</v>
      </c>
      <c r="V654" s="256" t="str">
        <f t="shared" si="304"/>
        <v>O</v>
      </c>
      <c r="W654" s="256" t="str">
        <f t="shared" si="305"/>
        <v>U</v>
      </c>
      <c r="X654" s="256" t="str">
        <f t="shared" si="306"/>
        <v>U</v>
      </c>
      <c r="Z654" s="3">
        <v>60</v>
      </c>
      <c r="AB654" s="256" t="str">
        <f t="shared" si="309"/>
        <v>DAL/LAC</v>
      </c>
      <c r="AC654" s="256">
        <f t="shared" si="307"/>
        <v>1</v>
      </c>
      <c r="AD654" s="256">
        <f t="shared" si="308"/>
        <v>3</v>
      </c>
    </row>
    <row r="655" spans="1:30" x14ac:dyDescent="0.3">
      <c r="A655" s="256">
        <v>200123</v>
      </c>
      <c r="B655" s="257">
        <v>0.375</v>
      </c>
      <c r="C655" s="256" t="s">
        <v>422</v>
      </c>
      <c r="D655" s="256" t="s">
        <v>416</v>
      </c>
      <c r="E655" s="256">
        <v>26</v>
      </c>
      <c r="F655" s="256">
        <v>31</v>
      </c>
      <c r="G655" s="256">
        <v>36</v>
      </c>
      <c r="H655" s="256">
        <v>34</v>
      </c>
      <c r="I655" s="256"/>
      <c r="J655" s="256">
        <v>27</v>
      </c>
      <c r="K655" s="256">
        <v>23</v>
      </c>
      <c r="L655" s="256">
        <v>25</v>
      </c>
      <c r="M655" s="256">
        <v>31</v>
      </c>
      <c r="N655" s="256"/>
      <c r="O655" s="256">
        <f t="shared" si="297"/>
        <v>127</v>
      </c>
      <c r="P655" s="256">
        <f t="shared" si="298"/>
        <v>106</v>
      </c>
      <c r="Q655" s="256" t="str">
        <f t="shared" si="299"/>
        <v>HL</v>
      </c>
      <c r="R655" s="256" t="str">
        <f t="shared" si="300"/>
        <v>HW</v>
      </c>
      <c r="S655" s="256" t="str">
        <f t="shared" si="301"/>
        <v>HW</v>
      </c>
      <c r="T655" s="256" t="str">
        <f t="shared" si="302"/>
        <v>HW</v>
      </c>
      <c r="U655" s="256" t="str">
        <f t="shared" si="303"/>
        <v>U</v>
      </c>
      <c r="V655" s="256" t="str">
        <f t="shared" si="304"/>
        <v>U</v>
      </c>
      <c r="W655" s="256" t="str">
        <f t="shared" si="305"/>
        <v>O</v>
      </c>
      <c r="X655" s="256" t="str">
        <f t="shared" si="306"/>
        <v>O</v>
      </c>
      <c r="Z655" s="3">
        <v>57</v>
      </c>
      <c r="AB655" s="256" t="str">
        <f t="shared" si="309"/>
        <v>DET/SAC</v>
      </c>
      <c r="AC655" s="256">
        <f t="shared" si="307"/>
        <v>2</v>
      </c>
      <c r="AD655" s="256">
        <f t="shared" si="308"/>
        <v>2</v>
      </c>
    </row>
    <row r="656" spans="1:30" x14ac:dyDescent="0.3">
      <c r="A656" s="256">
        <v>200123</v>
      </c>
      <c r="B656" s="257">
        <v>0.375</v>
      </c>
      <c r="C656" s="256" t="s">
        <v>424</v>
      </c>
      <c r="D656" s="256" t="s">
        <v>418</v>
      </c>
      <c r="E656" s="256">
        <v>21</v>
      </c>
      <c r="F656" s="256">
        <v>30</v>
      </c>
      <c r="G656" s="256">
        <v>38</v>
      </c>
      <c r="H656" s="256">
        <v>25</v>
      </c>
      <c r="I656" s="256"/>
      <c r="J656" s="256">
        <v>24</v>
      </c>
      <c r="K656" s="256">
        <v>36</v>
      </c>
      <c r="L656" s="256">
        <v>32</v>
      </c>
      <c r="M656" s="256">
        <v>28</v>
      </c>
      <c r="N656" s="256"/>
      <c r="O656" s="256">
        <f t="shared" si="297"/>
        <v>114</v>
      </c>
      <c r="P656" s="256">
        <f t="shared" si="298"/>
        <v>120</v>
      </c>
      <c r="Q656" s="256" t="str">
        <f t="shared" si="299"/>
        <v>HL</v>
      </c>
      <c r="R656" s="256" t="str">
        <f t="shared" si="300"/>
        <v>HL</v>
      </c>
      <c r="S656" s="256" t="str">
        <f t="shared" si="301"/>
        <v>HW</v>
      </c>
      <c r="T656" s="256" t="str">
        <f t="shared" si="302"/>
        <v>HL</v>
      </c>
      <c r="U656" s="256" t="str">
        <f t="shared" si="303"/>
        <v>U</v>
      </c>
      <c r="V656" s="256" t="str">
        <f t="shared" si="304"/>
        <v>O</v>
      </c>
      <c r="W656" s="256" t="str">
        <f t="shared" si="305"/>
        <v>O</v>
      </c>
      <c r="X656" s="256" t="str">
        <f t="shared" si="306"/>
        <v>U</v>
      </c>
      <c r="Z656" s="3">
        <v>54</v>
      </c>
      <c r="AB656" s="256" t="str">
        <f t="shared" si="309"/>
        <v>ORL/OKC</v>
      </c>
      <c r="AC656" s="256">
        <f t="shared" si="307"/>
        <v>2</v>
      </c>
      <c r="AD656" s="256">
        <f t="shared" si="308"/>
        <v>2</v>
      </c>
    </row>
    <row r="657" spans="1:30" x14ac:dyDescent="0.3">
      <c r="A657" s="256">
        <v>200123</v>
      </c>
      <c r="B657" s="257">
        <v>0.375</v>
      </c>
      <c r="C657" s="256" t="s">
        <v>413</v>
      </c>
      <c r="D657" s="256" t="s">
        <v>401</v>
      </c>
      <c r="E657" s="256">
        <v>26</v>
      </c>
      <c r="F657" s="256">
        <v>24</v>
      </c>
      <c r="G657" s="256">
        <v>26</v>
      </c>
      <c r="H657" s="256">
        <v>31</v>
      </c>
      <c r="I657" s="256"/>
      <c r="J657" s="256">
        <v>35</v>
      </c>
      <c r="K657" s="256">
        <v>15</v>
      </c>
      <c r="L657" s="256">
        <v>22</v>
      </c>
      <c r="M657" s="256">
        <v>23</v>
      </c>
      <c r="N657" s="256"/>
      <c r="O657" s="256">
        <f t="shared" si="297"/>
        <v>107</v>
      </c>
      <c r="P657" s="256">
        <f t="shared" si="298"/>
        <v>95</v>
      </c>
      <c r="Q657" s="256" t="str">
        <f t="shared" si="299"/>
        <v>HL</v>
      </c>
      <c r="R657" s="256" t="str">
        <f t="shared" si="300"/>
        <v>HW</v>
      </c>
      <c r="S657" s="256" t="str">
        <f t="shared" si="301"/>
        <v>HW</v>
      </c>
      <c r="T657" s="256" t="str">
        <f t="shared" si="302"/>
        <v>HW</v>
      </c>
      <c r="U657" s="256" t="str">
        <f t="shared" si="303"/>
        <v>O</v>
      </c>
      <c r="V657" s="256" t="str">
        <f t="shared" si="304"/>
        <v>U</v>
      </c>
      <c r="W657" s="256" t="str">
        <f t="shared" si="305"/>
        <v>U</v>
      </c>
      <c r="X657" s="256" t="str">
        <f t="shared" si="306"/>
        <v>U</v>
      </c>
      <c r="Z657" s="3">
        <v>55.5</v>
      </c>
      <c r="AB657" s="256" t="str">
        <f t="shared" si="309"/>
        <v>TOR/PHI</v>
      </c>
      <c r="AC657" s="256">
        <f t="shared" si="307"/>
        <v>1</v>
      </c>
      <c r="AD657" s="256">
        <f t="shared" si="308"/>
        <v>3</v>
      </c>
    </row>
    <row r="658" spans="1:30" x14ac:dyDescent="0.3">
      <c r="A658" s="256">
        <v>200123</v>
      </c>
      <c r="B658" s="257">
        <v>0.39583333333333331</v>
      </c>
      <c r="C658" s="256" t="s">
        <v>410</v>
      </c>
      <c r="D658" s="256" t="s">
        <v>415</v>
      </c>
      <c r="E658" s="256">
        <v>16</v>
      </c>
      <c r="F658" s="256">
        <v>25</v>
      </c>
      <c r="G658" s="256">
        <v>28</v>
      </c>
      <c r="H658" s="256">
        <v>33</v>
      </c>
      <c r="I658" s="256"/>
      <c r="J658" s="256">
        <v>32</v>
      </c>
      <c r="K658" s="256">
        <v>28</v>
      </c>
      <c r="L658" s="256">
        <v>15</v>
      </c>
      <c r="M658" s="256">
        <v>20</v>
      </c>
      <c r="N658" s="256"/>
      <c r="O658" s="256">
        <f t="shared" si="297"/>
        <v>102</v>
      </c>
      <c r="P658" s="256">
        <f t="shared" si="298"/>
        <v>95</v>
      </c>
      <c r="Q658" s="256" t="str">
        <f t="shared" si="299"/>
        <v>HL</v>
      </c>
      <c r="R658" s="256" t="str">
        <f t="shared" si="300"/>
        <v>HL</v>
      </c>
      <c r="S658" s="256" t="str">
        <f t="shared" si="301"/>
        <v>HW</v>
      </c>
      <c r="T658" s="256" t="str">
        <f t="shared" si="302"/>
        <v>HW</v>
      </c>
      <c r="U658" s="256" t="str">
        <f t="shared" si="303"/>
        <v>U</v>
      </c>
      <c r="V658" s="256" t="str">
        <f t="shared" si="304"/>
        <v>U</v>
      </c>
      <c r="W658" s="256" t="str">
        <f t="shared" si="305"/>
        <v>U</v>
      </c>
      <c r="X658" s="256" t="str">
        <f t="shared" si="306"/>
        <v>U</v>
      </c>
      <c r="Z658" s="3">
        <v>59.5</v>
      </c>
      <c r="AB658" s="256" t="str">
        <f t="shared" si="309"/>
        <v>ATL/LAC</v>
      </c>
      <c r="AC658" s="256">
        <f t="shared" si="307"/>
        <v>0</v>
      </c>
      <c r="AD658" s="256">
        <f t="shared" si="308"/>
        <v>4</v>
      </c>
    </row>
    <row r="659" spans="1:30" x14ac:dyDescent="0.3">
      <c r="A659" s="256">
        <v>200123</v>
      </c>
      <c r="B659" s="257">
        <v>0.39583333333333331</v>
      </c>
      <c r="C659" s="256" t="s">
        <v>421</v>
      </c>
      <c r="D659" s="256" t="s">
        <v>406</v>
      </c>
      <c r="E659" s="256">
        <v>25</v>
      </c>
      <c r="F659" s="256">
        <v>33</v>
      </c>
      <c r="G659" s="256">
        <v>41</v>
      </c>
      <c r="H659" s="256">
        <v>20</v>
      </c>
      <c r="I659" s="256"/>
      <c r="J659" s="256">
        <v>27</v>
      </c>
      <c r="K659" s="256">
        <v>17</v>
      </c>
      <c r="L659" s="256">
        <v>19</v>
      </c>
      <c r="M659" s="256">
        <v>32</v>
      </c>
      <c r="N659" s="256"/>
      <c r="O659" s="256">
        <f t="shared" si="297"/>
        <v>119</v>
      </c>
      <c r="P659" s="256">
        <f t="shared" si="298"/>
        <v>95</v>
      </c>
      <c r="Q659" s="256" t="str">
        <f t="shared" si="299"/>
        <v>HL</v>
      </c>
      <c r="R659" s="256" t="str">
        <f t="shared" si="300"/>
        <v>HW</v>
      </c>
      <c r="S659" s="256" t="str">
        <f t="shared" si="301"/>
        <v>HW</v>
      </c>
      <c r="T659" s="256" t="str">
        <f t="shared" si="302"/>
        <v>HL</v>
      </c>
      <c r="U659" s="256" t="str">
        <f t="shared" si="303"/>
        <v>U</v>
      </c>
      <c r="V659" s="256" t="str">
        <f t="shared" si="304"/>
        <v>U</v>
      </c>
      <c r="W659" s="256" t="str">
        <f t="shared" si="305"/>
        <v>O</v>
      </c>
      <c r="X659" s="256" t="str">
        <f t="shared" si="306"/>
        <v>U</v>
      </c>
      <c r="Z659" s="3">
        <v>57</v>
      </c>
      <c r="AB659" s="256" t="str">
        <f t="shared" si="309"/>
        <v>BOS/MEM</v>
      </c>
      <c r="AC659" s="256">
        <f t="shared" si="307"/>
        <v>1</v>
      </c>
      <c r="AD659" s="256">
        <f t="shared" si="308"/>
        <v>3</v>
      </c>
    </row>
    <row r="660" spans="1:30" x14ac:dyDescent="0.3">
      <c r="A660" s="256">
        <v>200123</v>
      </c>
      <c r="B660" s="257">
        <v>0.39583333333333331</v>
      </c>
      <c r="C660" s="256" t="s">
        <v>411</v>
      </c>
      <c r="D660" s="256" t="s">
        <v>414</v>
      </c>
      <c r="E660" s="256">
        <v>30</v>
      </c>
      <c r="F660" s="256">
        <v>39</v>
      </c>
      <c r="G660" s="256">
        <v>21</v>
      </c>
      <c r="H660" s="256">
        <v>28</v>
      </c>
      <c r="I660" s="256">
        <v>16</v>
      </c>
      <c r="J660" s="256">
        <v>27</v>
      </c>
      <c r="K660" s="256">
        <v>23</v>
      </c>
      <c r="L660" s="256">
        <v>33</v>
      </c>
      <c r="M660" s="256">
        <v>35</v>
      </c>
      <c r="N660" s="256">
        <v>11</v>
      </c>
      <c r="O660" s="256">
        <f t="shared" si="297"/>
        <v>134</v>
      </c>
      <c r="P660" s="256">
        <f t="shared" si="298"/>
        <v>129</v>
      </c>
      <c r="Q660" s="256" t="str">
        <f t="shared" si="299"/>
        <v>HW</v>
      </c>
      <c r="R660" s="256" t="str">
        <f t="shared" si="300"/>
        <v>HW</v>
      </c>
      <c r="S660" s="256" t="str">
        <f t="shared" si="301"/>
        <v>HL</v>
      </c>
      <c r="T660" s="256" t="str">
        <f t="shared" si="302"/>
        <v>HL</v>
      </c>
      <c r="U660" s="256" t="str">
        <f t="shared" si="303"/>
        <v>U</v>
      </c>
      <c r="V660" s="256" t="str">
        <f t="shared" si="304"/>
        <v>O</v>
      </c>
      <c r="W660" s="256" t="str">
        <f t="shared" si="305"/>
        <v>U</v>
      </c>
      <c r="X660" s="256" t="str">
        <f t="shared" si="306"/>
        <v>O</v>
      </c>
      <c r="Z660" s="3">
        <v>60</v>
      </c>
      <c r="AB660" s="256" t="str">
        <f t="shared" si="309"/>
        <v>MIA/WAS</v>
      </c>
      <c r="AC660" s="256">
        <f t="shared" si="307"/>
        <v>2</v>
      </c>
      <c r="AD660" s="256">
        <f t="shared" si="308"/>
        <v>2</v>
      </c>
    </row>
    <row r="661" spans="1:30" x14ac:dyDescent="0.3">
      <c r="A661" s="256">
        <v>200123</v>
      </c>
      <c r="B661" s="257">
        <v>0.39583333333333331</v>
      </c>
      <c r="C661" s="256" t="s">
        <v>399</v>
      </c>
      <c r="D661" s="256" t="s">
        <v>419</v>
      </c>
      <c r="E661" s="256">
        <v>25</v>
      </c>
      <c r="F661" s="256">
        <v>23</v>
      </c>
      <c r="G661" s="256">
        <v>22</v>
      </c>
      <c r="H661" s="256">
        <v>22</v>
      </c>
      <c r="I661" s="256"/>
      <c r="J661" s="256">
        <v>28</v>
      </c>
      <c r="K661" s="256">
        <v>20</v>
      </c>
      <c r="L661" s="256">
        <v>28</v>
      </c>
      <c r="M661" s="256">
        <v>24</v>
      </c>
      <c r="N661" s="256"/>
      <c r="O661" s="256">
        <f t="shared" si="297"/>
        <v>92</v>
      </c>
      <c r="P661" s="256">
        <f t="shared" si="298"/>
        <v>100</v>
      </c>
      <c r="Q661" s="256" t="str">
        <f t="shared" si="299"/>
        <v>HL</v>
      </c>
      <c r="R661" s="256" t="str">
        <f t="shared" si="300"/>
        <v>HW</v>
      </c>
      <c r="S661" s="256" t="str">
        <f t="shared" si="301"/>
        <v>HL</v>
      </c>
      <c r="T661" s="256" t="str">
        <f t="shared" si="302"/>
        <v>HL</v>
      </c>
      <c r="U661" s="256" t="str">
        <f t="shared" si="303"/>
        <v>U</v>
      </c>
      <c r="V661" s="256" t="str">
        <f t="shared" si="304"/>
        <v>U</v>
      </c>
      <c r="W661" s="256" t="str">
        <f t="shared" si="305"/>
        <v>U</v>
      </c>
      <c r="X661" s="256" t="str">
        <f t="shared" si="306"/>
        <v>U</v>
      </c>
      <c r="Z661" s="3">
        <v>57.5</v>
      </c>
      <c r="AB661" s="256" t="str">
        <f t="shared" si="309"/>
        <v>NYK/LAL</v>
      </c>
      <c r="AC661" s="256">
        <f t="shared" si="307"/>
        <v>0</v>
      </c>
      <c r="AD661" s="256">
        <f t="shared" si="308"/>
        <v>4</v>
      </c>
    </row>
    <row r="662" spans="1:30" x14ac:dyDescent="0.3">
      <c r="A662" s="256">
        <v>200123</v>
      </c>
      <c r="B662" s="257">
        <v>0.41666666666666669</v>
      </c>
      <c r="C662" s="256" t="s">
        <v>412</v>
      </c>
      <c r="D662" s="256" t="s">
        <v>420</v>
      </c>
      <c r="E662" s="256">
        <v>35</v>
      </c>
      <c r="F662" s="256">
        <v>24</v>
      </c>
      <c r="G662" s="256">
        <v>22</v>
      </c>
      <c r="H662" s="256">
        <v>36</v>
      </c>
      <c r="I662" s="256"/>
      <c r="J662" s="256">
        <v>26</v>
      </c>
      <c r="K662" s="256">
        <v>26</v>
      </c>
      <c r="L662" s="256">
        <v>27</v>
      </c>
      <c r="M662" s="256">
        <v>31</v>
      </c>
      <c r="N662" s="256"/>
      <c r="O662" s="256">
        <f t="shared" si="297"/>
        <v>117</v>
      </c>
      <c r="P662" s="256">
        <f t="shared" si="298"/>
        <v>110</v>
      </c>
      <c r="Q662" s="256" t="str">
        <f t="shared" si="299"/>
        <v>HW</v>
      </c>
      <c r="R662" s="256" t="str">
        <f t="shared" si="300"/>
        <v>HL</v>
      </c>
      <c r="S662" s="256" t="str">
        <f t="shared" si="301"/>
        <v>HL</v>
      </c>
      <c r="T662" s="256" t="str">
        <f t="shared" si="302"/>
        <v>HW</v>
      </c>
      <c r="U662" s="256" t="str">
        <f t="shared" si="303"/>
        <v>O</v>
      </c>
      <c r="V662" s="256" t="str">
        <f t="shared" si="304"/>
        <v>U</v>
      </c>
      <c r="W662" s="256" t="str">
        <f t="shared" si="305"/>
        <v>U</v>
      </c>
      <c r="X662" s="256" t="str">
        <f t="shared" si="306"/>
        <v>O</v>
      </c>
      <c r="Z662" s="3">
        <v>56.5</v>
      </c>
      <c r="AB662" s="256" t="str">
        <f t="shared" si="309"/>
        <v>CHI/MIN</v>
      </c>
      <c r="AC662" s="256">
        <f t="shared" si="307"/>
        <v>2</v>
      </c>
      <c r="AD662" s="256">
        <f t="shared" si="308"/>
        <v>2</v>
      </c>
    </row>
    <row r="663" spans="1:30" x14ac:dyDescent="0.3">
      <c r="A663" s="256">
        <v>200123</v>
      </c>
      <c r="B663" s="257">
        <v>0.41666666666666669</v>
      </c>
      <c r="C663" s="256" t="s">
        <v>403</v>
      </c>
      <c r="D663" s="256" t="s">
        <v>408</v>
      </c>
      <c r="E663" s="256">
        <v>35</v>
      </c>
      <c r="F663" s="256">
        <v>25</v>
      </c>
      <c r="G663" s="256">
        <v>32</v>
      </c>
      <c r="H663" s="256">
        <v>29</v>
      </c>
      <c r="I663" s="256"/>
      <c r="J663" s="256">
        <v>28</v>
      </c>
      <c r="K663" s="256">
        <v>15</v>
      </c>
      <c r="L663" s="256">
        <v>28</v>
      </c>
      <c r="M663" s="256">
        <v>34</v>
      </c>
      <c r="N663" s="256"/>
      <c r="O663" s="256">
        <f t="shared" si="297"/>
        <v>121</v>
      </c>
      <c r="P663" s="256">
        <f t="shared" si="298"/>
        <v>105</v>
      </c>
      <c r="Q663" s="256" t="str">
        <f t="shared" si="299"/>
        <v>HW</v>
      </c>
      <c r="R663" s="256" t="str">
        <f t="shared" si="300"/>
        <v>HW</v>
      </c>
      <c r="S663" s="256" t="str">
        <f t="shared" si="301"/>
        <v>HW</v>
      </c>
      <c r="T663" s="256" t="str">
        <f t="shared" si="302"/>
        <v>HL</v>
      </c>
      <c r="U663" s="256" t="str">
        <f t="shared" si="303"/>
        <v>O</v>
      </c>
      <c r="V663" s="256" t="str">
        <f t="shared" si="304"/>
        <v>U</v>
      </c>
      <c r="W663" s="256" t="str">
        <f t="shared" si="305"/>
        <v>O</v>
      </c>
      <c r="X663" s="256" t="str">
        <f t="shared" si="306"/>
        <v>O</v>
      </c>
      <c r="Z663" s="3">
        <v>58.5</v>
      </c>
      <c r="AB663" s="256" t="str">
        <f t="shared" si="309"/>
        <v>HOU/DEN</v>
      </c>
      <c r="AC663" s="256">
        <f t="shared" si="307"/>
        <v>3</v>
      </c>
      <c r="AD663" s="256">
        <f t="shared" si="308"/>
        <v>1</v>
      </c>
    </row>
    <row r="664" spans="1:30" x14ac:dyDescent="0.3">
      <c r="A664" s="256">
        <v>200123</v>
      </c>
      <c r="B664" s="257">
        <v>0.45833333333333331</v>
      </c>
      <c r="C664" s="256" t="s">
        <v>404</v>
      </c>
      <c r="D664" s="256" t="s">
        <v>400</v>
      </c>
      <c r="E664" s="256">
        <v>24</v>
      </c>
      <c r="F664" s="256">
        <v>24</v>
      </c>
      <c r="G664" s="256">
        <v>17</v>
      </c>
      <c r="H664" s="256">
        <v>22</v>
      </c>
      <c r="I664" s="256"/>
      <c r="J664" s="256">
        <v>30</v>
      </c>
      <c r="K664" s="256">
        <v>24</v>
      </c>
      <c r="L664" s="256">
        <v>29</v>
      </c>
      <c r="M664" s="256">
        <v>29</v>
      </c>
      <c r="N664" s="256"/>
      <c r="O664" s="256">
        <f t="shared" si="297"/>
        <v>87</v>
      </c>
      <c r="P664" s="256">
        <f t="shared" si="298"/>
        <v>112</v>
      </c>
      <c r="Q664" s="256" t="str">
        <f t="shared" si="299"/>
        <v>HL</v>
      </c>
      <c r="R664" s="256" t="str">
        <f t="shared" si="300"/>
        <v>TT</v>
      </c>
      <c r="S664" s="256" t="str">
        <f t="shared" si="301"/>
        <v>HL</v>
      </c>
      <c r="T664" s="256" t="str">
        <f t="shared" si="302"/>
        <v>HL</v>
      </c>
      <c r="U664" s="256" t="str">
        <f t="shared" si="303"/>
        <v>U</v>
      </c>
      <c r="V664" s="256" t="str">
        <f t="shared" si="304"/>
        <v>U</v>
      </c>
      <c r="W664" s="256" t="str">
        <f t="shared" si="305"/>
        <v>U</v>
      </c>
      <c r="X664" s="256" t="str">
        <f t="shared" si="306"/>
        <v>U</v>
      </c>
      <c r="Z664" s="3">
        <v>56.5</v>
      </c>
      <c r="AB664" s="256" t="str">
        <f t="shared" si="309"/>
        <v>PHO/IND</v>
      </c>
      <c r="AC664" s="256">
        <f t="shared" si="307"/>
        <v>0</v>
      </c>
      <c r="AD664" s="256">
        <f t="shared" si="308"/>
        <v>4</v>
      </c>
    </row>
    <row r="665" spans="1:30" x14ac:dyDescent="0.3">
      <c r="A665" s="256">
        <v>200123</v>
      </c>
      <c r="B665" s="257">
        <v>0.47916666666666669</v>
      </c>
      <c r="C665" s="256" t="s">
        <v>398</v>
      </c>
      <c r="D665" s="256" t="s">
        <v>426</v>
      </c>
      <c r="E665" s="256">
        <v>24</v>
      </c>
      <c r="F665" s="256">
        <v>27</v>
      </c>
      <c r="G665" s="256">
        <v>31</v>
      </c>
      <c r="H665" s="256">
        <v>35</v>
      </c>
      <c r="I665" s="256"/>
      <c r="J665" s="256">
        <v>31</v>
      </c>
      <c r="K665" s="256">
        <v>29</v>
      </c>
      <c r="L665" s="256">
        <v>34</v>
      </c>
      <c r="M665" s="256">
        <v>27</v>
      </c>
      <c r="N665" s="256"/>
      <c r="O665" s="256">
        <f t="shared" si="297"/>
        <v>117</v>
      </c>
      <c r="P665" s="256">
        <f t="shared" si="298"/>
        <v>121</v>
      </c>
      <c r="Q665" s="256" t="str">
        <f t="shared" si="299"/>
        <v>HL</v>
      </c>
      <c r="R665" s="256" t="str">
        <f t="shared" si="300"/>
        <v>HL</v>
      </c>
      <c r="S665" s="256" t="str">
        <f t="shared" si="301"/>
        <v>HL</v>
      </c>
      <c r="T665" s="256" t="str">
        <f t="shared" si="302"/>
        <v>HW</v>
      </c>
      <c r="U665" s="256" t="str">
        <f t="shared" si="303"/>
        <v>U</v>
      </c>
      <c r="V665" s="256" t="str">
        <f t="shared" si="304"/>
        <v>U</v>
      </c>
      <c r="W665" s="256" t="str">
        <f t="shared" si="305"/>
        <v>O</v>
      </c>
      <c r="X665" s="256" t="str">
        <f t="shared" si="306"/>
        <v>O</v>
      </c>
      <c r="Z665" s="3">
        <v>58</v>
      </c>
      <c r="AB665" s="256" t="str">
        <f t="shared" si="309"/>
        <v>NO/SAS</v>
      </c>
      <c r="AC665" s="256">
        <f t="shared" si="307"/>
        <v>2</v>
      </c>
      <c r="AD665" s="256">
        <f t="shared" si="308"/>
        <v>2</v>
      </c>
    </row>
    <row r="666" spans="1:30" x14ac:dyDescent="0.3">
      <c r="A666" s="256">
        <v>200123</v>
      </c>
      <c r="B666" s="257">
        <v>0.5</v>
      </c>
      <c r="C666" s="256" t="s">
        <v>425</v>
      </c>
      <c r="D666" s="256" t="s">
        <v>405</v>
      </c>
      <c r="E666" s="256">
        <v>17</v>
      </c>
      <c r="F666" s="256">
        <v>26</v>
      </c>
      <c r="G666" s="256">
        <v>26</v>
      </c>
      <c r="H666" s="256">
        <v>27</v>
      </c>
      <c r="I666" s="256"/>
      <c r="J666" s="256">
        <v>31</v>
      </c>
      <c r="K666" s="256">
        <v>34</v>
      </c>
      <c r="L666" s="256">
        <v>35</v>
      </c>
      <c r="M666" s="256">
        <v>29</v>
      </c>
      <c r="N666" s="256"/>
      <c r="O666" s="256">
        <f t="shared" si="297"/>
        <v>96</v>
      </c>
      <c r="P666" s="256">
        <f t="shared" si="298"/>
        <v>129</v>
      </c>
      <c r="Q666" s="256" t="str">
        <f t="shared" si="299"/>
        <v>HL</v>
      </c>
      <c r="R666" s="256" t="str">
        <f t="shared" si="300"/>
        <v>HL</v>
      </c>
      <c r="S666" s="256" t="str">
        <f t="shared" si="301"/>
        <v>HL</v>
      </c>
      <c r="T666" s="256" t="str">
        <f t="shared" si="302"/>
        <v>HL</v>
      </c>
      <c r="U666" s="256" t="str">
        <f t="shared" si="303"/>
        <v>U</v>
      </c>
      <c r="V666" s="256" t="str">
        <f t="shared" si="304"/>
        <v>O</v>
      </c>
      <c r="W666" s="256" t="str">
        <f t="shared" si="305"/>
        <v>O</v>
      </c>
      <c r="X666" s="256" t="str">
        <f t="shared" si="306"/>
        <v>O</v>
      </c>
      <c r="Z666" s="3">
        <v>53.5</v>
      </c>
      <c r="AB666" s="256" t="str">
        <f t="shared" si="309"/>
        <v>GS/UTA</v>
      </c>
      <c r="AC666" s="256">
        <f t="shared" si="307"/>
        <v>3</v>
      </c>
      <c r="AD666" s="256">
        <f t="shared" si="308"/>
        <v>1</v>
      </c>
    </row>
    <row r="667" spans="1:30" x14ac:dyDescent="0.3">
      <c r="A667" s="256">
        <v>200124</v>
      </c>
      <c r="B667" s="257">
        <v>0.375</v>
      </c>
      <c r="C667" s="256" t="s">
        <v>402</v>
      </c>
      <c r="D667" s="256" t="s">
        <v>414</v>
      </c>
      <c r="E667" s="256">
        <v>24</v>
      </c>
      <c r="F667" s="256">
        <v>37</v>
      </c>
      <c r="G667" s="256">
        <v>25</v>
      </c>
      <c r="H667" s="256">
        <v>26</v>
      </c>
      <c r="I667" s="256"/>
      <c r="J667" s="256">
        <v>29</v>
      </c>
      <c r="K667" s="256">
        <v>39</v>
      </c>
      <c r="L667" s="256">
        <v>32</v>
      </c>
      <c r="M667" s="256">
        <v>24</v>
      </c>
      <c r="N667" s="256"/>
      <c r="O667" s="256">
        <f t="shared" si="297"/>
        <v>112</v>
      </c>
      <c r="P667" s="256">
        <f t="shared" si="298"/>
        <v>124</v>
      </c>
      <c r="Q667" s="256" t="str">
        <f t="shared" si="299"/>
        <v>HL</v>
      </c>
      <c r="R667" s="256" t="str">
        <f t="shared" si="300"/>
        <v>HL</v>
      </c>
      <c r="S667" s="256" t="str">
        <f t="shared" si="301"/>
        <v>HL</v>
      </c>
      <c r="T667" s="256" t="str">
        <f t="shared" si="302"/>
        <v>HW</v>
      </c>
      <c r="U667" s="256" t="str">
        <f t="shared" si="303"/>
        <v>U</v>
      </c>
      <c r="V667" s="256" t="str">
        <f t="shared" si="304"/>
        <v>O</v>
      </c>
      <c r="W667" s="256" t="str">
        <f t="shared" si="305"/>
        <v>U</v>
      </c>
      <c r="X667" s="256" t="str">
        <f t="shared" si="306"/>
        <v>U</v>
      </c>
      <c r="Z667" s="3">
        <v>60.5</v>
      </c>
      <c r="AB667" s="256" t="str">
        <f t="shared" si="309"/>
        <v>CLE/WAS</v>
      </c>
      <c r="AC667" s="256">
        <f t="shared" si="307"/>
        <v>1</v>
      </c>
      <c r="AD667" s="256">
        <f t="shared" si="308"/>
        <v>3</v>
      </c>
    </row>
    <row r="668" spans="1:30" x14ac:dyDescent="0.3">
      <c r="A668" s="256">
        <v>200124</v>
      </c>
      <c r="B668" s="257">
        <v>0.41666666666666669</v>
      </c>
      <c r="C668" s="256" t="s">
        <v>407</v>
      </c>
      <c r="D668" s="256" t="s">
        <v>419</v>
      </c>
      <c r="E668" s="256">
        <v>35</v>
      </c>
      <c r="F668" s="256">
        <v>35</v>
      </c>
      <c r="G668" s="256">
        <v>24</v>
      </c>
      <c r="H668" s="256">
        <v>19</v>
      </c>
      <c r="I668" s="256"/>
      <c r="J668" s="256">
        <v>38</v>
      </c>
      <c r="K668" s="256">
        <v>37</v>
      </c>
      <c r="L668" s="256">
        <v>29</v>
      </c>
      <c r="M668" s="256">
        <v>24</v>
      </c>
      <c r="N668" s="256"/>
      <c r="O668" s="256">
        <f t="shared" si="297"/>
        <v>113</v>
      </c>
      <c r="P668" s="256">
        <f t="shared" si="298"/>
        <v>128</v>
      </c>
      <c r="Q668" s="256" t="str">
        <f t="shared" si="299"/>
        <v>HL</v>
      </c>
      <c r="R668" s="256" t="str">
        <f t="shared" si="300"/>
        <v>HL</v>
      </c>
      <c r="S668" s="256" t="str">
        <f t="shared" si="301"/>
        <v>HL</v>
      </c>
      <c r="T668" s="256" t="str">
        <f t="shared" si="302"/>
        <v>HL</v>
      </c>
      <c r="U668" s="256" t="str">
        <f t="shared" si="303"/>
        <v>O</v>
      </c>
      <c r="V668" s="256" t="str">
        <f t="shared" si="304"/>
        <v>O</v>
      </c>
      <c r="W668" s="256" t="str">
        <f t="shared" si="305"/>
        <v>U</v>
      </c>
      <c r="X668" s="256" t="str">
        <f t="shared" si="306"/>
        <v>U</v>
      </c>
      <c r="Z668" s="3">
        <v>59</v>
      </c>
      <c r="AB668" s="256" t="str">
        <f t="shared" si="309"/>
        <v>BKN/LAL</v>
      </c>
      <c r="AC668" s="256">
        <f t="shared" si="307"/>
        <v>2</v>
      </c>
      <c r="AD668" s="256">
        <f t="shared" si="308"/>
        <v>2</v>
      </c>
    </row>
    <row r="669" spans="1:30" x14ac:dyDescent="0.3">
      <c r="A669" s="256">
        <v>200124</v>
      </c>
      <c r="B669" s="257">
        <v>0.52083333333333337</v>
      </c>
      <c r="C669" s="256" t="s">
        <v>417</v>
      </c>
      <c r="D669" s="256" t="s">
        <v>397</v>
      </c>
      <c r="E669" s="256">
        <v>37</v>
      </c>
      <c r="F669" s="256">
        <v>26</v>
      </c>
      <c r="G669" s="256">
        <v>27</v>
      </c>
      <c r="H669" s="256">
        <v>35</v>
      </c>
      <c r="I669" s="256"/>
      <c r="J669" s="256">
        <v>45</v>
      </c>
      <c r="K669" s="256">
        <v>33</v>
      </c>
      <c r="L669" s="256">
        <v>25</v>
      </c>
      <c r="M669" s="256">
        <v>30</v>
      </c>
      <c r="N669" s="256"/>
      <c r="O669" s="256">
        <f t="shared" ref="O669:O726" si="310">SUM(E669:I669)</f>
        <v>125</v>
      </c>
      <c r="P669" s="256">
        <f t="shared" ref="P669:P726" si="311">SUM(J669:N669)</f>
        <v>133</v>
      </c>
      <c r="Q669" s="256" t="str">
        <f t="shared" ref="Q669:Q726" si="312">IF(E669=J669,"TT",IF(E669&gt;J669,"HW","HL"))</f>
        <v>HL</v>
      </c>
      <c r="R669" s="256" t="str">
        <f t="shared" ref="R669:R726" si="313">IF(F669=K669,"TT",IF(F669&gt;K669,"HW","HL"))</f>
        <v>HL</v>
      </c>
      <c r="S669" s="256" t="str">
        <f t="shared" ref="S669:S726" si="314">IF(G669=L669,"TT",IF(G669&gt;L669,"HW","HL"))</f>
        <v>HW</v>
      </c>
      <c r="T669" s="256" t="str">
        <f t="shared" ref="T669:T726" si="315">IF(H669=M669,"TT",IF(H669&gt;M669,"HW","HL"))</f>
        <v>HW</v>
      </c>
      <c r="U669" s="256" t="str">
        <f t="shared" ref="U669:U726" si="316">IF(SUM(E669,J669)=$Z669,"T",IF(SUM(E669,J669)&gt;$Z669,"O","U"))</f>
        <v>O</v>
      </c>
      <c r="V669" s="256" t="str">
        <f t="shared" ref="V669:V726" si="317">IF(SUM(F669,K669)=$Z669,"T",IF(SUM(F669,K669)&gt;$Z669,"O","U"))</f>
        <v>O</v>
      </c>
      <c r="W669" s="256" t="str">
        <f t="shared" ref="W669:W726" si="318">IF(SUM(G669,L669)=$Z669,"T",IF(SUM(G669,L669)&gt;$Z669,"O","U"))</f>
        <v>U</v>
      </c>
      <c r="X669" s="256" t="str">
        <f t="shared" ref="X669:X726" si="319">IF(SUM(H669,M669)=$Z669,"T",IF(SUM(H669,M669)&gt;$Z669,"O","U"))</f>
        <v>O</v>
      </c>
      <c r="Z669" s="3">
        <v>58.5</v>
      </c>
      <c r="AB669" s="256" t="str">
        <f t="shared" si="309"/>
        <v>POR/DAL</v>
      </c>
      <c r="AC669" s="256">
        <f t="shared" ref="AC669:AC726" si="320">COUNTIF(U669:X669,"o")</f>
        <v>3</v>
      </c>
      <c r="AD669" s="256">
        <f t="shared" ref="AD669:AD726" si="321">COUNTIF(U669:X669,"u")</f>
        <v>1</v>
      </c>
    </row>
    <row r="670" spans="1:30" x14ac:dyDescent="0.3">
      <c r="A670" s="256">
        <v>200125</v>
      </c>
      <c r="B670" s="257">
        <v>0.20833333333333334</v>
      </c>
      <c r="C670" s="256" t="s">
        <v>409</v>
      </c>
      <c r="D670" s="256" t="s">
        <v>423</v>
      </c>
      <c r="E670" s="256">
        <v>31</v>
      </c>
      <c r="F670" s="256">
        <v>24</v>
      </c>
      <c r="G670" s="256">
        <v>23</v>
      </c>
      <c r="H670" s="256">
        <v>25</v>
      </c>
      <c r="I670" s="256"/>
      <c r="J670" s="256">
        <v>24</v>
      </c>
      <c r="K670" s="256">
        <v>26</v>
      </c>
      <c r="L670" s="256">
        <v>28</v>
      </c>
      <c r="M670" s="256">
        <v>38</v>
      </c>
      <c r="N670" s="256"/>
      <c r="O670" s="256">
        <f t="shared" si="310"/>
        <v>103</v>
      </c>
      <c r="P670" s="256">
        <f t="shared" si="311"/>
        <v>116</v>
      </c>
      <c r="Q670" s="256" t="str">
        <f t="shared" si="312"/>
        <v>HW</v>
      </c>
      <c r="R670" s="256" t="str">
        <f t="shared" si="313"/>
        <v>HL</v>
      </c>
      <c r="S670" s="256" t="str">
        <f t="shared" si="314"/>
        <v>HL</v>
      </c>
      <c r="T670" s="256" t="str">
        <f t="shared" si="315"/>
        <v>HL</v>
      </c>
      <c r="U670" s="256" t="str">
        <f t="shared" si="316"/>
        <v>O</v>
      </c>
      <c r="V670" s="256" t="str">
        <f t="shared" si="317"/>
        <v>U</v>
      </c>
      <c r="W670" s="256" t="str">
        <f t="shared" si="318"/>
        <v>U</v>
      </c>
      <c r="X670" s="256" t="str">
        <f t="shared" si="319"/>
        <v>O</v>
      </c>
      <c r="Z670" s="3">
        <v>54</v>
      </c>
      <c r="AB670" s="256" t="str">
        <f t="shared" si="309"/>
        <v>CHA/MIL</v>
      </c>
      <c r="AC670" s="256">
        <f t="shared" si="320"/>
        <v>2</v>
      </c>
      <c r="AD670" s="256">
        <f t="shared" si="321"/>
        <v>2</v>
      </c>
    </row>
    <row r="671" spans="1:30" x14ac:dyDescent="0.3">
      <c r="A671" s="256">
        <v>200125</v>
      </c>
      <c r="B671" s="257">
        <v>0.375</v>
      </c>
      <c r="C671" s="256" t="s">
        <v>422</v>
      </c>
      <c r="D671" s="256" t="s">
        <v>406</v>
      </c>
      <c r="E671" s="256">
        <v>23</v>
      </c>
      <c r="F671" s="256">
        <v>38</v>
      </c>
      <c r="G671" s="256">
        <v>24</v>
      </c>
      <c r="H671" s="256">
        <v>27</v>
      </c>
      <c r="I671" s="256"/>
      <c r="J671" s="256">
        <v>35</v>
      </c>
      <c r="K671" s="256">
        <v>31</v>
      </c>
      <c r="L671" s="256">
        <v>26</v>
      </c>
      <c r="M671" s="256">
        <v>33</v>
      </c>
      <c r="N671" s="256"/>
      <c r="O671" s="256">
        <f t="shared" si="310"/>
        <v>112</v>
      </c>
      <c r="P671" s="256">
        <f t="shared" si="311"/>
        <v>125</v>
      </c>
      <c r="Q671" s="256" t="str">
        <f t="shared" si="312"/>
        <v>HL</v>
      </c>
      <c r="R671" s="256" t="str">
        <f t="shared" si="313"/>
        <v>HW</v>
      </c>
      <c r="S671" s="256" t="str">
        <f t="shared" si="314"/>
        <v>HL</v>
      </c>
      <c r="T671" s="256" t="str">
        <f t="shared" si="315"/>
        <v>HL</v>
      </c>
      <c r="U671" s="256" t="str">
        <f t="shared" si="316"/>
        <v>O</v>
      </c>
      <c r="V671" s="256" t="str">
        <f t="shared" si="317"/>
        <v>O</v>
      </c>
      <c r="W671" s="256" t="str">
        <f t="shared" si="318"/>
        <v>U</v>
      </c>
      <c r="X671" s="256" t="str">
        <f t="shared" si="319"/>
        <v>O</v>
      </c>
      <c r="Z671" s="3">
        <v>56.5</v>
      </c>
      <c r="AB671" s="256" t="str">
        <f t="shared" si="309"/>
        <v>DET/MEM</v>
      </c>
      <c r="AC671" s="256">
        <f t="shared" si="320"/>
        <v>3</v>
      </c>
      <c r="AD671" s="256">
        <f t="shared" si="321"/>
        <v>1</v>
      </c>
    </row>
    <row r="672" spans="1:30" x14ac:dyDescent="0.3">
      <c r="A672" s="256">
        <v>200125</v>
      </c>
      <c r="B672" s="257">
        <v>0.375</v>
      </c>
      <c r="C672" s="256" t="s">
        <v>424</v>
      </c>
      <c r="D672" s="256" t="s">
        <v>421</v>
      </c>
      <c r="E672" s="256">
        <v>30</v>
      </c>
      <c r="F672" s="256">
        <v>27</v>
      </c>
      <c r="G672" s="256">
        <v>20</v>
      </c>
      <c r="H672" s="256">
        <v>21</v>
      </c>
      <c r="I672" s="256"/>
      <c r="J672" s="256">
        <v>24</v>
      </c>
      <c r="K672" s="256">
        <v>29</v>
      </c>
      <c r="L672" s="256">
        <v>29</v>
      </c>
      <c r="M672" s="256">
        <v>27</v>
      </c>
      <c r="N672" s="256"/>
      <c r="O672" s="256">
        <f t="shared" si="310"/>
        <v>98</v>
      </c>
      <c r="P672" s="256">
        <f t="shared" si="311"/>
        <v>109</v>
      </c>
      <c r="Q672" s="256" t="str">
        <f t="shared" si="312"/>
        <v>HW</v>
      </c>
      <c r="R672" s="256" t="str">
        <f t="shared" si="313"/>
        <v>HL</v>
      </c>
      <c r="S672" s="256" t="str">
        <f t="shared" si="314"/>
        <v>HL</v>
      </c>
      <c r="T672" s="256" t="str">
        <f t="shared" si="315"/>
        <v>HL</v>
      </c>
      <c r="U672" s="256" t="str">
        <f t="shared" si="316"/>
        <v>O</v>
      </c>
      <c r="V672" s="256" t="str">
        <f t="shared" si="317"/>
        <v>O</v>
      </c>
      <c r="W672" s="256" t="str">
        <f t="shared" si="318"/>
        <v>U</v>
      </c>
      <c r="X672" s="256" t="str">
        <f t="shared" si="319"/>
        <v>U</v>
      </c>
      <c r="Z672" s="3">
        <v>52.5</v>
      </c>
      <c r="AB672" s="256" t="str">
        <f t="shared" si="309"/>
        <v>ORL/BOS</v>
      </c>
      <c r="AC672" s="256">
        <f t="shared" si="320"/>
        <v>2</v>
      </c>
      <c r="AD672" s="256">
        <f t="shared" si="321"/>
        <v>2</v>
      </c>
    </row>
    <row r="673" spans="1:30" x14ac:dyDescent="0.3">
      <c r="A673" s="256">
        <v>200125</v>
      </c>
      <c r="B673" s="257">
        <v>0.39583333333333331</v>
      </c>
      <c r="C673" s="256" t="s">
        <v>399</v>
      </c>
      <c r="D673" s="256" t="s">
        <v>413</v>
      </c>
      <c r="E673" s="256">
        <v>28</v>
      </c>
      <c r="F673" s="256">
        <v>25</v>
      </c>
      <c r="G673" s="256">
        <v>26</v>
      </c>
      <c r="H673" s="256">
        <v>33</v>
      </c>
      <c r="I673" s="256"/>
      <c r="J673" s="256">
        <v>20</v>
      </c>
      <c r="K673" s="256">
        <v>36</v>
      </c>
      <c r="L673" s="256">
        <v>29</v>
      </c>
      <c r="M673" s="256">
        <v>33</v>
      </c>
      <c r="N673" s="256"/>
      <c r="O673" s="256">
        <f t="shared" si="310"/>
        <v>112</v>
      </c>
      <c r="P673" s="256">
        <f t="shared" si="311"/>
        <v>118</v>
      </c>
      <c r="Q673" s="256" t="str">
        <f t="shared" si="312"/>
        <v>HW</v>
      </c>
      <c r="R673" s="256" t="str">
        <f t="shared" si="313"/>
        <v>HL</v>
      </c>
      <c r="S673" s="256" t="str">
        <f t="shared" si="314"/>
        <v>HL</v>
      </c>
      <c r="T673" s="256" t="str">
        <f t="shared" si="315"/>
        <v>TT</v>
      </c>
      <c r="U673" s="256" t="str">
        <f t="shared" si="316"/>
        <v>U</v>
      </c>
      <c r="V673" s="256" t="str">
        <f t="shared" si="317"/>
        <v>O</v>
      </c>
      <c r="W673" s="256" t="str">
        <f t="shared" si="318"/>
        <v>U</v>
      </c>
      <c r="X673" s="256" t="str">
        <f t="shared" si="319"/>
        <v>O</v>
      </c>
      <c r="Z673" s="3">
        <v>55.5</v>
      </c>
      <c r="AB673" s="256" t="str">
        <f t="shared" si="309"/>
        <v>NYK/TOR</v>
      </c>
      <c r="AC673" s="256">
        <f t="shared" si="320"/>
        <v>2</v>
      </c>
      <c r="AD673" s="256">
        <f t="shared" si="321"/>
        <v>2</v>
      </c>
    </row>
    <row r="674" spans="1:30" x14ac:dyDescent="0.3">
      <c r="A674" s="256">
        <v>200125</v>
      </c>
      <c r="B674" s="257">
        <v>0.41666666666666669</v>
      </c>
      <c r="C674" s="256" t="s">
        <v>398</v>
      </c>
      <c r="D674" s="256" t="s">
        <v>408</v>
      </c>
      <c r="E674" s="256">
        <v>28</v>
      </c>
      <c r="F674" s="256">
        <v>28</v>
      </c>
      <c r="G674" s="256">
        <v>26</v>
      </c>
      <c r="H674" s="256">
        <v>24</v>
      </c>
      <c r="I674" s="256"/>
      <c r="J674" s="256">
        <v>37</v>
      </c>
      <c r="K674" s="256">
        <v>26</v>
      </c>
      <c r="L674" s="256">
        <v>31</v>
      </c>
      <c r="M674" s="256">
        <v>19</v>
      </c>
      <c r="N674" s="256"/>
      <c r="O674" s="256">
        <f t="shared" si="310"/>
        <v>106</v>
      </c>
      <c r="P674" s="256">
        <f t="shared" si="311"/>
        <v>113</v>
      </c>
      <c r="Q674" s="256" t="str">
        <f t="shared" si="312"/>
        <v>HL</v>
      </c>
      <c r="R674" s="256" t="str">
        <f t="shared" si="313"/>
        <v>HW</v>
      </c>
      <c r="S674" s="256" t="str">
        <f t="shared" si="314"/>
        <v>HL</v>
      </c>
      <c r="T674" s="256" t="str">
        <f t="shared" si="315"/>
        <v>HW</v>
      </c>
      <c r="U674" s="256" t="str">
        <f t="shared" si="316"/>
        <v>O</v>
      </c>
      <c r="V674" s="256" t="str">
        <f t="shared" si="317"/>
        <v>U</v>
      </c>
      <c r="W674" s="256" t="str">
        <f t="shared" si="318"/>
        <v>U</v>
      </c>
      <c r="X674" s="256" t="str">
        <f t="shared" si="319"/>
        <v>U</v>
      </c>
      <c r="Z674" s="3">
        <v>59.5</v>
      </c>
      <c r="AB674" s="256" t="str">
        <f t="shared" si="309"/>
        <v>NO/DEN</v>
      </c>
      <c r="AC674" s="256">
        <f t="shared" si="320"/>
        <v>1</v>
      </c>
      <c r="AD674" s="256">
        <f t="shared" si="321"/>
        <v>3</v>
      </c>
    </row>
    <row r="675" spans="1:30" x14ac:dyDescent="0.3">
      <c r="A675" s="256">
        <v>200125</v>
      </c>
      <c r="B675" s="257">
        <v>0.41666666666666669</v>
      </c>
      <c r="C675" s="256" t="s">
        <v>412</v>
      </c>
      <c r="D675" s="256" t="s">
        <v>416</v>
      </c>
      <c r="E675" s="256">
        <v>21</v>
      </c>
      <c r="F675" s="256">
        <v>23</v>
      </c>
      <c r="G675" s="256">
        <v>25</v>
      </c>
      <c r="H675" s="256">
        <v>12</v>
      </c>
      <c r="I675" s="256"/>
      <c r="J675" s="256">
        <v>29</v>
      </c>
      <c r="K675" s="256">
        <v>25</v>
      </c>
      <c r="L675" s="256">
        <v>21</v>
      </c>
      <c r="M675" s="256">
        <v>23</v>
      </c>
      <c r="N675" s="256"/>
      <c r="O675" s="256">
        <f t="shared" si="310"/>
        <v>81</v>
      </c>
      <c r="P675" s="256">
        <f t="shared" si="311"/>
        <v>98</v>
      </c>
      <c r="Q675" s="256" t="str">
        <f t="shared" si="312"/>
        <v>HL</v>
      </c>
      <c r="R675" s="256" t="str">
        <f t="shared" si="313"/>
        <v>HL</v>
      </c>
      <c r="S675" s="256" t="str">
        <f t="shared" si="314"/>
        <v>HW</v>
      </c>
      <c r="T675" s="256" t="str">
        <f t="shared" si="315"/>
        <v>HL</v>
      </c>
      <c r="U675" s="256" t="str">
        <f t="shared" si="316"/>
        <v>U</v>
      </c>
      <c r="V675" s="256" t="str">
        <f t="shared" si="317"/>
        <v>U</v>
      </c>
      <c r="W675" s="256" t="str">
        <f t="shared" si="318"/>
        <v>U</v>
      </c>
      <c r="X675" s="256" t="str">
        <f t="shared" si="319"/>
        <v>U</v>
      </c>
      <c r="Z675" s="3">
        <v>56</v>
      </c>
      <c r="AB675" s="256" t="str">
        <f t="shared" si="309"/>
        <v>CHI/SAC</v>
      </c>
      <c r="AC675" s="256">
        <f t="shared" si="320"/>
        <v>0</v>
      </c>
      <c r="AD675" s="256">
        <f t="shared" si="321"/>
        <v>4</v>
      </c>
    </row>
    <row r="676" spans="1:30" x14ac:dyDescent="0.3">
      <c r="A676" s="256">
        <v>200125</v>
      </c>
      <c r="B676" s="257">
        <v>0.41666666666666669</v>
      </c>
      <c r="C676" s="256" t="s">
        <v>411</v>
      </c>
      <c r="D676" s="256" t="s">
        <v>415</v>
      </c>
      <c r="E676" s="256">
        <v>30</v>
      </c>
      <c r="F676" s="256">
        <v>35</v>
      </c>
      <c r="G676" s="256">
        <v>20</v>
      </c>
      <c r="H676" s="256">
        <v>32</v>
      </c>
      <c r="I676" s="256"/>
      <c r="J676" s="256">
        <v>22</v>
      </c>
      <c r="K676" s="256">
        <v>41</v>
      </c>
      <c r="L676" s="256">
        <v>38</v>
      </c>
      <c r="M676" s="256">
        <v>21</v>
      </c>
      <c r="N676" s="256"/>
      <c r="O676" s="256">
        <f t="shared" si="310"/>
        <v>117</v>
      </c>
      <c r="P676" s="256">
        <f t="shared" si="311"/>
        <v>122</v>
      </c>
      <c r="Q676" s="256" t="str">
        <f t="shared" si="312"/>
        <v>HW</v>
      </c>
      <c r="R676" s="256" t="str">
        <f t="shared" si="313"/>
        <v>HL</v>
      </c>
      <c r="S676" s="256" t="str">
        <f t="shared" si="314"/>
        <v>HL</v>
      </c>
      <c r="T676" s="256" t="str">
        <f t="shared" si="315"/>
        <v>HW</v>
      </c>
      <c r="U676" s="256" t="str">
        <f t="shared" si="316"/>
        <v>U</v>
      </c>
      <c r="V676" s="256" t="str">
        <f t="shared" si="317"/>
        <v>O</v>
      </c>
      <c r="W676" s="256" t="str">
        <f t="shared" si="318"/>
        <v>O</v>
      </c>
      <c r="X676" s="256" t="str">
        <f t="shared" si="319"/>
        <v>U</v>
      </c>
      <c r="Z676" s="3">
        <v>56.5</v>
      </c>
      <c r="AB676" s="256" t="str">
        <f t="shared" si="309"/>
        <v>MIA/LAC</v>
      </c>
      <c r="AC676" s="256">
        <f t="shared" si="320"/>
        <v>2</v>
      </c>
      <c r="AD676" s="256">
        <f t="shared" si="321"/>
        <v>2</v>
      </c>
    </row>
    <row r="677" spans="1:30" x14ac:dyDescent="0.3">
      <c r="A677" s="256">
        <v>200125</v>
      </c>
      <c r="B677" s="257">
        <v>0.41666666666666669</v>
      </c>
      <c r="C677" s="256" t="s">
        <v>420</v>
      </c>
      <c r="D677" s="256" t="s">
        <v>403</v>
      </c>
      <c r="E677" s="256">
        <v>26</v>
      </c>
      <c r="F677" s="256">
        <v>34</v>
      </c>
      <c r="G677" s="256">
        <v>24</v>
      </c>
      <c r="H677" s="256">
        <v>40</v>
      </c>
      <c r="I677" s="256"/>
      <c r="J677" s="256">
        <v>36</v>
      </c>
      <c r="K677" s="256">
        <v>27</v>
      </c>
      <c r="L677" s="256">
        <v>31</v>
      </c>
      <c r="M677" s="256">
        <v>37</v>
      </c>
      <c r="N677" s="256"/>
      <c r="O677" s="256">
        <f t="shared" si="310"/>
        <v>124</v>
      </c>
      <c r="P677" s="256">
        <f t="shared" si="311"/>
        <v>131</v>
      </c>
      <c r="Q677" s="256" t="str">
        <f t="shared" si="312"/>
        <v>HL</v>
      </c>
      <c r="R677" s="256" t="str">
        <f t="shared" si="313"/>
        <v>HW</v>
      </c>
      <c r="S677" s="256" t="str">
        <f t="shared" si="314"/>
        <v>HL</v>
      </c>
      <c r="T677" s="256" t="str">
        <f t="shared" si="315"/>
        <v>HW</v>
      </c>
      <c r="U677" s="256" t="str">
        <f t="shared" si="316"/>
        <v>O</v>
      </c>
      <c r="V677" s="256" t="str">
        <f t="shared" si="317"/>
        <v>O</v>
      </c>
      <c r="W677" s="256" t="str">
        <f t="shared" si="318"/>
        <v>U</v>
      </c>
      <c r="X677" s="256" t="str">
        <f t="shared" si="319"/>
        <v>O</v>
      </c>
      <c r="Z677" s="3">
        <v>60.5</v>
      </c>
      <c r="AB677" s="256" t="str">
        <f t="shared" si="309"/>
        <v>MIN/HOU</v>
      </c>
      <c r="AC677" s="256">
        <f t="shared" si="320"/>
        <v>3</v>
      </c>
      <c r="AD677" s="256">
        <f t="shared" si="321"/>
        <v>1</v>
      </c>
    </row>
    <row r="678" spans="1:30" x14ac:dyDescent="0.3">
      <c r="A678" s="256">
        <v>200125</v>
      </c>
      <c r="B678" s="257">
        <v>0.41666666666666669</v>
      </c>
      <c r="C678" s="256" t="s">
        <v>418</v>
      </c>
      <c r="D678" s="256" t="s">
        <v>410</v>
      </c>
      <c r="E678" s="256">
        <v>33</v>
      </c>
      <c r="F678" s="256">
        <v>33</v>
      </c>
      <c r="G678" s="256">
        <v>38</v>
      </c>
      <c r="H678" s="256">
        <v>36</v>
      </c>
      <c r="I678" s="256"/>
      <c r="J678" s="256">
        <v>30</v>
      </c>
      <c r="K678" s="256">
        <v>28</v>
      </c>
      <c r="L678" s="256">
        <v>32</v>
      </c>
      <c r="M678" s="256">
        <v>21</v>
      </c>
      <c r="N678" s="256"/>
      <c r="O678" s="256">
        <f t="shared" si="310"/>
        <v>140</v>
      </c>
      <c r="P678" s="256">
        <f t="shared" si="311"/>
        <v>111</v>
      </c>
      <c r="Q678" s="256" t="str">
        <f t="shared" si="312"/>
        <v>HW</v>
      </c>
      <c r="R678" s="256" t="str">
        <f t="shared" si="313"/>
        <v>HW</v>
      </c>
      <c r="S678" s="256" t="str">
        <f t="shared" si="314"/>
        <v>HW</v>
      </c>
      <c r="T678" s="256" t="str">
        <f t="shared" si="315"/>
        <v>HW</v>
      </c>
      <c r="U678" s="256" t="str">
        <f t="shared" si="316"/>
        <v>O</v>
      </c>
      <c r="V678" s="256" t="str">
        <f t="shared" si="317"/>
        <v>O</v>
      </c>
      <c r="W678" s="256" t="str">
        <f t="shared" si="318"/>
        <v>O</v>
      </c>
      <c r="X678" s="256" t="str">
        <f t="shared" si="319"/>
        <v>U</v>
      </c>
      <c r="Z678" s="3">
        <v>59</v>
      </c>
      <c r="AB678" s="256" t="str">
        <f t="shared" si="309"/>
        <v>OKC/ATL</v>
      </c>
      <c r="AC678" s="256">
        <f t="shared" si="320"/>
        <v>3</v>
      </c>
      <c r="AD678" s="256">
        <f t="shared" si="321"/>
        <v>1</v>
      </c>
    </row>
    <row r="679" spans="1:30" x14ac:dyDescent="0.3">
      <c r="A679" s="256">
        <v>200125</v>
      </c>
      <c r="B679" s="257">
        <v>0.4375</v>
      </c>
      <c r="C679" s="256" t="s">
        <v>426</v>
      </c>
      <c r="D679" s="256" t="s">
        <v>404</v>
      </c>
      <c r="E679" s="256">
        <v>28</v>
      </c>
      <c r="F679" s="256">
        <v>16</v>
      </c>
      <c r="G679" s="256">
        <v>28</v>
      </c>
      <c r="H679" s="256">
        <v>27</v>
      </c>
      <c r="I679" s="256"/>
      <c r="J679" s="256">
        <v>22</v>
      </c>
      <c r="K679" s="256">
        <v>34</v>
      </c>
      <c r="L679" s="256">
        <v>22</v>
      </c>
      <c r="M679" s="256">
        <v>25</v>
      </c>
      <c r="N679" s="256"/>
      <c r="O679" s="256">
        <f t="shared" si="310"/>
        <v>99</v>
      </c>
      <c r="P679" s="256">
        <f t="shared" si="311"/>
        <v>103</v>
      </c>
      <c r="Q679" s="256" t="str">
        <f t="shared" si="312"/>
        <v>HW</v>
      </c>
      <c r="R679" s="256" t="str">
        <f t="shared" si="313"/>
        <v>HL</v>
      </c>
      <c r="S679" s="256" t="str">
        <f t="shared" si="314"/>
        <v>HW</v>
      </c>
      <c r="T679" s="256" t="str">
        <f t="shared" si="315"/>
        <v>HW</v>
      </c>
      <c r="U679" s="256" t="str">
        <f t="shared" si="316"/>
        <v>U</v>
      </c>
      <c r="V679" s="256" t="str">
        <f t="shared" si="317"/>
        <v>U</v>
      </c>
      <c r="W679" s="256" t="str">
        <f t="shared" si="318"/>
        <v>U</v>
      </c>
      <c r="X679" s="256" t="str">
        <f t="shared" si="319"/>
        <v>U</v>
      </c>
      <c r="Z679" s="3">
        <v>55.5</v>
      </c>
      <c r="AB679" s="256" t="str">
        <f t="shared" si="309"/>
        <v>SAS/PHO</v>
      </c>
      <c r="AC679" s="256">
        <f t="shared" si="320"/>
        <v>0</v>
      </c>
      <c r="AD679" s="256">
        <f t="shared" si="321"/>
        <v>4</v>
      </c>
    </row>
    <row r="680" spans="1:30" x14ac:dyDescent="0.3">
      <c r="A680" s="256">
        <v>200125</v>
      </c>
      <c r="B680" s="257">
        <v>0.52083333333333337</v>
      </c>
      <c r="C680" s="256" t="s">
        <v>425</v>
      </c>
      <c r="D680" s="256" t="s">
        <v>400</v>
      </c>
      <c r="E680" s="256">
        <v>30</v>
      </c>
      <c r="F680" s="256">
        <v>21</v>
      </c>
      <c r="G680" s="256">
        <v>35</v>
      </c>
      <c r="H680" s="256">
        <v>32</v>
      </c>
      <c r="I680" s="256"/>
      <c r="J680" s="256">
        <v>35</v>
      </c>
      <c r="K680" s="256">
        <v>32</v>
      </c>
      <c r="L680" s="256">
        <v>31</v>
      </c>
      <c r="M680" s="256">
        <v>31</v>
      </c>
      <c r="N680" s="256"/>
      <c r="O680" s="256">
        <f t="shared" si="310"/>
        <v>118</v>
      </c>
      <c r="P680" s="256">
        <f t="shared" si="311"/>
        <v>129</v>
      </c>
      <c r="Q680" s="256" t="str">
        <f t="shared" si="312"/>
        <v>HL</v>
      </c>
      <c r="R680" s="256" t="str">
        <f t="shared" si="313"/>
        <v>HL</v>
      </c>
      <c r="S680" s="256" t="str">
        <f t="shared" si="314"/>
        <v>HW</v>
      </c>
      <c r="T680" s="256" t="str">
        <f t="shared" si="315"/>
        <v>HW</v>
      </c>
      <c r="U680" s="256" t="str">
        <f t="shared" si="316"/>
        <v>O</v>
      </c>
      <c r="V680" s="256" t="str">
        <f t="shared" si="317"/>
        <v>U</v>
      </c>
      <c r="W680" s="256" t="str">
        <f t="shared" si="318"/>
        <v>O</v>
      </c>
      <c r="X680" s="256" t="str">
        <f t="shared" si="319"/>
        <v>O</v>
      </c>
      <c r="Z680" s="3">
        <v>55</v>
      </c>
      <c r="AB680" s="256" t="str">
        <f t="shared" si="309"/>
        <v>GS/IND</v>
      </c>
      <c r="AC680" s="256">
        <f t="shared" si="320"/>
        <v>3</v>
      </c>
      <c r="AD680" s="256">
        <f t="shared" si="321"/>
        <v>1</v>
      </c>
    </row>
    <row r="681" spans="1:30" x14ac:dyDescent="0.3">
      <c r="A681" s="256">
        <v>200126</v>
      </c>
      <c r="B681" s="257">
        <v>0.29166666666666669</v>
      </c>
      <c r="C681" s="256" t="s">
        <v>405</v>
      </c>
      <c r="D681" s="256" t="s">
        <v>397</v>
      </c>
      <c r="E681" s="256">
        <v>25</v>
      </c>
      <c r="F681" s="256">
        <v>30</v>
      </c>
      <c r="G681" s="256">
        <v>25</v>
      </c>
      <c r="H681" s="256">
        <v>32</v>
      </c>
      <c r="I681" s="256"/>
      <c r="J681" s="256">
        <v>36</v>
      </c>
      <c r="K681" s="256">
        <v>22</v>
      </c>
      <c r="L681" s="256">
        <v>26</v>
      </c>
      <c r="M681" s="256">
        <v>23</v>
      </c>
      <c r="N681" s="256"/>
      <c r="O681" s="256">
        <f t="shared" si="310"/>
        <v>112</v>
      </c>
      <c r="P681" s="256">
        <f t="shared" si="311"/>
        <v>107</v>
      </c>
      <c r="Q681" s="256" t="str">
        <f t="shared" si="312"/>
        <v>HL</v>
      </c>
      <c r="R681" s="256" t="str">
        <f t="shared" si="313"/>
        <v>HW</v>
      </c>
      <c r="S681" s="256" t="str">
        <f t="shared" si="314"/>
        <v>HL</v>
      </c>
      <c r="T681" s="256" t="str">
        <f t="shared" si="315"/>
        <v>HW</v>
      </c>
      <c r="U681" s="256" t="str">
        <f t="shared" si="316"/>
        <v>O</v>
      </c>
      <c r="V681" s="256" t="str">
        <f t="shared" si="317"/>
        <v>U</v>
      </c>
      <c r="W681" s="256" t="str">
        <f t="shared" si="318"/>
        <v>U</v>
      </c>
      <c r="X681" s="256" t="str">
        <f t="shared" si="319"/>
        <v>U</v>
      </c>
      <c r="Z681" s="3">
        <v>58.5</v>
      </c>
      <c r="AB681" s="256" t="str">
        <f t="shared" si="309"/>
        <v>UTA/DAL</v>
      </c>
      <c r="AC681" s="256">
        <f t="shared" si="320"/>
        <v>1</v>
      </c>
      <c r="AD681" s="256">
        <f t="shared" si="321"/>
        <v>3</v>
      </c>
    </row>
    <row r="682" spans="1:30" x14ac:dyDescent="0.3">
      <c r="A682" s="256">
        <v>200126</v>
      </c>
      <c r="B682" s="257">
        <v>0.375</v>
      </c>
      <c r="C682" s="256" t="s">
        <v>422</v>
      </c>
      <c r="D682" s="256" t="s">
        <v>407</v>
      </c>
      <c r="E682" s="256">
        <v>25</v>
      </c>
      <c r="F682" s="256">
        <v>35</v>
      </c>
      <c r="G682" s="256">
        <v>17</v>
      </c>
      <c r="H682" s="256">
        <v>29</v>
      </c>
      <c r="I682" s="256">
        <v>5</v>
      </c>
      <c r="J682" s="256">
        <v>26</v>
      </c>
      <c r="K682" s="256">
        <v>24</v>
      </c>
      <c r="L682" s="256">
        <v>30</v>
      </c>
      <c r="M682" s="256">
        <v>26</v>
      </c>
      <c r="N682" s="256">
        <v>15</v>
      </c>
      <c r="O682" s="256">
        <f t="shared" si="310"/>
        <v>111</v>
      </c>
      <c r="P682" s="256">
        <f t="shared" si="311"/>
        <v>121</v>
      </c>
      <c r="Q682" s="256" t="str">
        <f t="shared" si="312"/>
        <v>HL</v>
      </c>
      <c r="R682" s="256" t="str">
        <f t="shared" si="313"/>
        <v>HW</v>
      </c>
      <c r="S682" s="256" t="str">
        <f t="shared" si="314"/>
        <v>HL</v>
      </c>
      <c r="T682" s="256" t="str">
        <f t="shared" si="315"/>
        <v>HW</v>
      </c>
      <c r="U682" s="256" t="str">
        <f t="shared" si="316"/>
        <v>U</v>
      </c>
      <c r="V682" s="256" t="str">
        <f t="shared" si="317"/>
        <v>O</v>
      </c>
      <c r="W682" s="256" t="str">
        <f t="shared" si="318"/>
        <v>U</v>
      </c>
      <c r="X682" s="256" t="str">
        <f t="shared" si="319"/>
        <v>U</v>
      </c>
      <c r="Z682" s="3">
        <v>55.5</v>
      </c>
      <c r="AB682" s="256" t="str">
        <f t="shared" si="309"/>
        <v>DET/BKN</v>
      </c>
      <c r="AC682" s="256">
        <f t="shared" si="320"/>
        <v>1</v>
      </c>
      <c r="AD682" s="256">
        <f t="shared" si="321"/>
        <v>3</v>
      </c>
    </row>
    <row r="683" spans="1:30" x14ac:dyDescent="0.3">
      <c r="A683" s="256">
        <v>200126</v>
      </c>
      <c r="B683" s="257">
        <v>0.41666666666666669</v>
      </c>
      <c r="C683" s="256" t="s">
        <v>402</v>
      </c>
      <c r="D683" s="256" t="s">
        <v>412</v>
      </c>
      <c r="E683" s="256">
        <v>31</v>
      </c>
      <c r="F683" s="256">
        <v>26</v>
      </c>
      <c r="G683" s="256">
        <v>19</v>
      </c>
      <c r="H683" s="256">
        <v>30</v>
      </c>
      <c r="I683" s="256"/>
      <c r="J683" s="256">
        <v>25</v>
      </c>
      <c r="K683" s="256">
        <v>34</v>
      </c>
      <c r="L683" s="256">
        <v>40</v>
      </c>
      <c r="M683" s="256">
        <v>19</v>
      </c>
      <c r="N683" s="256"/>
      <c r="O683" s="256">
        <f t="shared" si="310"/>
        <v>106</v>
      </c>
      <c r="P683" s="256">
        <f t="shared" si="311"/>
        <v>118</v>
      </c>
      <c r="Q683" s="256" t="str">
        <f t="shared" si="312"/>
        <v>HW</v>
      </c>
      <c r="R683" s="256" t="str">
        <f t="shared" si="313"/>
        <v>HL</v>
      </c>
      <c r="S683" s="256" t="str">
        <f t="shared" si="314"/>
        <v>HL</v>
      </c>
      <c r="T683" s="256" t="str">
        <f t="shared" si="315"/>
        <v>HW</v>
      </c>
      <c r="U683" s="256" t="str">
        <f t="shared" si="316"/>
        <v>O</v>
      </c>
      <c r="V683" s="256" t="str">
        <f t="shared" si="317"/>
        <v>O</v>
      </c>
      <c r="W683" s="256" t="str">
        <f t="shared" si="318"/>
        <v>O</v>
      </c>
      <c r="X683" s="256" t="str">
        <f t="shared" si="319"/>
        <v>U</v>
      </c>
      <c r="Z683" s="3">
        <v>54.5</v>
      </c>
      <c r="AB683" s="256" t="str">
        <f t="shared" si="309"/>
        <v>CLE/CHI</v>
      </c>
      <c r="AC683" s="256">
        <f t="shared" si="320"/>
        <v>3</v>
      </c>
      <c r="AD683" s="256">
        <f t="shared" si="321"/>
        <v>1</v>
      </c>
    </row>
    <row r="684" spans="1:30" x14ac:dyDescent="0.3">
      <c r="A684" s="256">
        <v>200126</v>
      </c>
      <c r="B684" s="257">
        <v>0.41666666666666669</v>
      </c>
      <c r="C684" s="256" t="s">
        <v>420</v>
      </c>
      <c r="D684" s="256" t="s">
        <v>418</v>
      </c>
      <c r="E684" s="256">
        <v>22</v>
      </c>
      <c r="F684" s="256">
        <v>26</v>
      </c>
      <c r="G684" s="256">
        <v>24</v>
      </c>
      <c r="H684" s="256">
        <v>32</v>
      </c>
      <c r="I684" s="256"/>
      <c r="J684" s="256">
        <v>28</v>
      </c>
      <c r="K684" s="256">
        <v>24</v>
      </c>
      <c r="L684" s="256">
        <v>39</v>
      </c>
      <c r="M684" s="256">
        <v>22</v>
      </c>
      <c r="N684" s="256"/>
      <c r="O684" s="256">
        <f t="shared" si="310"/>
        <v>104</v>
      </c>
      <c r="P684" s="256">
        <f t="shared" si="311"/>
        <v>113</v>
      </c>
      <c r="Q684" s="256" t="str">
        <f t="shared" si="312"/>
        <v>HL</v>
      </c>
      <c r="R684" s="256" t="str">
        <f t="shared" si="313"/>
        <v>HW</v>
      </c>
      <c r="S684" s="256" t="str">
        <f t="shared" si="314"/>
        <v>HL</v>
      </c>
      <c r="T684" s="256" t="str">
        <f t="shared" si="315"/>
        <v>HW</v>
      </c>
      <c r="U684" s="256" t="str">
        <f t="shared" si="316"/>
        <v>U</v>
      </c>
      <c r="V684" s="256" t="str">
        <f t="shared" si="317"/>
        <v>U</v>
      </c>
      <c r="W684" s="256" t="str">
        <f t="shared" si="318"/>
        <v>O</v>
      </c>
      <c r="X684" s="256" t="str">
        <f t="shared" si="319"/>
        <v>U</v>
      </c>
      <c r="Z684" s="3">
        <v>58</v>
      </c>
      <c r="AB684" s="256" t="str">
        <f t="shared" si="309"/>
        <v>MIN/OKC</v>
      </c>
      <c r="AC684" s="256">
        <f t="shared" si="320"/>
        <v>1</v>
      </c>
      <c r="AD684" s="256">
        <f t="shared" si="321"/>
        <v>3</v>
      </c>
    </row>
    <row r="685" spans="1:30" x14ac:dyDescent="0.3">
      <c r="A685" s="256">
        <v>200126</v>
      </c>
      <c r="B685" s="257">
        <v>0.4375</v>
      </c>
      <c r="C685" s="256" t="s">
        <v>401</v>
      </c>
      <c r="D685" s="256" t="s">
        <v>419</v>
      </c>
      <c r="E685" s="256">
        <v>35</v>
      </c>
      <c r="F685" s="256">
        <v>24</v>
      </c>
      <c r="G685" s="256">
        <v>26</v>
      </c>
      <c r="H685" s="256">
        <v>23</v>
      </c>
      <c r="I685" s="256"/>
      <c r="J685" s="256">
        <v>25</v>
      </c>
      <c r="K685" s="256">
        <v>25</v>
      </c>
      <c r="L685" s="256">
        <v>23</v>
      </c>
      <c r="M685" s="256">
        <v>18</v>
      </c>
      <c r="N685" s="256"/>
      <c r="O685" s="256">
        <f t="shared" si="310"/>
        <v>108</v>
      </c>
      <c r="P685" s="256">
        <f t="shared" si="311"/>
        <v>91</v>
      </c>
      <c r="Q685" s="256" t="str">
        <f t="shared" si="312"/>
        <v>HW</v>
      </c>
      <c r="R685" s="256" t="str">
        <f t="shared" si="313"/>
        <v>HL</v>
      </c>
      <c r="S685" s="256" t="str">
        <f t="shared" si="314"/>
        <v>HW</v>
      </c>
      <c r="T685" s="256" t="str">
        <f t="shared" si="315"/>
        <v>HW</v>
      </c>
      <c r="U685" s="256" t="str">
        <f t="shared" si="316"/>
        <v>O</v>
      </c>
      <c r="V685" s="256" t="str">
        <f t="shared" si="317"/>
        <v>U</v>
      </c>
      <c r="W685" s="256" t="str">
        <f t="shared" si="318"/>
        <v>U</v>
      </c>
      <c r="X685" s="256" t="str">
        <f t="shared" si="319"/>
        <v>U</v>
      </c>
      <c r="Z685" s="3">
        <v>57</v>
      </c>
      <c r="AB685" s="256" t="str">
        <f t="shared" si="309"/>
        <v>PHI/LAL</v>
      </c>
      <c r="AC685" s="256">
        <f t="shared" si="320"/>
        <v>1</v>
      </c>
      <c r="AD685" s="256">
        <f t="shared" si="321"/>
        <v>3</v>
      </c>
    </row>
    <row r="686" spans="1:30" x14ac:dyDescent="0.3">
      <c r="A686" s="256">
        <v>200127</v>
      </c>
      <c r="B686" s="257">
        <v>0.22916666666666666</v>
      </c>
      <c r="C686" s="256" t="s">
        <v>408</v>
      </c>
      <c r="D686" s="256" t="s">
        <v>403</v>
      </c>
      <c r="E686" s="256">
        <v>27</v>
      </c>
      <c r="F686" s="256">
        <v>30</v>
      </c>
      <c r="G686" s="256">
        <v>33</v>
      </c>
      <c r="H686" s="256">
        <v>27</v>
      </c>
      <c r="I686" s="256"/>
      <c r="J686" s="256">
        <v>36</v>
      </c>
      <c r="K686" s="256">
        <v>23</v>
      </c>
      <c r="L686" s="256">
        <v>30</v>
      </c>
      <c r="M686" s="256">
        <v>21</v>
      </c>
      <c r="N686" s="256"/>
      <c r="O686" s="256">
        <f t="shared" si="310"/>
        <v>117</v>
      </c>
      <c r="P686" s="256">
        <f t="shared" si="311"/>
        <v>110</v>
      </c>
      <c r="Q686" s="256" t="str">
        <f t="shared" si="312"/>
        <v>HL</v>
      </c>
      <c r="R686" s="256" t="str">
        <f t="shared" si="313"/>
        <v>HW</v>
      </c>
      <c r="S686" s="256" t="str">
        <f t="shared" si="314"/>
        <v>HW</v>
      </c>
      <c r="T686" s="256" t="str">
        <f t="shared" si="315"/>
        <v>HW</v>
      </c>
      <c r="U686" s="256" t="str">
        <f t="shared" si="316"/>
        <v>O</v>
      </c>
      <c r="V686" s="256" t="str">
        <f t="shared" si="317"/>
        <v>U</v>
      </c>
      <c r="W686" s="256" t="str">
        <f t="shared" si="318"/>
        <v>O</v>
      </c>
      <c r="X686" s="256" t="str">
        <f t="shared" si="319"/>
        <v>U</v>
      </c>
      <c r="Z686" s="3">
        <v>58</v>
      </c>
      <c r="AB686" s="256" t="str">
        <f t="shared" si="309"/>
        <v>DEN/HOU</v>
      </c>
      <c r="AC686" s="256">
        <f t="shared" si="320"/>
        <v>2</v>
      </c>
      <c r="AD686" s="256">
        <f t="shared" si="321"/>
        <v>2</v>
      </c>
    </row>
    <row r="687" spans="1:30" x14ac:dyDescent="0.3">
      <c r="A687" s="256">
        <v>200127</v>
      </c>
      <c r="B687" s="257">
        <v>0.25</v>
      </c>
      <c r="C687" s="256" t="s">
        <v>426</v>
      </c>
      <c r="D687" s="256" t="s">
        <v>413</v>
      </c>
      <c r="E687" s="256">
        <v>21</v>
      </c>
      <c r="F687" s="256">
        <v>30</v>
      </c>
      <c r="G687" s="256">
        <v>34</v>
      </c>
      <c r="H687" s="256">
        <v>21</v>
      </c>
      <c r="I687" s="256"/>
      <c r="J687" s="256">
        <v>37</v>
      </c>
      <c r="K687" s="256">
        <v>26</v>
      </c>
      <c r="L687" s="256">
        <v>23</v>
      </c>
      <c r="M687" s="256">
        <v>24</v>
      </c>
      <c r="N687" s="256"/>
      <c r="O687" s="256">
        <f t="shared" si="310"/>
        <v>106</v>
      </c>
      <c r="P687" s="256">
        <f t="shared" si="311"/>
        <v>110</v>
      </c>
      <c r="Q687" s="256" t="str">
        <f t="shared" si="312"/>
        <v>HL</v>
      </c>
      <c r="R687" s="256" t="str">
        <f t="shared" si="313"/>
        <v>HW</v>
      </c>
      <c r="S687" s="256" t="str">
        <f t="shared" si="314"/>
        <v>HW</v>
      </c>
      <c r="T687" s="256" t="str">
        <f t="shared" si="315"/>
        <v>HL</v>
      </c>
      <c r="U687" s="256" t="str">
        <f t="shared" si="316"/>
        <v>O</v>
      </c>
      <c r="V687" s="256" t="str">
        <f t="shared" si="317"/>
        <v>U</v>
      </c>
      <c r="W687" s="256" t="str">
        <f t="shared" si="318"/>
        <v>T</v>
      </c>
      <c r="X687" s="256" t="str">
        <f t="shared" si="319"/>
        <v>U</v>
      </c>
      <c r="Z687" s="3">
        <v>57</v>
      </c>
      <c r="AB687" s="256" t="str">
        <f t="shared" si="309"/>
        <v>SAS/TOR</v>
      </c>
      <c r="AC687" s="256">
        <f t="shared" si="320"/>
        <v>1</v>
      </c>
      <c r="AD687" s="256">
        <f t="shared" si="321"/>
        <v>2</v>
      </c>
    </row>
    <row r="688" spans="1:30" x14ac:dyDescent="0.3">
      <c r="A688" s="256">
        <v>200127</v>
      </c>
      <c r="B688" s="257">
        <v>0.33333333333333331</v>
      </c>
      <c r="C688" s="256" t="s">
        <v>410</v>
      </c>
      <c r="D688" s="256" t="s">
        <v>414</v>
      </c>
      <c r="E688" s="256">
        <v>31</v>
      </c>
      <c r="F688" s="256">
        <v>47</v>
      </c>
      <c r="G688" s="256">
        <v>41</v>
      </c>
      <c r="H688" s="256">
        <v>33</v>
      </c>
      <c r="I688" s="256"/>
      <c r="J688" s="256">
        <v>33</v>
      </c>
      <c r="K688" s="256">
        <v>39</v>
      </c>
      <c r="L688" s="256">
        <v>30</v>
      </c>
      <c r="M688" s="256">
        <v>31</v>
      </c>
      <c r="N688" s="256"/>
      <c r="O688" s="256">
        <f t="shared" si="310"/>
        <v>152</v>
      </c>
      <c r="P688" s="256">
        <f t="shared" si="311"/>
        <v>133</v>
      </c>
      <c r="Q688" s="256" t="str">
        <f t="shared" si="312"/>
        <v>HL</v>
      </c>
      <c r="R688" s="256" t="str">
        <f t="shared" si="313"/>
        <v>HW</v>
      </c>
      <c r="S688" s="256" t="str">
        <f t="shared" si="314"/>
        <v>HW</v>
      </c>
      <c r="T688" s="256" t="str">
        <f t="shared" si="315"/>
        <v>HW</v>
      </c>
      <c r="U688" s="256" t="str">
        <f t="shared" si="316"/>
        <v>O</v>
      </c>
      <c r="V688" s="256" t="str">
        <f t="shared" si="317"/>
        <v>O</v>
      </c>
      <c r="W688" s="256" t="str">
        <f t="shared" si="318"/>
        <v>O</v>
      </c>
      <c r="X688" s="256" t="str">
        <f t="shared" si="319"/>
        <v>O</v>
      </c>
      <c r="Z688" s="3">
        <v>61</v>
      </c>
      <c r="AB688" s="256" t="str">
        <f t="shared" si="309"/>
        <v>ATL/WAS</v>
      </c>
      <c r="AC688" s="256">
        <f t="shared" si="320"/>
        <v>4</v>
      </c>
      <c r="AD688" s="256">
        <f t="shared" si="321"/>
        <v>0</v>
      </c>
    </row>
    <row r="689" spans="1:30" x14ac:dyDescent="0.3">
      <c r="A689" s="256">
        <v>200127</v>
      </c>
      <c r="B689" s="257">
        <v>0.33333333333333331</v>
      </c>
      <c r="C689" s="256" t="s">
        <v>398</v>
      </c>
      <c r="D689" s="256" t="s">
        <v>421</v>
      </c>
      <c r="E689" s="256">
        <v>32</v>
      </c>
      <c r="F689" s="256">
        <v>30</v>
      </c>
      <c r="G689" s="256">
        <v>29</v>
      </c>
      <c r="H689" s="256">
        <v>32</v>
      </c>
      <c r="I689" s="256"/>
      <c r="J689" s="256">
        <v>20</v>
      </c>
      <c r="K689" s="256">
        <v>22</v>
      </c>
      <c r="L689" s="256">
        <v>39</v>
      </c>
      <c r="M689" s="256">
        <v>27</v>
      </c>
      <c r="N689" s="256"/>
      <c r="O689" s="256">
        <f t="shared" si="310"/>
        <v>123</v>
      </c>
      <c r="P689" s="256">
        <f t="shared" si="311"/>
        <v>108</v>
      </c>
      <c r="Q689" s="256" t="str">
        <f t="shared" si="312"/>
        <v>HW</v>
      </c>
      <c r="R689" s="256" t="str">
        <f t="shared" si="313"/>
        <v>HW</v>
      </c>
      <c r="S689" s="256" t="str">
        <f t="shared" si="314"/>
        <v>HL</v>
      </c>
      <c r="T689" s="256" t="str">
        <f t="shared" si="315"/>
        <v>HW</v>
      </c>
      <c r="U689" s="256" t="str">
        <f t="shared" si="316"/>
        <v>U</v>
      </c>
      <c r="V689" s="256" t="str">
        <f t="shared" si="317"/>
        <v>U</v>
      </c>
      <c r="W689" s="256" t="str">
        <f t="shared" si="318"/>
        <v>O</v>
      </c>
      <c r="X689" s="256" t="str">
        <f t="shared" si="319"/>
        <v>O</v>
      </c>
      <c r="Z689" s="3">
        <v>55.5</v>
      </c>
      <c r="AB689" s="256" t="str">
        <f t="shared" si="309"/>
        <v>NO/BOS</v>
      </c>
      <c r="AC689" s="256">
        <f t="shared" si="320"/>
        <v>2</v>
      </c>
      <c r="AD689" s="256">
        <f t="shared" si="321"/>
        <v>2</v>
      </c>
    </row>
    <row r="690" spans="1:30" x14ac:dyDescent="0.3">
      <c r="A690" s="256">
        <v>200127</v>
      </c>
      <c r="B690" s="257">
        <v>0.33333333333333331</v>
      </c>
      <c r="C690" s="256" t="s">
        <v>399</v>
      </c>
      <c r="D690" s="256" t="s">
        <v>407</v>
      </c>
      <c r="E690" s="256">
        <v>30</v>
      </c>
      <c r="F690" s="256">
        <v>25</v>
      </c>
      <c r="G690" s="256">
        <v>30</v>
      </c>
      <c r="H690" s="256">
        <v>25</v>
      </c>
      <c r="I690" s="256"/>
      <c r="J690" s="256">
        <v>28</v>
      </c>
      <c r="K690" s="256">
        <v>24</v>
      </c>
      <c r="L690" s="256">
        <v>24</v>
      </c>
      <c r="M690" s="256">
        <v>21</v>
      </c>
      <c r="N690" s="256"/>
      <c r="O690" s="256">
        <f t="shared" si="310"/>
        <v>110</v>
      </c>
      <c r="P690" s="256">
        <f t="shared" si="311"/>
        <v>97</v>
      </c>
      <c r="Q690" s="256" t="str">
        <f t="shared" si="312"/>
        <v>HW</v>
      </c>
      <c r="R690" s="256" t="str">
        <f t="shared" si="313"/>
        <v>HW</v>
      </c>
      <c r="S690" s="256" t="str">
        <f t="shared" si="314"/>
        <v>HW</v>
      </c>
      <c r="T690" s="256" t="str">
        <f t="shared" si="315"/>
        <v>HW</v>
      </c>
      <c r="U690" s="256" t="str">
        <f t="shared" si="316"/>
        <v>O</v>
      </c>
      <c r="V690" s="256" t="str">
        <f t="shared" si="317"/>
        <v>U</v>
      </c>
      <c r="W690" s="256" t="str">
        <f t="shared" si="318"/>
        <v>O</v>
      </c>
      <c r="X690" s="256" t="str">
        <f t="shared" si="319"/>
        <v>U</v>
      </c>
      <c r="Z690" s="3">
        <v>53.5</v>
      </c>
      <c r="AB690" s="256" t="str">
        <f t="shared" si="309"/>
        <v>NYK/BKN</v>
      </c>
      <c r="AC690" s="256">
        <f t="shared" si="320"/>
        <v>2</v>
      </c>
      <c r="AD690" s="256">
        <f t="shared" si="321"/>
        <v>2</v>
      </c>
    </row>
    <row r="691" spans="1:30" x14ac:dyDescent="0.3">
      <c r="A691" s="256">
        <v>200127</v>
      </c>
      <c r="B691" s="257">
        <v>0.33333333333333331</v>
      </c>
      <c r="C691" s="256" t="s">
        <v>424</v>
      </c>
      <c r="D691" s="256" t="s">
        <v>415</v>
      </c>
      <c r="E691" s="256">
        <v>28</v>
      </c>
      <c r="F691" s="256">
        <v>24</v>
      </c>
      <c r="G691" s="256">
        <v>20</v>
      </c>
      <c r="H691" s="256">
        <v>25</v>
      </c>
      <c r="I691" s="256"/>
      <c r="J691" s="256">
        <v>26</v>
      </c>
      <c r="K691" s="256">
        <v>28</v>
      </c>
      <c r="L691" s="256">
        <v>31</v>
      </c>
      <c r="M691" s="256">
        <v>27</v>
      </c>
      <c r="N691" s="256"/>
      <c r="O691" s="256">
        <f t="shared" si="310"/>
        <v>97</v>
      </c>
      <c r="P691" s="256">
        <f t="shared" si="311"/>
        <v>112</v>
      </c>
      <c r="Q691" s="256" t="str">
        <f t="shared" si="312"/>
        <v>HW</v>
      </c>
      <c r="R691" s="256" t="str">
        <f t="shared" si="313"/>
        <v>HL</v>
      </c>
      <c r="S691" s="256" t="str">
        <f t="shared" si="314"/>
        <v>HL</v>
      </c>
      <c r="T691" s="256" t="str">
        <f t="shared" si="315"/>
        <v>HL</v>
      </c>
      <c r="U691" s="256" t="str">
        <f t="shared" si="316"/>
        <v>U</v>
      </c>
      <c r="V691" s="256" t="str">
        <f t="shared" si="317"/>
        <v>U</v>
      </c>
      <c r="W691" s="256" t="str">
        <f t="shared" si="318"/>
        <v>U</v>
      </c>
      <c r="X691" s="256" t="str">
        <f t="shared" si="319"/>
        <v>U</v>
      </c>
      <c r="Z691" s="3">
        <v>54.5</v>
      </c>
      <c r="AB691" s="256" t="str">
        <f t="shared" si="309"/>
        <v>ORL/LAC</v>
      </c>
      <c r="AC691" s="256">
        <f t="shared" si="320"/>
        <v>0</v>
      </c>
      <c r="AD691" s="256">
        <f t="shared" si="321"/>
        <v>4</v>
      </c>
    </row>
    <row r="692" spans="1:30" x14ac:dyDescent="0.3">
      <c r="A692" s="256">
        <v>200127</v>
      </c>
      <c r="B692" s="257">
        <v>0.33333333333333331</v>
      </c>
      <c r="C692" s="256" t="s">
        <v>406</v>
      </c>
      <c r="D692" s="256" t="s">
        <v>404</v>
      </c>
      <c r="E692" s="256">
        <v>30</v>
      </c>
      <c r="F692" s="256">
        <v>26</v>
      </c>
      <c r="G692" s="256">
        <v>25</v>
      </c>
      <c r="H692" s="256">
        <v>33</v>
      </c>
      <c r="I692" s="256"/>
      <c r="J692" s="256">
        <v>18</v>
      </c>
      <c r="K692" s="256">
        <v>27</v>
      </c>
      <c r="L692" s="256">
        <v>33</v>
      </c>
      <c r="M692" s="256">
        <v>31</v>
      </c>
      <c r="N692" s="256"/>
      <c r="O692" s="256">
        <f t="shared" si="310"/>
        <v>114</v>
      </c>
      <c r="P692" s="256">
        <f t="shared" si="311"/>
        <v>109</v>
      </c>
      <c r="Q692" s="256" t="str">
        <f t="shared" si="312"/>
        <v>HW</v>
      </c>
      <c r="R692" s="256" t="str">
        <f t="shared" si="313"/>
        <v>HL</v>
      </c>
      <c r="S692" s="256" t="str">
        <f t="shared" si="314"/>
        <v>HL</v>
      </c>
      <c r="T692" s="256" t="str">
        <f t="shared" si="315"/>
        <v>HW</v>
      </c>
      <c r="U692" s="256" t="str">
        <f t="shared" si="316"/>
        <v>U</v>
      </c>
      <c r="V692" s="256" t="str">
        <f t="shared" si="317"/>
        <v>U</v>
      </c>
      <c r="W692" s="256" t="str">
        <f t="shared" si="318"/>
        <v>O</v>
      </c>
      <c r="X692" s="256" t="str">
        <f t="shared" si="319"/>
        <v>O</v>
      </c>
      <c r="Z692" s="3">
        <v>57</v>
      </c>
      <c r="AB692" s="256" t="str">
        <f t="shared" si="309"/>
        <v>MEM/PHO</v>
      </c>
      <c r="AC692" s="256">
        <f t="shared" si="320"/>
        <v>2</v>
      </c>
      <c r="AD692" s="256">
        <f t="shared" si="321"/>
        <v>2</v>
      </c>
    </row>
    <row r="693" spans="1:30" x14ac:dyDescent="0.3">
      <c r="A693" s="256">
        <v>200127</v>
      </c>
      <c r="B693" s="257">
        <v>0.45833333333333331</v>
      </c>
      <c r="C693" s="256" t="s">
        <v>417</v>
      </c>
      <c r="D693" s="256" t="s">
        <v>400</v>
      </c>
      <c r="E693" s="256">
        <v>36</v>
      </c>
      <c r="F693" s="256">
        <v>30</v>
      </c>
      <c r="G693" s="256">
        <v>40</v>
      </c>
      <c r="H693" s="256">
        <v>33</v>
      </c>
      <c r="I693" s="256"/>
      <c r="J693" s="256">
        <v>27</v>
      </c>
      <c r="K693" s="256">
        <v>29</v>
      </c>
      <c r="L693" s="256">
        <v>37</v>
      </c>
      <c r="M693" s="256">
        <v>36</v>
      </c>
      <c r="N693" s="256"/>
      <c r="O693" s="256">
        <f t="shared" si="310"/>
        <v>139</v>
      </c>
      <c r="P693" s="256">
        <f t="shared" si="311"/>
        <v>129</v>
      </c>
      <c r="Q693" s="256" t="str">
        <f t="shared" si="312"/>
        <v>HW</v>
      </c>
      <c r="R693" s="256" t="str">
        <f t="shared" si="313"/>
        <v>HW</v>
      </c>
      <c r="S693" s="256" t="str">
        <f t="shared" si="314"/>
        <v>HW</v>
      </c>
      <c r="T693" s="256" t="str">
        <f t="shared" si="315"/>
        <v>HL</v>
      </c>
      <c r="U693" s="256" t="str">
        <f t="shared" si="316"/>
        <v>O</v>
      </c>
      <c r="V693" s="256" t="str">
        <f t="shared" si="317"/>
        <v>O</v>
      </c>
      <c r="W693" s="256" t="str">
        <f t="shared" si="318"/>
        <v>O</v>
      </c>
      <c r="X693" s="256" t="str">
        <f t="shared" si="319"/>
        <v>O</v>
      </c>
      <c r="Z693" s="3">
        <v>55</v>
      </c>
      <c r="AB693" s="256" t="str">
        <f t="shared" si="309"/>
        <v>POR/IND</v>
      </c>
      <c r="AC693" s="256">
        <f t="shared" si="320"/>
        <v>4</v>
      </c>
      <c r="AD693" s="256">
        <f t="shared" si="321"/>
        <v>0</v>
      </c>
    </row>
    <row r="694" spans="1:30" x14ac:dyDescent="0.3">
      <c r="A694" s="256">
        <v>200128</v>
      </c>
      <c r="B694" s="257">
        <v>0.375</v>
      </c>
      <c r="C694" s="256" t="s">
        <v>422</v>
      </c>
      <c r="D694" s="256" t="s">
        <v>402</v>
      </c>
      <c r="E694" s="256">
        <v>23</v>
      </c>
      <c r="F694" s="256">
        <v>22</v>
      </c>
      <c r="G694" s="256">
        <v>27</v>
      </c>
      <c r="H694" s="256">
        <v>28</v>
      </c>
      <c r="I694" s="256"/>
      <c r="J694" s="256">
        <v>24</v>
      </c>
      <c r="K694" s="256">
        <v>29</v>
      </c>
      <c r="L694" s="256">
        <v>36</v>
      </c>
      <c r="M694" s="256">
        <v>26</v>
      </c>
      <c r="N694" s="256"/>
      <c r="O694" s="256">
        <f t="shared" si="310"/>
        <v>100</v>
      </c>
      <c r="P694" s="256">
        <f t="shared" si="311"/>
        <v>115</v>
      </c>
      <c r="Q694" s="256" t="str">
        <f t="shared" si="312"/>
        <v>HL</v>
      </c>
      <c r="R694" s="256" t="str">
        <f t="shared" si="313"/>
        <v>HL</v>
      </c>
      <c r="S694" s="256" t="str">
        <f t="shared" si="314"/>
        <v>HL</v>
      </c>
      <c r="T694" s="256" t="str">
        <f t="shared" si="315"/>
        <v>HW</v>
      </c>
      <c r="U694" s="256" t="str">
        <f t="shared" si="316"/>
        <v>U</v>
      </c>
      <c r="V694" s="256" t="str">
        <f t="shared" si="317"/>
        <v>U</v>
      </c>
      <c r="W694" s="256" t="str">
        <f t="shared" si="318"/>
        <v>O</v>
      </c>
      <c r="X694" s="256" t="str">
        <f t="shared" si="319"/>
        <v>O</v>
      </c>
      <c r="Z694" s="3">
        <v>52.5</v>
      </c>
      <c r="AB694" s="256" t="str">
        <f t="shared" si="309"/>
        <v>DET/CLE</v>
      </c>
      <c r="AC694" s="256">
        <f t="shared" si="320"/>
        <v>2</v>
      </c>
      <c r="AD694" s="256">
        <f t="shared" si="321"/>
        <v>2</v>
      </c>
    </row>
    <row r="695" spans="1:30" x14ac:dyDescent="0.3">
      <c r="A695" s="256">
        <v>200128</v>
      </c>
      <c r="B695" s="257">
        <v>0.39583333333333331</v>
      </c>
      <c r="C695" s="256" t="s">
        <v>411</v>
      </c>
      <c r="D695" s="256" t="s">
        <v>424</v>
      </c>
      <c r="E695" s="256">
        <v>31</v>
      </c>
      <c r="F695" s="256">
        <v>23</v>
      </c>
      <c r="G695" s="256">
        <v>31</v>
      </c>
      <c r="H695" s="256">
        <v>28</v>
      </c>
      <c r="I695" s="256"/>
      <c r="J695" s="256">
        <v>21</v>
      </c>
      <c r="K695" s="256">
        <v>27</v>
      </c>
      <c r="L695" s="256">
        <v>23</v>
      </c>
      <c r="M695" s="256">
        <v>21</v>
      </c>
      <c r="N695" s="256"/>
      <c r="O695" s="256">
        <f t="shared" si="310"/>
        <v>113</v>
      </c>
      <c r="P695" s="256">
        <f t="shared" si="311"/>
        <v>92</v>
      </c>
      <c r="Q695" s="256" t="str">
        <f t="shared" si="312"/>
        <v>HW</v>
      </c>
      <c r="R695" s="256" t="str">
        <f t="shared" si="313"/>
        <v>HL</v>
      </c>
      <c r="S695" s="256" t="str">
        <f t="shared" si="314"/>
        <v>HW</v>
      </c>
      <c r="T695" s="256" t="str">
        <f t="shared" si="315"/>
        <v>HW</v>
      </c>
      <c r="U695" s="256" t="str">
        <f t="shared" si="316"/>
        <v>U</v>
      </c>
      <c r="V695" s="256" t="str">
        <f t="shared" si="317"/>
        <v>U</v>
      </c>
      <c r="W695" s="256" t="str">
        <f t="shared" si="318"/>
        <v>O</v>
      </c>
      <c r="X695" s="256" t="str">
        <f t="shared" si="319"/>
        <v>U</v>
      </c>
      <c r="Z695" s="3">
        <v>53</v>
      </c>
      <c r="AB695" s="256" t="str">
        <f t="shared" si="309"/>
        <v>MIA/ORL</v>
      </c>
      <c r="AC695" s="256">
        <f t="shared" si="320"/>
        <v>1</v>
      </c>
      <c r="AD695" s="256">
        <f t="shared" si="321"/>
        <v>3</v>
      </c>
    </row>
    <row r="696" spans="1:30" x14ac:dyDescent="0.3">
      <c r="A696" s="256">
        <v>200128</v>
      </c>
      <c r="B696" s="257">
        <v>0.41666666666666669</v>
      </c>
      <c r="C696" s="256" t="s">
        <v>412</v>
      </c>
      <c r="D696" s="256" t="s">
        <v>426</v>
      </c>
      <c r="E696" s="256">
        <v>21</v>
      </c>
      <c r="F696" s="256">
        <v>29</v>
      </c>
      <c r="G696" s="256">
        <v>25</v>
      </c>
      <c r="H696" s="256">
        <v>35</v>
      </c>
      <c r="I696" s="256"/>
      <c r="J696" s="256">
        <v>28</v>
      </c>
      <c r="K696" s="256">
        <v>20</v>
      </c>
      <c r="L696" s="256">
        <v>37</v>
      </c>
      <c r="M696" s="256">
        <v>24</v>
      </c>
      <c r="N696" s="256"/>
      <c r="O696" s="256">
        <f t="shared" si="310"/>
        <v>110</v>
      </c>
      <c r="P696" s="256">
        <f t="shared" si="311"/>
        <v>109</v>
      </c>
      <c r="Q696" s="256" t="str">
        <f t="shared" si="312"/>
        <v>HL</v>
      </c>
      <c r="R696" s="256" t="str">
        <f t="shared" si="313"/>
        <v>HW</v>
      </c>
      <c r="S696" s="256" t="str">
        <f t="shared" si="314"/>
        <v>HL</v>
      </c>
      <c r="T696" s="256" t="str">
        <f t="shared" si="315"/>
        <v>HW</v>
      </c>
      <c r="U696" s="256" t="str">
        <f t="shared" si="316"/>
        <v>U</v>
      </c>
      <c r="V696" s="256" t="str">
        <f t="shared" si="317"/>
        <v>U</v>
      </c>
      <c r="W696" s="256" t="str">
        <f t="shared" si="318"/>
        <v>O</v>
      </c>
      <c r="X696" s="256" t="str">
        <f t="shared" si="319"/>
        <v>O</v>
      </c>
      <c r="Z696" s="3">
        <v>51.5</v>
      </c>
      <c r="AB696" s="256" t="str">
        <f t="shared" si="309"/>
        <v>CHI/SAS</v>
      </c>
      <c r="AC696" s="256">
        <f t="shared" si="320"/>
        <v>2</v>
      </c>
      <c r="AD696" s="256">
        <f t="shared" si="321"/>
        <v>2</v>
      </c>
    </row>
    <row r="697" spans="1:30" x14ac:dyDescent="0.3">
      <c r="A697" s="256">
        <v>200128</v>
      </c>
      <c r="B697" s="257">
        <v>0.41666666666666669</v>
      </c>
      <c r="C697" s="256" t="s">
        <v>420</v>
      </c>
      <c r="D697" s="256" t="s">
        <v>416</v>
      </c>
      <c r="E697" s="256">
        <v>37</v>
      </c>
      <c r="F697" s="256">
        <v>31</v>
      </c>
      <c r="G697" s="256">
        <v>29</v>
      </c>
      <c r="H697" s="256">
        <v>22</v>
      </c>
      <c r="I697" s="256">
        <v>10</v>
      </c>
      <c r="J697" s="256">
        <v>24</v>
      </c>
      <c r="K697" s="256">
        <v>26</v>
      </c>
      <c r="L697" s="256">
        <v>28</v>
      </c>
      <c r="M697" s="256">
        <v>41</v>
      </c>
      <c r="N697" s="256">
        <v>14</v>
      </c>
      <c r="O697" s="256">
        <f t="shared" si="310"/>
        <v>129</v>
      </c>
      <c r="P697" s="256">
        <f t="shared" si="311"/>
        <v>133</v>
      </c>
      <c r="Q697" s="256" t="str">
        <f t="shared" si="312"/>
        <v>HW</v>
      </c>
      <c r="R697" s="256" t="str">
        <f t="shared" si="313"/>
        <v>HW</v>
      </c>
      <c r="S697" s="256" t="str">
        <f t="shared" si="314"/>
        <v>HW</v>
      </c>
      <c r="T697" s="256" t="str">
        <f t="shared" si="315"/>
        <v>HL</v>
      </c>
      <c r="U697" s="256" t="str">
        <f t="shared" si="316"/>
        <v>O</v>
      </c>
      <c r="V697" s="256" t="str">
        <f t="shared" si="317"/>
        <v>O</v>
      </c>
      <c r="W697" s="256" t="str">
        <f t="shared" si="318"/>
        <v>O</v>
      </c>
      <c r="X697" s="256" t="str">
        <f t="shared" si="319"/>
        <v>O</v>
      </c>
      <c r="Z697" s="3">
        <v>56.5</v>
      </c>
      <c r="AB697" s="256" t="str">
        <f t="shared" si="309"/>
        <v>MIN/SAC</v>
      </c>
      <c r="AC697" s="256">
        <f t="shared" si="320"/>
        <v>4</v>
      </c>
      <c r="AD697" s="256">
        <f t="shared" si="321"/>
        <v>0</v>
      </c>
    </row>
    <row r="698" spans="1:30" x14ac:dyDescent="0.3">
      <c r="A698" s="256">
        <v>200128</v>
      </c>
      <c r="B698" s="257">
        <v>0.41666666666666669</v>
      </c>
      <c r="C698" s="256" t="s">
        <v>418</v>
      </c>
      <c r="D698" s="256" t="s">
        <v>397</v>
      </c>
      <c r="E698" s="256">
        <v>22</v>
      </c>
      <c r="F698" s="256">
        <v>25</v>
      </c>
      <c r="G698" s="256">
        <v>30</v>
      </c>
      <c r="H698" s="256">
        <v>20</v>
      </c>
      <c r="I698" s="256"/>
      <c r="J698" s="256">
        <v>25</v>
      </c>
      <c r="K698" s="256">
        <v>34</v>
      </c>
      <c r="L698" s="256">
        <v>29</v>
      </c>
      <c r="M698" s="256">
        <v>19</v>
      </c>
      <c r="N698" s="256"/>
      <c r="O698" s="256">
        <f t="shared" si="310"/>
        <v>97</v>
      </c>
      <c r="P698" s="256">
        <f t="shared" si="311"/>
        <v>107</v>
      </c>
      <c r="Q698" s="256" t="str">
        <f t="shared" si="312"/>
        <v>HL</v>
      </c>
      <c r="R698" s="256" t="str">
        <f t="shared" si="313"/>
        <v>HL</v>
      </c>
      <c r="S698" s="256" t="str">
        <f t="shared" si="314"/>
        <v>HW</v>
      </c>
      <c r="T698" s="256" t="str">
        <f t="shared" si="315"/>
        <v>HW</v>
      </c>
      <c r="U698" s="256" t="str">
        <f t="shared" si="316"/>
        <v>U</v>
      </c>
      <c r="V698" s="256" t="str">
        <f t="shared" si="317"/>
        <v>O</v>
      </c>
      <c r="W698" s="256" t="str">
        <f t="shared" si="318"/>
        <v>O</v>
      </c>
      <c r="X698" s="256" t="str">
        <f t="shared" si="319"/>
        <v>U</v>
      </c>
      <c r="Z698" s="3">
        <v>56.5</v>
      </c>
      <c r="AB698" s="256" t="str">
        <f t="shared" si="309"/>
        <v>OKC/DAL</v>
      </c>
      <c r="AC698" s="256">
        <f t="shared" si="320"/>
        <v>2</v>
      </c>
      <c r="AD698" s="256">
        <f t="shared" si="321"/>
        <v>2</v>
      </c>
    </row>
    <row r="699" spans="1:30" x14ac:dyDescent="0.3">
      <c r="A699" s="256">
        <v>200128</v>
      </c>
      <c r="B699" s="257">
        <v>0.45833333333333331</v>
      </c>
      <c r="C699" s="256" t="s">
        <v>405</v>
      </c>
      <c r="D699" s="256" t="s">
        <v>403</v>
      </c>
      <c r="E699" s="256">
        <v>20</v>
      </c>
      <c r="F699" s="256">
        <v>26</v>
      </c>
      <c r="G699" s="256">
        <v>29</v>
      </c>
      <c r="H699" s="256">
        <v>42</v>
      </c>
      <c r="I699" s="256"/>
      <c r="J699" s="256">
        <v>28</v>
      </c>
      <c r="K699" s="256">
        <v>31</v>
      </c>
      <c r="L699" s="256">
        <v>28</v>
      </c>
      <c r="M699" s="256">
        <v>39</v>
      </c>
      <c r="N699" s="256"/>
      <c r="O699" s="256">
        <f t="shared" si="310"/>
        <v>117</v>
      </c>
      <c r="P699" s="256">
        <f t="shared" si="311"/>
        <v>126</v>
      </c>
      <c r="Q699" s="256" t="str">
        <f t="shared" si="312"/>
        <v>HL</v>
      </c>
      <c r="R699" s="256" t="str">
        <f t="shared" si="313"/>
        <v>HL</v>
      </c>
      <c r="S699" s="256" t="str">
        <f t="shared" si="314"/>
        <v>HW</v>
      </c>
      <c r="T699" s="256" t="str">
        <f t="shared" si="315"/>
        <v>HW</v>
      </c>
      <c r="U699" s="256" t="str">
        <f t="shared" si="316"/>
        <v>U</v>
      </c>
      <c r="V699" s="256" t="str">
        <f t="shared" si="317"/>
        <v>O</v>
      </c>
      <c r="W699" s="256" t="str">
        <f t="shared" si="318"/>
        <v>O</v>
      </c>
      <c r="X699" s="256" t="str">
        <f t="shared" si="319"/>
        <v>O</v>
      </c>
      <c r="Z699" s="3">
        <v>55.5</v>
      </c>
      <c r="AB699" s="256" t="str">
        <f t="shared" si="309"/>
        <v>UTA/HOU</v>
      </c>
      <c r="AC699" s="256">
        <f t="shared" si="320"/>
        <v>3</v>
      </c>
      <c r="AD699" s="256">
        <f t="shared" si="321"/>
        <v>1</v>
      </c>
    </row>
    <row r="700" spans="1:30" x14ac:dyDescent="0.3">
      <c r="A700" s="256">
        <v>200129</v>
      </c>
      <c r="B700" s="257">
        <v>0.375</v>
      </c>
      <c r="C700" s="256" t="s">
        <v>401</v>
      </c>
      <c r="D700" s="256" t="s">
        <v>425</v>
      </c>
      <c r="E700" s="256">
        <v>26</v>
      </c>
      <c r="F700" s="256">
        <v>33</v>
      </c>
      <c r="G700" s="256">
        <v>27</v>
      </c>
      <c r="H700" s="256">
        <v>29</v>
      </c>
      <c r="I700" s="256"/>
      <c r="J700" s="256">
        <v>27</v>
      </c>
      <c r="K700" s="256">
        <v>27</v>
      </c>
      <c r="L700" s="256">
        <v>28</v>
      </c>
      <c r="M700" s="256">
        <v>22</v>
      </c>
      <c r="N700" s="256"/>
      <c r="O700" s="256">
        <f t="shared" si="310"/>
        <v>115</v>
      </c>
      <c r="P700" s="256">
        <f t="shared" si="311"/>
        <v>104</v>
      </c>
      <c r="Q700" s="256" t="str">
        <f t="shared" si="312"/>
        <v>HL</v>
      </c>
      <c r="R700" s="256" t="str">
        <f t="shared" si="313"/>
        <v>HW</v>
      </c>
      <c r="S700" s="256" t="str">
        <f t="shared" si="314"/>
        <v>HL</v>
      </c>
      <c r="T700" s="256" t="str">
        <f t="shared" si="315"/>
        <v>HW</v>
      </c>
      <c r="U700" s="256" t="str">
        <f t="shared" si="316"/>
        <v>U</v>
      </c>
      <c r="V700" s="256" t="str">
        <f t="shared" si="317"/>
        <v>O</v>
      </c>
      <c r="W700" s="256" t="str">
        <f t="shared" si="318"/>
        <v>O</v>
      </c>
      <c r="X700" s="256" t="str">
        <f t="shared" si="319"/>
        <v>U</v>
      </c>
      <c r="Z700" s="3">
        <v>54.5</v>
      </c>
      <c r="AB700" s="256" t="str">
        <f t="shared" si="309"/>
        <v>PHI/GS</v>
      </c>
      <c r="AC700" s="256">
        <f t="shared" si="320"/>
        <v>2</v>
      </c>
      <c r="AD700" s="256">
        <f t="shared" si="321"/>
        <v>2</v>
      </c>
    </row>
    <row r="701" spans="1:30" x14ac:dyDescent="0.3">
      <c r="A701" s="256">
        <v>200129</v>
      </c>
      <c r="B701" s="257">
        <v>0.375</v>
      </c>
      <c r="C701" s="256" t="s">
        <v>438</v>
      </c>
      <c r="D701" s="256" t="s">
        <v>399</v>
      </c>
      <c r="E701" s="256">
        <v>15</v>
      </c>
      <c r="F701" s="256">
        <v>32</v>
      </c>
      <c r="G701" s="256">
        <v>21</v>
      </c>
      <c r="H701" s="256">
        <v>29</v>
      </c>
      <c r="I701" s="256"/>
      <c r="J701" s="256">
        <v>26</v>
      </c>
      <c r="K701" s="256">
        <v>24</v>
      </c>
      <c r="L701" s="256">
        <v>16</v>
      </c>
      <c r="M701" s="256">
        <v>26</v>
      </c>
      <c r="N701" s="256"/>
      <c r="O701" s="256">
        <f t="shared" si="310"/>
        <v>97</v>
      </c>
      <c r="P701" s="256">
        <f t="shared" si="311"/>
        <v>92</v>
      </c>
      <c r="Q701" s="256" t="str">
        <f t="shared" si="312"/>
        <v>HL</v>
      </c>
      <c r="R701" s="256" t="str">
        <f t="shared" si="313"/>
        <v>HW</v>
      </c>
      <c r="S701" s="256" t="str">
        <f t="shared" si="314"/>
        <v>HW</v>
      </c>
      <c r="T701" s="256" t="str">
        <f t="shared" si="315"/>
        <v>HW</v>
      </c>
      <c r="U701" s="256" t="str">
        <f t="shared" si="316"/>
        <v>U</v>
      </c>
      <c r="V701" s="256" t="str">
        <f t="shared" si="317"/>
        <v>O</v>
      </c>
      <c r="W701" s="256" t="str">
        <f t="shared" si="318"/>
        <v>U</v>
      </c>
      <c r="X701" s="256" t="str">
        <f t="shared" si="319"/>
        <v>O</v>
      </c>
      <c r="Z701" s="3">
        <v>53</v>
      </c>
      <c r="AB701" s="256" t="str">
        <f t="shared" si="309"/>
        <v>CHA/NYK</v>
      </c>
      <c r="AC701" s="256">
        <f t="shared" si="320"/>
        <v>2</v>
      </c>
      <c r="AD701" s="256">
        <f t="shared" si="321"/>
        <v>2</v>
      </c>
    </row>
    <row r="702" spans="1:30" x14ac:dyDescent="0.3">
      <c r="A702" s="256">
        <v>200129</v>
      </c>
      <c r="B702" s="257">
        <v>0.39583333333333331</v>
      </c>
      <c r="C702" s="256" t="s">
        <v>402</v>
      </c>
      <c r="D702" s="256" t="s">
        <v>398</v>
      </c>
      <c r="E702" s="256">
        <v>34</v>
      </c>
      <c r="F702" s="256">
        <v>31</v>
      </c>
      <c r="G702" s="256">
        <v>25</v>
      </c>
      <c r="H702" s="256">
        <v>21</v>
      </c>
      <c r="I702" s="256"/>
      <c r="J702" s="256">
        <v>40</v>
      </c>
      <c r="K702" s="256">
        <v>34</v>
      </c>
      <c r="L702" s="256">
        <v>30</v>
      </c>
      <c r="M702" s="256">
        <v>21</v>
      </c>
      <c r="N702" s="256"/>
      <c r="O702" s="256">
        <f t="shared" si="310"/>
        <v>111</v>
      </c>
      <c r="P702" s="256">
        <f t="shared" si="311"/>
        <v>125</v>
      </c>
      <c r="Q702" s="256" t="str">
        <f t="shared" si="312"/>
        <v>HL</v>
      </c>
      <c r="R702" s="256" t="str">
        <f t="shared" si="313"/>
        <v>HL</v>
      </c>
      <c r="S702" s="256" t="str">
        <f t="shared" si="314"/>
        <v>HL</v>
      </c>
      <c r="T702" s="256" t="str">
        <f t="shared" si="315"/>
        <v>TT</v>
      </c>
      <c r="U702" s="256" t="str">
        <f t="shared" si="316"/>
        <v>O</v>
      </c>
      <c r="V702" s="256" t="str">
        <f t="shared" si="317"/>
        <v>O</v>
      </c>
      <c r="W702" s="256" t="str">
        <f t="shared" si="318"/>
        <v>U</v>
      </c>
      <c r="X702" s="256" t="str">
        <f t="shared" si="319"/>
        <v>U</v>
      </c>
      <c r="Z702" s="3">
        <v>59</v>
      </c>
      <c r="AB702" s="256" t="str">
        <f t="shared" si="309"/>
        <v>CLE/NO</v>
      </c>
      <c r="AC702" s="256">
        <f t="shared" si="320"/>
        <v>2</v>
      </c>
      <c r="AD702" s="256">
        <f t="shared" si="321"/>
        <v>2</v>
      </c>
    </row>
    <row r="703" spans="1:30" x14ac:dyDescent="0.3">
      <c r="A703" s="256">
        <v>200129</v>
      </c>
      <c r="B703" s="257">
        <v>0.39583333333333331</v>
      </c>
      <c r="C703" s="256" t="s">
        <v>413</v>
      </c>
      <c r="D703" s="256" t="s">
        <v>410</v>
      </c>
      <c r="E703" s="256">
        <v>33</v>
      </c>
      <c r="F703" s="256">
        <v>35</v>
      </c>
      <c r="G703" s="256">
        <v>29</v>
      </c>
      <c r="H703" s="256">
        <v>33</v>
      </c>
      <c r="I703" s="256"/>
      <c r="J703" s="256">
        <v>23</v>
      </c>
      <c r="K703" s="256">
        <v>33</v>
      </c>
      <c r="L703" s="256">
        <v>27</v>
      </c>
      <c r="M703" s="256">
        <v>31</v>
      </c>
      <c r="N703" s="256"/>
      <c r="O703" s="256">
        <f t="shared" si="310"/>
        <v>130</v>
      </c>
      <c r="P703" s="256">
        <f t="shared" si="311"/>
        <v>114</v>
      </c>
      <c r="Q703" s="256" t="str">
        <f t="shared" si="312"/>
        <v>HW</v>
      </c>
      <c r="R703" s="256" t="str">
        <f t="shared" si="313"/>
        <v>HW</v>
      </c>
      <c r="S703" s="256" t="str">
        <f t="shared" si="314"/>
        <v>HW</v>
      </c>
      <c r="T703" s="256" t="str">
        <f t="shared" si="315"/>
        <v>HW</v>
      </c>
      <c r="U703" s="256" t="str">
        <f t="shared" si="316"/>
        <v>U</v>
      </c>
      <c r="V703" s="256" t="str">
        <f t="shared" si="317"/>
        <v>O</v>
      </c>
      <c r="W703" s="256" t="str">
        <f t="shared" si="318"/>
        <v>U</v>
      </c>
      <c r="X703" s="256" t="str">
        <f t="shared" si="319"/>
        <v>O</v>
      </c>
      <c r="Z703" s="3">
        <v>60</v>
      </c>
      <c r="AB703" s="256" t="str">
        <f t="shared" si="309"/>
        <v>TOR/ATL</v>
      </c>
      <c r="AC703" s="256">
        <f t="shared" si="320"/>
        <v>2</v>
      </c>
      <c r="AD703" s="256">
        <f t="shared" si="321"/>
        <v>2</v>
      </c>
    </row>
    <row r="704" spans="1:30" x14ac:dyDescent="0.3">
      <c r="A704" s="256">
        <v>200129</v>
      </c>
      <c r="B704" s="257">
        <v>0.41666666666666669</v>
      </c>
      <c r="C704" s="256" t="s">
        <v>411</v>
      </c>
      <c r="D704" s="256" t="s">
        <v>421</v>
      </c>
      <c r="E704" s="256">
        <v>28</v>
      </c>
      <c r="F704" s="256">
        <v>20</v>
      </c>
      <c r="G704" s="256">
        <v>28</v>
      </c>
      <c r="H704" s="256">
        <v>25</v>
      </c>
      <c r="I704" s="256"/>
      <c r="J704" s="256">
        <v>36</v>
      </c>
      <c r="K704" s="256">
        <v>17</v>
      </c>
      <c r="L704" s="256">
        <v>27</v>
      </c>
      <c r="M704" s="256">
        <v>29</v>
      </c>
      <c r="N704" s="256"/>
      <c r="O704" s="256">
        <f t="shared" si="310"/>
        <v>101</v>
      </c>
      <c r="P704" s="256">
        <f t="shared" si="311"/>
        <v>109</v>
      </c>
      <c r="Q704" s="256" t="str">
        <f t="shared" si="312"/>
        <v>HL</v>
      </c>
      <c r="R704" s="256" t="str">
        <f t="shared" si="313"/>
        <v>HW</v>
      </c>
      <c r="S704" s="256" t="str">
        <f t="shared" si="314"/>
        <v>HW</v>
      </c>
      <c r="T704" s="256" t="str">
        <f t="shared" si="315"/>
        <v>HL</v>
      </c>
      <c r="U704" s="256" t="str">
        <f t="shared" si="316"/>
        <v>O</v>
      </c>
      <c r="V704" s="256" t="str">
        <f t="shared" si="317"/>
        <v>U</v>
      </c>
      <c r="W704" s="256" t="str">
        <f t="shared" si="318"/>
        <v>O</v>
      </c>
      <c r="X704" s="256" t="str">
        <f t="shared" si="319"/>
        <v>O</v>
      </c>
      <c r="Z704" s="3">
        <v>53.5</v>
      </c>
      <c r="AB704" s="256" t="str">
        <f t="shared" si="309"/>
        <v>MIA/BOS</v>
      </c>
      <c r="AC704" s="256">
        <f t="shared" si="320"/>
        <v>3</v>
      </c>
      <c r="AD704" s="256">
        <f t="shared" si="321"/>
        <v>1</v>
      </c>
    </row>
    <row r="705" spans="1:30" x14ac:dyDescent="0.3">
      <c r="A705" s="256">
        <v>200129</v>
      </c>
      <c r="B705" s="257">
        <v>0.41666666666666669</v>
      </c>
      <c r="C705" s="256" t="s">
        <v>423</v>
      </c>
      <c r="D705" s="256" t="s">
        <v>414</v>
      </c>
      <c r="E705" s="256">
        <v>42</v>
      </c>
      <c r="F705" s="256">
        <v>46</v>
      </c>
      <c r="G705" s="256">
        <v>29</v>
      </c>
      <c r="H705" s="256">
        <v>34</v>
      </c>
      <c r="I705" s="256"/>
      <c r="J705" s="256">
        <v>28</v>
      </c>
      <c r="K705" s="256">
        <v>35</v>
      </c>
      <c r="L705" s="256">
        <v>41</v>
      </c>
      <c r="M705" s="256">
        <v>27</v>
      </c>
      <c r="N705" s="256"/>
      <c r="O705" s="256">
        <f t="shared" si="310"/>
        <v>151</v>
      </c>
      <c r="P705" s="256">
        <f t="shared" si="311"/>
        <v>131</v>
      </c>
      <c r="Q705" s="256" t="str">
        <f t="shared" si="312"/>
        <v>HW</v>
      </c>
      <c r="R705" s="256" t="str">
        <f t="shared" si="313"/>
        <v>HW</v>
      </c>
      <c r="S705" s="256" t="str">
        <f t="shared" si="314"/>
        <v>HL</v>
      </c>
      <c r="T705" s="256" t="str">
        <f t="shared" si="315"/>
        <v>HW</v>
      </c>
      <c r="U705" s="256" t="str">
        <f t="shared" si="316"/>
        <v>O</v>
      </c>
      <c r="V705" s="256" t="str">
        <f t="shared" si="317"/>
        <v>O</v>
      </c>
      <c r="W705" s="256" t="str">
        <f t="shared" si="318"/>
        <v>O</v>
      </c>
      <c r="X705" s="256" t="str">
        <f t="shared" si="319"/>
        <v>T</v>
      </c>
      <c r="Z705" s="3">
        <v>61</v>
      </c>
      <c r="AB705" s="256" t="str">
        <f t="shared" si="309"/>
        <v>MIL/WAS</v>
      </c>
      <c r="AC705" s="256">
        <f t="shared" si="320"/>
        <v>3</v>
      </c>
      <c r="AD705" s="256">
        <f t="shared" si="321"/>
        <v>0</v>
      </c>
    </row>
    <row r="706" spans="1:30" x14ac:dyDescent="0.3">
      <c r="A706" s="256">
        <v>200129</v>
      </c>
      <c r="B706" s="257">
        <v>0.41666666666666669</v>
      </c>
      <c r="C706" s="256" t="s">
        <v>406</v>
      </c>
      <c r="D706" s="256" t="s">
        <v>408</v>
      </c>
      <c r="E706" s="256">
        <v>31</v>
      </c>
      <c r="F706" s="256">
        <v>32</v>
      </c>
      <c r="G706" s="256">
        <v>19</v>
      </c>
      <c r="H706" s="256">
        <v>22</v>
      </c>
      <c r="I706" s="256"/>
      <c r="J706" s="256">
        <v>18</v>
      </c>
      <c r="K706" s="256">
        <v>32</v>
      </c>
      <c r="L706" s="256">
        <v>16</v>
      </c>
      <c r="M706" s="256">
        <v>30</v>
      </c>
      <c r="N706" s="256"/>
      <c r="O706" s="256">
        <f t="shared" si="310"/>
        <v>104</v>
      </c>
      <c r="P706" s="256">
        <f t="shared" si="311"/>
        <v>96</v>
      </c>
      <c r="Q706" s="256" t="str">
        <f t="shared" si="312"/>
        <v>HW</v>
      </c>
      <c r="R706" s="256" t="str">
        <f t="shared" si="313"/>
        <v>TT</v>
      </c>
      <c r="S706" s="256" t="str">
        <f t="shared" si="314"/>
        <v>HW</v>
      </c>
      <c r="T706" s="256" t="str">
        <f t="shared" si="315"/>
        <v>HL</v>
      </c>
      <c r="U706" s="256" t="str">
        <f t="shared" si="316"/>
        <v>U</v>
      </c>
      <c r="V706" s="256" t="str">
        <f t="shared" si="317"/>
        <v>O</v>
      </c>
      <c r="W706" s="256" t="str">
        <f t="shared" si="318"/>
        <v>U</v>
      </c>
      <c r="X706" s="256" t="str">
        <f t="shared" si="319"/>
        <v>U</v>
      </c>
      <c r="Z706" s="3">
        <v>57</v>
      </c>
      <c r="AB706" s="256" t="str">
        <f t="shared" si="309"/>
        <v>MEM/DEN</v>
      </c>
      <c r="AC706" s="256">
        <f t="shared" si="320"/>
        <v>1</v>
      </c>
      <c r="AD706" s="256">
        <f t="shared" si="321"/>
        <v>3</v>
      </c>
    </row>
    <row r="707" spans="1:30" x14ac:dyDescent="0.3">
      <c r="A707" s="256">
        <v>200129</v>
      </c>
      <c r="B707" s="257">
        <v>0.4375</v>
      </c>
      <c r="C707" s="256" t="s">
        <v>397</v>
      </c>
      <c r="D707" s="256" t="s">
        <v>404</v>
      </c>
      <c r="E707" s="256">
        <v>19</v>
      </c>
      <c r="F707" s="256">
        <v>36</v>
      </c>
      <c r="G707" s="256">
        <v>22</v>
      </c>
      <c r="H707" s="256">
        <v>27</v>
      </c>
      <c r="I707" s="256"/>
      <c r="J707" s="256">
        <v>32</v>
      </c>
      <c r="K707" s="256">
        <v>28</v>
      </c>
      <c r="L707" s="256">
        <v>48</v>
      </c>
      <c r="M707" s="256">
        <v>25</v>
      </c>
      <c r="N707" s="256"/>
      <c r="O707" s="256">
        <f t="shared" si="310"/>
        <v>104</v>
      </c>
      <c r="P707" s="256">
        <f t="shared" si="311"/>
        <v>133</v>
      </c>
      <c r="Q707" s="256" t="str">
        <f t="shared" si="312"/>
        <v>HL</v>
      </c>
      <c r="R707" s="256" t="str">
        <f t="shared" si="313"/>
        <v>HW</v>
      </c>
      <c r="S707" s="256" t="str">
        <f t="shared" si="314"/>
        <v>HL</v>
      </c>
      <c r="T707" s="256" t="str">
        <f t="shared" si="315"/>
        <v>HW</v>
      </c>
      <c r="U707" s="256" t="str">
        <f t="shared" si="316"/>
        <v>U</v>
      </c>
      <c r="V707" s="256" t="str">
        <f t="shared" si="317"/>
        <v>O</v>
      </c>
      <c r="W707" s="256" t="str">
        <f t="shared" si="318"/>
        <v>O</v>
      </c>
      <c r="X707" s="256" t="str">
        <f t="shared" si="319"/>
        <v>U</v>
      </c>
      <c r="Z707" s="3">
        <v>55.5</v>
      </c>
      <c r="AB707" s="256" t="str">
        <f t="shared" si="309"/>
        <v>DAL/PHO</v>
      </c>
      <c r="AC707" s="256">
        <f t="shared" si="320"/>
        <v>2</v>
      </c>
      <c r="AD707" s="256">
        <f t="shared" si="321"/>
        <v>2</v>
      </c>
    </row>
    <row r="708" spans="1:30" x14ac:dyDescent="0.3">
      <c r="A708" s="256">
        <v>200130</v>
      </c>
      <c r="B708" s="257">
        <v>0.375</v>
      </c>
      <c r="C708" s="256" t="s">
        <v>400</v>
      </c>
      <c r="D708" s="256" t="s">
        <v>412</v>
      </c>
      <c r="E708" s="256">
        <v>25</v>
      </c>
      <c r="F708" s="256">
        <v>30</v>
      </c>
      <c r="G708" s="256">
        <v>25</v>
      </c>
      <c r="H708" s="256">
        <v>20</v>
      </c>
      <c r="I708" s="256">
        <v>15</v>
      </c>
      <c r="J708" s="256">
        <v>24</v>
      </c>
      <c r="K708" s="256">
        <v>27</v>
      </c>
      <c r="L708" s="256">
        <v>29</v>
      </c>
      <c r="M708" s="256">
        <v>20</v>
      </c>
      <c r="N708" s="256">
        <v>6</v>
      </c>
      <c r="O708" s="256">
        <f t="shared" si="310"/>
        <v>115</v>
      </c>
      <c r="P708" s="256">
        <f t="shared" si="311"/>
        <v>106</v>
      </c>
      <c r="Q708" s="256" t="str">
        <f t="shared" si="312"/>
        <v>HW</v>
      </c>
      <c r="R708" s="256" t="str">
        <f t="shared" si="313"/>
        <v>HW</v>
      </c>
      <c r="S708" s="256" t="str">
        <f t="shared" si="314"/>
        <v>HL</v>
      </c>
      <c r="T708" s="256" t="str">
        <f t="shared" si="315"/>
        <v>TT</v>
      </c>
      <c r="U708" s="256" t="str">
        <f t="shared" si="316"/>
        <v>U</v>
      </c>
      <c r="V708" s="256" t="str">
        <f t="shared" si="317"/>
        <v>O</v>
      </c>
      <c r="W708" s="256" t="str">
        <f t="shared" si="318"/>
        <v>U</v>
      </c>
      <c r="X708" s="256" t="str">
        <f t="shared" si="319"/>
        <v>U</v>
      </c>
      <c r="Z708" s="3">
        <v>54.5</v>
      </c>
      <c r="AB708" s="256" t="str">
        <f t="shared" si="309"/>
        <v>IND/CHI</v>
      </c>
      <c r="AC708" s="256">
        <f t="shared" si="320"/>
        <v>1</v>
      </c>
      <c r="AD708" s="256">
        <f t="shared" si="321"/>
        <v>3</v>
      </c>
    </row>
    <row r="709" spans="1:30" x14ac:dyDescent="0.3">
      <c r="A709" s="256">
        <v>200130</v>
      </c>
      <c r="B709" s="257">
        <v>0.39583333333333331</v>
      </c>
      <c r="C709" s="256" t="s">
        <v>407</v>
      </c>
      <c r="D709" s="256" t="s">
        <v>422</v>
      </c>
      <c r="E709" s="256">
        <v>32</v>
      </c>
      <c r="F709" s="256">
        <v>38</v>
      </c>
      <c r="G709" s="256">
        <v>29</v>
      </c>
      <c r="H709" s="256">
        <v>26</v>
      </c>
      <c r="I709" s="256"/>
      <c r="J709" s="256">
        <v>30</v>
      </c>
      <c r="K709" s="256">
        <v>38</v>
      </c>
      <c r="L709" s="256">
        <v>25</v>
      </c>
      <c r="M709" s="256">
        <v>22</v>
      </c>
      <c r="N709" s="256"/>
      <c r="O709" s="256">
        <f t="shared" si="310"/>
        <v>125</v>
      </c>
      <c r="P709" s="256">
        <f t="shared" si="311"/>
        <v>115</v>
      </c>
      <c r="Q709" s="256" t="str">
        <f t="shared" si="312"/>
        <v>HW</v>
      </c>
      <c r="R709" s="256" t="str">
        <f t="shared" si="313"/>
        <v>TT</v>
      </c>
      <c r="S709" s="256" t="str">
        <f t="shared" si="314"/>
        <v>HW</v>
      </c>
      <c r="T709" s="256" t="str">
        <f t="shared" si="315"/>
        <v>HW</v>
      </c>
      <c r="U709" s="256" t="str">
        <f t="shared" si="316"/>
        <v>O</v>
      </c>
      <c r="V709" s="256" t="str">
        <f t="shared" si="317"/>
        <v>O</v>
      </c>
      <c r="W709" s="256" t="str">
        <f t="shared" si="318"/>
        <v>U</v>
      </c>
      <c r="X709" s="256" t="str">
        <f t="shared" si="319"/>
        <v>U</v>
      </c>
      <c r="Z709" s="3">
        <v>58.5</v>
      </c>
      <c r="AB709" s="256" t="str">
        <f t="shared" si="309"/>
        <v>BKN/DET</v>
      </c>
      <c r="AC709" s="256">
        <f t="shared" si="320"/>
        <v>2</v>
      </c>
      <c r="AD709" s="256">
        <f t="shared" si="321"/>
        <v>2</v>
      </c>
    </row>
    <row r="710" spans="1:30" x14ac:dyDescent="0.3">
      <c r="A710" s="256">
        <v>200130</v>
      </c>
      <c r="B710" s="257">
        <v>0.39583333333333331</v>
      </c>
      <c r="C710" s="256" t="s">
        <v>399</v>
      </c>
      <c r="D710" s="256" t="s">
        <v>406</v>
      </c>
      <c r="E710" s="256">
        <v>32</v>
      </c>
      <c r="F710" s="256">
        <v>20</v>
      </c>
      <c r="G710" s="256">
        <v>32</v>
      </c>
      <c r="H710" s="256">
        <v>22</v>
      </c>
      <c r="I710" s="256"/>
      <c r="J710" s="256">
        <v>32</v>
      </c>
      <c r="K710" s="256">
        <v>27</v>
      </c>
      <c r="L710" s="256">
        <v>37</v>
      </c>
      <c r="M710" s="256">
        <v>31</v>
      </c>
      <c r="N710" s="256"/>
      <c r="O710" s="256">
        <f t="shared" si="310"/>
        <v>106</v>
      </c>
      <c r="P710" s="256">
        <f t="shared" si="311"/>
        <v>127</v>
      </c>
      <c r="Q710" s="256" t="str">
        <f t="shared" si="312"/>
        <v>TT</v>
      </c>
      <c r="R710" s="256" t="str">
        <f t="shared" si="313"/>
        <v>HL</v>
      </c>
      <c r="S710" s="256" t="str">
        <f t="shared" si="314"/>
        <v>HL</v>
      </c>
      <c r="T710" s="256" t="str">
        <f t="shared" si="315"/>
        <v>HL</v>
      </c>
      <c r="U710" s="256" t="str">
        <f t="shared" si="316"/>
        <v>O</v>
      </c>
      <c r="V710" s="256" t="str">
        <f t="shared" si="317"/>
        <v>U</v>
      </c>
      <c r="W710" s="256" t="str">
        <f t="shared" si="318"/>
        <v>O</v>
      </c>
      <c r="X710" s="256" t="str">
        <f t="shared" si="319"/>
        <v>U</v>
      </c>
      <c r="Z710" s="3">
        <v>54.5</v>
      </c>
      <c r="AB710" s="256" t="str">
        <f t="shared" si="309"/>
        <v>NYK/MEM</v>
      </c>
      <c r="AC710" s="256">
        <f t="shared" si="320"/>
        <v>2</v>
      </c>
      <c r="AD710" s="256">
        <f t="shared" si="321"/>
        <v>2</v>
      </c>
    </row>
    <row r="711" spans="1:30" x14ac:dyDescent="0.3">
      <c r="A711" s="256">
        <v>200130</v>
      </c>
      <c r="B711" s="257">
        <v>0.4375</v>
      </c>
      <c r="C711" s="256" t="s">
        <v>426</v>
      </c>
      <c r="D711" s="256" t="s">
        <v>405</v>
      </c>
      <c r="E711" s="256">
        <v>37</v>
      </c>
      <c r="F711" s="256">
        <v>33</v>
      </c>
      <c r="G711" s="256">
        <v>28</v>
      </c>
      <c r="H711" s="256">
        <v>29</v>
      </c>
      <c r="I711" s="256"/>
      <c r="J711" s="256">
        <v>29</v>
      </c>
      <c r="K711" s="256">
        <v>33</v>
      </c>
      <c r="L711" s="256">
        <v>32</v>
      </c>
      <c r="M711" s="256">
        <v>26</v>
      </c>
      <c r="N711" s="256"/>
      <c r="O711" s="256">
        <f t="shared" si="310"/>
        <v>127</v>
      </c>
      <c r="P711" s="256">
        <f t="shared" si="311"/>
        <v>120</v>
      </c>
      <c r="Q711" s="256" t="str">
        <f t="shared" si="312"/>
        <v>HW</v>
      </c>
      <c r="R711" s="256" t="str">
        <f t="shared" si="313"/>
        <v>TT</v>
      </c>
      <c r="S711" s="256" t="str">
        <f t="shared" si="314"/>
        <v>HL</v>
      </c>
      <c r="T711" s="256" t="str">
        <f t="shared" si="315"/>
        <v>HW</v>
      </c>
      <c r="U711" s="256" t="str">
        <f t="shared" si="316"/>
        <v>O</v>
      </c>
      <c r="V711" s="256" t="str">
        <f t="shared" si="317"/>
        <v>O</v>
      </c>
      <c r="W711" s="256" t="str">
        <f t="shared" si="318"/>
        <v>O</v>
      </c>
      <c r="X711" s="256" t="str">
        <f t="shared" si="319"/>
        <v>O</v>
      </c>
      <c r="Z711" s="3">
        <v>53.5</v>
      </c>
      <c r="AB711" s="256" t="str">
        <f t="shared" si="309"/>
        <v>SAS/UTA</v>
      </c>
      <c r="AC711" s="256">
        <f t="shared" si="320"/>
        <v>4</v>
      </c>
      <c r="AD711" s="256">
        <f t="shared" si="321"/>
        <v>0</v>
      </c>
    </row>
    <row r="712" spans="1:30" x14ac:dyDescent="0.3">
      <c r="A712" s="256">
        <v>200130</v>
      </c>
      <c r="B712" s="257">
        <v>0.5</v>
      </c>
      <c r="C712" s="256" t="s">
        <v>417</v>
      </c>
      <c r="D712" s="256" t="s">
        <v>403</v>
      </c>
      <c r="E712" s="256">
        <v>30</v>
      </c>
      <c r="F712" s="256">
        <v>41</v>
      </c>
      <c r="G712" s="256">
        <v>26</v>
      </c>
      <c r="H712" s="256">
        <v>28</v>
      </c>
      <c r="I712" s="256"/>
      <c r="J712" s="256">
        <v>36</v>
      </c>
      <c r="K712" s="256">
        <v>24</v>
      </c>
      <c r="L712" s="256">
        <v>22</v>
      </c>
      <c r="M712" s="256">
        <v>30</v>
      </c>
      <c r="N712" s="256"/>
      <c r="O712" s="256">
        <f t="shared" si="310"/>
        <v>125</v>
      </c>
      <c r="P712" s="256">
        <f t="shared" si="311"/>
        <v>112</v>
      </c>
      <c r="Q712" s="256" t="str">
        <f t="shared" si="312"/>
        <v>HL</v>
      </c>
      <c r="R712" s="256" t="str">
        <f t="shared" si="313"/>
        <v>HW</v>
      </c>
      <c r="S712" s="256" t="str">
        <f t="shared" si="314"/>
        <v>HW</v>
      </c>
      <c r="T712" s="256" t="str">
        <f t="shared" si="315"/>
        <v>HL</v>
      </c>
      <c r="U712" s="256" t="str">
        <f t="shared" si="316"/>
        <v>O</v>
      </c>
      <c r="V712" s="256" t="str">
        <f t="shared" si="317"/>
        <v>O</v>
      </c>
      <c r="W712" s="256" t="str">
        <f t="shared" si="318"/>
        <v>U</v>
      </c>
      <c r="X712" s="256" t="str">
        <f t="shared" si="319"/>
        <v>U</v>
      </c>
      <c r="Z712" s="3">
        <v>62</v>
      </c>
      <c r="AB712" s="256" t="str">
        <f t="shared" si="309"/>
        <v>POR/HOU</v>
      </c>
      <c r="AC712" s="256">
        <f t="shared" si="320"/>
        <v>2</v>
      </c>
      <c r="AD712" s="256">
        <f t="shared" si="321"/>
        <v>2</v>
      </c>
    </row>
    <row r="713" spans="1:30" x14ac:dyDescent="0.3">
      <c r="A713" s="256">
        <v>200130</v>
      </c>
      <c r="B713" s="257">
        <v>0.5</v>
      </c>
      <c r="C713" s="256" t="s">
        <v>416</v>
      </c>
      <c r="D713" s="256" t="s">
        <v>418</v>
      </c>
      <c r="E713" s="256">
        <v>16</v>
      </c>
      <c r="F713" s="256">
        <v>31</v>
      </c>
      <c r="G713" s="256">
        <v>29</v>
      </c>
      <c r="H713" s="256">
        <v>24</v>
      </c>
      <c r="I713" s="256"/>
      <c r="J713" s="256">
        <v>23</v>
      </c>
      <c r="K713" s="256">
        <v>36</v>
      </c>
      <c r="L713" s="256">
        <v>37</v>
      </c>
      <c r="M713" s="256">
        <v>24</v>
      </c>
      <c r="N713" s="256"/>
      <c r="O713" s="256">
        <f t="shared" si="310"/>
        <v>100</v>
      </c>
      <c r="P713" s="256">
        <f t="shared" si="311"/>
        <v>120</v>
      </c>
      <c r="Q713" s="256" t="str">
        <f t="shared" si="312"/>
        <v>HL</v>
      </c>
      <c r="R713" s="256" t="str">
        <f t="shared" si="313"/>
        <v>HL</v>
      </c>
      <c r="S713" s="256" t="str">
        <f t="shared" si="314"/>
        <v>HL</v>
      </c>
      <c r="T713" s="256" t="str">
        <f t="shared" si="315"/>
        <v>TT</v>
      </c>
      <c r="U713" s="256" t="str">
        <f t="shared" si="316"/>
        <v>U</v>
      </c>
      <c r="V713" s="256" t="str">
        <f t="shared" si="317"/>
        <v>O</v>
      </c>
      <c r="W713" s="256" t="str">
        <f t="shared" si="318"/>
        <v>O</v>
      </c>
      <c r="X713" s="256" t="str">
        <f t="shared" si="319"/>
        <v>U</v>
      </c>
      <c r="Z713" s="3">
        <v>55.5</v>
      </c>
      <c r="AB713" s="256" t="str">
        <f t="shared" si="309"/>
        <v>SAC/OKC</v>
      </c>
      <c r="AC713" s="256">
        <f t="shared" si="320"/>
        <v>2</v>
      </c>
      <c r="AD713" s="256">
        <f t="shared" si="321"/>
        <v>2</v>
      </c>
    </row>
    <row r="714" spans="1:30" x14ac:dyDescent="0.3">
      <c r="A714" s="256">
        <v>200131</v>
      </c>
      <c r="B714" s="257">
        <v>0.375</v>
      </c>
      <c r="C714" s="256" t="s">
        <v>402</v>
      </c>
      <c r="D714" s="256" t="s">
        <v>413</v>
      </c>
      <c r="E714" s="256">
        <v>26</v>
      </c>
      <c r="F714" s="256">
        <v>26</v>
      </c>
      <c r="G714" s="256">
        <v>24</v>
      </c>
      <c r="H714" s="256">
        <v>33</v>
      </c>
      <c r="I714" s="256"/>
      <c r="J714" s="256">
        <v>31</v>
      </c>
      <c r="K714" s="256">
        <v>25</v>
      </c>
      <c r="L714" s="256">
        <v>32</v>
      </c>
      <c r="M714" s="256">
        <v>27</v>
      </c>
      <c r="N714" s="256"/>
      <c r="O714" s="256">
        <f t="shared" si="310"/>
        <v>109</v>
      </c>
      <c r="P714" s="256">
        <f t="shared" si="311"/>
        <v>115</v>
      </c>
      <c r="Q714" s="256" t="str">
        <f t="shared" si="312"/>
        <v>HL</v>
      </c>
      <c r="R714" s="256" t="str">
        <f t="shared" si="313"/>
        <v>HW</v>
      </c>
      <c r="S714" s="256" t="str">
        <f t="shared" si="314"/>
        <v>HL</v>
      </c>
      <c r="T714" s="256" t="str">
        <f t="shared" si="315"/>
        <v>HW</v>
      </c>
      <c r="U714" s="256" t="str">
        <f t="shared" si="316"/>
        <v>T</v>
      </c>
      <c r="V714" s="256" t="str">
        <f t="shared" si="317"/>
        <v>U</v>
      </c>
      <c r="W714" s="256" t="str">
        <f t="shared" si="318"/>
        <v>U</v>
      </c>
      <c r="X714" s="256" t="str">
        <f t="shared" si="319"/>
        <v>O</v>
      </c>
      <c r="Z714" s="3">
        <v>57</v>
      </c>
      <c r="AB714" s="256" t="str">
        <f t="shared" si="309"/>
        <v>CLE/TOR</v>
      </c>
      <c r="AC714" s="256">
        <f t="shared" si="320"/>
        <v>1</v>
      </c>
      <c r="AD714" s="256">
        <f t="shared" si="321"/>
        <v>2</v>
      </c>
    </row>
    <row r="715" spans="1:30" x14ac:dyDescent="0.3">
      <c r="A715" s="256">
        <v>200131</v>
      </c>
      <c r="B715" s="257">
        <v>0.375</v>
      </c>
      <c r="C715" s="256" t="s">
        <v>414</v>
      </c>
      <c r="D715" s="256" t="s">
        <v>409</v>
      </c>
      <c r="E715" s="256">
        <v>26</v>
      </c>
      <c r="F715" s="256">
        <v>29</v>
      </c>
      <c r="G715" s="256">
        <v>31</v>
      </c>
      <c r="H715" s="256">
        <v>35</v>
      </c>
      <c r="I715" s="256"/>
      <c r="J715" s="256">
        <v>33</v>
      </c>
      <c r="K715" s="256">
        <v>27</v>
      </c>
      <c r="L715" s="256">
        <v>19</v>
      </c>
      <c r="M715" s="256">
        <v>28</v>
      </c>
      <c r="N715" s="256"/>
      <c r="O715" s="256">
        <f t="shared" si="310"/>
        <v>121</v>
      </c>
      <c r="P715" s="256">
        <f t="shared" si="311"/>
        <v>107</v>
      </c>
      <c r="Q715" s="256" t="str">
        <f t="shared" si="312"/>
        <v>HL</v>
      </c>
      <c r="R715" s="256" t="str">
        <f t="shared" si="313"/>
        <v>HW</v>
      </c>
      <c r="S715" s="256" t="str">
        <f t="shared" si="314"/>
        <v>HW</v>
      </c>
      <c r="T715" s="256" t="str">
        <f t="shared" si="315"/>
        <v>HW</v>
      </c>
      <c r="U715" s="256" t="str">
        <f t="shared" si="316"/>
        <v>O</v>
      </c>
      <c r="V715" s="256" t="str">
        <f t="shared" si="317"/>
        <v>U</v>
      </c>
      <c r="W715" s="256" t="str">
        <f t="shared" si="318"/>
        <v>U</v>
      </c>
      <c r="X715" s="256" t="str">
        <f t="shared" si="319"/>
        <v>O</v>
      </c>
      <c r="Z715" s="3">
        <v>58</v>
      </c>
      <c r="AB715" s="256" t="str">
        <f t="shared" si="309"/>
        <v>WAS/CHA</v>
      </c>
      <c r="AC715" s="256">
        <f t="shared" si="320"/>
        <v>2</v>
      </c>
      <c r="AD715" s="256">
        <f t="shared" si="321"/>
        <v>2</v>
      </c>
    </row>
    <row r="716" spans="1:30" x14ac:dyDescent="0.3">
      <c r="A716" s="256">
        <v>200131</v>
      </c>
      <c r="B716" s="257">
        <v>0.39583333333333331</v>
      </c>
      <c r="C716" s="256" t="s">
        <v>410</v>
      </c>
      <c r="D716" s="256" t="s">
        <v>401</v>
      </c>
      <c r="E716" s="256">
        <v>39</v>
      </c>
      <c r="F716" s="256">
        <v>35</v>
      </c>
      <c r="G716" s="256">
        <v>25</v>
      </c>
      <c r="H716" s="256">
        <v>28</v>
      </c>
      <c r="I716" s="256"/>
      <c r="J716" s="256">
        <v>31</v>
      </c>
      <c r="K716" s="256">
        <v>36</v>
      </c>
      <c r="L716" s="256">
        <v>25</v>
      </c>
      <c r="M716" s="256">
        <v>25</v>
      </c>
      <c r="N716" s="256"/>
      <c r="O716" s="256">
        <f t="shared" si="310"/>
        <v>127</v>
      </c>
      <c r="P716" s="256">
        <f t="shared" si="311"/>
        <v>117</v>
      </c>
      <c r="Q716" s="256" t="str">
        <f t="shared" si="312"/>
        <v>HW</v>
      </c>
      <c r="R716" s="256" t="str">
        <f t="shared" si="313"/>
        <v>HL</v>
      </c>
      <c r="S716" s="256" t="str">
        <f t="shared" si="314"/>
        <v>TT</v>
      </c>
      <c r="T716" s="256" t="str">
        <f t="shared" si="315"/>
        <v>HW</v>
      </c>
      <c r="U716" s="256" t="str">
        <f t="shared" si="316"/>
        <v>O</v>
      </c>
      <c r="V716" s="256" t="str">
        <f t="shared" si="317"/>
        <v>O</v>
      </c>
      <c r="W716" s="256" t="str">
        <f t="shared" si="318"/>
        <v>U</v>
      </c>
      <c r="X716" s="256" t="str">
        <f t="shared" si="319"/>
        <v>U</v>
      </c>
      <c r="Z716" s="3">
        <v>58</v>
      </c>
      <c r="AB716" s="256" t="str">
        <f t="shared" ref="AB716:AB726" si="322">C716&amp;"/"&amp;D716</f>
        <v>ATL/PHI</v>
      </c>
      <c r="AC716" s="256">
        <f t="shared" si="320"/>
        <v>2</v>
      </c>
      <c r="AD716" s="256">
        <f t="shared" si="321"/>
        <v>2</v>
      </c>
    </row>
    <row r="717" spans="1:30" x14ac:dyDescent="0.3">
      <c r="A717" s="256">
        <v>200131</v>
      </c>
      <c r="B717" s="257">
        <v>0.41666666666666669</v>
      </c>
      <c r="C717" s="256" t="s">
        <v>421</v>
      </c>
      <c r="D717" s="256" t="s">
        <v>425</v>
      </c>
      <c r="E717" s="256">
        <v>29</v>
      </c>
      <c r="F717" s="256">
        <v>31</v>
      </c>
      <c r="G717" s="256">
        <v>31</v>
      </c>
      <c r="H717" s="256">
        <v>28</v>
      </c>
      <c r="I717" s="256"/>
      <c r="J717" s="256">
        <v>22</v>
      </c>
      <c r="K717" s="256">
        <v>28</v>
      </c>
      <c r="L717" s="256">
        <v>29</v>
      </c>
      <c r="M717" s="256">
        <v>25</v>
      </c>
      <c r="N717" s="256"/>
      <c r="O717" s="256">
        <f t="shared" si="310"/>
        <v>119</v>
      </c>
      <c r="P717" s="256">
        <f t="shared" si="311"/>
        <v>104</v>
      </c>
      <c r="Q717" s="256" t="str">
        <f t="shared" si="312"/>
        <v>HW</v>
      </c>
      <c r="R717" s="256" t="str">
        <f t="shared" si="313"/>
        <v>HW</v>
      </c>
      <c r="S717" s="256" t="str">
        <f t="shared" si="314"/>
        <v>HW</v>
      </c>
      <c r="T717" s="256" t="str">
        <f t="shared" si="315"/>
        <v>HW</v>
      </c>
      <c r="U717" s="256" t="str">
        <f t="shared" si="316"/>
        <v>U</v>
      </c>
      <c r="V717" s="256" t="str">
        <f t="shared" si="317"/>
        <v>O</v>
      </c>
      <c r="W717" s="256" t="str">
        <f t="shared" si="318"/>
        <v>O</v>
      </c>
      <c r="X717" s="256" t="str">
        <f t="shared" si="319"/>
        <v>U</v>
      </c>
      <c r="Z717" s="3">
        <v>57</v>
      </c>
      <c r="AB717" s="256" t="str">
        <f t="shared" si="322"/>
        <v>BOS/GS</v>
      </c>
      <c r="AC717" s="256">
        <f t="shared" si="320"/>
        <v>2</v>
      </c>
      <c r="AD717" s="256">
        <f t="shared" si="321"/>
        <v>2</v>
      </c>
    </row>
    <row r="718" spans="1:30" x14ac:dyDescent="0.3">
      <c r="A718" s="256">
        <v>200131</v>
      </c>
      <c r="B718" s="257">
        <v>0.52083333333333337</v>
      </c>
      <c r="C718" s="256" t="s">
        <v>408</v>
      </c>
      <c r="D718" s="256" t="s">
        <v>405</v>
      </c>
      <c r="E718" s="256">
        <v>21</v>
      </c>
      <c r="F718" s="256">
        <v>22</v>
      </c>
      <c r="G718" s="256">
        <v>33</v>
      </c>
      <c r="H718" s="256">
        <v>30</v>
      </c>
      <c r="I718" s="256"/>
      <c r="J718" s="256">
        <v>23</v>
      </c>
      <c r="K718" s="256">
        <v>25</v>
      </c>
      <c r="L718" s="256">
        <v>22</v>
      </c>
      <c r="M718" s="256">
        <v>30</v>
      </c>
      <c r="N718" s="256"/>
      <c r="O718" s="256">
        <f t="shared" si="310"/>
        <v>106</v>
      </c>
      <c r="P718" s="256">
        <f t="shared" si="311"/>
        <v>100</v>
      </c>
      <c r="Q718" s="256" t="str">
        <f t="shared" si="312"/>
        <v>HL</v>
      </c>
      <c r="R718" s="256" t="str">
        <f t="shared" si="313"/>
        <v>HL</v>
      </c>
      <c r="S718" s="256" t="str">
        <f t="shared" si="314"/>
        <v>HW</v>
      </c>
      <c r="T718" s="256" t="str">
        <f t="shared" si="315"/>
        <v>TT</v>
      </c>
      <c r="U718" s="256" t="str">
        <f t="shared" si="316"/>
        <v>U</v>
      </c>
      <c r="V718" s="256" t="str">
        <f t="shared" si="317"/>
        <v>U</v>
      </c>
      <c r="W718" s="256" t="str">
        <f t="shared" si="318"/>
        <v>O</v>
      </c>
      <c r="X718" s="256" t="str">
        <f t="shared" si="319"/>
        <v>O</v>
      </c>
      <c r="Z718" s="3">
        <v>52.5</v>
      </c>
      <c r="AB718" s="256" t="str">
        <f t="shared" si="322"/>
        <v>DEN/UTA</v>
      </c>
      <c r="AC718" s="256">
        <f t="shared" si="320"/>
        <v>2</v>
      </c>
      <c r="AD718" s="256">
        <f t="shared" si="321"/>
        <v>2</v>
      </c>
    </row>
    <row r="719" spans="1:30" x14ac:dyDescent="0.3">
      <c r="A719" s="256">
        <v>200131</v>
      </c>
      <c r="B719" s="257">
        <v>0.52083333333333337</v>
      </c>
      <c r="C719" s="256" t="s">
        <v>415</v>
      </c>
      <c r="D719" s="256" t="s">
        <v>416</v>
      </c>
      <c r="E719" s="256">
        <v>33</v>
      </c>
      <c r="F719" s="256">
        <v>14</v>
      </c>
      <c r="G719" s="256">
        <v>24</v>
      </c>
      <c r="H719" s="256">
        <v>32</v>
      </c>
      <c r="I719" s="256"/>
      <c r="J719" s="256">
        <v>28</v>
      </c>
      <c r="K719" s="256">
        <v>36</v>
      </c>
      <c r="L719" s="256">
        <v>21</v>
      </c>
      <c r="M719" s="256">
        <v>39</v>
      </c>
      <c r="N719" s="256"/>
      <c r="O719" s="256">
        <f t="shared" si="310"/>
        <v>103</v>
      </c>
      <c r="P719" s="256">
        <f t="shared" si="311"/>
        <v>124</v>
      </c>
      <c r="Q719" s="256" t="str">
        <f t="shared" si="312"/>
        <v>HW</v>
      </c>
      <c r="R719" s="256" t="str">
        <f t="shared" si="313"/>
        <v>HL</v>
      </c>
      <c r="S719" s="256" t="str">
        <f t="shared" si="314"/>
        <v>HW</v>
      </c>
      <c r="T719" s="256" t="str">
        <f t="shared" si="315"/>
        <v>HL</v>
      </c>
      <c r="U719" s="256" t="str">
        <f t="shared" si="316"/>
        <v>O</v>
      </c>
      <c r="V719" s="256" t="str">
        <f t="shared" si="317"/>
        <v>U</v>
      </c>
      <c r="W719" s="256" t="str">
        <f t="shared" si="318"/>
        <v>U</v>
      </c>
      <c r="X719" s="256" t="str">
        <f t="shared" si="319"/>
        <v>O</v>
      </c>
      <c r="Z719" s="3">
        <v>57.5</v>
      </c>
      <c r="AB719" s="256" t="str">
        <f t="shared" si="322"/>
        <v>LAC/SAC</v>
      </c>
      <c r="AC719" s="256">
        <f t="shared" si="320"/>
        <v>2</v>
      </c>
      <c r="AD719" s="256">
        <f t="shared" si="321"/>
        <v>2</v>
      </c>
    </row>
    <row r="720" spans="1:30" x14ac:dyDescent="0.3">
      <c r="A720" s="256">
        <v>200201</v>
      </c>
      <c r="B720" s="257">
        <v>0.375</v>
      </c>
      <c r="C720" s="256" t="s">
        <v>422</v>
      </c>
      <c r="D720" s="256" t="s">
        <v>413</v>
      </c>
      <c r="E720" s="256">
        <v>20</v>
      </c>
      <c r="F720" s="256">
        <v>27</v>
      </c>
      <c r="G720" s="256">
        <v>22</v>
      </c>
      <c r="H720" s="256">
        <v>23</v>
      </c>
      <c r="I720" s="256"/>
      <c r="J720" s="256">
        <v>30</v>
      </c>
      <c r="K720" s="256">
        <v>30</v>
      </c>
      <c r="L720" s="256">
        <v>18</v>
      </c>
      <c r="M720" s="256">
        <v>27</v>
      </c>
      <c r="N720" s="256"/>
      <c r="O720" s="256">
        <f t="shared" si="310"/>
        <v>92</v>
      </c>
      <c r="P720" s="256">
        <f t="shared" si="311"/>
        <v>105</v>
      </c>
      <c r="Q720" s="256" t="str">
        <f t="shared" si="312"/>
        <v>HL</v>
      </c>
      <c r="R720" s="256" t="str">
        <f t="shared" si="313"/>
        <v>HL</v>
      </c>
      <c r="S720" s="256" t="str">
        <f t="shared" si="314"/>
        <v>HW</v>
      </c>
      <c r="T720" s="256" t="str">
        <f t="shared" si="315"/>
        <v>HL</v>
      </c>
      <c r="U720" s="256" t="str">
        <f t="shared" si="316"/>
        <v>U</v>
      </c>
      <c r="V720" s="256" t="str">
        <f t="shared" si="317"/>
        <v>T</v>
      </c>
      <c r="W720" s="256" t="str">
        <f t="shared" si="318"/>
        <v>U</v>
      </c>
      <c r="X720" s="256" t="str">
        <f t="shared" si="319"/>
        <v>U</v>
      </c>
      <c r="Z720" s="3">
        <v>57</v>
      </c>
      <c r="AB720" s="256" t="str">
        <f t="shared" si="322"/>
        <v>DET/TOR</v>
      </c>
      <c r="AC720" s="256">
        <f t="shared" si="320"/>
        <v>0</v>
      </c>
      <c r="AD720" s="256">
        <f t="shared" si="321"/>
        <v>3</v>
      </c>
    </row>
    <row r="721" spans="1:30" x14ac:dyDescent="0.3">
      <c r="A721" s="256">
        <v>200201</v>
      </c>
      <c r="B721" s="257">
        <v>0.39583333333333331</v>
      </c>
      <c r="C721" s="256" t="s">
        <v>403</v>
      </c>
      <c r="D721" s="256" t="s">
        <v>397</v>
      </c>
      <c r="E721" s="256">
        <v>35</v>
      </c>
      <c r="F721" s="256">
        <v>30</v>
      </c>
      <c r="G721" s="256">
        <v>36</v>
      </c>
      <c r="H721" s="256">
        <v>27</v>
      </c>
      <c r="I721" s="256"/>
      <c r="J721" s="256">
        <v>28</v>
      </c>
      <c r="K721" s="256">
        <v>32</v>
      </c>
      <c r="L721" s="256">
        <v>25</v>
      </c>
      <c r="M721" s="256">
        <v>36</v>
      </c>
      <c r="N721" s="256"/>
      <c r="O721" s="256">
        <f t="shared" si="310"/>
        <v>128</v>
      </c>
      <c r="P721" s="256">
        <f t="shared" si="311"/>
        <v>121</v>
      </c>
      <c r="Q721" s="256" t="str">
        <f t="shared" si="312"/>
        <v>HW</v>
      </c>
      <c r="R721" s="256" t="str">
        <f t="shared" si="313"/>
        <v>HL</v>
      </c>
      <c r="S721" s="256" t="str">
        <f t="shared" si="314"/>
        <v>HW</v>
      </c>
      <c r="T721" s="256" t="str">
        <f t="shared" si="315"/>
        <v>HL</v>
      </c>
      <c r="U721" s="256" t="str">
        <f t="shared" si="316"/>
        <v>O</v>
      </c>
      <c r="V721" s="256" t="str">
        <f t="shared" si="317"/>
        <v>O</v>
      </c>
      <c r="W721" s="256" t="str">
        <f t="shared" si="318"/>
        <v>O</v>
      </c>
      <c r="X721" s="256" t="str">
        <f t="shared" si="319"/>
        <v>O</v>
      </c>
      <c r="Z721" s="3">
        <v>59.5</v>
      </c>
      <c r="AB721" s="256" t="str">
        <f t="shared" si="322"/>
        <v>HOU/DAL</v>
      </c>
      <c r="AC721" s="256">
        <f t="shared" si="320"/>
        <v>4</v>
      </c>
      <c r="AD721" s="256">
        <f t="shared" si="321"/>
        <v>0</v>
      </c>
    </row>
    <row r="722" spans="1:30" x14ac:dyDescent="0.3">
      <c r="A722" s="256">
        <v>200201</v>
      </c>
      <c r="B722" s="257">
        <v>0.39583333333333331</v>
      </c>
      <c r="C722" s="256" t="s">
        <v>407</v>
      </c>
      <c r="D722" s="256" t="s">
        <v>412</v>
      </c>
      <c r="E722" s="256">
        <v>35</v>
      </c>
      <c r="F722" s="256">
        <v>38</v>
      </c>
      <c r="G722" s="256">
        <v>30</v>
      </c>
      <c r="H722" s="256">
        <v>30</v>
      </c>
      <c r="I722" s="256"/>
      <c r="J722" s="256">
        <v>23</v>
      </c>
      <c r="K722" s="256">
        <v>34</v>
      </c>
      <c r="L722" s="256">
        <v>39</v>
      </c>
      <c r="M722" s="256">
        <v>22</v>
      </c>
      <c r="N722" s="256"/>
      <c r="O722" s="256">
        <f t="shared" si="310"/>
        <v>133</v>
      </c>
      <c r="P722" s="256">
        <f t="shared" si="311"/>
        <v>118</v>
      </c>
      <c r="Q722" s="256" t="str">
        <f t="shared" si="312"/>
        <v>HW</v>
      </c>
      <c r="R722" s="256" t="str">
        <f t="shared" si="313"/>
        <v>HW</v>
      </c>
      <c r="S722" s="256" t="str">
        <f t="shared" si="314"/>
        <v>HL</v>
      </c>
      <c r="T722" s="256" t="str">
        <f t="shared" si="315"/>
        <v>HW</v>
      </c>
      <c r="U722" s="256" t="str">
        <f t="shared" si="316"/>
        <v>O</v>
      </c>
      <c r="V722" s="256" t="str">
        <f t="shared" si="317"/>
        <v>O</v>
      </c>
      <c r="W722" s="256" t="str">
        <f t="shared" si="318"/>
        <v>O</v>
      </c>
      <c r="X722" s="256" t="str">
        <f t="shared" si="319"/>
        <v>U</v>
      </c>
      <c r="Z722" s="3">
        <v>56.5</v>
      </c>
      <c r="AB722" s="256" t="str">
        <f t="shared" si="322"/>
        <v>BKN/CHI</v>
      </c>
      <c r="AC722" s="256">
        <f t="shared" si="320"/>
        <v>3</v>
      </c>
      <c r="AD722" s="256">
        <f t="shared" si="321"/>
        <v>1</v>
      </c>
    </row>
    <row r="723" spans="1:30" x14ac:dyDescent="0.3">
      <c r="A723" s="256">
        <v>200201</v>
      </c>
      <c r="B723" s="257">
        <v>0.41666666666666669</v>
      </c>
      <c r="C723" s="256" t="s">
        <v>398</v>
      </c>
      <c r="D723" s="256" t="s">
        <v>406</v>
      </c>
      <c r="E723" s="256">
        <v>31</v>
      </c>
      <c r="F723" s="256">
        <v>35</v>
      </c>
      <c r="G723" s="256">
        <v>44</v>
      </c>
      <c r="H723" s="256">
        <v>29</v>
      </c>
      <c r="I723" s="256"/>
      <c r="J723" s="256">
        <v>22</v>
      </c>
      <c r="K723" s="256">
        <v>37</v>
      </c>
      <c r="L723" s="256">
        <v>27</v>
      </c>
      <c r="M723" s="256">
        <v>25</v>
      </c>
      <c r="N723" s="256"/>
      <c r="O723" s="256">
        <f t="shared" si="310"/>
        <v>139</v>
      </c>
      <c r="P723" s="256">
        <f t="shared" si="311"/>
        <v>111</v>
      </c>
      <c r="Q723" s="256" t="str">
        <f t="shared" si="312"/>
        <v>HW</v>
      </c>
      <c r="R723" s="256" t="str">
        <f t="shared" si="313"/>
        <v>HL</v>
      </c>
      <c r="S723" s="256" t="str">
        <f t="shared" si="314"/>
        <v>HW</v>
      </c>
      <c r="T723" s="256" t="str">
        <f t="shared" si="315"/>
        <v>HW</v>
      </c>
      <c r="U723" s="256" t="str">
        <f t="shared" si="316"/>
        <v>U</v>
      </c>
      <c r="V723" s="256" t="str">
        <f t="shared" si="317"/>
        <v>O</v>
      </c>
      <c r="W723" s="256" t="str">
        <f t="shared" si="318"/>
        <v>O</v>
      </c>
      <c r="X723" s="256" t="str">
        <f t="shared" si="319"/>
        <v>U</v>
      </c>
      <c r="Z723" s="3">
        <v>59.5</v>
      </c>
      <c r="AB723" s="256" t="str">
        <f t="shared" si="322"/>
        <v>NO/MEM</v>
      </c>
      <c r="AC723" s="256">
        <f t="shared" si="320"/>
        <v>2</v>
      </c>
      <c r="AD723" s="256">
        <f t="shared" si="321"/>
        <v>2</v>
      </c>
    </row>
    <row r="724" spans="1:30" x14ac:dyDescent="0.3">
      <c r="A724" s="256">
        <v>200201</v>
      </c>
      <c r="B724" s="257">
        <v>0.45833333333333331</v>
      </c>
      <c r="C724" s="256" t="s">
        <v>423</v>
      </c>
      <c r="D724" s="256" t="s">
        <v>408</v>
      </c>
      <c r="E724" s="256">
        <v>43</v>
      </c>
      <c r="F724" s="256">
        <v>24</v>
      </c>
      <c r="G724" s="256">
        <v>24</v>
      </c>
      <c r="H724" s="256">
        <v>24</v>
      </c>
      <c r="I724" s="256"/>
      <c r="J724" s="256">
        <v>35</v>
      </c>
      <c r="K724" s="256">
        <v>25</v>
      </c>
      <c r="L724" s="256">
        <v>40</v>
      </c>
      <c r="M724" s="256">
        <v>27</v>
      </c>
      <c r="N724" s="256"/>
      <c r="O724" s="256">
        <f t="shared" si="310"/>
        <v>115</v>
      </c>
      <c r="P724" s="256">
        <f t="shared" si="311"/>
        <v>127</v>
      </c>
      <c r="Q724" s="256" t="str">
        <f t="shared" si="312"/>
        <v>HW</v>
      </c>
      <c r="R724" s="256" t="str">
        <f t="shared" si="313"/>
        <v>HL</v>
      </c>
      <c r="S724" s="256" t="str">
        <f t="shared" si="314"/>
        <v>HL</v>
      </c>
      <c r="T724" s="256" t="str">
        <f t="shared" si="315"/>
        <v>HL</v>
      </c>
      <c r="U724" s="256" t="str">
        <f t="shared" si="316"/>
        <v>O</v>
      </c>
      <c r="V724" s="256" t="str">
        <f t="shared" si="317"/>
        <v>U</v>
      </c>
      <c r="W724" s="256" t="str">
        <f t="shared" si="318"/>
        <v>O</v>
      </c>
      <c r="X724" s="256" t="str">
        <f t="shared" si="319"/>
        <v>U</v>
      </c>
      <c r="Z724" s="3">
        <v>57.5</v>
      </c>
      <c r="AB724" s="256" t="str">
        <f t="shared" si="322"/>
        <v>MIL/DEN</v>
      </c>
      <c r="AC724" s="256">
        <f t="shared" si="320"/>
        <v>2</v>
      </c>
      <c r="AD724" s="256">
        <f t="shared" si="321"/>
        <v>2</v>
      </c>
    </row>
    <row r="725" spans="1:30" x14ac:dyDescent="0.3">
      <c r="A725" s="256">
        <v>200201</v>
      </c>
      <c r="B725" s="257">
        <v>0.45833333333333331</v>
      </c>
      <c r="C725" s="256" t="s">
        <v>404</v>
      </c>
      <c r="D725" s="256" t="s">
        <v>418</v>
      </c>
      <c r="E725" s="256">
        <v>27</v>
      </c>
      <c r="F725" s="256">
        <v>25</v>
      </c>
      <c r="G725" s="256">
        <v>29</v>
      </c>
      <c r="H725" s="256">
        <v>26</v>
      </c>
      <c r="I725" s="256"/>
      <c r="J725" s="256">
        <v>25</v>
      </c>
      <c r="K725" s="256">
        <v>28</v>
      </c>
      <c r="L725" s="256">
        <v>26</v>
      </c>
      <c r="M725" s="256">
        <v>32</v>
      </c>
      <c r="N725" s="256"/>
      <c r="O725" s="256">
        <f t="shared" si="310"/>
        <v>107</v>
      </c>
      <c r="P725" s="256">
        <f t="shared" si="311"/>
        <v>111</v>
      </c>
      <c r="Q725" s="256" t="str">
        <f t="shared" si="312"/>
        <v>HW</v>
      </c>
      <c r="R725" s="256" t="str">
        <f t="shared" si="313"/>
        <v>HL</v>
      </c>
      <c r="S725" s="256" t="str">
        <f t="shared" si="314"/>
        <v>HW</v>
      </c>
      <c r="T725" s="256" t="str">
        <f t="shared" si="315"/>
        <v>HL</v>
      </c>
      <c r="U725" s="256" t="str">
        <f t="shared" si="316"/>
        <v>U</v>
      </c>
      <c r="V725" s="256" t="str">
        <f t="shared" si="317"/>
        <v>U</v>
      </c>
      <c r="W725" s="256" t="str">
        <f t="shared" si="318"/>
        <v>U</v>
      </c>
      <c r="X725" s="256" t="str">
        <f t="shared" si="319"/>
        <v>O</v>
      </c>
      <c r="Z725" s="3">
        <v>56.5</v>
      </c>
      <c r="AB725" s="256" t="str">
        <f t="shared" si="322"/>
        <v>PHO/OKC</v>
      </c>
      <c r="AC725" s="256">
        <f t="shared" si="320"/>
        <v>1</v>
      </c>
      <c r="AD725" s="256">
        <f t="shared" si="321"/>
        <v>3</v>
      </c>
    </row>
    <row r="726" spans="1:30" x14ac:dyDescent="0.3">
      <c r="A726" s="256">
        <v>200201</v>
      </c>
      <c r="B726" s="257">
        <v>0.52083333333333337</v>
      </c>
      <c r="C726" s="256" t="s">
        <v>419</v>
      </c>
      <c r="D726" s="256" t="s">
        <v>417</v>
      </c>
      <c r="E726" s="256">
        <v>36</v>
      </c>
      <c r="F726" s="256">
        <v>26</v>
      </c>
      <c r="G726" s="256">
        <v>34</v>
      </c>
      <c r="H726" s="256">
        <v>23</v>
      </c>
      <c r="I726" s="256"/>
      <c r="J726" s="256">
        <v>38</v>
      </c>
      <c r="K726" s="256">
        <v>22</v>
      </c>
      <c r="L726" s="256">
        <v>43</v>
      </c>
      <c r="M726" s="256">
        <v>24</v>
      </c>
      <c r="N726" s="256"/>
      <c r="O726" s="256">
        <f t="shared" si="310"/>
        <v>119</v>
      </c>
      <c r="P726" s="256">
        <f t="shared" si="311"/>
        <v>127</v>
      </c>
      <c r="Q726" s="256" t="str">
        <f t="shared" si="312"/>
        <v>HL</v>
      </c>
      <c r="R726" s="256" t="str">
        <f t="shared" si="313"/>
        <v>HW</v>
      </c>
      <c r="S726" s="256" t="str">
        <f t="shared" si="314"/>
        <v>HL</v>
      </c>
      <c r="T726" s="256" t="str">
        <f t="shared" si="315"/>
        <v>HL</v>
      </c>
      <c r="U726" s="256" t="str">
        <f t="shared" si="316"/>
        <v>O</v>
      </c>
      <c r="V726" s="256" t="str">
        <f t="shared" si="317"/>
        <v>U</v>
      </c>
      <c r="W726" s="256" t="str">
        <f t="shared" si="318"/>
        <v>O</v>
      </c>
      <c r="X726" s="256" t="str">
        <f t="shared" si="319"/>
        <v>U</v>
      </c>
      <c r="Z726" s="3">
        <v>58.5</v>
      </c>
      <c r="AB726" s="256" t="str">
        <f t="shared" si="322"/>
        <v>LAL/POR</v>
      </c>
      <c r="AC726" s="256">
        <f t="shared" si="320"/>
        <v>2</v>
      </c>
      <c r="AD726" s="256">
        <f t="shared" si="321"/>
        <v>2</v>
      </c>
    </row>
    <row r="727" spans="1:30" x14ac:dyDescent="0.3">
      <c r="A727" s="259">
        <v>200202</v>
      </c>
      <c r="B727" s="264">
        <v>0.22916666666666666</v>
      </c>
      <c r="C727" s="263" t="s">
        <v>415</v>
      </c>
      <c r="D727" s="263" t="s">
        <v>420</v>
      </c>
      <c r="E727" s="281">
        <v>40</v>
      </c>
      <c r="F727" s="281">
        <v>22</v>
      </c>
      <c r="G727" s="281">
        <v>36</v>
      </c>
      <c r="H727" s="281">
        <v>20</v>
      </c>
      <c r="I727" s="281"/>
      <c r="J727" s="281">
        <v>32</v>
      </c>
      <c r="K727" s="281">
        <v>23</v>
      </c>
      <c r="L727" s="281">
        <v>31</v>
      </c>
      <c r="M727" s="281">
        <v>20</v>
      </c>
      <c r="N727" s="281" t="s">
        <v>427</v>
      </c>
      <c r="O727" s="286">
        <f t="shared" ref="O727:O776" si="323">SUM(E727:I727)</f>
        <v>118</v>
      </c>
      <c r="P727" s="286">
        <f t="shared" ref="P727:P776" si="324">SUM(J727:N727)</f>
        <v>106</v>
      </c>
      <c r="Q727" s="286" t="str">
        <f t="shared" ref="Q727:Q776" si="325">IF(E727=J727,"TT",IF(E727&gt;J727,"HW","HL"))</f>
        <v>HW</v>
      </c>
      <c r="R727" s="286" t="str">
        <f t="shared" ref="R727:R776" si="326">IF(F727=K727,"TT",IF(F727&gt;K727,"HW","HL"))</f>
        <v>HL</v>
      </c>
      <c r="S727" s="286" t="str">
        <f t="shared" ref="S727:S776" si="327">IF(G727=L727,"TT",IF(G727&gt;L727,"HW","HL"))</f>
        <v>HW</v>
      </c>
      <c r="T727" s="286" t="str">
        <f t="shared" ref="T727:T776" si="328">IF(H727=M727,"TT",IF(H727&gt;M727,"HW","HL"))</f>
        <v>TT</v>
      </c>
      <c r="U727" s="286" t="str">
        <f t="shared" ref="U727:U776" si="329">IF(SUM(E727,J727)=$Z727,"T",IF(SUM(E727,J727)&gt;$Z727,"O","U"))</f>
        <v>O</v>
      </c>
      <c r="V727" s="286" t="str">
        <f t="shared" ref="V727:V776" si="330">IF(SUM(F727,K727)=$Z727,"T",IF(SUM(F727,K727)&gt;$Z727,"O","U"))</f>
        <v>U</v>
      </c>
      <c r="W727" s="286" t="str">
        <f t="shared" ref="W727:W776" si="331">IF(SUM(G727,L727)=$Z727,"T",IF(SUM(G727,L727)&gt;$Z727,"O","U"))</f>
        <v>O</v>
      </c>
      <c r="X727" s="286" t="str">
        <f t="shared" ref="X727:X776" si="332">IF(SUM(H727,M727)=$Z727,"T",IF(SUM(H727,M727)&gt;$Z727,"O","U"))</f>
        <v>U</v>
      </c>
      <c r="Z727" s="3">
        <v>59</v>
      </c>
      <c r="AB727" s="286" t="str">
        <f t="shared" ref="AB727:AB776" si="333">C727&amp;"/"&amp;D727</f>
        <v>LAC/MIN</v>
      </c>
      <c r="AC727" s="286">
        <f t="shared" ref="AC727:AC776" si="334">COUNTIF(U727:X727,"o")</f>
        <v>2</v>
      </c>
      <c r="AD727" s="286">
        <f t="shared" ref="AD727:AD776" si="335">COUNTIF(U727:X727,"u")</f>
        <v>2</v>
      </c>
    </row>
    <row r="728" spans="1:30" x14ac:dyDescent="0.3">
      <c r="A728" s="259">
        <v>200202</v>
      </c>
      <c r="B728" s="264">
        <v>0.375</v>
      </c>
      <c r="C728" s="263" t="s">
        <v>400</v>
      </c>
      <c r="D728" s="263" t="s">
        <v>399</v>
      </c>
      <c r="E728" s="280">
        <v>11</v>
      </c>
      <c r="F728" s="280">
        <v>28</v>
      </c>
      <c r="G728" s="280">
        <v>32</v>
      </c>
      <c r="H728" s="280">
        <v>14</v>
      </c>
      <c r="I728" s="280"/>
      <c r="J728" s="280">
        <v>24</v>
      </c>
      <c r="K728" s="280">
        <v>26</v>
      </c>
      <c r="L728" s="280">
        <v>22</v>
      </c>
      <c r="M728" s="280">
        <v>20</v>
      </c>
      <c r="N728" s="280" t="s">
        <v>427</v>
      </c>
      <c r="O728" s="286">
        <f t="shared" si="323"/>
        <v>85</v>
      </c>
      <c r="P728" s="286">
        <f t="shared" si="324"/>
        <v>92</v>
      </c>
      <c r="Q728" s="286" t="str">
        <f t="shared" si="325"/>
        <v>HL</v>
      </c>
      <c r="R728" s="286" t="str">
        <f t="shared" si="326"/>
        <v>HW</v>
      </c>
      <c r="S728" s="286" t="str">
        <f t="shared" si="327"/>
        <v>HW</v>
      </c>
      <c r="T728" s="286" t="str">
        <f t="shared" si="328"/>
        <v>HL</v>
      </c>
      <c r="U728" s="286" t="str">
        <f t="shared" si="329"/>
        <v>U</v>
      </c>
      <c r="V728" s="286" t="str">
        <f t="shared" si="330"/>
        <v>U</v>
      </c>
      <c r="W728" s="286" t="str">
        <f t="shared" si="331"/>
        <v>U</v>
      </c>
      <c r="X728" s="286" t="str">
        <f t="shared" si="332"/>
        <v>U</v>
      </c>
      <c r="Z728" s="3">
        <v>54.5</v>
      </c>
      <c r="AB728" s="286" t="str">
        <f t="shared" si="333"/>
        <v>IND/NYK</v>
      </c>
      <c r="AC728" s="286">
        <f t="shared" si="334"/>
        <v>0</v>
      </c>
      <c r="AD728" s="286">
        <f t="shared" si="335"/>
        <v>4</v>
      </c>
    </row>
    <row r="729" spans="1:30" x14ac:dyDescent="0.3">
      <c r="A729" s="259">
        <v>200202</v>
      </c>
      <c r="B729" s="264">
        <v>0.375</v>
      </c>
      <c r="C729" s="263" t="s">
        <v>424</v>
      </c>
      <c r="D729" s="263" t="s">
        <v>411</v>
      </c>
      <c r="E729" s="282">
        <v>25</v>
      </c>
      <c r="F729" s="282">
        <v>24</v>
      </c>
      <c r="G729" s="282">
        <v>18</v>
      </c>
      <c r="H729" s="282">
        <v>22</v>
      </c>
      <c r="I729" s="282"/>
      <c r="J729" s="282">
        <v>28</v>
      </c>
      <c r="K729" s="282">
        <v>29</v>
      </c>
      <c r="L729" s="282">
        <v>19</v>
      </c>
      <c r="M729" s="282">
        <v>26</v>
      </c>
      <c r="N729" s="282" t="s">
        <v>427</v>
      </c>
      <c r="O729" s="286">
        <f t="shared" si="323"/>
        <v>89</v>
      </c>
      <c r="P729" s="286">
        <f t="shared" si="324"/>
        <v>102</v>
      </c>
      <c r="Q729" s="286" t="str">
        <f t="shared" si="325"/>
        <v>HL</v>
      </c>
      <c r="R729" s="286" t="str">
        <f t="shared" si="326"/>
        <v>HL</v>
      </c>
      <c r="S729" s="286" t="str">
        <f t="shared" si="327"/>
        <v>HL</v>
      </c>
      <c r="T729" s="286" t="str">
        <f t="shared" si="328"/>
        <v>HL</v>
      </c>
      <c r="U729" s="286" t="str">
        <f t="shared" si="329"/>
        <v>U</v>
      </c>
      <c r="V729" s="286" t="str">
        <f t="shared" si="330"/>
        <v>U</v>
      </c>
      <c r="W729" s="286" t="str">
        <f t="shared" si="331"/>
        <v>U</v>
      </c>
      <c r="X729" s="286" t="str">
        <f t="shared" si="332"/>
        <v>U</v>
      </c>
      <c r="Z729" s="3">
        <v>54</v>
      </c>
      <c r="AB729" s="286" t="str">
        <f t="shared" si="333"/>
        <v>ORL/MIA</v>
      </c>
      <c r="AC729" s="286">
        <f t="shared" si="334"/>
        <v>0</v>
      </c>
      <c r="AD729" s="286">
        <f t="shared" si="335"/>
        <v>4</v>
      </c>
    </row>
    <row r="730" spans="1:30" x14ac:dyDescent="0.3">
      <c r="A730" s="259">
        <v>200202</v>
      </c>
      <c r="B730" s="264">
        <v>0.41666666666666669</v>
      </c>
      <c r="C730" s="263" t="s">
        <v>402</v>
      </c>
      <c r="D730" s="263" t="s">
        <v>425</v>
      </c>
      <c r="E730" s="278">
        <v>32</v>
      </c>
      <c r="F730" s="278">
        <v>27</v>
      </c>
      <c r="G730" s="278">
        <v>19</v>
      </c>
      <c r="H730" s="278">
        <v>34</v>
      </c>
      <c r="I730" s="278"/>
      <c r="J730" s="278">
        <v>31</v>
      </c>
      <c r="K730" s="278">
        <v>30</v>
      </c>
      <c r="L730" s="278">
        <v>44</v>
      </c>
      <c r="M730" s="278">
        <v>26</v>
      </c>
      <c r="N730" s="278" t="s">
        <v>427</v>
      </c>
      <c r="O730" s="286">
        <f t="shared" si="323"/>
        <v>112</v>
      </c>
      <c r="P730" s="286">
        <f t="shared" si="324"/>
        <v>131</v>
      </c>
      <c r="Q730" s="286" t="str">
        <f t="shared" si="325"/>
        <v>HW</v>
      </c>
      <c r="R730" s="286" t="str">
        <f t="shared" si="326"/>
        <v>HL</v>
      </c>
      <c r="S730" s="286" t="str">
        <f t="shared" si="327"/>
        <v>HL</v>
      </c>
      <c r="T730" s="286" t="str">
        <f t="shared" si="328"/>
        <v>HW</v>
      </c>
      <c r="U730" s="286" t="str">
        <f t="shared" si="329"/>
        <v>O</v>
      </c>
      <c r="V730" s="286" t="str">
        <f t="shared" si="330"/>
        <v>U</v>
      </c>
      <c r="W730" s="286" t="str">
        <f t="shared" si="331"/>
        <v>O</v>
      </c>
      <c r="X730" s="286" t="str">
        <f t="shared" si="332"/>
        <v>O</v>
      </c>
      <c r="Z730" s="3">
        <v>57.5</v>
      </c>
      <c r="AB730" s="286" t="str">
        <f t="shared" si="333"/>
        <v>CLE/GS</v>
      </c>
      <c r="AC730" s="286">
        <f t="shared" si="334"/>
        <v>3</v>
      </c>
      <c r="AD730" s="286">
        <f t="shared" si="335"/>
        <v>1</v>
      </c>
    </row>
    <row r="731" spans="1:30" x14ac:dyDescent="0.3">
      <c r="A731" s="259">
        <v>200202</v>
      </c>
      <c r="B731" s="264">
        <v>0.41666666666666669</v>
      </c>
      <c r="C731" s="263" t="s">
        <v>414</v>
      </c>
      <c r="D731" s="263" t="s">
        <v>407</v>
      </c>
      <c r="E731" s="286">
        <v>27</v>
      </c>
      <c r="F731" s="286">
        <v>32</v>
      </c>
      <c r="G731" s="286">
        <v>22</v>
      </c>
      <c r="H731" s="286">
        <v>32</v>
      </c>
      <c r="I731" s="286"/>
      <c r="J731" s="286">
        <v>36</v>
      </c>
      <c r="K731" s="286">
        <v>25</v>
      </c>
      <c r="L731" s="286">
        <v>23</v>
      </c>
      <c r="M731" s="286">
        <v>23</v>
      </c>
      <c r="N731" s="286" t="s">
        <v>427</v>
      </c>
      <c r="O731" s="286">
        <f t="shared" si="323"/>
        <v>113</v>
      </c>
      <c r="P731" s="286">
        <f t="shared" si="324"/>
        <v>107</v>
      </c>
      <c r="Q731" s="286" t="str">
        <f t="shared" si="325"/>
        <v>HL</v>
      </c>
      <c r="R731" s="286" t="str">
        <f t="shared" si="326"/>
        <v>HW</v>
      </c>
      <c r="S731" s="286" t="str">
        <f t="shared" si="327"/>
        <v>HL</v>
      </c>
      <c r="T731" s="286" t="str">
        <f t="shared" si="328"/>
        <v>HW</v>
      </c>
      <c r="U731" s="286" t="str">
        <f t="shared" si="329"/>
        <v>O</v>
      </c>
      <c r="V731" s="286" t="str">
        <f t="shared" si="330"/>
        <v>U</v>
      </c>
      <c r="W731" s="286" t="str">
        <f t="shared" si="331"/>
        <v>U</v>
      </c>
      <c r="X731" s="286" t="str">
        <f t="shared" si="332"/>
        <v>U</v>
      </c>
      <c r="Z731" s="3">
        <v>59.5</v>
      </c>
      <c r="AB731" s="286" t="str">
        <f t="shared" si="333"/>
        <v>WAS/BKN</v>
      </c>
      <c r="AC731" s="286">
        <f t="shared" si="334"/>
        <v>1</v>
      </c>
      <c r="AD731" s="286">
        <f t="shared" si="335"/>
        <v>3</v>
      </c>
    </row>
    <row r="732" spans="1:30" x14ac:dyDescent="0.3">
      <c r="A732" s="259">
        <v>200202</v>
      </c>
      <c r="B732" s="264">
        <v>0.4375</v>
      </c>
      <c r="C732" s="263" t="s">
        <v>421</v>
      </c>
      <c r="D732" s="263" t="s">
        <v>401</v>
      </c>
      <c r="E732" s="277">
        <v>32</v>
      </c>
      <c r="F732" s="277">
        <v>27</v>
      </c>
      <c r="G732" s="277">
        <v>27</v>
      </c>
      <c r="H732" s="277">
        <v>30</v>
      </c>
      <c r="I732" s="277"/>
      <c r="J732" s="277">
        <v>19</v>
      </c>
      <c r="K732" s="277">
        <v>32</v>
      </c>
      <c r="L732" s="277">
        <v>16</v>
      </c>
      <c r="M732" s="277">
        <v>28</v>
      </c>
      <c r="N732" s="277" t="s">
        <v>427</v>
      </c>
      <c r="O732" s="286">
        <f t="shared" si="323"/>
        <v>116</v>
      </c>
      <c r="P732" s="286">
        <f t="shared" si="324"/>
        <v>95</v>
      </c>
      <c r="Q732" s="286" t="str">
        <f t="shared" si="325"/>
        <v>HW</v>
      </c>
      <c r="R732" s="286" t="str">
        <f t="shared" si="326"/>
        <v>HL</v>
      </c>
      <c r="S732" s="286" t="str">
        <f t="shared" si="327"/>
        <v>HW</v>
      </c>
      <c r="T732" s="286" t="str">
        <f t="shared" si="328"/>
        <v>HW</v>
      </c>
      <c r="U732" s="286" t="str">
        <f t="shared" si="329"/>
        <v>U</v>
      </c>
      <c r="V732" s="286" t="str">
        <f t="shared" si="330"/>
        <v>O</v>
      </c>
      <c r="W732" s="286" t="str">
        <f t="shared" si="331"/>
        <v>U</v>
      </c>
      <c r="X732" s="286" t="str">
        <f t="shared" si="332"/>
        <v>O</v>
      </c>
      <c r="Z732" s="3">
        <v>55</v>
      </c>
      <c r="AB732" s="286" t="str">
        <f t="shared" si="333"/>
        <v>BOS/PHI</v>
      </c>
      <c r="AC732" s="286">
        <f t="shared" si="334"/>
        <v>2</v>
      </c>
      <c r="AD732" s="286">
        <f t="shared" si="335"/>
        <v>2</v>
      </c>
    </row>
    <row r="733" spans="1:30" x14ac:dyDescent="0.3">
      <c r="A733" s="259">
        <v>200202</v>
      </c>
      <c r="B733" s="264">
        <v>0.4375</v>
      </c>
      <c r="C733" s="263" t="s">
        <v>397</v>
      </c>
      <c r="D733" s="263" t="s">
        <v>410</v>
      </c>
      <c r="E733" s="279">
        <v>36</v>
      </c>
      <c r="F733" s="279">
        <v>26</v>
      </c>
      <c r="G733" s="279">
        <v>35</v>
      </c>
      <c r="H733" s="279">
        <v>26</v>
      </c>
      <c r="I733" s="279"/>
      <c r="J733" s="279">
        <v>26</v>
      </c>
      <c r="K733" s="279">
        <v>23</v>
      </c>
      <c r="L733" s="279">
        <v>23</v>
      </c>
      <c r="M733" s="279">
        <v>28</v>
      </c>
      <c r="N733" s="279" t="s">
        <v>427</v>
      </c>
      <c r="O733" s="286">
        <f t="shared" si="323"/>
        <v>123</v>
      </c>
      <c r="P733" s="286">
        <f t="shared" si="324"/>
        <v>100</v>
      </c>
      <c r="Q733" s="286" t="str">
        <f t="shared" si="325"/>
        <v>HW</v>
      </c>
      <c r="R733" s="286" t="str">
        <f t="shared" si="326"/>
        <v>HW</v>
      </c>
      <c r="S733" s="286" t="str">
        <f t="shared" si="327"/>
        <v>HW</v>
      </c>
      <c r="T733" s="286" t="str">
        <f t="shared" si="328"/>
        <v>HL</v>
      </c>
      <c r="U733" s="286" t="str">
        <f t="shared" si="329"/>
        <v>O</v>
      </c>
      <c r="V733" s="286" t="str">
        <f t="shared" si="330"/>
        <v>U</v>
      </c>
      <c r="W733" s="286" t="str">
        <f t="shared" si="331"/>
        <v>U</v>
      </c>
      <c r="X733" s="286" t="str">
        <f t="shared" si="332"/>
        <v>U</v>
      </c>
      <c r="Z733" s="3">
        <v>60.5</v>
      </c>
      <c r="AB733" s="286" t="str">
        <f t="shared" si="333"/>
        <v>DAL/ATL</v>
      </c>
      <c r="AC733" s="286">
        <f t="shared" si="334"/>
        <v>1</v>
      </c>
      <c r="AD733" s="286">
        <f t="shared" si="335"/>
        <v>3</v>
      </c>
    </row>
    <row r="734" spans="1:30" x14ac:dyDescent="0.3">
      <c r="A734" s="263">
        <v>200202</v>
      </c>
      <c r="B734" s="264">
        <v>0.45833333333333331</v>
      </c>
      <c r="C734" s="263" t="s">
        <v>426</v>
      </c>
      <c r="D734" s="263" t="s">
        <v>409</v>
      </c>
      <c r="E734" s="285">
        <v>30</v>
      </c>
      <c r="F734" s="285">
        <v>20</v>
      </c>
      <c r="G734" s="285">
        <v>29</v>
      </c>
      <c r="H734" s="285">
        <v>35</v>
      </c>
      <c r="I734" s="285"/>
      <c r="J734" s="285">
        <v>28</v>
      </c>
      <c r="K734" s="285">
        <v>35</v>
      </c>
      <c r="L734" s="285">
        <v>11</v>
      </c>
      <c r="M734" s="285">
        <v>16</v>
      </c>
      <c r="N734" s="285" t="s">
        <v>427</v>
      </c>
      <c r="O734" s="286">
        <f t="shared" si="323"/>
        <v>114</v>
      </c>
      <c r="P734" s="286">
        <f t="shared" si="324"/>
        <v>90</v>
      </c>
      <c r="Q734" s="286" t="str">
        <f t="shared" si="325"/>
        <v>HW</v>
      </c>
      <c r="R734" s="286" t="str">
        <f t="shared" si="326"/>
        <v>HL</v>
      </c>
      <c r="S734" s="286" t="str">
        <f t="shared" si="327"/>
        <v>HW</v>
      </c>
      <c r="T734" s="286" t="str">
        <f t="shared" si="328"/>
        <v>HW</v>
      </c>
      <c r="U734" s="286" t="str">
        <f t="shared" si="329"/>
        <v>O</v>
      </c>
      <c r="V734" s="286" t="str">
        <f t="shared" si="330"/>
        <v>T</v>
      </c>
      <c r="W734" s="286" t="str">
        <f t="shared" si="331"/>
        <v>U</v>
      </c>
      <c r="X734" s="286" t="str">
        <f t="shared" si="332"/>
        <v>U</v>
      </c>
      <c r="Z734" s="3">
        <v>55</v>
      </c>
      <c r="AB734" s="286" t="str">
        <f t="shared" si="333"/>
        <v>SAS/CHA</v>
      </c>
      <c r="AC734" s="286">
        <f t="shared" si="334"/>
        <v>1</v>
      </c>
      <c r="AD734" s="286">
        <f t="shared" si="335"/>
        <v>2</v>
      </c>
    </row>
    <row r="735" spans="1:30" x14ac:dyDescent="0.3">
      <c r="A735" s="263">
        <v>200202</v>
      </c>
      <c r="B735" s="264">
        <v>0.5</v>
      </c>
      <c r="C735" s="263" t="s">
        <v>416</v>
      </c>
      <c r="D735" s="263" t="s">
        <v>419</v>
      </c>
      <c r="E735" s="284">
        <v>22</v>
      </c>
      <c r="F735" s="284">
        <v>42</v>
      </c>
      <c r="G735" s="284">
        <v>25</v>
      </c>
      <c r="H735" s="284">
        <v>24</v>
      </c>
      <c r="I735" s="284"/>
      <c r="J735" s="284">
        <v>44</v>
      </c>
      <c r="K735" s="284">
        <v>37</v>
      </c>
      <c r="L735" s="284">
        <v>23</v>
      </c>
      <c r="M735" s="284">
        <v>25</v>
      </c>
      <c r="N735" s="284" t="s">
        <v>427</v>
      </c>
      <c r="O735" s="286">
        <f t="shared" si="323"/>
        <v>113</v>
      </c>
      <c r="P735" s="286">
        <f t="shared" si="324"/>
        <v>129</v>
      </c>
      <c r="Q735" s="286" t="str">
        <f t="shared" si="325"/>
        <v>HL</v>
      </c>
      <c r="R735" s="286" t="str">
        <f t="shared" si="326"/>
        <v>HW</v>
      </c>
      <c r="S735" s="286" t="str">
        <f t="shared" si="327"/>
        <v>HW</v>
      </c>
      <c r="T735" s="286" t="str">
        <f t="shared" si="328"/>
        <v>HL</v>
      </c>
      <c r="U735" s="286" t="str">
        <f t="shared" si="329"/>
        <v>O</v>
      </c>
      <c r="V735" s="286" t="str">
        <f t="shared" si="330"/>
        <v>O</v>
      </c>
      <c r="W735" s="286" t="str">
        <f t="shared" si="331"/>
        <v>U</v>
      </c>
      <c r="X735" s="286" t="str">
        <f t="shared" si="332"/>
        <v>U</v>
      </c>
      <c r="Z735" s="3">
        <v>57.5</v>
      </c>
      <c r="AB735" s="286" t="str">
        <f t="shared" si="333"/>
        <v>SAC/LAL</v>
      </c>
      <c r="AC735" s="286">
        <f t="shared" si="334"/>
        <v>2</v>
      </c>
      <c r="AD735" s="286">
        <f t="shared" si="335"/>
        <v>2</v>
      </c>
    </row>
    <row r="736" spans="1:30" x14ac:dyDescent="0.3">
      <c r="A736" s="263">
        <v>200202</v>
      </c>
      <c r="B736" s="264">
        <v>0.52083333333333337</v>
      </c>
      <c r="C736" s="263" t="s">
        <v>417</v>
      </c>
      <c r="D736" s="263" t="s">
        <v>405</v>
      </c>
      <c r="E736" s="283">
        <v>33</v>
      </c>
      <c r="F736" s="283">
        <v>30</v>
      </c>
      <c r="G736" s="283">
        <v>31</v>
      </c>
      <c r="H736" s="283">
        <v>30</v>
      </c>
      <c r="I736" s="283"/>
      <c r="J736" s="283">
        <v>34</v>
      </c>
      <c r="K736" s="283">
        <v>19</v>
      </c>
      <c r="L736" s="283">
        <v>30</v>
      </c>
      <c r="M736" s="283">
        <v>24</v>
      </c>
      <c r="N736" s="283" t="s">
        <v>427</v>
      </c>
      <c r="O736" s="286">
        <f t="shared" si="323"/>
        <v>124</v>
      </c>
      <c r="P736" s="286">
        <f t="shared" si="324"/>
        <v>107</v>
      </c>
      <c r="Q736" s="286" t="str">
        <f t="shared" si="325"/>
        <v>HL</v>
      </c>
      <c r="R736" s="286" t="str">
        <f t="shared" si="326"/>
        <v>HW</v>
      </c>
      <c r="S736" s="286" t="str">
        <f t="shared" si="327"/>
        <v>HW</v>
      </c>
      <c r="T736" s="286" t="str">
        <f t="shared" si="328"/>
        <v>HW</v>
      </c>
      <c r="U736" s="286" t="str">
        <f t="shared" si="329"/>
        <v>O</v>
      </c>
      <c r="V736" s="286" t="str">
        <f t="shared" si="330"/>
        <v>U</v>
      </c>
      <c r="W736" s="286" t="str">
        <f t="shared" si="331"/>
        <v>O</v>
      </c>
      <c r="X736" s="286" t="str">
        <f t="shared" si="332"/>
        <v>U</v>
      </c>
      <c r="Z736" s="3">
        <v>55</v>
      </c>
      <c r="AB736" s="286" t="str">
        <f t="shared" si="333"/>
        <v>POR/UTA</v>
      </c>
      <c r="AC736" s="286">
        <f t="shared" si="334"/>
        <v>2</v>
      </c>
      <c r="AD736" s="286">
        <f t="shared" si="335"/>
        <v>2</v>
      </c>
    </row>
    <row r="737" spans="1:30" x14ac:dyDescent="0.3">
      <c r="A737" s="260">
        <v>200203</v>
      </c>
      <c r="B737" s="266">
        <v>0.10416666666666667</v>
      </c>
      <c r="C737" s="265" t="s">
        <v>422</v>
      </c>
      <c r="D737" s="265" t="s">
        <v>408</v>
      </c>
      <c r="E737" s="3">
        <v>30</v>
      </c>
      <c r="F737" s="3">
        <v>38</v>
      </c>
      <c r="G737" s="3">
        <v>22</v>
      </c>
      <c r="H737" s="3">
        <v>21</v>
      </c>
      <c r="I737" s="3">
        <v>17</v>
      </c>
      <c r="J737" s="3">
        <v>44</v>
      </c>
      <c r="K737" s="3">
        <v>21</v>
      </c>
      <c r="L737" s="3">
        <v>24</v>
      </c>
      <c r="M737" s="3">
        <v>22</v>
      </c>
      <c r="N737" s="3">
        <v>12</v>
      </c>
      <c r="O737" s="286">
        <f t="shared" si="323"/>
        <v>128</v>
      </c>
      <c r="P737" s="286">
        <f t="shared" si="324"/>
        <v>123</v>
      </c>
      <c r="Q737" s="286" t="str">
        <f t="shared" si="325"/>
        <v>HL</v>
      </c>
      <c r="R737" s="286" t="str">
        <f t="shared" si="326"/>
        <v>HW</v>
      </c>
      <c r="S737" s="286" t="str">
        <f t="shared" si="327"/>
        <v>HL</v>
      </c>
      <c r="T737" s="286" t="str">
        <f t="shared" si="328"/>
        <v>HL</v>
      </c>
      <c r="U737" s="286" t="str">
        <f t="shared" si="329"/>
        <v>O</v>
      </c>
      <c r="V737" s="286" t="str">
        <f t="shared" si="330"/>
        <v>O</v>
      </c>
      <c r="W737" s="286" t="str">
        <f t="shared" si="331"/>
        <v>U</v>
      </c>
      <c r="X737" s="286" t="str">
        <f t="shared" si="332"/>
        <v>U</v>
      </c>
      <c r="Z737" s="3">
        <v>54.5</v>
      </c>
      <c r="AB737" s="286" t="str">
        <f t="shared" si="333"/>
        <v>DET/DEN</v>
      </c>
      <c r="AC737" s="286">
        <f t="shared" si="334"/>
        <v>2</v>
      </c>
      <c r="AD737" s="286">
        <f t="shared" si="335"/>
        <v>2</v>
      </c>
    </row>
    <row r="738" spans="1:30" x14ac:dyDescent="0.3">
      <c r="A738" s="260">
        <v>200203</v>
      </c>
      <c r="B738" s="266">
        <v>0.16666666666666666</v>
      </c>
      <c r="C738" s="265" t="s">
        <v>403</v>
      </c>
      <c r="D738" s="265" t="s">
        <v>398</v>
      </c>
      <c r="E738" s="3">
        <v>30</v>
      </c>
      <c r="F738" s="3">
        <v>35</v>
      </c>
      <c r="G738" s="3">
        <v>27</v>
      </c>
      <c r="H738" s="3">
        <v>25</v>
      </c>
      <c r="J738" s="3">
        <v>28</v>
      </c>
      <c r="K738" s="3">
        <v>32</v>
      </c>
      <c r="L738" s="3">
        <v>33</v>
      </c>
      <c r="M738" s="3">
        <v>16</v>
      </c>
      <c r="O738" s="286">
        <f t="shared" si="323"/>
        <v>117</v>
      </c>
      <c r="P738" s="286">
        <f t="shared" si="324"/>
        <v>109</v>
      </c>
      <c r="Q738" s="286" t="str">
        <f t="shared" si="325"/>
        <v>HW</v>
      </c>
      <c r="R738" s="286" t="str">
        <f t="shared" si="326"/>
        <v>HW</v>
      </c>
      <c r="S738" s="286" t="str">
        <f t="shared" si="327"/>
        <v>HL</v>
      </c>
      <c r="T738" s="286" t="str">
        <f t="shared" si="328"/>
        <v>HW</v>
      </c>
      <c r="U738" s="286" t="str">
        <f t="shared" si="329"/>
        <v>U</v>
      </c>
      <c r="V738" s="286" t="str">
        <f t="shared" si="330"/>
        <v>O</v>
      </c>
      <c r="W738" s="286" t="str">
        <f t="shared" si="331"/>
        <v>U</v>
      </c>
      <c r="X738" s="286" t="str">
        <f t="shared" si="332"/>
        <v>U</v>
      </c>
      <c r="Z738" s="3">
        <v>63.5</v>
      </c>
      <c r="AB738" s="286" t="str">
        <f t="shared" si="333"/>
        <v>HOU/NO</v>
      </c>
      <c r="AC738" s="286">
        <f t="shared" si="334"/>
        <v>1</v>
      </c>
      <c r="AD738" s="286">
        <f t="shared" si="335"/>
        <v>3</v>
      </c>
    </row>
    <row r="739" spans="1:30" x14ac:dyDescent="0.3">
      <c r="A739" s="260">
        <v>200203</v>
      </c>
      <c r="B739" s="266">
        <v>0.16666666666666666</v>
      </c>
      <c r="C739" s="265" t="s">
        <v>423</v>
      </c>
      <c r="D739" s="265" t="s">
        <v>404</v>
      </c>
      <c r="E739" s="3">
        <v>30</v>
      </c>
      <c r="F739" s="3">
        <v>37</v>
      </c>
      <c r="G739" s="3">
        <v>30</v>
      </c>
      <c r="H739" s="3">
        <v>32</v>
      </c>
      <c r="J739" s="3">
        <v>26</v>
      </c>
      <c r="K739" s="3">
        <v>26</v>
      </c>
      <c r="L739" s="3">
        <v>28</v>
      </c>
      <c r="M739" s="3">
        <v>28</v>
      </c>
      <c r="O739" s="286">
        <f t="shared" si="323"/>
        <v>129</v>
      </c>
      <c r="P739" s="286">
        <f t="shared" si="324"/>
        <v>108</v>
      </c>
      <c r="Q739" s="286" t="str">
        <f t="shared" si="325"/>
        <v>HW</v>
      </c>
      <c r="R739" s="286" t="str">
        <f t="shared" si="326"/>
        <v>HW</v>
      </c>
      <c r="S739" s="286" t="str">
        <f t="shared" si="327"/>
        <v>HW</v>
      </c>
      <c r="T739" s="286" t="str">
        <f t="shared" si="328"/>
        <v>HW</v>
      </c>
      <c r="U739" s="286" t="str">
        <f t="shared" si="329"/>
        <v>U</v>
      </c>
      <c r="V739" s="286" t="str">
        <f t="shared" si="330"/>
        <v>O</v>
      </c>
      <c r="W739" s="286" t="str">
        <f t="shared" si="331"/>
        <v>O</v>
      </c>
      <c r="X739" s="286" t="str">
        <f t="shared" si="332"/>
        <v>O</v>
      </c>
      <c r="Z739" s="3">
        <v>56.5</v>
      </c>
      <c r="AB739" s="286" t="str">
        <f t="shared" si="333"/>
        <v>MIL/PHO</v>
      </c>
      <c r="AC739" s="286">
        <f t="shared" si="334"/>
        <v>3</v>
      </c>
      <c r="AD739" s="286">
        <f t="shared" si="335"/>
        <v>1</v>
      </c>
    </row>
    <row r="740" spans="1:30" x14ac:dyDescent="0.3">
      <c r="A740" s="260">
        <v>200203</v>
      </c>
      <c r="B740" s="266">
        <v>0.20833333333333334</v>
      </c>
      <c r="C740" s="265" t="s">
        <v>413</v>
      </c>
      <c r="D740" s="265" t="s">
        <v>412</v>
      </c>
      <c r="E740" s="3">
        <v>32</v>
      </c>
      <c r="F740" s="3">
        <v>28</v>
      </c>
      <c r="G740" s="3">
        <v>35</v>
      </c>
      <c r="H740" s="3">
        <v>34</v>
      </c>
      <c r="J740" s="3">
        <v>29</v>
      </c>
      <c r="K740" s="3">
        <v>34</v>
      </c>
      <c r="L740" s="3">
        <v>22</v>
      </c>
      <c r="M740" s="3">
        <v>17</v>
      </c>
      <c r="O740" s="286">
        <f t="shared" si="323"/>
        <v>129</v>
      </c>
      <c r="P740" s="286">
        <f t="shared" si="324"/>
        <v>102</v>
      </c>
      <c r="Q740" s="286" t="str">
        <f t="shared" si="325"/>
        <v>HW</v>
      </c>
      <c r="R740" s="286" t="str">
        <f t="shared" si="326"/>
        <v>HL</v>
      </c>
      <c r="S740" s="286" t="str">
        <f t="shared" si="327"/>
        <v>HW</v>
      </c>
      <c r="T740" s="286" t="str">
        <f t="shared" si="328"/>
        <v>HW</v>
      </c>
      <c r="U740" s="286" t="str">
        <f t="shared" si="329"/>
        <v>O</v>
      </c>
      <c r="V740" s="286" t="str">
        <f t="shared" si="330"/>
        <v>O</v>
      </c>
      <c r="W740" s="286" t="str">
        <f t="shared" si="331"/>
        <v>O</v>
      </c>
      <c r="X740" s="286" t="str">
        <f t="shared" si="332"/>
        <v>U</v>
      </c>
      <c r="Z740" s="3">
        <v>55.5</v>
      </c>
      <c r="AB740" s="286" t="str">
        <f t="shared" si="333"/>
        <v>TOR/CHI</v>
      </c>
      <c r="AC740" s="286">
        <f t="shared" si="334"/>
        <v>3</v>
      </c>
      <c r="AD740" s="286">
        <f t="shared" si="335"/>
        <v>1</v>
      </c>
    </row>
    <row r="741" spans="1:30" x14ac:dyDescent="0.3">
      <c r="A741" s="260">
        <v>200204</v>
      </c>
      <c r="B741" s="268">
        <v>0.375</v>
      </c>
      <c r="C741" s="267" t="s">
        <v>402</v>
      </c>
      <c r="D741" s="267" t="s">
        <v>399</v>
      </c>
      <c r="E741" s="3">
        <v>37</v>
      </c>
      <c r="F741" s="3">
        <v>25</v>
      </c>
      <c r="G741" s="3">
        <v>38</v>
      </c>
      <c r="H741" s="3">
        <v>27</v>
      </c>
      <c r="I741" s="3">
        <v>7</v>
      </c>
      <c r="J741" s="3">
        <v>33</v>
      </c>
      <c r="K741" s="3">
        <v>30</v>
      </c>
      <c r="L741" s="3">
        <v>32</v>
      </c>
      <c r="M741" s="3">
        <v>32</v>
      </c>
      <c r="N741" s="3">
        <v>12</v>
      </c>
      <c r="O741" s="286">
        <f t="shared" si="323"/>
        <v>134</v>
      </c>
      <c r="P741" s="286">
        <f t="shared" si="324"/>
        <v>139</v>
      </c>
      <c r="Q741" s="286" t="str">
        <f t="shared" si="325"/>
        <v>HW</v>
      </c>
      <c r="R741" s="286" t="str">
        <f t="shared" si="326"/>
        <v>HL</v>
      </c>
      <c r="S741" s="286" t="str">
        <f t="shared" si="327"/>
        <v>HW</v>
      </c>
      <c r="T741" s="286" t="str">
        <f t="shared" si="328"/>
        <v>HL</v>
      </c>
      <c r="U741" s="286" t="str">
        <f t="shared" si="329"/>
        <v>O</v>
      </c>
      <c r="V741" s="286" t="str">
        <f t="shared" si="330"/>
        <v>U</v>
      </c>
      <c r="W741" s="286" t="str">
        <f t="shared" si="331"/>
        <v>O</v>
      </c>
      <c r="X741" s="286" t="str">
        <f t="shared" si="332"/>
        <v>O</v>
      </c>
      <c r="Z741" s="3">
        <v>55.5</v>
      </c>
      <c r="AB741" s="286" t="str">
        <f t="shared" si="333"/>
        <v>CLE/NYK</v>
      </c>
      <c r="AC741" s="286">
        <f t="shared" si="334"/>
        <v>3</v>
      </c>
      <c r="AD741" s="286">
        <f t="shared" si="335"/>
        <v>1</v>
      </c>
    </row>
    <row r="742" spans="1:30" x14ac:dyDescent="0.3">
      <c r="A742" s="267">
        <v>200204</v>
      </c>
      <c r="B742" s="268">
        <v>0.375</v>
      </c>
      <c r="C742" s="267" t="s">
        <v>400</v>
      </c>
      <c r="D742" s="267" t="s">
        <v>397</v>
      </c>
      <c r="E742" s="3">
        <v>22</v>
      </c>
      <c r="F742" s="3">
        <v>33</v>
      </c>
      <c r="G742" s="3">
        <v>22</v>
      </c>
      <c r="H742" s="3">
        <v>26</v>
      </c>
      <c r="J742" s="3">
        <v>25</v>
      </c>
      <c r="K742" s="3">
        <v>28</v>
      </c>
      <c r="L742" s="3">
        <v>29</v>
      </c>
      <c r="M742" s="3">
        <v>30</v>
      </c>
      <c r="O742" s="286">
        <f t="shared" si="323"/>
        <v>103</v>
      </c>
      <c r="P742" s="286">
        <f t="shared" si="324"/>
        <v>112</v>
      </c>
      <c r="Q742" s="286" t="str">
        <f t="shared" si="325"/>
        <v>HL</v>
      </c>
      <c r="R742" s="286" t="str">
        <f t="shared" si="326"/>
        <v>HW</v>
      </c>
      <c r="S742" s="286" t="str">
        <f t="shared" si="327"/>
        <v>HL</v>
      </c>
      <c r="T742" s="286" t="str">
        <f t="shared" si="328"/>
        <v>HL</v>
      </c>
      <c r="U742" s="286" t="str">
        <f t="shared" si="329"/>
        <v>U</v>
      </c>
      <c r="V742" s="286" t="str">
        <f t="shared" si="330"/>
        <v>O</v>
      </c>
      <c r="W742" s="286" t="str">
        <f t="shared" si="331"/>
        <v>U</v>
      </c>
      <c r="X742" s="286" t="str">
        <f t="shared" si="332"/>
        <v>O</v>
      </c>
      <c r="Z742" s="3">
        <v>55</v>
      </c>
      <c r="AB742" s="286" t="str">
        <f t="shared" si="333"/>
        <v>IND/DAL</v>
      </c>
      <c r="AC742" s="286">
        <f t="shared" si="334"/>
        <v>2</v>
      </c>
      <c r="AD742" s="286">
        <f t="shared" si="335"/>
        <v>2</v>
      </c>
    </row>
    <row r="743" spans="1:30" x14ac:dyDescent="0.3">
      <c r="A743" s="267">
        <v>200204</v>
      </c>
      <c r="B743" s="268">
        <v>0.375</v>
      </c>
      <c r="C743" s="267" t="s">
        <v>414</v>
      </c>
      <c r="D743" s="267" t="s">
        <v>425</v>
      </c>
      <c r="E743" s="3">
        <v>36</v>
      </c>
      <c r="F743" s="3">
        <v>27</v>
      </c>
      <c r="G743" s="3">
        <v>23</v>
      </c>
      <c r="H743" s="3">
        <v>31</v>
      </c>
      <c r="J743" s="3">
        <v>40</v>
      </c>
      <c r="K743" s="3">
        <v>32</v>
      </c>
      <c r="L743" s="3">
        <v>27</v>
      </c>
      <c r="M743" s="3">
        <v>26</v>
      </c>
      <c r="O743" s="286">
        <f t="shared" si="323"/>
        <v>117</v>
      </c>
      <c r="P743" s="286">
        <f t="shared" si="324"/>
        <v>125</v>
      </c>
      <c r="Q743" s="286" t="str">
        <f t="shared" si="325"/>
        <v>HL</v>
      </c>
      <c r="R743" s="286" t="str">
        <f t="shared" si="326"/>
        <v>HL</v>
      </c>
      <c r="S743" s="286" t="str">
        <f t="shared" si="327"/>
        <v>HL</v>
      </c>
      <c r="T743" s="286" t="str">
        <f t="shared" si="328"/>
        <v>HW</v>
      </c>
      <c r="U743" s="286" t="str">
        <f t="shared" si="329"/>
        <v>O</v>
      </c>
      <c r="V743" s="286" t="str">
        <f t="shared" si="330"/>
        <v>U</v>
      </c>
      <c r="W743" s="286" t="str">
        <f t="shared" si="331"/>
        <v>U</v>
      </c>
      <c r="X743" s="286" t="str">
        <f t="shared" si="332"/>
        <v>U</v>
      </c>
      <c r="Z743" s="3">
        <v>60.5</v>
      </c>
      <c r="AB743" s="286" t="str">
        <f t="shared" si="333"/>
        <v>WAS/GS</v>
      </c>
      <c r="AC743" s="286">
        <f t="shared" si="334"/>
        <v>1</v>
      </c>
      <c r="AD743" s="286">
        <f t="shared" si="335"/>
        <v>3</v>
      </c>
    </row>
    <row r="744" spans="1:30" x14ac:dyDescent="0.3">
      <c r="A744" s="267">
        <v>200204</v>
      </c>
      <c r="B744" s="268">
        <v>0.375</v>
      </c>
      <c r="C744" s="267" t="s">
        <v>409</v>
      </c>
      <c r="D744" s="267" t="s">
        <v>424</v>
      </c>
      <c r="E744" s="3">
        <v>24</v>
      </c>
      <c r="F744" s="3">
        <v>30</v>
      </c>
      <c r="G744" s="3">
        <v>23</v>
      </c>
      <c r="H744" s="3">
        <v>23</v>
      </c>
      <c r="J744" s="3">
        <v>25</v>
      </c>
      <c r="K744" s="3">
        <v>31</v>
      </c>
      <c r="L744" s="3">
        <v>29</v>
      </c>
      <c r="M744" s="3">
        <v>27</v>
      </c>
      <c r="O744" s="286">
        <f t="shared" si="323"/>
        <v>100</v>
      </c>
      <c r="P744" s="286">
        <f t="shared" si="324"/>
        <v>112</v>
      </c>
      <c r="Q744" s="286" t="str">
        <f t="shared" si="325"/>
        <v>HL</v>
      </c>
      <c r="R744" s="286" t="str">
        <f t="shared" si="326"/>
        <v>HL</v>
      </c>
      <c r="S744" s="286" t="str">
        <f t="shared" si="327"/>
        <v>HL</v>
      </c>
      <c r="T744" s="286" t="str">
        <f t="shared" si="328"/>
        <v>HL</v>
      </c>
      <c r="U744" s="286" t="str">
        <f t="shared" si="329"/>
        <v>U</v>
      </c>
      <c r="V744" s="286" t="str">
        <f t="shared" si="330"/>
        <v>O</v>
      </c>
      <c r="W744" s="286" t="str">
        <f t="shared" si="331"/>
        <v>T</v>
      </c>
      <c r="X744" s="286" t="str">
        <f t="shared" si="332"/>
        <v>U</v>
      </c>
      <c r="Z744" s="3">
        <v>52</v>
      </c>
      <c r="AB744" s="286" t="str">
        <f t="shared" si="333"/>
        <v>CHA/ORL</v>
      </c>
      <c r="AC744" s="286">
        <f t="shared" si="334"/>
        <v>1</v>
      </c>
      <c r="AD744" s="286">
        <f t="shared" si="335"/>
        <v>2</v>
      </c>
    </row>
    <row r="745" spans="1:30" x14ac:dyDescent="0.3">
      <c r="A745" s="267">
        <v>200204</v>
      </c>
      <c r="B745" s="268">
        <v>0.39583333333333331</v>
      </c>
      <c r="C745" s="267" t="s">
        <v>410</v>
      </c>
      <c r="D745" s="267" t="s">
        <v>421</v>
      </c>
      <c r="E745" s="3">
        <v>34</v>
      </c>
      <c r="F745" s="3">
        <v>28</v>
      </c>
      <c r="G745" s="3">
        <v>22</v>
      </c>
      <c r="H745" s="3">
        <v>31</v>
      </c>
      <c r="J745" s="3">
        <v>28</v>
      </c>
      <c r="K745" s="3">
        <v>32</v>
      </c>
      <c r="L745" s="3">
        <v>35</v>
      </c>
      <c r="M745" s="3">
        <v>28</v>
      </c>
      <c r="O745" s="286">
        <f t="shared" si="323"/>
        <v>115</v>
      </c>
      <c r="P745" s="286">
        <f t="shared" si="324"/>
        <v>123</v>
      </c>
      <c r="Q745" s="286" t="str">
        <f t="shared" si="325"/>
        <v>HW</v>
      </c>
      <c r="R745" s="286" t="str">
        <f t="shared" si="326"/>
        <v>HL</v>
      </c>
      <c r="S745" s="286" t="str">
        <f t="shared" si="327"/>
        <v>HL</v>
      </c>
      <c r="T745" s="286" t="str">
        <f t="shared" si="328"/>
        <v>HW</v>
      </c>
      <c r="U745" s="286" t="str">
        <f t="shared" si="329"/>
        <v>O</v>
      </c>
      <c r="V745" s="286" t="str">
        <f t="shared" si="330"/>
        <v>O</v>
      </c>
      <c r="W745" s="286" t="str">
        <f t="shared" si="331"/>
        <v>O</v>
      </c>
      <c r="X745" s="286" t="str">
        <f t="shared" si="332"/>
        <v>O</v>
      </c>
      <c r="Z745" s="3">
        <v>56</v>
      </c>
      <c r="AB745" s="286" t="str">
        <f t="shared" si="333"/>
        <v>ATL/BOS</v>
      </c>
      <c r="AC745" s="286">
        <f t="shared" si="334"/>
        <v>4</v>
      </c>
      <c r="AD745" s="286">
        <f t="shared" si="335"/>
        <v>0</v>
      </c>
    </row>
    <row r="746" spans="1:30" x14ac:dyDescent="0.3">
      <c r="A746" s="267">
        <v>200204</v>
      </c>
      <c r="B746" s="268">
        <v>0.39583333333333331</v>
      </c>
      <c r="C746" s="267" t="s">
        <v>411</v>
      </c>
      <c r="D746" s="267" t="s">
        <v>401</v>
      </c>
      <c r="E746" s="3">
        <v>30</v>
      </c>
      <c r="F746" s="3">
        <v>26</v>
      </c>
      <c r="G746" s="3">
        <v>41</v>
      </c>
      <c r="H746" s="3">
        <v>40</v>
      </c>
      <c r="J746" s="3">
        <v>26</v>
      </c>
      <c r="K746" s="3">
        <v>26</v>
      </c>
      <c r="L746" s="3">
        <v>25</v>
      </c>
      <c r="M746" s="3">
        <v>29</v>
      </c>
      <c r="O746" s="286">
        <f t="shared" si="323"/>
        <v>137</v>
      </c>
      <c r="P746" s="286">
        <f t="shared" si="324"/>
        <v>106</v>
      </c>
      <c r="Q746" s="286" t="str">
        <f t="shared" si="325"/>
        <v>HW</v>
      </c>
      <c r="R746" s="286" t="str">
        <f t="shared" si="326"/>
        <v>TT</v>
      </c>
      <c r="S746" s="286" t="str">
        <f t="shared" si="327"/>
        <v>HW</v>
      </c>
      <c r="T746" s="286" t="str">
        <f t="shared" si="328"/>
        <v>HW</v>
      </c>
      <c r="U746" s="286" t="str">
        <f t="shared" si="329"/>
        <v>O</v>
      </c>
      <c r="V746" s="286" t="str">
        <f t="shared" si="330"/>
        <v>U</v>
      </c>
      <c r="W746" s="286" t="str">
        <f t="shared" si="331"/>
        <v>O</v>
      </c>
      <c r="X746" s="286" t="str">
        <f t="shared" si="332"/>
        <v>O</v>
      </c>
      <c r="Z746" s="3">
        <v>54.5</v>
      </c>
      <c r="AB746" s="286" t="str">
        <f t="shared" si="333"/>
        <v>MIA/PHI</v>
      </c>
      <c r="AC746" s="286">
        <f t="shared" si="334"/>
        <v>3</v>
      </c>
      <c r="AD746" s="286">
        <f t="shared" si="335"/>
        <v>1</v>
      </c>
    </row>
    <row r="747" spans="1:30" x14ac:dyDescent="0.3">
      <c r="A747" s="267">
        <v>200204</v>
      </c>
      <c r="B747" s="268">
        <v>0.39583333333333331</v>
      </c>
      <c r="C747" s="267" t="s">
        <v>407</v>
      </c>
      <c r="D747" s="267" t="s">
        <v>404</v>
      </c>
      <c r="E747" s="3">
        <v>35</v>
      </c>
      <c r="F747" s="3">
        <v>20</v>
      </c>
      <c r="G747" s="3">
        <v>35</v>
      </c>
      <c r="H747" s="3">
        <v>29</v>
      </c>
      <c r="J747" s="3">
        <v>31</v>
      </c>
      <c r="K747" s="3">
        <v>21</v>
      </c>
      <c r="L747" s="3">
        <v>21</v>
      </c>
      <c r="M747" s="3">
        <v>24</v>
      </c>
      <c r="O747" s="286">
        <f t="shared" si="323"/>
        <v>119</v>
      </c>
      <c r="P747" s="286">
        <f t="shared" si="324"/>
        <v>97</v>
      </c>
      <c r="Q747" s="286" t="str">
        <f t="shared" si="325"/>
        <v>HW</v>
      </c>
      <c r="R747" s="286" t="str">
        <f t="shared" si="326"/>
        <v>HL</v>
      </c>
      <c r="S747" s="286" t="str">
        <f t="shared" si="327"/>
        <v>HW</v>
      </c>
      <c r="T747" s="286" t="str">
        <f t="shared" si="328"/>
        <v>HW</v>
      </c>
      <c r="U747" s="286" t="str">
        <f t="shared" si="329"/>
        <v>O</v>
      </c>
      <c r="V747" s="286" t="str">
        <f t="shared" si="330"/>
        <v>U</v>
      </c>
      <c r="W747" s="286" t="str">
        <f t="shared" si="331"/>
        <v>O</v>
      </c>
      <c r="X747" s="286" t="str">
        <f t="shared" si="332"/>
        <v>U</v>
      </c>
      <c r="Z747" s="3">
        <v>54.5</v>
      </c>
      <c r="AB747" s="286" t="str">
        <f t="shared" si="333"/>
        <v>BKN/PHO</v>
      </c>
      <c r="AC747" s="286">
        <f t="shared" si="334"/>
        <v>2</v>
      </c>
      <c r="AD747" s="286">
        <f t="shared" si="335"/>
        <v>2</v>
      </c>
    </row>
    <row r="748" spans="1:30" x14ac:dyDescent="0.3">
      <c r="A748" s="267">
        <v>200204</v>
      </c>
      <c r="B748" s="268">
        <v>0.41666666666666669</v>
      </c>
      <c r="C748" s="267" t="s">
        <v>406</v>
      </c>
      <c r="D748" s="267" t="s">
        <v>422</v>
      </c>
      <c r="E748" s="3">
        <v>36</v>
      </c>
      <c r="F748" s="3">
        <v>17</v>
      </c>
      <c r="G748" s="3">
        <v>19</v>
      </c>
      <c r="H748" s="3">
        <v>24</v>
      </c>
      <c r="J748" s="3">
        <v>32</v>
      </c>
      <c r="K748" s="3">
        <v>21</v>
      </c>
      <c r="L748" s="3">
        <v>10</v>
      </c>
      <c r="M748" s="3">
        <v>19</v>
      </c>
      <c r="O748" s="286">
        <f t="shared" si="323"/>
        <v>96</v>
      </c>
      <c r="P748" s="286">
        <f t="shared" si="324"/>
        <v>82</v>
      </c>
      <c r="Q748" s="286" t="str">
        <f t="shared" si="325"/>
        <v>HW</v>
      </c>
      <c r="R748" s="286" t="str">
        <f t="shared" si="326"/>
        <v>HL</v>
      </c>
      <c r="S748" s="286" t="str">
        <f t="shared" si="327"/>
        <v>HW</v>
      </c>
      <c r="T748" s="286" t="str">
        <f t="shared" si="328"/>
        <v>HW</v>
      </c>
      <c r="U748" s="286" t="str">
        <f t="shared" si="329"/>
        <v>O</v>
      </c>
      <c r="V748" s="286" t="str">
        <f t="shared" si="330"/>
        <v>U</v>
      </c>
      <c r="W748" s="286" t="str">
        <f t="shared" si="331"/>
        <v>U</v>
      </c>
      <c r="X748" s="286" t="str">
        <f t="shared" si="332"/>
        <v>U</v>
      </c>
      <c r="Z748" s="3">
        <v>57.5</v>
      </c>
      <c r="AB748" s="286" t="str">
        <f t="shared" si="333"/>
        <v>MEM/DET</v>
      </c>
      <c r="AC748" s="286">
        <f t="shared" si="334"/>
        <v>1</v>
      </c>
      <c r="AD748" s="286">
        <f t="shared" si="335"/>
        <v>3</v>
      </c>
    </row>
    <row r="749" spans="1:30" x14ac:dyDescent="0.3">
      <c r="A749" s="267">
        <v>200204</v>
      </c>
      <c r="B749" s="268">
        <v>0.5</v>
      </c>
      <c r="C749" s="267" t="s">
        <v>416</v>
      </c>
      <c r="D749" s="267" t="s">
        <v>420</v>
      </c>
      <c r="E749" s="3">
        <v>29</v>
      </c>
      <c r="F749" s="3">
        <v>36</v>
      </c>
      <c r="G749" s="3">
        <v>28</v>
      </c>
      <c r="H749" s="3">
        <v>20</v>
      </c>
      <c r="J749" s="3">
        <v>20</v>
      </c>
      <c r="K749" s="3">
        <v>30</v>
      </c>
      <c r="L749" s="3">
        <v>34</v>
      </c>
      <c r="M749" s="3">
        <v>25</v>
      </c>
      <c r="O749" s="286">
        <f t="shared" si="323"/>
        <v>113</v>
      </c>
      <c r="P749" s="286">
        <f t="shared" si="324"/>
        <v>109</v>
      </c>
      <c r="Q749" s="286" t="str">
        <f t="shared" si="325"/>
        <v>HW</v>
      </c>
      <c r="R749" s="286" t="str">
        <f t="shared" si="326"/>
        <v>HW</v>
      </c>
      <c r="S749" s="286" t="str">
        <f t="shared" si="327"/>
        <v>HL</v>
      </c>
      <c r="T749" s="286" t="str">
        <f t="shared" si="328"/>
        <v>HL</v>
      </c>
      <c r="U749" s="286" t="str">
        <f t="shared" si="329"/>
        <v>U</v>
      </c>
      <c r="V749" s="286" t="str">
        <f t="shared" si="330"/>
        <v>O</v>
      </c>
      <c r="W749" s="286" t="str">
        <f t="shared" si="331"/>
        <v>O</v>
      </c>
      <c r="X749" s="286" t="str">
        <f t="shared" si="332"/>
        <v>U</v>
      </c>
      <c r="Z749" s="3">
        <v>57.5</v>
      </c>
      <c r="AB749" s="286" t="str">
        <f t="shared" si="333"/>
        <v>SAC/MIN</v>
      </c>
      <c r="AC749" s="286">
        <f t="shared" si="334"/>
        <v>2</v>
      </c>
      <c r="AD749" s="286">
        <f t="shared" si="335"/>
        <v>2</v>
      </c>
    </row>
    <row r="750" spans="1:30" x14ac:dyDescent="0.3">
      <c r="A750" s="267">
        <v>200204</v>
      </c>
      <c r="B750" s="268">
        <v>0.52083333333333337</v>
      </c>
      <c r="C750" s="267" t="s">
        <v>415</v>
      </c>
      <c r="D750" s="267" t="s">
        <v>426</v>
      </c>
      <c r="E750" s="3">
        <v>29</v>
      </c>
      <c r="F750" s="3">
        <v>25</v>
      </c>
      <c r="G750" s="3">
        <v>31</v>
      </c>
      <c r="H750" s="3">
        <v>23</v>
      </c>
      <c r="J750" s="3">
        <v>39</v>
      </c>
      <c r="K750" s="3">
        <v>24</v>
      </c>
      <c r="L750" s="3">
        <v>19</v>
      </c>
      <c r="M750" s="3">
        <v>23</v>
      </c>
      <c r="O750" s="286">
        <f t="shared" si="323"/>
        <v>108</v>
      </c>
      <c r="P750" s="286">
        <f t="shared" si="324"/>
        <v>105</v>
      </c>
      <c r="Q750" s="286" t="str">
        <f t="shared" si="325"/>
        <v>HL</v>
      </c>
      <c r="R750" s="286" t="str">
        <f t="shared" si="326"/>
        <v>HW</v>
      </c>
      <c r="S750" s="286" t="str">
        <f t="shared" si="327"/>
        <v>HW</v>
      </c>
      <c r="T750" s="286" t="str">
        <f t="shared" si="328"/>
        <v>TT</v>
      </c>
      <c r="U750" s="286" t="str">
        <f t="shared" si="329"/>
        <v>O</v>
      </c>
      <c r="V750" s="286" t="str">
        <f t="shared" si="330"/>
        <v>U</v>
      </c>
      <c r="W750" s="286" t="str">
        <f t="shared" si="331"/>
        <v>U</v>
      </c>
      <c r="X750" s="286" t="str">
        <f t="shared" si="332"/>
        <v>U</v>
      </c>
      <c r="Z750" s="3">
        <v>56</v>
      </c>
      <c r="AB750" s="286" t="str">
        <f t="shared" si="333"/>
        <v>LAC/SAS</v>
      </c>
      <c r="AC750" s="286">
        <f t="shared" si="334"/>
        <v>1</v>
      </c>
      <c r="AD750" s="286">
        <f t="shared" si="335"/>
        <v>3</v>
      </c>
    </row>
    <row r="751" spans="1:30" x14ac:dyDescent="0.3">
      <c r="A751" s="261">
        <v>200205</v>
      </c>
      <c r="B751" s="270">
        <v>0.39583333333333331</v>
      </c>
      <c r="C751" s="269" t="s">
        <v>398</v>
      </c>
      <c r="D751" s="269" t="s">
        <v>423</v>
      </c>
      <c r="E751" s="3">
        <v>33</v>
      </c>
      <c r="F751" s="3">
        <v>28</v>
      </c>
      <c r="G751" s="3">
        <v>24</v>
      </c>
      <c r="H751" s="3">
        <v>23</v>
      </c>
      <c r="J751" s="3">
        <v>26</v>
      </c>
      <c r="K751" s="3">
        <v>32</v>
      </c>
      <c r="L751" s="3">
        <v>42</v>
      </c>
      <c r="M751" s="3">
        <v>20</v>
      </c>
      <c r="O751" s="286">
        <f t="shared" si="323"/>
        <v>108</v>
      </c>
      <c r="P751" s="286">
        <f t="shared" si="324"/>
        <v>120</v>
      </c>
      <c r="Q751" s="286" t="str">
        <f t="shared" si="325"/>
        <v>HW</v>
      </c>
      <c r="R751" s="286" t="str">
        <f t="shared" si="326"/>
        <v>HL</v>
      </c>
      <c r="S751" s="286" t="str">
        <f t="shared" si="327"/>
        <v>HL</v>
      </c>
      <c r="T751" s="286" t="str">
        <f t="shared" si="328"/>
        <v>HW</v>
      </c>
      <c r="U751" s="286" t="str">
        <f t="shared" si="329"/>
        <v>U</v>
      </c>
      <c r="V751" s="286" t="str">
        <f t="shared" si="330"/>
        <v>U</v>
      </c>
      <c r="W751" s="286" t="str">
        <f t="shared" si="331"/>
        <v>O</v>
      </c>
      <c r="X751" s="286" t="str">
        <f t="shared" si="332"/>
        <v>U</v>
      </c>
      <c r="Z751" s="3">
        <v>60.5</v>
      </c>
      <c r="AB751" s="286" t="str">
        <f t="shared" si="333"/>
        <v>NO/MIL</v>
      </c>
      <c r="AC751" s="286">
        <f t="shared" si="334"/>
        <v>1</v>
      </c>
      <c r="AD751" s="286">
        <f t="shared" si="335"/>
        <v>3</v>
      </c>
    </row>
    <row r="752" spans="1:30" x14ac:dyDescent="0.3">
      <c r="A752" s="261">
        <v>200205</v>
      </c>
      <c r="B752" s="270">
        <v>0.41666666666666669</v>
      </c>
      <c r="C752" s="269" t="s">
        <v>403</v>
      </c>
      <c r="D752" s="269" t="s">
        <v>409</v>
      </c>
      <c r="E752" s="3">
        <v>22</v>
      </c>
      <c r="F752" s="3">
        <v>40</v>
      </c>
      <c r="G752" s="3">
        <v>30</v>
      </c>
      <c r="H752" s="3">
        <v>33</v>
      </c>
      <c r="J752" s="3">
        <v>34</v>
      </c>
      <c r="K752" s="3">
        <v>29</v>
      </c>
      <c r="L752" s="3">
        <v>25</v>
      </c>
      <c r="M752" s="3">
        <v>22</v>
      </c>
      <c r="O752" s="286">
        <f t="shared" si="323"/>
        <v>125</v>
      </c>
      <c r="P752" s="286">
        <f t="shared" si="324"/>
        <v>110</v>
      </c>
      <c r="Q752" s="286" t="str">
        <f t="shared" si="325"/>
        <v>HL</v>
      </c>
      <c r="R752" s="286" t="str">
        <f t="shared" si="326"/>
        <v>HW</v>
      </c>
      <c r="S752" s="286" t="str">
        <f t="shared" si="327"/>
        <v>HW</v>
      </c>
      <c r="T752" s="286" t="str">
        <f t="shared" si="328"/>
        <v>HW</v>
      </c>
      <c r="U752" s="286" t="str">
        <f t="shared" si="329"/>
        <v>U</v>
      </c>
      <c r="V752" s="286" t="str">
        <f t="shared" si="330"/>
        <v>O</v>
      </c>
      <c r="W752" s="286" t="str">
        <f t="shared" si="331"/>
        <v>U</v>
      </c>
      <c r="X752" s="286" t="str">
        <f t="shared" si="332"/>
        <v>U</v>
      </c>
      <c r="Z752" s="3">
        <v>57.5</v>
      </c>
      <c r="AB752" s="286" t="str">
        <f t="shared" si="333"/>
        <v>HOU/CHA</v>
      </c>
      <c r="AC752" s="286">
        <f t="shared" si="334"/>
        <v>1</v>
      </c>
      <c r="AD752" s="286">
        <f t="shared" si="335"/>
        <v>3</v>
      </c>
    </row>
    <row r="753" spans="1:30" x14ac:dyDescent="0.3">
      <c r="A753" s="261">
        <v>200205</v>
      </c>
      <c r="B753" s="270">
        <v>0.45833333333333331</v>
      </c>
      <c r="C753" s="269" t="s">
        <v>408</v>
      </c>
      <c r="D753" s="269" t="s">
        <v>417</v>
      </c>
      <c r="E753" s="3">
        <v>37</v>
      </c>
      <c r="F753" s="3">
        <v>27</v>
      </c>
      <c r="G753" s="3">
        <v>36</v>
      </c>
      <c r="H753" s="3">
        <v>27</v>
      </c>
      <c r="J753" s="3">
        <v>28</v>
      </c>
      <c r="K753" s="3">
        <v>10</v>
      </c>
      <c r="L753" s="3">
        <v>36</v>
      </c>
      <c r="M753" s="3">
        <v>25</v>
      </c>
      <c r="O753" s="286">
        <f t="shared" si="323"/>
        <v>127</v>
      </c>
      <c r="P753" s="286">
        <f t="shared" si="324"/>
        <v>99</v>
      </c>
      <c r="Q753" s="286" t="str">
        <f t="shared" si="325"/>
        <v>HW</v>
      </c>
      <c r="R753" s="286" t="str">
        <f t="shared" si="326"/>
        <v>HW</v>
      </c>
      <c r="S753" s="286" t="str">
        <f t="shared" si="327"/>
        <v>TT</v>
      </c>
      <c r="T753" s="286" t="str">
        <f t="shared" si="328"/>
        <v>HW</v>
      </c>
      <c r="U753" s="286" t="str">
        <f t="shared" si="329"/>
        <v>O</v>
      </c>
      <c r="V753" s="286" t="str">
        <f t="shared" si="330"/>
        <v>U</v>
      </c>
      <c r="W753" s="286" t="str">
        <f t="shared" si="331"/>
        <v>O</v>
      </c>
      <c r="X753" s="286" t="str">
        <f t="shared" si="332"/>
        <v>U</v>
      </c>
      <c r="Z753" s="3">
        <v>58</v>
      </c>
      <c r="AB753" s="286" t="str">
        <f t="shared" si="333"/>
        <v>DEN/POR</v>
      </c>
      <c r="AC753" s="286">
        <f t="shared" si="334"/>
        <v>2</v>
      </c>
      <c r="AD753" s="286">
        <f t="shared" si="335"/>
        <v>2</v>
      </c>
    </row>
    <row r="754" spans="1:30" x14ac:dyDescent="0.3">
      <c r="A754" s="261">
        <v>200205</v>
      </c>
      <c r="B754" s="270">
        <v>0.5</v>
      </c>
      <c r="C754" s="269" t="s">
        <v>419</v>
      </c>
      <c r="D754" s="269" t="s">
        <v>426</v>
      </c>
      <c r="E754" s="3">
        <v>21</v>
      </c>
      <c r="F754" s="3">
        <v>30</v>
      </c>
      <c r="G754" s="3">
        <v>36</v>
      </c>
      <c r="H754" s="3">
        <v>42</v>
      </c>
      <c r="J754" s="3">
        <v>19</v>
      </c>
      <c r="K754" s="3">
        <v>22</v>
      </c>
      <c r="L754" s="3">
        <v>33</v>
      </c>
      <c r="M754" s="3">
        <v>28</v>
      </c>
      <c r="O754" s="286">
        <f t="shared" si="323"/>
        <v>129</v>
      </c>
      <c r="P754" s="286">
        <f t="shared" si="324"/>
        <v>102</v>
      </c>
      <c r="Q754" s="286" t="str">
        <f t="shared" si="325"/>
        <v>HW</v>
      </c>
      <c r="R754" s="286" t="str">
        <f t="shared" si="326"/>
        <v>HW</v>
      </c>
      <c r="S754" s="286" t="str">
        <f t="shared" si="327"/>
        <v>HW</v>
      </c>
      <c r="T754" s="286" t="str">
        <f t="shared" si="328"/>
        <v>HW</v>
      </c>
      <c r="U754" s="286" t="str">
        <f t="shared" si="329"/>
        <v>U</v>
      </c>
      <c r="V754" s="286" t="str">
        <f t="shared" si="330"/>
        <v>U</v>
      </c>
      <c r="W754" s="286" t="str">
        <f t="shared" si="331"/>
        <v>O</v>
      </c>
      <c r="X754" s="286" t="str">
        <f t="shared" si="332"/>
        <v>O</v>
      </c>
      <c r="Z754" s="3">
        <v>55.5</v>
      </c>
      <c r="AB754" s="286" t="str">
        <f t="shared" si="333"/>
        <v>LAL/SAS</v>
      </c>
      <c r="AC754" s="286">
        <f t="shared" si="334"/>
        <v>2</v>
      </c>
      <c r="AD754" s="286">
        <f t="shared" si="335"/>
        <v>2</v>
      </c>
    </row>
    <row r="755" spans="1:30" x14ac:dyDescent="0.3">
      <c r="A755" s="261">
        <v>200206</v>
      </c>
      <c r="B755" s="272">
        <v>0.375</v>
      </c>
      <c r="C755" s="271" t="s">
        <v>422</v>
      </c>
      <c r="D755" s="271" t="s">
        <v>404</v>
      </c>
      <c r="E755" s="3">
        <v>38</v>
      </c>
      <c r="F755" s="3">
        <v>26</v>
      </c>
      <c r="G755" s="3">
        <v>25</v>
      </c>
      <c r="H755" s="3">
        <v>27</v>
      </c>
      <c r="J755" s="3">
        <v>31</v>
      </c>
      <c r="K755" s="3">
        <v>30</v>
      </c>
      <c r="L755" s="3">
        <v>25</v>
      </c>
      <c r="M755" s="3">
        <v>22</v>
      </c>
      <c r="O755" s="286">
        <f t="shared" si="323"/>
        <v>116</v>
      </c>
      <c r="P755" s="286">
        <f t="shared" si="324"/>
        <v>108</v>
      </c>
      <c r="Q755" s="286" t="str">
        <f t="shared" si="325"/>
        <v>HW</v>
      </c>
      <c r="R755" s="286" t="str">
        <f t="shared" si="326"/>
        <v>HL</v>
      </c>
      <c r="S755" s="286" t="str">
        <f t="shared" si="327"/>
        <v>TT</v>
      </c>
      <c r="T755" s="286" t="str">
        <f t="shared" si="328"/>
        <v>HW</v>
      </c>
      <c r="U755" s="286" t="str">
        <f t="shared" si="329"/>
        <v>O</v>
      </c>
      <c r="V755" s="286" t="str">
        <f t="shared" si="330"/>
        <v>O</v>
      </c>
      <c r="W755" s="286" t="str">
        <f t="shared" si="331"/>
        <v>U</v>
      </c>
      <c r="X755" s="286" t="str">
        <f t="shared" si="332"/>
        <v>U</v>
      </c>
      <c r="Z755" s="3">
        <v>53.5</v>
      </c>
      <c r="AB755" s="286" t="str">
        <f t="shared" si="333"/>
        <v>DET/PHO</v>
      </c>
      <c r="AC755" s="286">
        <f t="shared" si="334"/>
        <v>2</v>
      </c>
      <c r="AD755" s="286">
        <f t="shared" si="335"/>
        <v>2</v>
      </c>
    </row>
    <row r="756" spans="1:30" x14ac:dyDescent="0.3">
      <c r="A756" s="271">
        <v>200206</v>
      </c>
      <c r="B756" s="272">
        <v>0.39583333333333331</v>
      </c>
      <c r="C756" s="271" t="s">
        <v>421</v>
      </c>
      <c r="D756" s="271" t="s">
        <v>424</v>
      </c>
      <c r="E756" s="3">
        <v>32</v>
      </c>
      <c r="F756" s="3">
        <v>25</v>
      </c>
      <c r="G756" s="3">
        <v>30</v>
      </c>
      <c r="H756" s="3">
        <v>29</v>
      </c>
      <c r="J756" s="3">
        <v>24</v>
      </c>
      <c r="K756" s="3">
        <v>32</v>
      </c>
      <c r="L756" s="3">
        <v>24</v>
      </c>
      <c r="M756" s="3">
        <v>20</v>
      </c>
      <c r="O756" s="286">
        <f t="shared" si="323"/>
        <v>116</v>
      </c>
      <c r="P756" s="286">
        <f t="shared" si="324"/>
        <v>100</v>
      </c>
      <c r="Q756" s="286" t="str">
        <f t="shared" si="325"/>
        <v>HW</v>
      </c>
      <c r="R756" s="286" t="str">
        <f t="shared" si="326"/>
        <v>HL</v>
      </c>
      <c r="S756" s="286" t="str">
        <f t="shared" si="327"/>
        <v>HW</v>
      </c>
      <c r="T756" s="286" t="str">
        <f t="shared" si="328"/>
        <v>HW</v>
      </c>
      <c r="U756" s="286" t="str">
        <f t="shared" si="329"/>
        <v>O</v>
      </c>
      <c r="V756" s="286" t="str">
        <f t="shared" si="330"/>
        <v>O</v>
      </c>
      <c r="W756" s="286" t="str">
        <f t="shared" si="331"/>
        <v>O</v>
      </c>
      <c r="X756" s="286" t="str">
        <f t="shared" si="332"/>
        <v>U</v>
      </c>
      <c r="Z756" s="3">
        <v>53.5</v>
      </c>
      <c r="AB756" s="286" t="str">
        <f t="shared" si="333"/>
        <v>BOS/ORL</v>
      </c>
      <c r="AC756" s="286">
        <f t="shared" si="334"/>
        <v>3</v>
      </c>
      <c r="AD756" s="286">
        <f t="shared" si="335"/>
        <v>1</v>
      </c>
    </row>
    <row r="757" spans="1:30" x14ac:dyDescent="0.3">
      <c r="A757" s="271">
        <v>200206</v>
      </c>
      <c r="B757" s="272">
        <v>0.39583333333333331</v>
      </c>
      <c r="C757" s="271" t="s">
        <v>407</v>
      </c>
      <c r="D757" s="271" t="s">
        <v>425</v>
      </c>
      <c r="E757" s="3">
        <v>40</v>
      </c>
      <c r="F757" s="3">
        <v>28</v>
      </c>
      <c r="G757" s="3">
        <v>27</v>
      </c>
      <c r="H757" s="3">
        <v>34</v>
      </c>
      <c r="J757" s="3">
        <v>25</v>
      </c>
      <c r="K757" s="3">
        <v>22</v>
      </c>
      <c r="L757" s="3">
        <v>17</v>
      </c>
      <c r="M757" s="3">
        <v>24</v>
      </c>
      <c r="O757" s="286">
        <f t="shared" si="323"/>
        <v>129</v>
      </c>
      <c r="P757" s="286">
        <f t="shared" si="324"/>
        <v>88</v>
      </c>
      <c r="Q757" s="286" t="str">
        <f t="shared" si="325"/>
        <v>HW</v>
      </c>
      <c r="R757" s="286" t="str">
        <f t="shared" si="326"/>
        <v>HW</v>
      </c>
      <c r="S757" s="286" t="str">
        <f t="shared" si="327"/>
        <v>HW</v>
      </c>
      <c r="T757" s="286" t="str">
        <f t="shared" si="328"/>
        <v>HW</v>
      </c>
      <c r="U757" s="286" t="str">
        <f t="shared" si="329"/>
        <v>O</v>
      </c>
      <c r="V757" s="286" t="str">
        <f t="shared" si="330"/>
        <v>U</v>
      </c>
      <c r="W757" s="286" t="str">
        <f t="shared" si="331"/>
        <v>U</v>
      </c>
      <c r="X757" s="286" t="str">
        <f t="shared" si="332"/>
        <v>O</v>
      </c>
      <c r="Z757" s="3">
        <v>57</v>
      </c>
      <c r="AB757" s="286" t="str">
        <f t="shared" si="333"/>
        <v>BKN/GS</v>
      </c>
      <c r="AC757" s="286">
        <f t="shared" si="334"/>
        <v>2</v>
      </c>
      <c r="AD757" s="286">
        <f t="shared" si="335"/>
        <v>2</v>
      </c>
    </row>
    <row r="758" spans="1:30" x14ac:dyDescent="0.3">
      <c r="A758" s="271">
        <v>200206</v>
      </c>
      <c r="B758" s="272">
        <v>0.39583333333333331</v>
      </c>
      <c r="C758" s="271" t="s">
        <v>413</v>
      </c>
      <c r="D758" s="271" t="s">
        <v>400</v>
      </c>
      <c r="E758" s="3">
        <v>30</v>
      </c>
      <c r="F758" s="3">
        <v>18</v>
      </c>
      <c r="G758" s="3">
        <v>34</v>
      </c>
      <c r="H758" s="3">
        <v>37</v>
      </c>
      <c r="J758" s="3">
        <v>20</v>
      </c>
      <c r="K758" s="3">
        <v>43</v>
      </c>
      <c r="L758" s="3">
        <v>23</v>
      </c>
      <c r="M758" s="3">
        <v>32</v>
      </c>
      <c r="O758" s="286">
        <f t="shared" si="323"/>
        <v>119</v>
      </c>
      <c r="P758" s="286">
        <f t="shared" si="324"/>
        <v>118</v>
      </c>
      <c r="Q758" s="286" t="str">
        <f t="shared" si="325"/>
        <v>HW</v>
      </c>
      <c r="R758" s="286" t="str">
        <f t="shared" si="326"/>
        <v>HL</v>
      </c>
      <c r="S758" s="286" t="str">
        <f t="shared" si="327"/>
        <v>HW</v>
      </c>
      <c r="T758" s="286" t="str">
        <f t="shared" si="328"/>
        <v>HW</v>
      </c>
      <c r="U758" s="286" t="str">
        <f t="shared" si="329"/>
        <v>U</v>
      </c>
      <c r="V758" s="286" t="str">
        <f t="shared" si="330"/>
        <v>O</v>
      </c>
      <c r="W758" s="286" t="str">
        <f t="shared" si="331"/>
        <v>O</v>
      </c>
      <c r="X758" s="286" t="str">
        <f t="shared" si="332"/>
        <v>O</v>
      </c>
      <c r="Z758" s="3">
        <v>56</v>
      </c>
      <c r="AB758" s="286" t="str">
        <f t="shared" si="333"/>
        <v>TOR/IND</v>
      </c>
      <c r="AC758" s="286">
        <f t="shared" si="334"/>
        <v>3</v>
      </c>
      <c r="AD758" s="286">
        <f t="shared" si="335"/>
        <v>1</v>
      </c>
    </row>
    <row r="759" spans="1:30" x14ac:dyDescent="0.3">
      <c r="A759" s="271">
        <v>200206</v>
      </c>
      <c r="B759" s="272">
        <v>0.41666666666666669</v>
      </c>
      <c r="C759" s="271" t="s">
        <v>420</v>
      </c>
      <c r="D759" s="271" t="s">
        <v>410</v>
      </c>
      <c r="E759" s="3">
        <v>24</v>
      </c>
      <c r="F759" s="3">
        <v>32</v>
      </c>
      <c r="G759" s="3">
        <v>21</v>
      </c>
      <c r="H759" s="3">
        <v>43</v>
      </c>
      <c r="J759" s="3">
        <v>36</v>
      </c>
      <c r="K759" s="3">
        <v>28</v>
      </c>
      <c r="L759" s="3">
        <v>32</v>
      </c>
      <c r="M759" s="3">
        <v>31</v>
      </c>
      <c r="O759" s="286">
        <f t="shared" si="323"/>
        <v>120</v>
      </c>
      <c r="P759" s="286">
        <f t="shared" si="324"/>
        <v>127</v>
      </c>
      <c r="Q759" s="286" t="str">
        <f t="shared" si="325"/>
        <v>HL</v>
      </c>
      <c r="R759" s="286" t="str">
        <f t="shared" si="326"/>
        <v>HW</v>
      </c>
      <c r="S759" s="286" t="str">
        <f t="shared" si="327"/>
        <v>HL</v>
      </c>
      <c r="T759" s="286" t="str">
        <f t="shared" si="328"/>
        <v>HW</v>
      </c>
      <c r="U759" s="286" t="str">
        <f t="shared" si="329"/>
        <v>U</v>
      </c>
      <c r="V759" s="286" t="str">
        <f t="shared" si="330"/>
        <v>U</v>
      </c>
      <c r="W759" s="286" t="str">
        <f t="shared" si="331"/>
        <v>U</v>
      </c>
      <c r="X759" s="286" t="str">
        <f t="shared" si="332"/>
        <v>O</v>
      </c>
      <c r="Z759" s="3">
        <v>61.5</v>
      </c>
      <c r="AB759" s="286" t="str">
        <f t="shared" si="333"/>
        <v>MIN/ATL</v>
      </c>
      <c r="AC759" s="286">
        <f t="shared" si="334"/>
        <v>1</v>
      </c>
      <c r="AD759" s="286">
        <f t="shared" si="335"/>
        <v>3</v>
      </c>
    </row>
    <row r="760" spans="1:30" x14ac:dyDescent="0.3">
      <c r="A760" s="271">
        <v>200206</v>
      </c>
      <c r="B760" s="272">
        <v>0.41666666666666669</v>
      </c>
      <c r="C760" s="271" t="s">
        <v>418</v>
      </c>
      <c r="D760" s="271" t="s">
        <v>402</v>
      </c>
      <c r="E760" s="3">
        <v>29</v>
      </c>
      <c r="F760" s="3">
        <v>32</v>
      </c>
      <c r="G760" s="3">
        <v>23</v>
      </c>
      <c r="H760" s="3">
        <v>25</v>
      </c>
      <c r="J760" s="3">
        <v>28</v>
      </c>
      <c r="K760" s="3">
        <v>25</v>
      </c>
      <c r="L760" s="3">
        <v>28</v>
      </c>
      <c r="M760" s="3">
        <v>22</v>
      </c>
      <c r="O760" s="286">
        <f t="shared" si="323"/>
        <v>109</v>
      </c>
      <c r="P760" s="286">
        <f t="shared" si="324"/>
        <v>103</v>
      </c>
      <c r="Q760" s="286" t="str">
        <f t="shared" si="325"/>
        <v>HW</v>
      </c>
      <c r="R760" s="286" t="str">
        <f t="shared" si="326"/>
        <v>HW</v>
      </c>
      <c r="S760" s="286" t="str">
        <f t="shared" si="327"/>
        <v>HL</v>
      </c>
      <c r="T760" s="286" t="str">
        <f t="shared" si="328"/>
        <v>HW</v>
      </c>
      <c r="U760" s="286" t="str">
        <f t="shared" si="329"/>
        <v>O</v>
      </c>
      <c r="V760" s="286" t="str">
        <f t="shared" si="330"/>
        <v>O</v>
      </c>
      <c r="W760" s="286" t="str">
        <f t="shared" si="331"/>
        <v>U</v>
      </c>
      <c r="X760" s="286" t="str">
        <f t="shared" si="332"/>
        <v>U</v>
      </c>
      <c r="Z760" s="3">
        <v>53.5</v>
      </c>
      <c r="AB760" s="286" t="str">
        <f t="shared" si="333"/>
        <v>OKC/CLE</v>
      </c>
      <c r="AC760" s="286">
        <f t="shared" si="334"/>
        <v>2</v>
      </c>
      <c r="AD760" s="286">
        <f t="shared" si="335"/>
        <v>2</v>
      </c>
    </row>
    <row r="761" spans="1:30" x14ac:dyDescent="0.3">
      <c r="A761" s="271">
        <v>200206</v>
      </c>
      <c r="B761" s="272">
        <v>0.4375</v>
      </c>
      <c r="C761" s="271" t="s">
        <v>397</v>
      </c>
      <c r="D761" s="271" t="s">
        <v>406</v>
      </c>
      <c r="E761" s="3">
        <v>32</v>
      </c>
      <c r="F761" s="3">
        <v>24</v>
      </c>
      <c r="G761" s="3">
        <v>22</v>
      </c>
      <c r="H761" s="3">
        <v>29</v>
      </c>
      <c r="J761" s="3">
        <v>31</v>
      </c>
      <c r="K761" s="3">
        <v>28</v>
      </c>
      <c r="L761" s="3">
        <v>41</v>
      </c>
      <c r="M761" s="3">
        <v>21</v>
      </c>
      <c r="O761" s="286">
        <f t="shared" si="323"/>
        <v>107</v>
      </c>
      <c r="P761" s="286">
        <f t="shared" si="324"/>
        <v>121</v>
      </c>
      <c r="Q761" s="286" t="str">
        <f t="shared" si="325"/>
        <v>HW</v>
      </c>
      <c r="R761" s="286" t="str">
        <f t="shared" si="326"/>
        <v>HL</v>
      </c>
      <c r="S761" s="286" t="str">
        <f t="shared" si="327"/>
        <v>HL</v>
      </c>
      <c r="T761" s="286" t="str">
        <f t="shared" si="328"/>
        <v>HW</v>
      </c>
      <c r="U761" s="286" t="str">
        <f t="shared" si="329"/>
        <v>O</v>
      </c>
      <c r="V761" s="286" t="str">
        <f t="shared" si="330"/>
        <v>U</v>
      </c>
      <c r="W761" s="286" t="str">
        <f t="shared" si="331"/>
        <v>O</v>
      </c>
      <c r="X761" s="286" t="str">
        <f t="shared" si="332"/>
        <v>U</v>
      </c>
      <c r="Z761" s="3">
        <v>55</v>
      </c>
      <c r="AB761" s="286" t="str">
        <f t="shared" si="333"/>
        <v>DAL/MEM</v>
      </c>
      <c r="AC761" s="286">
        <f t="shared" si="334"/>
        <v>2</v>
      </c>
      <c r="AD761" s="286">
        <f t="shared" si="335"/>
        <v>2</v>
      </c>
    </row>
    <row r="762" spans="1:30" x14ac:dyDescent="0.3">
      <c r="A762" s="271">
        <v>200206</v>
      </c>
      <c r="B762" s="272">
        <v>0.45833333333333331</v>
      </c>
      <c r="C762" s="271" t="s">
        <v>439</v>
      </c>
      <c r="D762" s="271" t="s">
        <v>408</v>
      </c>
      <c r="E762" s="3">
        <v>32</v>
      </c>
      <c r="F762" s="3">
        <v>25</v>
      </c>
      <c r="G762" s="3">
        <v>18</v>
      </c>
      <c r="H762" s="3">
        <v>20</v>
      </c>
      <c r="J762" s="3">
        <v>25</v>
      </c>
      <c r="K762" s="3">
        <v>24</v>
      </c>
      <c r="L762" s="3">
        <v>23</v>
      </c>
      <c r="M762" s="3">
        <v>26</v>
      </c>
      <c r="O762" s="286">
        <f t="shared" si="323"/>
        <v>95</v>
      </c>
      <c r="P762" s="286">
        <f t="shared" si="324"/>
        <v>98</v>
      </c>
      <c r="Q762" s="286" t="str">
        <f t="shared" si="325"/>
        <v>HW</v>
      </c>
      <c r="R762" s="286" t="str">
        <f t="shared" si="326"/>
        <v>HW</v>
      </c>
      <c r="S762" s="286" t="str">
        <f t="shared" si="327"/>
        <v>HL</v>
      </c>
      <c r="T762" s="286" t="str">
        <f t="shared" si="328"/>
        <v>HL</v>
      </c>
      <c r="U762" s="286" t="str">
        <f t="shared" si="329"/>
        <v>O</v>
      </c>
      <c r="V762" s="286" t="str">
        <f t="shared" si="330"/>
        <v>U</v>
      </c>
      <c r="W762" s="286" t="str">
        <f t="shared" si="331"/>
        <v>U</v>
      </c>
      <c r="X762" s="286" t="str">
        <f t="shared" si="332"/>
        <v>U</v>
      </c>
      <c r="Z762" s="3">
        <v>54.5</v>
      </c>
      <c r="AB762" s="286" t="str">
        <f t="shared" si="333"/>
        <v>UTA/DEN</v>
      </c>
      <c r="AC762" s="286">
        <f t="shared" si="334"/>
        <v>1</v>
      </c>
      <c r="AD762" s="286">
        <f t="shared" si="335"/>
        <v>3</v>
      </c>
    </row>
    <row r="763" spans="1:30" x14ac:dyDescent="0.3">
      <c r="A763" s="271">
        <v>200206</v>
      </c>
      <c r="B763" s="272">
        <v>0.5</v>
      </c>
      <c r="C763" s="271" t="s">
        <v>415</v>
      </c>
      <c r="D763" s="271" t="s">
        <v>411</v>
      </c>
      <c r="E763" s="3">
        <v>25</v>
      </c>
      <c r="F763" s="3">
        <v>30</v>
      </c>
      <c r="G763" s="3">
        <v>37</v>
      </c>
      <c r="H763" s="3">
        <v>36</v>
      </c>
      <c r="J763" s="3">
        <v>23</v>
      </c>
      <c r="K763" s="3">
        <v>35</v>
      </c>
      <c r="L763" s="3">
        <v>22</v>
      </c>
      <c r="M763" s="3">
        <v>31</v>
      </c>
      <c r="O763" s="286">
        <f t="shared" si="323"/>
        <v>128</v>
      </c>
      <c r="P763" s="286">
        <f t="shared" si="324"/>
        <v>111</v>
      </c>
      <c r="Q763" s="286" t="str">
        <f t="shared" si="325"/>
        <v>HW</v>
      </c>
      <c r="R763" s="286" t="str">
        <f t="shared" si="326"/>
        <v>HL</v>
      </c>
      <c r="S763" s="286" t="str">
        <f t="shared" si="327"/>
        <v>HW</v>
      </c>
      <c r="T763" s="286" t="str">
        <f t="shared" si="328"/>
        <v>HW</v>
      </c>
      <c r="U763" s="286" t="str">
        <f t="shared" si="329"/>
        <v>U</v>
      </c>
      <c r="V763" s="286" t="str">
        <f t="shared" si="330"/>
        <v>O</v>
      </c>
      <c r="W763" s="286" t="str">
        <f t="shared" si="331"/>
        <v>O</v>
      </c>
      <c r="X763" s="286" t="str">
        <f t="shared" si="332"/>
        <v>O</v>
      </c>
      <c r="Z763" s="3">
        <v>57.5</v>
      </c>
      <c r="AB763" s="286" t="str">
        <f t="shared" si="333"/>
        <v>LAC/MIA</v>
      </c>
      <c r="AC763" s="286">
        <f t="shared" si="334"/>
        <v>3</v>
      </c>
      <c r="AD763" s="286">
        <f t="shared" si="335"/>
        <v>1</v>
      </c>
    </row>
    <row r="764" spans="1:30" x14ac:dyDescent="0.3">
      <c r="A764" s="262">
        <v>200207</v>
      </c>
      <c r="B764" s="274">
        <v>0.39583333333333331</v>
      </c>
      <c r="C764" s="273" t="s">
        <v>399</v>
      </c>
      <c r="D764" s="273" t="s">
        <v>424</v>
      </c>
      <c r="E764" s="3">
        <v>30</v>
      </c>
      <c r="F764" s="3">
        <v>24</v>
      </c>
      <c r="G764" s="3">
        <v>22</v>
      </c>
      <c r="H764" s="3">
        <v>29</v>
      </c>
      <c r="J764" s="3">
        <v>19</v>
      </c>
      <c r="K764" s="3">
        <v>28</v>
      </c>
      <c r="L764" s="3">
        <v>36</v>
      </c>
      <c r="M764" s="3">
        <v>20</v>
      </c>
      <c r="O764" s="286">
        <f t="shared" si="323"/>
        <v>105</v>
      </c>
      <c r="P764" s="286">
        <f t="shared" si="324"/>
        <v>103</v>
      </c>
      <c r="Q764" s="286" t="str">
        <f t="shared" si="325"/>
        <v>HW</v>
      </c>
      <c r="R764" s="286" t="str">
        <f t="shared" si="326"/>
        <v>HL</v>
      </c>
      <c r="S764" s="286" t="str">
        <f t="shared" si="327"/>
        <v>HL</v>
      </c>
      <c r="T764" s="286" t="str">
        <f t="shared" si="328"/>
        <v>HW</v>
      </c>
      <c r="U764" s="286" t="str">
        <f t="shared" si="329"/>
        <v>U</v>
      </c>
      <c r="V764" s="286" t="str">
        <f t="shared" si="330"/>
        <v>U</v>
      </c>
      <c r="W764" s="286" t="str">
        <f t="shared" si="331"/>
        <v>O</v>
      </c>
      <c r="X764" s="286" t="str">
        <f t="shared" si="332"/>
        <v>U</v>
      </c>
      <c r="Z764" s="3">
        <v>53</v>
      </c>
      <c r="AB764" s="286" t="str">
        <f t="shared" si="333"/>
        <v>NYK/ORL</v>
      </c>
      <c r="AC764" s="286">
        <f t="shared" si="334"/>
        <v>1</v>
      </c>
      <c r="AD764" s="286">
        <f t="shared" si="335"/>
        <v>3</v>
      </c>
    </row>
    <row r="765" spans="1:30" x14ac:dyDescent="0.3">
      <c r="A765" s="262">
        <v>200207</v>
      </c>
      <c r="B765" s="274">
        <v>0.41666666666666669</v>
      </c>
      <c r="C765" s="273" t="s">
        <v>412</v>
      </c>
      <c r="D765" s="273" t="s">
        <v>398</v>
      </c>
      <c r="E765" s="3">
        <v>25</v>
      </c>
      <c r="F765" s="3">
        <v>37</v>
      </c>
      <c r="G765" s="3">
        <v>19</v>
      </c>
      <c r="H765" s="3">
        <v>38</v>
      </c>
      <c r="J765" s="3">
        <v>32</v>
      </c>
      <c r="K765" s="3">
        <v>40</v>
      </c>
      <c r="L765" s="3">
        <v>31</v>
      </c>
      <c r="M765" s="3">
        <v>22</v>
      </c>
      <c r="O765" s="286">
        <f t="shared" si="323"/>
        <v>119</v>
      </c>
      <c r="P765" s="286">
        <f t="shared" si="324"/>
        <v>125</v>
      </c>
      <c r="Q765" s="286" t="str">
        <f t="shared" si="325"/>
        <v>HL</v>
      </c>
      <c r="R765" s="286" t="str">
        <f t="shared" si="326"/>
        <v>HL</v>
      </c>
      <c r="S765" s="286" t="str">
        <f t="shared" si="327"/>
        <v>HL</v>
      </c>
      <c r="T765" s="286" t="str">
        <f t="shared" si="328"/>
        <v>HW</v>
      </c>
      <c r="U765" s="286" t="str">
        <f t="shared" si="329"/>
        <v>U</v>
      </c>
      <c r="V765" s="286" t="str">
        <f t="shared" si="330"/>
        <v>O</v>
      </c>
      <c r="W765" s="286" t="str">
        <f t="shared" si="331"/>
        <v>U</v>
      </c>
      <c r="X765" s="286" t="str">
        <f t="shared" si="332"/>
        <v>O</v>
      </c>
      <c r="Z765" s="3">
        <v>59</v>
      </c>
      <c r="AB765" s="286" t="str">
        <f t="shared" si="333"/>
        <v>CHI/NO</v>
      </c>
      <c r="AC765" s="286">
        <f t="shared" si="334"/>
        <v>2</v>
      </c>
      <c r="AD765" s="286">
        <f t="shared" si="335"/>
        <v>2</v>
      </c>
    </row>
    <row r="766" spans="1:30" x14ac:dyDescent="0.3">
      <c r="A766" s="262">
        <v>200207</v>
      </c>
      <c r="B766" s="274">
        <v>0.41666666666666669</v>
      </c>
      <c r="C766" s="273" t="s">
        <v>423</v>
      </c>
      <c r="D766" s="273" t="s">
        <v>401</v>
      </c>
      <c r="E766" s="3">
        <v>22</v>
      </c>
      <c r="F766" s="3">
        <v>32</v>
      </c>
      <c r="G766" s="3">
        <v>32</v>
      </c>
      <c r="H766" s="3">
        <v>26</v>
      </c>
      <c r="J766" s="3">
        <v>26</v>
      </c>
      <c r="K766" s="3">
        <v>25</v>
      </c>
      <c r="L766" s="3">
        <v>23</v>
      </c>
      <c r="M766" s="3">
        <v>27</v>
      </c>
      <c r="O766" s="286">
        <f t="shared" si="323"/>
        <v>112</v>
      </c>
      <c r="P766" s="286">
        <f t="shared" si="324"/>
        <v>101</v>
      </c>
      <c r="Q766" s="286" t="str">
        <f t="shared" si="325"/>
        <v>HL</v>
      </c>
      <c r="R766" s="286" t="str">
        <f t="shared" si="326"/>
        <v>HW</v>
      </c>
      <c r="S766" s="286" t="str">
        <f t="shared" si="327"/>
        <v>HW</v>
      </c>
      <c r="T766" s="286" t="str">
        <f t="shared" si="328"/>
        <v>HL</v>
      </c>
      <c r="U766" s="286" t="str">
        <f t="shared" si="329"/>
        <v>U</v>
      </c>
      <c r="V766" s="286" t="str">
        <f t="shared" si="330"/>
        <v>U</v>
      </c>
      <c r="W766" s="286" t="str">
        <f t="shared" si="331"/>
        <v>U</v>
      </c>
      <c r="X766" s="286" t="str">
        <f t="shared" si="332"/>
        <v>U</v>
      </c>
      <c r="Z766" s="3">
        <v>58</v>
      </c>
      <c r="AB766" s="286" t="str">
        <f t="shared" si="333"/>
        <v>MIL/PHI</v>
      </c>
      <c r="AC766" s="286">
        <f t="shared" si="334"/>
        <v>0</v>
      </c>
      <c r="AD766" s="286">
        <f t="shared" si="335"/>
        <v>4</v>
      </c>
    </row>
    <row r="767" spans="1:30" x14ac:dyDescent="0.3">
      <c r="A767" s="262">
        <v>200207</v>
      </c>
      <c r="B767" s="274">
        <v>0.5</v>
      </c>
      <c r="C767" s="273" t="s">
        <v>417</v>
      </c>
      <c r="D767" s="273" t="s">
        <v>426</v>
      </c>
      <c r="E767" s="3">
        <v>27</v>
      </c>
      <c r="F767" s="3">
        <v>32</v>
      </c>
      <c r="G767" s="3">
        <v>27</v>
      </c>
      <c r="H767" s="3">
        <v>39</v>
      </c>
      <c r="J767" s="3">
        <v>35</v>
      </c>
      <c r="K767" s="3">
        <v>25</v>
      </c>
      <c r="L767" s="3">
        <v>32</v>
      </c>
      <c r="M767" s="3">
        <v>25</v>
      </c>
      <c r="O767" s="286">
        <f t="shared" si="323"/>
        <v>125</v>
      </c>
      <c r="P767" s="286">
        <f t="shared" si="324"/>
        <v>117</v>
      </c>
      <c r="Q767" s="286" t="str">
        <f t="shared" si="325"/>
        <v>HL</v>
      </c>
      <c r="R767" s="286" t="str">
        <f t="shared" si="326"/>
        <v>HW</v>
      </c>
      <c r="S767" s="286" t="str">
        <f t="shared" si="327"/>
        <v>HL</v>
      </c>
      <c r="T767" s="286" t="str">
        <f t="shared" si="328"/>
        <v>HW</v>
      </c>
      <c r="U767" s="286" t="str">
        <f t="shared" si="329"/>
        <v>O</v>
      </c>
      <c r="V767" s="286" t="str">
        <f t="shared" si="330"/>
        <v>O</v>
      </c>
      <c r="W767" s="286" t="str">
        <f t="shared" si="331"/>
        <v>O</v>
      </c>
      <c r="X767" s="286" t="str">
        <f t="shared" si="332"/>
        <v>O</v>
      </c>
      <c r="Z767" s="3">
        <v>56</v>
      </c>
      <c r="AB767" s="286" t="str">
        <f t="shared" si="333"/>
        <v>POR/SAS</v>
      </c>
      <c r="AC767" s="286">
        <f t="shared" si="334"/>
        <v>4</v>
      </c>
      <c r="AD767" s="286">
        <f t="shared" si="335"/>
        <v>0</v>
      </c>
    </row>
    <row r="768" spans="1:30" x14ac:dyDescent="0.3">
      <c r="A768" s="262">
        <v>200207</v>
      </c>
      <c r="B768" s="274">
        <v>0.52083333333333337</v>
      </c>
      <c r="C768" s="273" t="s">
        <v>419</v>
      </c>
      <c r="D768" s="273" t="s">
        <v>403</v>
      </c>
      <c r="E768" s="3">
        <v>29</v>
      </c>
      <c r="F768" s="3">
        <v>34</v>
      </c>
      <c r="G768" s="3">
        <v>30</v>
      </c>
      <c r="H768" s="3">
        <v>18</v>
      </c>
      <c r="J768" s="3">
        <v>28</v>
      </c>
      <c r="K768" s="3">
        <v>35</v>
      </c>
      <c r="L768" s="3">
        <v>34</v>
      </c>
      <c r="M768" s="3">
        <v>24</v>
      </c>
      <c r="O768" s="286">
        <f t="shared" si="323"/>
        <v>111</v>
      </c>
      <c r="P768" s="286">
        <f t="shared" si="324"/>
        <v>121</v>
      </c>
      <c r="Q768" s="286" t="str">
        <f t="shared" si="325"/>
        <v>HW</v>
      </c>
      <c r="R768" s="286" t="str">
        <f t="shared" si="326"/>
        <v>HL</v>
      </c>
      <c r="S768" s="286" t="str">
        <f t="shared" si="327"/>
        <v>HL</v>
      </c>
      <c r="T768" s="286" t="str">
        <f t="shared" si="328"/>
        <v>HL</v>
      </c>
      <c r="U768" s="286" t="str">
        <f t="shared" si="329"/>
        <v>U</v>
      </c>
      <c r="V768" s="286" t="str">
        <f t="shared" si="330"/>
        <v>O</v>
      </c>
      <c r="W768" s="286" t="str">
        <f t="shared" si="331"/>
        <v>O</v>
      </c>
      <c r="X768" s="286" t="str">
        <f t="shared" si="332"/>
        <v>U</v>
      </c>
      <c r="Z768" s="3">
        <v>61.5</v>
      </c>
      <c r="AB768" s="286" t="str">
        <f t="shared" si="333"/>
        <v>LAL/HOU</v>
      </c>
      <c r="AC768" s="286">
        <f t="shared" si="334"/>
        <v>2</v>
      </c>
      <c r="AD768" s="286">
        <f t="shared" si="335"/>
        <v>2</v>
      </c>
    </row>
    <row r="769" spans="1:30" x14ac:dyDescent="0.3">
      <c r="A769" s="275">
        <v>200208</v>
      </c>
      <c r="B769" s="276">
        <v>0.375</v>
      </c>
      <c r="C769" s="275" t="s">
        <v>401</v>
      </c>
      <c r="D769" s="275" t="s">
        <v>406</v>
      </c>
      <c r="E769" s="3">
        <v>26</v>
      </c>
      <c r="F769" s="3">
        <v>32</v>
      </c>
      <c r="G769" s="3">
        <v>39</v>
      </c>
      <c r="H769" s="3">
        <v>22</v>
      </c>
      <c r="J769" s="3">
        <v>25</v>
      </c>
      <c r="K769" s="3">
        <v>19</v>
      </c>
      <c r="L769" s="3">
        <v>22</v>
      </c>
      <c r="M769" s="3">
        <v>41</v>
      </c>
      <c r="O769" s="286">
        <f t="shared" si="323"/>
        <v>119</v>
      </c>
      <c r="P769" s="286">
        <f t="shared" si="324"/>
        <v>107</v>
      </c>
      <c r="Q769" s="286" t="str">
        <f t="shared" si="325"/>
        <v>HW</v>
      </c>
      <c r="R769" s="286" t="str">
        <f t="shared" si="326"/>
        <v>HW</v>
      </c>
      <c r="S769" s="286" t="str">
        <f t="shared" si="327"/>
        <v>HW</v>
      </c>
      <c r="T769" s="286" t="str">
        <f t="shared" si="328"/>
        <v>HL</v>
      </c>
      <c r="U769" s="286" t="str">
        <f t="shared" si="329"/>
        <v>U</v>
      </c>
      <c r="V769" s="286" t="str">
        <f t="shared" si="330"/>
        <v>U</v>
      </c>
      <c r="W769" s="286" t="str">
        <f t="shared" si="331"/>
        <v>O</v>
      </c>
      <c r="X769" s="286" t="str">
        <f t="shared" si="332"/>
        <v>O</v>
      </c>
      <c r="Z769" s="3">
        <v>54.5</v>
      </c>
      <c r="AB769" s="286" t="str">
        <f t="shared" si="333"/>
        <v>PHI/MEM</v>
      </c>
      <c r="AC769" s="286">
        <f t="shared" si="334"/>
        <v>2</v>
      </c>
      <c r="AD769" s="286">
        <f t="shared" si="335"/>
        <v>2</v>
      </c>
    </row>
    <row r="770" spans="1:30" x14ac:dyDescent="0.3">
      <c r="A770" s="275">
        <v>200208</v>
      </c>
      <c r="B770" s="276">
        <v>0.375</v>
      </c>
      <c r="C770" s="275" t="s">
        <v>414</v>
      </c>
      <c r="D770" s="275" t="s">
        <v>397</v>
      </c>
      <c r="E770" s="3">
        <v>29</v>
      </c>
      <c r="F770" s="3">
        <v>33</v>
      </c>
      <c r="G770" s="3">
        <v>30</v>
      </c>
      <c r="H770" s="3">
        <v>27</v>
      </c>
      <c r="J770" s="3">
        <v>33</v>
      </c>
      <c r="K770" s="3">
        <v>31</v>
      </c>
      <c r="L770" s="3">
        <v>29</v>
      </c>
      <c r="M770" s="3">
        <v>25</v>
      </c>
      <c r="O770" s="286">
        <f t="shared" si="323"/>
        <v>119</v>
      </c>
      <c r="P770" s="286">
        <f t="shared" si="324"/>
        <v>118</v>
      </c>
      <c r="Q770" s="286" t="str">
        <f t="shared" si="325"/>
        <v>HL</v>
      </c>
      <c r="R770" s="286" t="str">
        <f t="shared" si="326"/>
        <v>HW</v>
      </c>
      <c r="S770" s="286" t="str">
        <f t="shared" si="327"/>
        <v>HW</v>
      </c>
      <c r="T770" s="286" t="str">
        <f t="shared" si="328"/>
        <v>HW</v>
      </c>
      <c r="U770" s="286" t="str">
        <f t="shared" si="329"/>
        <v>O</v>
      </c>
      <c r="V770" s="286" t="str">
        <f t="shared" si="330"/>
        <v>O</v>
      </c>
      <c r="W770" s="286" t="str">
        <f t="shared" si="331"/>
        <v>U</v>
      </c>
      <c r="X770" s="286" t="str">
        <f t="shared" si="332"/>
        <v>U</v>
      </c>
      <c r="Z770" s="3">
        <v>60.5</v>
      </c>
      <c r="AB770" s="286" t="str">
        <f t="shared" si="333"/>
        <v>WAS/DAL</v>
      </c>
      <c r="AC770" s="286">
        <f t="shared" si="334"/>
        <v>2</v>
      </c>
      <c r="AD770" s="286">
        <f t="shared" si="335"/>
        <v>2</v>
      </c>
    </row>
    <row r="771" spans="1:30" x14ac:dyDescent="0.3">
      <c r="A771" s="275">
        <v>200208</v>
      </c>
      <c r="B771" s="276">
        <v>0.39583333333333331</v>
      </c>
      <c r="C771" s="275" t="s">
        <v>421</v>
      </c>
      <c r="D771" s="275" t="s">
        <v>410</v>
      </c>
      <c r="E771" s="3">
        <v>28</v>
      </c>
      <c r="F771" s="3">
        <v>26</v>
      </c>
      <c r="G771" s="3">
        <v>33</v>
      </c>
      <c r="H771" s="3">
        <v>25</v>
      </c>
      <c r="J771" s="3">
        <v>26</v>
      </c>
      <c r="K771" s="3">
        <v>29</v>
      </c>
      <c r="L771" s="3">
        <v>18</v>
      </c>
      <c r="M771" s="3">
        <v>34</v>
      </c>
      <c r="O771" s="286">
        <f t="shared" si="323"/>
        <v>112</v>
      </c>
      <c r="P771" s="286">
        <f t="shared" si="324"/>
        <v>107</v>
      </c>
      <c r="Q771" s="286" t="str">
        <f t="shared" si="325"/>
        <v>HW</v>
      </c>
      <c r="R771" s="286" t="str">
        <f t="shared" si="326"/>
        <v>HL</v>
      </c>
      <c r="S771" s="286" t="str">
        <f t="shared" si="327"/>
        <v>HW</v>
      </c>
      <c r="T771" s="286" t="str">
        <f t="shared" si="328"/>
        <v>HL</v>
      </c>
      <c r="U771" s="286" t="str">
        <f t="shared" si="329"/>
        <v>U</v>
      </c>
      <c r="V771" s="286" t="str">
        <f t="shared" si="330"/>
        <v>U</v>
      </c>
      <c r="W771" s="286" t="str">
        <f t="shared" si="331"/>
        <v>U</v>
      </c>
      <c r="X771" s="286" t="str">
        <f t="shared" si="332"/>
        <v>O</v>
      </c>
      <c r="Z771" s="3">
        <v>58</v>
      </c>
      <c r="AB771" s="286" t="str">
        <f t="shared" si="333"/>
        <v>BOS/ATL</v>
      </c>
      <c r="AC771" s="286">
        <f t="shared" si="334"/>
        <v>1</v>
      </c>
      <c r="AD771" s="286">
        <f t="shared" si="335"/>
        <v>3</v>
      </c>
    </row>
    <row r="772" spans="1:30" x14ac:dyDescent="0.3">
      <c r="A772" s="275">
        <v>200208</v>
      </c>
      <c r="B772" s="276">
        <v>0.41666666666666669</v>
      </c>
      <c r="C772" s="275" t="s">
        <v>400</v>
      </c>
      <c r="D772" s="275" t="s">
        <v>413</v>
      </c>
      <c r="E772" s="3">
        <v>31</v>
      </c>
      <c r="F772" s="3">
        <v>32</v>
      </c>
      <c r="G772" s="3">
        <v>20</v>
      </c>
      <c r="H772" s="3">
        <v>23</v>
      </c>
      <c r="J772" s="3">
        <v>36</v>
      </c>
      <c r="K772" s="3">
        <v>28</v>
      </c>
      <c r="L772" s="3">
        <v>23</v>
      </c>
      <c r="M772" s="3">
        <v>28</v>
      </c>
      <c r="O772" s="286">
        <f t="shared" si="323"/>
        <v>106</v>
      </c>
      <c r="P772" s="286">
        <f t="shared" si="324"/>
        <v>115</v>
      </c>
      <c r="Q772" s="286" t="str">
        <f t="shared" si="325"/>
        <v>HL</v>
      </c>
      <c r="R772" s="286" t="str">
        <f t="shared" si="326"/>
        <v>HW</v>
      </c>
      <c r="S772" s="286" t="str">
        <f t="shared" si="327"/>
        <v>HL</v>
      </c>
      <c r="T772" s="286" t="str">
        <f t="shared" si="328"/>
        <v>HL</v>
      </c>
      <c r="U772" s="286" t="str">
        <f t="shared" si="329"/>
        <v>O</v>
      </c>
      <c r="V772" s="286" t="str">
        <f t="shared" si="330"/>
        <v>O</v>
      </c>
      <c r="W772" s="286" t="str">
        <f t="shared" si="331"/>
        <v>U</v>
      </c>
      <c r="X772" s="286" t="str">
        <f t="shared" si="332"/>
        <v>U</v>
      </c>
      <c r="Z772" s="3">
        <v>56.5</v>
      </c>
      <c r="AB772" s="286" t="str">
        <f t="shared" si="333"/>
        <v>IND/TOR</v>
      </c>
      <c r="AC772" s="286">
        <f t="shared" si="334"/>
        <v>2</v>
      </c>
      <c r="AD772" s="286">
        <f t="shared" si="335"/>
        <v>2</v>
      </c>
    </row>
    <row r="773" spans="1:30" x14ac:dyDescent="0.3">
      <c r="A773" s="275">
        <v>200208</v>
      </c>
      <c r="B773" s="276">
        <v>0.41666666666666669</v>
      </c>
      <c r="C773" s="275" t="s">
        <v>418</v>
      </c>
      <c r="D773" s="275" t="s">
        <v>422</v>
      </c>
      <c r="E773" s="3">
        <v>29</v>
      </c>
      <c r="F773" s="3">
        <v>23</v>
      </c>
      <c r="G773" s="3">
        <v>26</v>
      </c>
      <c r="H773" s="3">
        <v>30</v>
      </c>
      <c r="J773" s="3">
        <v>24</v>
      </c>
      <c r="K773" s="3">
        <v>23</v>
      </c>
      <c r="L773" s="3">
        <v>21</v>
      </c>
      <c r="M773" s="3">
        <v>33</v>
      </c>
      <c r="O773" s="286">
        <f t="shared" si="323"/>
        <v>108</v>
      </c>
      <c r="P773" s="286">
        <f t="shared" si="324"/>
        <v>101</v>
      </c>
      <c r="Q773" s="286" t="str">
        <f t="shared" si="325"/>
        <v>HW</v>
      </c>
      <c r="R773" s="286" t="str">
        <f t="shared" si="326"/>
        <v>TT</v>
      </c>
      <c r="S773" s="286" t="str">
        <f t="shared" si="327"/>
        <v>HW</v>
      </c>
      <c r="T773" s="286" t="str">
        <f t="shared" si="328"/>
        <v>HL</v>
      </c>
      <c r="U773" s="286" t="str">
        <f t="shared" si="329"/>
        <v>U</v>
      </c>
      <c r="V773" s="286" t="str">
        <f t="shared" si="330"/>
        <v>U</v>
      </c>
      <c r="W773" s="286" t="str">
        <f t="shared" si="331"/>
        <v>U</v>
      </c>
      <c r="X773" s="286" t="str">
        <f t="shared" si="332"/>
        <v>O</v>
      </c>
      <c r="Z773" s="3">
        <v>55</v>
      </c>
      <c r="AB773" s="286" t="str">
        <f t="shared" si="333"/>
        <v>OKC/DET</v>
      </c>
      <c r="AC773" s="286">
        <f t="shared" si="334"/>
        <v>1</v>
      </c>
      <c r="AD773" s="286">
        <f t="shared" si="335"/>
        <v>3</v>
      </c>
    </row>
    <row r="774" spans="1:30" x14ac:dyDescent="0.3">
      <c r="A774" s="275">
        <v>200208</v>
      </c>
      <c r="B774" s="276">
        <v>0.45833333333333331</v>
      </c>
      <c r="C774" s="275" t="s">
        <v>404</v>
      </c>
      <c r="D774" s="275" t="s">
        <v>403</v>
      </c>
      <c r="E774" s="3">
        <v>46</v>
      </c>
      <c r="F774" s="3">
        <v>19</v>
      </c>
      <c r="G774" s="3">
        <v>32</v>
      </c>
      <c r="H774" s="3">
        <v>30</v>
      </c>
      <c r="J774" s="3">
        <v>26</v>
      </c>
      <c r="K774" s="3">
        <v>29</v>
      </c>
      <c r="L774" s="3">
        <v>18</v>
      </c>
      <c r="M774" s="3">
        <v>18</v>
      </c>
      <c r="O774" s="286">
        <f t="shared" si="323"/>
        <v>127</v>
      </c>
      <c r="P774" s="286">
        <f t="shared" si="324"/>
        <v>91</v>
      </c>
      <c r="Q774" s="286" t="str">
        <f t="shared" si="325"/>
        <v>HW</v>
      </c>
      <c r="R774" s="286" t="str">
        <f t="shared" si="326"/>
        <v>HL</v>
      </c>
      <c r="S774" s="286" t="str">
        <f t="shared" si="327"/>
        <v>HW</v>
      </c>
      <c r="T774" s="286" t="str">
        <f t="shared" si="328"/>
        <v>HW</v>
      </c>
      <c r="U774" s="286" t="str">
        <f t="shared" si="329"/>
        <v>O</v>
      </c>
      <c r="V774" s="286" t="str">
        <f t="shared" si="330"/>
        <v>U</v>
      </c>
      <c r="W774" s="286" t="str">
        <f t="shared" si="331"/>
        <v>U</v>
      </c>
      <c r="X774" s="286" t="str">
        <f t="shared" si="332"/>
        <v>U</v>
      </c>
      <c r="Z774" s="3">
        <v>60</v>
      </c>
      <c r="AB774" s="286" t="str">
        <f t="shared" si="333"/>
        <v>PHO/HOU</v>
      </c>
      <c r="AC774" s="286">
        <f t="shared" si="334"/>
        <v>1</v>
      </c>
      <c r="AD774" s="286">
        <f t="shared" si="335"/>
        <v>3</v>
      </c>
    </row>
    <row r="775" spans="1:30" x14ac:dyDescent="0.3">
      <c r="A775" s="275">
        <v>200208</v>
      </c>
      <c r="B775" s="276">
        <v>0.5</v>
      </c>
      <c r="C775" s="275" t="s">
        <v>416</v>
      </c>
      <c r="D775" s="275" t="s">
        <v>411</v>
      </c>
      <c r="E775" s="3">
        <v>30</v>
      </c>
      <c r="F775" s="3">
        <v>22</v>
      </c>
      <c r="G775" s="3">
        <v>31</v>
      </c>
      <c r="H775" s="3">
        <v>22</v>
      </c>
      <c r="J775" s="3">
        <v>28</v>
      </c>
      <c r="K775" s="3">
        <v>22</v>
      </c>
      <c r="L775" s="3">
        <v>26</v>
      </c>
      <c r="M775" s="3">
        <v>21</v>
      </c>
      <c r="O775" s="286">
        <f t="shared" si="323"/>
        <v>105</v>
      </c>
      <c r="P775" s="286">
        <f t="shared" si="324"/>
        <v>97</v>
      </c>
      <c r="Q775" s="286" t="str">
        <f t="shared" si="325"/>
        <v>HW</v>
      </c>
      <c r="R775" s="286" t="str">
        <f t="shared" si="326"/>
        <v>TT</v>
      </c>
      <c r="S775" s="286" t="str">
        <f t="shared" si="327"/>
        <v>HW</v>
      </c>
      <c r="T775" s="286" t="str">
        <f t="shared" si="328"/>
        <v>HW</v>
      </c>
      <c r="U775" s="286" t="str">
        <f t="shared" si="329"/>
        <v>O</v>
      </c>
      <c r="V775" s="286" t="str">
        <f t="shared" si="330"/>
        <v>U</v>
      </c>
      <c r="W775" s="286" t="str">
        <f t="shared" si="331"/>
        <v>O</v>
      </c>
      <c r="X775" s="286" t="str">
        <f t="shared" si="332"/>
        <v>U</v>
      </c>
      <c r="Z775" s="3">
        <v>56.5</v>
      </c>
      <c r="AB775" s="286" t="str">
        <f t="shared" si="333"/>
        <v>SAC/MIA</v>
      </c>
      <c r="AC775" s="286">
        <f t="shared" si="334"/>
        <v>2</v>
      </c>
      <c r="AD775" s="286">
        <f t="shared" si="335"/>
        <v>2</v>
      </c>
    </row>
    <row r="776" spans="1:30" x14ac:dyDescent="0.3">
      <c r="A776" s="275">
        <v>200208</v>
      </c>
      <c r="B776" s="276">
        <v>0.52083333333333337</v>
      </c>
      <c r="C776" s="275" t="s">
        <v>405</v>
      </c>
      <c r="D776" s="275" t="s">
        <v>417</v>
      </c>
      <c r="E776" s="3">
        <v>32</v>
      </c>
      <c r="F776" s="3">
        <v>26</v>
      </c>
      <c r="G776" s="3">
        <v>30</v>
      </c>
      <c r="H776" s="3">
        <v>29</v>
      </c>
      <c r="J776" s="3">
        <v>38</v>
      </c>
      <c r="K776" s="3">
        <v>34</v>
      </c>
      <c r="L776" s="3">
        <v>17</v>
      </c>
      <c r="M776" s="3">
        <v>25</v>
      </c>
      <c r="O776" s="286">
        <f t="shared" si="323"/>
        <v>117</v>
      </c>
      <c r="P776" s="286">
        <f t="shared" si="324"/>
        <v>114</v>
      </c>
      <c r="Q776" s="286" t="str">
        <f t="shared" si="325"/>
        <v>HL</v>
      </c>
      <c r="R776" s="286" t="str">
        <f t="shared" si="326"/>
        <v>HL</v>
      </c>
      <c r="S776" s="286" t="str">
        <f t="shared" si="327"/>
        <v>HW</v>
      </c>
      <c r="T776" s="286" t="str">
        <f t="shared" si="328"/>
        <v>HW</v>
      </c>
      <c r="U776" s="286" t="str">
        <f t="shared" si="329"/>
        <v>O</v>
      </c>
      <c r="V776" s="286" t="str">
        <f t="shared" si="330"/>
        <v>O</v>
      </c>
      <c r="W776" s="286" t="str">
        <f t="shared" si="331"/>
        <v>U</v>
      </c>
      <c r="X776" s="286" t="str">
        <f t="shared" si="332"/>
        <v>U</v>
      </c>
      <c r="Z776" s="3">
        <v>58.5</v>
      </c>
      <c r="AB776" s="286" t="str">
        <f t="shared" si="333"/>
        <v>UTA/POR</v>
      </c>
      <c r="AC776" s="286">
        <f t="shared" si="334"/>
        <v>2</v>
      </c>
      <c r="AD776" s="286">
        <f t="shared" si="335"/>
        <v>2</v>
      </c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51"/>
  <sheetViews>
    <sheetView zoomScale="85" zoomScaleNormal="85" workbookViewId="0">
      <pane xSplit="1" ySplit="1" topLeftCell="B28" activePane="bottomRight" state="frozen"/>
      <selection pane="topRight" activeCell="B1" sqref="B1"/>
      <selection pane="bottomLeft" activeCell="A2" sqref="A2"/>
      <selection pane="bottomRight" activeCell="A51" sqref="A51"/>
    </sheetView>
  </sheetViews>
  <sheetFormatPr defaultRowHeight="16.5" x14ac:dyDescent="0.3"/>
  <cols>
    <col min="3" max="4" width="9" style="5"/>
    <col min="5" max="8" width="4.5" bestFit="1" customWidth="1"/>
    <col min="9" max="9" width="4.125" bestFit="1" customWidth="1"/>
    <col min="10" max="13" width="4.375" bestFit="1" customWidth="1"/>
    <col min="14" max="14" width="4.125" bestFit="1" customWidth="1"/>
    <col min="27" max="27" width="10.875" bestFit="1" customWidth="1"/>
  </cols>
  <sheetData>
    <row r="1" spans="1:27" s="3" customFormat="1" x14ac:dyDescent="0.45">
      <c r="A1" s="3" t="s">
        <v>0</v>
      </c>
      <c r="B1" s="3" t="s">
        <v>55</v>
      </c>
      <c r="C1" s="5" t="s">
        <v>1</v>
      </c>
      <c r="D1" s="5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s="286" customFormat="1" x14ac:dyDescent="0.3">
      <c r="A2" s="286">
        <v>200202</v>
      </c>
      <c r="B2" s="287">
        <v>0.22916666666666666</v>
      </c>
      <c r="C2" s="286" t="s">
        <v>415</v>
      </c>
      <c r="D2" s="286" t="s">
        <v>420</v>
      </c>
      <c r="E2" s="286">
        <v>40</v>
      </c>
      <c r="F2" s="286">
        <v>22</v>
      </c>
      <c r="G2" s="286">
        <v>36</v>
      </c>
      <c r="H2" s="286">
        <v>20</v>
      </c>
      <c r="J2" s="286">
        <v>32</v>
      </c>
      <c r="K2" s="286">
        <v>23</v>
      </c>
      <c r="L2" s="286">
        <v>31</v>
      </c>
      <c r="M2" s="286">
        <v>20</v>
      </c>
      <c r="N2" s="286" t="s">
        <v>427</v>
      </c>
      <c r="O2" s="286">
        <f t="shared" ref="O2:O51" si="0">SUM(E2:I2)</f>
        <v>118</v>
      </c>
      <c r="P2" s="286">
        <f t="shared" ref="P2:P51" si="1">SUM(J2:N2)</f>
        <v>106</v>
      </c>
      <c r="Q2" s="286" t="str">
        <f t="shared" ref="Q2:T51" si="2">IF(E2=J2,"TT",IF(E2&gt;J2,"HW","HL"))</f>
        <v>HW</v>
      </c>
      <c r="R2" s="286" t="str">
        <f t="shared" si="2"/>
        <v>HL</v>
      </c>
      <c r="S2" s="286" t="str">
        <f t="shared" si="2"/>
        <v>HW</v>
      </c>
      <c r="T2" s="286" t="str">
        <f t="shared" si="2"/>
        <v>TT</v>
      </c>
      <c r="U2" s="286" t="str">
        <f t="shared" ref="U2:X51" si="3">IF(SUM(E2,J2)=$Z2,"T",IF(SUM(E2,J2)&gt;$Z2,"O","U"))</f>
        <v>O</v>
      </c>
      <c r="V2" s="286" t="str">
        <f t="shared" si="3"/>
        <v>U</v>
      </c>
      <c r="W2" s="286" t="str">
        <f t="shared" si="3"/>
        <v>O</v>
      </c>
      <c r="X2" s="286" t="str">
        <f t="shared" si="3"/>
        <v>U</v>
      </c>
      <c r="Z2" s="286">
        <v>59</v>
      </c>
      <c r="AA2" s="286" t="str">
        <f t="shared" ref="AA2:AA33" si="4">C2&amp;"/"&amp;D2</f>
        <v>LAC/MIN</v>
      </c>
    </row>
    <row r="3" spans="1:27" s="286" customFormat="1" x14ac:dyDescent="0.3">
      <c r="A3" s="286">
        <v>200202</v>
      </c>
      <c r="B3" s="287">
        <v>0.375</v>
      </c>
      <c r="C3" s="286" t="s">
        <v>400</v>
      </c>
      <c r="D3" s="286" t="s">
        <v>399</v>
      </c>
      <c r="E3" s="286">
        <v>11</v>
      </c>
      <c r="F3" s="286">
        <v>28</v>
      </c>
      <c r="G3" s="286">
        <v>32</v>
      </c>
      <c r="H3" s="286">
        <v>14</v>
      </c>
      <c r="J3" s="286">
        <v>24</v>
      </c>
      <c r="K3" s="286">
        <v>26</v>
      </c>
      <c r="L3" s="286">
        <v>22</v>
      </c>
      <c r="M3" s="286">
        <v>20</v>
      </c>
      <c r="N3" s="286" t="s">
        <v>427</v>
      </c>
      <c r="O3" s="286">
        <f t="shared" si="0"/>
        <v>85</v>
      </c>
      <c r="P3" s="286">
        <f t="shared" si="1"/>
        <v>92</v>
      </c>
      <c r="Q3" s="286" t="str">
        <f t="shared" si="2"/>
        <v>HL</v>
      </c>
      <c r="R3" s="286" t="str">
        <f t="shared" si="2"/>
        <v>HW</v>
      </c>
      <c r="S3" s="286" t="str">
        <f t="shared" si="2"/>
        <v>HW</v>
      </c>
      <c r="T3" s="286" t="str">
        <f t="shared" si="2"/>
        <v>HL</v>
      </c>
      <c r="U3" s="286" t="str">
        <f t="shared" si="3"/>
        <v>U</v>
      </c>
      <c r="V3" s="286" t="str">
        <f t="shared" si="3"/>
        <v>U</v>
      </c>
      <c r="W3" s="286" t="str">
        <f t="shared" si="3"/>
        <v>U</v>
      </c>
      <c r="X3" s="286" t="str">
        <f t="shared" si="3"/>
        <v>U</v>
      </c>
      <c r="Z3" s="286">
        <v>54.5</v>
      </c>
      <c r="AA3" s="286" t="str">
        <f t="shared" si="4"/>
        <v>IND/NYK</v>
      </c>
    </row>
    <row r="4" spans="1:27" s="286" customFormat="1" x14ac:dyDescent="0.3">
      <c r="A4" s="286">
        <v>200202</v>
      </c>
      <c r="B4" s="287">
        <v>0.375</v>
      </c>
      <c r="C4" s="286" t="s">
        <v>424</v>
      </c>
      <c r="D4" s="286" t="s">
        <v>411</v>
      </c>
      <c r="E4" s="286">
        <v>25</v>
      </c>
      <c r="F4" s="286">
        <v>24</v>
      </c>
      <c r="G4" s="286">
        <v>18</v>
      </c>
      <c r="H4" s="286">
        <v>22</v>
      </c>
      <c r="J4" s="286">
        <v>28</v>
      </c>
      <c r="K4" s="286">
        <v>29</v>
      </c>
      <c r="L4" s="286">
        <v>19</v>
      </c>
      <c r="M4" s="286">
        <v>26</v>
      </c>
      <c r="N4" s="286" t="s">
        <v>427</v>
      </c>
      <c r="O4" s="286">
        <f t="shared" si="0"/>
        <v>89</v>
      </c>
      <c r="P4" s="286">
        <f t="shared" si="1"/>
        <v>102</v>
      </c>
      <c r="Q4" s="286" t="str">
        <f t="shared" si="2"/>
        <v>HL</v>
      </c>
      <c r="R4" s="286" t="str">
        <f t="shared" si="2"/>
        <v>HL</v>
      </c>
      <c r="S4" s="286" t="str">
        <f t="shared" si="2"/>
        <v>HL</v>
      </c>
      <c r="T4" s="286" t="str">
        <f t="shared" si="2"/>
        <v>HL</v>
      </c>
      <c r="U4" s="286" t="str">
        <f t="shared" si="3"/>
        <v>U</v>
      </c>
      <c r="V4" s="286" t="str">
        <f t="shared" si="3"/>
        <v>U</v>
      </c>
      <c r="W4" s="286" t="str">
        <f t="shared" si="3"/>
        <v>U</v>
      </c>
      <c r="X4" s="286" t="str">
        <f t="shared" si="3"/>
        <v>U</v>
      </c>
      <c r="Z4" s="286">
        <v>54</v>
      </c>
      <c r="AA4" s="286" t="str">
        <f t="shared" si="4"/>
        <v>ORL/MIA</v>
      </c>
    </row>
    <row r="5" spans="1:27" s="286" customFormat="1" x14ac:dyDescent="0.3">
      <c r="A5" s="286">
        <v>200202</v>
      </c>
      <c r="B5" s="287">
        <v>0.41666666666666669</v>
      </c>
      <c r="C5" s="286" t="s">
        <v>402</v>
      </c>
      <c r="D5" s="286" t="s">
        <v>425</v>
      </c>
      <c r="E5" s="286">
        <v>32</v>
      </c>
      <c r="F5" s="286">
        <v>27</v>
      </c>
      <c r="G5" s="286">
        <v>19</v>
      </c>
      <c r="H5" s="286">
        <v>34</v>
      </c>
      <c r="J5" s="286">
        <v>31</v>
      </c>
      <c r="K5" s="286">
        <v>30</v>
      </c>
      <c r="L5" s="286">
        <v>44</v>
      </c>
      <c r="M5" s="286">
        <v>26</v>
      </c>
      <c r="N5" s="286" t="s">
        <v>427</v>
      </c>
      <c r="O5" s="286">
        <f t="shared" si="0"/>
        <v>112</v>
      </c>
      <c r="P5" s="286">
        <f t="shared" si="1"/>
        <v>131</v>
      </c>
      <c r="Q5" s="286" t="str">
        <f t="shared" si="2"/>
        <v>HW</v>
      </c>
      <c r="R5" s="286" t="str">
        <f t="shared" si="2"/>
        <v>HL</v>
      </c>
      <c r="S5" s="286" t="str">
        <f t="shared" si="2"/>
        <v>HL</v>
      </c>
      <c r="T5" s="286" t="str">
        <f t="shared" si="2"/>
        <v>HW</v>
      </c>
      <c r="U5" s="286" t="str">
        <f t="shared" si="3"/>
        <v>O</v>
      </c>
      <c r="V5" s="286" t="str">
        <f t="shared" si="3"/>
        <v>U</v>
      </c>
      <c r="W5" s="286" t="str">
        <f t="shared" si="3"/>
        <v>O</v>
      </c>
      <c r="X5" s="286" t="str">
        <f t="shared" si="3"/>
        <v>O</v>
      </c>
      <c r="Z5" s="286">
        <v>57.5</v>
      </c>
      <c r="AA5" s="286" t="str">
        <f t="shared" si="4"/>
        <v>CLE/GS</v>
      </c>
    </row>
    <row r="6" spans="1:27" s="286" customFormat="1" x14ac:dyDescent="0.3">
      <c r="A6" s="286">
        <v>200202</v>
      </c>
      <c r="B6" s="287">
        <v>0.41666666666666669</v>
      </c>
      <c r="C6" s="286" t="s">
        <v>414</v>
      </c>
      <c r="D6" s="286" t="s">
        <v>407</v>
      </c>
      <c r="E6" s="286">
        <v>27</v>
      </c>
      <c r="F6" s="286">
        <v>32</v>
      </c>
      <c r="G6" s="286">
        <v>22</v>
      </c>
      <c r="H6" s="286">
        <v>32</v>
      </c>
      <c r="J6" s="286">
        <v>36</v>
      </c>
      <c r="K6" s="286">
        <v>25</v>
      </c>
      <c r="L6" s="286">
        <v>23</v>
      </c>
      <c r="M6" s="286">
        <v>23</v>
      </c>
      <c r="N6" s="286" t="s">
        <v>427</v>
      </c>
      <c r="O6" s="286">
        <f t="shared" si="0"/>
        <v>113</v>
      </c>
      <c r="P6" s="286">
        <f t="shared" si="1"/>
        <v>107</v>
      </c>
      <c r="Q6" s="286" t="str">
        <f t="shared" si="2"/>
        <v>HL</v>
      </c>
      <c r="R6" s="286" t="str">
        <f t="shared" si="2"/>
        <v>HW</v>
      </c>
      <c r="S6" s="286" t="str">
        <f t="shared" si="2"/>
        <v>HL</v>
      </c>
      <c r="T6" s="286" t="str">
        <f t="shared" si="2"/>
        <v>HW</v>
      </c>
      <c r="U6" s="286" t="str">
        <f t="shared" si="3"/>
        <v>O</v>
      </c>
      <c r="V6" s="286" t="str">
        <f t="shared" si="3"/>
        <v>U</v>
      </c>
      <c r="W6" s="286" t="str">
        <f t="shared" si="3"/>
        <v>U</v>
      </c>
      <c r="X6" s="286" t="str">
        <f t="shared" si="3"/>
        <v>U</v>
      </c>
      <c r="Z6" s="286">
        <v>59.5</v>
      </c>
      <c r="AA6" s="286" t="str">
        <f t="shared" si="4"/>
        <v>WAS/BKN</v>
      </c>
    </row>
    <row r="7" spans="1:27" s="286" customFormat="1" x14ac:dyDescent="0.3">
      <c r="A7" s="286">
        <v>200202</v>
      </c>
      <c r="B7" s="287">
        <v>0.4375</v>
      </c>
      <c r="C7" s="286" t="s">
        <v>421</v>
      </c>
      <c r="D7" s="286" t="s">
        <v>401</v>
      </c>
      <c r="E7" s="286">
        <v>32</v>
      </c>
      <c r="F7" s="286">
        <v>27</v>
      </c>
      <c r="G7" s="286">
        <v>27</v>
      </c>
      <c r="H7" s="286">
        <v>30</v>
      </c>
      <c r="J7" s="286">
        <v>19</v>
      </c>
      <c r="K7" s="286">
        <v>32</v>
      </c>
      <c r="L7" s="286">
        <v>16</v>
      </c>
      <c r="M7" s="286">
        <v>28</v>
      </c>
      <c r="N7" s="286" t="s">
        <v>427</v>
      </c>
      <c r="O7" s="286">
        <f t="shared" si="0"/>
        <v>116</v>
      </c>
      <c r="P7" s="286">
        <f t="shared" si="1"/>
        <v>95</v>
      </c>
      <c r="Q7" s="286" t="str">
        <f t="shared" si="2"/>
        <v>HW</v>
      </c>
      <c r="R7" s="286" t="str">
        <f t="shared" si="2"/>
        <v>HL</v>
      </c>
      <c r="S7" s="286" t="str">
        <f t="shared" si="2"/>
        <v>HW</v>
      </c>
      <c r="T7" s="286" t="str">
        <f t="shared" si="2"/>
        <v>HW</v>
      </c>
      <c r="U7" s="286" t="str">
        <f t="shared" si="3"/>
        <v>U</v>
      </c>
      <c r="V7" s="286" t="str">
        <f t="shared" si="3"/>
        <v>O</v>
      </c>
      <c r="W7" s="286" t="str">
        <f t="shared" si="3"/>
        <v>U</v>
      </c>
      <c r="X7" s="286" t="str">
        <f t="shared" si="3"/>
        <v>O</v>
      </c>
      <c r="Z7" s="286">
        <v>55</v>
      </c>
      <c r="AA7" s="286" t="str">
        <f t="shared" si="4"/>
        <v>BOS/PHI</v>
      </c>
    </row>
    <row r="8" spans="1:27" s="286" customFormat="1" x14ac:dyDescent="0.3">
      <c r="A8" s="286">
        <v>200202</v>
      </c>
      <c r="B8" s="287">
        <v>0.4375</v>
      </c>
      <c r="C8" s="286" t="s">
        <v>397</v>
      </c>
      <c r="D8" s="286" t="s">
        <v>410</v>
      </c>
      <c r="E8" s="286">
        <v>36</v>
      </c>
      <c r="F8" s="286">
        <v>26</v>
      </c>
      <c r="G8" s="286">
        <v>35</v>
      </c>
      <c r="H8" s="286">
        <v>26</v>
      </c>
      <c r="J8" s="286">
        <v>26</v>
      </c>
      <c r="K8" s="286">
        <v>23</v>
      </c>
      <c r="L8" s="286">
        <v>23</v>
      </c>
      <c r="M8" s="286">
        <v>28</v>
      </c>
      <c r="N8" s="286" t="s">
        <v>427</v>
      </c>
      <c r="O8" s="286">
        <f t="shared" si="0"/>
        <v>123</v>
      </c>
      <c r="P8" s="286">
        <f t="shared" si="1"/>
        <v>100</v>
      </c>
      <c r="Q8" s="286" t="str">
        <f t="shared" si="2"/>
        <v>HW</v>
      </c>
      <c r="R8" s="286" t="str">
        <f t="shared" si="2"/>
        <v>HW</v>
      </c>
      <c r="S8" s="286" t="str">
        <f t="shared" si="2"/>
        <v>HW</v>
      </c>
      <c r="T8" s="286" t="str">
        <f t="shared" si="2"/>
        <v>HL</v>
      </c>
      <c r="U8" s="286" t="str">
        <f t="shared" si="3"/>
        <v>O</v>
      </c>
      <c r="V8" s="286" t="str">
        <f t="shared" si="3"/>
        <v>U</v>
      </c>
      <c r="W8" s="286" t="str">
        <f t="shared" si="3"/>
        <v>U</v>
      </c>
      <c r="X8" s="286" t="str">
        <f t="shared" si="3"/>
        <v>U</v>
      </c>
      <c r="Z8" s="286">
        <v>60.5</v>
      </c>
      <c r="AA8" s="286" t="str">
        <f t="shared" si="4"/>
        <v>DAL/ATL</v>
      </c>
    </row>
    <row r="9" spans="1:27" s="286" customFormat="1" x14ac:dyDescent="0.3">
      <c r="A9" s="286">
        <v>200202</v>
      </c>
      <c r="B9" s="287">
        <v>0.45833333333333331</v>
      </c>
      <c r="C9" s="286" t="s">
        <v>426</v>
      </c>
      <c r="D9" s="286" t="s">
        <v>409</v>
      </c>
      <c r="E9" s="286">
        <v>30</v>
      </c>
      <c r="F9" s="286">
        <v>20</v>
      </c>
      <c r="G9" s="286">
        <v>29</v>
      </c>
      <c r="H9" s="286">
        <v>35</v>
      </c>
      <c r="J9" s="286">
        <v>28</v>
      </c>
      <c r="K9" s="286">
        <v>35</v>
      </c>
      <c r="L9" s="286">
        <v>11</v>
      </c>
      <c r="M9" s="286">
        <v>16</v>
      </c>
      <c r="N9" s="286" t="s">
        <v>427</v>
      </c>
      <c r="O9" s="286">
        <f t="shared" si="0"/>
        <v>114</v>
      </c>
      <c r="P9" s="286">
        <f t="shared" si="1"/>
        <v>90</v>
      </c>
      <c r="Q9" s="286" t="str">
        <f t="shared" si="2"/>
        <v>HW</v>
      </c>
      <c r="R9" s="286" t="str">
        <f t="shared" si="2"/>
        <v>HL</v>
      </c>
      <c r="S9" s="286" t="str">
        <f t="shared" si="2"/>
        <v>HW</v>
      </c>
      <c r="T9" s="286" t="str">
        <f t="shared" si="2"/>
        <v>HW</v>
      </c>
      <c r="U9" s="286" t="str">
        <f t="shared" si="3"/>
        <v>O</v>
      </c>
      <c r="V9" s="286" t="str">
        <f t="shared" si="3"/>
        <v>T</v>
      </c>
      <c r="W9" s="286" t="str">
        <f t="shared" si="3"/>
        <v>U</v>
      </c>
      <c r="X9" s="286" t="str">
        <f t="shared" si="3"/>
        <v>U</v>
      </c>
      <c r="Z9" s="286">
        <v>55</v>
      </c>
      <c r="AA9" s="286" t="str">
        <f t="shared" si="4"/>
        <v>SAS/CHA</v>
      </c>
    </row>
    <row r="10" spans="1:27" s="286" customFormat="1" x14ac:dyDescent="0.3">
      <c r="A10" s="286">
        <v>200202</v>
      </c>
      <c r="B10" s="287">
        <v>0.5</v>
      </c>
      <c r="C10" s="286" t="s">
        <v>416</v>
      </c>
      <c r="D10" s="286" t="s">
        <v>419</v>
      </c>
      <c r="E10" s="286">
        <v>22</v>
      </c>
      <c r="F10" s="286">
        <v>42</v>
      </c>
      <c r="G10" s="286">
        <v>25</v>
      </c>
      <c r="H10" s="286">
        <v>24</v>
      </c>
      <c r="J10" s="286">
        <v>44</v>
      </c>
      <c r="K10" s="286">
        <v>37</v>
      </c>
      <c r="L10" s="286">
        <v>23</v>
      </c>
      <c r="M10" s="286">
        <v>25</v>
      </c>
      <c r="N10" s="286" t="s">
        <v>427</v>
      </c>
      <c r="O10" s="286">
        <f t="shared" si="0"/>
        <v>113</v>
      </c>
      <c r="P10" s="286">
        <f t="shared" si="1"/>
        <v>129</v>
      </c>
      <c r="Q10" s="286" t="str">
        <f t="shared" si="2"/>
        <v>HL</v>
      </c>
      <c r="R10" s="286" t="str">
        <f t="shared" si="2"/>
        <v>HW</v>
      </c>
      <c r="S10" s="286" t="str">
        <f t="shared" si="2"/>
        <v>HW</v>
      </c>
      <c r="T10" s="286" t="str">
        <f t="shared" si="2"/>
        <v>HL</v>
      </c>
      <c r="U10" s="286" t="str">
        <f t="shared" si="3"/>
        <v>O</v>
      </c>
      <c r="V10" s="286" t="str">
        <f t="shared" si="3"/>
        <v>O</v>
      </c>
      <c r="W10" s="286" t="str">
        <f t="shared" si="3"/>
        <v>U</v>
      </c>
      <c r="X10" s="286" t="str">
        <f t="shared" si="3"/>
        <v>U</v>
      </c>
      <c r="Z10" s="286">
        <v>57.5</v>
      </c>
      <c r="AA10" s="286" t="str">
        <f t="shared" si="4"/>
        <v>SAC/LAL</v>
      </c>
    </row>
    <row r="11" spans="1:27" s="286" customFormat="1" x14ac:dyDescent="0.3">
      <c r="A11" s="286">
        <v>200202</v>
      </c>
      <c r="B11" s="287">
        <v>0.52083333333333337</v>
      </c>
      <c r="C11" s="286" t="s">
        <v>417</v>
      </c>
      <c r="D11" s="286" t="s">
        <v>405</v>
      </c>
      <c r="E11" s="286">
        <v>33</v>
      </c>
      <c r="F11" s="286">
        <v>30</v>
      </c>
      <c r="G11" s="286">
        <v>31</v>
      </c>
      <c r="H11" s="286">
        <v>30</v>
      </c>
      <c r="J11" s="286">
        <v>34</v>
      </c>
      <c r="K11" s="286">
        <v>19</v>
      </c>
      <c r="L11" s="286">
        <v>30</v>
      </c>
      <c r="M11" s="286">
        <v>24</v>
      </c>
      <c r="N11" s="286" t="s">
        <v>427</v>
      </c>
      <c r="O11" s="286">
        <f t="shared" si="0"/>
        <v>124</v>
      </c>
      <c r="P11" s="286">
        <f t="shared" si="1"/>
        <v>107</v>
      </c>
      <c r="Q11" s="286" t="str">
        <f t="shared" si="2"/>
        <v>HL</v>
      </c>
      <c r="R11" s="286" t="str">
        <f t="shared" si="2"/>
        <v>HW</v>
      </c>
      <c r="S11" s="286" t="str">
        <f t="shared" si="2"/>
        <v>HW</v>
      </c>
      <c r="T11" s="286" t="str">
        <f t="shared" si="2"/>
        <v>HW</v>
      </c>
      <c r="U11" s="286" t="str">
        <f t="shared" si="3"/>
        <v>O</v>
      </c>
      <c r="V11" s="286" t="str">
        <f t="shared" si="3"/>
        <v>U</v>
      </c>
      <c r="W11" s="286" t="str">
        <f t="shared" si="3"/>
        <v>O</v>
      </c>
      <c r="X11" s="286" t="str">
        <f t="shared" si="3"/>
        <v>U</v>
      </c>
      <c r="Z11" s="286">
        <v>55</v>
      </c>
      <c r="AA11" s="286" t="str">
        <f t="shared" si="4"/>
        <v>POR/UTA</v>
      </c>
    </row>
    <row r="12" spans="1:27" s="286" customFormat="1" x14ac:dyDescent="0.3">
      <c r="A12" s="286">
        <v>200203</v>
      </c>
      <c r="B12" s="287">
        <v>0.10416666666666667</v>
      </c>
      <c r="C12" s="286" t="s">
        <v>422</v>
      </c>
      <c r="D12" s="286" t="s">
        <v>408</v>
      </c>
      <c r="E12" s="286">
        <v>30</v>
      </c>
      <c r="F12" s="286">
        <v>38</v>
      </c>
      <c r="G12" s="286">
        <v>22</v>
      </c>
      <c r="H12" s="286">
        <v>21</v>
      </c>
      <c r="I12" s="286">
        <v>17</v>
      </c>
      <c r="J12" s="286">
        <v>44</v>
      </c>
      <c r="K12" s="286">
        <v>21</v>
      </c>
      <c r="L12" s="286">
        <v>24</v>
      </c>
      <c r="M12" s="286">
        <v>22</v>
      </c>
      <c r="N12" s="286">
        <v>12</v>
      </c>
      <c r="O12" s="286">
        <f t="shared" si="0"/>
        <v>128</v>
      </c>
      <c r="P12" s="286">
        <f t="shared" si="1"/>
        <v>123</v>
      </c>
      <c r="Q12" s="286" t="str">
        <f t="shared" si="2"/>
        <v>HL</v>
      </c>
      <c r="R12" s="286" t="str">
        <f t="shared" si="2"/>
        <v>HW</v>
      </c>
      <c r="S12" s="286" t="str">
        <f t="shared" si="2"/>
        <v>HL</v>
      </c>
      <c r="T12" s="286" t="str">
        <f t="shared" si="2"/>
        <v>HL</v>
      </c>
      <c r="U12" s="286" t="str">
        <f t="shared" si="3"/>
        <v>O</v>
      </c>
      <c r="V12" s="286" t="str">
        <f t="shared" si="3"/>
        <v>O</v>
      </c>
      <c r="W12" s="286" t="str">
        <f t="shared" si="3"/>
        <v>U</v>
      </c>
      <c r="X12" s="286" t="str">
        <f t="shared" si="3"/>
        <v>U</v>
      </c>
      <c r="Z12" s="286">
        <v>54.5</v>
      </c>
      <c r="AA12" s="286" t="str">
        <f t="shared" si="4"/>
        <v>DET/DEN</v>
      </c>
    </row>
    <row r="13" spans="1:27" s="286" customFormat="1" x14ac:dyDescent="0.3">
      <c r="A13" s="286">
        <v>200203</v>
      </c>
      <c r="B13" s="287">
        <v>0.16666666666666666</v>
      </c>
      <c r="C13" s="286" t="s">
        <v>403</v>
      </c>
      <c r="D13" s="286" t="s">
        <v>398</v>
      </c>
      <c r="E13" s="286">
        <v>30</v>
      </c>
      <c r="F13" s="286">
        <v>35</v>
      </c>
      <c r="G13" s="286">
        <v>27</v>
      </c>
      <c r="H13" s="286">
        <v>25</v>
      </c>
      <c r="J13" s="286">
        <v>28</v>
      </c>
      <c r="K13" s="286">
        <v>32</v>
      </c>
      <c r="L13" s="286">
        <v>33</v>
      </c>
      <c r="M13" s="286">
        <v>16</v>
      </c>
      <c r="O13" s="286">
        <f t="shared" si="0"/>
        <v>117</v>
      </c>
      <c r="P13" s="286">
        <f t="shared" si="1"/>
        <v>109</v>
      </c>
      <c r="Q13" s="286" t="str">
        <f t="shared" si="2"/>
        <v>HW</v>
      </c>
      <c r="R13" s="286" t="str">
        <f t="shared" si="2"/>
        <v>HW</v>
      </c>
      <c r="S13" s="286" t="str">
        <f t="shared" si="2"/>
        <v>HL</v>
      </c>
      <c r="T13" s="286" t="str">
        <f t="shared" si="2"/>
        <v>HW</v>
      </c>
      <c r="U13" s="286" t="str">
        <f t="shared" si="3"/>
        <v>U</v>
      </c>
      <c r="V13" s="286" t="str">
        <f t="shared" si="3"/>
        <v>O</v>
      </c>
      <c r="W13" s="286" t="str">
        <f t="shared" si="3"/>
        <v>U</v>
      </c>
      <c r="X13" s="286" t="str">
        <f t="shared" si="3"/>
        <v>U</v>
      </c>
      <c r="Z13" s="286">
        <v>63.5</v>
      </c>
      <c r="AA13" s="286" t="str">
        <f t="shared" si="4"/>
        <v>HOU/NO</v>
      </c>
    </row>
    <row r="14" spans="1:27" s="286" customFormat="1" x14ac:dyDescent="0.3">
      <c r="A14" s="286">
        <v>200203</v>
      </c>
      <c r="B14" s="287">
        <v>0.16666666666666666</v>
      </c>
      <c r="C14" s="286" t="s">
        <v>423</v>
      </c>
      <c r="D14" s="286" t="s">
        <v>404</v>
      </c>
      <c r="E14" s="286">
        <v>30</v>
      </c>
      <c r="F14" s="286">
        <v>37</v>
      </c>
      <c r="G14" s="286">
        <v>30</v>
      </c>
      <c r="H14" s="286">
        <v>32</v>
      </c>
      <c r="J14" s="286">
        <v>26</v>
      </c>
      <c r="K14" s="286">
        <v>26</v>
      </c>
      <c r="L14" s="286">
        <v>28</v>
      </c>
      <c r="M14" s="286">
        <v>28</v>
      </c>
      <c r="O14" s="286">
        <f t="shared" si="0"/>
        <v>129</v>
      </c>
      <c r="P14" s="286">
        <f t="shared" si="1"/>
        <v>108</v>
      </c>
      <c r="Q14" s="286" t="str">
        <f t="shared" si="2"/>
        <v>HW</v>
      </c>
      <c r="R14" s="286" t="str">
        <f t="shared" si="2"/>
        <v>HW</v>
      </c>
      <c r="S14" s="286" t="str">
        <f t="shared" si="2"/>
        <v>HW</v>
      </c>
      <c r="T14" s="286" t="str">
        <f t="shared" si="2"/>
        <v>HW</v>
      </c>
      <c r="U14" s="286" t="str">
        <f t="shared" si="3"/>
        <v>U</v>
      </c>
      <c r="V14" s="286" t="str">
        <f t="shared" si="3"/>
        <v>O</v>
      </c>
      <c r="W14" s="286" t="str">
        <f t="shared" si="3"/>
        <v>O</v>
      </c>
      <c r="X14" s="286" t="str">
        <f t="shared" si="3"/>
        <v>O</v>
      </c>
      <c r="Z14" s="286">
        <v>56.5</v>
      </c>
      <c r="AA14" s="286" t="str">
        <f t="shared" si="4"/>
        <v>MIL/PHO</v>
      </c>
    </row>
    <row r="15" spans="1:27" s="286" customFormat="1" x14ac:dyDescent="0.3">
      <c r="A15" s="286">
        <v>200203</v>
      </c>
      <c r="B15" s="287">
        <v>0.20833333333333334</v>
      </c>
      <c r="C15" s="286" t="s">
        <v>413</v>
      </c>
      <c r="D15" s="286" t="s">
        <v>412</v>
      </c>
      <c r="E15" s="286">
        <v>32</v>
      </c>
      <c r="F15" s="286">
        <v>28</v>
      </c>
      <c r="G15" s="286">
        <v>35</v>
      </c>
      <c r="H15" s="286">
        <v>34</v>
      </c>
      <c r="J15" s="286">
        <v>29</v>
      </c>
      <c r="K15" s="286">
        <v>34</v>
      </c>
      <c r="L15" s="286">
        <v>22</v>
      </c>
      <c r="M15" s="286">
        <v>17</v>
      </c>
      <c r="O15" s="286">
        <f t="shared" si="0"/>
        <v>129</v>
      </c>
      <c r="P15" s="286">
        <f t="shared" si="1"/>
        <v>102</v>
      </c>
      <c r="Q15" s="286" t="str">
        <f t="shared" si="2"/>
        <v>HW</v>
      </c>
      <c r="R15" s="286" t="str">
        <f t="shared" si="2"/>
        <v>HL</v>
      </c>
      <c r="S15" s="286" t="str">
        <f t="shared" si="2"/>
        <v>HW</v>
      </c>
      <c r="T15" s="286" t="str">
        <f t="shared" si="2"/>
        <v>HW</v>
      </c>
      <c r="U15" s="286" t="str">
        <f t="shared" si="3"/>
        <v>O</v>
      </c>
      <c r="V15" s="286" t="str">
        <f t="shared" si="3"/>
        <v>O</v>
      </c>
      <c r="W15" s="286" t="str">
        <f t="shared" si="3"/>
        <v>O</v>
      </c>
      <c r="X15" s="286" t="str">
        <f t="shared" si="3"/>
        <v>U</v>
      </c>
      <c r="Z15" s="286">
        <v>55.5</v>
      </c>
      <c r="AA15" s="286" t="str">
        <f t="shared" si="4"/>
        <v>TOR/CHI</v>
      </c>
    </row>
    <row r="16" spans="1:27" s="286" customFormat="1" x14ac:dyDescent="0.3">
      <c r="A16" s="286">
        <v>200204</v>
      </c>
      <c r="B16" s="287">
        <v>0.375</v>
      </c>
      <c r="C16" s="286" t="s">
        <v>402</v>
      </c>
      <c r="D16" s="286" t="s">
        <v>399</v>
      </c>
      <c r="E16" s="286">
        <v>37</v>
      </c>
      <c r="F16" s="286">
        <v>25</v>
      </c>
      <c r="G16" s="286">
        <v>38</v>
      </c>
      <c r="H16" s="286">
        <v>27</v>
      </c>
      <c r="I16" s="286">
        <v>7</v>
      </c>
      <c r="J16" s="286">
        <v>33</v>
      </c>
      <c r="K16" s="286">
        <v>30</v>
      </c>
      <c r="L16" s="286">
        <v>32</v>
      </c>
      <c r="M16" s="286">
        <v>32</v>
      </c>
      <c r="N16" s="286">
        <v>12</v>
      </c>
      <c r="O16" s="286">
        <f t="shared" si="0"/>
        <v>134</v>
      </c>
      <c r="P16" s="286">
        <f t="shared" si="1"/>
        <v>139</v>
      </c>
      <c r="Q16" s="286" t="str">
        <f t="shared" si="2"/>
        <v>HW</v>
      </c>
      <c r="R16" s="286" t="str">
        <f t="shared" si="2"/>
        <v>HL</v>
      </c>
      <c r="S16" s="286" t="str">
        <f t="shared" si="2"/>
        <v>HW</v>
      </c>
      <c r="T16" s="286" t="str">
        <f t="shared" si="2"/>
        <v>HL</v>
      </c>
      <c r="U16" s="286" t="str">
        <f t="shared" si="3"/>
        <v>O</v>
      </c>
      <c r="V16" s="286" t="str">
        <f t="shared" si="3"/>
        <v>U</v>
      </c>
      <c r="W16" s="286" t="str">
        <f t="shared" si="3"/>
        <v>O</v>
      </c>
      <c r="X16" s="286" t="str">
        <f t="shared" si="3"/>
        <v>O</v>
      </c>
      <c r="Z16" s="286">
        <v>55.5</v>
      </c>
      <c r="AA16" s="286" t="str">
        <f t="shared" si="4"/>
        <v>CLE/NYK</v>
      </c>
    </row>
    <row r="17" spans="1:27" s="286" customFormat="1" x14ac:dyDescent="0.3">
      <c r="A17" s="286">
        <v>200204</v>
      </c>
      <c r="B17" s="287">
        <v>0.375</v>
      </c>
      <c r="C17" s="286" t="s">
        <v>400</v>
      </c>
      <c r="D17" s="286" t="s">
        <v>397</v>
      </c>
      <c r="E17" s="286">
        <v>22</v>
      </c>
      <c r="F17" s="286">
        <v>33</v>
      </c>
      <c r="G17" s="286">
        <v>22</v>
      </c>
      <c r="H17" s="286">
        <v>26</v>
      </c>
      <c r="J17" s="286">
        <v>25</v>
      </c>
      <c r="K17" s="286">
        <v>28</v>
      </c>
      <c r="L17" s="286">
        <v>29</v>
      </c>
      <c r="M17" s="286">
        <v>30</v>
      </c>
      <c r="O17" s="286">
        <f t="shared" si="0"/>
        <v>103</v>
      </c>
      <c r="P17" s="286">
        <f t="shared" si="1"/>
        <v>112</v>
      </c>
      <c r="Q17" s="286" t="str">
        <f t="shared" si="2"/>
        <v>HL</v>
      </c>
      <c r="R17" s="286" t="str">
        <f t="shared" si="2"/>
        <v>HW</v>
      </c>
      <c r="S17" s="286" t="str">
        <f t="shared" si="2"/>
        <v>HL</v>
      </c>
      <c r="T17" s="286" t="str">
        <f t="shared" si="2"/>
        <v>HL</v>
      </c>
      <c r="U17" s="286" t="str">
        <f t="shared" si="3"/>
        <v>U</v>
      </c>
      <c r="V17" s="286" t="str">
        <f t="shared" si="3"/>
        <v>O</v>
      </c>
      <c r="W17" s="286" t="str">
        <f t="shared" si="3"/>
        <v>U</v>
      </c>
      <c r="X17" s="286" t="str">
        <f t="shared" si="3"/>
        <v>O</v>
      </c>
      <c r="Z17" s="286">
        <v>55</v>
      </c>
      <c r="AA17" s="286" t="str">
        <f t="shared" si="4"/>
        <v>IND/DAL</v>
      </c>
    </row>
    <row r="18" spans="1:27" s="286" customFormat="1" x14ac:dyDescent="0.3">
      <c r="A18" s="286">
        <v>200204</v>
      </c>
      <c r="B18" s="287">
        <v>0.375</v>
      </c>
      <c r="C18" s="286" t="s">
        <v>414</v>
      </c>
      <c r="D18" s="286" t="s">
        <v>425</v>
      </c>
      <c r="E18" s="286">
        <v>36</v>
      </c>
      <c r="F18" s="286">
        <v>27</v>
      </c>
      <c r="G18" s="286">
        <v>23</v>
      </c>
      <c r="H18" s="286">
        <v>31</v>
      </c>
      <c r="J18" s="286">
        <v>40</v>
      </c>
      <c r="K18" s="286">
        <v>32</v>
      </c>
      <c r="L18" s="286">
        <v>27</v>
      </c>
      <c r="M18" s="286">
        <v>26</v>
      </c>
      <c r="O18" s="286">
        <f t="shared" si="0"/>
        <v>117</v>
      </c>
      <c r="P18" s="286">
        <f t="shared" si="1"/>
        <v>125</v>
      </c>
      <c r="Q18" s="286" t="str">
        <f t="shared" si="2"/>
        <v>HL</v>
      </c>
      <c r="R18" s="286" t="str">
        <f t="shared" si="2"/>
        <v>HL</v>
      </c>
      <c r="S18" s="286" t="str">
        <f t="shared" si="2"/>
        <v>HL</v>
      </c>
      <c r="T18" s="286" t="str">
        <f t="shared" si="2"/>
        <v>HW</v>
      </c>
      <c r="U18" s="286" t="str">
        <f t="shared" si="3"/>
        <v>O</v>
      </c>
      <c r="V18" s="286" t="str">
        <f t="shared" si="3"/>
        <v>U</v>
      </c>
      <c r="W18" s="286" t="str">
        <f t="shared" si="3"/>
        <v>U</v>
      </c>
      <c r="X18" s="286" t="str">
        <f t="shared" si="3"/>
        <v>U</v>
      </c>
      <c r="Z18" s="286">
        <v>60.5</v>
      </c>
      <c r="AA18" s="286" t="str">
        <f t="shared" si="4"/>
        <v>WAS/GS</v>
      </c>
    </row>
    <row r="19" spans="1:27" s="286" customFormat="1" x14ac:dyDescent="0.3">
      <c r="A19" s="286">
        <v>200204</v>
      </c>
      <c r="B19" s="287">
        <v>0.375</v>
      </c>
      <c r="C19" s="286" t="s">
        <v>409</v>
      </c>
      <c r="D19" s="286" t="s">
        <v>424</v>
      </c>
      <c r="E19" s="286">
        <v>24</v>
      </c>
      <c r="F19" s="286">
        <v>30</v>
      </c>
      <c r="G19" s="286">
        <v>23</v>
      </c>
      <c r="H19" s="286">
        <v>23</v>
      </c>
      <c r="J19" s="286">
        <v>25</v>
      </c>
      <c r="K19" s="286">
        <v>31</v>
      </c>
      <c r="L19" s="286">
        <v>29</v>
      </c>
      <c r="M19" s="286">
        <v>27</v>
      </c>
      <c r="O19" s="286">
        <f t="shared" si="0"/>
        <v>100</v>
      </c>
      <c r="P19" s="286">
        <f t="shared" si="1"/>
        <v>112</v>
      </c>
      <c r="Q19" s="286" t="str">
        <f t="shared" si="2"/>
        <v>HL</v>
      </c>
      <c r="R19" s="286" t="str">
        <f t="shared" si="2"/>
        <v>HL</v>
      </c>
      <c r="S19" s="286" t="str">
        <f t="shared" si="2"/>
        <v>HL</v>
      </c>
      <c r="T19" s="286" t="str">
        <f t="shared" si="2"/>
        <v>HL</v>
      </c>
      <c r="U19" s="286" t="str">
        <f t="shared" si="3"/>
        <v>U</v>
      </c>
      <c r="V19" s="286" t="str">
        <f t="shared" si="3"/>
        <v>O</v>
      </c>
      <c r="W19" s="286" t="str">
        <f t="shared" si="3"/>
        <v>T</v>
      </c>
      <c r="X19" s="286" t="str">
        <f t="shared" si="3"/>
        <v>U</v>
      </c>
      <c r="Z19" s="286">
        <v>52</v>
      </c>
      <c r="AA19" s="286" t="str">
        <f t="shared" si="4"/>
        <v>CHA/ORL</v>
      </c>
    </row>
    <row r="20" spans="1:27" s="286" customFormat="1" x14ac:dyDescent="0.3">
      <c r="A20" s="286">
        <v>200204</v>
      </c>
      <c r="B20" s="287">
        <v>0.39583333333333331</v>
      </c>
      <c r="C20" s="286" t="s">
        <v>410</v>
      </c>
      <c r="D20" s="286" t="s">
        <v>421</v>
      </c>
      <c r="E20" s="286">
        <v>34</v>
      </c>
      <c r="F20" s="286">
        <v>28</v>
      </c>
      <c r="G20" s="286">
        <v>22</v>
      </c>
      <c r="H20" s="286">
        <v>31</v>
      </c>
      <c r="J20" s="286">
        <v>28</v>
      </c>
      <c r="K20" s="286">
        <v>32</v>
      </c>
      <c r="L20" s="286">
        <v>35</v>
      </c>
      <c r="M20" s="286">
        <v>28</v>
      </c>
      <c r="O20" s="286">
        <f t="shared" si="0"/>
        <v>115</v>
      </c>
      <c r="P20" s="286">
        <f t="shared" si="1"/>
        <v>123</v>
      </c>
      <c r="Q20" s="286" t="str">
        <f t="shared" si="2"/>
        <v>HW</v>
      </c>
      <c r="R20" s="286" t="str">
        <f t="shared" si="2"/>
        <v>HL</v>
      </c>
      <c r="S20" s="286" t="str">
        <f t="shared" si="2"/>
        <v>HL</v>
      </c>
      <c r="T20" s="286" t="str">
        <f t="shared" si="2"/>
        <v>HW</v>
      </c>
      <c r="U20" s="286" t="str">
        <f t="shared" si="3"/>
        <v>O</v>
      </c>
      <c r="V20" s="286" t="str">
        <f t="shared" si="3"/>
        <v>O</v>
      </c>
      <c r="W20" s="286" t="str">
        <f t="shared" si="3"/>
        <v>O</v>
      </c>
      <c r="X20" s="286" t="str">
        <f t="shared" si="3"/>
        <v>O</v>
      </c>
      <c r="Z20" s="286">
        <v>56</v>
      </c>
      <c r="AA20" s="286" t="str">
        <f t="shared" si="4"/>
        <v>ATL/BOS</v>
      </c>
    </row>
    <row r="21" spans="1:27" s="286" customFormat="1" x14ac:dyDescent="0.3">
      <c r="A21" s="286">
        <v>200204</v>
      </c>
      <c r="B21" s="287">
        <v>0.39583333333333331</v>
      </c>
      <c r="C21" s="286" t="s">
        <v>411</v>
      </c>
      <c r="D21" s="286" t="s">
        <v>401</v>
      </c>
      <c r="E21" s="286">
        <v>30</v>
      </c>
      <c r="F21" s="286">
        <v>26</v>
      </c>
      <c r="G21" s="286">
        <v>41</v>
      </c>
      <c r="H21" s="286">
        <v>40</v>
      </c>
      <c r="J21" s="286">
        <v>26</v>
      </c>
      <c r="K21" s="286">
        <v>26</v>
      </c>
      <c r="L21" s="286">
        <v>25</v>
      </c>
      <c r="M21" s="286">
        <v>29</v>
      </c>
      <c r="O21" s="286">
        <f t="shared" si="0"/>
        <v>137</v>
      </c>
      <c r="P21" s="286">
        <f t="shared" si="1"/>
        <v>106</v>
      </c>
      <c r="Q21" s="286" t="str">
        <f t="shared" si="2"/>
        <v>HW</v>
      </c>
      <c r="R21" s="286" t="str">
        <f t="shared" si="2"/>
        <v>TT</v>
      </c>
      <c r="S21" s="286" t="str">
        <f t="shared" si="2"/>
        <v>HW</v>
      </c>
      <c r="T21" s="286" t="str">
        <f t="shared" si="2"/>
        <v>HW</v>
      </c>
      <c r="U21" s="286" t="str">
        <f t="shared" si="3"/>
        <v>O</v>
      </c>
      <c r="V21" s="286" t="str">
        <f t="shared" si="3"/>
        <v>U</v>
      </c>
      <c r="W21" s="286" t="str">
        <f t="shared" si="3"/>
        <v>O</v>
      </c>
      <c r="X21" s="286" t="str">
        <f t="shared" si="3"/>
        <v>O</v>
      </c>
      <c r="Z21" s="286">
        <v>54.5</v>
      </c>
      <c r="AA21" s="286" t="str">
        <f t="shared" si="4"/>
        <v>MIA/PHI</v>
      </c>
    </row>
    <row r="22" spans="1:27" s="286" customFormat="1" x14ac:dyDescent="0.3">
      <c r="A22" s="286">
        <v>200204</v>
      </c>
      <c r="B22" s="287">
        <v>0.39583333333333331</v>
      </c>
      <c r="C22" s="286" t="s">
        <v>407</v>
      </c>
      <c r="D22" s="286" t="s">
        <v>404</v>
      </c>
      <c r="E22" s="286">
        <v>35</v>
      </c>
      <c r="F22" s="286">
        <v>20</v>
      </c>
      <c r="G22" s="286">
        <v>35</v>
      </c>
      <c r="H22" s="286">
        <v>29</v>
      </c>
      <c r="J22" s="286">
        <v>31</v>
      </c>
      <c r="K22" s="286">
        <v>21</v>
      </c>
      <c r="L22" s="286">
        <v>21</v>
      </c>
      <c r="M22" s="286">
        <v>24</v>
      </c>
      <c r="O22" s="286">
        <f t="shared" si="0"/>
        <v>119</v>
      </c>
      <c r="P22" s="286">
        <f t="shared" si="1"/>
        <v>97</v>
      </c>
      <c r="Q22" s="286" t="str">
        <f t="shared" si="2"/>
        <v>HW</v>
      </c>
      <c r="R22" s="286" t="str">
        <f t="shared" si="2"/>
        <v>HL</v>
      </c>
      <c r="S22" s="286" t="str">
        <f t="shared" si="2"/>
        <v>HW</v>
      </c>
      <c r="T22" s="286" t="str">
        <f t="shared" si="2"/>
        <v>HW</v>
      </c>
      <c r="U22" s="286" t="str">
        <f t="shared" si="3"/>
        <v>O</v>
      </c>
      <c r="V22" s="286" t="str">
        <f t="shared" si="3"/>
        <v>U</v>
      </c>
      <c r="W22" s="286" t="str">
        <f t="shared" si="3"/>
        <v>O</v>
      </c>
      <c r="X22" s="286" t="str">
        <f t="shared" si="3"/>
        <v>U</v>
      </c>
      <c r="Z22" s="286">
        <v>54.5</v>
      </c>
      <c r="AA22" s="286" t="str">
        <f t="shared" si="4"/>
        <v>BKN/PHO</v>
      </c>
    </row>
    <row r="23" spans="1:27" s="286" customFormat="1" x14ac:dyDescent="0.3">
      <c r="A23" s="286">
        <v>200204</v>
      </c>
      <c r="B23" s="287">
        <v>0.41666666666666669</v>
      </c>
      <c r="C23" s="286" t="s">
        <v>406</v>
      </c>
      <c r="D23" s="286" t="s">
        <v>422</v>
      </c>
      <c r="E23" s="286">
        <v>36</v>
      </c>
      <c r="F23" s="286">
        <v>17</v>
      </c>
      <c r="G23" s="286">
        <v>19</v>
      </c>
      <c r="H23" s="286">
        <v>24</v>
      </c>
      <c r="J23" s="286">
        <v>32</v>
      </c>
      <c r="K23" s="286">
        <v>21</v>
      </c>
      <c r="L23" s="286">
        <v>10</v>
      </c>
      <c r="M23" s="286">
        <v>19</v>
      </c>
      <c r="O23" s="286">
        <f t="shared" si="0"/>
        <v>96</v>
      </c>
      <c r="P23" s="286">
        <f t="shared" si="1"/>
        <v>82</v>
      </c>
      <c r="Q23" s="286" t="str">
        <f t="shared" si="2"/>
        <v>HW</v>
      </c>
      <c r="R23" s="286" t="str">
        <f t="shared" si="2"/>
        <v>HL</v>
      </c>
      <c r="S23" s="286" t="str">
        <f t="shared" si="2"/>
        <v>HW</v>
      </c>
      <c r="T23" s="286" t="str">
        <f t="shared" si="2"/>
        <v>HW</v>
      </c>
      <c r="U23" s="286" t="str">
        <f t="shared" si="3"/>
        <v>O</v>
      </c>
      <c r="V23" s="286" t="str">
        <f t="shared" si="3"/>
        <v>U</v>
      </c>
      <c r="W23" s="286" t="str">
        <f t="shared" si="3"/>
        <v>U</v>
      </c>
      <c r="X23" s="286" t="str">
        <f t="shared" si="3"/>
        <v>U</v>
      </c>
      <c r="Z23" s="286">
        <v>57.5</v>
      </c>
      <c r="AA23" s="286" t="str">
        <f t="shared" si="4"/>
        <v>MEM/DET</v>
      </c>
    </row>
    <row r="24" spans="1:27" s="286" customFormat="1" x14ac:dyDescent="0.3">
      <c r="A24" s="286">
        <v>200204</v>
      </c>
      <c r="B24" s="287">
        <v>0.5</v>
      </c>
      <c r="C24" s="286" t="s">
        <v>416</v>
      </c>
      <c r="D24" s="286" t="s">
        <v>420</v>
      </c>
      <c r="E24" s="286">
        <v>29</v>
      </c>
      <c r="F24" s="286">
        <v>36</v>
      </c>
      <c r="G24" s="286">
        <v>28</v>
      </c>
      <c r="H24" s="286">
        <v>20</v>
      </c>
      <c r="J24" s="286">
        <v>20</v>
      </c>
      <c r="K24" s="286">
        <v>30</v>
      </c>
      <c r="L24" s="286">
        <v>34</v>
      </c>
      <c r="M24" s="286">
        <v>25</v>
      </c>
      <c r="O24" s="286">
        <f t="shared" si="0"/>
        <v>113</v>
      </c>
      <c r="P24" s="286">
        <f t="shared" si="1"/>
        <v>109</v>
      </c>
      <c r="Q24" s="286" t="str">
        <f t="shared" si="2"/>
        <v>HW</v>
      </c>
      <c r="R24" s="286" t="str">
        <f t="shared" si="2"/>
        <v>HW</v>
      </c>
      <c r="S24" s="286" t="str">
        <f t="shared" si="2"/>
        <v>HL</v>
      </c>
      <c r="T24" s="286" t="str">
        <f t="shared" si="2"/>
        <v>HL</v>
      </c>
      <c r="U24" s="286" t="str">
        <f t="shared" si="3"/>
        <v>U</v>
      </c>
      <c r="V24" s="286" t="str">
        <f t="shared" si="3"/>
        <v>O</v>
      </c>
      <c r="W24" s="286" t="str">
        <f t="shared" si="3"/>
        <v>O</v>
      </c>
      <c r="X24" s="286" t="str">
        <f t="shared" si="3"/>
        <v>U</v>
      </c>
      <c r="Z24" s="286">
        <v>57.5</v>
      </c>
      <c r="AA24" s="286" t="str">
        <f t="shared" si="4"/>
        <v>SAC/MIN</v>
      </c>
    </row>
    <row r="25" spans="1:27" s="286" customFormat="1" x14ac:dyDescent="0.3">
      <c r="A25" s="286">
        <v>200204</v>
      </c>
      <c r="B25" s="287">
        <v>0.52083333333333337</v>
      </c>
      <c r="C25" s="286" t="s">
        <v>415</v>
      </c>
      <c r="D25" s="286" t="s">
        <v>426</v>
      </c>
      <c r="E25" s="286">
        <v>29</v>
      </c>
      <c r="F25" s="286">
        <v>25</v>
      </c>
      <c r="G25" s="286">
        <v>31</v>
      </c>
      <c r="H25" s="286">
        <v>23</v>
      </c>
      <c r="J25" s="286">
        <v>39</v>
      </c>
      <c r="K25" s="286">
        <v>24</v>
      </c>
      <c r="L25" s="286">
        <v>19</v>
      </c>
      <c r="M25" s="286">
        <v>23</v>
      </c>
      <c r="O25" s="286">
        <f t="shared" si="0"/>
        <v>108</v>
      </c>
      <c r="P25" s="286">
        <f t="shared" si="1"/>
        <v>105</v>
      </c>
      <c r="Q25" s="286" t="str">
        <f t="shared" si="2"/>
        <v>HL</v>
      </c>
      <c r="R25" s="286" t="str">
        <f t="shared" si="2"/>
        <v>HW</v>
      </c>
      <c r="S25" s="286" t="str">
        <f t="shared" si="2"/>
        <v>HW</v>
      </c>
      <c r="T25" s="286" t="str">
        <f t="shared" si="2"/>
        <v>TT</v>
      </c>
      <c r="U25" s="286" t="str">
        <f t="shared" si="3"/>
        <v>O</v>
      </c>
      <c r="V25" s="286" t="str">
        <f t="shared" si="3"/>
        <v>U</v>
      </c>
      <c r="W25" s="286" t="str">
        <f t="shared" si="3"/>
        <v>U</v>
      </c>
      <c r="X25" s="286" t="str">
        <f t="shared" si="3"/>
        <v>U</v>
      </c>
      <c r="Z25" s="286">
        <v>56</v>
      </c>
      <c r="AA25" s="286" t="str">
        <f t="shared" si="4"/>
        <v>LAC/SAS</v>
      </c>
    </row>
    <row r="26" spans="1:27" s="286" customFormat="1" x14ac:dyDescent="0.3">
      <c r="A26" s="286">
        <v>200205</v>
      </c>
      <c r="B26" s="287">
        <v>0.39583333333333331</v>
      </c>
      <c r="C26" s="286" t="s">
        <v>398</v>
      </c>
      <c r="D26" s="286" t="s">
        <v>423</v>
      </c>
      <c r="E26" s="286">
        <v>33</v>
      </c>
      <c r="F26" s="286">
        <v>28</v>
      </c>
      <c r="G26" s="286">
        <v>24</v>
      </c>
      <c r="H26" s="286">
        <v>23</v>
      </c>
      <c r="J26" s="286">
        <v>26</v>
      </c>
      <c r="K26" s="286">
        <v>32</v>
      </c>
      <c r="L26" s="286">
        <v>42</v>
      </c>
      <c r="M26" s="286">
        <v>20</v>
      </c>
      <c r="O26" s="286">
        <f t="shared" si="0"/>
        <v>108</v>
      </c>
      <c r="P26" s="286">
        <f t="shared" si="1"/>
        <v>120</v>
      </c>
      <c r="Q26" s="286" t="str">
        <f t="shared" si="2"/>
        <v>HW</v>
      </c>
      <c r="R26" s="286" t="str">
        <f t="shared" si="2"/>
        <v>HL</v>
      </c>
      <c r="S26" s="286" t="str">
        <f t="shared" si="2"/>
        <v>HL</v>
      </c>
      <c r="T26" s="286" t="str">
        <f t="shared" si="2"/>
        <v>HW</v>
      </c>
      <c r="U26" s="286" t="str">
        <f t="shared" si="3"/>
        <v>U</v>
      </c>
      <c r="V26" s="286" t="str">
        <f t="shared" si="3"/>
        <v>U</v>
      </c>
      <c r="W26" s="286" t="str">
        <f t="shared" si="3"/>
        <v>O</v>
      </c>
      <c r="X26" s="286" t="str">
        <f t="shared" si="3"/>
        <v>U</v>
      </c>
      <c r="Z26" s="286">
        <v>60.5</v>
      </c>
      <c r="AA26" s="286" t="str">
        <f t="shared" si="4"/>
        <v>NO/MIL</v>
      </c>
    </row>
    <row r="27" spans="1:27" s="286" customFormat="1" x14ac:dyDescent="0.3">
      <c r="A27" s="286">
        <v>200205</v>
      </c>
      <c r="B27" s="287">
        <v>0.41666666666666669</v>
      </c>
      <c r="C27" s="286" t="s">
        <v>403</v>
      </c>
      <c r="D27" s="286" t="s">
        <v>409</v>
      </c>
      <c r="E27" s="286">
        <v>22</v>
      </c>
      <c r="F27" s="286">
        <v>40</v>
      </c>
      <c r="G27" s="286">
        <v>30</v>
      </c>
      <c r="H27" s="286">
        <v>33</v>
      </c>
      <c r="J27" s="286">
        <v>34</v>
      </c>
      <c r="K27" s="286">
        <v>29</v>
      </c>
      <c r="L27" s="286">
        <v>25</v>
      </c>
      <c r="M27" s="286">
        <v>22</v>
      </c>
      <c r="O27" s="286">
        <f t="shared" si="0"/>
        <v>125</v>
      </c>
      <c r="P27" s="286">
        <f t="shared" si="1"/>
        <v>110</v>
      </c>
      <c r="Q27" s="286" t="str">
        <f t="shared" si="2"/>
        <v>HL</v>
      </c>
      <c r="R27" s="286" t="str">
        <f t="shared" si="2"/>
        <v>HW</v>
      </c>
      <c r="S27" s="286" t="str">
        <f t="shared" si="2"/>
        <v>HW</v>
      </c>
      <c r="T27" s="286" t="str">
        <f t="shared" si="2"/>
        <v>HW</v>
      </c>
      <c r="U27" s="286" t="str">
        <f t="shared" si="3"/>
        <v>U</v>
      </c>
      <c r="V27" s="286" t="str">
        <f t="shared" si="3"/>
        <v>O</v>
      </c>
      <c r="W27" s="286" t="str">
        <f t="shared" si="3"/>
        <v>U</v>
      </c>
      <c r="X27" s="286" t="str">
        <f t="shared" si="3"/>
        <v>U</v>
      </c>
      <c r="Z27" s="286">
        <v>57.5</v>
      </c>
      <c r="AA27" s="286" t="str">
        <f t="shared" si="4"/>
        <v>HOU/CHA</v>
      </c>
    </row>
    <row r="28" spans="1:27" s="286" customFormat="1" x14ac:dyDescent="0.3">
      <c r="A28" s="286">
        <v>200205</v>
      </c>
      <c r="B28" s="287">
        <v>0.45833333333333331</v>
      </c>
      <c r="C28" s="286" t="s">
        <v>408</v>
      </c>
      <c r="D28" s="286" t="s">
        <v>417</v>
      </c>
      <c r="E28" s="286">
        <v>37</v>
      </c>
      <c r="F28" s="286">
        <v>27</v>
      </c>
      <c r="G28" s="286">
        <v>36</v>
      </c>
      <c r="H28" s="286">
        <v>27</v>
      </c>
      <c r="J28" s="286">
        <v>28</v>
      </c>
      <c r="K28" s="286">
        <v>10</v>
      </c>
      <c r="L28" s="286">
        <v>36</v>
      </c>
      <c r="M28" s="286">
        <v>25</v>
      </c>
      <c r="O28" s="286">
        <f t="shared" si="0"/>
        <v>127</v>
      </c>
      <c r="P28" s="286">
        <f t="shared" si="1"/>
        <v>99</v>
      </c>
      <c r="Q28" s="286" t="str">
        <f t="shared" si="2"/>
        <v>HW</v>
      </c>
      <c r="R28" s="286" t="str">
        <f t="shared" si="2"/>
        <v>HW</v>
      </c>
      <c r="S28" s="286" t="str">
        <f t="shared" si="2"/>
        <v>TT</v>
      </c>
      <c r="T28" s="286" t="str">
        <f t="shared" si="2"/>
        <v>HW</v>
      </c>
      <c r="U28" s="286" t="str">
        <f t="shared" si="3"/>
        <v>O</v>
      </c>
      <c r="V28" s="286" t="str">
        <f t="shared" si="3"/>
        <v>U</v>
      </c>
      <c r="W28" s="286" t="str">
        <f t="shared" si="3"/>
        <v>O</v>
      </c>
      <c r="X28" s="286" t="str">
        <f t="shared" si="3"/>
        <v>U</v>
      </c>
      <c r="Z28" s="286">
        <v>58</v>
      </c>
      <c r="AA28" s="286" t="str">
        <f t="shared" si="4"/>
        <v>DEN/POR</v>
      </c>
    </row>
    <row r="29" spans="1:27" s="286" customFormat="1" x14ac:dyDescent="0.3">
      <c r="A29" s="286">
        <v>200205</v>
      </c>
      <c r="B29" s="287">
        <v>0.5</v>
      </c>
      <c r="C29" s="286" t="s">
        <v>419</v>
      </c>
      <c r="D29" s="286" t="s">
        <v>426</v>
      </c>
      <c r="E29" s="286">
        <v>21</v>
      </c>
      <c r="F29" s="286">
        <v>30</v>
      </c>
      <c r="G29" s="286">
        <v>36</v>
      </c>
      <c r="H29" s="286">
        <v>42</v>
      </c>
      <c r="J29" s="286">
        <v>19</v>
      </c>
      <c r="K29" s="286">
        <v>22</v>
      </c>
      <c r="L29" s="286">
        <v>33</v>
      </c>
      <c r="M29" s="286">
        <v>28</v>
      </c>
      <c r="O29" s="286">
        <f t="shared" si="0"/>
        <v>129</v>
      </c>
      <c r="P29" s="286">
        <f t="shared" si="1"/>
        <v>102</v>
      </c>
      <c r="Q29" s="286" t="str">
        <f t="shared" si="2"/>
        <v>HW</v>
      </c>
      <c r="R29" s="286" t="str">
        <f t="shared" si="2"/>
        <v>HW</v>
      </c>
      <c r="S29" s="286" t="str">
        <f t="shared" si="2"/>
        <v>HW</v>
      </c>
      <c r="T29" s="286" t="str">
        <f t="shared" si="2"/>
        <v>HW</v>
      </c>
      <c r="U29" s="286" t="str">
        <f t="shared" si="3"/>
        <v>U</v>
      </c>
      <c r="V29" s="286" t="str">
        <f t="shared" si="3"/>
        <v>U</v>
      </c>
      <c r="W29" s="286" t="str">
        <f t="shared" si="3"/>
        <v>O</v>
      </c>
      <c r="X29" s="286" t="str">
        <f t="shared" si="3"/>
        <v>O</v>
      </c>
      <c r="Z29" s="286">
        <v>55.5</v>
      </c>
      <c r="AA29" s="286" t="str">
        <f t="shared" si="4"/>
        <v>LAL/SAS</v>
      </c>
    </row>
    <row r="30" spans="1:27" s="286" customFormat="1" x14ac:dyDescent="0.3">
      <c r="A30" s="286">
        <v>200206</v>
      </c>
      <c r="B30" s="287">
        <v>0.375</v>
      </c>
      <c r="C30" s="286" t="s">
        <v>422</v>
      </c>
      <c r="D30" s="286" t="s">
        <v>404</v>
      </c>
      <c r="E30" s="286">
        <v>38</v>
      </c>
      <c r="F30" s="286">
        <v>26</v>
      </c>
      <c r="G30" s="286">
        <v>25</v>
      </c>
      <c r="H30" s="286">
        <v>27</v>
      </c>
      <c r="J30" s="286">
        <v>31</v>
      </c>
      <c r="K30" s="286">
        <v>30</v>
      </c>
      <c r="L30" s="286">
        <v>25</v>
      </c>
      <c r="M30" s="286">
        <v>22</v>
      </c>
      <c r="O30" s="286">
        <f t="shared" si="0"/>
        <v>116</v>
      </c>
      <c r="P30" s="286">
        <f t="shared" si="1"/>
        <v>108</v>
      </c>
      <c r="Q30" s="286" t="str">
        <f t="shared" si="2"/>
        <v>HW</v>
      </c>
      <c r="R30" s="286" t="str">
        <f t="shared" si="2"/>
        <v>HL</v>
      </c>
      <c r="S30" s="286" t="str">
        <f t="shared" si="2"/>
        <v>TT</v>
      </c>
      <c r="T30" s="286" t="str">
        <f t="shared" si="2"/>
        <v>HW</v>
      </c>
      <c r="U30" s="286" t="str">
        <f t="shared" si="3"/>
        <v>O</v>
      </c>
      <c r="V30" s="286" t="str">
        <f t="shared" si="3"/>
        <v>O</v>
      </c>
      <c r="W30" s="286" t="str">
        <f t="shared" si="3"/>
        <v>U</v>
      </c>
      <c r="X30" s="286" t="str">
        <f t="shared" si="3"/>
        <v>U</v>
      </c>
      <c r="Z30" s="286">
        <v>53.5</v>
      </c>
      <c r="AA30" s="286" t="str">
        <f t="shared" si="4"/>
        <v>DET/PHO</v>
      </c>
    </row>
    <row r="31" spans="1:27" s="286" customFormat="1" x14ac:dyDescent="0.3">
      <c r="A31" s="286">
        <v>200206</v>
      </c>
      <c r="B31" s="287">
        <v>0.39583333333333331</v>
      </c>
      <c r="C31" s="286" t="s">
        <v>421</v>
      </c>
      <c r="D31" s="286" t="s">
        <v>424</v>
      </c>
      <c r="E31" s="286">
        <v>32</v>
      </c>
      <c r="F31" s="286">
        <v>25</v>
      </c>
      <c r="G31" s="286">
        <v>30</v>
      </c>
      <c r="H31" s="286">
        <v>29</v>
      </c>
      <c r="J31" s="286">
        <v>24</v>
      </c>
      <c r="K31" s="286">
        <v>32</v>
      </c>
      <c r="L31" s="286">
        <v>24</v>
      </c>
      <c r="M31" s="286">
        <v>20</v>
      </c>
      <c r="O31" s="286">
        <f t="shared" si="0"/>
        <v>116</v>
      </c>
      <c r="P31" s="286">
        <f t="shared" si="1"/>
        <v>100</v>
      </c>
      <c r="Q31" s="286" t="str">
        <f t="shared" si="2"/>
        <v>HW</v>
      </c>
      <c r="R31" s="286" t="str">
        <f t="shared" si="2"/>
        <v>HL</v>
      </c>
      <c r="S31" s="286" t="str">
        <f t="shared" si="2"/>
        <v>HW</v>
      </c>
      <c r="T31" s="286" t="str">
        <f t="shared" si="2"/>
        <v>HW</v>
      </c>
      <c r="U31" s="286" t="str">
        <f t="shared" si="3"/>
        <v>O</v>
      </c>
      <c r="V31" s="286" t="str">
        <f t="shared" si="3"/>
        <v>O</v>
      </c>
      <c r="W31" s="286" t="str">
        <f t="shared" si="3"/>
        <v>O</v>
      </c>
      <c r="X31" s="286" t="str">
        <f t="shared" si="3"/>
        <v>U</v>
      </c>
      <c r="Z31" s="286">
        <v>53.5</v>
      </c>
      <c r="AA31" s="286" t="str">
        <f t="shared" si="4"/>
        <v>BOS/ORL</v>
      </c>
    </row>
    <row r="32" spans="1:27" s="286" customFormat="1" x14ac:dyDescent="0.3">
      <c r="A32" s="286">
        <v>200206</v>
      </c>
      <c r="B32" s="287">
        <v>0.39583333333333331</v>
      </c>
      <c r="C32" s="286" t="s">
        <v>407</v>
      </c>
      <c r="D32" s="286" t="s">
        <v>425</v>
      </c>
      <c r="E32" s="286">
        <v>40</v>
      </c>
      <c r="F32" s="286">
        <v>28</v>
      </c>
      <c r="G32" s="286">
        <v>27</v>
      </c>
      <c r="H32" s="286">
        <v>34</v>
      </c>
      <c r="J32" s="286">
        <v>25</v>
      </c>
      <c r="K32" s="286">
        <v>22</v>
      </c>
      <c r="L32" s="286">
        <v>17</v>
      </c>
      <c r="M32" s="286">
        <v>24</v>
      </c>
      <c r="O32" s="286">
        <f t="shared" si="0"/>
        <v>129</v>
      </c>
      <c r="P32" s="286">
        <f t="shared" si="1"/>
        <v>88</v>
      </c>
      <c r="Q32" s="286" t="str">
        <f t="shared" si="2"/>
        <v>HW</v>
      </c>
      <c r="R32" s="286" t="str">
        <f t="shared" si="2"/>
        <v>HW</v>
      </c>
      <c r="S32" s="286" t="str">
        <f t="shared" si="2"/>
        <v>HW</v>
      </c>
      <c r="T32" s="286" t="str">
        <f t="shared" si="2"/>
        <v>HW</v>
      </c>
      <c r="U32" s="286" t="str">
        <f t="shared" si="3"/>
        <v>O</v>
      </c>
      <c r="V32" s="286" t="str">
        <f t="shared" si="3"/>
        <v>U</v>
      </c>
      <c r="W32" s="286" t="str">
        <f t="shared" si="3"/>
        <v>U</v>
      </c>
      <c r="X32" s="286" t="str">
        <f t="shared" si="3"/>
        <v>O</v>
      </c>
      <c r="Z32" s="286">
        <v>57</v>
      </c>
      <c r="AA32" s="286" t="str">
        <f t="shared" si="4"/>
        <v>BKN/GS</v>
      </c>
    </row>
    <row r="33" spans="1:27" s="286" customFormat="1" x14ac:dyDescent="0.3">
      <c r="A33" s="286">
        <v>200206</v>
      </c>
      <c r="B33" s="287">
        <v>0.39583333333333331</v>
      </c>
      <c r="C33" s="286" t="s">
        <v>413</v>
      </c>
      <c r="D33" s="286" t="s">
        <v>400</v>
      </c>
      <c r="E33" s="286">
        <v>30</v>
      </c>
      <c r="F33" s="286">
        <v>18</v>
      </c>
      <c r="G33" s="286">
        <v>34</v>
      </c>
      <c r="H33" s="286">
        <v>37</v>
      </c>
      <c r="J33" s="286">
        <v>20</v>
      </c>
      <c r="K33" s="286">
        <v>43</v>
      </c>
      <c r="L33" s="286">
        <v>23</v>
      </c>
      <c r="M33" s="286">
        <v>32</v>
      </c>
      <c r="O33" s="286">
        <f t="shared" si="0"/>
        <v>119</v>
      </c>
      <c r="P33" s="286">
        <f t="shared" si="1"/>
        <v>118</v>
      </c>
      <c r="Q33" s="286" t="str">
        <f t="shared" si="2"/>
        <v>HW</v>
      </c>
      <c r="R33" s="286" t="str">
        <f t="shared" si="2"/>
        <v>HL</v>
      </c>
      <c r="S33" s="286" t="str">
        <f t="shared" si="2"/>
        <v>HW</v>
      </c>
      <c r="T33" s="286" t="str">
        <f t="shared" si="2"/>
        <v>HW</v>
      </c>
      <c r="U33" s="286" t="str">
        <f t="shared" si="3"/>
        <v>U</v>
      </c>
      <c r="V33" s="286" t="str">
        <f t="shared" si="3"/>
        <v>O</v>
      </c>
      <c r="W33" s="286" t="str">
        <f t="shared" si="3"/>
        <v>O</v>
      </c>
      <c r="X33" s="286" t="str">
        <f t="shared" si="3"/>
        <v>O</v>
      </c>
      <c r="Z33" s="286">
        <v>56</v>
      </c>
      <c r="AA33" s="286" t="str">
        <f t="shared" si="4"/>
        <v>TOR/IND</v>
      </c>
    </row>
    <row r="34" spans="1:27" s="286" customFormat="1" x14ac:dyDescent="0.3">
      <c r="A34" s="286">
        <v>200206</v>
      </c>
      <c r="B34" s="287">
        <v>0.41666666666666669</v>
      </c>
      <c r="C34" s="286" t="s">
        <v>420</v>
      </c>
      <c r="D34" s="286" t="s">
        <v>410</v>
      </c>
      <c r="E34" s="286">
        <v>24</v>
      </c>
      <c r="F34" s="286">
        <v>32</v>
      </c>
      <c r="G34" s="286">
        <v>21</v>
      </c>
      <c r="H34" s="286">
        <v>43</v>
      </c>
      <c r="J34" s="286">
        <v>36</v>
      </c>
      <c r="K34" s="286">
        <v>28</v>
      </c>
      <c r="L34" s="286">
        <v>32</v>
      </c>
      <c r="M34" s="286">
        <v>31</v>
      </c>
      <c r="O34" s="286">
        <f t="shared" si="0"/>
        <v>120</v>
      </c>
      <c r="P34" s="286">
        <f t="shared" si="1"/>
        <v>127</v>
      </c>
      <c r="Q34" s="286" t="str">
        <f t="shared" si="2"/>
        <v>HL</v>
      </c>
      <c r="R34" s="286" t="str">
        <f t="shared" si="2"/>
        <v>HW</v>
      </c>
      <c r="S34" s="286" t="str">
        <f t="shared" si="2"/>
        <v>HL</v>
      </c>
      <c r="T34" s="286" t="str">
        <f t="shared" si="2"/>
        <v>HW</v>
      </c>
      <c r="U34" s="286" t="str">
        <f t="shared" si="3"/>
        <v>U</v>
      </c>
      <c r="V34" s="286" t="str">
        <f t="shared" si="3"/>
        <v>U</v>
      </c>
      <c r="W34" s="286" t="str">
        <f t="shared" si="3"/>
        <v>U</v>
      </c>
      <c r="X34" s="286" t="str">
        <f t="shared" si="3"/>
        <v>O</v>
      </c>
      <c r="Z34" s="286">
        <v>61.5</v>
      </c>
      <c r="AA34" s="286" t="str">
        <f t="shared" ref="AA34:AA51" si="5">C34&amp;"/"&amp;D34</f>
        <v>MIN/ATL</v>
      </c>
    </row>
    <row r="35" spans="1:27" s="286" customFormat="1" x14ac:dyDescent="0.3">
      <c r="A35" s="286">
        <v>200206</v>
      </c>
      <c r="B35" s="287">
        <v>0.41666666666666669</v>
      </c>
      <c r="C35" s="286" t="s">
        <v>418</v>
      </c>
      <c r="D35" s="286" t="s">
        <v>402</v>
      </c>
      <c r="E35" s="286">
        <v>29</v>
      </c>
      <c r="F35" s="286">
        <v>32</v>
      </c>
      <c r="G35" s="286">
        <v>23</v>
      </c>
      <c r="H35" s="286">
        <v>25</v>
      </c>
      <c r="J35" s="286">
        <v>28</v>
      </c>
      <c r="K35" s="286">
        <v>25</v>
      </c>
      <c r="L35" s="286">
        <v>28</v>
      </c>
      <c r="M35" s="286">
        <v>22</v>
      </c>
      <c r="O35" s="286">
        <f t="shared" si="0"/>
        <v>109</v>
      </c>
      <c r="P35" s="286">
        <f t="shared" si="1"/>
        <v>103</v>
      </c>
      <c r="Q35" s="286" t="str">
        <f t="shared" si="2"/>
        <v>HW</v>
      </c>
      <c r="R35" s="286" t="str">
        <f t="shared" si="2"/>
        <v>HW</v>
      </c>
      <c r="S35" s="286" t="str">
        <f t="shared" si="2"/>
        <v>HL</v>
      </c>
      <c r="T35" s="286" t="str">
        <f t="shared" si="2"/>
        <v>HW</v>
      </c>
      <c r="U35" s="286" t="str">
        <f t="shared" si="3"/>
        <v>O</v>
      </c>
      <c r="V35" s="286" t="str">
        <f t="shared" si="3"/>
        <v>O</v>
      </c>
      <c r="W35" s="286" t="str">
        <f t="shared" si="3"/>
        <v>U</v>
      </c>
      <c r="X35" s="286" t="str">
        <f t="shared" si="3"/>
        <v>U</v>
      </c>
      <c r="Z35" s="286">
        <v>53.5</v>
      </c>
      <c r="AA35" s="286" t="str">
        <f t="shared" si="5"/>
        <v>OKC/CLE</v>
      </c>
    </row>
    <row r="36" spans="1:27" s="286" customFormat="1" x14ac:dyDescent="0.3">
      <c r="A36" s="286">
        <v>200206</v>
      </c>
      <c r="B36" s="287">
        <v>0.4375</v>
      </c>
      <c r="C36" s="286" t="s">
        <v>397</v>
      </c>
      <c r="D36" s="286" t="s">
        <v>406</v>
      </c>
      <c r="E36" s="286">
        <v>32</v>
      </c>
      <c r="F36" s="286">
        <v>24</v>
      </c>
      <c r="G36" s="286">
        <v>22</v>
      </c>
      <c r="H36" s="286">
        <v>29</v>
      </c>
      <c r="J36" s="286">
        <v>31</v>
      </c>
      <c r="K36" s="286">
        <v>28</v>
      </c>
      <c r="L36" s="286">
        <v>41</v>
      </c>
      <c r="M36" s="286">
        <v>21</v>
      </c>
      <c r="O36" s="286">
        <f t="shared" si="0"/>
        <v>107</v>
      </c>
      <c r="P36" s="286">
        <f t="shared" si="1"/>
        <v>121</v>
      </c>
      <c r="Q36" s="286" t="str">
        <f t="shared" si="2"/>
        <v>HW</v>
      </c>
      <c r="R36" s="286" t="str">
        <f t="shared" si="2"/>
        <v>HL</v>
      </c>
      <c r="S36" s="286" t="str">
        <f t="shared" si="2"/>
        <v>HL</v>
      </c>
      <c r="T36" s="286" t="str">
        <f t="shared" si="2"/>
        <v>HW</v>
      </c>
      <c r="U36" s="286" t="str">
        <f t="shared" si="3"/>
        <v>O</v>
      </c>
      <c r="V36" s="286" t="str">
        <f t="shared" si="3"/>
        <v>U</v>
      </c>
      <c r="W36" s="286" t="str">
        <f t="shared" si="3"/>
        <v>O</v>
      </c>
      <c r="X36" s="286" t="str">
        <f t="shared" si="3"/>
        <v>U</v>
      </c>
      <c r="Z36" s="286">
        <v>55</v>
      </c>
      <c r="AA36" s="286" t="str">
        <f t="shared" si="5"/>
        <v>DAL/MEM</v>
      </c>
    </row>
    <row r="37" spans="1:27" s="286" customFormat="1" x14ac:dyDescent="0.3">
      <c r="A37" s="286">
        <v>200206</v>
      </c>
      <c r="B37" s="287">
        <v>0.45833333333333331</v>
      </c>
      <c r="C37" s="286" t="s">
        <v>439</v>
      </c>
      <c r="D37" s="286" t="s">
        <v>408</v>
      </c>
      <c r="E37" s="286">
        <v>32</v>
      </c>
      <c r="F37" s="286">
        <v>25</v>
      </c>
      <c r="G37" s="286">
        <v>18</v>
      </c>
      <c r="H37" s="286">
        <v>20</v>
      </c>
      <c r="J37" s="286">
        <v>25</v>
      </c>
      <c r="K37" s="286">
        <v>24</v>
      </c>
      <c r="L37" s="286">
        <v>23</v>
      </c>
      <c r="M37" s="286">
        <v>26</v>
      </c>
      <c r="O37" s="286">
        <f t="shared" si="0"/>
        <v>95</v>
      </c>
      <c r="P37" s="286">
        <f t="shared" si="1"/>
        <v>98</v>
      </c>
      <c r="Q37" s="286" t="str">
        <f t="shared" si="2"/>
        <v>HW</v>
      </c>
      <c r="R37" s="286" t="str">
        <f t="shared" si="2"/>
        <v>HW</v>
      </c>
      <c r="S37" s="286" t="str">
        <f t="shared" si="2"/>
        <v>HL</v>
      </c>
      <c r="T37" s="286" t="str">
        <f t="shared" si="2"/>
        <v>HL</v>
      </c>
      <c r="U37" s="286" t="str">
        <f t="shared" si="3"/>
        <v>O</v>
      </c>
      <c r="V37" s="286" t="str">
        <f t="shared" si="3"/>
        <v>U</v>
      </c>
      <c r="W37" s="286" t="str">
        <f t="shared" si="3"/>
        <v>U</v>
      </c>
      <c r="X37" s="286" t="str">
        <f t="shared" si="3"/>
        <v>U</v>
      </c>
      <c r="Z37" s="286">
        <v>54.5</v>
      </c>
      <c r="AA37" s="286" t="str">
        <f t="shared" si="5"/>
        <v>UTA/DEN</v>
      </c>
    </row>
    <row r="38" spans="1:27" s="286" customFormat="1" x14ac:dyDescent="0.3">
      <c r="A38" s="286">
        <v>200206</v>
      </c>
      <c r="B38" s="287">
        <v>0.5</v>
      </c>
      <c r="C38" s="286" t="s">
        <v>415</v>
      </c>
      <c r="D38" s="286" t="s">
        <v>411</v>
      </c>
      <c r="E38" s="286">
        <v>25</v>
      </c>
      <c r="F38" s="286">
        <v>30</v>
      </c>
      <c r="G38" s="286">
        <v>37</v>
      </c>
      <c r="H38" s="286">
        <v>36</v>
      </c>
      <c r="J38" s="286">
        <v>23</v>
      </c>
      <c r="K38" s="286">
        <v>35</v>
      </c>
      <c r="L38" s="286">
        <v>22</v>
      </c>
      <c r="M38" s="286">
        <v>31</v>
      </c>
      <c r="O38" s="286">
        <f t="shared" si="0"/>
        <v>128</v>
      </c>
      <c r="P38" s="286">
        <f t="shared" si="1"/>
        <v>111</v>
      </c>
      <c r="Q38" s="286" t="str">
        <f t="shared" si="2"/>
        <v>HW</v>
      </c>
      <c r="R38" s="286" t="str">
        <f t="shared" si="2"/>
        <v>HL</v>
      </c>
      <c r="S38" s="286" t="str">
        <f t="shared" si="2"/>
        <v>HW</v>
      </c>
      <c r="T38" s="286" t="str">
        <f t="shared" si="2"/>
        <v>HW</v>
      </c>
      <c r="U38" s="286" t="str">
        <f t="shared" si="3"/>
        <v>U</v>
      </c>
      <c r="V38" s="286" t="str">
        <f t="shared" si="3"/>
        <v>O</v>
      </c>
      <c r="W38" s="286" t="str">
        <f t="shared" si="3"/>
        <v>O</v>
      </c>
      <c r="X38" s="286" t="str">
        <f t="shared" si="3"/>
        <v>O</v>
      </c>
      <c r="Z38" s="286">
        <v>57.5</v>
      </c>
      <c r="AA38" s="286" t="str">
        <f t="shared" si="5"/>
        <v>LAC/MIA</v>
      </c>
    </row>
    <row r="39" spans="1:27" s="286" customFormat="1" x14ac:dyDescent="0.3">
      <c r="A39" s="286">
        <v>200207</v>
      </c>
      <c r="B39" s="287">
        <v>0.39583333333333331</v>
      </c>
      <c r="C39" s="286" t="s">
        <v>399</v>
      </c>
      <c r="D39" s="286" t="s">
        <v>424</v>
      </c>
      <c r="E39" s="286">
        <v>30</v>
      </c>
      <c r="F39" s="286">
        <v>24</v>
      </c>
      <c r="G39" s="286">
        <v>22</v>
      </c>
      <c r="H39" s="286">
        <v>29</v>
      </c>
      <c r="J39" s="286">
        <v>19</v>
      </c>
      <c r="K39" s="286">
        <v>28</v>
      </c>
      <c r="L39" s="286">
        <v>36</v>
      </c>
      <c r="M39" s="286">
        <v>20</v>
      </c>
      <c r="O39" s="286">
        <f t="shared" si="0"/>
        <v>105</v>
      </c>
      <c r="P39" s="286">
        <f t="shared" si="1"/>
        <v>103</v>
      </c>
      <c r="Q39" s="286" t="str">
        <f t="shared" si="2"/>
        <v>HW</v>
      </c>
      <c r="R39" s="286" t="str">
        <f t="shared" si="2"/>
        <v>HL</v>
      </c>
      <c r="S39" s="286" t="str">
        <f t="shared" si="2"/>
        <v>HL</v>
      </c>
      <c r="T39" s="286" t="str">
        <f t="shared" si="2"/>
        <v>HW</v>
      </c>
      <c r="U39" s="286" t="str">
        <f t="shared" si="3"/>
        <v>U</v>
      </c>
      <c r="V39" s="286" t="str">
        <f t="shared" si="3"/>
        <v>U</v>
      </c>
      <c r="W39" s="286" t="str">
        <f t="shared" si="3"/>
        <v>O</v>
      </c>
      <c r="X39" s="286" t="str">
        <f t="shared" si="3"/>
        <v>U</v>
      </c>
      <c r="Z39" s="286">
        <v>53</v>
      </c>
      <c r="AA39" s="286" t="str">
        <f t="shared" si="5"/>
        <v>NYK/ORL</v>
      </c>
    </row>
    <row r="40" spans="1:27" s="286" customFormat="1" x14ac:dyDescent="0.3">
      <c r="A40" s="286">
        <v>200207</v>
      </c>
      <c r="B40" s="287">
        <v>0.41666666666666669</v>
      </c>
      <c r="C40" s="286" t="s">
        <v>412</v>
      </c>
      <c r="D40" s="286" t="s">
        <v>398</v>
      </c>
      <c r="E40" s="286">
        <v>25</v>
      </c>
      <c r="F40" s="286">
        <v>37</v>
      </c>
      <c r="G40" s="286">
        <v>19</v>
      </c>
      <c r="H40" s="286">
        <v>38</v>
      </c>
      <c r="J40" s="286">
        <v>32</v>
      </c>
      <c r="K40" s="286">
        <v>40</v>
      </c>
      <c r="L40" s="286">
        <v>31</v>
      </c>
      <c r="M40" s="286">
        <v>22</v>
      </c>
      <c r="O40" s="286">
        <f t="shared" si="0"/>
        <v>119</v>
      </c>
      <c r="P40" s="286">
        <f t="shared" si="1"/>
        <v>125</v>
      </c>
      <c r="Q40" s="286" t="str">
        <f t="shared" si="2"/>
        <v>HL</v>
      </c>
      <c r="R40" s="286" t="str">
        <f t="shared" si="2"/>
        <v>HL</v>
      </c>
      <c r="S40" s="286" t="str">
        <f t="shared" si="2"/>
        <v>HL</v>
      </c>
      <c r="T40" s="286" t="str">
        <f t="shared" si="2"/>
        <v>HW</v>
      </c>
      <c r="U40" s="286" t="str">
        <f t="shared" si="3"/>
        <v>U</v>
      </c>
      <c r="V40" s="286" t="str">
        <f t="shared" si="3"/>
        <v>O</v>
      </c>
      <c r="W40" s="286" t="str">
        <f t="shared" si="3"/>
        <v>U</v>
      </c>
      <c r="X40" s="286" t="str">
        <f t="shared" si="3"/>
        <v>O</v>
      </c>
      <c r="Z40" s="286">
        <v>59</v>
      </c>
      <c r="AA40" s="286" t="str">
        <f t="shared" si="5"/>
        <v>CHI/NO</v>
      </c>
    </row>
    <row r="41" spans="1:27" s="286" customFormat="1" x14ac:dyDescent="0.3">
      <c r="A41" s="286">
        <v>200207</v>
      </c>
      <c r="B41" s="287">
        <v>0.41666666666666669</v>
      </c>
      <c r="C41" s="286" t="s">
        <v>423</v>
      </c>
      <c r="D41" s="286" t="s">
        <v>401</v>
      </c>
      <c r="E41" s="286">
        <v>22</v>
      </c>
      <c r="F41" s="286">
        <v>32</v>
      </c>
      <c r="G41" s="286">
        <v>32</v>
      </c>
      <c r="H41" s="286">
        <v>26</v>
      </c>
      <c r="J41" s="286">
        <v>26</v>
      </c>
      <c r="K41" s="286">
        <v>25</v>
      </c>
      <c r="L41" s="286">
        <v>23</v>
      </c>
      <c r="M41" s="286">
        <v>27</v>
      </c>
      <c r="O41" s="286">
        <f t="shared" si="0"/>
        <v>112</v>
      </c>
      <c r="P41" s="286">
        <f t="shared" si="1"/>
        <v>101</v>
      </c>
      <c r="Q41" s="286" t="str">
        <f t="shared" si="2"/>
        <v>HL</v>
      </c>
      <c r="R41" s="286" t="str">
        <f t="shared" si="2"/>
        <v>HW</v>
      </c>
      <c r="S41" s="286" t="str">
        <f t="shared" si="2"/>
        <v>HW</v>
      </c>
      <c r="T41" s="286" t="str">
        <f t="shared" si="2"/>
        <v>HL</v>
      </c>
      <c r="U41" s="286" t="str">
        <f t="shared" si="3"/>
        <v>U</v>
      </c>
      <c r="V41" s="286" t="str">
        <f t="shared" si="3"/>
        <v>U</v>
      </c>
      <c r="W41" s="286" t="str">
        <f t="shared" si="3"/>
        <v>U</v>
      </c>
      <c r="X41" s="286" t="str">
        <f t="shared" si="3"/>
        <v>U</v>
      </c>
      <c r="Z41" s="286">
        <v>58</v>
      </c>
      <c r="AA41" s="286" t="str">
        <f t="shared" si="5"/>
        <v>MIL/PHI</v>
      </c>
    </row>
    <row r="42" spans="1:27" s="286" customFormat="1" x14ac:dyDescent="0.3">
      <c r="A42" s="286">
        <v>200207</v>
      </c>
      <c r="B42" s="287">
        <v>0.5</v>
      </c>
      <c r="C42" s="286" t="s">
        <v>417</v>
      </c>
      <c r="D42" s="286" t="s">
        <v>426</v>
      </c>
      <c r="E42" s="286">
        <v>27</v>
      </c>
      <c r="F42" s="286">
        <v>32</v>
      </c>
      <c r="G42" s="286">
        <v>27</v>
      </c>
      <c r="H42" s="286">
        <v>39</v>
      </c>
      <c r="J42" s="286">
        <v>35</v>
      </c>
      <c r="K42" s="286">
        <v>25</v>
      </c>
      <c r="L42" s="286">
        <v>32</v>
      </c>
      <c r="M42" s="286">
        <v>25</v>
      </c>
      <c r="O42" s="286">
        <f t="shared" si="0"/>
        <v>125</v>
      </c>
      <c r="P42" s="286">
        <f t="shared" si="1"/>
        <v>117</v>
      </c>
      <c r="Q42" s="286" t="str">
        <f t="shared" si="2"/>
        <v>HL</v>
      </c>
      <c r="R42" s="286" t="str">
        <f t="shared" si="2"/>
        <v>HW</v>
      </c>
      <c r="S42" s="286" t="str">
        <f t="shared" si="2"/>
        <v>HL</v>
      </c>
      <c r="T42" s="286" t="str">
        <f t="shared" si="2"/>
        <v>HW</v>
      </c>
      <c r="U42" s="286" t="str">
        <f t="shared" si="3"/>
        <v>O</v>
      </c>
      <c r="V42" s="286" t="str">
        <f t="shared" si="3"/>
        <v>O</v>
      </c>
      <c r="W42" s="286" t="str">
        <f t="shared" si="3"/>
        <v>O</v>
      </c>
      <c r="X42" s="286" t="str">
        <f t="shared" si="3"/>
        <v>O</v>
      </c>
      <c r="Z42" s="286">
        <v>56</v>
      </c>
      <c r="AA42" s="286" t="str">
        <f t="shared" si="5"/>
        <v>POR/SAS</v>
      </c>
    </row>
    <row r="43" spans="1:27" s="286" customFormat="1" x14ac:dyDescent="0.3">
      <c r="A43" s="286">
        <v>200207</v>
      </c>
      <c r="B43" s="287">
        <v>0.52083333333333337</v>
      </c>
      <c r="C43" s="286" t="s">
        <v>419</v>
      </c>
      <c r="D43" s="286" t="s">
        <v>403</v>
      </c>
      <c r="E43" s="286">
        <v>29</v>
      </c>
      <c r="F43" s="286">
        <v>34</v>
      </c>
      <c r="G43" s="286">
        <v>30</v>
      </c>
      <c r="H43" s="286">
        <v>18</v>
      </c>
      <c r="J43" s="286">
        <v>28</v>
      </c>
      <c r="K43" s="286">
        <v>35</v>
      </c>
      <c r="L43" s="286">
        <v>34</v>
      </c>
      <c r="M43" s="286">
        <v>24</v>
      </c>
      <c r="O43" s="286">
        <f t="shared" si="0"/>
        <v>111</v>
      </c>
      <c r="P43" s="286">
        <f t="shared" si="1"/>
        <v>121</v>
      </c>
      <c r="Q43" s="286" t="str">
        <f t="shared" si="2"/>
        <v>HW</v>
      </c>
      <c r="R43" s="286" t="str">
        <f t="shared" si="2"/>
        <v>HL</v>
      </c>
      <c r="S43" s="286" t="str">
        <f t="shared" si="2"/>
        <v>HL</v>
      </c>
      <c r="T43" s="286" t="str">
        <f t="shared" si="2"/>
        <v>HL</v>
      </c>
      <c r="U43" s="286" t="str">
        <f t="shared" si="3"/>
        <v>U</v>
      </c>
      <c r="V43" s="286" t="str">
        <f t="shared" si="3"/>
        <v>O</v>
      </c>
      <c r="W43" s="286" t="str">
        <f t="shared" si="3"/>
        <v>O</v>
      </c>
      <c r="X43" s="286" t="str">
        <f t="shared" si="3"/>
        <v>U</v>
      </c>
      <c r="Z43" s="286">
        <v>61.5</v>
      </c>
      <c r="AA43" s="286" t="str">
        <f t="shared" si="5"/>
        <v>LAL/HOU</v>
      </c>
    </row>
    <row r="44" spans="1:27" s="286" customFormat="1" x14ac:dyDescent="0.3">
      <c r="A44" s="286">
        <v>200208</v>
      </c>
      <c r="B44" s="287">
        <v>0.375</v>
      </c>
      <c r="C44" s="286" t="s">
        <v>401</v>
      </c>
      <c r="D44" s="286" t="s">
        <v>406</v>
      </c>
      <c r="E44" s="286">
        <v>26</v>
      </c>
      <c r="F44" s="286">
        <v>32</v>
      </c>
      <c r="G44" s="286">
        <v>39</v>
      </c>
      <c r="H44" s="286">
        <v>22</v>
      </c>
      <c r="J44" s="286">
        <v>25</v>
      </c>
      <c r="K44" s="286">
        <v>19</v>
      </c>
      <c r="L44" s="286">
        <v>22</v>
      </c>
      <c r="M44" s="286">
        <v>41</v>
      </c>
      <c r="O44" s="286">
        <f t="shared" si="0"/>
        <v>119</v>
      </c>
      <c r="P44" s="286">
        <f t="shared" si="1"/>
        <v>107</v>
      </c>
      <c r="Q44" s="286" t="str">
        <f t="shared" si="2"/>
        <v>HW</v>
      </c>
      <c r="R44" s="286" t="str">
        <f t="shared" si="2"/>
        <v>HW</v>
      </c>
      <c r="S44" s="286" t="str">
        <f t="shared" si="2"/>
        <v>HW</v>
      </c>
      <c r="T44" s="286" t="str">
        <f t="shared" si="2"/>
        <v>HL</v>
      </c>
      <c r="U44" s="286" t="str">
        <f t="shared" si="3"/>
        <v>U</v>
      </c>
      <c r="V44" s="286" t="str">
        <f t="shared" si="3"/>
        <v>U</v>
      </c>
      <c r="W44" s="286" t="str">
        <f t="shared" si="3"/>
        <v>O</v>
      </c>
      <c r="X44" s="286" t="str">
        <f t="shared" si="3"/>
        <v>O</v>
      </c>
      <c r="Z44" s="286">
        <v>54.5</v>
      </c>
      <c r="AA44" s="286" t="str">
        <f t="shared" si="5"/>
        <v>PHI/MEM</v>
      </c>
    </row>
    <row r="45" spans="1:27" s="286" customFormat="1" x14ac:dyDescent="0.3">
      <c r="A45" s="286">
        <v>200208</v>
      </c>
      <c r="B45" s="287">
        <v>0.375</v>
      </c>
      <c r="C45" s="286" t="s">
        <v>414</v>
      </c>
      <c r="D45" s="286" t="s">
        <v>397</v>
      </c>
      <c r="E45" s="286">
        <v>29</v>
      </c>
      <c r="F45" s="286">
        <v>33</v>
      </c>
      <c r="G45" s="286">
        <v>30</v>
      </c>
      <c r="H45" s="286">
        <v>27</v>
      </c>
      <c r="J45" s="286">
        <v>33</v>
      </c>
      <c r="K45" s="286">
        <v>31</v>
      </c>
      <c r="L45" s="286">
        <v>29</v>
      </c>
      <c r="M45" s="286">
        <v>25</v>
      </c>
      <c r="O45" s="286">
        <f t="shared" si="0"/>
        <v>119</v>
      </c>
      <c r="P45" s="286">
        <f t="shared" si="1"/>
        <v>118</v>
      </c>
      <c r="Q45" s="286" t="str">
        <f t="shared" si="2"/>
        <v>HL</v>
      </c>
      <c r="R45" s="286" t="str">
        <f t="shared" si="2"/>
        <v>HW</v>
      </c>
      <c r="S45" s="286" t="str">
        <f t="shared" si="2"/>
        <v>HW</v>
      </c>
      <c r="T45" s="286" t="str">
        <f t="shared" si="2"/>
        <v>HW</v>
      </c>
      <c r="U45" s="286" t="str">
        <f t="shared" si="3"/>
        <v>O</v>
      </c>
      <c r="V45" s="286" t="str">
        <f t="shared" si="3"/>
        <v>O</v>
      </c>
      <c r="W45" s="286" t="str">
        <f t="shared" si="3"/>
        <v>U</v>
      </c>
      <c r="X45" s="286" t="str">
        <f t="shared" si="3"/>
        <v>U</v>
      </c>
      <c r="Z45" s="286">
        <v>60.5</v>
      </c>
      <c r="AA45" s="286" t="str">
        <f t="shared" si="5"/>
        <v>WAS/DAL</v>
      </c>
    </row>
    <row r="46" spans="1:27" s="286" customFormat="1" x14ac:dyDescent="0.3">
      <c r="A46" s="286">
        <v>200208</v>
      </c>
      <c r="B46" s="287">
        <v>0.39583333333333331</v>
      </c>
      <c r="C46" s="286" t="s">
        <v>421</v>
      </c>
      <c r="D46" s="286" t="s">
        <v>410</v>
      </c>
      <c r="E46" s="286">
        <v>28</v>
      </c>
      <c r="F46" s="286">
        <v>26</v>
      </c>
      <c r="G46" s="286">
        <v>33</v>
      </c>
      <c r="H46" s="286">
        <v>25</v>
      </c>
      <c r="J46" s="286">
        <v>26</v>
      </c>
      <c r="K46" s="286">
        <v>29</v>
      </c>
      <c r="L46" s="286">
        <v>18</v>
      </c>
      <c r="M46" s="286">
        <v>34</v>
      </c>
      <c r="O46" s="286">
        <f t="shared" si="0"/>
        <v>112</v>
      </c>
      <c r="P46" s="286">
        <f t="shared" si="1"/>
        <v>107</v>
      </c>
      <c r="Q46" s="286" t="str">
        <f t="shared" si="2"/>
        <v>HW</v>
      </c>
      <c r="R46" s="286" t="str">
        <f t="shared" si="2"/>
        <v>HL</v>
      </c>
      <c r="S46" s="286" t="str">
        <f t="shared" si="2"/>
        <v>HW</v>
      </c>
      <c r="T46" s="286" t="str">
        <f t="shared" si="2"/>
        <v>HL</v>
      </c>
      <c r="U46" s="286" t="str">
        <f t="shared" si="3"/>
        <v>U</v>
      </c>
      <c r="V46" s="286" t="str">
        <f t="shared" si="3"/>
        <v>U</v>
      </c>
      <c r="W46" s="286" t="str">
        <f t="shared" si="3"/>
        <v>U</v>
      </c>
      <c r="X46" s="286" t="str">
        <f t="shared" si="3"/>
        <v>O</v>
      </c>
      <c r="Z46" s="286">
        <v>58</v>
      </c>
      <c r="AA46" s="286" t="str">
        <f t="shared" si="5"/>
        <v>BOS/ATL</v>
      </c>
    </row>
    <row r="47" spans="1:27" s="286" customFormat="1" x14ac:dyDescent="0.3">
      <c r="A47" s="286">
        <v>200208</v>
      </c>
      <c r="B47" s="287">
        <v>0.41666666666666669</v>
      </c>
      <c r="C47" s="286" t="s">
        <v>400</v>
      </c>
      <c r="D47" s="286" t="s">
        <v>413</v>
      </c>
      <c r="E47" s="286">
        <v>31</v>
      </c>
      <c r="F47" s="286">
        <v>32</v>
      </c>
      <c r="G47" s="286">
        <v>20</v>
      </c>
      <c r="H47" s="286">
        <v>23</v>
      </c>
      <c r="J47" s="286">
        <v>36</v>
      </c>
      <c r="K47" s="286">
        <v>28</v>
      </c>
      <c r="L47" s="286">
        <v>23</v>
      </c>
      <c r="M47" s="286">
        <v>28</v>
      </c>
      <c r="O47" s="286">
        <f t="shared" si="0"/>
        <v>106</v>
      </c>
      <c r="P47" s="286">
        <f t="shared" si="1"/>
        <v>115</v>
      </c>
      <c r="Q47" s="286" t="str">
        <f t="shared" si="2"/>
        <v>HL</v>
      </c>
      <c r="R47" s="286" t="str">
        <f t="shared" si="2"/>
        <v>HW</v>
      </c>
      <c r="S47" s="286" t="str">
        <f t="shared" si="2"/>
        <v>HL</v>
      </c>
      <c r="T47" s="286" t="str">
        <f t="shared" si="2"/>
        <v>HL</v>
      </c>
      <c r="U47" s="286" t="str">
        <f t="shared" si="3"/>
        <v>O</v>
      </c>
      <c r="V47" s="286" t="str">
        <f t="shared" si="3"/>
        <v>O</v>
      </c>
      <c r="W47" s="286" t="str">
        <f t="shared" si="3"/>
        <v>U</v>
      </c>
      <c r="X47" s="286" t="str">
        <f t="shared" si="3"/>
        <v>U</v>
      </c>
      <c r="Z47" s="286">
        <v>56.5</v>
      </c>
      <c r="AA47" s="286" t="str">
        <f t="shared" si="5"/>
        <v>IND/TOR</v>
      </c>
    </row>
    <row r="48" spans="1:27" s="286" customFormat="1" x14ac:dyDescent="0.3">
      <c r="A48" s="286">
        <v>200208</v>
      </c>
      <c r="B48" s="287">
        <v>0.41666666666666669</v>
      </c>
      <c r="C48" s="286" t="s">
        <v>418</v>
      </c>
      <c r="D48" s="286" t="s">
        <v>422</v>
      </c>
      <c r="E48" s="286">
        <v>29</v>
      </c>
      <c r="F48" s="286">
        <v>23</v>
      </c>
      <c r="G48" s="286">
        <v>26</v>
      </c>
      <c r="H48" s="286">
        <v>30</v>
      </c>
      <c r="J48" s="286">
        <v>24</v>
      </c>
      <c r="K48" s="286">
        <v>23</v>
      </c>
      <c r="L48" s="286">
        <v>21</v>
      </c>
      <c r="M48" s="286">
        <v>33</v>
      </c>
      <c r="O48" s="286">
        <f t="shared" si="0"/>
        <v>108</v>
      </c>
      <c r="P48" s="286">
        <f t="shared" si="1"/>
        <v>101</v>
      </c>
      <c r="Q48" s="286" t="str">
        <f t="shared" si="2"/>
        <v>HW</v>
      </c>
      <c r="R48" s="286" t="str">
        <f t="shared" si="2"/>
        <v>TT</v>
      </c>
      <c r="S48" s="286" t="str">
        <f t="shared" si="2"/>
        <v>HW</v>
      </c>
      <c r="T48" s="286" t="str">
        <f t="shared" si="2"/>
        <v>HL</v>
      </c>
      <c r="U48" s="286" t="str">
        <f t="shared" si="3"/>
        <v>U</v>
      </c>
      <c r="V48" s="286" t="str">
        <f t="shared" si="3"/>
        <v>U</v>
      </c>
      <c r="W48" s="286" t="str">
        <f t="shared" si="3"/>
        <v>U</v>
      </c>
      <c r="X48" s="286" t="str">
        <f t="shared" si="3"/>
        <v>O</v>
      </c>
      <c r="Z48" s="286">
        <v>55</v>
      </c>
      <c r="AA48" s="286" t="str">
        <f t="shared" si="5"/>
        <v>OKC/DET</v>
      </c>
    </row>
    <row r="49" spans="1:27" s="286" customFormat="1" x14ac:dyDescent="0.3">
      <c r="A49" s="286">
        <v>200208</v>
      </c>
      <c r="B49" s="287">
        <v>0.45833333333333331</v>
      </c>
      <c r="C49" s="286" t="s">
        <v>404</v>
      </c>
      <c r="D49" s="286" t="s">
        <v>403</v>
      </c>
      <c r="E49" s="286">
        <v>46</v>
      </c>
      <c r="F49" s="286">
        <v>19</v>
      </c>
      <c r="G49" s="286">
        <v>32</v>
      </c>
      <c r="H49" s="286">
        <v>30</v>
      </c>
      <c r="J49" s="286">
        <v>26</v>
      </c>
      <c r="K49" s="286">
        <v>29</v>
      </c>
      <c r="L49" s="286">
        <v>18</v>
      </c>
      <c r="M49" s="286">
        <v>18</v>
      </c>
      <c r="O49" s="286">
        <f t="shared" si="0"/>
        <v>127</v>
      </c>
      <c r="P49" s="286">
        <f t="shared" si="1"/>
        <v>91</v>
      </c>
      <c r="Q49" s="286" t="str">
        <f t="shared" si="2"/>
        <v>HW</v>
      </c>
      <c r="R49" s="286" t="str">
        <f t="shared" si="2"/>
        <v>HL</v>
      </c>
      <c r="S49" s="286" t="str">
        <f t="shared" si="2"/>
        <v>HW</v>
      </c>
      <c r="T49" s="286" t="str">
        <f t="shared" si="2"/>
        <v>HW</v>
      </c>
      <c r="U49" s="286" t="str">
        <f t="shared" si="3"/>
        <v>O</v>
      </c>
      <c r="V49" s="286" t="str">
        <f t="shared" si="3"/>
        <v>U</v>
      </c>
      <c r="W49" s="286" t="str">
        <f t="shared" si="3"/>
        <v>U</v>
      </c>
      <c r="X49" s="286" t="str">
        <f t="shared" si="3"/>
        <v>U</v>
      </c>
      <c r="Z49" s="286">
        <v>60</v>
      </c>
      <c r="AA49" s="286" t="str">
        <f t="shared" si="5"/>
        <v>PHO/HOU</v>
      </c>
    </row>
    <row r="50" spans="1:27" s="286" customFormat="1" x14ac:dyDescent="0.3">
      <c r="A50" s="286">
        <v>200208</v>
      </c>
      <c r="B50" s="287">
        <v>0.5</v>
      </c>
      <c r="C50" s="286" t="s">
        <v>416</v>
      </c>
      <c r="D50" s="286" t="s">
        <v>411</v>
      </c>
      <c r="E50" s="286">
        <v>30</v>
      </c>
      <c r="F50" s="286">
        <v>22</v>
      </c>
      <c r="G50" s="286">
        <v>31</v>
      </c>
      <c r="H50" s="286">
        <v>22</v>
      </c>
      <c r="J50" s="286">
        <v>28</v>
      </c>
      <c r="K50" s="286">
        <v>22</v>
      </c>
      <c r="L50" s="286">
        <v>26</v>
      </c>
      <c r="M50" s="286">
        <v>21</v>
      </c>
      <c r="O50" s="286">
        <f t="shared" si="0"/>
        <v>105</v>
      </c>
      <c r="P50" s="286">
        <f t="shared" si="1"/>
        <v>97</v>
      </c>
      <c r="Q50" s="286" t="str">
        <f t="shared" si="2"/>
        <v>HW</v>
      </c>
      <c r="R50" s="286" t="str">
        <f t="shared" si="2"/>
        <v>TT</v>
      </c>
      <c r="S50" s="286" t="str">
        <f t="shared" si="2"/>
        <v>HW</v>
      </c>
      <c r="T50" s="286" t="str">
        <f t="shared" si="2"/>
        <v>HW</v>
      </c>
      <c r="U50" s="286" t="str">
        <f t="shared" si="3"/>
        <v>O</v>
      </c>
      <c r="V50" s="286" t="str">
        <f t="shared" si="3"/>
        <v>U</v>
      </c>
      <c r="W50" s="286" t="str">
        <f t="shared" si="3"/>
        <v>O</v>
      </c>
      <c r="X50" s="286" t="str">
        <f t="shared" si="3"/>
        <v>U</v>
      </c>
      <c r="Z50" s="286">
        <v>56.5</v>
      </c>
      <c r="AA50" s="286" t="str">
        <f t="shared" si="5"/>
        <v>SAC/MIA</v>
      </c>
    </row>
    <row r="51" spans="1:27" s="286" customFormat="1" x14ac:dyDescent="0.3">
      <c r="A51" s="286">
        <v>200208</v>
      </c>
      <c r="B51" s="287">
        <v>0.52083333333333337</v>
      </c>
      <c r="C51" s="286" t="s">
        <v>405</v>
      </c>
      <c r="D51" s="286" t="s">
        <v>417</v>
      </c>
      <c r="E51" s="286">
        <v>32</v>
      </c>
      <c r="F51" s="286">
        <v>26</v>
      </c>
      <c r="G51" s="286">
        <v>30</v>
      </c>
      <c r="H51" s="286">
        <v>29</v>
      </c>
      <c r="J51" s="286">
        <v>38</v>
      </c>
      <c r="K51" s="286">
        <v>34</v>
      </c>
      <c r="L51" s="286">
        <v>17</v>
      </c>
      <c r="M51" s="286">
        <v>25</v>
      </c>
      <c r="O51" s="286">
        <f t="shared" si="0"/>
        <v>117</v>
      </c>
      <c r="P51" s="286">
        <f t="shared" si="1"/>
        <v>114</v>
      </c>
      <c r="Q51" s="286" t="str">
        <f t="shared" si="2"/>
        <v>HL</v>
      </c>
      <c r="R51" s="286" t="str">
        <f t="shared" si="2"/>
        <v>HL</v>
      </c>
      <c r="S51" s="286" t="str">
        <f t="shared" si="2"/>
        <v>HW</v>
      </c>
      <c r="T51" s="286" t="str">
        <f t="shared" si="2"/>
        <v>HW</v>
      </c>
      <c r="U51" s="286" t="str">
        <f t="shared" si="3"/>
        <v>O</v>
      </c>
      <c r="V51" s="286" t="str">
        <f t="shared" si="3"/>
        <v>O</v>
      </c>
      <c r="W51" s="286" t="str">
        <f t="shared" si="3"/>
        <v>U</v>
      </c>
      <c r="X51" s="286" t="str">
        <f t="shared" si="3"/>
        <v>U</v>
      </c>
      <c r="Z51" s="286">
        <v>58.5</v>
      </c>
      <c r="AA51" s="286" t="str">
        <f t="shared" si="5"/>
        <v>UTA/POR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2020-02-08T14:13:16Z</dcterms:modified>
</cp:coreProperties>
</file>