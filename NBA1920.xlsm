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7775" yWindow="270" windowWidth="19185" windowHeight="10185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44525"/>
</workbook>
</file>

<file path=xl/calcChain.xml><?xml version="1.0" encoding="utf-8"?>
<calcChain xmlns="http://schemas.openxmlformats.org/spreadsheetml/2006/main">
  <c r="AA94" i="4" l="1"/>
  <c r="X94" i="4"/>
  <c r="W94" i="4"/>
  <c r="V94" i="4"/>
  <c r="U94" i="4"/>
  <c r="T94" i="4"/>
  <c r="S94" i="4"/>
  <c r="R94" i="4"/>
  <c r="Q94" i="4"/>
  <c r="P94" i="4"/>
  <c r="O94" i="4"/>
  <c r="AA93" i="4"/>
  <c r="X93" i="4"/>
  <c r="W93" i="4"/>
  <c r="V93" i="4"/>
  <c r="U93" i="4"/>
  <c r="T93" i="4"/>
  <c r="S93" i="4"/>
  <c r="R93" i="4"/>
  <c r="Q93" i="4"/>
  <c r="P93" i="4"/>
  <c r="O93" i="4"/>
  <c r="AA92" i="4"/>
  <c r="X92" i="4"/>
  <c r="W92" i="4"/>
  <c r="V92" i="4"/>
  <c r="U92" i="4"/>
  <c r="T92" i="4"/>
  <c r="S92" i="4"/>
  <c r="R92" i="4"/>
  <c r="Q92" i="4"/>
  <c r="P92" i="4"/>
  <c r="O92" i="4"/>
  <c r="AA91" i="4"/>
  <c r="X91" i="4"/>
  <c r="W91" i="4"/>
  <c r="V91" i="4"/>
  <c r="U91" i="4"/>
  <c r="T91" i="4"/>
  <c r="S91" i="4"/>
  <c r="R91" i="4"/>
  <c r="Q91" i="4"/>
  <c r="P91" i="4"/>
  <c r="O91" i="4"/>
  <c r="AA90" i="4"/>
  <c r="X90" i="4"/>
  <c r="W90" i="4"/>
  <c r="V90" i="4"/>
  <c r="U90" i="4"/>
  <c r="T90" i="4"/>
  <c r="S90" i="4"/>
  <c r="R90" i="4"/>
  <c r="Q90" i="4"/>
  <c r="P90" i="4"/>
  <c r="O90" i="4"/>
  <c r="AA89" i="4"/>
  <c r="X89" i="4"/>
  <c r="W89" i="4"/>
  <c r="V89" i="4"/>
  <c r="U89" i="4"/>
  <c r="T89" i="4"/>
  <c r="S89" i="4"/>
  <c r="R89" i="4"/>
  <c r="Q89" i="4"/>
  <c r="P89" i="4"/>
  <c r="O89" i="4"/>
  <c r="AA88" i="4"/>
  <c r="X88" i="4"/>
  <c r="W88" i="4"/>
  <c r="V88" i="4"/>
  <c r="U88" i="4"/>
  <c r="T88" i="4"/>
  <c r="S88" i="4"/>
  <c r="R88" i="4"/>
  <c r="Q88" i="4"/>
  <c r="P88" i="4"/>
  <c r="O88" i="4"/>
  <c r="AA87" i="4"/>
  <c r="X87" i="4"/>
  <c r="W87" i="4"/>
  <c r="V87" i="4"/>
  <c r="U87" i="4"/>
  <c r="T87" i="4"/>
  <c r="S87" i="4"/>
  <c r="R87" i="4"/>
  <c r="Q87" i="4"/>
  <c r="P87" i="4"/>
  <c r="O87" i="4"/>
  <c r="AA86" i="4"/>
  <c r="X86" i="4"/>
  <c r="W86" i="4"/>
  <c r="V86" i="4"/>
  <c r="U86" i="4"/>
  <c r="T86" i="4"/>
  <c r="S86" i="4"/>
  <c r="R86" i="4"/>
  <c r="Q86" i="4"/>
  <c r="P86" i="4"/>
  <c r="O86" i="4"/>
  <c r="AA85" i="4"/>
  <c r="X85" i="4"/>
  <c r="W85" i="4"/>
  <c r="V85" i="4"/>
  <c r="U85" i="4"/>
  <c r="T85" i="4"/>
  <c r="S85" i="4"/>
  <c r="R85" i="4"/>
  <c r="Q85" i="4"/>
  <c r="P85" i="4"/>
  <c r="O85" i="4"/>
  <c r="AA84" i="4"/>
  <c r="X84" i="4"/>
  <c r="W84" i="4"/>
  <c r="V84" i="4"/>
  <c r="U84" i="4"/>
  <c r="T84" i="4"/>
  <c r="S84" i="4"/>
  <c r="R84" i="4"/>
  <c r="Q84" i="4"/>
  <c r="P84" i="4"/>
  <c r="O84" i="4"/>
  <c r="AA83" i="4"/>
  <c r="X83" i="4"/>
  <c r="W83" i="4"/>
  <c r="V83" i="4"/>
  <c r="U83" i="4"/>
  <c r="T83" i="4"/>
  <c r="S83" i="4"/>
  <c r="R83" i="4"/>
  <c r="Q83" i="4"/>
  <c r="P83" i="4"/>
  <c r="O83" i="4"/>
  <c r="AA82" i="4"/>
  <c r="X82" i="4"/>
  <c r="W82" i="4"/>
  <c r="V82" i="4"/>
  <c r="U82" i="4"/>
  <c r="T82" i="4"/>
  <c r="S82" i="4"/>
  <c r="R82" i="4"/>
  <c r="Q82" i="4"/>
  <c r="P82" i="4"/>
  <c r="O82" i="4"/>
  <c r="AA81" i="4"/>
  <c r="X81" i="4"/>
  <c r="W81" i="4"/>
  <c r="V81" i="4"/>
  <c r="U81" i="4"/>
  <c r="T81" i="4"/>
  <c r="S81" i="4"/>
  <c r="R81" i="4"/>
  <c r="Q81" i="4"/>
  <c r="P81" i="4"/>
  <c r="O81" i="4"/>
  <c r="AA80" i="4"/>
  <c r="X80" i="4"/>
  <c r="W80" i="4"/>
  <c r="V80" i="4"/>
  <c r="U80" i="4"/>
  <c r="T80" i="4"/>
  <c r="S80" i="4"/>
  <c r="R80" i="4"/>
  <c r="Q80" i="4"/>
  <c r="P80" i="4"/>
  <c r="O80" i="4"/>
  <c r="AA79" i="4"/>
  <c r="X79" i="4"/>
  <c r="W79" i="4"/>
  <c r="V79" i="4"/>
  <c r="U79" i="4"/>
  <c r="T79" i="4"/>
  <c r="S79" i="4"/>
  <c r="R79" i="4"/>
  <c r="Q79" i="4"/>
  <c r="P79" i="4"/>
  <c r="O79" i="4"/>
  <c r="AA78" i="4"/>
  <c r="X78" i="4"/>
  <c r="W78" i="4"/>
  <c r="V78" i="4"/>
  <c r="U78" i="4"/>
  <c r="T78" i="4"/>
  <c r="S78" i="4"/>
  <c r="R78" i="4"/>
  <c r="Q78" i="4"/>
  <c r="P78" i="4"/>
  <c r="O78" i="4"/>
  <c r="AA77" i="4"/>
  <c r="X77" i="4"/>
  <c r="W77" i="4"/>
  <c r="V77" i="4"/>
  <c r="U77" i="4"/>
  <c r="T77" i="4"/>
  <c r="S77" i="4"/>
  <c r="R77" i="4"/>
  <c r="Q77" i="4"/>
  <c r="P77" i="4"/>
  <c r="O77" i="4"/>
  <c r="AA76" i="4"/>
  <c r="X76" i="4"/>
  <c r="W76" i="4"/>
  <c r="V76" i="4"/>
  <c r="U76" i="4"/>
  <c r="T76" i="4"/>
  <c r="S76" i="4"/>
  <c r="R76" i="4"/>
  <c r="Q76" i="4"/>
  <c r="P76" i="4"/>
  <c r="O76" i="4"/>
  <c r="AA75" i="4"/>
  <c r="X75" i="4"/>
  <c r="W75" i="4"/>
  <c r="V75" i="4"/>
  <c r="U75" i="4"/>
  <c r="T75" i="4"/>
  <c r="S75" i="4"/>
  <c r="R75" i="4"/>
  <c r="Q75" i="4"/>
  <c r="P75" i="4"/>
  <c r="O75" i="4"/>
  <c r="AA74" i="4"/>
  <c r="X74" i="4"/>
  <c r="W74" i="4"/>
  <c r="V74" i="4"/>
  <c r="U74" i="4"/>
  <c r="T74" i="4"/>
  <c r="S74" i="4"/>
  <c r="R74" i="4"/>
  <c r="Q74" i="4"/>
  <c r="P74" i="4"/>
  <c r="O74" i="4"/>
  <c r="AA73" i="4"/>
  <c r="X73" i="4"/>
  <c r="W73" i="4"/>
  <c r="V73" i="4"/>
  <c r="U73" i="4"/>
  <c r="T73" i="4"/>
  <c r="S73" i="4"/>
  <c r="R73" i="4"/>
  <c r="Q73" i="4"/>
  <c r="P73" i="4"/>
  <c r="O73" i="4"/>
  <c r="AA72" i="4"/>
  <c r="X72" i="4"/>
  <c r="W72" i="4"/>
  <c r="V72" i="4"/>
  <c r="U72" i="4"/>
  <c r="T72" i="4"/>
  <c r="S72" i="4"/>
  <c r="R72" i="4"/>
  <c r="Q72" i="4"/>
  <c r="P72" i="4"/>
  <c r="O72" i="4"/>
  <c r="AA71" i="4"/>
  <c r="X71" i="4"/>
  <c r="W71" i="4"/>
  <c r="V71" i="4"/>
  <c r="U71" i="4"/>
  <c r="T71" i="4"/>
  <c r="S71" i="4"/>
  <c r="R71" i="4"/>
  <c r="Q71" i="4"/>
  <c r="P71" i="4"/>
  <c r="O71" i="4"/>
  <c r="AA70" i="4"/>
  <c r="X70" i="4"/>
  <c r="W70" i="4"/>
  <c r="V70" i="4"/>
  <c r="U70" i="4"/>
  <c r="T70" i="4"/>
  <c r="S70" i="4"/>
  <c r="R70" i="4"/>
  <c r="Q70" i="4"/>
  <c r="P70" i="4"/>
  <c r="O70" i="4"/>
  <c r="AA69" i="4"/>
  <c r="X69" i="4"/>
  <c r="W69" i="4"/>
  <c r="V69" i="4"/>
  <c r="U69" i="4"/>
  <c r="T69" i="4"/>
  <c r="S69" i="4"/>
  <c r="R69" i="4"/>
  <c r="Q69" i="4"/>
  <c r="P69" i="4"/>
  <c r="O69" i="4"/>
  <c r="AA68" i="4"/>
  <c r="X68" i="4"/>
  <c r="W68" i="4"/>
  <c r="V68" i="4"/>
  <c r="U68" i="4"/>
  <c r="T68" i="4"/>
  <c r="S68" i="4"/>
  <c r="R68" i="4"/>
  <c r="Q68" i="4"/>
  <c r="P68" i="4"/>
  <c r="O68" i="4"/>
  <c r="AA67" i="4"/>
  <c r="X67" i="4"/>
  <c r="W67" i="4"/>
  <c r="V67" i="4"/>
  <c r="U67" i="4"/>
  <c r="T67" i="4"/>
  <c r="S67" i="4"/>
  <c r="R67" i="4"/>
  <c r="Q67" i="4"/>
  <c r="P67" i="4"/>
  <c r="O67" i="4"/>
  <c r="AA66" i="4"/>
  <c r="X66" i="4"/>
  <c r="W66" i="4"/>
  <c r="V66" i="4"/>
  <c r="U66" i="4"/>
  <c r="T66" i="4"/>
  <c r="S66" i="4"/>
  <c r="R66" i="4"/>
  <c r="Q66" i="4"/>
  <c r="P66" i="4"/>
  <c r="O66" i="4"/>
  <c r="AA65" i="4"/>
  <c r="X65" i="4"/>
  <c r="W65" i="4"/>
  <c r="V65" i="4"/>
  <c r="U65" i="4"/>
  <c r="T65" i="4"/>
  <c r="S65" i="4"/>
  <c r="R65" i="4"/>
  <c r="Q65" i="4"/>
  <c r="P65" i="4"/>
  <c r="O65" i="4"/>
  <c r="AA64" i="4"/>
  <c r="X64" i="4"/>
  <c r="W64" i="4"/>
  <c r="V64" i="4"/>
  <c r="U64" i="4"/>
  <c r="T64" i="4"/>
  <c r="S64" i="4"/>
  <c r="R64" i="4"/>
  <c r="Q64" i="4"/>
  <c r="P64" i="4"/>
  <c r="O64" i="4"/>
  <c r="AA63" i="4"/>
  <c r="X63" i="4"/>
  <c r="W63" i="4"/>
  <c r="V63" i="4"/>
  <c r="U63" i="4"/>
  <c r="T63" i="4"/>
  <c r="S63" i="4"/>
  <c r="R63" i="4"/>
  <c r="Q63" i="4"/>
  <c r="P63" i="4"/>
  <c r="O63" i="4"/>
  <c r="AA62" i="4"/>
  <c r="X62" i="4"/>
  <c r="W62" i="4"/>
  <c r="V62" i="4"/>
  <c r="U62" i="4"/>
  <c r="T62" i="4"/>
  <c r="S62" i="4"/>
  <c r="R62" i="4"/>
  <c r="Q62" i="4"/>
  <c r="P62" i="4"/>
  <c r="O62" i="4"/>
  <c r="AA61" i="4"/>
  <c r="X61" i="4"/>
  <c r="W61" i="4"/>
  <c r="V61" i="4"/>
  <c r="U61" i="4"/>
  <c r="T61" i="4"/>
  <c r="S61" i="4"/>
  <c r="R61" i="4"/>
  <c r="Q61" i="4"/>
  <c r="P61" i="4"/>
  <c r="O61" i="4"/>
  <c r="AA60" i="4"/>
  <c r="X60" i="4"/>
  <c r="W60" i="4"/>
  <c r="V60" i="4"/>
  <c r="U60" i="4"/>
  <c r="T60" i="4"/>
  <c r="S60" i="4"/>
  <c r="R60" i="4"/>
  <c r="Q60" i="4"/>
  <c r="P60" i="4"/>
  <c r="O60" i="4"/>
  <c r="AA59" i="4"/>
  <c r="X59" i="4"/>
  <c r="W59" i="4"/>
  <c r="V59" i="4"/>
  <c r="U59" i="4"/>
  <c r="T59" i="4"/>
  <c r="S59" i="4"/>
  <c r="R59" i="4"/>
  <c r="Q59" i="4"/>
  <c r="P59" i="4"/>
  <c r="O59" i="4"/>
  <c r="AA58" i="4"/>
  <c r="X58" i="4"/>
  <c r="W58" i="4"/>
  <c r="V58" i="4"/>
  <c r="U58" i="4"/>
  <c r="T58" i="4"/>
  <c r="S58" i="4"/>
  <c r="R58" i="4"/>
  <c r="Q58" i="4"/>
  <c r="P58" i="4"/>
  <c r="O58" i="4"/>
  <c r="AA57" i="4"/>
  <c r="X57" i="4"/>
  <c r="W57" i="4"/>
  <c r="V57" i="4"/>
  <c r="U57" i="4"/>
  <c r="T57" i="4"/>
  <c r="S57" i="4"/>
  <c r="R57" i="4"/>
  <c r="Q57" i="4"/>
  <c r="P57" i="4"/>
  <c r="O57" i="4"/>
  <c r="AA56" i="4"/>
  <c r="X56" i="4"/>
  <c r="W56" i="4"/>
  <c r="V56" i="4"/>
  <c r="U56" i="4"/>
  <c r="T56" i="4"/>
  <c r="S56" i="4"/>
  <c r="R56" i="4"/>
  <c r="Q56" i="4"/>
  <c r="P56" i="4"/>
  <c r="O56" i="4"/>
  <c r="AA55" i="4"/>
  <c r="X55" i="4"/>
  <c r="W55" i="4"/>
  <c r="V55" i="4"/>
  <c r="U55" i="4"/>
  <c r="T55" i="4"/>
  <c r="S55" i="4"/>
  <c r="R55" i="4"/>
  <c r="Q55" i="4"/>
  <c r="P55" i="4"/>
  <c r="O55" i="4"/>
  <c r="AA54" i="4"/>
  <c r="X54" i="4"/>
  <c r="W54" i="4"/>
  <c r="V54" i="4"/>
  <c r="U54" i="4"/>
  <c r="T54" i="4"/>
  <c r="S54" i="4"/>
  <c r="R54" i="4"/>
  <c r="Q54" i="4"/>
  <c r="P54" i="4"/>
  <c r="O54" i="4"/>
  <c r="AA53" i="4"/>
  <c r="X53" i="4"/>
  <c r="W53" i="4"/>
  <c r="V53" i="4"/>
  <c r="U53" i="4"/>
  <c r="T53" i="4"/>
  <c r="S53" i="4"/>
  <c r="R53" i="4"/>
  <c r="Q53" i="4"/>
  <c r="P53" i="4"/>
  <c r="O53" i="4"/>
  <c r="AA52" i="4"/>
  <c r="X52" i="4"/>
  <c r="W52" i="4"/>
  <c r="V52" i="4"/>
  <c r="U52" i="4"/>
  <c r="T52" i="4"/>
  <c r="S52" i="4"/>
  <c r="R52" i="4"/>
  <c r="Q52" i="4"/>
  <c r="P52" i="4"/>
  <c r="O52" i="4"/>
  <c r="AA51" i="4"/>
  <c r="X51" i="4"/>
  <c r="W51" i="4"/>
  <c r="V51" i="4"/>
  <c r="U51" i="4"/>
  <c r="T51" i="4"/>
  <c r="S51" i="4"/>
  <c r="R51" i="4"/>
  <c r="Q51" i="4"/>
  <c r="P51" i="4"/>
  <c r="O51" i="4"/>
  <c r="AA50" i="4"/>
  <c r="X50" i="4"/>
  <c r="W50" i="4"/>
  <c r="V50" i="4"/>
  <c r="U50" i="4"/>
  <c r="T50" i="4"/>
  <c r="S50" i="4"/>
  <c r="R50" i="4"/>
  <c r="Q50" i="4"/>
  <c r="P50" i="4"/>
  <c r="O50" i="4"/>
  <c r="AA49" i="4"/>
  <c r="X49" i="4"/>
  <c r="W49" i="4"/>
  <c r="V49" i="4"/>
  <c r="U49" i="4"/>
  <c r="T49" i="4"/>
  <c r="S49" i="4"/>
  <c r="R49" i="4"/>
  <c r="Q49" i="4"/>
  <c r="P49" i="4"/>
  <c r="O49" i="4"/>
  <c r="AA48" i="4"/>
  <c r="X48" i="4"/>
  <c r="W48" i="4"/>
  <c r="V48" i="4"/>
  <c r="U48" i="4"/>
  <c r="T48" i="4"/>
  <c r="S48" i="4"/>
  <c r="R48" i="4"/>
  <c r="Q48" i="4"/>
  <c r="P48" i="4"/>
  <c r="O48" i="4"/>
  <c r="AA47" i="4"/>
  <c r="X47" i="4"/>
  <c r="W47" i="4"/>
  <c r="V47" i="4"/>
  <c r="U47" i="4"/>
  <c r="T47" i="4"/>
  <c r="S47" i="4"/>
  <c r="R47" i="4"/>
  <c r="Q47" i="4"/>
  <c r="P47" i="4"/>
  <c r="O47" i="4"/>
  <c r="AA46" i="4"/>
  <c r="X46" i="4"/>
  <c r="W46" i="4"/>
  <c r="V46" i="4"/>
  <c r="U46" i="4"/>
  <c r="T46" i="4"/>
  <c r="S46" i="4"/>
  <c r="R46" i="4"/>
  <c r="Q46" i="4"/>
  <c r="P46" i="4"/>
  <c r="O46" i="4"/>
  <c r="AA45" i="4"/>
  <c r="X45" i="4"/>
  <c r="W45" i="4"/>
  <c r="V45" i="4"/>
  <c r="U45" i="4"/>
  <c r="T45" i="4"/>
  <c r="S45" i="4"/>
  <c r="R45" i="4"/>
  <c r="Q45" i="4"/>
  <c r="P45" i="4"/>
  <c r="O45" i="4"/>
  <c r="AA44" i="4"/>
  <c r="X44" i="4"/>
  <c r="W44" i="4"/>
  <c r="V44" i="4"/>
  <c r="U44" i="4"/>
  <c r="T44" i="4"/>
  <c r="S44" i="4"/>
  <c r="R44" i="4"/>
  <c r="Q44" i="4"/>
  <c r="P44" i="4"/>
  <c r="O44" i="4"/>
  <c r="AA43" i="4"/>
  <c r="X43" i="4"/>
  <c r="W43" i="4"/>
  <c r="V43" i="4"/>
  <c r="U43" i="4"/>
  <c r="T43" i="4"/>
  <c r="S43" i="4"/>
  <c r="R43" i="4"/>
  <c r="Q43" i="4"/>
  <c r="P43" i="4"/>
  <c r="O43" i="4"/>
  <c r="AA42" i="4"/>
  <c r="X42" i="4"/>
  <c r="W42" i="4"/>
  <c r="V42" i="4"/>
  <c r="U42" i="4"/>
  <c r="T42" i="4"/>
  <c r="S42" i="4"/>
  <c r="R42" i="4"/>
  <c r="Q42" i="4"/>
  <c r="P42" i="4"/>
  <c r="O42" i="4"/>
  <c r="AA41" i="4"/>
  <c r="X41" i="4"/>
  <c r="W41" i="4"/>
  <c r="V41" i="4"/>
  <c r="U41" i="4"/>
  <c r="T41" i="4"/>
  <c r="S41" i="4"/>
  <c r="R41" i="4"/>
  <c r="Q41" i="4"/>
  <c r="P41" i="4"/>
  <c r="O41" i="4"/>
  <c r="AA40" i="4"/>
  <c r="X40" i="4"/>
  <c r="W40" i="4"/>
  <c r="V40" i="4"/>
  <c r="U40" i="4"/>
  <c r="T40" i="4"/>
  <c r="S40" i="4"/>
  <c r="R40" i="4"/>
  <c r="Q40" i="4"/>
  <c r="P40" i="4"/>
  <c r="O40" i="4"/>
  <c r="AA39" i="4"/>
  <c r="X39" i="4"/>
  <c r="W39" i="4"/>
  <c r="V39" i="4"/>
  <c r="U39" i="4"/>
  <c r="T39" i="4"/>
  <c r="S39" i="4"/>
  <c r="R39" i="4"/>
  <c r="Q39" i="4"/>
  <c r="P39" i="4"/>
  <c r="O39" i="4"/>
  <c r="AA38" i="4"/>
  <c r="X38" i="4"/>
  <c r="W38" i="4"/>
  <c r="V38" i="4"/>
  <c r="U38" i="4"/>
  <c r="T38" i="4"/>
  <c r="S38" i="4"/>
  <c r="R38" i="4"/>
  <c r="Q38" i="4"/>
  <c r="P38" i="4"/>
  <c r="O38" i="4"/>
  <c r="AA37" i="4"/>
  <c r="X37" i="4"/>
  <c r="W37" i="4"/>
  <c r="V37" i="4"/>
  <c r="U37" i="4"/>
  <c r="T37" i="4"/>
  <c r="S37" i="4"/>
  <c r="R37" i="4"/>
  <c r="Q37" i="4"/>
  <c r="P37" i="4"/>
  <c r="O37" i="4"/>
  <c r="AA36" i="4"/>
  <c r="X36" i="4"/>
  <c r="W36" i="4"/>
  <c r="V36" i="4"/>
  <c r="U36" i="4"/>
  <c r="T36" i="4"/>
  <c r="S36" i="4"/>
  <c r="R36" i="4"/>
  <c r="Q36" i="4"/>
  <c r="P36" i="4"/>
  <c r="O36" i="4"/>
  <c r="AA35" i="4"/>
  <c r="X35" i="4"/>
  <c r="W35" i="4"/>
  <c r="V35" i="4"/>
  <c r="U35" i="4"/>
  <c r="T35" i="4"/>
  <c r="S35" i="4"/>
  <c r="R35" i="4"/>
  <c r="Q35" i="4"/>
  <c r="P35" i="4"/>
  <c r="O35" i="4"/>
  <c r="AA34" i="4"/>
  <c r="X34" i="4"/>
  <c r="W34" i="4"/>
  <c r="V34" i="4"/>
  <c r="U34" i="4"/>
  <c r="T34" i="4"/>
  <c r="S34" i="4"/>
  <c r="R34" i="4"/>
  <c r="Q34" i="4"/>
  <c r="P34" i="4"/>
  <c r="O34" i="4"/>
  <c r="AA33" i="4"/>
  <c r="X33" i="4"/>
  <c r="W33" i="4"/>
  <c r="V33" i="4"/>
  <c r="U33" i="4"/>
  <c r="T33" i="4"/>
  <c r="S33" i="4"/>
  <c r="R33" i="4"/>
  <c r="Q33" i="4"/>
  <c r="P33" i="4"/>
  <c r="O33" i="4"/>
  <c r="AA32" i="4"/>
  <c r="X32" i="4"/>
  <c r="W32" i="4"/>
  <c r="V32" i="4"/>
  <c r="U32" i="4"/>
  <c r="T32" i="4"/>
  <c r="S32" i="4"/>
  <c r="R32" i="4"/>
  <c r="Q32" i="4"/>
  <c r="P32" i="4"/>
  <c r="O32" i="4"/>
  <c r="AA31" i="4"/>
  <c r="X31" i="4"/>
  <c r="W31" i="4"/>
  <c r="V31" i="4"/>
  <c r="U31" i="4"/>
  <c r="T31" i="4"/>
  <c r="S31" i="4"/>
  <c r="R31" i="4"/>
  <c r="Q31" i="4"/>
  <c r="P31" i="4"/>
  <c r="O31" i="4"/>
  <c r="AA30" i="4"/>
  <c r="X30" i="4"/>
  <c r="W30" i="4"/>
  <c r="V30" i="4"/>
  <c r="U30" i="4"/>
  <c r="T30" i="4"/>
  <c r="S30" i="4"/>
  <c r="R30" i="4"/>
  <c r="Q30" i="4"/>
  <c r="P30" i="4"/>
  <c r="O30" i="4"/>
  <c r="AA29" i="4"/>
  <c r="X29" i="4"/>
  <c r="W29" i="4"/>
  <c r="V29" i="4"/>
  <c r="U29" i="4"/>
  <c r="T29" i="4"/>
  <c r="S29" i="4"/>
  <c r="R29" i="4"/>
  <c r="Q29" i="4"/>
  <c r="P29" i="4"/>
  <c r="O29" i="4"/>
  <c r="AA28" i="4"/>
  <c r="X28" i="4"/>
  <c r="W28" i="4"/>
  <c r="V28" i="4"/>
  <c r="U28" i="4"/>
  <c r="T28" i="4"/>
  <c r="S28" i="4"/>
  <c r="R28" i="4"/>
  <c r="Q28" i="4"/>
  <c r="P28" i="4"/>
  <c r="O28" i="4"/>
  <c r="AA27" i="4"/>
  <c r="X27" i="4"/>
  <c r="W27" i="4"/>
  <c r="V27" i="4"/>
  <c r="U27" i="4"/>
  <c r="T27" i="4"/>
  <c r="S27" i="4"/>
  <c r="R27" i="4"/>
  <c r="Q27" i="4"/>
  <c r="P27" i="4"/>
  <c r="O27" i="4"/>
  <c r="AA26" i="4"/>
  <c r="X26" i="4"/>
  <c r="W26" i="4"/>
  <c r="V26" i="4"/>
  <c r="U26" i="4"/>
  <c r="T26" i="4"/>
  <c r="S26" i="4"/>
  <c r="R26" i="4"/>
  <c r="Q26" i="4"/>
  <c r="P26" i="4"/>
  <c r="O26" i="4"/>
  <c r="AA25" i="4"/>
  <c r="X25" i="4"/>
  <c r="W25" i="4"/>
  <c r="V25" i="4"/>
  <c r="U25" i="4"/>
  <c r="T25" i="4"/>
  <c r="S25" i="4"/>
  <c r="R25" i="4"/>
  <c r="Q25" i="4"/>
  <c r="P25" i="4"/>
  <c r="O25" i="4"/>
  <c r="AA24" i="4"/>
  <c r="X24" i="4"/>
  <c r="W24" i="4"/>
  <c r="V24" i="4"/>
  <c r="U24" i="4"/>
  <c r="T24" i="4"/>
  <c r="S24" i="4"/>
  <c r="R24" i="4"/>
  <c r="Q24" i="4"/>
  <c r="P24" i="4"/>
  <c r="O24" i="4"/>
  <c r="AA23" i="4"/>
  <c r="X23" i="4"/>
  <c r="W23" i="4"/>
  <c r="V23" i="4"/>
  <c r="U23" i="4"/>
  <c r="T23" i="4"/>
  <c r="S23" i="4"/>
  <c r="R23" i="4"/>
  <c r="Q23" i="4"/>
  <c r="P23" i="4"/>
  <c r="O23" i="4"/>
  <c r="AA22" i="4"/>
  <c r="X22" i="4"/>
  <c r="W22" i="4"/>
  <c r="V22" i="4"/>
  <c r="U22" i="4"/>
  <c r="T22" i="4"/>
  <c r="S22" i="4"/>
  <c r="R22" i="4"/>
  <c r="Q22" i="4"/>
  <c r="P22" i="4"/>
  <c r="O22" i="4"/>
  <c r="AA21" i="4"/>
  <c r="X21" i="4"/>
  <c r="W21" i="4"/>
  <c r="V21" i="4"/>
  <c r="U21" i="4"/>
  <c r="T21" i="4"/>
  <c r="S21" i="4"/>
  <c r="R21" i="4"/>
  <c r="Q21" i="4"/>
  <c r="P21" i="4"/>
  <c r="O21" i="4"/>
  <c r="AA20" i="4"/>
  <c r="X20" i="4"/>
  <c r="W20" i="4"/>
  <c r="V20" i="4"/>
  <c r="U20" i="4"/>
  <c r="T20" i="4"/>
  <c r="S20" i="4"/>
  <c r="R20" i="4"/>
  <c r="Q20" i="4"/>
  <c r="P20" i="4"/>
  <c r="O20" i="4"/>
  <c r="AA19" i="4"/>
  <c r="X19" i="4"/>
  <c r="W19" i="4"/>
  <c r="V19" i="4"/>
  <c r="U19" i="4"/>
  <c r="T19" i="4"/>
  <c r="S19" i="4"/>
  <c r="R19" i="4"/>
  <c r="Q19" i="4"/>
  <c r="P19" i="4"/>
  <c r="O19" i="4"/>
  <c r="AA18" i="4"/>
  <c r="X18" i="4"/>
  <c r="W18" i="4"/>
  <c r="V18" i="4"/>
  <c r="U18" i="4"/>
  <c r="T18" i="4"/>
  <c r="S18" i="4"/>
  <c r="R18" i="4"/>
  <c r="Q18" i="4"/>
  <c r="P18" i="4"/>
  <c r="O18" i="4"/>
  <c r="AA17" i="4"/>
  <c r="X17" i="4"/>
  <c r="W17" i="4"/>
  <c r="V17" i="4"/>
  <c r="U17" i="4"/>
  <c r="T17" i="4"/>
  <c r="S17" i="4"/>
  <c r="R17" i="4"/>
  <c r="Q17" i="4"/>
  <c r="P17" i="4"/>
  <c r="O17" i="4"/>
  <c r="AA16" i="4"/>
  <c r="X16" i="4"/>
  <c r="W16" i="4"/>
  <c r="V16" i="4"/>
  <c r="U16" i="4"/>
  <c r="T16" i="4"/>
  <c r="S16" i="4"/>
  <c r="R16" i="4"/>
  <c r="Q16" i="4"/>
  <c r="P16" i="4"/>
  <c r="O16" i="4"/>
  <c r="AA15" i="4"/>
  <c r="X15" i="4"/>
  <c r="W15" i="4"/>
  <c r="V15" i="4"/>
  <c r="U15" i="4"/>
  <c r="T15" i="4"/>
  <c r="S15" i="4"/>
  <c r="R15" i="4"/>
  <c r="Q15" i="4"/>
  <c r="P15" i="4"/>
  <c r="O15" i="4"/>
  <c r="AA14" i="4"/>
  <c r="X14" i="4"/>
  <c r="W14" i="4"/>
  <c r="V14" i="4"/>
  <c r="U14" i="4"/>
  <c r="T14" i="4"/>
  <c r="S14" i="4"/>
  <c r="R14" i="4"/>
  <c r="Q14" i="4"/>
  <c r="P14" i="4"/>
  <c r="O14" i="4"/>
  <c r="AA13" i="4"/>
  <c r="X13" i="4"/>
  <c r="W13" i="4"/>
  <c r="V13" i="4"/>
  <c r="U13" i="4"/>
  <c r="T13" i="4"/>
  <c r="S13" i="4"/>
  <c r="R13" i="4"/>
  <c r="Q13" i="4"/>
  <c r="P13" i="4"/>
  <c r="O13" i="4"/>
  <c r="AA12" i="4"/>
  <c r="X12" i="4"/>
  <c r="W12" i="4"/>
  <c r="V12" i="4"/>
  <c r="U12" i="4"/>
  <c r="T12" i="4"/>
  <c r="S12" i="4"/>
  <c r="R12" i="4"/>
  <c r="Q12" i="4"/>
  <c r="P12" i="4"/>
  <c r="O12" i="4"/>
  <c r="AA11" i="4"/>
  <c r="X11" i="4"/>
  <c r="W11" i="4"/>
  <c r="V11" i="4"/>
  <c r="U11" i="4"/>
  <c r="T11" i="4"/>
  <c r="S11" i="4"/>
  <c r="R11" i="4"/>
  <c r="Q11" i="4"/>
  <c r="P11" i="4"/>
  <c r="O11" i="4"/>
  <c r="AA10" i="4"/>
  <c r="X10" i="4"/>
  <c r="W10" i="4"/>
  <c r="V10" i="4"/>
  <c r="U10" i="4"/>
  <c r="T10" i="4"/>
  <c r="S10" i="4"/>
  <c r="R10" i="4"/>
  <c r="Q10" i="4"/>
  <c r="P10" i="4"/>
  <c r="O10" i="4"/>
  <c r="AA9" i="4"/>
  <c r="X9" i="4"/>
  <c r="W9" i="4"/>
  <c r="V9" i="4"/>
  <c r="U9" i="4"/>
  <c r="T9" i="4"/>
  <c r="S9" i="4"/>
  <c r="R9" i="4"/>
  <c r="Q9" i="4"/>
  <c r="P9" i="4"/>
  <c r="O9" i="4"/>
  <c r="AA8" i="4"/>
  <c r="X8" i="4"/>
  <c r="W8" i="4"/>
  <c r="V8" i="4"/>
  <c r="U8" i="4"/>
  <c r="T8" i="4"/>
  <c r="S8" i="4"/>
  <c r="R8" i="4"/>
  <c r="Q8" i="4"/>
  <c r="P8" i="4"/>
  <c r="O8" i="4"/>
  <c r="AA7" i="4"/>
  <c r="X7" i="4"/>
  <c r="W7" i="4"/>
  <c r="V7" i="4"/>
  <c r="U7" i="4"/>
  <c r="T7" i="4"/>
  <c r="S7" i="4"/>
  <c r="R7" i="4"/>
  <c r="Q7" i="4"/>
  <c r="P7" i="4"/>
  <c r="O7" i="4"/>
  <c r="AA6" i="4"/>
  <c r="X6" i="4"/>
  <c r="W6" i="4"/>
  <c r="V6" i="4"/>
  <c r="U6" i="4"/>
  <c r="T6" i="4"/>
  <c r="S6" i="4"/>
  <c r="R6" i="4"/>
  <c r="Q6" i="4"/>
  <c r="P6" i="4"/>
  <c r="O6" i="4"/>
  <c r="AA5" i="4"/>
  <c r="X5" i="4"/>
  <c r="W5" i="4"/>
  <c r="V5" i="4"/>
  <c r="U5" i="4"/>
  <c r="T5" i="4"/>
  <c r="S5" i="4"/>
  <c r="R5" i="4"/>
  <c r="Q5" i="4"/>
  <c r="P5" i="4"/>
  <c r="O5" i="4"/>
  <c r="AA4" i="4"/>
  <c r="X4" i="4"/>
  <c r="W4" i="4"/>
  <c r="V4" i="4"/>
  <c r="U4" i="4"/>
  <c r="T4" i="4"/>
  <c r="S4" i="4"/>
  <c r="R4" i="4"/>
  <c r="Q4" i="4"/>
  <c r="P4" i="4"/>
  <c r="O4" i="4"/>
  <c r="AA3" i="4"/>
  <c r="X3" i="4"/>
  <c r="W3" i="4"/>
  <c r="V3" i="4"/>
  <c r="U3" i="4"/>
  <c r="T3" i="4"/>
  <c r="S3" i="4"/>
  <c r="R3" i="4"/>
  <c r="Q3" i="4"/>
  <c r="P3" i="4"/>
  <c r="O3" i="4"/>
  <c r="AA2" i="4"/>
  <c r="X2" i="4"/>
  <c r="W2" i="4"/>
  <c r="V2" i="4"/>
  <c r="U2" i="4"/>
  <c r="T2" i="4"/>
  <c r="S2" i="4"/>
  <c r="R2" i="4"/>
  <c r="Q2" i="4"/>
  <c r="P2" i="4"/>
  <c r="O2" i="4"/>
  <c r="AC518" i="5"/>
  <c r="AC1" i="5" s="1"/>
  <c r="AD518" i="5"/>
  <c r="AD1" i="5" s="1"/>
  <c r="AC519" i="5"/>
  <c r="AD519" i="5"/>
  <c r="AC520" i="5"/>
  <c r="AD520" i="5"/>
  <c r="AC521" i="5"/>
  <c r="AD521" i="5"/>
  <c r="AC522" i="5"/>
  <c r="AD522" i="5"/>
  <c r="AC523" i="5"/>
  <c r="AD523" i="5"/>
  <c r="O518" i="5"/>
  <c r="P518" i="5"/>
  <c r="Q518" i="5"/>
  <c r="R518" i="5"/>
  <c r="S518" i="5"/>
  <c r="T518" i="5"/>
  <c r="U518" i="5"/>
  <c r="V518" i="5"/>
  <c r="W518" i="5"/>
  <c r="X518" i="5"/>
  <c r="O519" i="5"/>
  <c r="P519" i="5"/>
  <c r="Q519" i="5"/>
  <c r="R519" i="5"/>
  <c r="S519" i="5"/>
  <c r="T519" i="5"/>
  <c r="U519" i="5"/>
  <c r="V519" i="5"/>
  <c r="W519" i="5"/>
  <c r="X519" i="5"/>
  <c r="O520" i="5"/>
  <c r="P520" i="5"/>
  <c r="Q520" i="5"/>
  <c r="R520" i="5"/>
  <c r="S520" i="5"/>
  <c r="T520" i="5"/>
  <c r="U520" i="5"/>
  <c r="V520" i="5"/>
  <c r="W520" i="5"/>
  <c r="X520" i="5"/>
  <c r="O521" i="5"/>
  <c r="P521" i="5"/>
  <c r="Q521" i="5"/>
  <c r="R521" i="5"/>
  <c r="S521" i="5"/>
  <c r="T521" i="5"/>
  <c r="U521" i="5"/>
  <c r="V521" i="5"/>
  <c r="W521" i="5"/>
  <c r="X521" i="5"/>
  <c r="O522" i="5"/>
  <c r="P522" i="5"/>
  <c r="Q522" i="5"/>
  <c r="R522" i="5"/>
  <c r="S522" i="5"/>
  <c r="T522" i="5"/>
  <c r="U522" i="5"/>
  <c r="V522" i="5"/>
  <c r="W522" i="5"/>
  <c r="X522" i="5"/>
  <c r="O523" i="5"/>
  <c r="P523" i="5"/>
  <c r="Q523" i="5"/>
  <c r="R523" i="5"/>
  <c r="S523" i="5"/>
  <c r="T523" i="5"/>
  <c r="U523" i="5"/>
  <c r="V523" i="5"/>
  <c r="W523" i="5"/>
  <c r="X523" i="5"/>
  <c r="O518" i="3"/>
  <c r="P518" i="3"/>
  <c r="Q518" i="3"/>
  <c r="R518" i="3"/>
  <c r="S518" i="3"/>
  <c r="T518" i="3"/>
  <c r="U518" i="3"/>
  <c r="V518" i="3"/>
  <c r="W518" i="3"/>
  <c r="X518" i="3"/>
  <c r="O519" i="3"/>
  <c r="P519" i="3"/>
  <c r="Q519" i="3"/>
  <c r="R519" i="3"/>
  <c r="S519" i="3"/>
  <c r="T519" i="3"/>
  <c r="U519" i="3"/>
  <c r="V519" i="3"/>
  <c r="W519" i="3"/>
  <c r="X519" i="3"/>
  <c r="O520" i="3"/>
  <c r="P520" i="3"/>
  <c r="Q520" i="3"/>
  <c r="R520" i="3"/>
  <c r="S520" i="3"/>
  <c r="T520" i="3"/>
  <c r="U520" i="3"/>
  <c r="V520" i="3"/>
  <c r="W520" i="3"/>
  <c r="X520" i="3"/>
  <c r="O521" i="3"/>
  <c r="P521" i="3"/>
  <c r="Q521" i="3"/>
  <c r="R521" i="3"/>
  <c r="S521" i="3"/>
  <c r="T521" i="3"/>
  <c r="U521" i="3"/>
  <c r="V521" i="3"/>
  <c r="W521" i="3"/>
  <c r="X521" i="3"/>
  <c r="O522" i="3"/>
  <c r="P522" i="3"/>
  <c r="Q522" i="3"/>
  <c r="R522" i="3"/>
  <c r="S522" i="3"/>
  <c r="T522" i="3"/>
  <c r="U522" i="3"/>
  <c r="V522" i="3"/>
  <c r="W522" i="3"/>
  <c r="X522" i="3"/>
  <c r="O523" i="3"/>
  <c r="P523" i="3"/>
  <c r="Q523" i="3"/>
  <c r="R523" i="3"/>
  <c r="S523" i="3"/>
  <c r="T523" i="3"/>
  <c r="U523" i="3"/>
  <c r="V523" i="3"/>
  <c r="W523" i="3"/>
  <c r="X523" i="3"/>
  <c r="AC431" i="5"/>
  <c r="AD431" i="5"/>
  <c r="AC432" i="5"/>
  <c r="AD432" i="5"/>
  <c r="AC433" i="5"/>
  <c r="AD433" i="5"/>
  <c r="AC434" i="5"/>
  <c r="AD434" i="5"/>
  <c r="AC435" i="5"/>
  <c r="AD435" i="5"/>
  <c r="AC436" i="5"/>
  <c r="AD436" i="5"/>
  <c r="AC437" i="5"/>
  <c r="AD437" i="5"/>
  <c r="AC438" i="5"/>
  <c r="AD438" i="5"/>
  <c r="AC439" i="5"/>
  <c r="AD439" i="5"/>
  <c r="AC440" i="5"/>
  <c r="AD440" i="5"/>
  <c r="AC441" i="5"/>
  <c r="AD441" i="5"/>
  <c r="AC442" i="5"/>
  <c r="AD442" i="5"/>
  <c r="AC443" i="5"/>
  <c r="AD443" i="5"/>
  <c r="AC444" i="5"/>
  <c r="AD444" i="5"/>
  <c r="AC445" i="5"/>
  <c r="AD445" i="5"/>
  <c r="AC446" i="5"/>
  <c r="AD446" i="5"/>
  <c r="AC447" i="5"/>
  <c r="AD447" i="5"/>
  <c r="AC448" i="5"/>
  <c r="AD448" i="5"/>
  <c r="AC449" i="5"/>
  <c r="AD449" i="5"/>
  <c r="AC450" i="5"/>
  <c r="AD450" i="5"/>
  <c r="AC451" i="5"/>
  <c r="AD451" i="5"/>
  <c r="AC452" i="5"/>
  <c r="AD452" i="5"/>
  <c r="AC453" i="5"/>
  <c r="AD453" i="5"/>
  <c r="AC454" i="5"/>
  <c r="AD454" i="5"/>
  <c r="AC455" i="5"/>
  <c r="AD455" i="5"/>
  <c r="AC456" i="5"/>
  <c r="AD456" i="5"/>
  <c r="AC457" i="5"/>
  <c r="AD457" i="5"/>
  <c r="AC458" i="5"/>
  <c r="AD458" i="5"/>
  <c r="AC459" i="5"/>
  <c r="AD459" i="5"/>
  <c r="AC460" i="5"/>
  <c r="AD460" i="5"/>
  <c r="AC461" i="5"/>
  <c r="AD461" i="5"/>
  <c r="AC462" i="5"/>
  <c r="AD462" i="5"/>
  <c r="AC463" i="5"/>
  <c r="AD463" i="5"/>
  <c r="AC464" i="5"/>
  <c r="AD464" i="5"/>
  <c r="AC465" i="5"/>
  <c r="AD465" i="5"/>
  <c r="AC466" i="5"/>
  <c r="AD466" i="5"/>
  <c r="AC467" i="5"/>
  <c r="AD467" i="5"/>
  <c r="AC468" i="5"/>
  <c r="AD468" i="5"/>
  <c r="AC469" i="5"/>
  <c r="AD469" i="5"/>
  <c r="AC470" i="5"/>
  <c r="AD470" i="5"/>
  <c r="AC471" i="5"/>
  <c r="AD471" i="5"/>
  <c r="AC472" i="5"/>
  <c r="AD472" i="5"/>
  <c r="AC473" i="5"/>
  <c r="AD473" i="5"/>
  <c r="AC474" i="5"/>
  <c r="AD474" i="5"/>
  <c r="AC475" i="5"/>
  <c r="AD475" i="5"/>
  <c r="AC476" i="5"/>
  <c r="AD476" i="5"/>
  <c r="AC477" i="5"/>
  <c r="AD477" i="5"/>
  <c r="AC478" i="5"/>
  <c r="AD478" i="5"/>
  <c r="AC479" i="5"/>
  <c r="AD479" i="5"/>
  <c r="AC480" i="5"/>
  <c r="AD480" i="5"/>
  <c r="AC481" i="5"/>
  <c r="AD481" i="5"/>
  <c r="AC482" i="5"/>
  <c r="AD482" i="5"/>
  <c r="AC483" i="5"/>
  <c r="AD483" i="5"/>
  <c r="AC484" i="5"/>
  <c r="AD484" i="5"/>
  <c r="AC485" i="5"/>
  <c r="AD485" i="5"/>
  <c r="AC486" i="5"/>
  <c r="AD486" i="5"/>
  <c r="AC487" i="5"/>
  <c r="AD487" i="5"/>
  <c r="AC488" i="5"/>
  <c r="AD488" i="5"/>
  <c r="AC489" i="5"/>
  <c r="AD489" i="5"/>
  <c r="AC490" i="5"/>
  <c r="AD490" i="5"/>
  <c r="AC491" i="5"/>
  <c r="AD491" i="5"/>
  <c r="AC492" i="5"/>
  <c r="AD492" i="5"/>
  <c r="AC493" i="5"/>
  <c r="AD493" i="5"/>
  <c r="AC494" i="5"/>
  <c r="AD494" i="5"/>
  <c r="AC495" i="5"/>
  <c r="AD495" i="5"/>
  <c r="AC496" i="5"/>
  <c r="AD496" i="5"/>
  <c r="AC497" i="5"/>
  <c r="AD497" i="5"/>
  <c r="AC498" i="5"/>
  <c r="AD498" i="5"/>
  <c r="AC499" i="5"/>
  <c r="AD499" i="5"/>
  <c r="AC500" i="5"/>
  <c r="AD500" i="5"/>
  <c r="AC501" i="5"/>
  <c r="AD501" i="5"/>
  <c r="AC502" i="5"/>
  <c r="AD502" i="5"/>
  <c r="AC503" i="5"/>
  <c r="AD503" i="5"/>
  <c r="AC504" i="5"/>
  <c r="AD504" i="5"/>
  <c r="AC505" i="5"/>
  <c r="AD505" i="5"/>
  <c r="AC506" i="5"/>
  <c r="AD506" i="5"/>
  <c r="AC507" i="5"/>
  <c r="AD507" i="5"/>
  <c r="AC508" i="5"/>
  <c r="AD508" i="5"/>
  <c r="AC509" i="5"/>
  <c r="AD509" i="5"/>
  <c r="AC510" i="5"/>
  <c r="AD510" i="5"/>
  <c r="AC511" i="5"/>
  <c r="AD511" i="5"/>
  <c r="AC512" i="5"/>
  <c r="AD512" i="5"/>
  <c r="AC513" i="5"/>
  <c r="AD513" i="5"/>
  <c r="AC514" i="5"/>
  <c r="AD514" i="5"/>
  <c r="AC515" i="5"/>
  <c r="AD515" i="5"/>
  <c r="AC516" i="5"/>
  <c r="AD516" i="5"/>
  <c r="AC517" i="5"/>
  <c r="AD517" i="5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O431" i="5"/>
  <c r="P431" i="5"/>
  <c r="Q431" i="5"/>
  <c r="R431" i="5"/>
  <c r="S431" i="5"/>
  <c r="T431" i="5"/>
  <c r="U431" i="5"/>
  <c r="V431" i="5"/>
  <c r="W431" i="5"/>
  <c r="X431" i="5"/>
  <c r="O432" i="5"/>
  <c r="P432" i="5"/>
  <c r="Q432" i="5"/>
  <c r="R432" i="5"/>
  <c r="S432" i="5"/>
  <c r="T432" i="5"/>
  <c r="U432" i="5"/>
  <c r="V432" i="5"/>
  <c r="W432" i="5"/>
  <c r="X432" i="5"/>
  <c r="O433" i="5"/>
  <c r="P433" i="5"/>
  <c r="Q433" i="5"/>
  <c r="R433" i="5"/>
  <c r="S433" i="5"/>
  <c r="T433" i="5"/>
  <c r="U433" i="5"/>
  <c r="V433" i="5"/>
  <c r="W433" i="5"/>
  <c r="X433" i="5"/>
  <c r="O434" i="5"/>
  <c r="P434" i="5"/>
  <c r="Q434" i="5"/>
  <c r="R434" i="5"/>
  <c r="S434" i="5"/>
  <c r="T434" i="5"/>
  <c r="U434" i="5"/>
  <c r="V434" i="5"/>
  <c r="W434" i="5"/>
  <c r="X434" i="5"/>
  <c r="O435" i="5"/>
  <c r="P435" i="5"/>
  <c r="Q435" i="5"/>
  <c r="R435" i="5"/>
  <c r="S435" i="5"/>
  <c r="T435" i="5"/>
  <c r="U435" i="5"/>
  <c r="V435" i="5"/>
  <c r="W435" i="5"/>
  <c r="X435" i="5"/>
  <c r="O436" i="5"/>
  <c r="P436" i="5"/>
  <c r="Q436" i="5"/>
  <c r="R436" i="5"/>
  <c r="S436" i="5"/>
  <c r="T436" i="5"/>
  <c r="U436" i="5"/>
  <c r="V436" i="5"/>
  <c r="W436" i="5"/>
  <c r="X436" i="5"/>
  <c r="O437" i="5"/>
  <c r="P437" i="5"/>
  <c r="Q437" i="5"/>
  <c r="R437" i="5"/>
  <c r="S437" i="5"/>
  <c r="T437" i="5"/>
  <c r="U437" i="5"/>
  <c r="V437" i="5"/>
  <c r="W437" i="5"/>
  <c r="X437" i="5"/>
  <c r="O438" i="5"/>
  <c r="P438" i="5"/>
  <c r="Q438" i="5"/>
  <c r="R438" i="5"/>
  <c r="S438" i="5"/>
  <c r="T438" i="5"/>
  <c r="U438" i="5"/>
  <c r="V438" i="5"/>
  <c r="W438" i="5"/>
  <c r="X438" i="5"/>
  <c r="O439" i="5"/>
  <c r="P439" i="5"/>
  <c r="Q439" i="5"/>
  <c r="R439" i="5"/>
  <c r="S439" i="5"/>
  <c r="T439" i="5"/>
  <c r="U439" i="5"/>
  <c r="V439" i="5"/>
  <c r="W439" i="5"/>
  <c r="X439" i="5"/>
  <c r="O440" i="5"/>
  <c r="P440" i="5"/>
  <c r="Q440" i="5"/>
  <c r="R440" i="5"/>
  <c r="S440" i="5"/>
  <c r="T440" i="5"/>
  <c r="U440" i="5"/>
  <c r="V440" i="5"/>
  <c r="W440" i="5"/>
  <c r="X440" i="5"/>
  <c r="O441" i="5"/>
  <c r="P441" i="5"/>
  <c r="Q441" i="5"/>
  <c r="R441" i="5"/>
  <c r="S441" i="5"/>
  <c r="T441" i="5"/>
  <c r="U441" i="5"/>
  <c r="V441" i="5"/>
  <c r="W441" i="5"/>
  <c r="X441" i="5"/>
  <c r="O442" i="5"/>
  <c r="P442" i="5"/>
  <c r="Q442" i="5"/>
  <c r="R442" i="5"/>
  <c r="S442" i="5"/>
  <c r="T442" i="5"/>
  <c r="U442" i="5"/>
  <c r="V442" i="5"/>
  <c r="W442" i="5"/>
  <c r="X442" i="5"/>
  <c r="O443" i="5"/>
  <c r="P443" i="5"/>
  <c r="Q443" i="5"/>
  <c r="R443" i="5"/>
  <c r="S443" i="5"/>
  <c r="T443" i="5"/>
  <c r="U443" i="5"/>
  <c r="V443" i="5"/>
  <c r="W443" i="5"/>
  <c r="X443" i="5"/>
  <c r="O444" i="5"/>
  <c r="P444" i="5"/>
  <c r="Q444" i="5"/>
  <c r="R444" i="5"/>
  <c r="S444" i="5"/>
  <c r="T444" i="5"/>
  <c r="U444" i="5"/>
  <c r="V444" i="5"/>
  <c r="W444" i="5"/>
  <c r="X444" i="5"/>
  <c r="O445" i="5"/>
  <c r="P445" i="5"/>
  <c r="Q445" i="5"/>
  <c r="R445" i="5"/>
  <c r="S445" i="5"/>
  <c r="T445" i="5"/>
  <c r="U445" i="5"/>
  <c r="V445" i="5"/>
  <c r="W445" i="5"/>
  <c r="X445" i="5"/>
  <c r="O446" i="5"/>
  <c r="P446" i="5"/>
  <c r="Q446" i="5"/>
  <c r="R446" i="5"/>
  <c r="S446" i="5"/>
  <c r="T446" i="5"/>
  <c r="U446" i="5"/>
  <c r="V446" i="5"/>
  <c r="W446" i="5"/>
  <c r="X446" i="5"/>
  <c r="O447" i="5"/>
  <c r="P447" i="5"/>
  <c r="Q447" i="5"/>
  <c r="R447" i="5"/>
  <c r="S447" i="5"/>
  <c r="T447" i="5"/>
  <c r="U447" i="5"/>
  <c r="V447" i="5"/>
  <c r="W447" i="5"/>
  <c r="X447" i="5"/>
  <c r="O448" i="5"/>
  <c r="P448" i="5"/>
  <c r="Q448" i="5"/>
  <c r="R448" i="5"/>
  <c r="S448" i="5"/>
  <c r="T448" i="5"/>
  <c r="U448" i="5"/>
  <c r="V448" i="5"/>
  <c r="W448" i="5"/>
  <c r="X448" i="5"/>
  <c r="O449" i="5"/>
  <c r="P449" i="5"/>
  <c r="Q449" i="5"/>
  <c r="R449" i="5"/>
  <c r="S449" i="5"/>
  <c r="T449" i="5"/>
  <c r="U449" i="5"/>
  <c r="V449" i="5"/>
  <c r="W449" i="5"/>
  <c r="X449" i="5"/>
  <c r="O450" i="5"/>
  <c r="P450" i="5"/>
  <c r="Q450" i="5"/>
  <c r="R450" i="5"/>
  <c r="S450" i="5"/>
  <c r="T450" i="5"/>
  <c r="U450" i="5"/>
  <c r="V450" i="5"/>
  <c r="W450" i="5"/>
  <c r="X450" i="5"/>
  <c r="O451" i="5"/>
  <c r="P451" i="5"/>
  <c r="Q451" i="5"/>
  <c r="R451" i="5"/>
  <c r="S451" i="5"/>
  <c r="T451" i="5"/>
  <c r="U451" i="5"/>
  <c r="V451" i="5"/>
  <c r="W451" i="5"/>
  <c r="X451" i="5"/>
  <c r="O452" i="5"/>
  <c r="P452" i="5"/>
  <c r="Q452" i="5"/>
  <c r="R452" i="5"/>
  <c r="S452" i="5"/>
  <c r="T452" i="5"/>
  <c r="U452" i="5"/>
  <c r="V452" i="5"/>
  <c r="W452" i="5"/>
  <c r="X452" i="5"/>
  <c r="O453" i="5"/>
  <c r="P453" i="5"/>
  <c r="Q453" i="5"/>
  <c r="R453" i="5"/>
  <c r="S453" i="5"/>
  <c r="T453" i="5"/>
  <c r="U453" i="5"/>
  <c r="V453" i="5"/>
  <c r="W453" i="5"/>
  <c r="X453" i="5"/>
  <c r="O454" i="5"/>
  <c r="P454" i="5"/>
  <c r="Q454" i="5"/>
  <c r="R454" i="5"/>
  <c r="S454" i="5"/>
  <c r="T454" i="5"/>
  <c r="U454" i="5"/>
  <c r="V454" i="5"/>
  <c r="W454" i="5"/>
  <c r="X454" i="5"/>
  <c r="O455" i="5"/>
  <c r="P455" i="5"/>
  <c r="Q455" i="5"/>
  <c r="R455" i="5"/>
  <c r="S455" i="5"/>
  <c r="T455" i="5"/>
  <c r="U455" i="5"/>
  <c r="V455" i="5"/>
  <c r="W455" i="5"/>
  <c r="X455" i="5"/>
  <c r="O456" i="5"/>
  <c r="P456" i="5"/>
  <c r="Q456" i="5"/>
  <c r="R456" i="5"/>
  <c r="S456" i="5"/>
  <c r="T456" i="5"/>
  <c r="U456" i="5"/>
  <c r="V456" i="5"/>
  <c r="W456" i="5"/>
  <c r="X456" i="5"/>
  <c r="O457" i="5"/>
  <c r="P457" i="5"/>
  <c r="Q457" i="5"/>
  <c r="R457" i="5"/>
  <c r="S457" i="5"/>
  <c r="T457" i="5"/>
  <c r="U457" i="5"/>
  <c r="V457" i="5"/>
  <c r="W457" i="5"/>
  <c r="X457" i="5"/>
  <c r="O458" i="5"/>
  <c r="P458" i="5"/>
  <c r="Q458" i="5"/>
  <c r="R458" i="5"/>
  <c r="S458" i="5"/>
  <c r="T458" i="5"/>
  <c r="U458" i="5"/>
  <c r="V458" i="5"/>
  <c r="W458" i="5"/>
  <c r="X458" i="5"/>
  <c r="O459" i="5"/>
  <c r="P459" i="5"/>
  <c r="Q459" i="5"/>
  <c r="R459" i="5"/>
  <c r="S459" i="5"/>
  <c r="T459" i="5"/>
  <c r="U459" i="5"/>
  <c r="V459" i="5"/>
  <c r="W459" i="5"/>
  <c r="X459" i="5"/>
  <c r="O460" i="5"/>
  <c r="P460" i="5"/>
  <c r="Q460" i="5"/>
  <c r="R460" i="5"/>
  <c r="S460" i="5"/>
  <c r="T460" i="5"/>
  <c r="U460" i="5"/>
  <c r="V460" i="5"/>
  <c r="W460" i="5"/>
  <c r="X460" i="5"/>
  <c r="O461" i="5"/>
  <c r="P461" i="5"/>
  <c r="Q461" i="5"/>
  <c r="R461" i="5"/>
  <c r="S461" i="5"/>
  <c r="T461" i="5"/>
  <c r="U461" i="5"/>
  <c r="V461" i="5"/>
  <c r="W461" i="5"/>
  <c r="X461" i="5"/>
  <c r="O462" i="5"/>
  <c r="P462" i="5"/>
  <c r="Q462" i="5"/>
  <c r="R462" i="5"/>
  <c r="S462" i="5"/>
  <c r="T462" i="5"/>
  <c r="U462" i="5"/>
  <c r="V462" i="5"/>
  <c r="W462" i="5"/>
  <c r="X462" i="5"/>
  <c r="O463" i="5"/>
  <c r="P463" i="5"/>
  <c r="Q463" i="5"/>
  <c r="R463" i="5"/>
  <c r="S463" i="5"/>
  <c r="T463" i="5"/>
  <c r="U463" i="5"/>
  <c r="V463" i="5"/>
  <c r="W463" i="5"/>
  <c r="X463" i="5"/>
  <c r="O464" i="5"/>
  <c r="P464" i="5"/>
  <c r="Q464" i="5"/>
  <c r="R464" i="5"/>
  <c r="S464" i="5"/>
  <c r="T464" i="5"/>
  <c r="U464" i="5"/>
  <c r="V464" i="5"/>
  <c r="W464" i="5"/>
  <c r="X464" i="5"/>
  <c r="O465" i="5"/>
  <c r="P465" i="5"/>
  <c r="Q465" i="5"/>
  <c r="R465" i="5"/>
  <c r="S465" i="5"/>
  <c r="T465" i="5"/>
  <c r="U465" i="5"/>
  <c r="V465" i="5"/>
  <c r="W465" i="5"/>
  <c r="X465" i="5"/>
  <c r="O466" i="5"/>
  <c r="P466" i="5"/>
  <c r="Q466" i="5"/>
  <c r="R466" i="5"/>
  <c r="S466" i="5"/>
  <c r="T466" i="5"/>
  <c r="U466" i="5"/>
  <c r="V466" i="5"/>
  <c r="W466" i="5"/>
  <c r="X466" i="5"/>
  <c r="O467" i="5"/>
  <c r="P467" i="5"/>
  <c r="Q467" i="5"/>
  <c r="R467" i="5"/>
  <c r="S467" i="5"/>
  <c r="T467" i="5"/>
  <c r="U467" i="5"/>
  <c r="V467" i="5"/>
  <c r="W467" i="5"/>
  <c r="X467" i="5"/>
  <c r="O468" i="5"/>
  <c r="P468" i="5"/>
  <c r="Q468" i="5"/>
  <c r="R468" i="5"/>
  <c r="S468" i="5"/>
  <c r="T468" i="5"/>
  <c r="U468" i="5"/>
  <c r="V468" i="5"/>
  <c r="W468" i="5"/>
  <c r="X468" i="5"/>
  <c r="O469" i="5"/>
  <c r="P469" i="5"/>
  <c r="Q469" i="5"/>
  <c r="R469" i="5"/>
  <c r="S469" i="5"/>
  <c r="T469" i="5"/>
  <c r="U469" i="5"/>
  <c r="V469" i="5"/>
  <c r="W469" i="5"/>
  <c r="X469" i="5"/>
  <c r="O470" i="5"/>
  <c r="P470" i="5"/>
  <c r="Q470" i="5"/>
  <c r="R470" i="5"/>
  <c r="S470" i="5"/>
  <c r="T470" i="5"/>
  <c r="U470" i="5"/>
  <c r="V470" i="5"/>
  <c r="W470" i="5"/>
  <c r="X470" i="5"/>
  <c r="O471" i="5"/>
  <c r="P471" i="5"/>
  <c r="Q471" i="5"/>
  <c r="R471" i="5"/>
  <c r="S471" i="5"/>
  <c r="T471" i="5"/>
  <c r="U471" i="5"/>
  <c r="V471" i="5"/>
  <c r="W471" i="5"/>
  <c r="X471" i="5"/>
  <c r="O472" i="5"/>
  <c r="P472" i="5"/>
  <c r="Q472" i="5"/>
  <c r="R472" i="5"/>
  <c r="S472" i="5"/>
  <c r="T472" i="5"/>
  <c r="U472" i="5"/>
  <c r="V472" i="5"/>
  <c r="W472" i="5"/>
  <c r="X472" i="5"/>
  <c r="O473" i="5"/>
  <c r="P473" i="5"/>
  <c r="Q473" i="5"/>
  <c r="R473" i="5"/>
  <c r="S473" i="5"/>
  <c r="T473" i="5"/>
  <c r="U473" i="5"/>
  <c r="V473" i="5"/>
  <c r="W473" i="5"/>
  <c r="X473" i="5"/>
  <c r="O474" i="5"/>
  <c r="P474" i="5"/>
  <c r="Q474" i="5"/>
  <c r="R474" i="5"/>
  <c r="S474" i="5"/>
  <c r="T474" i="5"/>
  <c r="U474" i="5"/>
  <c r="V474" i="5"/>
  <c r="W474" i="5"/>
  <c r="X474" i="5"/>
  <c r="O475" i="5"/>
  <c r="P475" i="5"/>
  <c r="Q475" i="5"/>
  <c r="R475" i="5"/>
  <c r="S475" i="5"/>
  <c r="T475" i="5"/>
  <c r="U475" i="5"/>
  <c r="V475" i="5"/>
  <c r="W475" i="5"/>
  <c r="X475" i="5"/>
  <c r="O476" i="5"/>
  <c r="P476" i="5"/>
  <c r="Q476" i="5"/>
  <c r="R476" i="5"/>
  <c r="S476" i="5"/>
  <c r="T476" i="5"/>
  <c r="U476" i="5"/>
  <c r="V476" i="5"/>
  <c r="W476" i="5"/>
  <c r="X476" i="5"/>
  <c r="O477" i="5"/>
  <c r="P477" i="5"/>
  <c r="Q477" i="5"/>
  <c r="R477" i="5"/>
  <c r="S477" i="5"/>
  <c r="T477" i="5"/>
  <c r="U477" i="5"/>
  <c r="V477" i="5"/>
  <c r="W477" i="5"/>
  <c r="X477" i="5"/>
  <c r="O478" i="5"/>
  <c r="P478" i="5"/>
  <c r="Q478" i="5"/>
  <c r="R478" i="5"/>
  <c r="S478" i="5"/>
  <c r="T478" i="5"/>
  <c r="U478" i="5"/>
  <c r="V478" i="5"/>
  <c r="W478" i="5"/>
  <c r="X478" i="5"/>
  <c r="O479" i="5"/>
  <c r="P479" i="5"/>
  <c r="Q479" i="5"/>
  <c r="R479" i="5"/>
  <c r="S479" i="5"/>
  <c r="T479" i="5"/>
  <c r="U479" i="5"/>
  <c r="V479" i="5"/>
  <c r="W479" i="5"/>
  <c r="X479" i="5"/>
  <c r="O480" i="5"/>
  <c r="P480" i="5"/>
  <c r="Q480" i="5"/>
  <c r="R480" i="5"/>
  <c r="S480" i="5"/>
  <c r="T480" i="5"/>
  <c r="U480" i="5"/>
  <c r="V480" i="5"/>
  <c r="W480" i="5"/>
  <c r="X480" i="5"/>
  <c r="O481" i="5"/>
  <c r="P481" i="5"/>
  <c r="Q481" i="5"/>
  <c r="R481" i="5"/>
  <c r="S481" i="5"/>
  <c r="T481" i="5"/>
  <c r="U481" i="5"/>
  <c r="V481" i="5"/>
  <c r="W481" i="5"/>
  <c r="X481" i="5"/>
  <c r="O482" i="5"/>
  <c r="P482" i="5"/>
  <c r="Q482" i="5"/>
  <c r="R482" i="5"/>
  <c r="S482" i="5"/>
  <c r="T482" i="5"/>
  <c r="U482" i="5"/>
  <c r="V482" i="5"/>
  <c r="W482" i="5"/>
  <c r="X482" i="5"/>
  <c r="O483" i="5"/>
  <c r="P483" i="5"/>
  <c r="Q483" i="5"/>
  <c r="R483" i="5"/>
  <c r="S483" i="5"/>
  <c r="T483" i="5"/>
  <c r="U483" i="5"/>
  <c r="V483" i="5"/>
  <c r="W483" i="5"/>
  <c r="X483" i="5"/>
  <c r="O484" i="5"/>
  <c r="P484" i="5"/>
  <c r="Q484" i="5"/>
  <c r="R484" i="5"/>
  <c r="S484" i="5"/>
  <c r="T484" i="5"/>
  <c r="U484" i="5"/>
  <c r="V484" i="5"/>
  <c r="W484" i="5"/>
  <c r="X484" i="5"/>
  <c r="O485" i="5"/>
  <c r="P485" i="5"/>
  <c r="Q485" i="5"/>
  <c r="R485" i="5"/>
  <c r="S485" i="5"/>
  <c r="T485" i="5"/>
  <c r="U485" i="5"/>
  <c r="V485" i="5"/>
  <c r="W485" i="5"/>
  <c r="X485" i="5"/>
  <c r="O486" i="5"/>
  <c r="P486" i="5"/>
  <c r="Q486" i="5"/>
  <c r="R486" i="5"/>
  <c r="S486" i="5"/>
  <c r="T486" i="5"/>
  <c r="U486" i="5"/>
  <c r="V486" i="5"/>
  <c r="W486" i="5"/>
  <c r="X486" i="5"/>
  <c r="O487" i="5"/>
  <c r="P487" i="5"/>
  <c r="Q487" i="5"/>
  <c r="R487" i="5"/>
  <c r="S487" i="5"/>
  <c r="T487" i="5"/>
  <c r="U487" i="5"/>
  <c r="V487" i="5"/>
  <c r="W487" i="5"/>
  <c r="X487" i="5"/>
  <c r="O488" i="5"/>
  <c r="P488" i="5"/>
  <c r="Q488" i="5"/>
  <c r="R488" i="5"/>
  <c r="S488" i="5"/>
  <c r="T488" i="5"/>
  <c r="U488" i="5"/>
  <c r="V488" i="5"/>
  <c r="W488" i="5"/>
  <c r="X488" i="5"/>
  <c r="O489" i="5"/>
  <c r="P489" i="5"/>
  <c r="Q489" i="5"/>
  <c r="R489" i="5"/>
  <c r="S489" i="5"/>
  <c r="T489" i="5"/>
  <c r="U489" i="5"/>
  <c r="V489" i="5"/>
  <c r="W489" i="5"/>
  <c r="X489" i="5"/>
  <c r="O490" i="5"/>
  <c r="P490" i="5"/>
  <c r="Q490" i="5"/>
  <c r="R490" i="5"/>
  <c r="S490" i="5"/>
  <c r="T490" i="5"/>
  <c r="U490" i="5"/>
  <c r="V490" i="5"/>
  <c r="W490" i="5"/>
  <c r="X490" i="5"/>
  <c r="O491" i="5"/>
  <c r="P491" i="5"/>
  <c r="Q491" i="5"/>
  <c r="R491" i="5"/>
  <c r="S491" i="5"/>
  <c r="T491" i="5"/>
  <c r="U491" i="5"/>
  <c r="V491" i="5"/>
  <c r="W491" i="5"/>
  <c r="X491" i="5"/>
  <c r="O492" i="5"/>
  <c r="P492" i="5"/>
  <c r="Q492" i="5"/>
  <c r="R492" i="5"/>
  <c r="S492" i="5"/>
  <c r="T492" i="5"/>
  <c r="U492" i="5"/>
  <c r="V492" i="5"/>
  <c r="W492" i="5"/>
  <c r="X492" i="5"/>
  <c r="O493" i="5"/>
  <c r="P493" i="5"/>
  <c r="Q493" i="5"/>
  <c r="R493" i="5"/>
  <c r="S493" i="5"/>
  <c r="T493" i="5"/>
  <c r="U493" i="5"/>
  <c r="V493" i="5"/>
  <c r="W493" i="5"/>
  <c r="X493" i="5"/>
  <c r="O494" i="5"/>
  <c r="P494" i="5"/>
  <c r="Q494" i="5"/>
  <c r="R494" i="5"/>
  <c r="S494" i="5"/>
  <c r="T494" i="5"/>
  <c r="U494" i="5"/>
  <c r="V494" i="5"/>
  <c r="W494" i="5"/>
  <c r="X494" i="5"/>
  <c r="O495" i="5"/>
  <c r="P495" i="5"/>
  <c r="Q495" i="5"/>
  <c r="R495" i="5"/>
  <c r="S495" i="5"/>
  <c r="T495" i="5"/>
  <c r="U495" i="5"/>
  <c r="V495" i="5"/>
  <c r="W495" i="5"/>
  <c r="X495" i="5"/>
  <c r="O496" i="5"/>
  <c r="P496" i="5"/>
  <c r="Q496" i="5"/>
  <c r="R496" i="5"/>
  <c r="S496" i="5"/>
  <c r="T496" i="5"/>
  <c r="U496" i="5"/>
  <c r="V496" i="5"/>
  <c r="W496" i="5"/>
  <c r="X496" i="5"/>
  <c r="O497" i="5"/>
  <c r="P497" i="5"/>
  <c r="Q497" i="5"/>
  <c r="R497" i="5"/>
  <c r="S497" i="5"/>
  <c r="T497" i="5"/>
  <c r="U497" i="5"/>
  <c r="V497" i="5"/>
  <c r="W497" i="5"/>
  <c r="X497" i="5"/>
  <c r="O498" i="5"/>
  <c r="P498" i="5"/>
  <c r="Q498" i="5"/>
  <c r="R498" i="5"/>
  <c r="S498" i="5"/>
  <c r="T498" i="5"/>
  <c r="U498" i="5"/>
  <c r="V498" i="5"/>
  <c r="W498" i="5"/>
  <c r="X498" i="5"/>
  <c r="O499" i="5"/>
  <c r="P499" i="5"/>
  <c r="Q499" i="5"/>
  <c r="R499" i="5"/>
  <c r="S499" i="5"/>
  <c r="T499" i="5"/>
  <c r="U499" i="5"/>
  <c r="V499" i="5"/>
  <c r="W499" i="5"/>
  <c r="X499" i="5"/>
  <c r="O500" i="5"/>
  <c r="P500" i="5"/>
  <c r="Q500" i="5"/>
  <c r="R500" i="5"/>
  <c r="S500" i="5"/>
  <c r="T500" i="5"/>
  <c r="U500" i="5"/>
  <c r="V500" i="5"/>
  <c r="W500" i="5"/>
  <c r="X500" i="5"/>
  <c r="O501" i="5"/>
  <c r="P501" i="5"/>
  <c r="Q501" i="5"/>
  <c r="R501" i="5"/>
  <c r="S501" i="5"/>
  <c r="T501" i="5"/>
  <c r="U501" i="5"/>
  <c r="V501" i="5"/>
  <c r="W501" i="5"/>
  <c r="X501" i="5"/>
  <c r="O502" i="5"/>
  <c r="P502" i="5"/>
  <c r="Q502" i="5"/>
  <c r="R502" i="5"/>
  <c r="S502" i="5"/>
  <c r="T502" i="5"/>
  <c r="U502" i="5"/>
  <c r="V502" i="5"/>
  <c r="W502" i="5"/>
  <c r="X502" i="5"/>
  <c r="O503" i="5"/>
  <c r="P503" i="5"/>
  <c r="Q503" i="5"/>
  <c r="R503" i="5"/>
  <c r="S503" i="5"/>
  <c r="T503" i="5"/>
  <c r="U503" i="5"/>
  <c r="V503" i="5"/>
  <c r="W503" i="5"/>
  <c r="X503" i="5"/>
  <c r="O504" i="5"/>
  <c r="P504" i="5"/>
  <c r="Q504" i="5"/>
  <c r="R504" i="5"/>
  <c r="S504" i="5"/>
  <c r="T504" i="5"/>
  <c r="U504" i="5"/>
  <c r="V504" i="5"/>
  <c r="W504" i="5"/>
  <c r="X504" i="5"/>
  <c r="O505" i="5"/>
  <c r="P505" i="5"/>
  <c r="Q505" i="5"/>
  <c r="R505" i="5"/>
  <c r="S505" i="5"/>
  <c r="T505" i="5"/>
  <c r="U505" i="5"/>
  <c r="V505" i="5"/>
  <c r="W505" i="5"/>
  <c r="X505" i="5"/>
  <c r="O506" i="5"/>
  <c r="P506" i="5"/>
  <c r="Q506" i="5"/>
  <c r="R506" i="5"/>
  <c r="S506" i="5"/>
  <c r="T506" i="5"/>
  <c r="U506" i="5"/>
  <c r="V506" i="5"/>
  <c r="W506" i="5"/>
  <c r="X506" i="5"/>
  <c r="O507" i="5"/>
  <c r="P507" i="5"/>
  <c r="Q507" i="5"/>
  <c r="R507" i="5"/>
  <c r="S507" i="5"/>
  <c r="T507" i="5"/>
  <c r="U507" i="5"/>
  <c r="V507" i="5"/>
  <c r="W507" i="5"/>
  <c r="X507" i="5"/>
  <c r="O508" i="5"/>
  <c r="P508" i="5"/>
  <c r="Q508" i="5"/>
  <c r="R508" i="5"/>
  <c r="S508" i="5"/>
  <c r="T508" i="5"/>
  <c r="U508" i="5"/>
  <c r="V508" i="5"/>
  <c r="W508" i="5"/>
  <c r="X508" i="5"/>
  <c r="O509" i="5"/>
  <c r="P509" i="5"/>
  <c r="Q509" i="5"/>
  <c r="R509" i="5"/>
  <c r="S509" i="5"/>
  <c r="T509" i="5"/>
  <c r="U509" i="5"/>
  <c r="V509" i="5"/>
  <c r="W509" i="5"/>
  <c r="X509" i="5"/>
  <c r="O510" i="5"/>
  <c r="P510" i="5"/>
  <c r="Q510" i="5"/>
  <c r="R510" i="5"/>
  <c r="S510" i="5"/>
  <c r="T510" i="5"/>
  <c r="U510" i="5"/>
  <c r="V510" i="5"/>
  <c r="W510" i="5"/>
  <c r="X510" i="5"/>
  <c r="O511" i="5"/>
  <c r="P511" i="5"/>
  <c r="Q511" i="5"/>
  <c r="R511" i="5"/>
  <c r="S511" i="5"/>
  <c r="T511" i="5"/>
  <c r="U511" i="5"/>
  <c r="V511" i="5"/>
  <c r="W511" i="5"/>
  <c r="X511" i="5"/>
  <c r="O512" i="5"/>
  <c r="P512" i="5"/>
  <c r="Q512" i="5"/>
  <c r="R512" i="5"/>
  <c r="S512" i="5"/>
  <c r="T512" i="5"/>
  <c r="U512" i="5"/>
  <c r="V512" i="5"/>
  <c r="W512" i="5"/>
  <c r="X512" i="5"/>
  <c r="O513" i="5"/>
  <c r="P513" i="5"/>
  <c r="Q513" i="5"/>
  <c r="R513" i="5"/>
  <c r="S513" i="5"/>
  <c r="T513" i="5"/>
  <c r="U513" i="5"/>
  <c r="V513" i="5"/>
  <c r="W513" i="5"/>
  <c r="X513" i="5"/>
  <c r="O514" i="5"/>
  <c r="P514" i="5"/>
  <c r="Q514" i="5"/>
  <c r="R514" i="5"/>
  <c r="S514" i="5"/>
  <c r="T514" i="5"/>
  <c r="U514" i="5"/>
  <c r="V514" i="5"/>
  <c r="W514" i="5"/>
  <c r="X514" i="5"/>
  <c r="O515" i="5"/>
  <c r="P515" i="5"/>
  <c r="Q515" i="5"/>
  <c r="R515" i="5"/>
  <c r="S515" i="5"/>
  <c r="T515" i="5"/>
  <c r="U515" i="5"/>
  <c r="V515" i="5"/>
  <c r="W515" i="5"/>
  <c r="X515" i="5"/>
  <c r="O516" i="5"/>
  <c r="P516" i="5"/>
  <c r="Q516" i="5"/>
  <c r="R516" i="5"/>
  <c r="S516" i="5"/>
  <c r="T516" i="5"/>
  <c r="U516" i="5"/>
  <c r="V516" i="5"/>
  <c r="W516" i="5"/>
  <c r="X516" i="5"/>
  <c r="O517" i="5"/>
  <c r="P517" i="5"/>
  <c r="Q517" i="5"/>
  <c r="R517" i="5"/>
  <c r="S517" i="5"/>
  <c r="T517" i="5"/>
  <c r="U517" i="5"/>
  <c r="V517" i="5"/>
  <c r="W517" i="5"/>
  <c r="X517" i="5"/>
  <c r="O431" i="3"/>
  <c r="P431" i="3"/>
  <c r="Q431" i="3"/>
  <c r="R431" i="3"/>
  <c r="S431" i="3"/>
  <c r="T431" i="3"/>
  <c r="U431" i="3"/>
  <c r="V431" i="3"/>
  <c r="W431" i="3"/>
  <c r="X431" i="3"/>
  <c r="O432" i="3"/>
  <c r="P432" i="3"/>
  <c r="Q432" i="3"/>
  <c r="R432" i="3"/>
  <c r="S432" i="3"/>
  <c r="T432" i="3"/>
  <c r="U432" i="3"/>
  <c r="V432" i="3"/>
  <c r="W432" i="3"/>
  <c r="X432" i="3"/>
  <c r="O433" i="3"/>
  <c r="P433" i="3"/>
  <c r="Q433" i="3"/>
  <c r="R433" i="3"/>
  <c r="S433" i="3"/>
  <c r="T433" i="3"/>
  <c r="U433" i="3"/>
  <c r="V433" i="3"/>
  <c r="W433" i="3"/>
  <c r="X433" i="3"/>
  <c r="O434" i="3"/>
  <c r="P434" i="3"/>
  <c r="Q434" i="3"/>
  <c r="R434" i="3"/>
  <c r="S434" i="3"/>
  <c r="T434" i="3"/>
  <c r="U434" i="3"/>
  <c r="V434" i="3"/>
  <c r="W434" i="3"/>
  <c r="X434" i="3"/>
  <c r="O435" i="3"/>
  <c r="P435" i="3"/>
  <c r="Q435" i="3"/>
  <c r="R435" i="3"/>
  <c r="S435" i="3"/>
  <c r="T435" i="3"/>
  <c r="U435" i="3"/>
  <c r="V435" i="3"/>
  <c r="W435" i="3"/>
  <c r="X435" i="3"/>
  <c r="O436" i="3"/>
  <c r="P436" i="3"/>
  <c r="Q436" i="3"/>
  <c r="R436" i="3"/>
  <c r="S436" i="3"/>
  <c r="T436" i="3"/>
  <c r="U436" i="3"/>
  <c r="V436" i="3"/>
  <c r="W436" i="3"/>
  <c r="X436" i="3"/>
  <c r="O437" i="3"/>
  <c r="P437" i="3"/>
  <c r="Q437" i="3"/>
  <c r="R437" i="3"/>
  <c r="S437" i="3"/>
  <c r="T437" i="3"/>
  <c r="U437" i="3"/>
  <c r="V437" i="3"/>
  <c r="W437" i="3"/>
  <c r="X437" i="3"/>
  <c r="O438" i="3"/>
  <c r="P438" i="3"/>
  <c r="Q438" i="3"/>
  <c r="R438" i="3"/>
  <c r="S438" i="3"/>
  <c r="T438" i="3"/>
  <c r="U438" i="3"/>
  <c r="V438" i="3"/>
  <c r="W438" i="3"/>
  <c r="X438" i="3"/>
  <c r="O439" i="3"/>
  <c r="P439" i="3"/>
  <c r="Q439" i="3"/>
  <c r="R439" i="3"/>
  <c r="S439" i="3"/>
  <c r="T439" i="3"/>
  <c r="U439" i="3"/>
  <c r="V439" i="3"/>
  <c r="W439" i="3"/>
  <c r="X439" i="3"/>
  <c r="O440" i="3"/>
  <c r="P440" i="3"/>
  <c r="Q440" i="3"/>
  <c r="R440" i="3"/>
  <c r="S440" i="3"/>
  <c r="T440" i="3"/>
  <c r="U440" i="3"/>
  <c r="V440" i="3"/>
  <c r="W440" i="3"/>
  <c r="X440" i="3"/>
  <c r="O441" i="3"/>
  <c r="P441" i="3"/>
  <c r="Q441" i="3"/>
  <c r="R441" i="3"/>
  <c r="S441" i="3"/>
  <c r="T441" i="3"/>
  <c r="U441" i="3"/>
  <c r="V441" i="3"/>
  <c r="W441" i="3"/>
  <c r="X441" i="3"/>
  <c r="O442" i="3"/>
  <c r="P442" i="3"/>
  <c r="Q442" i="3"/>
  <c r="R442" i="3"/>
  <c r="S442" i="3"/>
  <c r="T442" i="3"/>
  <c r="U442" i="3"/>
  <c r="V442" i="3"/>
  <c r="W442" i="3"/>
  <c r="X442" i="3"/>
  <c r="O443" i="3"/>
  <c r="P443" i="3"/>
  <c r="Q443" i="3"/>
  <c r="R443" i="3"/>
  <c r="S443" i="3"/>
  <c r="T443" i="3"/>
  <c r="U443" i="3"/>
  <c r="V443" i="3"/>
  <c r="W443" i="3"/>
  <c r="X443" i="3"/>
  <c r="O444" i="3"/>
  <c r="P444" i="3"/>
  <c r="Q444" i="3"/>
  <c r="R444" i="3"/>
  <c r="S444" i="3"/>
  <c r="T444" i="3"/>
  <c r="U444" i="3"/>
  <c r="V444" i="3"/>
  <c r="W444" i="3"/>
  <c r="X444" i="3"/>
  <c r="O445" i="3"/>
  <c r="P445" i="3"/>
  <c r="Q445" i="3"/>
  <c r="R445" i="3"/>
  <c r="S445" i="3"/>
  <c r="T445" i="3"/>
  <c r="U445" i="3"/>
  <c r="V445" i="3"/>
  <c r="W445" i="3"/>
  <c r="X445" i="3"/>
  <c r="O446" i="3"/>
  <c r="P446" i="3"/>
  <c r="Q446" i="3"/>
  <c r="R446" i="3"/>
  <c r="S446" i="3"/>
  <c r="T446" i="3"/>
  <c r="U446" i="3"/>
  <c r="V446" i="3"/>
  <c r="W446" i="3"/>
  <c r="X446" i="3"/>
  <c r="O447" i="3"/>
  <c r="P447" i="3"/>
  <c r="Q447" i="3"/>
  <c r="R447" i="3"/>
  <c r="S447" i="3"/>
  <c r="T447" i="3"/>
  <c r="U447" i="3"/>
  <c r="V447" i="3"/>
  <c r="W447" i="3"/>
  <c r="X447" i="3"/>
  <c r="O448" i="3"/>
  <c r="P448" i="3"/>
  <c r="Q448" i="3"/>
  <c r="R448" i="3"/>
  <c r="S448" i="3"/>
  <c r="T448" i="3"/>
  <c r="U448" i="3"/>
  <c r="V448" i="3"/>
  <c r="W448" i="3"/>
  <c r="X448" i="3"/>
  <c r="O449" i="3"/>
  <c r="P449" i="3"/>
  <c r="Q449" i="3"/>
  <c r="R449" i="3"/>
  <c r="S449" i="3"/>
  <c r="T449" i="3"/>
  <c r="U449" i="3"/>
  <c r="V449" i="3"/>
  <c r="W449" i="3"/>
  <c r="X449" i="3"/>
  <c r="O450" i="3"/>
  <c r="P450" i="3"/>
  <c r="Q450" i="3"/>
  <c r="R450" i="3"/>
  <c r="S450" i="3"/>
  <c r="T450" i="3"/>
  <c r="U450" i="3"/>
  <c r="V450" i="3"/>
  <c r="W450" i="3"/>
  <c r="X450" i="3"/>
  <c r="O451" i="3"/>
  <c r="P451" i="3"/>
  <c r="Q451" i="3"/>
  <c r="R451" i="3"/>
  <c r="S451" i="3"/>
  <c r="T451" i="3"/>
  <c r="U451" i="3"/>
  <c r="V451" i="3"/>
  <c r="W451" i="3"/>
  <c r="X451" i="3"/>
  <c r="O452" i="3"/>
  <c r="P452" i="3"/>
  <c r="Q452" i="3"/>
  <c r="R452" i="3"/>
  <c r="S452" i="3"/>
  <c r="T452" i="3"/>
  <c r="U452" i="3"/>
  <c r="V452" i="3"/>
  <c r="W452" i="3"/>
  <c r="X452" i="3"/>
  <c r="O453" i="3"/>
  <c r="P453" i="3"/>
  <c r="Q453" i="3"/>
  <c r="R453" i="3"/>
  <c r="S453" i="3"/>
  <c r="T453" i="3"/>
  <c r="U453" i="3"/>
  <c r="V453" i="3"/>
  <c r="W453" i="3"/>
  <c r="X453" i="3"/>
  <c r="O454" i="3"/>
  <c r="P454" i="3"/>
  <c r="Q454" i="3"/>
  <c r="R454" i="3"/>
  <c r="S454" i="3"/>
  <c r="T454" i="3"/>
  <c r="U454" i="3"/>
  <c r="V454" i="3"/>
  <c r="W454" i="3"/>
  <c r="X454" i="3"/>
  <c r="O455" i="3"/>
  <c r="P455" i="3"/>
  <c r="Q455" i="3"/>
  <c r="R455" i="3"/>
  <c r="S455" i="3"/>
  <c r="T455" i="3"/>
  <c r="U455" i="3"/>
  <c r="V455" i="3"/>
  <c r="W455" i="3"/>
  <c r="X455" i="3"/>
  <c r="O456" i="3"/>
  <c r="P456" i="3"/>
  <c r="Q456" i="3"/>
  <c r="R456" i="3"/>
  <c r="S456" i="3"/>
  <c r="T456" i="3"/>
  <c r="U456" i="3"/>
  <c r="V456" i="3"/>
  <c r="W456" i="3"/>
  <c r="X456" i="3"/>
  <c r="O457" i="3"/>
  <c r="P457" i="3"/>
  <c r="Q457" i="3"/>
  <c r="R457" i="3"/>
  <c r="S457" i="3"/>
  <c r="T457" i="3"/>
  <c r="U457" i="3"/>
  <c r="V457" i="3"/>
  <c r="W457" i="3"/>
  <c r="X457" i="3"/>
  <c r="O458" i="3"/>
  <c r="P458" i="3"/>
  <c r="Q458" i="3"/>
  <c r="R458" i="3"/>
  <c r="S458" i="3"/>
  <c r="T458" i="3"/>
  <c r="U458" i="3"/>
  <c r="V458" i="3"/>
  <c r="W458" i="3"/>
  <c r="X458" i="3"/>
  <c r="O459" i="3"/>
  <c r="P459" i="3"/>
  <c r="Q459" i="3"/>
  <c r="R459" i="3"/>
  <c r="S459" i="3"/>
  <c r="T459" i="3"/>
  <c r="U459" i="3"/>
  <c r="V459" i="3"/>
  <c r="W459" i="3"/>
  <c r="X459" i="3"/>
  <c r="O460" i="3"/>
  <c r="P460" i="3"/>
  <c r="Q460" i="3"/>
  <c r="R460" i="3"/>
  <c r="S460" i="3"/>
  <c r="T460" i="3"/>
  <c r="U460" i="3"/>
  <c r="V460" i="3"/>
  <c r="W460" i="3"/>
  <c r="X460" i="3"/>
  <c r="O461" i="3"/>
  <c r="P461" i="3"/>
  <c r="Q461" i="3"/>
  <c r="R461" i="3"/>
  <c r="S461" i="3"/>
  <c r="T461" i="3"/>
  <c r="U461" i="3"/>
  <c r="V461" i="3"/>
  <c r="W461" i="3"/>
  <c r="X461" i="3"/>
  <c r="O462" i="3"/>
  <c r="P462" i="3"/>
  <c r="Q462" i="3"/>
  <c r="R462" i="3"/>
  <c r="S462" i="3"/>
  <c r="T462" i="3"/>
  <c r="U462" i="3"/>
  <c r="V462" i="3"/>
  <c r="W462" i="3"/>
  <c r="X462" i="3"/>
  <c r="O463" i="3"/>
  <c r="P463" i="3"/>
  <c r="Q463" i="3"/>
  <c r="R463" i="3"/>
  <c r="S463" i="3"/>
  <c r="T463" i="3"/>
  <c r="U463" i="3"/>
  <c r="V463" i="3"/>
  <c r="W463" i="3"/>
  <c r="X463" i="3"/>
  <c r="O464" i="3"/>
  <c r="P464" i="3"/>
  <c r="Q464" i="3"/>
  <c r="R464" i="3"/>
  <c r="S464" i="3"/>
  <c r="T464" i="3"/>
  <c r="U464" i="3"/>
  <c r="V464" i="3"/>
  <c r="W464" i="3"/>
  <c r="X464" i="3"/>
  <c r="O465" i="3"/>
  <c r="P465" i="3"/>
  <c r="Q465" i="3"/>
  <c r="R465" i="3"/>
  <c r="S465" i="3"/>
  <c r="T465" i="3"/>
  <c r="U465" i="3"/>
  <c r="V465" i="3"/>
  <c r="W465" i="3"/>
  <c r="X465" i="3"/>
  <c r="O466" i="3"/>
  <c r="P466" i="3"/>
  <c r="Q466" i="3"/>
  <c r="R466" i="3"/>
  <c r="S466" i="3"/>
  <c r="T466" i="3"/>
  <c r="U466" i="3"/>
  <c r="V466" i="3"/>
  <c r="W466" i="3"/>
  <c r="X466" i="3"/>
  <c r="O467" i="3"/>
  <c r="P467" i="3"/>
  <c r="Q467" i="3"/>
  <c r="R467" i="3"/>
  <c r="S467" i="3"/>
  <c r="T467" i="3"/>
  <c r="U467" i="3"/>
  <c r="V467" i="3"/>
  <c r="W467" i="3"/>
  <c r="X467" i="3"/>
  <c r="O468" i="3"/>
  <c r="P468" i="3"/>
  <c r="Q468" i="3"/>
  <c r="R468" i="3"/>
  <c r="S468" i="3"/>
  <c r="T468" i="3"/>
  <c r="U468" i="3"/>
  <c r="V468" i="3"/>
  <c r="W468" i="3"/>
  <c r="X468" i="3"/>
  <c r="O469" i="3"/>
  <c r="P469" i="3"/>
  <c r="Q469" i="3"/>
  <c r="R469" i="3"/>
  <c r="S469" i="3"/>
  <c r="T469" i="3"/>
  <c r="U469" i="3"/>
  <c r="V469" i="3"/>
  <c r="W469" i="3"/>
  <c r="X469" i="3"/>
  <c r="O470" i="3"/>
  <c r="P470" i="3"/>
  <c r="Q470" i="3"/>
  <c r="R470" i="3"/>
  <c r="S470" i="3"/>
  <c r="T470" i="3"/>
  <c r="U470" i="3"/>
  <c r="V470" i="3"/>
  <c r="W470" i="3"/>
  <c r="X470" i="3"/>
  <c r="O471" i="3"/>
  <c r="P471" i="3"/>
  <c r="Q471" i="3"/>
  <c r="R471" i="3"/>
  <c r="S471" i="3"/>
  <c r="T471" i="3"/>
  <c r="U471" i="3"/>
  <c r="V471" i="3"/>
  <c r="W471" i="3"/>
  <c r="X471" i="3"/>
  <c r="O472" i="3"/>
  <c r="P472" i="3"/>
  <c r="Q472" i="3"/>
  <c r="R472" i="3"/>
  <c r="S472" i="3"/>
  <c r="T472" i="3"/>
  <c r="U472" i="3"/>
  <c r="V472" i="3"/>
  <c r="W472" i="3"/>
  <c r="X472" i="3"/>
  <c r="O473" i="3"/>
  <c r="P473" i="3"/>
  <c r="Q473" i="3"/>
  <c r="R473" i="3"/>
  <c r="S473" i="3"/>
  <c r="T473" i="3"/>
  <c r="U473" i="3"/>
  <c r="V473" i="3"/>
  <c r="W473" i="3"/>
  <c r="X473" i="3"/>
  <c r="O474" i="3"/>
  <c r="P474" i="3"/>
  <c r="Q474" i="3"/>
  <c r="R474" i="3"/>
  <c r="S474" i="3"/>
  <c r="T474" i="3"/>
  <c r="U474" i="3"/>
  <c r="V474" i="3"/>
  <c r="W474" i="3"/>
  <c r="X474" i="3"/>
  <c r="O475" i="3"/>
  <c r="P475" i="3"/>
  <c r="Q475" i="3"/>
  <c r="R475" i="3"/>
  <c r="S475" i="3"/>
  <c r="T475" i="3"/>
  <c r="U475" i="3"/>
  <c r="V475" i="3"/>
  <c r="W475" i="3"/>
  <c r="X475" i="3"/>
  <c r="O476" i="3"/>
  <c r="P476" i="3"/>
  <c r="Q476" i="3"/>
  <c r="R476" i="3"/>
  <c r="S476" i="3"/>
  <c r="T476" i="3"/>
  <c r="U476" i="3"/>
  <c r="V476" i="3"/>
  <c r="W476" i="3"/>
  <c r="X476" i="3"/>
  <c r="O477" i="3"/>
  <c r="P477" i="3"/>
  <c r="Q477" i="3"/>
  <c r="R477" i="3"/>
  <c r="S477" i="3"/>
  <c r="T477" i="3"/>
  <c r="U477" i="3"/>
  <c r="V477" i="3"/>
  <c r="W477" i="3"/>
  <c r="X477" i="3"/>
  <c r="O478" i="3"/>
  <c r="P478" i="3"/>
  <c r="Q478" i="3"/>
  <c r="R478" i="3"/>
  <c r="S478" i="3"/>
  <c r="T478" i="3"/>
  <c r="U478" i="3"/>
  <c r="V478" i="3"/>
  <c r="W478" i="3"/>
  <c r="X478" i="3"/>
  <c r="O479" i="3"/>
  <c r="P479" i="3"/>
  <c r="Q479" i="3"/>
  <c r="R479" i="3"/>
  <c r="S479" i="3"/>
  <c r="T479" i="3"/>
  <c r="U479" i="3"/>
  <c r="V479" i="3"/>
  <c r="W479" i="3"/>
  <c r="X479" i="3"/>
  <c r="O480" i="3"/>
  <c r="P480" i="3"/>
  <c r="Q480" i="3"/>
  <c r="R480" i="3"/>
  <c r="S480" i="3"/>
  <c r="T480" i="3"/>
  <c r="U480" i="3"/>
  <c r="V480" i="3"/>
  <c r="W480" i="3"/>
  <c r="X480" i="3"/>
  <c r="O481" i="3"/>
  <c r="P481" i="3"/>
  <c r="Q481" i="3"/>
  <c r="R481" i="3"/>
  <c r="S481" i="3"/>
  <c r="T481" i="3"/>
  <c r="U481" i="3"/>
  <c r="V481" i="3"/>
  <c r="W481" i="3"/>
  <c r="X481" i="3"/>
  <c r="O482" i="3"/>
  <c r="P482" i="3"/>
  <c r="Q482" i="3"/>
  <c r="R482" i="3"/>
  <c r="S482" i="3"/>
  <c r="T482" i="3"/>
  <c r="U482" i="3"/>
  <c r="V482" i="3"/>
  <c r="W482" i="3"/>
  <c r="X482" i="3"/>
  <c r="O483" i="3"/>
  <c r="P483" i="3"/>
  <c r="Q483" i="3"/>
  <c r="R483" i="3"/>
  <c r="S483" i="3"/>
  <c r="T483" i="3"/>
  <c r="U483" i="3"/>
  <c r="V483" i="3"/>
  <c r="W483" i="3"/>
  <c r="X483" i="3"/>
  <c r="O484" i="3"/>
  <c r="P484" i="3"/>
  <c r="Q484" i="3"/>
  <c r="R484" i="3"/>
  <c r="S484" i="3"/>
  <c r="T484" i="3"/>
  <c r="U484" i="3"/>
  <c r="V484" i="3"/>
  <c r="W484" i="3"/>
  <c r="X484" i="3"/>
  <c r="O485" i="3"/>
  <c r="P485" i="3"/>
  <c r="Q485" i="3"/>
  <c r="R485" i="3"/>
  <c r="S485" i="3"/>
  <c r="T485" i="3"/>
  <c r="U485" i="3"/>
  <c r="V485" i="3"/>
  <c r="W485" i="3"/>
  <c r="X485" i="3"/>
  <c r="O486" i="3"/>
  <c r="P486" i="3"/>
  <c r="Q486" i="3"/>
  <c r="R486" i="3"/>
  <c r="S486" i="3"/>
  <c r="T486" i="3"/>
  <c r="U486" i="3"/>
  <c r="V486" i="3"/>
  <c r="W486" i="3"/>
  <c r="X486" i="3"/>
  <c r="O487" i="3"/>
  <c r="P487" i="3"/>
  <c r="Q487" i="3"/>
  <c r="R487" i="3"/>
  <c r="S487" i="3"/>
  <c r="T487" i="3"/>
  <c r="U487" i="3"/>
  <c r="V487" i="3"/>
  <c r="W487" i="3"/>
  <c r="X487" i="3"/>
  <c r="O488" i="3"/>
  <c r="P488" i="3"/>
  <c r="Q488" i="3"/>
  <c r="R488" i="3"/>
  <c r="S488" i="3"/>
  <c r="T488" i="3"/>
  <c r="U488" i="3"/>
  <c r="V488" i="3"/>
  <c r="W488" i="3"/>
  <c r="X488" i="3"/>
  <c r="O489" i="3"/>
  <c r="P489" i="3"/>
  <c r="Q489" i="3"/>
  <c r="R489" i="3"/>
  <c r="S489" i="3"/>
  <c r="T489" i="3"/>
  <c r="U489" i="3"/>
  <c r="V489" i="3"/>
  <c r="W489" i="3"/>
  <c r="X489" i="3"/>
  <c r="O490" i="3"/>
  <c r="P490" i="3"/>
  <c r="Q490" i="3"/>
  <c r="R490" i="3"/>
  <c r="S490" i="3"/>
  <c r="T490" i="3"/>
  <c r="U490" i="3"/>
  <c r="V490" i="3"/>
  <c r="W490" i="3"/>
  <c r="X490" i="3"/>
  <c r="O491" i="3"/>
  <c r="P491" i="3"/>
  <c r="Q491" i="3"/>
  <c r="R491" i="3"/>
  <c r="S491" i="3"/>
  <c r="T491" i="3"/>
  <c r="U491" i="3"/>
  <c r="V491" i="3"/>
  <c r="W491" i="3"/>
  <c r="X491" i="3"/>
  <c r="O492" i="3"/>
  <c r="P492" i="3"/>
  <c r="Q492" i="3"/>
  <c r="R492" i="3"/>
  <c r="S492" i="3"/>
  <c r="T492" i="3"/>
  <c r="U492" i="3"/>
  <c r="V492" i="3"/>
  <c r="W492" i="3"/>
  <c r="X492" i="3"/>
  <c r="O493" i="3"/>
  <c r="P493" i="3"/>
  <c r="Q493" i="3"/>
  <c r="R493" i="3"/>
  <c r="S493" i="3"/>
  <c r="T493" i="3"/>
  <c r="U493" i="3"/>
  <c r="V493" i="3"/>
  <c r="W493" i="3"/>
  <c r="X493" i="3"/>
  <c r="O494" i="3"/>
  <c r="P494" i="3"/>
  <c r="Q494" i="3"/>
  <c r="R494" i="3"/>
  <c r="S494" i="3"/>
  <c r="T494" i="3"/>
  <c r="U494" i="3"/>
  <c r="V494" i="3"/>
  <c r="W494" i="3"/>
  <c r="X494" i="3"/>
  <c r="O495" i="3"/>
  <c r="P495" i="3"/>
  <c r="Q495" i="3"/>
  <c r="R495" i="3"/>
  <c r="S495" i="3"/>
  <c r="T495" i="3"/>
  <c r="U495" i="3"/>
  <c r="V495" i="3"/>
  <c r="W495" i="3"/>
  <c r="X495" i="3"/>
  <c r="O496" i="3"/>
  <c r="P496" i="3"/>
  <c r="Q496" i="3"/>
  <c r="R496" i="3"/>
  <c r="S496" i="3"/>
  <c r="T496" i="3"/>
  <c r="U496" i="3"/>
  <c r="V496" i="3"/>
  <c r="W496" i="3"/>
  <c r="X496" i="3"/>
  <c r="O497" i="3"/>
  <c r="P497" i="3"/>
  <c r="Q497" i="3"/>
  <c r="R497" i="3"/>
  <c r="S497" i="3"/>
  <c r="T497" i="3"/>
  <c r="U497" i="3"/>
  <c r="V497" i="3"/>
  <c r="W497" i="3"/>
  <c r="X497" i="3"/>
  <c r="O498" i="3"/>
  <c r="P498" i="3"/>
  <c r="Q498" i="3"/>
  <c r="R498" i="3"/>
  <c r="S498" i="3"/>
  <c r="T498" i="3"/>
  <c r="U498" i="3"/>
  <c r="V498" i="3"/>
  <c r="W498" i="3"/>
  <c r="X498" i="3"/>
  <c r="O499" i="3"/>
  <c r="P499" i="3"/>
  <c r="Q499" i="3"/>
  <c r="R499" i="3"/>
  <c r="S499" i="3"/>
  <c r="T499" i="3"/>
  <c r="U499" i="3"/>
  <c r="V499" i="3"/>
  <c r="W499" i="3"/>
  <c r="X499" i="3"/>
  <c r="O500" i="3"/>
  <c r="P500" i="3"/>
  <c r="Q500" i="3"/>
  <c r="R500" i="3"/>
  <c r="S500" i="3"/>
  <c r="T500" i="3"/>
  <c r="U500" i="3"/>
  <c r="V500" i="3"/>
  <c r="W500" i="3"/>
  <c r="X500" i="3"/>
  <c r="O501" i="3"/>
  <c r="P501" i="3"/>
  <c r="Q501" i="3"/>
  <c r="R501" i="3"/>
  <c r="S501" i="3"/>
  <c r="T501" i="3"/>
  <c r="U501" i="3"/>
  <c r="V501" i="3"/>
  <c r="W501" i="3"/>
  <c r="X501" i="3"/>
  <c r="O502" i="3"/>
  <c r="P502" i="3"/>
  <c r="Q502" i="3"/>
  <c r="R502" i="3"/>
  <c r="S502" i="3"/>
  <c r="T502" i="3"/>
  <c r="U502" i="3"/>
  <c r="V502" i="3"/>
  <c r="W502" i="3"/>
  <c r="X502" i="3"/>
  <c r="O503" i="3"/>
  <c r="P503" i="3"/>
  <c r="Q503" i="3"/>
  <c r="R503" i="3"/>
  <c r="S503" i="3"/>
  <c r="T503" i="3"/>
  <c r="U503" i="3"/>
  <c r="V503" i="3"/>
  <c r="W503" i="3"/>
  <c r="X503" i="3"/>
  <c r="O504" i="3"/>
  <c r="P504" i="3"/>
  <c r="Q504" i="3"/>
  <c r="R504" i="3"/>
  <c r="S504" i="3"/>
  <c r="T504" i="3"/>
  <c r="U504" i="3"/>
  <c r="V504" i="3"/>
  <c r="W504" i="3"/>
  <c r="X504" i="3"/>
  <c r="O505" i="3"/>
  <c r="P505" i="3"/>
  <c r="Q505" i="3"/>
  <c r="R505" i="3"/>
  <c r="S505" i="3"/>
  <c r="T505" i="3"/>
  <c r="U505" i="3"/>
  <c r="V505" i="3"/>
  <c r="W505" i="3"/>
  <c r="X505" i="3"/>
  <c r="O506" i="3"/>
  <c r="P506" i="3"/>
  <c r="Q506" i="3"/>
  <c r="R506" i="3"/>
  <c r="S506" i="3"/>
  <c r="T506" i="3"/>
  <c r="U506" i="3"/>
  <c r="V506" i="3"/>
  <c r="W506" i="3"/>
  <c r="X506" i="3"/>
  <c r="O507" i="3"/>
  <c r="P507" i="3"/>
  <c r="Q507" i="3"/>
  <c r="R507" i="3"/>
  <c r="S507" i="3"/>
  <c r="T507" i="3"/>
  <c r="U507" i="3"/>
  <c r="V507" i="3"/>
  <c r="W507" i="3"/>
  <c r="X507" i="3"/>
  <c r="O508" i="3"/>
  <c r="P508" i="3"/>
  <c r="Q508" i="3"/>
  <c r="R508" i="3"/>
  <c r="S508" i="3"/>
  <c r="T508" i="3"/>
  <c r="U508" i="3"/>
  <c r="V508" i="3"/>
  <c r="W508" i="3"/>
  <c r="X508" i="3"/>
  <c r="O509" i="3"/>
  <c r="P509" i="3"/>
  <c r="Q509" i="3"/>
  <c r="R509" i="3"/>
  <c r="S509" i="3"/>
  <c r="T509" i="3"/>
  <c r="U509" i="3"/>
  <c r="V509" i="3"/>
  <c r="W509" i="3"/>
  <c r="X509" i="3"/>
  <c r="O510" i="3"/>
  <c r="P510" i="3"/>
  <c r="Q510" i="3"/>
  <c r="R510" i="3"/>
  <c r="S510" i="3"/>
  <c r="T510" i="3"/>
  <c r="U510" i="3"/>
  <c r="V510" i="3"/>
  <c r="W510" i="3"/>
  <c r="X510" i="3"/>
  <c r="O511" i="3"/>
  <c r="P511" i="3"/>
  <c r="Q511" i="3"/>
  <c r="R511" i="3"/>
  <c r="S511" i="3"/>
  <c r="T511" i="3"/>
  <c r="U511" i="3"/>
  <c r="V511" i="3"/>
  <c r="W511" i="3"/>
  <c r="X511" i="3"/>
  <c r="O512" i="3"/>
  <c r="P512" i="3"/>
  <c r="Q512" i="3"/>
  <c r="R512" i="3"/>
  <c r="S512" i="3"/>
  <c r="T512" i="3"/>
  <c r="U512" i="3"/>
  <c r="V512" i="3"/>
  <c r="W512" i="3"/>
  <c r="X512" i="3"/>
  <c r="O513" i="3"/>
  <c r="P513" i="3"/>
  <c r="Q513" i="3"/>
  <c r="R513" i="3"/>
  <c r="S513" i="3"/>
  <c r="T513" i="3"/>
  <c r="U513" i="3"/>
  <c r="V513" i="3"/>
  <c r="W513" i="3"/>
  <c r="X513" i="3"/>
  <c r="O514" i="3"/>
  <c r="P514" i="3"/>
  <c r="Q514" i="3"/>
  <c r="R514" i="3"/>
  <c r="S514" i="3"/>
  <c r="T514" i="3"/>
  <c r="U514" i="3"/>
  <c r="V514" i="3"/>
  <c r="W514" i="3"/>
  <c r="X514" i="3"/>
  <c r="O515" i="3"/>
  <c r="P515" i="3"/>
  <c r="Q515" i="3"/>
  <c r="R515" i="3"/>
  <c r="S515" i="3"/>
  <c r="T515" i="3"/>
  <c r="U515" i="3"/>
  <c r="V515" i="3"/>
  <c r="W515" i="3"/>
  <c r="X515" i="3"/>
  <c r="O516" i="3"/>
  <c r="P516" i="3"/>
  <c r="Q516" i="3"/>
  <c r="R516" i="3"/>
  <c r="S516" i="3"/>
  <c r="T516" i="3"/>
  <c r="U516" i="3"/>
  <c r="V516" i="3"/>
  <c r="W516" i="3"/>
  <c r="X516" i="3"/>
  <c r="O517" i="3"/>
  <c r="P517" i="3"/>
  <c r="Q517" i="3"/>
  <c r="R517" i="3"/>
  <c r="S517" i="3"/>
  <c r="T517" i="3"/>
  <c r="U517" i="3"/>
  <c r="V517" i="3"/>
  <c r="W517" i="3"/>
  <c r="X51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O408" i="5" l="1"/>
  <c r="P408" i="5"/>
  <c r="Q408" i="5"/>
  <c r="R408" i="5"/>
  <c r="S408" i="5"/>
  <c r="T408" i="5"/>
  <c r="U408" i="5"/>
  <c r="V408" i="5"/>
  <c r="AD408" i="5" s="1"/>
  <c r="W408" i="5"/>
  <c r="X408" i="5"/>
  <c r="O409" i="5"/>
  <c r="P409" i="5"/>
  <c r="Q409" i="5"/>
  <c r="R409" i="5"/>
  <c r="S409" i="5"/>
  <c r="T409" i="5"/>
  <c r="U409" i="5"/>
  <c r="V409" i="5"/>
  <c r="AC409" i="5" s="1"/>
  <c r="W409" i="5"/>
  <c r="X409" i="5"/>
  <c r="O410" i="5"/>
  <c r="P410" i="5"/>
  <c r="Q410" i="5"/>
  <c r="R410" i="5"/>
  <c r="S410" i="5"/>
  <c r="T410" i="5"/>
  <c r="U410" i="5"/>
  <c r="V410" i="5"/>
  <c r="W410" i="5"/>
  <c r="X410" i="5"/>
  <c r="O411" i="5"/>
  <c r="P411" i="5"/>
  <c r="Q411" i="5"/>
  <c r="R411" i="5"/>
  <c r="S411" i="5"/>
  <c r="T411" i="5"/>
  <c r="U411" i="5"/>
  <c r="V411" i="5"/>
  <c r="AC411" i="5" s="1"/>
  <c r="W411" i="5"/>
  <c r="X411" i="5"/>
  <c r="O412" i="5"/>
  <c r="P412" i="5"/>
  <c r="Q412" i="5"/>
  <c r="R412" i="5"/>
  <c r="S412" i="5"/>
  <c r="T412" i="5"/>
  <c r="U412" i="5"/>
  <c r="V412" i="5"/>
  <c r="W412" i="5"/>
  <c r="X412" i="5"/>
  <c r="O413" i="5"/>
  <c r="P413" i="5"/>
  <c r="Q413" i="5"/>
  <c r="R413" i="5"/>
  <c r="S413" i="5"/>
  <c r="T413" i="5"/>
  <c r="U413" i="5"/>
  <c r="V413" i="5"/>
  <c r="AC413" i="5" s="1"/>
  <c r="W413" i="5"/>
  <c r="X413" i="5"/>
  <c r="O414" i="5"/>
  <c r="P414" i="5"/>
  <c r="Q414" i="5"/>
  <c r="R414" i="5"/>
  <c r="S414" i="5"/>
  <c r="T414" i="5"/>
  <c r="U414" i="5"/>
  <c r="V414" i="5"/>
  <c r="W414" i="5"/>
  <c r="X414" i="5"/>
  <c r="O415" i="5"/>
  <c r="P415" i="5"/>
  <c r="Q415" i="5"/>
  <c r="R415" i="5"/>
  <c r="S415" i="5"/>
  <c r="T415" i="5"/>
  <c r="U415" i="5"/>
  <c r="V415" i="5"/>
  <c r="AC415" i="5" s="1"/>
  <c r="W415" i="5"/>
  <c r="X415" i="5"/>
  <c r="O416" i="5"/>
  <c r="P416" i="5"/>
  <c r="Q416" i="5"/>
  <c r="R416" i="5"/>
  <c r="S416" i="5"/>
  <c r="T416" i="5"/>
  <c r="U416" i="5"/>
  <c r="V416" i="5"/>
  <c r="W416" i="5"/>
  <c r="X416" i="5"/>
  <c r="O417" i="5"/>
  <c r="P417" i="5"/>
  <c r="Q417" i="5"/>
  <c r="R417" i="5"/>
  <c r="S417" i="5"/>
  <c r="T417" i="5"/>
  <c r="U417" i="5"/>
  <c r="V417" i="5"/>
  <c r="AC417" i="5" s="1"/>
  <c r="W417" i="5"/>
  <c r="X417" i="5"/>
  <c r="O418" i="5"/>
  <c r="P418" i="5"/>
  <c r="Q418" i="5"/>
  <c r="R418" i="5"/>
  <c r="S418" i="5"/>
  <c r="T418" i="5"/>
  <c r="U418" i="5"/>
  <c r="V418" i="5"/>
  <c r="W418" i="5"/>
  <c r="X418" i="5"/>
  <c r="O419" i="5"/>
  <c r="P419" i="5"/>
  <c r="Q419" i="5"/>
  <c r="R419" i="5"/>
  <c r="S419" i="5"/>
  <c r="T419" i="5"/>
  <c r="U419" i="5"/>
  <c r="V419" i="5"/>
  <c r="AC419" i="5" s="1"/>
  <c r="W419" i="5"/>
  <c r="X419" i="5"/>
  <c r="O420" i="5"/>
  <c r="P420" i="5"/>
  <c r="Q420" i="5"/>
  <c r="R420" i="5"/>
  <c r="S420" i="5"/>
  <c r="T420" i="5"/>
  <c r="U420" i="5"/>
  <c r="V420" i="5"/>
  <c r="W420" i="5"/>
  <c r="X420" i="5"/>
  <c r="O421" i="5"/>
  <c r="P421" i="5"/>
  <c r="Q421" i="5"/>
  <c r="R421" i="5"/>
  <c r="S421" i="5"/>
  <c r="T421" i="5"/>
  <c r="U421" i="5"/>
  <c r="V421" i="5"/>
  <c r="AC421" i="5" s="1"/>
  <c r="W421" i="5"/>
  <c r="X421" i="5"/>
  <c r="O422" i="5"/>
  <c r="P422" i="5"/>
  <c r="Q422" i="5"/>
  <c r="R422" i="5"/>
  <c r="S422" i="5"/>
  <c r="T422" i="5"/>
  <c r="U422" i="5"/>
  <c r="V422" i="5"/>
  <c r="W422" i="5"/>
  <c r="X422" i="5"/>
  <c r="O423" i="5"/>
  <c r="P423" i="5"/>
  <c r="Q423" i="5"/>
  <c r="R423" i="5"/>
  <c r="S423" i="5"/>
  <c r="T423" i="5"/>
  <c r="U423" i="5"/>
  <c r="V423" i="5"/>
  <c r="AC423" i="5" s="1"/>
  <c r="W423" i="5"/>
  <c r="X423" i="5"/>
  <c r="O424" i="5"/>
  <c r="P424" i="5"/>
  <c r="Q424" i="5"/>
  <c r="R424" i="5"/>
  <c r="S424" i="5"/>
  <c r="T424" i="5"/>
  <c r="U424" i="5"/>
  <c r="V424" i="5"/>
  <c r="W424" i="5"/>
  <c r="X424" i="5"/>
  <c r="O425" i="5"/>
  <c r="P425" i="5"/>
  <c r="Q425" i="5"/>
  <c r="R425" i="5"/>
  <c r="S425" i="5"/>
  <c r="T425" i="5"/>
  <c r="U425" i="5"/>
  <c r="V425" i="5"/>
  <c r="AC425" i="5" s="1"/>
  <c r="W425" i="5"/>
  <c r="X425" i="5"/>
  <c r="O426" i="5"/>
  <c r="P426" i="5"/>
  <c r="Q426" i="5"/>
  <c r="R426" i="5"/>
  <c r="S426" i="5"/>
  <c r="T426" i="5"/>
  <c r="U426" i="5"/>
  <c r="V426" i="5"/>
  <c r="W426" i="5"/>
  <c r="X426" i="5"/>
  <c r="O427" i="5"/>
  <c r="P427" i="5"/>
  <c r="Q427" i="5"/>
  <c r="R427" i="5"/>
  <c r="S427" i="5"/>
  <c r="T427" i="5"/>
  <c r="U427" i="5"/>
  <c r="V427" i="5"/>
  <c r="AC427" i="5" s="1"/>
  <c r="W427" i="5"/>
  <c r="X427" i="5"/>
  <c r="O428" i="5"/>
  <c r="P428" i="5"/>
  <c r="Q428" i="5"/>
  <c r="R428" i="5"/>
  <c r="S428" i="5"/>
  <c r="T428" i="5"/>
  <c r="U428" i="5"/>
  <c r="V428" i="5"/>
  <c r="W428" i="5"/>
  <c r="X428" i="5"/>
  <c r="O429" i="5"/>
  <c r="P429" i="5"/>
  <c r="Q429" i="5"/>
  <c r="R429" i="5"/>
  <c r="S429" i="5"/>
  <c r="T429" i="5"/>
  <c r="U429" i="5"/>
  <c r="V429" i="5"/>
  <c r="AC429" i="5" s="1"/>
  <c r="W429" i="5"/>
  <c r="X429" i="5"/>
  <c r="O430" i="5"/>
  <c r="P430" i="5"/>
  <c r="Q430" i="5"/>
  <c r="R430" i="5"/>
  <c r="S430" i="5"/>
  <c r="T430" i="5"/>
  <c r="U430" i="5"/>
  <c r="V430" i="5"/>
  <c r="W430" i="5"/>
  <c r="X430" i="5"/>
  <c r="AB408" i="5"/>
  <c r="AC408" i="5"/>
  <c r="AB409" i="5"/>
  <c r="AD409" i="5"/>
  <c r="AB410" i="5"/>
  <c r="AC410" i="5"/>
  <c r="AB411" i="5"/>
  <c r="AD411" i="5"/>
  <c r="AB412" i="5"/>
  <c r="AC412" i="5"/>
  <c r="AB413" i="5"/>
  <c r="AD413" i="5"/>
  <c r="AB414" i="5"/>
  <c r="AC414" i="5"/>
  <c r="AB415" i="5"/>
  <c r="AD415" i="5"/>
  <c r="AB416" i="5"/>
  <c r="AC416" i="5"/>
  <c r="AB417" i="5"/>
  <c r="AD417" i="5"/>
  <c r="AB418" i="5"/>
  <c r="AC418" i="5"/>
  <c r="AB419" i="5"/>
  <c r="AD419" i="5"/>
  <c r="AB420" i="5"/>
  <c r="AC420" i="5"/>
  <c r="AB421" i="5"/>
  <c r="AD421" i="5"/>
  <c r="AB422" i="5"/>
  <c r="AC422" i="5"/>
  <c r="AB423" i="5"/>
  <c r="AD423" i="5"/>
  <c r="AB424" i="5"/>
  <c r="AC424" i="5"/>
  <c r="AB425" i="5"/>
  <c r="AD425" i="5"/>
  <c r="AB426" i="5"/>
  <c r="AC426" i="5"/>
  <c r="AB427" i="5"/>
  <c r="AD427" i="5"/>
  <c r="AB428" i="5"/>
  <c r="AC428" i="5"/>
  <c r="AB429" i="5"/>
  <c r="AD429" i="5"/>
  <c r="AB430" i="5"/>
  <c r="AC430" i="5"/>
  <c r="AA431" i="3"/>
  <c r="AA432" i="3"/>
  <c r="AA433" i="3"/>
  <c r="AA434" i="3"/>
  <c r="AA435" i="3"/>
  <c r="AA436" i="3"/>
  <c r="AA437" i="3"/>
  <c r="AA438" i="3"/>
  <c r="AA439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O408" i="3"/>
  <c r="P408" i="3"/>
  <c r="Q408" i="3"/>
  <c r="R408" i="3"/>
  <c r="S408" i="3"/>
  <c r="T408" i="3"/>
  <c r="U408" i="3"/>
  <c r="V408" i="3"/>
  <c r="W408" i="3"/>
  <c r="X408" i="3"/>
  <c r="O409" i="3"/>
  <c r="P409" i="3"/>
  <c r="Q409" i="3"/>
  <c r="R409" i="3"/>
  <c r="S409" i="3"/>
  <c r="T409" i="3"/>
  <c r="U409" i="3"/>
  <c r="V409" i="3"/>
  <c r="W409" i="3"/>
  <c r="X409" i="3"/>
  <c r="O410" i="3"/>
  <c r="P410" i="3"/>
  <c r="Q410" i="3"/>
  <c r="R410" i="3"/>
  <c r="S410" i="3"/>
  <c r="T410" i="3"/>
  <c r="U410" i="3"/>
  <c r="V410" i="3"/>
  <c r="W410" i="3"/>
  <c r="X410" i="3"/>
  <c r="O411" i="3"/>
  <c r="P411" i="3"/>
  <c r="Q411" i="3"/>
  <c r="R411" i="3"/>
  <c r="S411" i="3"/>
  <c r="T411" i="3"/>
  <c r="U411" i="3"/>
  <c r="V411" i="3"/>
  <c r="W411" i="3"/>
  <c r="X411" i="3"/>
  <c r="O412" i="3"/>
  <c r="P412" i="3"/>
  <c r="Q412" i="3"/>
  <c r="R412" i="3"/>
  <c r="S412" i="3"/>
  <c r="T412" i="3"/>
  <c r="U412" i="3"/>
  <c r="V412" i="3"/>
  <c r="W412" i="3"/>
  <c r="X412" i="3"/>
  <c r="O413" i="3"/>
  <c r="P413" i="3"/>
  <c r="Q413" i="3"/>
  <c r="R413" i="3"/>
  <c r="S413" i="3"/>
  <c r="T413" i="3"/>
  <c r="U413" i="3"/>
  <c r="V413" i="3"/>
  <c r="W413" i="3"/>
  <c r="X413" i="3"/>
  <c r="O414" i="3"/>
  <c r="P414" i="3"/>
  <c r="Q414" i="3"/>
  <c r="R414" i="3"/>
  <c r="S414" i="3"/>
  <c r="T414" i="3"/>
  <c r="U414" i="3"/>
  <c r="V414" i="3"/>
  <c r="W414" i="3"/>
  <c r="X414" i="3"/>
  <c r="O415" i="3"/>
  <c r="P415" i="3"/>
  <c r="Q415" i="3"/>
  <c r="R415" i="3"/>
  <c r="S415" i="3"/>
  <c r="T415" i="3"/>
  <c r="U415" i="3"/>
  <c r="V415" i="3"/>
  <c r="W415" i="3"/>
  <c r="X415" i="3"/>
  <c r="O416" i="3"/>
  <c r="P416" i="3"/>
  <c r="Q416" i="3"/>
  <c r="R416" i="3"/>
  <c r="S416" i="3"/>
  <c r="T416" i="3"/>
  <c r="U416" i="3"/>
  <c r="V416" i="3"/>
  <c r="W416" i="3"/>
  <c r="X416" i="3"/>
  <c r="O417" i="3"/>
  <c r="P417" i="3"/>
  <c r="Q417" i="3"/>
  <c r="R417" i="3"/>
  <c r="S417" i="3"/>
  <c r="T417" i="3"/>
  <c r="U417" i="3"/>
  <c r="V417" i="3"/>
  <c r="W417" i="3"/>
  <c r="X417" i="3"/>
  <c r="O418" i="3"/>
  <c r="P418" i="3"/>
  <c r="Q418" i="3"/>
  <c r="R418" i="3"/>
  <c r="S418" i="3"/>
  <c r="T418" i="3"/>
  <c r="U418" i="3"/>
  <c r="V418" i="3"/>
  <c r="W418" i="3"/>
  <c r="X418" i="3"/>
  <c r="O419" i="3"/>
  <c r="P419" i="3"/>
  <c r="Q419" i="3"/>
  <c r="R419" i="3"/>
  <c r="S419" i="3"/>
  <c r="T419" i="3"/>
  <c r="U419" i="3"/>
  <c r="V419" i="3"/>
  <c r="W419" i="3"/>
  <c r="X419" i="3"/>
  <c r="O420" i="3"/>
  <c r="P420" i="3"/>
  <c r="Q420" i="3"/>
  <c r="R420" i="3"/>
  <c r="S420" i="3"/>
  <c r="T420" i="3"/>
  <c r="U420" i="3"/>
  <c r="V420" i="3"/>
  <c r="W420" i="3"/>
  <c r="X420" i="3"/>
  <c r="O421" i="3"/>
  <c r="P421" i="3"/>
  <c r="Q421" i="3"/>
  <c r="R421" i="3"/>
  <c r="S421" i="3"/>
  <c r="T421" i="3"/>
  <c r="U421" i="3"/>
  <c r="V421" i="3"/>
  <c r="W421" i="3"/>
  <c r="X421" i="3"/>
  <c r="O422" i="3"/>
  <c r="P422" i="3"/>
  <c r="Q422" i="3"/>
  <c r="R422" i="3"/>
  <c r="S422" i="3"/>
  <c r="T422" i="3"/>
  <c r="U422" i="3"/>
  <c r="V422" i="3"/>
  <c r="W422" i="3"/>
  <c r="X422" i="3"/>
  <c r="O423" i="3"/>
  <c r="P423" i="3"/>
  <c r="Q423" i="3"/>
  <c r="R423" i="3"/>
  <c r="S423" i="3"/>
  <c r="T423" i="3"/>
  <c r="U423" i="3"/>
  <c r="V423" i="3"/>
  <c r="W423" i="3"/>
  <c r="X423" i="3"/>
  <c r="O424" i="3"/>
  <c r="P424" i="3"/>
  <c r="Q424" i="3"/>
  <c r="R424" i="3"/>
  <c r="S424" i="3"/>
  <c r="T424" i="3"/>
  <c r="U424" i="3"/>
  <c r="V424" i="3"/>
  <c r="W424" i="3"/>
  <c r="X424" i="3"/>
  <c r="O425" i="3"/>
  <c r="P425" i="3"/>
  <c r="Q425" i="3"/>
  <c r="R425" i="3"/>
  <c r="S425" i="3"/>
  <c r="T425" i="3"/>
  <c r="U425" i="3"/>
  <c r="V425" i="3"/>
  <c r="W425" i="3"/>
  <c r="X425" i="3"/>
  <c r="O426" i="3"/>
  <c r="P426" i="3"/>
  <c r="Q426" i="3"/>
  <c r="R426" i="3"/>
  <c r="S426" i="3"/>
  <c r="T426" i="3"/>
  <c r="U426" i="3"/>
  <c r="V426" i="3"/>
  <c r="W426" i="3"/>
  <c r="X426" i="3"/>
  <c r="O427" i="3"/>
  <c r="P427" i="3"/>
  <c r="Q427" i="3"/>
  <c r="R427" i="3"/>
  <c r="S427" i="3"/>
  <c r="T427" i="3"/>
  <c r="U427" i="3"/>
  <c r="V427" i="3"/>
  <c r="W427" i="3"/>
  <c r="X427" i="3"/>
  <c r="O428" i="3"/>
  <c r="P428" i="3"/>
  <c r="Q428" i="3"/>
  <c r="R428" i="3"/>
  <c r="S428" i="3"/>
  <c r="T428" i="3"/>
  <c r="U428" i="3"/>
  <c r="V428" i="3"/>
  <c r="W428" i="3"/>
  <c r="X428" i="3"/>
  <c r="O429" i="3"/>
  <c r="P429" i="3"/>
  <c r="Q429" i="3"/>
  <c r="R429" i="3"/>
  <c r="S429" i="3"/>
  <c r="T429" i="3"/>
  <c r="U429" i="3"/>
  <c r="V429" i="3"/>
  <c r="W429" i="3"/>
  <c r="X429" i="3"/>
  <c r="O430" i="3"/>
  <c r="P430" i="3"/>
  <c r="Q430" i="3"/>
  <c r="R430" i="3"/>
  <c r="S430" i="3"/>
  <c r="T430" i="3"/>
  <c r="U430" i="3"/>
  <c r="V430" i="3"/>
  <c r="W430" i="3"/>
  <c r="X430" i="3"/>
  <c r="AD430" i="5" l="1"/>
  <c r="AD428" i="5"/>
  <c r="AD426" i="5"/>
  <c r="AD424" i="5"/>
  <c r="AD422" i="5"/>
  <c r="AD420" i="5"/>
  <c r="AD418" i="5"/>
  <c r="AD416" i="5"/>
  <c r="AD414" i="5"/>
  <c r="AD412" i="5"/>
  <c r="AD410" i="5"/>
  <c r="AA412" i="3"/>
  <c r="AA413" i="3"/>
  <c r="AA414" i="3"/>
  <c r="AA415" i="3"/>
  <c r="AA416" i="3"/>
  <c r="AA408" i="3"/>
  <c r="AA409" i="3"/>
  <c r="AA410" i="3"/>
  <c r="AA411" i="3"/>
  <c r="AB321" i="5" l="1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O321" i="5"/>
  <c r="P321" i="5"/>
  <c r="Q321" i="5"/>
  <c r="R321" i="5"/>
  <c r="S321" i="5"/>
  <c r="T321" i="5"/>
  <c r="U321" i="5"/>
  <c r="AC321" i="5" s="1"/>
  <c r="V321" i="5"/>
  <c r="W321" i="5"/>
  <c r="X321" i="5"/>
  <c r="O322" i="5"/>
  <c r="P322" i="5"/>
  <c r="Q322" i="5"/>
  <c r="R322" i="5"/>
  <c r="S322" i="5"/>
  <c r="T322" i="5"/>
  <c r="U322" i="5"/>
  <c r="AC322" i="5" s="1"/>
  <c r="V322" i="5"/>
  <c r="W322" i="5"/>
  <c r="X322" i="5"/>
  <c r="O323" i="5"/>
  <c r="P323" i="5"/>
  <c r="Q323" i="5"/>
  <c r="R323" i="5"/>
  <c r="S323" i="5"/>
  <c r="T323" i="5"/>
  <c r="U323" i="5"/>
  <c r="AD323" i="5" s="1"/>
  <c r="V323" i="5"/>
  <c r="W323" i="5"/>
  <c r="X323" i="5"/>
  <c r="O324" i="5"/>
  <c r="P324" i="5"/>
  <c r="Q324" i="5"/>
  <c r="R324" i="5"/>
  <c r="S324" i="5"/>
  <c r="T324" i="5"/>
  <c r="U324" i="5"/>
  <c r="AC324" i="5" s="1"/>
  <c r="V324" i="5"/>
  <c r="W324" i="5"/>
  <c r="X324" i="5"/>
  <c r="O325" i="5"/>
  <c r="P325" i="5"/>
  <c r="Q325" i="5"/>
  <c r="R325" i="5"/>
  <c r="S325" i="5"/>
  <c r="T325" i="5"/>
  <c r="U325" i="5"/>
  <c r="AD325" i="5" s="1"/>
  <c r="V325" i="5"/>
  <c r="W325" i="5"/>
  <c r="AC325" i="5" s="1"/>
  <c r="X325" i="5"/>
  <c r="O326" i="5"/>
  <c r="P326" i="5"/>
  <c r="Q326" i="5"/>
  <c r="R326" i="5"/>
  <c r="S326" i="5"/>
  <c r="T326" i="5"/>
  <c r="U326" i="5"/>
  <c r="AC326" i="5" s="1"/>
  <c r="V326" i="5"/>
  <c r="W326" i="5"/>
  <c r="X326" i="5"/>
  <c r="O327" i="5"/>
  <c r="P327" i="5"/>
  <c r="Q327" i="5"/>
  <c r="R327" i="5"/>
  <c r="S327" i="5"/>
  <c r="T327" i="5"/>
  <c r="U327" i="5"/>
  <c r="AC327" i="5" s="1"/>
  <c r="V327" i="5"/>
  <c r="W327" i="5"/>
  <c r="X327" i="5"/>
  <c r="O328" i="5"/>
  <c r="P328" i="5"/>
  <c r="Q328" i="5"/>
  <c r="R328" i="5"/>
  <c r="S328" i="5"/>
  <c r="T328" i="5"/>
  <c r="U328" i="5"/>
  <c r="AC328" i="5" s="1"/>
  <c r="V328" i="5"/>
  <c r="W328" i="5"/>
  <c r="X328" i="5"/>
  <c r="O329" i="5"/>
  <c r="P329" i="5"/>
  <c r="Q329" i="5"/>
  <c r="R329" i="5"/>
  <c r="S329" i="5"/>
  <c r="T329" i="5"/>
  <c r="U329" i="5"/>
  <c r="AD329" i="5" s="1"/>
  <c r="V329" i="5"/>
  <c r="AC329" i="5" s="1"/>
  <c r="W329" i="5"/>
  <c r="X329" i="5"/>
  <c r="O330" i="5"/>
  <c r="P330" i="5"/>
  <c r="Q330" i="5"/>
  <c r="R330" i="5"/>
  <c r="S330" i="5"/>
  <c r="T330" i="5"/>
  <c r="U330" i="5"/>
  <c r="AD330" i="5" s="1"/>
  <c r="V330" i="5"/>
  <c r="W330" i="5"/>
  <c r="X330" i="5"/>
  <c r="O331" i="5"/>
  <c r="P331" i="5"/>
  <c r="Q331" i="5"/>
  <c r="R331" i="5"/>
  <c r="S331" i="5"/>
  <c r="T331" i="5"/>
  <c r="U331" i="5"/>
  <c r="AD331" i="5" s="1"/>
  <c r="V331" i="5"/>
  <c r="W331" i="5"/>
  <c r="X331" i="5"/>
  <c r="O332" i="5"/>
  <c r="P332" i="5"/>
  <c r="Q332" i="5"/>
  <c r="R332" i="5"/>
  <c r="S332" i="5"/>
  <c r="T332" i="5"/>
  <c r="U332" i="5"/>
  <c r="AC332" i="5" s="1"/>
  <c r="V332" i="5"/>
  <c r="W332" i="5"/>
  <c r="X332" i="5"/>
  <c r="O333" i="5"/>
  <c r="P333" i="5"/>
  <c r="Q333" i="5"/>
  <c r="R333" i="5"/>
  <c r="S333" i="5"/>
  <c r="T333" i="5"/>
  <c r="U333" i="5"/>
  <c r="AD333" i="5" s="1"/>
  <c r="V333" i="5"/>
  <c r="W333" i="5"/>
  <c r="AC333" i="5" s="1"/>
  <c r="X333" i="5"/>
  <c r="O334" i="5"/>
  <c r="P334" i="5"/>
  <c r="Q334" i="5"/>
  <c r="R334" i="5"/>
  <c r="S334" i="5"/>
  <c r="T334" i="5"/>
  <c r="U334" i="5"/>
  <c r="AC334" i="5" s="1"/>
  <c r="V334" i="5"/>
  <c r="W334" i="5"/>
  <c r="X334" i="5"/>
  <c r="O335" i="5"/>
  <c r="P335" i="5"/>
  <c r="Q335" i="5"/>
  <c r="R335" i="5"/>
  <c r="S335" i="5"/>
  <c r="T335" i="5"/>
  <c r="U335" i="5"/>
  <c r="AC335" i="5" s="1"/>
  <c r="V335" i="5"/>
  <c r="W335" i="5"/>
  <c r="X335" i="5"/>
  <c r="O336" i="5"/>
  <c r="P336" i="5"/>
  <c r="Q336" i="5"/>
  <c r="R336" i="5"/>
  <c r="S336" i="5"/>
  <c r="T336" i="5"/>
  <c r="U336" i="5"/>
  <c r="AC336" i="5" s="1"/>
  <c r="V336" i="5"/>
  <c r="W336" i="5"/>
  <c r="X336" i="5"/>
  <c r="O337" i="5"/>
  <c r="P337" i="5"/>
  <c r="Q337" i="5"/>
  <c r="R337" i="5"/>
  <c r="S337" i="5"/>
  <c r="T337" i="5"/>
  <c r="U337" i="5"/>
  <c r="AD337" i="5" s="1"/>
  <c r="V337" i="5"/>
  <c r="AC337" i="5" s="1"/>
  <c r="W337" i="5"/>
  <c r="X337" i="5"/>
  <c r="O338" i="5"/>
  <c r="P338" i="5"/>
  <c r="Q338" i="5"/>
  <c r="R338" i="5"/>
  <c r="S338" i="5"/>
  <c r="T338" i="5"/>
  <c r="U338" i="5"/>
  <c r="AC338" i="5" s="1"/>
  <c r="V338" i="5"/>
  <c r="W338" i="5"/>
  <c r="X338" i="5"/>
  <c r="O339" i="5"/>
  <c r="P339" i="5"/>
  <c r="Q339" i="5"/>
  <c r="R339" i="5"/>
  <c r="S339" i="5"/>
  <c r="T339" i="5"/>
  <c r="U339" i="5"/>
  <c r="AD339" i="5" s="1"/>
  <c r="V339" i="5"/>
  <c r="W339" i="5"/>
  <c r="X339" i="5"/>
  <c r="O340" i="5"/>
  <c r="P340" i="5"/>
  <c r="Q340" i="5"/>
  <c r="R340" i="5"/>
  <c r="S340" i="5"/>
  <c r="T340" i="5"/>
  <c r="U340" i="5"/>
  <c r="AC340" i="5" s="1"/>
  <c r="V340" i="5"/>
  <c r="W340" i="5"/>
  <c r="X340" i="5"/>
  <c r="O341" i="5"/>
  <c r="P341" i="5"/>
  <c r="Q341" i="5"/>
  <c r="R341" i="5"/>
  <c r="S341" i="5"/>
  <c r="T341" i="5"/>
  <c r="U341" i="5"/>
  <c r="AD341" i="5" s="1"/>
  <c r="V341" i="5"/>
  <c r="W341" i="5"/>
  <c r="AC341" i="5" s="1"/>
  <c r="X341" i="5"/>
  <c r="O342" i="5"/>
  <c r="P342" i="5"/>
  <c r="Q342" i="5"/>
  <c r="R342" i="5"/>
  <c r="S342" i="5"/>
  <c r="T342" i="5"/>
  <c r="U342" i="5"/>
  <c r="AC342" i="5" s="1"/>
  <c r="V342" i="5"/>
  <c r="W342" i="5"/>
  <c r="X342" i="5"/>
  <c r="O343" i="5"/>
  <c r="P343" i="5"/>
  <c r="Q343" i="5"/>
  <c r="R343" i="5"/>
  <c r="S343" i="5"/>
  <c r="T343" i="5"/>
  <c r="U343" i="5"/>
  <c r="AC343" i="5" s="1"/>
  <c r="V343" i="5"/>
  <c r="W343" i="5"/>
  <c r="X343" i="5"/>
  <c r="O344" i="5"/>
  <c r="P344" i="5"/>
  <c r="Q344" i="5"/>
  <c r="R344" i="5"/>
  <c r="S344" i="5"/>
  <c r="T344" i="5"/>
  <c r="U344" i="5"/>
  <c r="AC344" i="5" s="1"/>
  <c r="V344" i="5"/>
  <c r="W344" i="5"/>
  <c r="X344" i="5"/>
  <c r="O345" i="5"/>
  <c r="P345" i="5"/>
  <c r="Q345" i="5"/>
  <c r="R345" i="5"/>
  <c r="S345" i="5"/>
  <c r="T345" i="5"/>
  <c r="U345" i="5"/>
  <c r="AD345" i="5" s="1"/>
  <c r="V345" i="5"/>
  <c r="AC345" i="5" s="1"/>
  <c r="W345" i="5"/>
  <c r="X345" i="5"/>
  <c r="O346" i="5"/>
  <c r="P346" i="5"/>
  <c r="Q346" i="5"/>
  <c r="R346" i="5"/>
  <c r="S346" i="5"/>
  <c r="T346" i="5"/>
  <c r="U346" i="5"/>
  <c r="AC346" i="5" s="1"/>
  <c r="V346" i="5"/>
  <c r="W346" i="5"/>
  <c r="X346" i="5"/>
  <c r="O347" i="5"/>
  <c r="P347" i="5"/>
  <c r="Q347" i="5"/>
  <c r="R347" i="5"/>
  <c r="S347" i="5"/>
  <c r="T347" i="5"/>
  <c r="U347" i="5"/>
  <c r="AD347" i="5" s="1"/>
  <c r="V347" i="5"/>
  <c r="W347" i="5"/>
  <c r="X347" i="5"/>
  <c r="O348" i="5"/>
  <c r="P348" i="5"/>
  <c r="Q348" i="5"/>
  <c r="R348" i="5"/>
  <c r="S348" i="5"/>
  <c r="T348" i="5"/>
  <c r="U348" i="5"/>
  <c r="AC348" i="5" s="1"/>
  <c r="V348" i="5"/>
  <c r="W348" i="5"/>
  <c r="X348" i="5"/>
  <c r="O349" i="5"/>
  <c r="P349" i="5"/>
  <c r="Q349" i="5"/>
  <c r="R349" i="5"/>
  <c r="S349" i="5"/>
  <c r="T349" i="5"/>
  <c r="U349" i="5"/>
  <c r="AD349" i="5" s="1"/>
  <c r="V349" i="5"/>
  <c r="W349" i="5"/>
  <c r="AC349" i="5" s="1"/>
  <c r="X349" i="5"/>
  <c r="O350" i="5"/>
  <c r="P350" i="5"/>
  <c r="Q350" i="5"/>
  <c r="R350" i="5"/>
  <c r="S350" i="5"/>
  <c r="T350" i="5"/>
  <c r="U350" i="5"/>
  <c r="AC350" i="5" s="1"/>
  <c r="V350" i="5"/>
  <c r="W350" i="5"/>
  <c r="X350" i="5"/>
  <c r="O351" i="5"/>
  <c r="P351" i="5"/>
  <c r="Q351" i="5"/>
  <c r="R351" i="5"/>
  <c r="S351" i="5"/>
  <c r="T351" i="5"/>
  <c r="U351" i="5"/>
  <c r="AC351" i="5" s="1"/>
  <c r="V351" i="5"/>
  <c r="W351" i="5"/>
  <c r="X351" i="5"/>
  <c r="O352" i="5"/>
  <c r="P352" i="5"/>
  <c r="Q352" i="5"/>
  <c r="R352" i="5"/>
  <c r="S352" i="5"/>
  <c r="T352" i="5"/>
  <c r="U352" i="5"/>
  <c r="AC352" i="5" s="1"/>
  <c r="V352" i="5"/>
  <c r="W352" i="5"/>
  <c r="X352" i="5"/>
  <c r="O353" i="5"/>
  <c r="P353" i="5"/>
  <c r="Q353" i="5"/>
  <c r="R353" i="5"/>
  <c r="S353" i="5"/>
  <c r="T353" i="5"/>
  <c r="U353" i="5"/>
  <c r="AD353" i="5" s="1"/>
  <c r="V353" i="5"/>
  <c r="AC353" i="5" s="1"/>
  <c r="W353" i="5"/>
  <c r="X353" i="5"/>
  <c r="O354" i="5"/>
  <c r="P354" i="5"/>
  <c r="Q354" i="5"/>
  <c r="R354" i="5"/>
  <c r="S354" i="5"/>
  <c r="T354" i="5"/>
  <c r="U354" i="5"/>
  <c r="AD354" i="5" s="1"/>
  <c r="V354" i="5"/>
  <c r="W354" i="5"/>
  <c r="X354" i="5"/>
  <c r="O355" i="5"/>
  <c r="P355" i="5"/>
  <c r="Q355" i="5"/>
  <c r="R355" i="5"/>
  <c r="S355" i="5"/>
  <c r="T355" i="5"/>
  <c r="U355" i="5"/>
  <c r="AD355" i="5" s="1"/>
  <c r="V355" i="5"/>
  <c r="W355" i="5"/>
  <c r="X355" i="5"/>
  <c r="O356" i="5"/>
  <c r="P356" i="5"/>
  <c r="Q356" i="5"/>
  <c r="R356" i="5"/>
  <c r="S356" i="5"/>
  <c r="T356" i="5"/>
  <c r="U356" i="5"/>
  <c r="AC356" i="5" s="1"/>
  <c r="V356" i="5"/>
  <c r="W356" i="5"/>
  <c r="X356" i="5"/>
  <c r="O357" i="5"/>
  <c r="P357" i="5"/>
  <c r="Q357" i="5"/>
  <c r="R357" i="5"/>
  <c r="S357" i="5"/>
  <c r="T357" i="5"/>
  <c r="U357" i="5"/>
  <c r="AD357" i="5" s="1"/>
  <c r="V357" i="5"/>
  <c r="W357" i="5"/>
  <c r="AC357" i="5" s="1"/>
  <c r="X357" i="5"/>
  <c r="O358" i="5"/>
  <c r="P358" i="5"/>
  <c r="Q358" i="5"/>
  <c r="R358" i="5"/>
  <c r="S358" i="5"/>
  <c r="T358" i="5"/>
  <c r="U358" i="5"/>
  <c r="AC358" i="5" s="1"/>
  <c r="V358" i="5"/>
  <c r="W358" i="5"/>
  <c r="X358" i="5"/>
  <c r="O359" i="5"/>
  <c r="P359" i="5"/>
  <c r="Q359" i="5"/>
  <c r="R359" i="5"/>
  <c r="S359" i="5"/>
  <c r="T359" i="5"/>
  <c r="U359" i="5"/>
  <c r="AC359" i="5" s="1"/>
  <c r="V359" i="5"/>
  <c r="W359" i="5"/>
  <c r="X359" i="5"/>
  <c r="O360" i="5"/>
  <c r="P360" i="5"/>
  <c r="Q360" i="5"/>
  <c r="R360" i="5"/>
  <c r="S360" i="5"/>
  <c r="T360" i="5"/>
  <c r="U360" i="5"/>
  <c r="AC360" i="5" s="1"/>
  <c r="V360" i="5"/>
  <c r="W360" i="5"/>
  <c r="X360" i="5"/>
  <c r="O361" i="5"/>
  <c r="P361" i="5"/>
  <c r="Q361" i="5"/>
  <c r="R361" i="5"/>
  <c r="S361" i="5"/>
  <c r="T361" i="5"/>
  <c r="U361" i="5"/>
  <c r="AD361" i="5" s="1"/>
  <c r="V361" i="5"/>
  <c r="AC361" i="5" s="1"/>
  <c r="W361" i="5"/>
  <c r="X361" i="5"/>
  <c r="O362" i="5"/>
  <c r="P362" i="5"/>
  <c r="Q362" i="5"/>
  <c r="R362" i="5"/>
  <c r="S362" i="5"/>
  <c r="T362" i="5"/>
  <c r="U362" i="5"/>
  <c r="AC362" i="5" s="1"/>
  <c r="V362" i="5"/>
  <c r="W362" i="5"/>
  <c r="X362" i="5"/>
  <c r="O363" i="5"/>
  <c r="P363" i="5"/>
  <c r="Q363" i="5"/>
  <c r="R363" i="5"/>
  <c r="S363" i="5"/>
  <c r="T363" i="5"/>
  <c r="U363" i="5"/>
  <c r="AD363" i="5" s="1"/>
  <c r="V363" i="5"/>
  <c r="W363" i="5"/>
  <c r="X363" i="5"/>
  <c r="O364" i="5"/>
  <c r="P364" i="5"/>
  <c r="Q364" i="5"/>
  <c r="R364" i="5"/>
  <c r="S364" i="5"/>
  <c r="T364" i="5"/>
  <c r="U364" i="5"/>
  <c r="AC364" i="5" s="1"/>
  <c r="V364" i="5"/>
  <c r="W364" i="5"/>
  <c r="X364" i="5"/>
  <c r="O365" i="5"/>
  <c r="P365" i="5"/>
  <c r="Q365" i="5"/>
  <c r="R365" i="5"/>
  <c r="S365" i="5"/>
  <c r="T365" i="5"/>
  <c r="U365" i="5"/>
  <c r="AD365" i="5" s="1"/>
  <c r="V365" i="5"/>
  <c r="W365" i="5"/>
  <c r="AC365" i="5" s="1"/>
  <c r="X365" i="5"/>
  <c r="O366" i="5"/>
  <c r="P366" i="5"/>
  <c r="Q366" i="5"/>
  <c r="R366" i="5"/>
  <c r="S366" i="5"/>
  <c r="T366" i="5"/>
  <c r="U366" i="5"/>
  <c r="AC366" i="5" s="1"/>
  <c r="V366" i="5"/>
  <c r="W366" i="5"/>
  <c r="X366" i="5"/>
  <c r="O367" i="5"/>
  <c r="P367" i="5"/>
  <c r="Q367" i="5"/>
  <c r="R367" i="5"/>
  <c r="S367" i="5"/>
  <c r="T367" i="5"/>
  <c r="U367" i="5"/>
  <c r="AC367" i="5" s="1"/>
  <c r="V367" i="5"/>
  <c r="W367" i="5"/>
  <c r="X367" i="5"/>
  <c r="O368" i="5"/>
  <c r="P368" i="5"/>
  <c r="Q368" i="5"/>
  <c r="R368" i="5"/>
  <c r="S368" i="5"/>
  <c r="T368" i="5"/>
  <c r="U368" i="5"/>
  <c r="AC368" i="5" s="1"/>
  <c r="V368" i="5"/>
  <c r="W368" i="5"/>
  <c r="X368" i="5"/>
  <c r="O369" i="5"/>
  <c r="P369" i="5"/>
  <c r="Q369" i="5"/>
  <c r="R369" i="5"/>
  <c r="S369" i="5"/>
  <c r="T369" i="5"/>
  <c r="U369" i="5"/>
  <c r="AD369" i="5" s="1"/>
  <c r="V369" i="5"/>
  <c r="AC369" i="5" s="1"/>
  <c r="W369" i="5"/>
  <c r="X369" i="5"/>
  <c r="O370" i="5"/>
  <c r="P370" i="5"/>
  <c r="Q370" i="5"/>
  <c r="R370" i="5"/>
  <c r="S370" i="5"/>
  <c r="T370" i="5"/>
  <c r="U370" i="5"/>
  <c r="AD370" i="5" s="1"/>
  <c r="V370" i="5"/>
  <c r="W370" i="5"/>
  <c r="X370" i="5"/>
  <c r="O371" i="5"/>
  <c r="P371" i="5"/>
  <c r="Q371" i="5"/>
  <c r="R371" i="5"/>
  <c r="S371" i="5"/>
  <c r="T371" i="5"/>
  <c r="U371" i="5"/>
  <c r="AD371" i="5" s="1"/>
  <c r="V371" i="5"/>
  <c r="W371" i="5"/>
  <c r="X371" i="5"/>
  <c r="O372" i="5"/>
  <c r="P372" i="5"/>
  <c r="Q372" i="5"/>
  <c r="R372" i="5"/>
  <c r="S372" i="5"/>
  <c r="T372" i="5"/>
  <c r="U372" i="5"/>
  <c r="AC372" i="5" s="1"/>
  <c r="V372" i="5"/>
  <c r="W372" i="5"/>
  <c r="X372" i="5"/>
  <c r="O373" i="5"/>
  <c r="P373" i="5"/>
  <c r="Q373" i="5"/>
  <c r="R373" i="5"/>
  <c r="S373" i="5"/>
  <c r="T373" i="5"/>
  <c r="U373" i="5"/>
  <c r="AD373" i="5" s="1"/>
  <c r="V373" i="5"/>
  <c r="W373" i="5"/>
  <c r="AC373" i="5" s="1"/>
  <c r="X373" i="5"/>
  <c r="O374" i="5"/>
  <c r="P374" i="5"/>
  <c r="Q374" i="5"/>
  <c r="R374" i="5"/>
  <c r="S374" i="5"/>
  <c r="T374" i="5"/>
  <c r="U374" i="5"/>
  <c r="AC374" i="5" s="1"/>
  <c r="V374" i="5"/>
  <c r="W374" i="5"/>
  <c r="X374" i="5"/>
  <c r="O375" i="5"/>
  <c r="P375" i="5"/>
  <c r="Q375" i="5"/>
  <c r="R375" i="5"/>
  <c r="S375" i="5"/>
  <c r="T375" i="5"/>
  <c r="U375" i="5"/>
  <c r="AC375" i="5" s="1"/>
  <c r="V375" i="5"/>
  <c r="W375" i="5"/>
  <c r="X375" i="5"/>
  <c r="O376" i="5"/>
  <c r="P376" i="5"/>
  <c r="Q376" i="5"/>
  <c r="R376" i="5"/>
  <c r="S376" i="5"/>
  <c r="T376" i="5"/>
  <c r="U376" i="5"/>
  <c r="AC376" i="5" s="1"/>
  <c r="V376" i="5"/>
  <c r="W376" i="5"/>
  <c r="X376" i="5"/>
  <c r="O377" i="5"/>
  <c r="P377" i="5"/>
  <c r="Q377" i="5"/>
  <c r="R377" i="5"/>
  <c r="S377" i="5"/>
  <c r="T377" i="5"/>
  <c r="U377" i="5"/>
  <c r="AD377" i="5" s="1"/>
  <c r="V377" i="5"/>
  <c r="AC377" i="5" s="1"/>
  <c r="W377" i="5"/>
  <c r="X377" i="5"/>
  <c r="O378" i="5"/>
  <c r="P378" i="5"/>
  <c r="Q378" i="5"/>
  <c r="R378" i="5"/>
  <c r="S378" i="5"/>
  <c r="T378" i="5"/>
  <c r="U378" i="5"/>
  <c r="AD378" i="5" s="1"/>
  <c r="V378" i="5"/>
  <c r="W378" i="5"/>
  <c r="X378" i="5"/>
  <c r="O379" i="5"/>
  <c r="P379" i="5"/>
  <c r="Q379" i="5"/>
  <c r="R379" i="5"/>
  <c r="S379" i="5"/>
  <c r="T379" i="5"/>
  <c r="U379" i="5"/>
  <c r="AD379" i="5" s="1"/>
  <c r="V379" i="5"/>
  <c r="W379" i="5"/>
  <c r="X379" i="5"/>
  <c r="O380" i="5"/>
  <c r="P380" i="5"/>
  <c r="Q380" i="5"/>
  <c r="R380" i="5"/>
  <c r="S380" i="5"/>
  <c r="T380" i="5"/>
  <c r="U380" i="5"/>
  <c r="AC380" i="5" s="1"/>
  <c r="V380" i="5"/>
  <c r="W380" i="5"/>
  <c r="X380" i="5"/>
  <c r="O381" i="5"/>
  <c r="P381" i="5"/>
  <c r="Q381" i="5"/>
  <c r="R381" i="5"/>
  <c r="S381" i="5"/>
  <c r="T381" i="5"/>
  <c r="U381" i="5"/>
  <c r="AD381" i="5" s="1"/>
  <c r="V381" i="5"/>
  <c r="W381" i="5"/>
  <c r="AC381" i="5" s="1"/>
  <c r="X381" i="5"/>
  <c r="O382" i="5"/>
  <c r="P382" i="5"/>
  <c r="Q382" i="5"/>
  <c r="R382" i="5"/>
  <c r="S382" i="5"/>
  <c r="T382" i="5"/>
  <c r="U382" i="5"/>
  <c r="AC382" i="5" s="1"/>
  <c r="V382" i="5"/>
  <c r="W382" i="5"/>
  <c r="X382" i="5"/>
  <c r="O383" i="5"/>
  <c r="P383" i="5"/>
  <c r="Q383" i="5"/>
  <c r="R383" i="5"/>
  <c r="S383" i="5"/>
  <c r="T383" i="5"/>
  <c r="U383" i="5"/>
  <c r="AC383" i="5" s="1"/>
  <c r="V383" i="5"/>
  <c r="W383" i="5"/>
  <c r="X383" i="5"/>
  <c r="O384" i="5"/>
  <c r="P384" i="5"/>
  <c r="Q384" i="5"/>
  <c r="R384" i="5"/>
  <c r="S384" i="5"/>
  <c r="T384" i="5"/>
  <c r="U384" i="5"/>
  <c r="AC384" i="5" s="1"/>
  <c r="V384" i="5"/>
  <c r="W384" i="5"/>
  <c r="X384" i="5"/>
  <c r="O385" i="5"/>
  <c r="P385" i="5"/>
  <c r="Q385" i="5"/>
  <c r="R385" i="5"/>
  <c r="S385" i="5"/>
  <c r="T385" i="5"/>
  <c r="U385" i="5"/>
  <c r="AD385" i="5" s="1"/>
  <c r="V385" i="5"/>
  <c r="AC385" i="5" s="1"/>
  <c r="W385" i="5"/>
  <c r="X385" i="5"/>
  <c r="O386" i="5"/>
  <c r="P386" i="5"/>
  <c r="Q386" i="5"/>
  <c r="R386" i="5"/>
  <c r="S386" i="5"/>
  <c r="T386" i="5"/>
  <c r="U386" i="5"/>
  <c r="AC386" i="5" s="1"/>
  <c r="V386" i="5"/>
  <c r="W386" i="5"/>
  <c r="X386" i="5"/>
  <c r="O387" i="5"/>
  <c r="P387" i="5"/>
  <c r="Q387" i="5"/>
  <c r="R387" i="5"/>
  <c r="S387" i="5"/>
  <c r="T387" i="5"/>
  <c r="U387" i="5"/>
  <c r="AD387" i="5" s="1"/>
  <c r="V387" i="5"/>
  <c r="W387" i="5"/>
  <c r="X387" i="5"/>
  <c r="O388" i="5"/>
  <c r="P388" i="5"/>
  <c r="Q388" i="5"/>
  <c r="R388" i="5"/>
  <c r="S388" i="5"/>
  <c r="T388" i="5"/>
  <c r="U388" i="5"/>
  <c r="AC388" i="5" s="1"/>
  <c r="V388" i="5"/>
  <c r="W388" i="5"/>
  <c r="X388" i="5"/>
  <c r="O389" i="5"/>
  <c r="P389" i="5"/>
  <c r="Q389" i="5"/>
  <c r="R389" i="5"/>
  <c r="S389" i="5"/>
  <c r="T389" i="5"/>
  <c r="U389" i="5"/>
  <c r="AD389" i="5" s="1"/>
  <c r="V389" i="5"/>
  <c r="W389" i="5"/>
  <c r="AC389" i="5" s="1"/>
  <c r="X389" i="5"/>
  <c r="O390" i="5"/>
  <c r="P390" i="5"/>
  <c r="Q390" i="5"/>
  <c r="R390" i="5"/>
  <c r="S390" i="5"/>
  <c r="T390" i="5"/>
  <c r="U390" i="5"/>
  <c r="AC390" i="5" s="1"/>
  <c r="V390" i="5"/>
  <c r="W390" i="5"/>
  <c r="X390" i="5"/>
  <c r="O391" i="5"/>
  <c r="P391" i="5"/>
  <c r="Q391" i="5"/>
  <c r="R391" i="5"/>
  <c r="S391" i="5"/>
  <c r="T391" i="5"/>
  <c r="U391" i="5"/>
  <c r="AC391" i="5" s="1"/>
  <c r="V391" i="5"/>
  <c r="W391" i="5"/>
  <c r="X391" i="5"/>
  <c r="O392" i="5"/>
  <c r="P392" i="5"/>
  <c r="Q392" i="5"/>
  <c r="R392" i="5"/>
  <c r="S392" i="5"/>
  <c r="T392" i="5"/>
  <c r="U392" i="5"/>
  <c r="AC392" i="5" s="1"/>
  <c r="V392" i="5"/>
  <c r="W392" i="5"/>
  <c r="X392" i="5"/>
  <c r="O393" i="5"/>
  <c r="P393" i="5"/>
  <c r="Q393" i="5"/>
  <c r="R393" i="5"/>
  <c r="S393" i="5"/>
  <c r="T393" i="5"/>
  <c r="U393" i="5"/>
  <c r="AD393" i="5" s="1"/>
  <c r="V393" i="5"/>
  <c r="AC393" i="5" s="1"/>
  <c r="W393" i="5"/>
  <c r="X393" i="5"/>
  <c r="O394" i="5"/>
  <c r="P394" i="5"/>
  <c r="Q394" i="5"/>
  <c r="R394" i="5"/>
  <c r="S394" i="5"/>
  <c r="T394" i="5"/>
  <c r="U394" i="5"/>
  <c r="AC394" i="5" s="1"/>
  <c r="V394" i="5"/>
  <c r="W394" i="5"/>
  <c r="X394" i="5"/>
  <c r="O395" i="5"/>
  <c r="P395" i="5"/>
  <c r="Q395" i="5"/>
  <c r="R395" i="5"/>
  <c r="S395" i="5"/>
  <c r="T395" i="5"/>
  <c r="U395" i="5"/>
  <c r="AD395" i="5" s="1"/>
  <c r="V395" i="5"/>
  <c r="W395" i="5"/>
  <c r="X395" i="5"/>
  <c r="O396" i="5"/>
  <c r="P396" i="5"/>
  <c r="Q396" i="5"/>
  <c r="R396" i="5"/>
  <c r="S396" i="5"/>
  <c r="T396" i="5"/>
  <c r="U396" i="5"/>
  <c r="AC396" i="5" s="1"/>
  <c r="V396" i="5"/>
  <c r="W396" i="5"/>
  <c r="X396" i="5"/>
  <c r="O397" i="5"/>
  <c r="P397" i="5"/>
  <c r="Q397" i="5"/>
  <c r="R397" i="5"/>
  <c r="S397" i="5"/>
  <c r="T397" i="5"/>
  <c r="U397" i="5"/>
  <c r="AD397" i="5" s="1"/>
  <c r="V397" i="5"/>
  <c r="W397" i="5"/>
  <c r="AC397" i="5" s="1"/>
  <c r="X397" i="5"/>
  <c r="O398" i="5"/>
  <c r="P398" i="5"/>
  <c r="Q398" i="5"/>
  <c r="R398" i="5"/>
  <c r="S398" i="5"/>
  <c r="T398" i="5"/>
  <c r="U398" i="5"/>
  <c r="AC398" i="5" s="1"/>
  <c r="V398" i="5"/>
  <c r="W398" i="5"/>
  <c r="X398" i="5"/>
  <c r="O399" i="5"/>
  <c r="P399" i="5"/>
  <c r="Q399" i="5"/>
  <c r="R399" i="5"/>
  <c r="S399" i="5"/>
  <c r="T399" i="5"/>
  <c r="U399" i="5"/>
  <c r="AC399" i="5" s="1"/>
  <c r="V399" i="5"/>
  <c r="W399" i="5"/>
  <c r="X399" i="5"/>
  <c r="O400" i="5"/>
  <c r="P400" i="5"/>
  <c r="Q400" i="5"/>
  <c r="R400" i="5"/>
  <c r="S400" i="5"/>
  <c r="T400" i="5"/>
  <c r="U400" i="5"/>
  <c r="AC400" i="5" s="1"/>
  <c r="V400" i="5"/>
  <c r="W400" i="5"/>
  <c r="X400" i="5"/>
  <c r="O401" i="5"/>
  <c r="P401" i="5"/>
  <c r="Q401" i="5"/>
  <c r="R401" i="5"/>
  <c r="S401" i="5"/>
  <c r="T401" i="5"/>
  <c r="U401" i="5"/>
  <c r="V401" i="5"/>
  <c r="AC401" i="5" s="1"/>
  <c r="W401" i="5"/>
  <c r="X401" i="5"/>
  <c r="O402" i="5"/>
  <c r="P402" i="5"/>
  <c r="Q402" i="5"/>
  <c r="R402" i="5"/>
  <c r="S402" i="5"/>
  <c r="T402" i="5"/>
  <c r="U402" i="5"/>
  <c r="AD402" i="5" s="1"/>
  <c r="V402" i="5"/>
  <c r="W402" i="5"/>
  <c r="X402" i="5"/>
  <c r="O403" i="5"/>
  <c r="P403" i="5"/>
  <c r="Q403" i="5"/>
  <c r="R403" i="5"/>
  <c r="S403" i="5"/>
  <c r="T403" i="5"/>
  <c r="U403" i="5"/>
  <c r="AD403" i="5" s="1"/>
  <c r="V403" i="5"/>
  <c r="W403" i="5"/>
  <c r="X403" i="5"/>
  <c r="O404" i="5"/>
  <c r="P404" i="5"/>
  <c r="Q404" i="5"/>
  <c r="R404" i="5"/>
  <c r="S404" i="5"/>
  <c r="T404" i="5"/>
  <c r="U404" i="5"/>
  <c r="AC404" i="5" s="1"/>
  <c r="V404" i="5"/>
  <c r="W404" i="5"/>
  <c r="X404" i="5"/>
  <c r="O405" i="5"/>
  <c r="P405" i="5"/>
  <c r="Q405" i="5"/>
  <c r="R405" i="5"/>
  <c r="S405" i="5"/>
  <c r="T405" i="5"/>
  <c r="U405" i="5"/>
  <c r="AD405" i="5" s="1"/>
  <c r="V405" i="5"/>
  <c r="W405" i="5"/>
  <c r="AC405" i="5" s="1"/>
  <c r="X405" i="5"/>
  <c r="O406" i="5"/>
  <c r="P406" i="5"/>
  <c r="Q406" i="5"/>
  <c r="R406" i="5"/>
  <c r="S406" i="5"/>
  <c r="T406" i="5"/>
  <c r="U406" i="5"/>
  <c r="AC406" i="5" s="1"/>
  <c r="V406" i="5"/>
  <c r="W406" i="5"/>
  <c r="X406" i="5"/>
  <c r="O407" i="5"/>
  <c r="P407" i="5"/>
  <c r="Q407" i="5"/>
  <c r="R407" i="5"/>
  <c r="S407" i="5"/>
  <c r="T407" i="5"/>
  <c r="U407" i="5"/>
  <c r="AC407" i="5" s="1"/>
  <c r="V407" i="5"/>
  <c r="W407" i="5"/>
  <c r="X407" i="5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O321" i="3"/>
  <c r="P321" i="3"/>
  <c r="Q321" i="3"/>
  <c r="R321" i="3"/>
  <c r="S321" i="3"/>
  <c r="T321" i="3"/>
  <c r="U321" i="3"/>
  <c r="V321" i="3"/>
  <c r="W321" i="3"/>
  <c r="X321" i="3"/>
  <c r="O322" i="3"/>
  <c r="P322" i="3"/>
  <c r="Q322" i="3"/>
  <c r="R322" i="3"/>
  <c r="S322" i="3"/>
  <c r="T322" i="3"/>
  <c r="U322" i="3"/>
  <c r="V322" i="3"/>
  <c r="W322" i="3"/>
  <c r="X322" i="3"/>
  <c r="O323" i="3"/>
  <c r="P323" i="3"/>
  <c r="Q323" i="3"/>
  <c r="R323" i="3"/>
  <c r="S323" i="3"/>
  <c r="T323" i="3"/>
  <c r="U323" i="3"/>
  <c r="V323" i="3"/>
  <c r="W323" i="3"/>
  <c r="X323" i="3"/>
  <c r="O324" i="3"/>
  <c r="P324" i="3"/>
  <c r="Q324" i="3"/>
  <c r="R324" i="3"/>
  <c r="S324" i="3"/>
  <c r="T324" i="3"/>
  <c r="U324" i="3"/>
  <c r="V324" i="3"/>
  <c r="W324" i="3"/>
  <c r="X324" i="3"/>
  <c r="O325" i="3"/>
  <c r="P325" i="3"/>
  <c r="Q325" i="3"/>
  <c r="R325" i="3"/>
  <c r="S325" i="3"/>
  <c r="T325" i="3"/>
  <c r="U325" i="3"/>
  <c r="V325" i="3"/>
  <c r="W325" i="3"/>
  <c r="X325" i="3"/>
  <c r="O326" i="3"/>
  <c r="P326" i="3"/>
  <c r="Q326" i="3"/>
  <c r="R326" i="3"/>
  <c r="S326" i="3"/>
  <c r="T326" i="3"/>
  <c r="U326" i="3"/>
  <c r="V326" i="3"/>
  <c r="W326" i="3"/>
  <c r="X326" i="3"/>
  <c r="O327" i="3"/>
  <c r="P327" i="3"/>
  <c r="Q327" i="3"/>
  <c r="R327" i="3"/>
  <c r="S327" i="3"/>
  <c r="T327" i="3"/>
  <c r="U327" i="3"/>
  <c r="V327" i="3"/>
  <c r="W327" i="3"/>
  <c r="X327" i="3"/>
  <c r="O328" i="3"/>
  <c r="P328" i="3"/>
  <c r="Q328" i="3"/>
  <c r="R328" i="3"/>
  <c r="S328" i="3"/>
  <c r="T328" i="3"/>
  <c r="U328" i="3"/>
  <c r="V328" i="3"/>
  <c r="W328" i="3"/>
  <c r="X328" i="3"/>
  <c r="O329" i="3"/>
  <c r="P329" i="3"/>
  <c r="Q329" i="3"/>
  <c r="R329" i="3"/>
  <c r="S329" i="3"/>
  <c r="T329" i="3"/>
  <c r="U329" i="3"/>
  <c r="V329" i="3"/>
  <c r="W329" i="3"/>
  <c r="X329" i="3"/>
  <c r="O330" i="3"/>
  <c r="P330" i="3"/>
  <c r="Q330" i="3"/>
  <c r="R330" i="3"/>
  <c r="S330" i="3"/>
  <c r="T330" i="3"/>
  <c r="U330" i="3"/>
  <c r="V330" i="3"/>
  <c r="W330" i="3"/>
  <c r="X330" i="3"/>
  <c r="O331" i="3"/>
  <c r="P331" i="3"/>
  <c r="Q331" i="3"/>
  <c r="R331" i="3"/>
  <c r="S331" i="3"/>
  <c r="T331" i="3"/>
  <c r="U331" i="3"/>
  <c r="V331" i="3"/>
  <c r="W331" i="3"/>
  <c r="X331" i="3"/>
  <c r="O332" i="3"/>
  <c r="P332" i="3"/>
  <c r="Q332" i="3"/>
  <c r="R332" i="3"/>
  <c r="S332" i="3"/>
  <c r="T332" i="3"/>
  <c r="U332" i="3"/>
  <c r="V332" i="3"/>
  <c r="W332" i="3"/>
  <c r="X332" i="3"/>
  <c r="O333" i="3"/>
  <c r="P333" i="3"/>
  <c r="Q333" i="3"/>
  <c r="R333" i="3"/>
  <c r="S333" i="3"/>
  <c r="T333" i="3"/>
  <c r="U333" i="3"/>
  <c r="V333" i="3"/>
  <c r="W333" i="3"/>
  <c r="X333" i="3"/>
  <c r="O334" i="3"/>
  <c r="P334" i="3"/>
  <c r="Q334" i="3"/>
  <c r="R334" i="3"/>
  <c r="S334" i="3"/>
  <c r="T334" i="3"/>
  <c r="U334" i="3"/>
  <c r="V334" i="3"/>
  <c r="W334" i="3"/>
  <c r="X334" i="3"/>
  <c r="O335" i="3"/>
  <c r="P335" i="3"/>
  <c r="Q335" i="3"/>
  <c r="R335" i="3"/>
  <c r="S335" i="3"/>
  <c r="T335" i="3"/>
  <c r="U335" i="3"/>
  <c r="V335" i="3"/>
  <c r="W335" i="3"/>
  <c r="X335" i="3"/>
  <c r="O336" i="3"/>
  <c r="P336" i="3"/>
  <c r="Q336" i="3"/>
  <c r="R336" i="3"/>
  <c r="S336" i="3"/>
  <c r="T336" i="3"/>
  <c r="U336" i="3"/>
  <c r="V336" i="3"/>
  <c r="W336" i="3"/>
  <c r="X336" i="3"/>
  <c r="O337" i="3"/>
  <c r="P337" i="3"/>
  <c r="Q337" i="3"/>
  <c r="R337" i="3"/>
  <c r="S337" i="3"/>
  <c r="T337" i="3"/>
  <c r="U337" i="3"/>
  <c r="V337" i="3"/>
  <c r="W337" i="3"/>
  <c r="X337" i="3"/>
  <c r="O338" i="3"/>
  <c r="P338" i="3"/>
  <c r="Q338" i="3"/>
  <c r="R338" i="3"/>
  <c r="S338" i="3"/>
  <c r="T338" i="3"/>
  <c r="U338" i="3"/>
  <c r="V338" i="3"/>
  <c r="W338" i="3"/>
  <c r="X338" i="3"/>
  <c r="O339" i="3"/>
  <c r="P339" i="3"/>
  <c r="Q339" i="3"/>
  <c r="R339" i="3"/>
  <c r="S339" i="3"/>
  <c r="T339" i="3"/>
  <c r="U339" i="3"/>
  <c r="V339" i="3"/>
  <c r="W339" i="3"/>
  <c r="X339" i="3"/>
  <c r="O340" i="3"/>
  <c r="P340" i="3"/>
  <c r="Q340" i="3"/>
  <c r="R340" i="3"/>
  <c r="S340" i="3"/>
  <c r="T340" i="3"/>
  <c r="U340" i="3"/>
  <c r="V340" i="3"/>
  <c r="W340" i="3"/>
  <c r="X340" i="3"/>
  <c r="O341" i="3"/>
  <c r="P341" i="3"/>
  <c r="Q341" i="3"/>
  <c r="R341" i="3"/>
  <c r="S341" i="3"/>
  <c r="T341" i="3"/>
  <c r="U341" i="3"/>
  <c r="V341" i="3"/>
  <c r="W341" i="3"/>
  <c r="X341" i="3"/>
  <c r="O342" i="3"/>
  <c r="P342" i="3"/>
  <c r="Q342" i="3"/>
  <c r="R342" i="3"/>
  <c r="S342" i="3"/>
  <c r="T342" i="3"/>
  <c r="U342" i="3"/>
  <c r="V342" i="3"/>
  <c r="W342" i="3"/>
  <c r="X342" i="3"/>
  <c r="O343" i="3"/>
  <c r="P343" i="3"/>
  <c r="Q343" i="3"/>
  <c r="R343" i="3"/>
  <c r="S343" i="3"/>
  <c r="T343" i="3"/>
  <c r="U343" i="3"/>
  <c r="V343" i="3"/>
  <c r="W343" i="3"/>
  <c r="X343" i="3"/>
  <c r="O344" i="3"/>
  <c r="P344" i="3"/>
  <c r="Q344" i="3"/>
  <c r="R344" i="3"/>
  <c r="S344" i="3"/>
  <c r="T344" i="3"/>
  <c r="U344" i="3"/>
  <c r="V344" i="3"/>
  <c r="W344" i="3"/>
  <c r="X344" i="3"/>
  <c r="O345" i="3"/>
  <c r="P345" i="3"/>
  <c r="Q345" i="3"/>
  <c r="R345" i="3"/>
  <c r="S345" i="3"/>
  <c r="T345" i="3"/>
  <c r="U345" i="3"/>
  <c r="V345" i="3"/>
  <c r="W345" i="3"/>
  <c r="X345" i="3"/>
  <c r="O346" i="3"/>
  <c r="P346" i="3"/>
  <c r="Q346" i="3"/>
  <c r="R346" i="3"/>
  <c r="S346" i="3"/>
  <c r="T346" i="3"/>
  <c r="U346" i="3"/>
  <c r="V346" i="3"/>
  <c r="W346" i="3"/>
  <c r="X346" i="3"/>
  <c r="O347" i="3"/>
  <c r="P347" i="3"/>
  <c r="Q347" i="3"/>
  <c r="R347" i="3"/>
  <c r="S347" i="3"/>
  <c r="T347" i="3"/>
  <c r="U347" i="3"/>
  <c r="V347" i="3"/>
  <c r="W347" i="3"/>
  <c r="X347" i="3"/>
  <c r="O348" i="3"/>
  <c r="P348" i="3"/>
  <c r="Q348" i="3"/>
  <c r="R348" i="3"/>
  <c r="S348" i="3"/>
  <c r="T348" i="3"/>
  <c r="U348" i="3"/>
  <c r="V348" i="3"/>
  <c r="W348" i="3"/>
  <c r="X348" i="3"/>
  <c r="O349" i="3"/>
  <c r="P349" i="3"/>
  <c r="Q349" i="3"/>
  <c r="R349" i="3"/>
  <c r="S349" i="3"/>
  <c r="T349" i="3"/>
  <c r="U349" i="3"/>
  <c r="V349" i="3"/>
  <c r="W349" i="3"/>
  <c r="X349" i="3"/>
  <c r="O350" i="3"/>
  <c r="P350" i="3"/>
  <c r="Q350" i="3"/>
  <c r="R350" i="3"/>
  <c r="S350" i="3"/>
  <c r="T350" i="3"/>
  <c r="U350" i="3"/>
  <c r="V350" i="3"/>
  <c r="W350" i="3"/>
  <c r="X350" i="3"/>
  <c r="O351" i="3"/>
  <c r="P351" i="3"/>
  <c r="Q351" i="3"/>
  <c r="R351" i="3"/>
  <c r="S351" i="3"/>
  <c r="T351" i="3"/>
  <c r="U351" i="3"/>
  <c r="V351" i="3"/>
  <c r="W351" i="3"/>
  <c r="X351" i="3"/>
  <c r="O352" i="3"/>
  <c r="P352" i="3"/>
  <c r="Q352" i="3"/>
  <c r="R352" i="3"/>
  <c r="S352" i="3"/>
  <c r="T352" i="3"/>
  <c r="U352" i="3"/>
  <c r="V352" i="3"/>
  <c r="W352" i="3"/>
  <c r="X352" i="3"/>
  <c r="O353" i="3"/>
  <c r="P353" i="3"/>
  <c r="Q353" i="3"/>
  <c r="R353" i="3"/>
  <c r="S353" i="3"/>
  <c r="T353" i="3"/>
  <c r="U353" i="3"/>
  <c r="V353" i="3"/>
  <c r="W353" i="3"/>
  <c r="X353" i="3"/>
  <c r="O354" i="3"/>
  <c r="P354" i="3"/>
  <c r="Q354" i="3"/>
  <c r="R354" i="3"/>
  <c r="S354" i="3"/>
  <c r="T354" i="3"/>
  <c r="U354" i="3"/>
  <c r="V354" i="3"/>
  <c r="W354" i="3"/>
  <c r="X354" i="3"/>
  <c r="O355" i="3"/>
  <c r="P355" i="3"/>
  <c r="Q355" i="3"/>
  <c r="R355" i="3"/>
  <c r="S355" i="3"/>
  <c r="T355" i="3"/>
  <c r="U355" i="3"/>
  <c r="V355" i="3"/>
  <c r="W355" i="3"/>
  <c r="X355" i="3"/>
  <c r="O356" i="3"/>
  <c r="P356" i="3"/>
  <c r="Q356" i="3"/>
  <c r="R356" i="3"/>
  <c r="S356" i="3"/>
  <c r="T356" i="3"/>
  <c r="U356" i="3"/>
  <c r="V356" i="3"/>
  <c r="W356" i="3"/>
  <c r="X356" i="3"/>
  <c r="O357" i="3"/>
  <c r="P357" i="3"/>
  <c r="Q357" i="3"/>
  <c r="R357" i="3"/>
  <c r="S357" i="3"/>
  <c r="T357" i="3"/>
  <c r="U357" i="3"/>
  <c r="V357" i="3"/>
  <c r="W357" i="3"/>
  <c r="X357" i="3"/>
  <c r="O358" i="3"/>
  <c r="P358" i="3"/>
  <c r="Q358" i="3"/>
  <c r="R358" i="3"/>
  <c r="S358" i="3"/>
  <c r="T358" i="3"/>
  <c r="U358" i="3"/>
  <c r="V358" i="3"/>
  <c r="W358" i="3"/>
  <c r="X358" i="3"/>
  <c r="O359" i="3"/>
  <c r="P359" i="3"/>
  <c r="Q359" i="3"/>
  <c r="R359" i="3"/>
  <c r="S359" i="3"/>
  <c r="T359" i="3"/>
  <c r="U359" i="3"/>
  <c r="V359" i="3"/>
  <c r="W359" i="3"/>
  <c r="X359" i="3"/>
  <c r="O360" i="3"/>
  <c r="P360" i="3"/>
  <c r="Q360" i="3"/>
  <c r="R360" i="3"/>
  <c r="S360" i="3"/>
  <c r="T360" i="3"/>
  <c r="U360" i="3"/>
  <c r="V360" i="3"/>
  <c r="W360" i="3"/>
  <c r="X360" i="3"/>
  <c r="O361" i="3"/>
  <c r="P361" i="3"/>
  <c r="Q361" i="3"/>
  <c r="R361" i="3"/>
  <c r="S361" i="3"/>
  <c r="T361" i="3"/>
  <c r="U361" i="3"/>
  <c r="V361" i="3"/>
  <c r="W361" i="3"/>
  <c r="X361" i="3"/>
  <c r="O362" i="3"/>
  <c r="P362" i="3"/>
  <c r="Q362" i="3"/>
  <c r="R362" i="3"/>
  <c r="S362" i="3"/>
  <c r="T362" i="3"/>
  <c r="U362" i="3"/>
  <c r="V362" i="3"/>
  <c r="W362" i="3"/>
  <c r="X362" i="3"/>
  <c r="O363" i="3"/>
  <c r="P363" i="3"/>
  <c r="Q363" i="3"/>
  <c r="R363" i="3"/>
  <c r="S363" i="3"/>
  <c r="T363" i="3"/>
  <c r="U363" i="3"/>
  <c r="V363" i="3"/>
  <c r="W363" i="3"/>
  <c r="X363" i="3"/>
  <c r="O364" i="3"/>
  <c r="P364" i="3"/>
  <c r="Q364" i="3"/>
  <c r="R364" i="3"/>
  <c r="S364" i="3"/>
  <c r="T364" i="3"/>
  <c r="U364" i="3"/>
  <c r="V364" i="3"/>
  <c r="W364" i="3"/>
  <c r="X364" i="3"/>
  <c r="O365" i="3"/>
  <c r="P365" i="3"/>
  <c r="Q365" i="3"/>
  <c r="R365" i="3"/>
  <c r="S365" i="3"/>
  <c r="T365" i="3"/>
  <c r="U365" i="3"/>
  <c r="V365" i="3"/>
  <c r="W365" i="3"/>
  <c r="X365" i="3"/>
  <c r="O366" i="3"/>
  <c r="P366" i="3"/>
  <c r="Q366" i="3"/>
  <c r="R366" i="3"/>
  <c r="S366" i="3"/>
  <c r="T366" i="3"/>
  <c r="U366" i="3"/>
  <c r="V366" i="3"/>
  <c r="W366" i="3"/>
  <c r="X366" i="3"/>
  <c r="O367" i="3"/>
  <c r="P367" i="3"/>
  <c r="Q367" i="3"/>
  <c r="R367" i="3"/>
  <c r="S367" i="3"/>
  <c r="T367" i="3"/>
  <c r="U367" i="3"/>
  <c r="V367" i="3"/>
  <c r="W367" i="3"/>
  <c r="X367" i="3"/>
  <c r="O368" i="3"/>
  <c r="P368" i="3"/>
  <c r="Q368" i="3"/>
  <c r="R368" i="3"/>
  <c r="S368" i="3"/>
  <c r="T368" i="3"/>
  <c r="U368" i="3"/>
  <c r="V368" i="3"/>
  <c r="W368" i="3"/>
  <c r="X368" i="3"/>
  <c r="O369" i="3"/>
  <c r="P369" i="3"/>
  <c r="Q369" i="3"/>
  <c r="R369" i="3"/>
  <c r="S369" i="3"/>
  <c r="T369" i="3"/>
  <c r="U369" i="3"/>
  <c r="V369" i="3"/>
  <c r="W369" i="3"/>
  <c r="X369" i="3"/>
  <c r="O370" i="3"/>
  <c r="P370" i="3"/>
  <c r="Q370" i="3"/>
  <c r="R370" i="3"/>
  <c r="S370" i="3"/>
  <c r="T370" i="3"/>
  <c r="U370" i="3"/>
  <c r="V370" i="3"/>
  <c r="W370" i="3"/>
  <c r="X370" i="3"/>
  <c r="O371" i="3"/>
  <c r="P371" i="3"/>
  <c r="Q371" i="3"/>
  <c r="R371" i="3"/>
  <c r="S371" i="3"/>
  <c r="T371" i="3"/>
  <c r="U371" i="3"/>
  <c r="V371" i="3"/>
  <c r="W371" i="3"/>
  <c r="X371" i="3"/>
  <c r="O372" i="3"/>
  <c r="P372" i="3"/>
  <c r="Q372" i="3"/>
  <c r="R372" i="3"/>
  <c r="S372" i="3"/>
  <c r="T372" i="3"/>
  <c r="U372" i="3"/>
  <c r="V372" i="3"/>
  <c r="W372" i="3"/>
  <c r="X372" i="3"/>
  <c r="O373" i="3"/>
  <c r="P373" i="3"/>
  <c r="Q373" i="3"/>
  <c r="R373" i="3"/>
  <c r="S373" i="3"/>
  <c r="T373" i="3"/>
  <c r="U373" i="3"/>
  <c r="V373" i="3"/>
  <c r="W373" i="3"/>
  <c r="X373" i="3"/>
  <c r="O374" i="3"/>
  <c r="P374" i="3"/>
  <c r="Q374" i="3"/>
  <c r="R374" i="3"/>
  <c r="S374" i="3"/>
  <c r="T374" i="3"/>
  <c r="U374" i="3"/>
  <c r="V374" i="3"/>
  <c r="W374" i="3"/>
  <c r="X374" i="3"/>
  <c r="O375" i="3"/>
  <c r="P375" i="3"/>
  <c r="Q375" i="3"/>
  <c r="R375" i="3"/>
  <c r="S375" i="3"/>
  <c r="T375" i="3"/>
  <c r="U375" i="3"/>
  <c r="V375" i="3"/>
  <c r="W375" i="3"/>
  <c r="X375" i="3"/>
  <c r="O376" i="3"/>
  <c r="P376" i="3"/>
  <c r="Q376" i="3"/>
  <c r="R376" i="3"/>
  <c r="S376" i="3"/>
  <c r="T376" i="3"/>
  <c r="U376" i="3"/>
  <c r="V376" i="3"/>
  <c r="W376" i="3"/>
  <c r="X376" i="3"/>
  <c r="O377" i="3"/>
  <c r="P377" i="3"/>
  <c r="Q377" i="3"/>
  <c r="R377" i="3"/>
  <c r="S377" i="3"/>
  <c r="T377" i="3"/>
  <c r="U377" i="3"/>
  <c r="V377" i="3"/>
  <c r="W377" i="3"/>
  <c r="X377" i="3"/>
  <c r="O378" i="3"/>
  <c r="P378" i="3"/>
  <c r="Q378" i="3"/>
  <c r="R378" i="3"/>
  <c r="S378" i="3"/>
  <c r="T378" i="3"/>
  <c r="U378" i="3"/>
  <c r="V378" i="3"/>
  <c r="W378" i="3"/>
  <c r="X378" i="3"/>
  <c r="O379" i="3"/>
  <c r="P379" i="3"/>
  <c r="Q379" i="3"/>
  <c r="R379" i="3"/>
  <c r="S379" i="3"/>
  <c r="T379" i="3"/>
  <c r="U379" i="3"/>
  <c r="V379" i="3"/>
  <c r="W379" i="3"/>
  <c r="X379" i="3"/>
  <c r="O380" i="3"/>
  <c r="P380" i="3"/>
  <c r="Q380" i="3"/>
  <c r="R380" i="3"/>
  <c r="S380" i="3"/>
  <c r="T380" i="3"/>
  <c r="U380" i="3"/>
  <c r="V380" i="3"/>
  <c r="W380" i="3"/>
  <c r="X380" i="3"/>
  <c r="O381" i="3"/>
  <c r="P381" i="3"/>
  <c r="Q381" i="3"/>
  <c r="R381" i="3"/>
  <c r="S381" i="3"/>
  <c r="T381" i="3"/>
  <c r="U381" i="3"/>
  <c r="V381" i="3"/>
  <c r="W381" i="3"/>
  <c r="X381" i="3"/>
  <c r="O382" i="3"/>
  <c r="P382" i="3"/>
  <c r="Q382" i="3"/>
  <c r="R382" i="3"/>
  <c r="S382" i="3"/>
  <c r="T382" i="3"/>
  <c r="U382" i="3"/>
  <c r="V382" i="3"/>
  <c r="W382" i="3"/>
  <c r="X382" i="3"/>
  <c r="O383" i="3"/>
  <c r="P383" i="3"/>
  <c r="Q383" i="3"/>
  <c r="R383" i="3"/>
  <c r="S383" i="3"/>
  <c r="T383" i="3"/>
  <c r="U383" i="3"/>
  <c r="V383" i="3"/>
  <c r="W383" i="3"/>
  <c r="X383" i="3"/>
  <c r="O384" i="3"/>
  <c r="P384" i="3"/>
  <c r="Q384" i="3"/>
  <c r="R384" i="3"/>
  <c r="S384" i="3"/>
  <c r="T384" i="3"/>
  <c r="U384" i="3"/>
  <c r="V384" i="3"/>
  <c r="W384" i="3"/>
  <c r="X384" i="3"/>
  <c r="O385" i="3"/>
  <c r="P385" i="3"/>
  <c r="Q385" i="3"/>
  <c r="R385" i="3"/>
  <c r="S385" i="3"/>
  <c r="T385" i="3"/>
  <c r="U385" i="3"/>
  <c r="V385" i="3"/>
  <c r="W385" i="3"/>
  <c r="X385" i="3"/>
  <c r="O386" i="3"/>
  <c r="P386" i="3"/>
  <c r="Q386" i="3"/>
  <c r="R386" i="3"/>
  <c r="S386" i="3"/>
  <c r="T386" i="3"/>
  <c r="U386" i="3"/>
  <c r="V386" i="3"/>
  <c r="W386" i="3"/>
  <c r="X386" i="3"/>
  <c r="O387" i="3"/>
  <c r="P387" i="3"/>
  <c r="Q387" i="3"/>
  <c r="R387" i="3"/>
  <c r="S387" i="3"/>
  <c r="T387" i="3"/>
  <c r="U387" i="3"/>
  <c r="V387" i="3"/>
  <c r="W387" i="3"/>
  <c r="X387" i="3"/>
  <c r="O388" i="3"/>
  <c r="P388" i="3"/>
  <c r="Q388" i="3"/>
  <c r="R388" i="3"/>
  <c r="S388" i="3"/>
  <c r="T388" i="3"/>
  <c r="U388" i="3"/>
  <c r="V388" i="3"/>
  <c r="W388" i="3"/>
  <c r="X388" i="3"/>
  <c r="O389" i="3"/>
  <c r="P389" i="3"/>
  <c r="Q389" i="3"/>
  <c r="R389" i="3"/>
  <c r="S389" i="3"/>
  <c r="T389" i="3"/>
  <c r="U389" i="3"/>
  <c r="V389" i="3"/>
  <c r="W389" i="3"/>
  <c r="X389" i="3"/>
  <c r="O390" i="3"/>
  <c r="P390" i="3"/>
  <c r="Q390" i="3"/>
  <c r="R390" i="3"/>
  <c r="S390" i="3"/>
  <c r="T390" i="3"/>
  <c r="U390" i="3"/>
  <c r="V390" i="3"/>
  <c r="W390" i="3"/>
  <c r="X390" i="3"/>
  <c r="O391" i="3"/>
  <c r="P391" i="3"/>
  <c r="Q391" i="3"/>
  <c r="R391" i="3"/>
  <c r="S391" i="3"/>
  <c r="T391" i="3"/>
  <c r="U391" i="3"/>
  <c r="V391" i="3"/>
  <c r="W391" i="3"/>
  <c r="X391" i="3"/>
  <c r="O392" i="3"/>
  <c r="P392" i="3"/>
  <c r="Q392" i="3"/>
  <c r="R392" i="3"/>
  <c r="S392" i="3"/>
  <c r="T392" i="3"/>
  <c r="U392" i="3"/>
  <c r="V392" i="3"/>
  <c r="W392" i="3"/>
  <c r="X392" i="3"/>
  <c r="O393" i="3"/>
  <c r="P393" i="3"/>
  <c r="Q393" i="3"/>
  <c r="R393" i="3"/>
  <c r="S393" i="3"/>
  <c r="T393" i="3"/>
  <c r="U393" i="3"/>
  <c r="V393" i="3"/>
  <c r="W393" i="3"/>
  <c r="X393" i="3"/>
  <c r="O394" i="3"/>
  <c r="P394" i="3"/>
  <c r="Q394" i="3"/>
  <c r="R394" i="3"/>
  <c r="S394" i="3"/>
  <c r="T394" i="3"/>
  <c r="U394" i="3"/>
  <c r="V394" i="3"/>
  <c r="W394" i="3"/>
  <c r="X394" i="3"/>
  <c r="O395" i="3"/>
  <c r="P395" i="3"/>
  <c r="Q395" i="3"/>
  <c r="R395" i="3"/>
  <c r="S395" i="3"/>
  <c r="T395" i="3"/>
  <c r="U395" i="3"/>
  <c r="V395" i="3"/>
  <c r="W395" i="3"/>
  <c r="X395" i="3"/>
  <c r="O396" i="3"/>
  <c r="P396" i="3"/>
  <c r="Q396" i="3"/>
  <c r="R396" i="3"/>
  <c r="S396" i="3"/>
  <c r="T396" i="3"/>
  <c r="U396" i="3"/>
  <c r="V396" i="3"/>
  <c r="W396" i="3"/>
  <c r="X396" i="3"/>
  <c r="O397" i="3"/>
  <c r="P397" i="3"/>
  <c r="Q397" i="3"/>
  <c r="R397" i="3"/>
  <c r="S397" i="3"/>
  <c r="T397" i="3"/>
  <c r="U397" i="3"/>
  <c r="V397" i="3"/>
  <c r="W397" i="3"/>
  <c r="X397" i="3"/>
  <c r="O398" i="3"/>
  <c r="P398" i="3"/>
  <c r="Q398" i="3"/>
  <c r="R398" i="3"/>
  <c r="S398" i="3"/>
  <c r="T398" i="3"/>
  <c r="U398" i="3"/>
  <c r="V398" i="3"/>
  <c r="W398" i="3"/>
  <c r="X398" i="3"/>
  <c r="O399" i="3"/>
  <c r="P399" i="3"/>
  <c r="Q399" i="3"/>
  <c r="R399" i="3"/>
  <c r="S399" i="3"/>
  <c r="T399" i="3"/>
  <c r="U399" i="3"/>
  <c r="V399" i="3"/>
  <c r="W399" i="3"/>
  <c r="X399" i="3"/>
  <c r="O400" i="3"/>
  <c r="P400" i="3"/>
  <c r="Q400" i="3"/>
  <c r="R400" i="3"/>
  <c r="S400" i="3"/>
  <c r="T400" i="3"/>
  <c r="U400" i="3"/>
  <c r="V400" i="3"/>
  <c r="W400" i="3"/>
  <c r="X400" i="3"/>
  <c r="O401" i="3"/>
  <c r="P401" i="3"/>
  <c r="Q401" i="3"/>
  <c r="R401" i="3"/>
  <c r="S401" i="3"/>
  <c r="T401" i="3"/>
  <c r="U401" i="3"/>
  <c r="V401" i="3"/>
  <c r="W401" i="3"/>
  <c r="X401" i="3"/>
  <c r="O402" i="3"/>
  <c r="P402" i="3"/>
  <c r="Q402" i="3"/>
  <c r="R402" i="3"/>
  <c r="S402" i="3"/>
  <c r="T402" i="3"/>
  <c r="U402" i="3"/>
  <c r="V402" i="3"/>
  <c r="W402" i="3"/>
  <c r="X402" i="3"/>
  <c r="O403" i="3"/>
  <c r="P403" i="3"/>
  <c r="Q403" i="3"/>
  <c r="R403" i="3"/>
  <c r="S403" i="3"/>
  <c r="T403" i="3"/>
  <c r="U403" i="3"/>
  <c r="V403" i="3"/>
  <c r="W403" i="3"/>
  <c r="X403" i="3"/>
  <c r="O404" i="3"/>
  <c r="P404" i="3"/>
  <c r="Q404" i="3"/>
  <c r="R404" i="3"/>
  <c r="S404" i="3"/>
  <c r="T404" i="3"/>
  <c r="U404" i="3"/>
  <c r="V404" i="3"/>
  <c r="W404" i="3"/>
  <c r="X404" i="3"/>
  <c r="O405" i="3"/>
  <c r="P405" i="3"/>
  <c r="Q405" i="3"/>
  <c r="R405" i="3"/>
  <c r="S405" i="3"/>
  <c r="T405" i="3"/>
  <c r="U405" i="3"/>
  <c r="V405" i="3"/>
  <c r="W405" i="3"/>
  <c r="X405" i="3"/>
  <c r="O406" i="3"/>
  <c r="P406" i="3"/>
  <c r="Q406" i="3"/>
  <c r="R406" i="3"/>
  <c r="S406" i="3"/>
  <c r="T406" i="3"/>
  <c r="U406" i="3"/>
  <c r="V406" i="3"/>
  <c r="W406" i="3"/>
  <c r="X406" i="3"/>
  <c r="O407" i="3"/>
  <c r="P407" i="3"/>
  <c r="Q407" i="3"/>
  <c r="R407" i="3"/>
  <c r="S407" i="3"/>
  <c r="T407" i="3"/>
  <c r="U407" i="3"/>
  <c r="V407" i="3"/>
  <c r="W407" i="3"/>
  <c r="X407" i="3"/>
  <c r="AD394" i="5" l="1"/>
  <c r="AD386" i="5"/>
  <c r="AD346" i="5"/>
  <c r="AD322" i="5"/>
  <c r="AC403" i="5"/>
  <c r="AD400" i="5"/>
  <c r="AC395" i="5"/>
  <c r="AD392" i="5"/>
  <c r="AC387" i="5"/>
  <c r="AD384" i="5"/>
  <c r="AC379" i="5"/>
  <c r="AD376" i="5"/>
  <c r="AC371" i="5"/>
  <c r="AD368" i="5"/>
  <c r="AC363" i="5"/>
  <c r="AD360" i="5"/>
  <c r="AC355" i="5"/>
  <c r="AD352" i="5"/>
  <c r="AC347" i="5"/>
  <c r="AD344" i="5"/>
  <c r="AC339" i="5"/>
  <c r="AD336" i="5"/>
  <c r="AC331" i="5"/>
  <c r="AD328" i="5"/>
  <c r="AC323" i="5"/>
  <c r="AD362" i="5"/>
  <c r="AD338" i="5"/>
  <c r="AD407" i="5"/>
  <c r="AC402" i="5"/>
  <c r="AD399" i="5"/>
  <c r="AD391" i="5"/>
  <c r="AD383" i="5"/>
  <c r="AC378" i="5"/>
  <c r="AD375" i="5"/>
  <c r="AC370" i="5"/>
  <c r="AD367" i="5"/>
  <c r="AD359" i="5"/>
  <c r="AC354" i="5"/>
  <c r="AD351" i="5"/>
  <c r="AD343" i="5"/>
  <c r="AD335" i="5"/>
  <c r="AC330" i="5"/>
  <c r="AD327" i="5"/>
  <c r="AD404" i="5"/>
  <c r="AD396" i="5"/>
  <c r="AD388" i="5"/>
  <c r="AD380" i="5"/>
  <c r="AD372" i="5"/>
  <c r="AD364" i="5"/>
  <c r="AD356" i="5"/>
  <c r="AD348" i="5"/>
  <c r="AD340" i="5"/>
  <c r="AD332" i="5"/>
  <c r="AD324" i="5"/>
  <c r="AD401" i="5"/>
  <c r="AD321" i="5"/>
  <c r="AD382" i="5"/>
  <c r="AD358" i="5"/>
  <c r="AD350" i="5"/>
  <c r="AD342" i="5"/>
  <c r="AD334" i="5"/>
  <c r="AD326" i="5"/>
  <c r="AD406" i="5"/>
  <c r="AD398" i="5"/>
  <c r="AD390" i="5"/>
  <c r="AD374" i="5"/>
  <c r="AD366" i="5"/>
  <c r="AB307" i="5"/>
  <c r="AB308" i="5"/>
  <c r="AC308" i="5"/>
  <c r="AB309" i="5"/>
  <c r="AB310" i="5"/>
  <c r="AB311" i="5"/>
  <c r="AB312" i="5"/>
  <c r="AB313" i="5"/>
  <c r="AD313" i="5"/>
  <c r="AB314" i="5"/>
  <c r="AB315" i="5"/>
  <c r="AB316" i="5"/>
  <c r="AC316" i="5"/>
  <c r="AB317" i="5"/>
  <c r="AB318" i="5"/>
  <c r="AB319" i="5"/>
  <c r="AB320" i="5"/>
  <c r="AC320" i="5"/>
  <c r="O307" i="5"/>
  <c r="P307" i="5"/>
  <c r="Q307" i="5"/>
  <c r="R307" i="5"/>
  <c r="S307" i="5"/>
  <c r="T307" i="5"/>
  <c r="U307" i="5"/>
  <c r="AC307" i="5" s="1"/>
  <c r="V307" i="5"/>
  <c r="W307" i="5"/>
  <c r="X307" i="5"/>
  <c r="O308" i="5"/>
  <c r="P308" i="5"/>
  <c r="Q308" i="5"/>
  <c r="R308" i="5"/>
  <c r="S308" i="5"/>
  <c r="T308" i="5"/>
  <c r="U308" i="5"/>
  <c r="AD308" i="5" s="1"/>
  <c r="V308" i="5"/>
  <c r="W308" i="5"/>
  <c r="X308" i="5"/>
  <c r="O309" i="5"/>
  <c r="P309" i="5"/>
  <c r="Q309" i="5"/>
  <c r="R309" i="5"/>
  <c r="S309" i="5"/>
  <c r="T309" i="5"/>
  <c r="U309" i="5"/>
  <c r="AC309" i="5" s="1"/>
  <c r="V309" i="5"/>
  <c r="W309" i="5"/>
  <c r="X309" i="5"/>
  <c r="O310" i="5"/>
  <c r="P310" i="5"/>
  <c r="Q310" i="5"/>
  <c r="R310" i="5"/>
  <c r="S310" i="5"/>
  <c r="T310" i="5"/>
  <c r="U310" i="5"/>
  <c r="AD310" i="5" s="1"/>
  <c r="V310" i="5"/>
  <c r="W310" i="5"/>
  <c r="X310" i="5"/>
  <c r="O311" i="5"/>
  <c r="P311" i="5"/>
  <c r="Q311" i="5"/>
  <c r="R311" i="5"/>
  <c r="S311" i="5"/>
  <c r="T311" i="5"/>
  <c r="U311" i="5"/>
  <c r="AC311" i="5" s="1"/>
  <c r="V311" i="5"/>
  <c r="AD311" i="5" s="1"/>
  <c r="W311" i="5"/>
  <c r="X311" i="5"/>
  <c r="O312" i="5"/>
  <c r="P312" i="5"/>
  <c r="Q312" i="5"/>
  <c r="R312" i="5"/>
  <c r="S312" i="5"/>
  <c r="T312" i="5"/>
  <c r="U312" i="5"/>
  <c r="AC312" i="5" s="1"/>
  <c r="V312" i="5"/>
  <c r="W312" i="5"/>
  <c r="X312" i="5"/>
  <c r="O313" i="5"/>
  <c r="P313" i="5"/>
  <c r="Q313" i="5"/>
  <c r="R313" i="5"/>
  <c r="S313" i="5"/>
  <c r="T313" i="5"/>
  <c r="U313" i="5"/>
  <c r="V313" i="5"/>
  <c r="W313" i="5"/>
  <c r="AC313" i="5" s="1"/>
  <c r="X313" i="5"/>
  <c r="O314" i="5"/>
  <c r="P314" i="5"/>
  <c r="Q314" i="5"/>
  <c r="R314" i="5"/>
  <c r="S314" i="5"/>
  <c r="T314" i="5"/>
  <c r="U314" i="5"/>
  <c r="AD314" i="5" s="1"/>
  <c r="V314" i="5"/>
  <c r="W314" i="5"/>
  <c r="X314" i="5"/>
  <c r="O315" i="5"/>
  <c r="P315" i="5"/>
  <c r="Q315" i="5"/>
  <c r="R315" i="5"/>
  <c r="S315" i="5"/>
  <c r="T315" i="5"/>
  <c r="U315" i="5"/>
  <c r="AC315" i="5" s="1"/>
  <c r="V315" i="5"/>
  <c r="W315" i="5"/>
  <c r="X315" i="5"/>
  <c r="O316" i="5"/>
  <c r="P316" i="5"/>
  <c r="Q316" i="5"/>
  <c r="R316" i="5"/>
  <c r="S316" i="5"/>
  <c r="T316" i="5"/>
  <c r="U316" i="5"/>
  <c r="AD316" i="5" s="1"/>
  <c r="V316" i="5"/>
  <c r="W316" i="5"/>
  <c r="X316" i="5"/>
  <c r="O317" i="5"/>
  <c r="P317" i="5"/>
  <c r="Q317" i="5"/>
  <c r="R317" i="5"/>
  <c r="S317" i="5"/>
  <c r="T317" i="5"/>
  <c r="U317" i="5"/>
  <c r="AC317" i="5" s="1"/>
  <c r="V317" i="5"/>
  <c r="W317" i="5"/>
  <c r="X317" i="5"/>
  <c r="O318" i="5"/>
  <c r="P318" i="5"/>
  <c r="Q318" i="5"/>
  <c r="R318" i="5"/>
  <c r="S318" i="5"/>
  <c r="T318" i="5"/>
  <c r="U318" i="5"/>
  <c r="AD318" i="5" s="1"/>
  <c r="V318" i="5"/>
  <c r="W318" i="5"/>
  <c r="X318" i="5"/>
  <c r="O319" i="5"/>
  <c r="P319" i="5"/>
  <c r="Q319" i="5"/>
  <c r="R319" i="5"/>
  <c r="S319" i="5"/>
  <c r="T319" i="5"/>
  <c r="U319" i="5"/>
  <c r="V319" i="5"/>
  <c r="W319" i="5"/>
  <c r="X319" i="5"/>
  <c r="O320" i="5"/>
  <c r="P320" i="5"/>
  <c r="Q320" i="5"/>
  <c r="R320" i="5"/>
  <c r="S320" i="5"/>
  <c r="T320" i="5"/>
  <c r="U320" i="5"/>
  <c r="V320" i="5"/>
  <c r="W320" i="5"/>
  <c r="X320" i="5"/>
  <c r="O307" i="3"/>
  <c r="P307" i="3"/>
  <c r="Q307" i="3"/>
  <c r="R307" i="3"/>
  <c r="S307" i="3"/>
  <c r="T307" i="3"/>
  <c r="U307" i="3"/>
  <c r="V307" i="3"/>
  <c r="W307" i="3"/>
  <c r="X307" i="3"/>
  <c r="O308" i="3"/>
  <c r="P308" i="3"/>
  <c r="Q308" i="3"/>
  <c r="R308" i="3"/>
  <c r="S308" i="3"/>
  <c r="T308" i="3"/>
  <c r="U308" i="3"/>
  <c r="V308" i="3"/>
  <c r="W308" i="3"/>
  <c r="X308" i="3"/>
  <c r="O309" i="3"/>
  <c r="P309" i="3"/>
  <c r="Q309" i="3"/>
  <c r="R309" i="3"/>
  <c r="S309" i="3"/>
  <c r="T309" i="3"/>
  <c r="U309" i="3"/>
  <c r="V309" i="3"/>
  <c r="W309" i="3"/>
  <c r="X309" i="3"/>
  <c r="O310" i="3"/>
  <c r="P310" i="3"/>
  <c r="Q310" i="3"/>
  <c r="R310" i="3"/>
  <c r="S310" i="3"/>
  <c r="T310" i="3"/>
  <c r="U310" i="3"/>
  <c r="V310" i="3"/>
  <c r="W310" i="3"/>
  <c r="X310" i="3"/>
  <c r="O311" i="3"/>
  <c r="P311" i="3"/>
  <c r="Q311" i="3"/>
  <c r="R311" i="3"/>
  <c r="S311" i="3"/>
  <c r="T311" i="3"/>
  <c r="U311" i="3"/>
  <c r="V311" i="3"/>
  <c r="W311" i="3"/>
  <c r="X311" i="3"/>
  <c r="O312" i="3"/>
  <c r="P312" i="3"/>
  <c r="Q312" i="3"/>
  <c r="R312" i="3"/>
  <c r="S312" i="3"/>
  <c r="T312" i="3"/>
  <c r="U312" i="3"/>
  <c r="V312" i="3"/>
  <c r="W312" i="3"/>
  <c r="X312" i="3"/>
  <c r="O313" i="3"/>
  <c r="P313" i="3"/>
  <c r="Q313" i="3"/>
  <c r="R313" i="3"/>
  <c r="S313" i="3"/>
  <c r="T313" i="3"/>
  <c r="U313" i="3"/>
  <c r="V313" i="3"/>
  <c r="W313" i="3"/>
  <c r="X313" i="3"/>
  <c r="O314" i="3"/>
  <c r="P314" i="3"/>
  <c r="Q314" i="3"/>
  <c r="R314" i="3"/>
  <c r="S314" i="3"/>
  <c r="T314" i="3"/>
  <c r="U314" i="3"/>
  <c r="V314" i="3"/>
  <c r="W314" i="3"/>
  <c r="X314" i="3"/>
  <c r="O315" i="3"/>
  <c r="P315" i="3"/>
  <c r="Q315" i="3"/>
  <c r="R315" i="3"/>
  <c r="S315" i="3"/>
  <c r="T315" i="3"/>
  <c r="U315" i="3"/>
  <c r="V315" i="3"/>
  <c r="W315" i="3"/>
  <c r="X315" i="3"/>
  <c r="O316" i="3"/>
  <c r="P316" i="3"/>
  <c r="Q316" i="3"/>
  <c r="R316" i="3"/>
  <c r="S316" i="3"/>
  <c r="T316" i="3"/>
  <c r="U316" i="3"/>
  <c r="V316" i="3"/>
  <c r="W316" i="3"/>
  <c r="X316" i="3"/>
  <c r="O317" i="3"/>
  <c r="P317" i="3"/>
  <c r="Q317" i="3"/>
  <c r="R317" i="3"/>
  <c r="S317" i="3"/>
  <c r="T317" i="3"/>
  <c r="U317" i="3"/>
  <c r="V317" i="3"/>
  <c r="W317" i="3"/>
  <c r="X317" i="3"/>
  <c r="O318" i="3"/>
  <c r="P318" i="3"/>
  <c r="Q318" i="3"/>
  <c r="R318" i="3"/>
  <c r="S318" i="3"/>
  <c r="T318" i="3"/>
  <c r="U318" i="3"/>
  <c r="V318" i="3"/>
  <c r="W318" i="3"/>
  <c r="X318" i="3"/>
  <c r="O319" i="3"/>
  <c r="P319" i="3"/>
  <c r="Q319" i="3"/>
  <c r="R319" i="3"/>
  <c r="S319" i="3"/>
  <c r="T319" i="3"/>
  <c r="U319" i="3"/>
  <c r="V319" i="3"/>
  <c r="W319" i="3"/>
  <c r="X319" i="3"/>
  <c r="O320" i="3"/>
  <c r="P320" i="3"/>
  <c r="Q320" i="3"/>
  <c r="R320" i="3"/>
  <c r="S320" i="3"/>
  <c r="T320" i="3"/>
  <c r="U320" i="3"/>
  <c r="V320" i="3"/>
  <c r="W320" i="3"/>
  <c r="X320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C314" i="5" l="1"/>
  <c r="AC319" i="5"/>
  <c r="AC318" i="5"/>
  <c r="AD315" i="5"/>
  <c r="AC310" i="5"/>
  <c r="AD307" i="5"/>
  <c r="AD312" i="5"/>
  <c r="AD317" i="5"/>
  <c r="AD309" i="5"/>
  <c r="AD320" i="5"/>
  <c r="AD319" i="5"/>
  <c r="AB300" i="5"/>
  <c r="AB301" i="5"/>
  <c r="AD301" i="5"/>
  <c r="AB302" i="5"/>
  <c r="AB303" i="5"/>
  <c r="AB304" i="5"/>
  <c r="AB305" i="5"/>
  <c r="AC305" i="5"/>
  <c r="AD305" i="5"/>
  <c r="AB306" i="5"/>
  <c r="AC306" i="5"/>
  <c r="O300" i="5"/>
  <c r="P300" i="5"/>
  <c r="Q300" i="5"/>
  <c r="R300" i="5"/>
  <c r="S300" i="5"/>
  <c r="T300" i="5"/>
  <c r="U300" i="5"/>
  <c r="AD300" i="5" s="1"/>
  <c r="V300" i="5"/>
  <c r="W300" i="5"/>
  <c r="X300" i="5"/>
  <c r="O301" i="5"/>
  <c r="P301" i="5"/>
  <c r="Q301" i="5"/>
  <c r="R301" i="5"/>
  <c r="S301" i="5"/>
  <c r="T301" i="5"/>
  <c r="U301" i="5"/>
  <c r="AC301" i="5" s="1"/>
  <c r="V301" i="5"/>
  <c r="W301" i="5"/>
  <c r="X301" i="5"/>
  <c r="O302" i="5"/>
  <c r="P302" i="5"/>
  <c r="Q302" i="5"/>
  <c r="R302" i="5"/>
  <c r="S302" i="5"/>
  <c r="T302" i="5"/>
  <c r="U302" i="5"/>
  <c r="AC302" i="5" s="1"/>
  <c r="V302" i="5"/>
  <c r="W302" i="5"/>
  <c r="X302" i="5"/>
  <c r="O303" i="5"/>
  <c r="P303" i="5"/>
  <c r="Q303" i="5"/>
  <c r="R303" i="5"/>
  <c r="S303" i="5"/>
  <c r="T303" i="5"/>
  <c r="U303" i="5"/>
  <c r="AD303" i="5" s="1"/>
  <c r="V303" i="5"/>
  <c r="AC303" i="5" s="1"/>
  <c r="W303" i="5"/>
  <c r="X303" i="5"/>
  <c r="O304" i="5"/>
  <c r="P304" i="5"/>
  <c r="Q304" i="5"/>
  <c r="R304" i="5"/>
  <c r="S304" i="5"/>
  <c r="T304" i="5"/>
  <c r="U304" i="5"/>
  <c r="AC304" i="5" s="1"/>
  <c r="V304" i="5"/>
  <c r="W304" i="5"/>
  <c r="X304" i="5"/>
  <c r="O305" i="5"/>
  <c r="P305" i="5"/>
  <c r="Q305" i="5"/>
  <c r="R305" i="5"/>
  <c r="S305" i="5"/>
  <c r="T305" i="5"/>
  <c r="U305" i="5"/>
  <c r="V305" i="5"/>
  <c r="W305" i="5"/>
  <c r="X305" i="5"/>
  <c r="O306" i="5"/>
  <c r="P306" i="5"/>
  <c r="Q306" i="5"/>
  <c r="R306" i="5"/>
  <c r="S306" i="5"/>
  <c r="T306" i="5"/>
  <c r="U306" i="5"/>
  <c r="AD306" i="5" s="1"/>
  <c r="V306" i="5"/>
  <c r="W306" i="5"/>
  <c r="X306" i="5"/>
  <c r="O300" i="3"/>
  <c r="P300" i="3"/>
  <c r="Q300" i="3"/>
  <c r="R300" i="3"/>
  <c r="S300" i="3"/>
  <c r="T300" i="3"/>
  <c r="U300" i="3"/>
  <c r="V300" i="3"/>
  <c r="W300" i="3"/>
  <c r="X300" i="3"/>
  <c r="O301" i="3"/>
  <c r="P301" i="3"/>
  <c r="Q301" i="3"/>
  <c r="R301" i="3"/>
  <c r="S301" i="3"/>
  <c r="T301" i="3"/>
  <c r="U301" i="3"/>
  <c r="V301" i="3"/>
  <c r="W301" i="3"/>
  <c r="X301" i="3"/>
  <c r="O302" i="3"/>
  <c r="P302" i="3"/>
  <c r="Q302" i="3"/>
  <c r="R302" i="3"/>
  <c r="S302" i="3"/>
  <c r="T302" i="3"/>
  <c r="U302" i="3"/>
  <c r="V302" i="3"/>
  <c r="W302" i="3"/>
  <c r="X302" i="3"/>
  <c r="O303" i="3"/>
  <c r="P303" i="3"/>
  <c r="Q303" i="3"/>
  <c r="R303" i="3"/>
  <c r="S303" i="3"/>
  <c r="T303" i="3"/>
  <c r="U303" i="3"/>
  <c r="V303" i="3"/>
  <c r="W303" i="3"/>
  <c r="X303" i="3"/>
  <c r="O304" i="3"/>
  <c r="P304" i="3"/>
  <c r="Q304" i="3"/>
  <c r="R304" i="3"/>
  <c r="S304" i="3"/>
  <c r="T304" i="3"/>
  <c r="U304" i="3"/>
  <c r="V304" i="3"/>
  <c r="W304" i="3"/>
  <c r="X304" i="3"/>
  <c r="O305" i="3"/>
  <c r="P305" i="3"/>
  <c r="Q305" i="3"/>
  <c r="R305" i="3"/>
  <c r="S305" i="3"/>
  <c r="T305" i="3"/>
  <c r="U305" i="3"/>
  <c r="V305" i="3"/>
  <c r="W305" i="3"/>
  <c r="X305" i="3"/>
  <c r="O306" i="3"/>
  <c r="P306" i="3"/>
  <c r="Q306" i="3"/>
  <c r="R306" i="3"/>
  <c r="S306" i="3"/>
  <c r="T306" i="3"/>
  <c r="U306" i="3"/>
  <c r="V306" i="3"/>
  <c r="W306" i="3"/>
  <c r="X306" i="3"/>
  <c r="AA316" i="3"/>
  <c r="AA315" i="3"/>
  <c r="AA314" i="3"/>
  <c r="AA313" i="3"/>
  <c r="AA312" i="3"/>
  <c r="AA311" i="3"/>
  <c r="AA310" i="3"/>
  <c r="AA309" i="3"/>
  <c r="AA308" i="3"/>
  <c r="AA307" i="3"/>
  <c r="AC300" i="5" l="1"/>
  <c r="AD302" i="5"/>
  <c r="AD304" i="5"/>
  <c r="AA306" i="3"/>
  <c r="AA305" i="3"/>
  <c r="AA304" i="3"/>
  <c r="AA303" i="3"/>
  <c r="AA302" i="3"/>
  <c r="AA301" i="3"/>
  <c r="AA300" i="3"/>
  <c r="AB282" i="5"/>
  <c r="AC282" i="5"/>
  <c r="AD282" i="5"/>
  <c r="AB283" i="5"/>
  <c r="AC283" i="5"/>
  <c r="AD283" i="5"/>
  <c r="AB284" i="5"/>
  <c r="AC284" i="5"/>
  <c r="AD284" i="5"/>
  <c r="AB285" i="5"/>
  <c r="AC285" i="5"/>
  <c r="AD285" i="5"/>
  <c r="AB286" i="5"/>
  <c r="AC286" i="5"/>
  <c r="AD286" i="5"/>
  <c r="AB287" i="5"/>
  <c r="AC287" i="5"/>
  <c r="AD287" i="5"/>
  <c r="AB288" i="5"/>
  <c r="AC288" i="5"/>
  <c r="AD288" i="5"/>
  <c r="AB289" i="5"/>
  <c r="AC289" i="5"/>
  <c r="AD289" i="5"/>
  <c r="AB290" i="5"/>
  <c r="AC290" i="5"/>
  <c r="AD290" i="5"/>
  <c r="AB291" i="5"/>
  <c r="AC291" i="5"/>
  <c r="AD291" i="5"/>
  <c r="AB292" i="5"/>
  <c r="AC292" i="5"/>
  <c r="AD292" i="5"/>
  <c r="AB293" i="5"/>
  <c r="AC293" i="5"/>
  <c r="AD293" i="5"/>
  <c r="AB294" i="5"/>
  <c r="AC294" i="5"/>
  <c r="AD294" i="5"/>
  <c r="AB295" i="5"/>
  <c r="AC295" i="5"/>
  <c r="AD295" i="5"/>
  <c r="AB296" i="5"/>
  <c r="AC296" i="5"/>
  <c r="AD296" i="5"/>
  <c r="AB297" i="5"/>
  <c r="AC297" i="5"/>
  <c r="AD297" i="5"/>
  <c r="AB298" i="5"/>
  <c r="AC298" i="5"/>
  <c r="AD298" i="5"/>
  <c r="AB299" i="5"/>
  <c r="AC299" i="5"/>
  <c r="AD299" i="5"/>
  <c r="O281" i="5"/>
  <c r="P281" i="5"/>
  <c r="Q281" i="5"/>
  <c r="R281" i="5"/>
  <c r="S281" i="5"/>
  <c r="T281" i="5"/>
  <c r="U281" i="5"/>
  <c r="V281" i="5"/>
  <c r="W281" i="5"/>
  <c r="X281" i="5"/>
  <c r="O282" i="5"/>
  <c r="P282" i="5"/>
  <c r="Q282" i="5"/>
  <c r="R282" i="5"/>
  <c r="S282" i="5"/>
  <c r="T282" i="5"/>
  <c r="U282" i="5"/>
  <c r="V282" i="5"/>
  <c r="W282" i="5"/>
  <c r="X282" i="5"/>
  <c r="O283" i="5"/>
  <c r="P283" i="5"/>
  <c r="Q283" i="5"/>
  <c r="R283" i="5"/>
  <c r="S283" i="5"/>
  <c r="T283" i="5"/>
  <c r="U283" i="5"/>
  <c r="V283" i="5"/>
  <c r="W283" i="5"/>
  <c r="X283" i="5"/>
  <c r="O284" i="5"/>
  <c r="P284" i="5"/>
  <c r="Q284" i="5"/>
  <c r="R284" i="5"/>
  <c r="S284" i="5"/>
  <c r="T284" i="5"/>
  <c r="U284" i="5"/>
  <c r="V284" i="5"/>
  <c r="W284" i="5"/>
  <c r="X284" i="5"/>
  <c r="O285" i="5"/>
  <c r="P285" i="5"/>
  <c r="Q285" i="5"/>
  <c r="R285" i="5"/>
  <c r="S285" i="5"/>
  <c r="T285" i="5"/>
  <c r="U285" i="5"/>
  <c r="V285" i="5"/>
  <c r="W285" i="5"/>
  <c r="X285" i="5"/>
  <c r="O286" i="5"/>
  <c r="P286" i="5"/>
  <c r="Q286" i="5"/>
  <c r="R286" i="5"/>
  <c r="S286" i="5"/>
  <c r="T286" i="5"/>
  <c r="U286" i="5"/>
  <c r="V286" i="5"/>
  <c r="W286" i="5"/>
  <c r="X286" i="5"/>
  <c r="O287" i="5"/>
  <c r="P287" i="5"/>
  <c r="Q287" i="5"/>
  <c r="R287" i="5"/>
  <c r="S287" i="5"/>
  <c r="T287" i="5"/>
  <c r="U287" i="5"/>
  <c r="V287" i="5"/>
  <c r="W287" i="5"/>
  <c r="X287" i="5"/>
  <c r="O288" i="5"/>
  <c r="P288" i="5"/>
  <c r="Q288" i="5"/>
  <c r="R288" i="5"/>
  <c r="S288" i="5"/>
  <c r="T288" i="5"/>
  <c r="U288" i="5"/>
  <c r="V288" i="5"/>
  <c r="W288" i="5"/>
  <c r="X288" i="5"/>
  <c r="O289" i="5"/>
  <c r="P289" i="5"/>
  <c r="Q289" i="5"/>
  <c r="R289" i="5"/>
  <c r="S289" i="5"/>
  <c r="T289" i="5"/>
  <c r="U289" i="5"/>
  <c r="V289" i="5"/>
  <c r="W289" i="5"/>
  <c r="X289" i="5"/>
  <c r="O290" i="5"/>
  <c r="P290" i="5"/>
  <c r="Q290" i="5"/>
  <c r="R290" i="5"/>
  <c r="S290" i="5"/>
  <c r="T290" i="5"/>
  <c r="U290" i="5"/>
  <c r="V290" i="5"/>
  <c r="W290" i="5"/>
  <c r="X290" i="5"/>
  <c r="O291" i="5"/>
  <c r="P291" i="5"/>
  <c r="Q291" i="5"/>
  <c r="R291" i="5"/>
  <c r="S291" i="5"/>
  <c r="T291" i="5"/>
  <c r="U291" i="5"/>
  <c r="V291" i="5"/>
  <c r="W291" i="5"/>
  <c r="X291" i="5"/>
  <c r="O292" i="5"/>
  <c r="P292" i="5"/>
  <c r="Q292" i="5"/>
  <c r="R292" i="5"/>
  <c r="S292" i="5"/>
  <c r="T292" i="5"/>
  <c r="U292" i="5"/>
  <c r="V292" i="5"/>
  <c r="W292" i="5"/>
  <c r="X292" i="5"/>
  <c r="O293" i="5"/>
  <c r="P293" i="5"/>
  <c r="Q293" i="5"/>
  <c r="R293" i="5"/>
  <c r="S293" i="5"/>
  <c r="T293" i="5"/>
  <c r="U293" i="5"/>
  <c r="V293" i="5"/>
  <c r="W293" i="5"/>
  <c r="X293" i="5"/>
  <c r="O294" i="5"/>
  <c r="P294" i="5"/>
  <c r="Q294" i="5"/>
  <c r="R294" i="5"/>
  <c r="S294" i="5"/>
  <c r="T294" i="5"/>
  <c r="U294" i="5"/>
  <c r="V294" i="5"/>
  <c r="W294" i="5"/>
  <c r="X294" i="5"/>
  <c r="O295" i="5"/>
  <c r="P295" i="5"/>
  <c r="Q295" i="5"/>
  <c r="R295" i="5"/>
  <c r="S295" i="5"/>
  <c r="T295" i="5"/>
  <c r="U295" i="5"/>
  <c r="V295" i="5"/>
  <c r="W295" i="5"/>
  <c r="X295" i="5"/>
  <c r="O296" i="5"/>
  <c r="P296" i="5"/>
  <c r="Q296" i="5"/>
  <c r="R296" i="5"/>
  <c r="S296" i="5"/>
  <c r="T296" i="5"/>
  <c r="U296" i="5"/>
  <c r="V296" i="5"/>
  <c r="W296" i="5"/>
  <c r="X296" i="5"/>
  <c r="O297" i="5"/>
  <c r="P297" i="5"/>
  <c r="Q297" i="5"/>
  <c r="R297" i="5"/>
  <c r="S297" i="5"/>
  <c r="T297" i="5"/>
  <c r="U297" i="5"/>
  <c r="V297" i="5"/>
  <c r="W297" i="5"/>
  <c r="X297" i="5"/>
  <c r="O298" i="5"/>
  <c r="P298" i="5"/>
  <c r="Q298" i="5"/>
  <c r="R298" i="5"/>
  <c r="S298" i="5"/>
  <c r="T298" i="5"/>
  <c r="U298" i="5"/>
  <c r="V298" i="5"/>
  <c r="W298" i="5"/>
  <c r="X298" i="5"/>
  <c r="O299" i="5"/>
  <c r="P299" i="5"/>
  <c r="Q299" i="5"/>
  <c r="R299" i="5"/>
  <c r="S299" i="5"/>
  <c r="T299" i="5"/>
  <c r="U299" i="5"/>
  <c r="V299" i="5"/>
  <c r="W299" i="5"/>
  <c r="X299" i="5"/>
  <c r="O281" i="3"/>
  <c r="P281" i="3"/>
  <c r="Q281" i="3"/>
  <c r="R281" i="3"/>
  <c r="S281" i="3"/>
  <c r="T281" i="3"/>
  <c r="U281" i="3"/>
  <c r="V281" i="3"/>
  <c r="W281" i="3"/>
  <c r="X281" i="3"/>
  <c r="O282" i="3"/>
  <c r="P282" i="3"/>
  <c r="Q282" i="3"/>
  <c r="R282" i="3"/>
  <c r="S282" i="3"/>
  <c r="T282" i="3"/>
  <c r="U282" i="3"/>
  <c r="V282" i="3"/>
  <c r="W282" i="3"/>
  <c r="X282" i="3"/>
  <c r="O283" i="3"/>
  <c r="P283" i="3"/>
  <c r="Q283" i="3"/>
  <c r="R283" i="3"/>
  <c r="S283" i="3"/>
  <c r="T283" i="3"/>
  <c r="U283" i="3"/>
  <c r="V283" i="3"/>
  <c r="W283" i="3"/>
  <c r="X283" i="3"/>
  <c r="O284" i="3"/>
  <c r="P284" i="3"/>
  <c r="Q284" i="3"/>
  <c r="R284" i="3"/>
  <c r="S284" i="3"/>
  <c r="T284" i="3"/>
  <c r="U284" i="3"/>
  <c r="V284" i="3"/>
  <c r="W284" i="3"/>
  <c r="X284" i="3"/>
  <c r="O285" i="3"/>
  <c r="P285" i="3"/>
  <c r="Q285" i="3"/>
  <c r="R285" i="3"/>
  <c r="S285" i="3"/>
  <c r="T285" i="3"/>
  <c r="U285" i="3"/>
  <c r="V285" i="3"/>
  <c r="W285" i="3"/>
  <c r="X285" i="3"/>
  <c r="O286" i="3"/>
  <c r="P286" i="3"/>
  <c r="Q286" i="3"/>
  <c r="R286" i="3"/>
  <c r="S286" i="3"/>
  <c r="T286" i="3"/>
  <c r="U286" i="3"/>
  <c r="V286" i="3"/>
  <c r="W286" i="3"/>
  <c r="X286" i="3"/>
  <c r="O287" i="3"/>
  <c r="P287" i="3"/>
  <c r="Q287" i="3"/>
  <c r="R287" i="3"/>
  <c r="S287" i="3"/>
  <c r="T287" i="3"/>
  <c r="U287" i="3"/>
  <c r="V287" i="3"/>
  <c r="W287" i="3"/>
  <c r="X287" i="3"/>
  <c r="O288" i="3"/>
  <c r="P288" i="3"/>
  <c r="Q288" i="3"/>
  <c r="R288" i="3"/>
  <c r="S288" i="3"/>
  <c r="T288" i="3"/>
  <c r="U288" i="3"/>
  <c r="V288" i="3"/>
  <c r="W288" i="3"/>
  <c r="X288" i="3"/>
  <c r="O289" i="3"/>
  <c r="P289" i="3"/>
  <c r="Q289" i="3"/>
  <c r="R289" i="3"/>
  <c r="S289" i="3"/>
  <c r="T289" i="3"/>
  <c r="U289" i="3"/>
  <c r="V289" i="3"/>
  <c r="W289" i="3"/>
  <c r="X289" i="3"/>
  <c r="O290" i="3"/>
  <c r="P290" i="3"/>
  <c r="Q290" i="3"/>
  <c r="R290" i="3"/>
  <c r="S290" i="3"/>
  <c r="T290" i="3"/>
  <c r="U290" i="3"/>
  <c r="V290" i="3"/>
  <c r="W290" i="3"/>
  <c r="X290" i="3"/>
  <c r="O291" i="3"/>
  <c r="P291" i="3"/>
  <c r="Q291" i="3"/>
  <c r="R291" i="3"/>
  <c r="S291" i="3"/>
  <c r="T291" i="3"/>
  <c r="U291" i="3"/>
  <c r="V291" i="3"/>
  <c r="W291" i="3"/>
  <c r="X291" i="3"/>
  <c r="O292" i="3"/>
  <c r="P292" i="3"/>
  <c r="Q292" i="3"/>
  <c r="R292" i="3"/>
  <c r="S292" i="3"/>
  <c r="T292" i="3"/>
  <c r="U292" i="3"/>
  <c r="V292" i="3"/>
  <c r="W292" i="3"/>
  <c r="X292" i="3"/>
  <c r="O293" i="3"/>
  <c r="P293" i="3"/>
  <c r="Q293" i="3"/>
  <c r="R293" i="3"/>
  <c r="S293" i="3"/>
  <c r="T293" i="3"/>
  <c r="U293" i="3"/>
  <c r="V293" i="3"/>
  <c r="W293" i="3"/>
  <c r="X293" i="3"/>
  <c r="O294" i="3"/>
  <c r="P294" i="3"/>
  <c r="Q294" i="3"/>
  <c r="R294" i="3"/>
  <c r="S294" i="3"/>
  <c r="T294" i="3"/>
  <c r="U294" i="3"/>
  <c r="V294" i="3"/>
  <c r="W294" i="3"/>
  <c r="X294" i="3"/>
  <c r="O295" i="3"/>
  <c r="P295" i="3"/>
  <c r="Q295" i="3"/>
  <c r="R295" i="3"/>
  <c r="S295" i="3"/>
  <c r="T295" i="3"/>
  <c r="U295" i="3"/>
  <c r="V295" i="3"/>
  <c r="W295" i="3"/>
  <c r="X295" i="3"/>
  <c r="O296" i="3"/>
  <c r="P296" i="3"/>
  <c r="Q296" i="3"/>
  <c r="R296" i="3"/>
  <c r="S296" i="3"/>
  <c r="T296" i="3"/>
  <c r="U296" i="3"/>
  <c r="V296" i="3"/>
  <c r="W296" i="3"/>
  <c r="X296" i="3"/>
  <c r="O297" i="3"/>
  <c r="P297" i="3"/>
  <c r="Q297" i="3"/>
  <c r="R297" i="3"/>
  <c r="S297" i="3"/>
  <c r="T297" i="3"/>
  <c r="U297" i="3"/>
  <c r="V297" i="3"/>
  <c r="W297" i="3"/>
  <c r="X297" i="3"/>
  <c r="O298" i="3"/>
  <c r="P298" i="3"/>
  <c r="Q298" i="3"/>
  <c r="R298" i="3"/>
  <c r="S298" i="3"/>
  <c r="T298" i="3"/>
  <c r="U298" i="3"/>
  <c r="V298" i="3"/>
  <c r="W298" i="3"/>
  <c r="X298" i="3"/>
  <c r="O299" i="3"/>
  <c r="P299" i="3"/>
  <c r="Q299" i="3"/>
  <c r="R299" i="3"/>
  <c r="S299" i="3"/>
  <c r="T299" i="3"/>
  <c r="U299" i="3"/>
  <c r="V299" i="3"/>
  <c r="W299" i="3"/>
  <c r="X299" i="3"/>
  <c r="O280" i="3"/>
  <c r="P280" i="3"/>
  <c r="Q280" i="3"/>
  <c r="R280" i="3"/>
  <c r="S280" i="3"/>
  <c r="T280" i="3"/>
  <c r="U280" i="3"/>
  <c r="V280" i="3"/>
  <c r="W28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B281" i="5" l="1"/>
  <c r="AC281" i="5"/>
  <c r="AD281" i="5"/>
  <c r="O254" i="5"/>
  <c r="P254" i="5"/>
  <c r="Q254" i="5"/>
  <c r="R254" i="5"/>
  <c r="S254" i="5"/>
  <c r="T254" i="5"/>
  <c r="U254" i="5"/>
  <c r="V254" i="5"/>
  <c r="W254" i="5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V264" i="5"/>
  <c r="W264" i="5"/>
  <c r="X264" i="5"/>
  <c r="AB264" i="5"/>
  <c r="O265" i="5"/>
  <c r="P265" i="5"/>
  <c r="Q265" i="5"/>
  <c r="R265" i="5"/>
  <c r="S265" i="5"/>
  <c r="T265" i="5"/>
  <c r="U265" i="5"/>
  <c r="V265" i="5"/>
  <c r="W265" i="5"/>
  <c r="X265" i="5"/>
  <c r="AB265" i="5"/>
  <c r="AD265" i="5"/>
  <c r="O266" i="5"/>
  <c r="P266" i="5"/>
  <c r="Q266" i="5"/>
  <c r="R266" i="5"/>
  <c r="S266" i="5"/>
  <c r="T266" i="5"/>
  <c r="U266" i="5"/>
  <c r="V266" i="5"/>
  <c r="AC266" i="5" s="1"/>
  <c r="W266" i="5"/>
  <c r="X266" i="5"/>
  <c r="AB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62" i="5" l="1"/>
  <c r="AC254" i="5"/>
  <c r="AD266" i="5"/>
  <c r="AC264" i="5"/>
  <c r="AC258" i="5"/>
  <c r="AC280" i="5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X214" i="5"/>
  <c r="O215" i="5"/>
  <c r="P215" i="5"/>
  <c r="Q215" i="5"/>
  <c r="R215" i="5"/>
  <c r="S215" i="5"/>
  <c r="T215" i="5"/>
  <c r="U215" i="5"/>
  <c r="AC215" i="5" s="1"/>
  <c r="V215" i="5"/>
  <c r="W215" i="5"/>
  <c r="X215" i="5"/>
  <c r="O216" i="5"/>
  <c r="P216" i="5"/>
  <c r="Q216" i="5"/>
  <c r="R216" i="5"/>
  <c r="S216" i="5"/>
  <c r="T216" i="5"/>
  <c r="U216" i="5"/>
  <c r="V216" i="5"/>
  <c r="W216" i="5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V218" i="5"/>
  <c r="W218" i="5"/>
  <c r="X218" i="5"/>
  <c r="O219" i="5"/>
  <c r="P219" i="5"/>
  <c r="Q219" i="5"/>
  <c r="R219" i="5"/>
  <c r="S219" i="5"/>
  <c r="T219" i="5"/>
  <c r="U219" i="5"/>
  <c r="AC219" i="5" s="1"/>
  <c r="V219" i="5"/>
  <c r="W219" i="5"/>
  <c r="X219" i="5"/>
  <c r="O220" i="5"/>
  <c r="P220" i="5"/>
  <c r="Q220" i="5"/>
  <c r="R220" i="5"/>
  <c r="S220" i="5"/>
  <c r="T220" i="5"/>
  <c r="U220" i="5"/>
  <c r="AC220" i="5" s="1"/>
  <c r="V220" i="5"/>
  <c r="W220" i="5"/>
  <c r="X220" i="5"/>
  <c r="O221" i="5"/>
  <c r="P221" i="5"/>
  <c r="Q221" i="5"/>
  <c r="R221" i="5"/>
  <c r="S221" i="5"/>
  <c r="T221" i="5"/>
  <c r="U221" i="5"/>
  <c r="AD221" i="5" s="1"/>
  <c r="V221" i="5"/>
  <c r="W221" i="5"/>
  <c r="X221" i="5"/>
  <c r="O222" i="5"/>
  <c r="P222" i="5"/>
  <c r="Q222" i="5"/>
  <c r="R222" i="5"/>
  <c r="S222" i="5"/>
  <c r="T222" i="5"/>
  <c r="U222" i="5"/>
  <c r="AC222" i="5" s="1"/>
  <c r="V222" i="5"/>
  <c r="W222" i="5"/>
  <c r="X222" i="5"/>
  <c r="O223" i="5"/>
  <c r="P223" i="5"/>
  <c r="Q223" i="5"/>
  <c r="R223" i="5"/>
  <c r="S223" i="5"/>
  <c r="T223" i="5"/>
  <c r="U223" i="5"/>
  <c r="AC223" i="5" s="1"/>
  <c r="V223" i="5"/>
  <c r="W223" i="5"/>
  <c r="X223" i="5"/>
  <c r="O224" i="5"/>
  <c r="P224" i="5"/>
  <c r="Q224" i="5"/>
  <c r="R224" i="5"/>
  <c r="S224" i="5"/>
  <c r="T224" i="5"/>
  <c r="U224" i="5"/>
  <c r="V224" i="5"/>
  <c r="W224" i="5"/>
  <c r="X224" i="5"/>
  <c r="O225" i="5"/>
  <c r="P225" i="5"/>
  <c r="Q225" i="5"/>
  <c r="R225" i="5"/>
  <c r="S225" i="5"/>
  <c r="T225" i="5"/>
  <c r="U225" i="5"/>
  <c r="AC225" i="5" s="1"/>
  <c r="V225" i="5"/>
  <c r="W225" i="5"/>
  <c r="X225" i="5"/>
  <c r="O226" i="5"/>
  <c r="P226" i="5"/>
  <c r="Q226" i="5"/>
  <c r="R226" i="5"/>
  <c r="S226" i="5"/>
  <c r="T226" i="5"/>
  <c r="U226" i="5"/>
  <c r="AC226" i="5" s="1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AD227" i="5" s="1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AC229" i="5" s="1"/>
  <c r="V229" i="5"/>
  <c r="W229" i="5"/>
  <c r="X229" i="5"/>
  <c r="O230" i="5"/>
  <c r="P230" i="5"/>
  <c r="Q230" i="5"/>
  <c r="R230" i="5"/>
  <c r="S230" i="5"/>
  <c r="T230" i="5"/>
  <c r="U230" i="5"/>
  <c r="AC230" i="5" s="1"/>
  <c r="V230" i="5"/>
  <c r="AD230" i="5" s="1"/>
  <c r="W230" i="5"/>
  <c r="X230" i="5"/>
  <c r="O231" i="5"/>
  <c r="P231" i="5"/>
  <c r="Q231" i="5"/>
  <c r="R231" i="5"/>
  <c r="S231" i="5"/>
  <c r="T231" i="5"/>
  <c r="U231" i="5"/>
  <c r="AD231" i="5" s="1"/>
  <c r="V231" i="5"/>
  <c r="W231" i="5"/>
  <c r="X231" i="5"/>
  <c r="O232" i="5"/>
  <c r="P232" i="5"/>
  <c r="Q232" i="5"/>
  <c r="R232" i="5"/>
  <c r="S232" i="5"/>
  <c r="T232" i="5"/>
  <c r="U232" i="5"/>
  <c r="AC232" i="5" s="1"/>
  <c r="V232" i="5"/>
  <c r="W232" i="5"/>
  <c r="X232" i="5"/>
  <c r="O233" i="5"/>
  <c r="P233" i="5"/>
  <c r="Q233" i="5"/>
  <c r="R233" i="5"/>
  <c r="S233" i="5"/>
  <c r="T233" i="5"/>
  <c r="U233" i="5"/>
  <c r="AC233" i="5" s="1"/>
  <c r="V233" i="5"/>
  <c r="W233" i="5"/>
  <c r="X233" i="5"/>
  <c r="O234" i="5"/>
  <c r="P234" i="5"/>
  <c r="Q234" i="5"/>
  <c r="R234" i="5"/>
  <c r="S234" i="5"/>
  <c r="T234" i="5"/>
  <c r="U234" i="5"/>
  <c r="AD234" i="5" s="1"/>
  <c r="V234" i="5"/>
  <c r="W234" i="5"/>
  <c r="X234" i="5"/>
  <c r="O235" i="5"/>
  <c r="P235" i="5"/>
  <c r="Q235" i="5"/>
  <c r="R235" i="5"/>
  <c r="S235" i="5"/>
  <c r="T235" i="5"/>
  <c r="U235" i="5"/>
  <c r="V235" i="5"/>
  <c r="W235" i="5"/>
  <c r="X235" i="5"/>
  <c r="O236" i="5"/>
  <c r="P236" i="5"/>
  <c r="Q236" i="5"/>
  <c r="R236" i="5"/>
  <c r="S236" i="5"/>
  <c r="T236" i="5"/>
  <c r="U236" i="5"/>
  <c r="V236" i="5"/>
  <c r="W236" i="5"/>
  <c r="X236" i="5"/>
  <c r="O237" i="5"/>
  <c r="P237" i="5"/>
  <c r="Q237" i="5"/>
  <c r="R237" i="5"/>
  <c r="S237" i="5"/>
  <c r="T237" i="5"/>
  <c r="U237" i="5"/>
  <c r="AC237" i="5" s="1"/>
  <c r="V237" i="5"/>
  <c r="W237" i="5"/>
  <c r="X237" i="5"/>
  <c r="O238" i="5"/>
  <c r="P238" i="5"/>
  <c r="Q238" i="5"/>
  <c r="R238" i="5"/>
  <c r="S238" i="5"/>
  <c r="T238" i="5"/>
  <c r="U238" i="5"/>
  <c r="AC238" i="5" s="1"/>
  <c r="V238" i="5"/>
  <c r="W238" i="5"/>
  <c r="X238" i="5"/>
  <c r="O239" i="5"/>
  <c r="P239" i="5"/>
  <c r="Q239" i="5"/>
  <c r="R239" i="5"/>
  <c r="S239" i="5"/>
  <c r="T239" i="5"/>
  <c r="U239" i="5"/>
  <c r="AD239" i="5" s="1"/>
  <c r="V239" i="5"/>
  <c r="W239" i="5"/>
  <c r="X239" i="5"/>
  <c r="O240" i="5"/>
  <c r="P240" i="5"/>
  <c r="Q240" i="5"/>
  <c r="R240" i="5"/>
  <c r="S240" i="5"/>
  <c r="T240" i="5"/>
  <c r="U240" i="5"/>
  <c r="AC240" i="5" s="1"/>
  <c r="V240" i="5"/>
  <c r="W240" i="5"/>
  <c r="X240" i="5"/>
  <c r="O241" i="5"/>
  <c r="P241" i="5"/>
  <c r="Q241" i="5"/>
  <c r="R241" i="5"/>
  <c r="S241" i="5"/>
  <c r="T241" i="5"/>
  <c r="U241" i="5"/>
  <c r="AC241" i="5" s="1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AC243" i="5" s="1"/>
  <c r="V243" i="5"/>
  <c r="W243" i="5"/>
  <c r="X243" i="5"/>
  <c r="O244" i="5"/>
  <c r="P244" i="5"/>
  <c r="Q244" i="5"/>
  <c r="R244" i="5"/>
  <c r="S244" i="5"/>
  <c r="T244" i="5"/>
  <c r="U244" i="5"/>
  <c r="V244" i="5"/>
  <c r="W244" i="5"/>
  <c r="X244" i="5"/>
  <c r="O245" i="5"/>
  <c r="P245" i="5"/>
  <c r="Q245" i="5"/>
  <c r="R245" i="5"/>
  <c r="S245" i="5"/>
  <c r="T245" i="5"/>
  <c r="U245" i="5"/>
  <c r="V245" i="5"/>
  <c r="W245" i="5"/>
  <c r="X245" i="5"/>
  <c r="O246" i="5"/>
  <c r="P246" i="5"/>
  <c r="Q246" i="5"/>
  <c r="R246" i="5"/>
  <c r="S246" i="5"/>
  <c r="T246" i="5"/>
  <c r="U246" i="5"/>
  <c r="AC246" i="5" s="1"/>
  <c r="V246" i="5"/>
  <c r="W246" i="5"/>
  <c r="X246" i="5"/>
  <c r="O247" i="5"/>
  <c r="P247" i="5"/>
  <c r="Q247" i="5"/>
  <c r="R247" i="5"/>
  <c r="S247" i="5"/>
  <c r="T247" i="5"/>
  <c r="U247" i="5"/>
  <c r="AC247" i="5" s="1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AC249" i="5" s="1"/>
  <c r="V249" i="5"/>
  <c r="W249" i="5"/>
  <c r="X249" i="5"/>
  <c r="O250" i="5"/>
  <c r="P250" i="5"/>
  <c r="Q250" i="5"/>
  <c r="R250" i="5"/>
  <c r="S250" i="5"/>
  <c r="T250" i="5"/>
  <c r="U250" i="5"/>
  <c r="AC250" i="5" s="1"/>
  <c r="V250" i="5"/>
  <c r="W250" i="5"/>
  <c r="X250" i="5"/>
  <c r="O251" i="5"/>
  <c r="P251" i="5"/>
  <c r="Q251" i="5"/>
  <c r="R251" i="5"/>
  <c r="S251" i="5"/>
  <c r="T251" i="5"/>
  <c r="U251" i="5"/>
  <c r="AD251" i="5" s="1"/>
  <c r="V251" i="5"/>
  <c r="W251" i="5"/>
  <c r="X251" i="5"/>
  <c r="O252" i="5"/>
  <c r="P252" i="5"/>
  <c r="Q252" i="5"/>
  <c r="R252" i="5"/>
  <c r="S252" i="5"/>
  <c r="T252" i="5"/>
  <c r="U252" i="5"/>
  <c r="AC252" i="5" s="1"/>
  <c r="V252" i="5"/>
  <c r="W252" i="5"/>
  <c r="X252" i="5"/>
  <c r="AD235" i="5" l="1"/>
  <c r="AD214" i="5"/>
  <c r="AC251" i="5"/>
  <c r="AD241" i="5"/>
  <c r="AD238" i="5"/>
  <c r="AC231" i="5"/>
  <c r="AC221" i="5"/>
  <c r="AD246" i="5"/>
  <c r="AD223" i="5"/>
  <c r="AC245" i="5"/>
  <c r="AC218" i="5"/>
  <c r="AD226" i="5"/>
  <c r="AD220" i="5"/>
  <c r="AD250" i="5"/>
  <c r="AD240" i="5"/>
  <c r="AD237" i="5"/>
  <c r="AD215" i="5"/>
  <c r="AC244" i="5"/>
  <c r="AC236" i="5"/>
  <c r="AD233" i="5"/>
  <c r="AC216" i="5"/>
  <c r="AD252" i="5"/>
  <c r="AD232" i="5"/>
  <c r="AD229" i="5"/>
  <c r="AD222" i="5"/>
  <c r="AC239" i="5"/>
  <c r="AD225" i="5"/>
  <c r="AD219" i="5"/>
  <c r="AC224" i="5"/>
  <c r="AD247" i="5"/>
  <c r="AC234" i="5"/>
  <c r="AD228" i="5"/>
  <c r="AC253" i="5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AC206" i="5" s="1"/>
  <c r="W206" i="5"/>
  <c r="X206" i="5"/>
  <c r="O207" i="5"/>
  <c r="P207" i="5"/>
  <c r="Q207" i="5"/>
  <c r="R207" i="5"/>
  <c r="S207" i="5"/>
  <c r="T207" i="5"/>
  <c r="U207" i="5"/>
  <c r="V207" i="5"/>
  <c r="W207" i="5"/>
  <c r="X207" i="5"/>
  <c r="O208" i="5"/>
  <c r="P208" i="5"/>
  <c r="Q208" i="5"/>
  <c r="R208" i="5"/>
  <c r="S208" i="5"/>
  <c r="T208" i="5"/>
  <c r="U208" i="5"/>
  <c r="AC208" i="5" s="1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V211" i="5"/>
  <c r="W211" i="5"/>
  <c r="X211" i="5"/>
  <c r="O212" i="5"/>
  <c r="P212" i="5"/>
  <c r="Q212" i="5"/>
  <c r="R212" i="5"/>
  <c r="S212" i="5"/>
  <c r="T212" i="5"/>
  <c r="U212" i="5"/>
  <c r="AC212" i="5" s="1"/>
  <c r="V212" i="5"/>
  <c r="W212" i="5"/>
  <c r="X212" i="5"/>
  <c r="O213" i="5"/>
  <c r="P213" i="5"/>
  <c r="Q213" i="5"/>
  <c r="R213" i="5"/>
  <c r="S213" i="5"/>
  <c r="T213" i="5"/>
  <c r="U213" i="5"/>
  <c r="V213" i="5"/>
  <c r="W213" i="5"/>
  <c r="X213" i="5"/>
  <c r="AC211" i="5" l="1"/>
  <c r="AC207" i="5"/>
  <c r="AC203" i="5"/>
  <c r="AD213" i="5"/>
  <c r="AD210" i="5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V201" i="5"/>
  <c r="W201" i="5"/>
  <c r="X201" i="5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201" i="5" l="1"/>
  <c r="AD185" i="5"/>
  <c r="AD181" i="5"/>
  <c r="AD177" i="5"/>
  <c r="AC197" i="5"/>
  <c r="AC193" i="5"/>
  <c r="AC189" i="5"/>
  <c r="AC201" i="5"/>
  <c r="AD197" i="5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AC154" i="5" s="1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AD151" i="5" s="1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AD149" i="5" s="1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D156" i="5" l="1"/>
  <c r="AD152" i="5"/>
  <c r="AC160" i="5"/>
  <c r="AC151" i="5"/>
  <c r="AC147" i="5"/>
  <c r="AC155" i="5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A36" i="3" l="1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<sst xmlns="http://schemas.openxmlformats.org/spreadsheetml/2006/main" count="2858" uniqueCount="435">
  <si>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</si>
  <si>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</si>
  <si>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</si>
  <si>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</si>
  <si>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</si>
  <si>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</si>
  <si>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</si>
  <si>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</si>
  <si>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</si>
  <si>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</si>
  <si>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</si>
  <si>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</si>
  <si>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</si>
  <si>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</si>
  <si>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</si>
  <si>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</si>
  <si>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</si>
  <si>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</si>
  <si>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</si>
  <si>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</si>
  <si>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</si>
  <si>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</si>
  <si>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</si>
  <si>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</si>
  <si>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</si>
  <si>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</si>
  <si>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</si>
  <si>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</si>
  <si>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</si>
  <si>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</si>
  <si>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</si>
  <si>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</si>
  <si>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</si>
  <si>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</si>
  <si>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</si>
  <si>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</si>
  <si>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</si>
  <si>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</si>
  <si>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</si>
  <si>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</si>
  <si>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</si>
  <si>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</si>
  <si>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</si>
  <si>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</si>
  <si>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</si>
  <si>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</si>
  <si>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</si>
  <si>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</si>
  <si>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</si>
  <si>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</si>
  <si>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</si>
  <si>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</si>
  <si>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</si>
  <si>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</si>
  <si>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</si>
  <si>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</si>
  <si>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</si>
  <si>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</si>
  <si>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</si>
  <si>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</si>
  <si>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</si>
  <si>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</si>
  <si>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</si>
  <si>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</si>
  <si>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</si>
  <si>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</si>
  <si>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</si>
  <si>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</si>
  <si>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</si>
  <si>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</si>
  <si>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</si>
  <si>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</si>
  <si>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</si>
  <si>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</si>
  <si>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</si>
  <si>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</si>
  <si>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</si>
  <si>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</si>
  <si>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</si>
  <si>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</si>
  <si>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</si>
  <si>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</si>
  <si>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</si>
  <si>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</si>
  <si>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</si>
  <si>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</si>
  <si>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</si>
  <si>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</si>
  <si>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</si>
  <si>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</si>
  <si>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</si>
  <si>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</si>
  <si>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</si>
  <si>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</si>
  <si>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</si>
  <si>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</si>
  <si>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</si>
  <si>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</si>
  <si>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</si>
  <si>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</si>
  <si>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</si>
  <si>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</si>
  <si>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</si>
  <si>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</si>
  <si>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</si>
  <si>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</si>
  <si>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</si>
  <si>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</si>
  <si>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</si>
  <si>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</si>
  <si>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</si>
  <si>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</si>
  <si>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</si>
  <si>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</si>
  <si>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</si>
  <si>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</si>
  <si>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</si>
  <si>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</si>
  <si>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</si>
  <si>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</si>
  <si>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</si>
  <si>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</si>
  <si>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</si>
  <si>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</si>
  <si>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</si>
  <si>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</si>
  <si>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</si>
  <si>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</si>
  <si>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</si>
  <si>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</si>
  <si>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</si>
  <si>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</si>
  <si>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</si>
  <si>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</si>
  <si>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</si>
  <si>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</si>
  <si>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</si>
  <si>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</si>
  <si>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</si>
  <si>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</si>
  <si>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</si>
  <si>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</si>
  <si>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</si>
  <si>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</si>
  <si>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</si>
  <si>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</si>
  <si>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</si>
  <si>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</si>
  <si>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</si>
  <si>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</si>
  <si>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</si>
  <si>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</si>
  <si>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</si>
  <si>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</si>
  <si>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</si>
  <si>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</si>
  <si>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</si>
  <si>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</si>
  <si>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</si>
  <si>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</si>
  <si>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</si>
  <si>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</si>
  <si>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</si>
  <si>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</si>
  <si>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</si>
  <si>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</si>
  <si>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</si>
  <si>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</si>
  <si>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</si>
  <si>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</si>
  <si>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</si>
  <si>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</si>
  <si>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</si>
  <si>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</si>
  <si>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</si>
  <si>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</si>
  <si>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</si>
  <si>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</si>
  <si>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</si>
  <si>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</si>
  <si>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</si>
  <si>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</si>
  <si>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</si>
  <si>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</si>
  <si>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</si>
  <si>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</si>
  <si>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</si>
  <si>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</si>
  <si>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</si>
  <si>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</si>
  <si>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</si>
  <si>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</si>
  <si>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</si>
  <si>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</si>
  <si>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</si>
  <si>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</si>
  <si>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</si>
  <si>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</si>
  <si>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</si>
  <si>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</si>
  <si>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</si>
  <si>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</si>
  <si>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</si>
  <si>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</si>
  <si>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</si>
  <si>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</si>
  <si>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</si>
  <si>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</si>
  <si>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</si>
  <si>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</si>
  <si>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</si>
  <si>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</si>
  <si>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</si>
  <si>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</si>
  <si>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</si>
  <si>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</si>
  <si>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</si>
  <si>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</si>
  <si>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</si>
  <si>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</si>
  <si>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</si>
  <si>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</si>
  <si>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</si>
  <si>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</si>
  <si>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</si>
  <si>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</si>
  <si>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</si>
  <si>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</si>
  <si>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</si>
  <si>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</si>
  <si>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</si>
  <si>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</si>
  <si>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</si>
  <si>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</si>
  <si>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</si>
  <si>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</si>
  <si>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</si>
  <si>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</si>
  <si>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</si>
  <si>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</si>
  <si>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</si>
  <si>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</si>
  <si>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</si>
  <si>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</si>
  <si>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</si>
  <si>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</si>
  <si>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</si>
  <si>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</si>
  <si>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</si>
  <si>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</si>
  <si>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</si>
  <si>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</si>
  <si>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</si>
  <si>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</si>
  <si>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</si>
  <si>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</si>
  <si>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</si>
  <si>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</si>
  <si>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</si>
  <si>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</si>
  <si>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</si>
  <si>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</si>
  <si>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</si>
  <si>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</si>
  <si>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</si>
  <si>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</si>
  <si>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</si>
  <si>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</si>
  <si>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</si>
  <si>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</si>
  <si>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</si>
  <si>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</si>
  <si>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</si>
  <si>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</si>
  <si>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</si>
  <si>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</si>
  <si>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</si>
  <si>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</si>
  <si>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</si>
  <si>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</si>
  <si>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</si>
  <si>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</si>
  <si>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</si>
  <si>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</si>
  <si>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</si>
  <si>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</si>
  <si>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</si>
  <si>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</si>
  <si>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</si>
  <si>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</si>
  <si>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</si>
  <si>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</si>
  <si>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</si>
  <si>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</si>
  <si>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</si>
  <si>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</si>
  <si>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</si>
  <si>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</si>
  <si>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</si>
  <si>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</si>
  <si>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</si>
  <si>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</si>
  <si>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</si>
  <si>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</si>
  <si>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</si>
  <si>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</si>
  <si>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</si>
  <si>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</si>
  <si>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</si>
  <si>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</si>
  <si>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</si>
  <si>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</si>
  <si>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</si>
  <si>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</si>
  <si>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</si>
  <si>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</si>
  <si>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</si>
  <si>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</si>
  <si>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</si>
  <si>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</si>
  <si>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</si>
  <si>
    <t>BKN</t>
    <phoneticPr fontId="1" type="noConversion"/>
  </si>
  <si>
    <t>MIA</t>
    <phoneticPr fontId="1" type="noConversion"/>
  </si>
  <si>
    <t>MIN</t>
    <phoneticPr fontId="1" type="noConversion"/>
  </si>
  <si>
    <t>MEM</t>
    <phoneticPr fontId="1" type="noConversion"/>
  </si>
  <si>
    <t>NYK</t>
    <phoneticPr fontId="1" type="noConversion"/>
  </si>
  <si>
    <t>BOS</t>
    <phoneticPr fontId="1" type="noConversion"/>
  </si>
  <si>
    <t>LAL</t>
    <phoneticPr fontId="1" type="noConversion"/>
  </si>
  <si>
    <t>DAL</t>
    <phoneticPr fontId="1" type="noConversion"/>
  </si>
  <si>
    <t>NO</t>
    <phoneticPr fontId="1" type="noConversion"/>
  </si>
  <si>
    <t>OKC</t>
    <phoneticPr fontId="1" type="noConversion"/>
  </si>
  <si>
    <t>DET</t>
    <phoneticPr fontId="1" type="noConversion"/>
  </si>
  <si>
    <t>SAS</t>
    <phoneticPr fontId="1" type="noConversion"/>
  </si>
  <si>
    <t>ORL</t>
    <phoneticPr fontId="1" type="noConversion"/>
  </si>
  <si>
    <t>GS</t>
    <phoneticPr fontId="1" type="noConversion"/>
  </si>
  <si>
    <t>TOR</t>
    <phoneticPr fontId="1" type="noConversion"/>
  </si>
  <si>
    <t>UTA</t>
    <phoneticPr fontId="1" type="noConversion"/>
  </si>
  <si>
    <t>LAC</t>
    <phoneticPr fontId="1" type="noConversion"/>
  </si>
  <si>
    <t>WAS</t>
    <phoneticPr fontId="1" type="noConversion"/>
  </si>
  <si>
    <t>PHI</t>
    <phoneticPr fontId="1" type="noConversion"/>
  </si>
  <si>
    <t>CHA</t>
    <phoneticPr fontId="1" type="noConversion"/>
  </si>
  <si>
    <t>PHO</t>
    <phoneticPr fontId="1" type="noConversion"/>
  </si>
  <si>
    <t>ATL</t>
    <phoneticPr fontId="1" type="noConversion"/>
  </si>
  <si>
    <t>MIL</t>
    <phoneticPr fontId="1" type="noConversion"/>
  </si>
  <si>
    <t>IND</t>
    <phoneticPr fontId="1" type="noConversion"/>
  </si>
  <si>
    <t>SAC</t>
    <phoneticPr fontId="1" type="noConversion"/>
  </si>
  <si>
    <t>CHI</t>
    <phoneticPr fontId="1" type="noConversion"/>
  </si>
  <si>
    <t>CLE</t>
    <phoneticPr fontId="1" type="noConversion"/>
  </si>
  <si>
    <t>HOU</t>
    <phoneticPr fontId="1" type="noConversion"/>
  </si>
  <si>
    <t>DEN</t>
    <phoneticPr fontId="1" type="noConversion"/>
  </si>
  <si>
    <t>POR</t>
    <phoneticPr fontId="1" type="noConversion"/>
  </si>
  <si>
    <t>DET</t>
    <phoneticPr fontId="1" type="noConversion"/>
  </si>
  <si>
    <t>MIL</t>
    <phoneticPr fontId="1" type="noConversion"/>
  </si>
  <si>
    <t>ORL</t>
    <phoneticPr fontId="1" type="noConversion"/>
  </si>
  <si>
    <t>PHO</t>
    <phoneticPr fontId="1" type="noConversion"/>
  </si>
  <si>
    <t>CHA</t>
    <phoneticPr fontId="1" type="noConversion"/>
  </si>
  <si>
    <t>GS</t>
    <phoneticPr fontId="1" type="noConversion"/>
  </si>
  <si>
    <t>ATL</t>
    <phoneticPr fontId="1" type="noConversion"/>
  </si>
  <si>
    <t>BKN</t>
    <phoneticPr fontId="1" type="noConversion"/>
  </si>
  <si>
    <t>BOS</t>
    <phoneticPr fontId="1" type="noConversion"/>
  </si>
  <si>
    <t>MIA</t>
    <phoneticPr fontId="1" type="noConversion"/>
  </si>
  <si>
    <t>CHI</t>
    <phoneticPr fontId="1" type="noConversion"/>
  </si>
  <si>
    <t>MEM</t>
    <phoneticPr fontId="1" type="noConversion"/>
  </si>
  <si>
    <t>OKC</t>
    <phoneticPr fontId="1" type="noConversion"/>
  </si>
  <si>
    <t>IND</t>
    <phoneticPr fontId="1" type="noConversion"/>
  </si>
  <si>
    <t>DAL</t>
    <phoneticPr fontId="1" type="noConversion"/>
  </si>
  <si>
    <t>MIN</t>
    <phoneticPr fontId="1" type="noConversion"/>
  </si>
  <si>
    <t>UTA</t>
    <phoneticPr fontId="1" type="noConversion"/>
  </si>
  <si>
    <t>LAL</t>
    <phoneticPr fontId="1" type="noConversion"/>
  </si>
  <si>
    <t>POR</t>
    <phoneticPr fontId="1" type="noConversion"/>
  </si>
  <si>
    <t>SAC</t>
    <phoneticPr fontId="1" type="noConversion"/>
  </si>
  <si>
    <t>PHI</t>
    <phoneticPr fontId="1" type="noConversion"/>
  </si>
  <si>
    <t>NYK</t>
    <phoneticPr fontId="1" type="noConversion"/>
  </si>
  <si>
    <t>DEN</t>
    <phoneticPr fontId="1" type="noConversion"/>
  </si>
  <si>
    <t>TOR</t>
    <phoneticPr fontId="1" type="noConversion"/>
  </si>
  <si>
    <t>HOU</t>
    <phoneticPr fontId="1" type="noConversion"/>
  </si>
  <si>
    <t>NO</t>
    <phoneticPr fontId="1" type="noConversion"/>
  </si>
  <si>
    <t>PHO</t>
    <phoneticPr fontId="1" type="noConversion"/>
  </si>
  <si>
    <t>CLE</t>
    <phoneticPr fontId="1" type="noConversion"/>
  </si>
  <si>
    <t>ORL</t>
    <phoneticPr fontId="1" type="noConversion"/>
  </si>
  <si>
    <t>DET</t>
    <phoneticPr fontId="1" type="noConversion"/>
  </si>
  <si>
    <t>IND</t>
    <phoneticPr fontId="1" type="noConversion"/>
  </si>
  <si>
    <t>CHA</t>
    <phoneticPr fontId="1" type="noConversion"/>
  </si>
  <si>
    <t>BKN</t>
    <phoneticPr fontId="1" type="noConversion"/>
  </si>
  <si>
    <t>BOS</t>
    <phoneticPr fontId="1" type="noConversion"/>
  </si>
  <si>
    <t>CHI</t>
    <phoneticPr fontId="1" type="noConversion"/>
  </si>
  <si>
    <t>GS</t>
    <phoneticPr fontId="1" type="noConversion"/>
  </si>
  <si>
    <t>MIA</t>
    <phoneticPr fontId="1" type="noConversion"/>
  </si>
  <si>
    <t>WAS</t>
    <phoneticPr fontId="1" type="noConversion"/>
  </si>
  <si>
    <t>OKC</t>
    <phoneticPr fontId="1" type="noConversion"/>
  </si>
  <si>
    <t>MIN</t>
    <phoneticPr fontId="1" type="noConversion"/>
  </si>
  <si>
    <t>MIL</t>
    <phoneticPr fontId="1" type="noConversion"/>
  </si>
  <si>
    <t>LAC</t>
    <phoneticPr fontId="1" type="noConversion"/>
  </si>
  <si>
    <t>SAS</t>
    <phoneticPr fontId="1" type="noConversion"/>
  </si>
  <si>
    <t>SAC</t>
    <phoneticPr fontId="1" type="noConversion"/>
  </si>
  <si>
    <t>POR</t>
    <phoneticPr fontId="1" type="noConversion"/>
  </si>
  <si>
    <t>LAL</t>
    <phoneticPr fontId="1" type="noConversion"/>
  </si>
  <si>
    <t>DAL</t>
  </si>
  <si>
    <t>NO</t>
  </si>
  <si>
    <t>NYK</t>
  </si>
  <si>
    <t>IND</t>
  </si>
  <si>
    <t>PHI</t>
  </si>
  <si>
    <t>CLE</t>
  </si>
  <si>
    <t>HOU</t>
  </si>
  <si>
    <t>PHO</t>
  </si>
  <si>
    <t>UTA</t>
  </si>
  <si>
    <t>MEM</t>
  </si>
  <si>
    <t>BKN</t>
  </si>
  <si>
    <t>DEN</t>
  </si>
  <si>
    <t>CHA</t>
  </si>
  <si>
    <t>ATL</t>
  </si>
  <si>
    <t>MIA</t>
  </si>
  <si>
    <t>CHI</t>
  </si>
  <si>
    <t>TOR</t>
  </si>
  <si>
    <t>WAS</t>
  </si>
  <si>
    <t>LAC</t>
  </si>
  <si>
    <t>SAC</t>
  </si>
  <si>
    <t>POR</t>
  </si>
  <si>
    <t>OKC</t>
  </si>
  <si>
    <t>LAL</t>
  </si>
  <si>
    <t>MIN</t>
  </si>
  <si>
    <t>BOS</t>
  </si>
  <si>
    <t>DET</t>
  </si>
  <si>
    <t>MIL</t>
  </si>
  <si>
    <t>ORL</t>
  </si>
  <si>
    <t>GS</t>
  </si>
  <si>
    <t>SAS</t>
  </si>
  <si>
    <t/>
  </si>
  <si>
    <t>CHA</t>
    <phoneticPr fontId="1" type="noConversion"/>
  </si>
  <si>
    <t>NYK</t>
    <phoneticPr fontId="1" type="noConversion"/>
  </si>
  <si>
    <t>PHO</t>
    <phoneticPr fontId="1" type="noConversion"/>
  </si>
  <si>
    <t>ORL</t>
    <phoneticPr fontId="1" type="noConversion"/>
  </si>
  <si>
    <t>CHI</t>
    <phoneticPr fontId="1" type="noConversion"/>
  </si>
  <si>
    <t>WAS</t>
    <phoneticPr fontId="1" type="noConversion"/>
  </si>
  <si>
    <t>DAL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</si>
</sst>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5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6" borderId="0" xfId="0" applyNumberFormat="1" applyFill="1">
      <alignment vertical="center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534"/>
  <sheetViews>
    <sheetView tabSelected="1" zoomScale="85" zoomScaleNormal="85" workbookViewId="0">
      <pane xSplit="1" ySplit="1" topLeftCell="B510" activePane="bottomRight" state="frozen"/>
      <selection pane="topRight" activeCell="B1" sqref="B1"/>
      <selection pane="bottomLeft" activeCell="A2" sqref="A2"/>
      <selection pane="bottomRight" activeCell="A524" sqref="A524:D534"/>
    </sheetView>
  </sheetViews>
  <sheetFormatPr defaultRowHeight="16.5" x14ac:dyDescent="0.3"/>
  <cols>
    <col min="1" max="1" width="7.5" bestFit="1" customWidth="1"/>
    <col min="2" max="2" width="10" style="3" bestFit="1" customWidth="1"/>
    <col min="3" max="3" width="6.375" bestFit="1" customWidth="1"/>
    <col min="4" max="4" width="5.75" bestFit="1" customWidth="1"/>
    <col min="5" max="8" width="4.75" bestFit="1" customWidth="1"/>
    <col min="9" max="9" width="4.375" bestFit="1" customWidth="1"/>
    <col min="10" max="13" width="4.625" bestFit="1" customWidth="1"/>
    <col min="14" max="14" width="4.625" style="2" customWidth="1"/>
    <col min="15" max="15" width="5" bestFit="1" customWidth="1"/>
    <col min="16" max="16" width="4.875" bestFit="1" customWidth="1"/>
    <col min="17" max="20" width="5.5" bestFit="1" customWidth="1"/>
    <col min="21" max="24" width="5.875" bestFit="1" customWidth="1"/>
    <col min="25" max="25" width="6.75" customWidth="1"/>
    <col min="26" max="26" width="16.375" customWidth="1"/>
    <col min="27" max="27" width="13.5" bestFit="1" customWidth="1"/>
  </cols>
  <sheetData>
    <row r="1" spans="1:30" ht="17.100000000000001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ht="17.100000000000001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ht="17.100000000000001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ht="17.100000000000001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ht="17.100000000000001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ht="17.100000000000001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ht="17.100000000000001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ht="17.100000000000001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ht="17.100000000000001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ht="17.100000000000001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ht="17.100000000000001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ht="17.100000000000001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ht="17.100000000000001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ht="17.100000000000001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ht="17.100000000000001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ht="17.100000000000001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ht="17.100000000000001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ht="17.100000000000001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ht="17.100000000000001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ht="17.100000000000001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ht="17.100000000000001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ht="17.100000000000001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ht="17.100000000000001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ht="17.100000000000001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ht="17.100000000000001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ht="17.100000000000001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ht="17.100000000000001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ht="17.100000000000001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ht="17.100000000000001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ht="17.100000000000001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ht="17.100000000000001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ht="17.100000000000001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ht="17.100000000000001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ht="17.100000000000001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ht="17.100000000000001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ht="17.100000000000001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ht="17.100000000000001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ht="17.100000000000001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ht="17.100000000000001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ht="17.100000000000001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ht="17.100000000000001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ht="17.100000000000001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ht="17.100000000000001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ht="17.100000000000001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ht="17.100000000000001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ht="17.100000000000001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ht="17.100000000000001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ht="17.100000000000001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ht="17.100000000000001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ht="17.100000000000001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ht="17.100000000000001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ht="17.100000000000001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ht="17.100000000000001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ht="17.100000000000001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ht="17.100000000000001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ht="17.100000000000001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ht="17.100000000000001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ht="17.100000000000001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ht="17.100000000000001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ht="17.100000000000001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ht="17.100000000000001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ht="17.100000000000001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ht="17.100000000000001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ht="17.100000000000001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ht="17.100000000000001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ht="17.100000000000001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ht="17.100000000000001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ht="17.100000000000001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ht="17.100000000000001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ht="17.100000000000001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ht="17.100000000000001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ht="17.100000000000001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ht="17.100000000000001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ht="17.100000000000001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ht="17.100000000000001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ht="17.100000000000001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ht="17.100000000000001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ht="17.100000000000001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ht="17.100000000000001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ht="17.100000000000001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ht="17.100000000000001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ht="17.100000000000001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ht="17.100000000000001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ht="17.100000000000001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ht="17.100000000000001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ht="17.100000000000001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ht="17.100000000000001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ht="17.100000000000001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ht="17.100000000000001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ht="17.100000000000001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ht="17.100000000000001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ht="17.100000000000001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ht="17.100000000000001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ht="17.100000000000001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ht="17.100000000000001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ht="17.100000000000001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ht="17.10000000000000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ht="17.100000000000001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ht="17.100000000000001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ht="17.100000000000001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ht="17.100000000000001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ht="17.100000000000001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ht="17.100000000000001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ht="17.100000000000001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ht="17.100000000000001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ht="17.100000000000001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ht="17.100000000000001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ht="17.100000000000001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ht="17.100000000000001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ht="17.100000000000001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ht="17.100000000000001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ht="17.100000000000001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ht="17.100000000000001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ht="17.100000000000001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ht="17.100000000000001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ht="17.100000000000001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ht="17.100000000000001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ht="17.100000000000001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ht="17.100000000000001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ht="17.100000000000001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ht="17.100000000000001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ht="17.100000000000001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ht="17.100000000000001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ht="17.100000000000001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ht="17.100000000000001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ht="17.100000000000001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ht="17.100000000000001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ht="17.100000000000001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ht="17.100000000000001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ht="17.100000000000001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ht="17.100000000000001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ht="17.100000000000001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ht="17.100000000000001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ht="17.100000000000001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ht="17.100000000000001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ht="17.100000000000001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ht="17.100000000000001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ht="17.100000000000001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ht="17.100000000000001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ht="17.100000000000001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ht="17.100000000000001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ht="17.100000000000001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ht="17.100000000000001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ht="17.100000000000001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ht="17.100000000000001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ht="17.100000000000001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ht="17.100000000000001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ht="17.100000000000001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ht="17.100000000000001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ht="17.100000000000001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ht="17.100000000000001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ht="17.100000000000001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ht="17.100000000000001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ht="17.100000000000001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ht="17.100000000000001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ht="17.100000000000001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ht="17.100000000000001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ht="17.100000000000001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ht="17.100000000000001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ht="17.100000000000001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ht="17.100000000000001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ht="17.100000000000001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ht="17.100000000000001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ht="17.100000000000001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ht="17.100000000000001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ht="17.100000000000001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ht="17.100000000000001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ht="17.100000000000001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ht="17.100000000000001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ht="17.100000000000001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ht="17.100000000000001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ht="17.100000000000001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ht="17.100000000000001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ht="17.100000000000001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ht="17.100000000000001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ht="17.100000000000001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ht="17.100000000000001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ht="17.100000000000001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ht="17.100000000000001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ht="17.100000000000001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ht="17.100000000000001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ht="17.100000000000001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ht="17.100000000000001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ht="17.100000000000001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ht="17.100000000000001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ht="17.100000000000001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ht="17.100000000000001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ht="17.100000000000001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ht="17.100000000000001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ht="17.100000000000001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ht="17.100000000000001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ht="17.100000000000001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ht="17.100000000000001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ht="17.100000000000001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ht="17.100000000000001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ht="17.100000000000001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ht="17.100000000000001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ht="17.100000000000001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ht="17.100000000000001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ht="17.100000000000001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ht="17.100000000000001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ht="17.100000000000001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ht="17.100000000000001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ht="17.100000000000001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ht="17.100000000000001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ht="17.100000000000001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ht="17.100000000000001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ht="17.100000000000001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ht="17.100000000000001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ht="17.100000000000001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ht="17.100000000000001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ht="17.100000000000001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ht="17.100000000000001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ht="17.100000000000001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ht="17.100000000000001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ht="17.100000000000001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ht="17.100000000000001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ht="17.100000000000001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ht="17.100000000000001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ht="17.100000000000001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ht="17.100000000000001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ht="17.100000000000001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ht="17.100000000000001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ht="17.100000000000001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ht="17.100000000000001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ht="17.100000000000001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ht="17.100000000000001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ht="17.100000000000001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ht="17.100000000000001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ht="17.100000000000001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ht="17.100000000000001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ht="17.100000000000001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ht="17.100000000000001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ht="17.100000000000001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ht="17.100000000000001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ht="17.100000000000001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ht="17.100000000000001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ht="17.100000000000001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ht="17.100000000000001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ht="17.100000000000001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331" si="153">C240&amp;"/"&amp;D240</f>
        <v>LAC/NO</v>
      </c>
    </row>
    <row r="241" spans="1:27" ht="17.100000000000001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ht="17.100000000000001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ht="17.100000000000001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ht="17.100000000000001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ht="17.100000000000001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ht="17.100000000000001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ht="17.100000000000001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ht="17.100000000000001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ht="17.100000000000001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ht="17.100000000000001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ht="17.100000000000001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ht="17.100000000000001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ht="17.100000000000001" x14ac:dyDescent="0.45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ht="17.100000000000001" x14ac:dyDescent="0.45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ht="17.100000000000001" x14ac:dyDescent="0.45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ht="17.100000000000001" x14ac:dyDescent="0.45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ht="17.100000000000001" x14ac:dyDescent="0.45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ht="17.100000000000001" x14ac:dyDescent="0.45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ht="17.100000000000001" x14ac:dyDescent="0.45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ht="17.100000000000001" x14ac:dyDescent="0.45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ht="17.100000000000001" x14ac:dyDescent="0.45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ht="17.100000000000001" x14ac:dyDescent="0.45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ht="17.100000000000001" x14ac:dyDescent="0.45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ht="17.100000000000001" x14ac:dyDescent="0.45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ht="17.100000000000001" x14ac:dyDescent="0.45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ht="17.100000000000001" x14ac:dyDescent="0.45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ht="17.100000000000001" x14ac:dyDescent="0.45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ht="17.100000000000001" x14ac:dyDescent="0.45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ht="17.100000000000001" x14ac:dyDescent="0.45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ht="17.100000000000001" x14ac:dyDescent="0.45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ht="17.100000000000001" x14ac:dyDescent="0.45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ht="17.100000000000001" x14ac:dyDescent="0.45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ht="17.100000000000001" x14ac:dyDescent="0.45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ht="17.100000000000001" x14ac:dyDescent="0.45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ht="17.100000000000001" x14ac:dyDescent="0.45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ht="17.100000000000001" x14ac:dyDescent="0.45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ht="17.100000000000001" x14ac:dyDescent="0.45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ht="17.100000000000001" x14ac:dyDescent="0.45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ht="17.100000000000001" x14ac:dyDescent="0.45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ht="17.100000000000001" x14ac:dyDescent="0.45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ht="17.100000000000001" x14ac:dyDescent="0.45">
      <c r="A281">
        <v>191201</v>
      </c>
      <c r="B281" s="1">
        <v>0.29166666666666669</v>
      </c>
      <c r="C281" s="15" t="s">
        <v>44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64">SUM(E281:I281)</f>
        <v>100</v>
      </c>
      <c r="P281" s="42">
        <f t="shared" ref="P281:P299" si="165">SUM(J281:N281)</f>
        <v>97</v>
      </c>
      <c r="Q281" s="42" t="str">
        <f t="shared" ref="Q281:Q299" si="166">IF(E281=J281,"TT",IF(E281&gt;J281,"HW","HL"))</f>
        <v>HL</v>
      </c>
      <c r="R281" s="42" t="str">
        <f t="shared" ref="R281:R299" si="167">IF(F281=K281,"TT",IF(F281&gt;K281,"HW","HL"))</f>
        <v>HL</v>
      </c>
      <c r="S281" s="42" t="str">
        <f t="shared" ref="S281:S299" si="168">IF(G281=L281,"TT",IF(G281&gt;L281,"HW","HL"))</f>
        <v>HW</v>
      </c>
      <c r="T281" s="42" t="str">
        <f t="shared" ref="T281:T299" si="169">IF(H281=M281,"TT",IF(H281&gt;M281,"HW","HL"))</f>
        <v>HW</v>
      </c>
      <c r="U281" s="42" t="str">
        <f t="shared" ref="U281:U299" si="170">IF(SUM(E281,J281)=$Z281,"T",IF(SUM(E281,J281)&gt;$Z281,"O","U"))</f>
        <v>U</v>
      </c>
      <c r="V281" s="42" t="str">
        <f t="shared" ref="V281:V299" si="171">IF(SUM(F281,K281)=$Z281,"T",IF(SUM(F281,K281)&gt;$Z281,"O","U"))</f>
        <v>U</v>
      </c>
      <c r="W281" s="42" t="str">
        <f t="shared" ref="W281:W299" si="172">IF(SUM(G281,L281)=$Z281,"T",IF(SUM(G281,L281)&gt;$Z281,"O","U"))</f>
        <v>U</v>
      </c>
      <c r="X281" s="42" t="str">
        <f t="shared" ref="X281:X299" si="173">IF(SUM(H281,M281)=$Z281,"T",IF(SUM(H281,M281)&gt;$Z281,"O","U"))</f>
        <v>U</v>
      </c>
      <c r="Z281">
        <v>53.5</v>
      </c>
      <c r="AA281" t="str">
        <f t="shared" si="153"/>
        <v>SAC/DEN</v>
      </c>
    </row>
    <row r="282" spans="1:27" ht="17.100000000000001" x14ac:dyDescent="0.45">
      <c r="A282" s="12">
        <v>191201</v>
      </c>
      <c r="B282" s="1">
        <v>0.375</v>
      </c>
      <c r="C282" s="11" t="s">
        <v>41</v>
      </c>
      <c r="D282" s="11" t="s">
        <v>35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O282" s="42">
        <f t="shared" si="164"/>
        <v>119</v>
      </c>
      <c r="P282" s="42">
        <f t="shared" si="165"/>
        <v>116</v>
      </c>
      <c r="Q282" s="42" t="str">
        <f t="shared" si="166"/>
        <v>HW</v>
      </c>
      <c r="R282" s="42" t="str">
        <f t="shared" si="167"/>
        <v>HL</v>
      </c>
      <c r="S282" s="42" t="str">
        <f t="shared" si="168"/>
        <v>TT</v>
      </c>
      <c r="T282" s="42" t="str">
        <f t="shared" si="169"/>
        <v>HW</v>
      </c>
      <c r="U282" s="42" t="str">
        <f t="shared" si="170"/>
        <v>O</v>
      </c>
      <c r="V282" s="42" t="str">
        <f t="shared" si="171"/>
        <v>O</v>
      </c>
      <c r="W282" s="42" t="str">
        <f t="shared" si="172"/>
        <v>O</v>
      </c>
      <c r="X282" s="42" t="str">
        <f t="shared" si="173"/>
        <v>U</v>
      </c>
      <c r="Z282">
        <v>53.5</v>
      </c>
      <c r="AA282" t="str">
        <f t="shared" si="153"/>
        <v>PHI/IND</v>
      </c>
    </row>
    <row r="283" spans="1:27" ht="17.100000000000001" x14ac:dyDescent="0.45">
      <c r="A283" s="12">
        <v>191201</v>
      </c>
      <c r="B283" s="1">
        <v>0.41666666666666669</v>
      </c>
      <c r="C283" s="15" t="s">
        <v>115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O283" s="42">
        <f t="shared" si="164"/>
        <v>158</v>
      </c>
      <c r="P283" s="42">
        <f t="shared" si="165"/>
        <v>111</v>
      </c>
      <c r="Q283" s="42" t="str">
        <f t="shared" si="166"/>
        <v>HW</v>
      </c>
      <c r="R283" s="42" t="str">
        <f t="shared" si="167"/>
        <v>HW</v>
      </c>
      <c r="S283" s="42" t="str">
        <f t="shared" si="168"/>
        <v>HW</v>
      </c>
      <c r="T283" s="42" t="str">
        <f t="shared" si="169"/>
        <v>HL</v>
      </c>
      <c r="U283" s="42" t="str">
        <f t="shared" si="170"/>
        <v>U</v>
      </c>
      <c r="V283" s="42" t="str">
        <f t="shared" si="171"/>
        <v>O</v>
      </c>
      <c r="W283" s="42" t="str">
        <f t="shared" si="172"/>
        <v>O</v>
      </c>
      <c r="X283" s="42" t="str">
        <f t="shared" si="173"/>
        <v>O</v>
      </c>
      <c r="Z283">
        <v>60.5</v>
      </c>
      <c r="AA283" t="str">
        <f t="shared" si="153"/>
        <v>HOU/ATL</v>
      </c>
    </row>
    <row r="284" spans="1:27" ht="17.100000000000001" x14ac:dyDescent="0.45">
      <c r="A284" s="12">
        <v>191201</v>
      </c>
      <c r="B284" s="1">
        <v>0.41666666666666669</v>
      </c>
      <c r="C284" s="42" t="s">
        <v>319</v>
      </c>
      <c r="D284" s="5" t="s">
        <v>31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O284" s="42">
        <f t="shared" si="164"/>
        <v>137</v>
      </c>
      <c r="P284" s="42">
        <f t="shared" si="165"/>
        <v>96</v>
      </c>
      <c r="Q284" s="42" t="str">
        <f t="shared" si="166"/>
        <v>HW</v>
      </c>
      <c r="R284" s="42" t="str">
        <f t="shared" si="167"/>
        <v>HW</v>
      </c>
      <c r="S284" s="42" t="str">
        <f t="shared" si="168"/>
        <v>HW</v>
      </c>
      <c r="T284" s="42" t="str">
        <f t="shared" si="169"/>
        <v>HW</v>
      </c>
      <c r="U284" s="42" t="str">
        <f t="shared" si="170"/>
        <v>U</v>
      </c>
      <c r="V284" s="42" t="str">
        <f t="shared" si="171"/>
        <v>T</v>
      </c>
      <c r="W284" s="42" t="str">
        <f t="shared" si="172"/>
        <v>O</v>
      </c>
      <c r="X284" s="42" t="str">
        <f t="shared" si="173"/>
        <v>U</v>
      </c>
      <c r="Z284">
        <v>58</v>
      </c>
      <c r="AA284" t="str">
        <f t="shared" si="153"/>
        <v>MIL/CHA</v>
      </c>
    </row>
    <row r="285" spans="1:27" ht="17.100000000000001" x14ac:dyDescent="0.45">
      <c r="A285" s="42">
        <v>191202</v>
      </c>
      <c r="B285" s="1">
        <v>0.20833333333333334</v>
      </c>
      <c r="C285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O285" s="42">
        <f t="shared" si="164"/>
        <v>106</v>
      </c>
      <c r="P285" s="42">
        <f t="shared" si="165"/>
        <v>109</v>
      </c>
      <c r="Q285" s="42" t="str">
        <f t="shared" si="166"/>
        <v>HL</v>
      </c>
      <c r="R285" s="42" t="str">
        <f t="shared" si="167"/>
        <v>HW</v>
      </c>
      <c r="S285" s="42" t="str">
        <f t="shared" si="168"/>
        <v>HL</v>
      </c>
      <c r="T285" s="42" t="str">
        <f t="shared" si="169"/>
        <v>HL</v>
      </c>
      <c r="U285" s="42" t="str">
        <f t="shared" si="170"/>
        <v>O</v>
      </c>
      <c r="V285" s="42" t="str">
        <f t="shared" si="171"/>
        <v>O</v>
      </c>
      <c r="W285" s="42" t="str">
        <f t="shared" si="172"/>
        <v>U</v>
      </c>
      <c r="X285" s="42" t="str">
        <f t="shared" si="173"/>
        <v>U</v>
      </c>
      <c r="Z285">
        <v>55.5</v>
      </c>
      <c r="AA285" t="str">
        <f t="shared" si="153"/>
        <v>BKN/MIA</v>
      </c>
    </row>
    <row r="286" spans="1:27" ht="17.100000000000001" x14ac:dyDescent="0.45">
      <c r="A286" s="42">
        <v>191202</v>
      </c>
      <c r="B286" s="1">
        <v>0.22916666666666666</v>
      </c>
      <c r="C286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O286" s="42">
        <f t="shared" si="164"/>
        <v>107</v>
      </c>
      <c r="P286" s="42">
        <f t="shared" si="165"/>
        <v>115</v>
      </c>
      <c r="Q286" s="42" t="str">
        <f t="shared" si="166"/>
        <v>HL</v>
      </c>
      <c r="R286" s="42" t="str">
        <f t="shared" si="167"/>
        <v>HW</v>
      </c>
      <c r="S286" s="42" t="str">
        <f t="shared" si="168"/>
        <v>HL</v>
      </c>
      <c r="T286" s="42" t="str">
        <f t="shared" si="169"/>
        <v>HL</v>
      </c>
      <c r="U286" s="42" t="str">
        <f t="shared" si="170"/>
        <v>U</v>
      </c>
      <c r="V286" s="42" t="str">
        <f t="shared" si="171"/>
        <v>U</v>
      </c>
      <c r="W286" s="42" t="str">
        <f t="shared" si="172"/>
        <v>O</v>
      </c>
      <c r="X286" s="42" t="str">
        <f t="shared" si="173"/>
        <v>O</v>
      </c>
      <c r="Z286">
        <v>56.5</v>
      </c>
      <c r="AA286" t="str">
        <f t="shared" si="153"/>
        <v>MIN/MEM</v>
      </c>
    </row>
    <row r="287" spans="1:27" ht="17.100000000000001" x14ac:dyDescent="0.45">
      <c r="A287" s="42">
        <v>191202</v>
      </c>
      <c r="B287" s="1">
        <v>0.22916666666666666</v>
      </c>
      <c r="C287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O287" s="42">
        <f t="shared" si="164"/>
        <v>104</v>
      </c>
      <c r="P287" s="42">
        <f t="shared" si="165"/>
        <v>113</v>
      </c>
      <c r="Q287" s="42" t="str">
        <f t="shared" si="166"/>
        <v>HL</v>
      </c>
      <c r="R287" s="42" t="str">
        <f t="shared" si="167"/>
        <v>HW</v>
      </c>
      <c r="S287" s="42" t="str">
        <f t="shared" si="168"/>
        <v>HW</v>
      </c>
      <c r="T287" s="42" t="str">
        <f t="shared" si="169"/>
        <v>HL</v>
      </c>
      <c r="U287" s="42" t="str">
        <f t="shared" si="170"/>
        <v>O</v>
      </c>
      <c r="V287" s="42" t="str">
        <f t="shared" si="171"/>
        <v>O</v>
      </c>
      <c r="W287" s="42" t="str">
        <f t="shared" si="172"/>
        <v>U</v>
      </c>
      <c r="X287" s="42" t="str">
        <f t="shared" si="173"/>
        <v>T</v>
      </c>
      <c r="Z287">
        <v>51</v>
      </c>
      <c r="AA287" t="str">
        <f t="shared" si="153"/>
        <v>NYK/BOS</v>
      </c>
    </row>
    <row r="288" spans="1:27" ht="17.100000000000001" x14ac:dyDescent="0.45">
      <c r="A288" s="42">
        <v>191202</v>
      </c>
      <c r="B288" s="1">
        <v>0.25</v>
      </c>
      <c r="C288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O288" s="42">
        <f t="shared" si="164"/>
        <v>100</v>
      </c>
      <c r="P288" s="42">
        <f t="shared" si="165"/>
        <v>114</v>
      </c>
      <c r="Q288" s="42" t="str">
        <f t="shared" si="166"/>
        <v>HW</v>
      </c>
      <c r="R288" s="42" t="str">
        <f t="shared" si="167"/>
        <v>HL</v>
      </c>
      <c r="S288" s="42" t="str">
        <f t="shared" si="168"/>
        <v>HL</v>
      </c>
      <c r="T288" s="42" t="str">
        <f t="shared" si="169"/>
        <v>HW</v>
      </c>
      <c r="U288" s="42" t="str">
        <f t="shared" si="170"/>
        <v>U</v>
      </c>
      <c r="V288" s="42" t="str">
        <f t="shared" si="171"/>
        <v>O</v>
      </c>
      <c r="W288" s="42" t="str">
        <f t="shared" si="172"/>
        <v>U</v>
      </c>
      <c r="X288" s="42" t="str">
        <f t="shared" si="173"/>
        <v>U</v>
      </c>
      <c r="Z288">
        <v>57.5</v>
      </c>
      <c r="AA288" t="str">
        <f t="shared" si="153"/>
        <v>LAL/DAL</v>
      </c>
    </row>
    <row r="289" spans="1:27" ht="17.100000000000001" x14ac:dyDescent="0.45">
      <c r="A289" s="42">
        <v>191202</v>
      </c>
      <c r="B289" s="1">
        <v>0.29166666666666669</v>
      </c>
      <c r="C289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O289" s="42">
        <f t="shared" si="164"/>
        <v>104</v>
      </c>
      <c r="P289" s="42">
        <f t="shared" si="165"/>
        <v>107</v>
      </c>
      <c r="Q289" s="42" t="str">
        <f t="shared" si="166"/>
        <v>HL</v>
      </c>
      <c r="R289" s="42" t="str">
        <f t="shared" si="167"/>
        <v>HW</v>
      </c>
      <c r="S289" s="42" t="str">
        <f t="shared" si="168"/>
        <v>HL</v>
      </c>
      <c r="T289" s="42" t="str">
        <f t="shared" si="169"/>
        <v>HW</v>
      </c>
      <c r="U289" s="42" t="str">
        <f t="shared" si="170"/>
        <v>O</v>
      </c>
      <c r="V289" s="42" t="str">
        <f t="shared" si="171"/>
        <v>U</v>
      </c>
      <c r="W289" s="42" t="str">
        <f t="shared" si="172"/>
        <v>U</v>
      </c>
      <c r="X289" s="42" t="str">
        <f t="shared" si="173"/>
        <v>U</v>
      </c>
      <c r="Z289">
        <v>58.5</v>
      </c>
      <c r="AA289" t="str">
        <f t="shared" si="153"/>
        <v>NO/OKC</v>
      </c>
    </row>
    <row r="290" spans="1:27" ht="17.100000000000001" x14ac:dyDescent="0.45">
      <c r="A290" s="42">
        <v>191202</v>
      </c>
      <c r="B290" s="1">
        <v>0.29166666666666669</v>
      </c>
      <c r="C290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O290" s="42">
        <f t="shared" si="164"/>
        <v>132</v>
      </c>
      <c r="P290" s="42">
        <f t="shared" si="165"/>
        <v>98</v>
      </c>
      <c r="Q290" s="42" t="str">
        <f t="shared" si="166"/>
        <v>HW</v>
      </c>
      <c r="R290" s="42" t="str">
        <f t="shared" si="167"/>
        <v>HW</v>
      </c>
      <c r="S290" s="42" t="str">
        <f t="shared" si="168"/>
        <v>HW</v>
      </c>
      <c r="T290" s="42" t="str">
        <f t="shared" si="169"/>
        <v>HW</v>
      </c>
      <c r="U290" s="42" t="str">
        <f t="shared" si="170"/>
        <v>O</v>
      </c>
      <c r="V290" s="42" t="str">
        <f t="shared" si="171"/>
        <v>U</v>
      </c>
      <c r="W290" s="42" t="str">
        <f t="shared" si="172"/>
        <v>O</v>
      </c>
      <c r="X290" s="42" t="str">
        <f t="shared" si="173"/>
        <v>O</v>
      </c>
      <c r="Z290">
        <v>53</v>
      </c>
      <c r="AA290" t="str">
        <f t="shared" si="153"/>
        <v>DET/SAS</v>
      </c>
    </row>
    <row r="291" spans="1:27" ht="17.100000000000001" x14ac:dyDescent="0.45">
      <c r="A291" s="42">
        <v>191202</v>
      </c>
      <c r="B291" s="1">
        <v>0.33333333333333331</v>
      </c>
      <c r="C291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O291" s="42">
        <f t="shared" si="164"/>
        <v>100</v>
      </c>
      <c r="P291" s="42">
        <f t="shared" si="165"/>
        <v>96</v>
      </c>
      <c r="Q291" s="42" t="str">
        <f t="shared" si="166"/>
        <v>HW</v>
      </c>
      <c r="R291" s="42" t="str">
        <f t="shared" si="167"/>
        <v>HL</v>
      </c>
      <c r="S291" s="42" t="str">
        <f t="shared" si="168"/>
        <v>HW</v>
      </c>
      <c r="T291" s="42" t="str">
        <f t="shared" si="169"/>
        <v>HW</v>
      </c>
      <c r="U291" s="42" t="str">
        <f t="shared" si="170"/>
        <v>U</v>
      </c>
      <c r="V291" s="42" t="str">
        <f t="shared" si="171"/>
        <v>O</v>
      </c>
      <c r="W291" s="42" t="str">
        <f t="shared" si="172"/>
        <v>U</v>
      </c>
      <c r="X291" s="42" t="str">
        <f t="shared" si="173"/>
        <v>T</v>
      </c>
      <c r="Z291">
        <v>53</v>
      </c>
      <c r="AA291" t="str">
        <f t="shared" si="153"/>
        <v>ORL/GS</v>
      </c>
    </row>
    <row r="292" spans="1:27" ht="17.100000000000001" x14ac:dyDescent="0.45">
      <c r="A292" s="42">
        <v>191202</v>
      </c>
      <c r="B292" s="1">
        <v>0.33333333333333331</v>
      </c>
      <c r="C29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O292" s="42">
        <f t="shared" si="164"/>
        <v>130</v>
      </c>
      <c r="P292" s="42">
        <f t="shared" si="165"/>
        <v>110</v>
      </c>
      <c r="Q292" s="42" t="str">
        <f t="shared" si="166"/>
        <v>HW</v>
      </c>
      <c r="R292" s="42" t="str">
        <f t="shared" si="167"/>
        <v>HW</v>
      </c>
      <c r="S292" s="42" t="str">
        <f t="shared" si="168"/>
        <v>HL</v>
      </c>
      <c r="T292" s="42" t="str">
        <f t="shared" si="169"/>
        <v>HL</v>
      </c>
      <c r="U292" s="42" t="str">
        <f t="shared" si="170"/>
        <v>O</v>
      </c>
      <c r="V292" s="42" t="str">
        <f t="shared" si="171"/>
        <v>O</v>
      </c>
      <c r="W292" s="42" t="str">
        <f t="shared" si="172"/>
        <v>O</v>
      </c>
      <c r="X292" s="42" t="str">
        <f t="shared" si="173"/>
        <v>U</v>
      </c>
      <c r="Z292">
        <v>51.5</v>
      </c>
      <c r="AA292" t="str">
        <f t="shared" si="153"/>
        <v>TOR/UTA</v>
      </c>
    </row>
    <row r="293" spans="1:27" ht="17.100000000000001" x14ac:dyDescent="0.45">
      <c r="A293" s="42">
        <v>191202</v>
      </c>
      <c r="B293" s="1">
        <v>0.52083333333333337</v>
      </c>
      <c r="C293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O293" s="42">
        <f t="shared" si="164"/>
        <v>150</v>
      </c>
      <c r="P293" s="42">
        <f t="shared" si="165"/>
        <v>125</v>
      </c>
      <c r="Q293" s="42" t="str">
        <f t="shared" si="166"/>
        <v>HW</v>
      </c>
      <c r="R293" s="42" t="str">
        <f t="shared" si="167"/>
        <v>HW</v>
      </c>
      <c r="S293" s="42" t="str">
        <f t="shared" si="168"/>
        <v>HL</v>
      </c>
      <c r="T293" s="42" t="str">
        <f t="shared" si="169"/>
        <v>HW</v>
      </c>
      <c r="U293" s="42" t="str">
        <f t="shared" si="170"/>
        <v>O</v>
      </c>
      <c r="V293" s="42" t="str">
        <f t="shared" si="171"/>
        <v>O</v>
      </c>
      <c r="W293" s="42" t="str">
        <f t="shared" si="172"/>
        <v>O</v>
      </c>
      <c r="X293" s="42" t="str">
        <f t="shared" si="173"/>
        <v>U</v>
      </c>
      <c r="Z293">
        <v>61.5</v>
      </c>
      <c r="AA293" t="str">
        <f t="shared" si="153"/>
        <v>LAC/WAS</v>
      </c>
    </row>
    <row r="294" spans="1:27" ht="17.100000000000001" x14ac:dyDescent="0.45">
      <c r="A294" s="42">
        <v>191203</v>
      </c>
      <c r="B294" s="1">
        <v>0.375</v>
      </c>
      <c r="C294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O294" s="42">
        <f t="shared" si="164"/>
        <v>103</v>
      </c>
      <c r="P294" s="42">
        <f t="shared" si="165"/>
        <v>94</v>
      </c>
      <c r="Q294" s="42" t="str">
        <f t="shared" si="166"/>
        <v>HW</v>
      </c>
      <c r="R294" s="42" t="str">
        <f t="shared" si="167"/>
        <v>HW</v>
      </c>
      <c r="S294" s="42" t="str">
        <f t="shared" si="168"/>
        <v>HW</v>
      </c>
      <c r="T294" s="42" t="str">
        <f t="shared" si="169"/>
        <v>HL</v>
      </c>
      <c r="U294" s="42" t="str">
        <f t="shared" si="170"/>
        <v>O</v>
      </c>
      <c r="V294" s="42" t="str">
        <f t="shared" si="171"/>
        <v>U</v>
      </c>
      <c r="W294" s="42" t="str">
        <f t="shared" si="172"/>
        <v>U</v>
      </c>
      <c r="X294" s="42" t="str">
        <f t="shared" si="173"/>
        <v>U</v>
      </c>
      <c r="Z294">
        <v>51</v>
      </c>
      <c r="AA294" t="str">
        <f t="shared" si="153"/>
        <v>PHI/UTA</v>
      </c>
    </row>
    <row r="295" spans="1:27" ht="17.100000000000001" x14ac:dyDescent="0.45">
      <c r="A295" s="42">
        <v>191203</v>
      </c>
      <c r="B295" s="1">
        <v>0.375</v>
      </c>
      <c r="C295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O295" s="42">
        <f t="shared" si="164"/>
        <v>104</v>
      </c>
      <c r="P295" s="42">
        <f t="shared" si="165"/>
        <v>109</v>
      </c>
      <c r="Q295" s="42" t="str">
        <f t="shared" si="166"/>
        <v>HL</v>
      </c>
      <c r="R295" s="42" t="str">
        <f t="shared" si="167"/>
        <v>HL</v>
      </c>
      <c r="S295" s="42" t="str">
        <f t="shared" si="168"/>
        <v>HW</v>
      </c>
      <c r="T295" s="42" t="str">
        <f t="shared" si="169"/>
        <v>HW</v>
      </c>
      <c r="U295" s="42" t="str">
        <f t="shared" si="170"/>
        <v>U</v>
      </c>
      <c r="V295" s="42" t="str">
        <f t="shared" si="171"/>
        <v>U</v>
      </c>
      <c r="W295" s="42" t="str">
        <f t="shared" si="172"/>
        <v>O</v>
      </c>
      <c r="X295" s="42" t="str">
        <f t="shared" si="173"/>
        <v>O</v>
      </c>
      <c r="Z295">
        <v>54.5</v>
      </c>
      <c r="AA295" t="str">
        <f t="shared" si="153"/>
        <v>CHA/PHO</v>
      </c>
    </row>
    <row r="296" spans="1:27" ht="17.100000000000001" x14ac:dyDescent="0.45">
      <c r="A296" s="42">
        <v>191203</v>
      </c>
      <c r="B296" s="1">
        <v>0.39583333333333331</v>
      </c>
      <c r="C296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O296" s="42">
        <f t="shared" si="164"/>
        <v>104</v>
      </c>
      <c r="P296" s="42">
        <f t="shared" si="165"/>
        <v>79</v>
      </c>
      <c r="Q296" s="42" t="str">
        <f t="shared" si="166"/>
        <v>HL</v>
      </c>
      <c r="R296" s="42" t="str">
        <f t="shared" si="167"/>
        <v>HW</v>
      </c>
      <c r="S296" s="42" t="str">
        <f t="shared" si="168"/>
        <v>HW</v>
      </c>
      <c r="T296" s="42" t="str">
        <f t="shared" si="169"/>
        <v>HW</v>
      </c>
      <c r="U296" s="42" t="str">
        <f t="shared" si="170"/>
        <v>U</v>
      </c>
      <c r="V296" s="42" t="str">
        <f t="shared" si="171"/>
        <v>U</v>
      </c>
      <c r="W296" s="42" t="str">
        <f t="shared" si="172"/>
        <v>U</v>
      </c>
      <c r="X296" s="42" t="str">
        <f t="shared" si="173"/>
        <v>U</v>
      </c>
      <c r="Z296">
        <v>57</v>
      </c>
      <c r="AA296" t="str">
        <f t="shared" si="153"/>
        <v>ATL/GS</v>
      </c>
    </row>
    <row r="297" spans="1:27" ht="17.100000000000001" x14ac:dyDescent="0.45">
      <c r="A297" s="42">
        <v>191203</v>
      </c>
      <c r="B297" s="1">
        <v>0.41666666666666669</v>
      </c>
      <c r="C297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O297" s="42">
        <f t="shared" si="164"/>
        <v>132</v>
      </c>
      <c r="P297" s="42">
        <f t="shared" si="165"/>
        <v>88</v>
      </c>
      <c r="Q297" s="42" t="str">
        <f t="shared" si="166"/>
        <v>HW</v>
      </c>
      <c r="R297" s="42" t="str">
        <f t="shared" si="167"/>
        <v>HW</v>
      </c>
      <c r="S297" s="42" t="str">
        <f t="shared" si="168"/>
        <v>HW</v>
      </c>
      <c r="T297" s="42" t="str">
        <f t="shared" si="169"/>
        <v>HW</v>
      </c>
      <c r="U297" s="42" t="str">
        <f t="shared" si="170"/>
        <v>U</v>
      </c>
      <c r="V297" s="42" t="str">
        <f t="shared" si="171"/>
        <v>O</v>
      </c>
      <c r="W297" s="42" t="str">
        <f t="shared" si="172"/>
        <v>U</v>
      </c>
      <c r="X297" s="42" t="str">
        <f t="shared" si="173"/>
        <v>O</v>
      </c>
      <c r="Z297">
        <v>57</v>
      </c>
      <c r="AA297" t="str">
        <f t="shared" si="153"/>
        <v>MIL/NYK</v>
      </c>
    </row>
    <row r="298" spans="1:27" ht="17.100000000000001" x14ac:dyDescent="0.45">
      <c r="A298" s="42">
        <v>191203</v>
      </c>
      <c r="B298" s="1">
        <v>0.41666666666666669</v>
      </c>
      <c r="C298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O298" s="42">
        <f t="shared" si="164"/>
        <v>104</v>
      </c>
      <c r="P298" s="42">
        <f t="shared" si="165"/>
        <v>117</v>
      </c>
      <c r="Q298" s="42" t="str">
        <f t="shared" si="166"/>
        <v>HL</v>
      </c>
      <c r="R298" s="42" t="str">
        <f t="shared" si="167"/>
        <v>HL</v>
      </c>
      <c r="S298" s="42" t="str">
        <f t="shared" si="168"/>
        <v>HL</v>
      </c>
      <c r="T298" s="42" t="str">
        <f t="shared" si="169"/>
        <v>HL</v>
      </c>
      <c r="U298" s="42" t="str">
        <f t="shared" si="170"/>
        <v>U</v>
      </c>
      <c r="V298" s="42" t="str">
        <f t="shared" si="171"/>
        <v>O</v>
      </c>
      <c r="W298" s="42" t="str">
        <f t="shared" si="172"/>
        <v>U</v>
      </c>
      <c r="X298" s="42" t="str">
        <f t="shared" si="173"/>
        <v>O</v>
      </c>
      <c r="Z298">
        <v>56</v>
      </c>
      <c r="AA298" t="str">
        <f t="shared" si="153"/>
        <v>MEM/IND</v>
      </c>
    </row>
    <row r="299" spans="1:27" ht="17.100000000000001" x14ac:dyDescent="0.45">
      <c r="A299" s="42">
        <v>191203</v>
      </c>
      <c r="B299" s="1">
        <v>0.5</v>
      </c>
      <c r="C299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O299" s="42">
        <f t="shared" si="164"/>
        <v>106</v>
      </c>
      <c r="P299" s="42">
        <f t="shared" si="165"/>
        <v>113</v>
      </c>
      <c r="Q299" s="42" t="str">
        <f t="shared" si="166"/>
        <v>HW</v>
      </c>
      <c r="R299" s="42" t="str">
        <f t="shared" si="167"/>
        <v>HL</v>
      </c>
      <c r="S299" s="42" t="str">
        <f t="shared" si="168"/>
        <v>HW</v>
      </c>
      <c r="T299" s="42" t="str">
        <f t="shared" si="169"/>
        <v>HW</v>
      </c>
      <c r="U299" s="42" t="str">
        <f t="shared" si="170"/>
        <v>U</v>
      </c>
      <c r="V299" s="42" t="str">
        <f t="shared" si="171"/>
        <v>U</v>
      </c>
      <c r="W299" s="42" t="str">
        <f t="shared" si="172"/>
        <v>O</v>
      </c>
      <c r="X299" s="42" t="str">
        <f t="shared" si="173"/>
        <v>O</v>
      </c>
      <c r="Z299">
        <v>54.5</v>
      </c>
      <c r="AA299" t="str">
        <f t="shared" si="153"/>
        <v>SAC/CHI</v>
      </c>
    </row>
    <row r="300" spans="1:27" ht="17.100000000000001" x14ac:dyDescent="0.45">
      <c r="A300" s="42">
        <v>191204</v>
      </c>
      <c r="B300" s="1">
        <v>0.375</v>
      </c>
      <c r="C300" t="s">
        <v>347</v>
      </c>
      <c r="D300" s="11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O300" s="42">
        <f t="shared" ref="O300:O306" si="174">SUM(E300:I300)</f>
        <v>94</v>
      </c>
      <c r="P300" s="42">
        <f t="shared" ref="P300:P306" si="175">SUM(J300:N300)</f>
        <v>127</v>
      </c>
      <c r="Q300" s="42" t="str">
        <f t="shared" ref="Q300:Q306" si="176">IF(E300=J300,"TT",IF(E300&gt;J300,"HW","HL"))</f>
        <v>HL</v>
      </c>
      <c r="R300" s="42" t="str">
        <f t="shared" ref="R300:R306" si="177">IF(F300=K300,"TT",IF(F300&gt;K300,"HW","HL"))</f>
        <v>HL</v>
      </c>
      <c r="S300" s="42" t="str">
        <f t="shared" ref="S300:S306" si="178">IF(G300=L300,"TT",IF(G300&gt;L300,"HW","HL"))</f>
        <v>HL</v>
      </c>
      <c r="T300" s="42" t="str">
        <f t="shared" ref="T300:T306" si="179">IF(H300=M300,"TT",IF(H300&gt;M300,"HW","HL"))</f>
        <v>HL</v>
      </c>
      <c r="U300" s="42" t="str">
        <f t="shared" ref="U300:U306" si="180">IF(SUM(E300,J300)=$Z300,"T",IF(SUM(E300,J300)&gt;$Z300,"O","U"))</f>
        <v>O</v>
      </c>
      <c r="V300" s="42" t="str">
        <f t="shared" ref="V300:V306" si="181">IF(SUM(F300,K300)=$Z300,"T",IF(SUM(F300,K300)&gt;$Z300,"O","U"))</f>
        <v>U</v>
      </c>
      <c r="W300" s="42" t="str">
        <f t="shared" ref="W300:W306" si="182">IF(SUM(G300,L300)=$Z300,"T",IF(SUM(G300,L300)&gt;$Z300,"O","U"))</f>
        <v>O</v>
      </c>
      <c r="X300" s="42" t="str">
        <f t="shared" ref="X300:X306" si="183">IF(SUM(H300,M300)=$Z300,"T",IF(SUM(H300,M300)&gt;$Z300,"O","U"))</f>
        <v>T</v>
      </c>
      <c r="Z300" s="42">
        <v>56</v>
      </c>
      <c r="AA300" t="str">
        <f t="shared" si="153"/>
        <v>CLE/DET</v>
      </c>
    </row>
    <row r="301" spans="1:27" ht="17.100000000000001" x14ac:dyDescent="0.45">
      <c r="A301" s="42">
        <v>191204</v>
      </c>
      <c r="B301" s="1">
        <v>0.375</v>
      </c>
      <c r="C301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O301" s="42">
        <f t="shared" si="174"/>
        <v>120</v>
      </c>
      <c r="P301" s="42">
        <f t="shared" si="175"/>
        <v>127</v>
      </c>
      <c r="Q301" s="42" t="str">
        <f t="shared" si="176"/>
        <v>HL</v>
      </c>
      <c r="R301" s="42" t="str">
        <f t="shared" si="177"/>
        <v>HL</v>
      </c>
      <c r="S301" s="42" t="str">
        <f t="shared" si="178"/>
        <v>HW</v>
      </c>
      <c r="T301" s="42" t="str">
        <f t="shared" si="179"/>
        <v>HW</v>
      </c>
      <c r="U301" s="42" t="str">
        <f t="shared" si="180"/>
        <v>U</v>
      </c>
      <c r="V301" s="42" t="str">
        <f t="shared" si="181"/>
        <v>O</v>
      </c>
      <c r="W301" s="42" t="str">
        <f t="shared" si="182"/>
        <v>O</v>
      </c>
      <c r="X301" s="42" t="str">
        <f t="shared" si="183"/>
        <v>O</v>
      </c>
      <c r="Z301" s="42">
        <v>58.5</v>
      </c>
      <c r="AA301" t="str">
        <f t="shared" si="153"/>
        <v>WAS/ORL</v>
      </c>
    </row>
    <row r="302" spans="1:27" ht="17.100000000000001" x14ac:dyDescent="0.45">
      <c r="A302" s="42">
        <v>191204</v>
      </c>
      <c r="B302" s="1">
        <v>0.39583333333333331</v>
      </c>
      <c r="C30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O302" s="42">
        <f t="shared" si="174"/>
        <v>97</v>
      </c>
      <c r="P302" s="42">
        <f t="shared" si="175"/>
        <v>118</v>
      </c>
      <c r="Q302" s="42" t="str">
        <f t="shared" si="176"/>
        <v>TT</v>
      </c>
      <c r="R302" s="42" t="str">
        <f t="shared" si="177"/>
        <v>HL</v>
      </c>
      <c r="S302" s="42" t="str">
        <f t="shared" si="178"/>
        <v>HL</v>
      </c>
      <c r="T302" s="42" t="str">
        <f t="shared" si="179"/>
        <v>HL</v>
      </c>
      <c r="U302" s="42" t="str">
        <f t="shared" si="180"/>
        <v>U</v>
      </c>
      <c r="V302" s="42" t="str">
        <f t="shared" si="181"/>
        <v>O</v>
      </c>
      <c r="W302" s="42" t="str">
        <f t="shared" si="182"/>
        <v>U</v>
      </c>
      <c r="X302" s="42" t="str">
        <f t="shared" si="183"/>
        <v>U</v>
      </c>
      <c r="Z302" s="42">
        <v>60.5</v>
      </c>
      <c r="AA302" t="str">
        <f t="shared" si="153"/>
        <v>NO/DAL</v>
      </c>
    </row>
    <row r="303" spans="1:27" ht="17.100000000000001" x14ac:dyDescent="0.45">
      <c r="A303" s="42">
        <v>191204</v>
      </c>
      <c r="B303" s="1">
        <v>0.39583333333333331</v>
      </c>
      <c r="C303" s="11" t="s">
        <v>335</v>
      </c>
      <c r="D303" s="11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O303" s="42">
        <f t="shared" si="174"/>
        <v>108</v>
      </c>
      <c r="P303" s="42">
        <f t="shared" si="175"/>
        <v>108</v>
      </c>
      <c r="Q303" s="42" t="str">
        <f t="shared" si="176"/>
        <v>HL</v>
      </c>
      <c r="R303" s="42" t="str">
        <f t="shared" si="177"/>
        <v>HW</v>
      </c>
      <c r="S303" s="42" t="str">
        <f t="shared" si="178"/>
        <v>HW</v>
      </c>
      <c r="T303" s="42" t="str">
        <f t="shared" si="179"/>
        <v>HW</v>
      </c>
      <c r="U303" s="42" t="str">
        <f t="shared" si="180"/>
        <v>T</v>
      </c>
      <c r="V303" s="42" t="str">
        <f t="shared" si="181"/>
        <v>O</v>
      </c>
      <c r="W303" s="42" t="str">
        <f t="shared" si="182"/>
        <v>U</v>
      </c>
      <c r="X303" s="42" t="str">
        <f t="shared" si="183"/>
        <v>U</v>
      </c>
      <c r="Z303" s="42">
        <v>55</v>
      </c>
      <c r="AA303" t="str">
        <f t="shared" si="153"/>
        <v>TOR/MIA</v>
      </c>
    </row>
    <row r="304" spans="1:27" ht="17.100000000000001" x14ac:dyDescent="0.45">
      <c r="A304" s="42">
        <v>191204</v>
      </c>
      <c r="B304" s="1">
        <v>0.4375</v>
      </c>
      <c r="C304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74"/>
        <v>135</v>
      </c>
      <c r="P304" s="42">
        <f t="shared" si="175"/>
        <v>133</v>
      </c>
      <c r="Q304" s="42" t="str">
        <f t="shared" si="176"/>
        <v>HW</v>
      </c>
      <c r="R304" s="42" t="str">
        <f t="shared" si="177"/>
        <v>HL</v>
      </c>
      <c r="S304" s="42" t="str">
        <f t="shared" si="178"/>
        <v>HL</v>
      </c>
      <c r="T304" s="42" t="str">
        <f t="shared" si="179"/>
        <v>HW</v>
      </c>
      <c r="U304" s="42" t="str">
        <f t="shared" si="180"/>
        <v>U</v>
      </c>
      <c r="V304" s="42" t="str">
        <f t="shared" si="181"/>
        <v>O</v>
      </c>
      <c r="W304" s="42" t="str">
        <f t="shared" si="182"/>
        <v>U</v>
      </c>
      <c r="X304" s="42" t="str">
        <f t="shared" si="183"/>
        <v>U</v>
      </c>
      <c r="Z304" s="42">
        <v>60</v>
      </c>
      <c r="AA304" t="str">
        <f t="shared" si="153"/>
        <v>SAS/HOU</v>
      </c>
    </row>
    <row r="305" spans="1:27" ht="17.100000000000001" x14ac:dyDescent="0.45">
      <c r="A305" s="42">
        <v>191204</v>
      </c>
      <c r="B305" s="1">
        <v>0.45833333333333331</v>
      </c>
      <c r="C305" s="13" t="s">
        <v>349</v>
      </c>
      <c r="D305" s="11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O305" s="42">
        <f t="shared" si="174"/>
        <v>96</v>
      </c>
      <c r="P305" s="42">
        <f t="shared" si="175"/>
        <v>105</v>
      </c>
      <c r="Q305" s="42" t="str">
        <f t="shared" si="176"/>
        <v>HL</v>
      </c>
      <c r="R305" s="42" t="str">
        <f t="shared" si="177"/>
        <v>HL</v>
      </c>
      <c r="S305" s="42" t="str">
        <f t="shared" si="178"/>
        <v>HW</v>
      </c>
      <c r="T305" s="42" t="str">
        <f t="shared" si="179"/>
        <v>HL</v>
      </c>
      <c r="U305" s="42" t="str">
        <f t="shared" si="180"/>
        <v>U</v>
      </c>
      <c r="V305" s="42" t="str">
        <f t="shared" si="181"/>
        <v>O</v>
      </c>
      <c r="W305" s="42" t="str">
        <f t="shared" si="182"/>
        <v>U</v>
      </c>
      <c r="X305" s="42" t="str">
        <f t="shared" si="183"/>
        <v>U</v>
      </c>
      <c r="Z305" s="42">
        <v>54</v>
      </c>
      <c r="AA305" t="str">
        <f t="shared" si="153"/>
        <v>DEN/LAL</v>
      </c>
    </row>
    <row r="306" spans="1:27" ht="17.100000000000001" x14ac:dyDescent="0.45">
      <c r="A306" s="42">
        <v>191204</v>
      </c>
      <c r="B306" s="1">
        <v>0.5</v>
      </c>
      <c r="C306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O306" s="42">
        <f t="shared" si="174"/>
        <v>117</v>
      </c>
      <c r="P306" s="42">
        <f t="shared" si="175"/>
        <v>97</v>
      </c>
      <c r="Q306" s="42" t="str">
        <f t="shared" si="176"/>
        <v>HL</v>
      </c>
      <c r="R306" s="42" t="str">
        <f t="shared" si="177"/>
        <v>HW</v>
      </c>
      <c r="S306" s="42" t="str">
        <f t="shared" si="178"/>
        <v>HW</v>
      </c>
      <c r="T306" s="42" t="str">
        <f t="shared" si="179"/>
        <v>HW</v>
      </c>
      <c r="U306" s="42" t="str">
        <f t="shared" si="180"/>
        <v>O</v>
      </c>
      <c r="V306" s="42" t="str">
        <f t="shared" si="181"/>
        <v>O</v>
      </c>
      <c r="W306" s="42" t="str">
        <f t="shared" si="182"/>
        <v>U</v>
      </c>
      <c r="X306" s="42" t="str">
        <f t="shared" si="183"/>
        <v>U</v>
      </c>
      <c r="Z306" s="42">
        <v>58.5</v>
      </c>
      <c r="AA306" t="str">
        <f t="shared" si="153"/>
        <v>LAC/POR</v>
      </c>
    </row>
    <row r="307" spans="1:27" ht="17.100000000000001" x14ac:dyDescent="0.45">
      <c r="A307" s="42">
        <v>191205</v>
      </c>
      <c r="B307" s="1">
        <v>0.375</v>
      </c>
      <c r="C307" s="14" t="s">
        <v>351</v>
      </c>
      <c r="D307" s="43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O307" s="42">
        <f t="shared" ref="O307:O320" si="184">SUM(E307:I307)</f>
        <v>103</v>
      </c>
      <c r="P307" s="42">
        <f t="shared" ref="P307:P320" si="185">SUM(J307:N307)</f>
        <v>127</v>
      </c>
      <c r="Q307" s="42" t="str">
        <f t="shared" ref="Q307:Q320" si="186">IF(E307=J307,"TT",IF(E307&gt;J307,"HW","HL"))</f>
        <v>HW</v>
      </c>
      <c r="R307" s="42" t="str">
        <f t="shared" ref="R307:R320" si="187">IF(F307=K307,"TT",IF(F307&gt;K307,"HW","HL"))</f>
        <v>HL</v>
      </c>
      <c r="S307" s="42" t="str">
        <f t="shared" ref="S307:S320" si="188">IF(G307=L307,"TT",IF(G307&gt;L307,"HW","HL"))</f>
        <v>HL</v>
      </c>
      <c r="T307" s="42" t="str">
        <f t="shared" ref="T307:T320" si="189">IF(H307=M307,"TT",IF(H307&gt;M307,"HW","HL"))</f>
        <v>HL</v>
      </c>
      <c r="U307" s="42" t="str">
        <f t="shared" ref="U307:U320" si="190">IF(SUM(E307,J307)=$Z307,"T",IF(SUM(E307,J307)&gt;$Z307,"O","U"))</f>
        <v>U</v>
      </c>
      <c r="V307" s="42" t="str">
        <f t="shared" ref="V307:V320" si="191">IF(SUM(F307,K307)=$Z307,"T",IF(SUM(F307,K307)&gt;$Z307,"O","U"))</f>
        <v>O</v>
      </c>
      <c r="W307" s="42" t="str">
        <f t="shared" ref="W307:W320" si="192">IF(SUM(G307,L307)=$Z307,"T",IF(SUM(G307,L307)&gt;$Z307,"O","U"))</f>
        <v>O</v>
      </c>
      <c r="X307" s="42" t="str">
        <f t="shared" ref="X307:X320" si="193">IF(SUM(H307,M307)=$Z307,"T",IF(SUM(H307,M307)&gt;$Z307,"O","U"))</f>
        <v>O</v>
      </c>
      <c r="Z307">
        <v>54.5</v>
      </c>
      <c r="AA307" t="str">
        <f t="shared" si="153"/>
        <v>DET/MIL</v>
      </c>
    </row>
    <row r="308" spans="1:27" ht="17.100000000000001" x14ac:dyDescent="0.45">
      <c r="A308" s="42">
        <v>191205</v>
      </c>
      <c r="B308" s="1">
        <v>0.375</v>
      </c>
      <c r="C308" s="11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O308" s="42">
        <f t="shared" si="184"/>
        <v>128</v>
      </c>
      <c r="P308" s="42">
        <f t="shared" si="185"/>
        <v>114</v>
      </c>
      <c r="Q308" s="42" t="str">
        <f t="shared" si="186"/>
        <v>HL</v>
      </c>
      <c r="R308" s="42" t="str">
        <f t="shared" si="187"/>
        <v>HW</v>
      </c>
      <c r="S308" s="42" t="str">
        <f t="shared" si="188"/>
        <v>HW</v>
      </c>
      <c r="T308" s="42" t="str">
        <f t="shared" si="189"/>
        <v>HL</v>
      </c>
      <c r="U308" s="42" t="str">
        <f t="shared" si="190"/>
        <v>O</v>
      </c>
      <c r="V308" s="42" t="str">
        <f t="shared" si="191"/>
        <v>O</v>
      </c>
      <c r="W308" s="42" t="str">
        <f t="shared" si="192"/>
        <v>O</v>
      </c>
      <c r="X308" s="42" t="str">
        <f t="shared" si="193"/>
        <v>O</v>
      </c>
      <c r="Z308">
        <v>52</v>
      </c>
      <c r="AA308" t="str">
        <f t="shared" si="153"/>
        <v>ORL/PHO</v>
      </c>
    </row>
    <row r="309" spans="1:27" ht="17.100000000000001" x14ac:dyDescent="0.45">
      <c r="A309" s="42">
        <v>191205</v>
      </c>
      <c r="B309" s="1">
        <v>0.375</v>
      </c>
      <c r="C309" s="13" t="s">
        <v>355</v>
      </c>
      <c r="D309" s="13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O309" s="42">
        <f t="shared" si="184"/>
        <v>106</v>
      </c>
      <c r="P309" s="42">
        <f t="shared" si="185"/>
        <v>91</v>
      </c>
      <c r="Q309" s="42" t="str">
        <f t="shared" si="186"/>
        <v>HW</v>
      </c>
      <c r="R309" s="42" t="str">
        <f t="shared" si="187"/>
        <v>HL</v>
      </c>
      <c r="S309" s="42" t="str">
        <f t="shared" si="188"/>
        <v>HW</v>
      </c>
      <c r="T309" s="42" t="str">
        <f t="shared" si="189"/>
        <v>HW</v>
      </c>
      <c r="U309" s="42" t="str">
        <f t="shared" si="190"/>
        <v>U</v>
      </c>
      <c r="V309" s="42" t="str">
        <f t="shared" si="191"/>
        <v>O</v>
      </c>
      <c r="W309" s="42" t="str">
        <f t="shared" si="192"/>
        <v>U</v>
      </c>
      <c r="X309" s="42" t="str">
        <f t="shared" si="193"/>
        <v>U</v>
      </c>
      <c r="Z309">
        <v>55</v>
      </c>
      <c r="AA309" t="str">
        <f t="shared" si="153"/>
        <v>CHA/GS</v>
      </c>
    </row>
    <row r="310" spans="1:27" ht="17.100000000000001" x14ac:dyDescent="0.45">
      <c r="A310" s="42">
        <v>191205</v>
      </c>
      <c r="B310" s="1">
        <v>0.39583333333333331</v>
      </c>
      <c r="C310" s="11" t="s">
        <v>357</v>
      </c>
      <c r="D310" s="11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O310" s="42">
        <f t="shared" si="184"/>
        <v>118</v>
      </c>
      <c r="P310" s="42">
        <f t="shared" si="185"/>
        <v>130</v>
      </c>
      <c r="Q310" s="42" t="str">
        <f t="shared" si="186"/>
        <v>HW</v>
      </c>
      <c r="R310" s="42" t="str">
        <f t="shared" si="187"/>
        <v>HL</v>
      </c>
      <c r="S310" s="42" t="str">
        <f t="shared" si="188"/>
        <v>TT</v>
      </c>
      <c r="T310" s="42" t="str">
        <f t="shared" si="189"/>
        <v>HL</v>
      </c>
      <c r="U310" s="42" t="str">
        <f t="shared" si="190"/>
        <v>U</v>
      </c>
      <c r="V310" s="42" t="str">
        <f t="shared" si="191"/>
        <v>U</v>
      </c>
      <c r="W310" s="42" t="str">
        <f t="shared" si="192"/>
        <v>O</v>
      </c>
      <c r="X310" s="42" t="str">
        <f t="shared" si="193"/>
        <v>O</v>
      </c>
      <c r="Z310">
        <v>55.5</v>
      </c>
      <c r="AA310" t="str">
        <f t="shared" si="153"/>
        <v>ATL/BKN</v>
      </c>
    </row>
    <row r="311" spans="1:27" ht="17.100000000000001" x14ac:dyDescent="0.45">
      <c r="A311" s="42">
        <v>191205</v>
      </c>
      <c r="B311" s="1">
        <v>0.39583333333333331</v>
      </c>
      <c r="C311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O311" s="42">
        <f t="shared" si="184"/>
        <v>112</v>
      </c>
      <c r="P311" s="42">
        <f t="shared" si="185"/>
        <v>93</v>
      </c>
      <c r="Q311" s="42" t="str">
        <f t="shared" si="186"/>
        <v>HL</v>
      </c>
      <c r="R311" s="42" t="str">
        <f t="shared" si="187"/>
        <v>HW</v>
      </c>
      <c r="S311" s="42" t="str">
        <f t="shared" si="188"/>
        <v>HW</v>
      </c>
      <c r="T311" s="42" t="str">
        <f t="shared" si="189"/>
        <v>HW</v>
      </c>
      <c r="U311" s="42" t="str">
        <f t="shared" si="190"/>
        <v>U</v>
      </c>
      <c r="V311" s="42" t="str">
        <f t="shared" si="191"/>
        <v>U</v>
      </c>
      <c r="W311" s="42" t="str">
        <f t="shared" si="192"/>
        <v>O</v>
      </c>
      <c r="X311" s="42" t="str">
        <f t="shared" si="193"/>
        <v>T</v>
      </c>
      <c r="Z311">
        <v>54</v>
      </c>
      <c r="AA311" t="str">
        <f t="shared" si="153"/>
        <v>BOS/MIA</v>
      </c>
    </row>
    <row r="312" spans="1:27" ht="17.100000000000001" x14ac:dyDescent="0.45">
      <c r="A312" s="42">
        <v>191205</v>
      </c>
      <c r="B312" s="1">
        <v>0.41666666666666669</v>
      </c>
      <c r="C312" s="5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O312" s="42">
        <f t="shared" si="184"/>
        <v>106</v>
      </c>
      <c r="P312" s="42">
        <f t="shared" si="185"/>
        <v>99</v>
      </c>
      <c r="Q312" s="42" t="str">
        <f t="shared" si="186"/>
        <v>HW</v>
      </c>
      <c r="R312" s="42" t="str">
        <f t="shared" si="187"/>
        <v>HW</v>
      </c>
      <c r="S312" s="42" t="str">
        <f t="shared" si="188"/>
        <v>HL</v>
      </c>
      <c r="T312" s="42" t="str">
        <f t="shared" si="189"/>
        <v>HL</v>
      </c>
      <c r="U312" s="42" t="str">
        <f t="shared" si="190"/>
        <v>U</v>
      </c>
      <c r="V312" s="42" t="str">
        <f t="shared" si="191"/>
        <v>U</v>
      </c>
      <c r="W312" s="42" t="str">
        <f t="shared" si="192"/>
        <v>O</v>
      </c>
      <c r="X312" s="42" t="str">
        <f t="shared" si="193"/>
        <v>O</v>
      </c>
      <c r="Z312">
        <v>54</v>
      </c>
      <c r="AA312" t="str">
        <f t="shared" si="153"/>
        <v>CHI/MEM</v>
      </c>
    </row>
    <row r="313" spans="1:27" ht="17.100000000000001" x14ac:dyDescent="0.45">
      <c r="A313" s="42">
        <v>191205</v>
      </c>
      <c r="B313" s="1">
        <v>0.41666666666666669</v>
      </c>
      <c r="C313" s="11" t="s">
        <v>363</v>
      </c>
      <c r="D313" s="13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O313" s="42">
        <f t="shared" si="184"/>
        <v>100</v>
      </c>
      <c r="P313" s="42">
        <f t="shared" si="185"/>
        <v>107</v>
      </c>
      <c r="Q313" s="42" t="str">
        <f t="shared" si="186"/>
        <v>HW</v>
      </c>
      <c r="R313" s="42" t="str">
        <f t="shared" si="187"/>
        <v>HL</v>
      </c>
      <c r="S313" s="42" t="str">
        <f t="shared" si="188"/>
        <v>HL</v>
      </c>
      <c r="T313" s="42" t="str">
        <f t="shared" si="189"/>
        <v>HL</v>
      </c>
      <c r="U313" s="42" t="str">
        <f t="shared" si="190"/>
        <v>O</v>
      </c>
      <c r="V313" s="42" t="str">
        <f t="shared" si="191"/>
        <v>U</v>
      </c>
      <c r="W313" s="42" t="str">
        <f t="shared" si="192"/>
        <v>O</v>
      </c>
      <c r="X313" s="42" t="str">
        <f t="shared" si="193"/>
        <v>U</v>
      </c>
      <c r="Z313">
        <v>54</v>
      </c>
      <c r="AA313" t="str">
        <f t="shared" si="153"/>
        <v>OKC/IND</v>
      </c>
    </row>
    <row r="314" spans="1:27" ht="17.100000000000001" x14ac:dyDescent="0.45">
      <c r="A314" s="42">
        <v>191205</v>
      </c>
      <c r="B314" s="1">
        <v>0.4375</v>
      </c>
      <c r="C314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O314" s="42">
        <f t="shared" si="184"/>
        <v>121</v>
      </c>
      <c r="P314" s="42">
        <f t="shared" si="185"/>
        <v>114</v>
      </c>
      <c r="Q314" s="42" t="str">
        <f t="shared" si="186"/>
        <v>HW</v>
      </c>
      <c r="R314" s="42" t="str">
        <f t="shared" si="187"/>
        <v>HL</v>
      </c>
      <c r="S314" s="42" t="str">
        <f t="shared" si="188"/>
        <v>HL</v>
      </c>
      <c r="T314" s="42" t="str">
        <f t="shared" si="189"/>
        <v>HW</v>
      </c>
      <c r="U314" s="42" t="str">
        <f t="shared" si="190"/>
        <v>U</v>
      </c>
      <c r="V314" s="42" t="str">
        <f t="shared" si="191"/>
        <v>U</v>
      </c>
      <c r="W314" s="42" t="str">
        <f t="shared" si="192"/>
        <v>U</v>
      </c>
      <c r="X314" s="42" t="str">
        <f t="shared" si="193"/>
        <v>O</v>
      </c>
      <c r="Z314">
        <v>59</v>
      </c>
      <c r="AA314" t="str">
        <f t="shared" si="153"/>
        <v>DAL/MIN</v>
      </c>
    </row>
    <row r="315" spans="1:27" ht="17.100000000000001" x14ac:dyDescent="0.45">
      <c r="A315" s="42">
        <v>191205</v>
      </c>
      <c r="B315" s="1">
        <v>0.45833333333333331</v>
      </c>
      <c r="C315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O315" s="42">
        <f t="shared" si="184"/>
        <v>96</v>
      </c>
      <c r="P315" s="42">
        <f t="shared" si="185"/>
        <v>121</v>
      </c>
      <c r="Q315" s="42" t="str">
        <f t="shared" si="186"/>
        <v>HL</v>
      </c>
      <c r="R315" s="42" t="str">
        <f t="shared" si="187"/>
        <v>HL</v>
      </c>
      <c r="S315" s="42" t="str">
        <f t="shared" si="188"/>
        <v>HL</v>
      </c>
      <c r="T315" s="42" t="str">
        <f t="shared" si="189"/>
        <v>HL</v>
      </c>
      <c r="U315" s="42" t="str">
        <f t="shared" si="190"/>
        <v>O</v>
      </c>
      <c r="V315" s="42" t="str">
        <f t="shared" si="191"/>
        <v>U</v>
      </c>
      <c r="W315" s="42" t="str">
        <f t="shared" si="192"/>
        <v>O</v>
      </c>
      <c r="X315" s="42" t="str">
        <f t="shared" si="193"/>
        <v>U</v>
      </c>
      <c r="Z315">
        <v>54.5</v>
      </c>
      <c r="AA315" t="str">
        <f t="shared" si="153"/>
        <v>UTA/LAL</v>
      </c>
    </row>
    <row r="316" spans="1:27" ht="17.100000000000001" x14ac:dyDescent="0.45">
      <c r="A316" s="42">
        <v>191205</v>
      </c>
      <c r="B316" s="1">
        <v>0.5</v>
      </c>
      <c r="C316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O316" s="42">
        <f t="shared" si="184"/>
        <v>127</v>
      </c>
      <c r="P316" s="42">
        <f t="shared" si="185"/>
        <v>116</v>
      </c>
      <c r="Q316" s="42" t="str">
        <f t="shared" si="186"/>
        <v>HL</v>
      </c>
      <c r="R316" s="42" t="str">
        <f t="shared" si="187"/>
        <v>HW</v>
      </c>
      <c r="S316" s="42" t="str">
        <f t="shared" si="188"/>
        <v>HW</v>
      </c>
      <c r="T316" s="42" t="str">
        <f t="shared" si="189"/>
        <v>HW</v>
      </c>
      <c r="U316" s="42" t="str">
        <f t="shared" si="190"/>
        <v>O</v>
      </c>
      <c r="V316" s="42" t="str">
        <f t="shared" si="191"/>
        <v>O</v>
      </c>
      <c r="W316" s="42" t="str">
        <f t="shared" si="192"/>
        <v>O</v>
      </c>
      <c r="X316" s="42" t="str">
        <f t="shared" si="193"/>
        <v>U</v>
      </c>
      <c r="Z316">
        <v>55.5</v>
      </c>
      <c r="AA316" t="str">
        <f t="shared" si="153"/>
        <v>POR/SAC</v>
      </c>
    </row>
    <row r="317" spans="1:27" ht="17.100000000000001" x14ac:dyDescent="0.45">
      <c r="A317" s="42">
        <v>191206</v>
      </c>
      <c r="B317" s="1">
        <v>0.375</v>
      </c>
      <c r="C317" t="s">
        <v>34</v>
      </c>
      <c r="D317" s="5" t="s">
        <v>371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O317" s="42">
        <f t="shared" si="184"/>
        <v>119</v>
      </c>
      <c r="P317" s="42">
        <f t="shared" si="185"/>
        <v>113</v>
      </c>
      <c r="Q317" s="42" t="str">
        <f t="shared" si="186"/>
        <v>HL</v>
      </c>
      <c r="R317" s="42" t="str">
        <f t="shared" si="187"/>
        <v>HW</v>
      </c>
      <c r="S317" s="42" t="str">
        <f t="shared" si="188"/>
        <v>TT</v>
      </c>
      <c r="T317" s="42" t="str">
        <f t="shared" si="189"/>
        <v>HL</v>
      </c>
      <c r="U317" s="42" t="str">
        <f t="shared" si="190"/>
        <v>O</v>
      </c>
      <c r="V317" s="42" t="str">
        <f t="shared" si="191"/>
        <v>O</v>
      </c>
      <c r="W317" s="42" t="str">
        <f t="shared" si="192"/>
        <v>U</v>
      </c>
      <c r="X317" s="42" t="str">
        <f t="shared" si="193"/>
        <v>O</v>
      </c>
      <c r="Z317">
        <v>57.5</v>
      </c>
      <c r="AA317" t="str">
        <f t="shared" si="153"/>
        <v>WAS/PHI</v>
      </c>
    </row>
    <row r="318" spans="1:27" ht="17.100000000000001" x14ac:dyDescent="0.45">
      <c r="A318" s="42">
        <v>191206</v>
      </c>
      <c r="B318" s="1">
        <v>0.39583333333333331</v>
      </c>
      <c r="C318" t="s">
        <v>372</v>
      </c>
      <c r="D318" s="5" t="s">
        <v>373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O318" s="42">
        <f t="shared" si="184"/>
        <v>92</v>
      </c>
      <c r="P318" s="42">
        <f t="shared" si="185"/>
        <v>129</v>
      </c>
      <c r="Q318" s="42" t="str">
        <f t="shared" si="186"/>
        <v>HL</v>
      </c>
      <c r="R318" s="42" t="str">
        <f t="shared" si="187"/>
        <v>HL</v>
      </c>
      <c r="S318" s="42" t="str">
        <f t="shared" si="188"/>
        <v>HL</v>
      </c>
      <c r="T318" s="42" t="str">
        <f t="shared" si="189"/>
        <v>HL</v>
      </c>
      <c r="U318" s="42" t="str">
        <f t="shared" si="190"/>
        <v>O</v>
      </c>
      <c r="V318" s="42" t="str">
        <f t="shared" si="191"/>
        <v>U</v>
      </c>
      <c r="W318" s="42" t="str">
        <f t="shared" si="192"/>
        <v>O</v>
      </c>
      <c r="X318" s="42" t="str">
        <f t="shared" si="193"/>
        <v>U</v>
      </c>
      <c r="Z318">
        <v>52.5</v>
      </c>
      <c r="AA318" t="str">
        <f t="shared" si="153"/>
        <v>NYK/DEN</v>
      </c>
    </row>
    <row r="319" spans="1:27" ht="17.100000000000001" x14ac:dyDescent="0.45">
      <c r="A319" s="42">
        <v>191206</v>
      </c>
      <c r="B319" s="1">
        <v>0.39583333333333331</v>
      </c>
      <c r="C319" t="s">
        <v>374</v>
      </c>
      <c r="D319" s="5" t="s">
        <v>375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O319" s="42">
        <f t="shared" si="184"/>
        <v>109</v>
      </c>
      <c r="P319" s="42">
        <f t="shared" si="185"/>
        <v>119</v>
      </c>
      <c r="Q319" s="42" t="str">
        <f t="shared" si="186"/>
        <v>HL</v>
      </c>
      <c r="R319" s="42" t="str">
        <f t="shared" si="187"/>
        <v>HL</v>
      </c>
      <c r="S319" s="42" t="str">
        <f t="shared" si="188"/>
        <v>HW</v>
      </c>
      <c r="T319" s="42" t="str">
        <f t="shared" si="189"/>
        <v>HL</v>
      </c>
      <c r="U319" s="42" t="str">
        <f t="shared" si="190"/>
        <v>O</v>
      </c>
      <c r="V319" s="42" t="str">
        <f t="shared" si="191"/>
        <v>U</v>
      </c>
      <c r="W319" s="42" t="str">
        <f t="shared" si="192"/>
        <v>O</v>
      </c>
      <c r="X319" s="42" t="str">
        <f t="shared" si="193"/>
        <v>U</v>
      </c>
      <c r="Z319">
        <v>59</v>
      </c>
      <c r="AA319" t="str">
        <f t="shared" si="153"/>
        <v>TOR/HOU</v>
      </c>
    </row>
    <row r="320" spans="1:27" ht="17.100000000000001" x14ac:dyDescent="0.45">
      <c r="A320" s="42">
        <v>191206</v>
      </c>
      <c r="B320" s="1">
        <v>0.41666666666666669</v>
      </c>
      <c r="C320" t="s">
        <v>376</v>
      </c>
      <c r="D320" s="5" t="s">
        <v>377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84"/>
        <v>132</v>
      </c>
      <c r="P320" s="42">
        <f t="shared" si="185"/>
        <v>139</v>
      </c>
      <c r="Q320" s="42" t="str">
        <f t="shared" si="186"/>
        <v>HW</v>
      </c>
      <c r="R320" s="42" t="str">
        <f t="shared" si="187"/>
        <v>HL</v>
      </c>
      <c r="S320" s="42" t="str">
        <f t="shared" si="188"/>
        <v>HL</v>
      </c>
      <c r="T320" s="42" t="str">
        <f t="shared" si="189"/>
        <v>HW</v>
      </c>
      <c r="U320" s="42" t="str">
        <f t="shared" si="190"/>
        <v>O</v>
      </c>
      <c r="V320" s="42" t="str">
        <f t="shared" si="191"/>
        <v>O</v>
      </c>
      <c r="W320" s="42" t="str">
        <f t="shared" si="192"/>
        <v>U</v>
      </c>
      <c r="X320" s="42" t="str">
        <f t="shared" si="193"/>
        <v>U</v>
      </c>
      <c r="Z320">
        <v>57.5</v>
      </c>
      <c r="AA320" t="str">
        <f t="shared" si="153"/>
        <v>NO/PHO</v>
      </c>
    </row>
    <row r="321" spans="1:27" ht="17.100000000000001" x14ac:dyDescent="0.45">
      <c r="A321" s="42">
        <v>191207</v>
      </c>
      <c r="B321" s="1">
        <v>0.375</v>
      </c>
      <c r="C321" t="s">
        <v>378</v>
      </c>
      <c r="D321" s="5" t="s">
        <v>379</v>
      </c>
      <c r="E321">
        <v>25</v>
      </c>
      <c r="F321">
        <v>22</v>
      </c>
      <c r="G321">
        <v>23</v>
      </c>
      <c r="H321">
        <v>17</v>
      </c>
      <c r="J321">
        <v>24</v>
      </c>
      <c r="K321">
        <v>28</v>
      </c>
      <c r="L321">
        <v>16</v>
      </c>
      <c r="M321">
        <v>25</v>
      </c>
      <c r="N321" s="2" t="s">
        <v>427</v>
      </c>
      <c r="O321" s="42">
        <f t="shared" ref="O321:O384" si="194">SUM(E321:I321)</f>
        <v>87</v>
      </c>
      <c r="P321" s="42">
        <f t="shared" ref="P321:P384" si="195">SUM(J321:N321)</f>
        <v>93</v>
      </c>
      <c r="Q321" s="42" t="str">
        <f t="shared" ref="Q321:Q384" si="196">IF(E321=J321,"TT",IF(E321&gt;J321,"HW","HL"))</f>
        <v>HW</v>
      </c>
      <c r="R321" s="42" t="str">
        <f t="shared" ref="R321:R384" si="197">IF(F321=K321,"TT",IF(F321&gt;K321,"HW","HL"))</f>
        <v>HL</v>
      </c>
      <c r="S321" s="42" t="str">
        <f t="shared" ref="S321:S384" si="198">IF(G321=L321,"TT",IF(G321&gt;L321,"HW","HL"))</f>
        <v>HW</v>
      </c>
      <c r="T321" s="42" t="str">
        <f t="shared" ref="T321:T384" si="199">IF(H321=M321,"TT",IF(H321&gt;M321,"HW","HL"))</f>
        <v>HL</v>
      </c>
      <c r="U321" s="42" t="str">
        <f t="shared" ref="U321:U384" si="200">IF(SUM(E321,J321)=$Z321,"T",IF(SUM(E321,J321)&gt;$Z321,"O","U"))</f>
        <v>U</v>
      </c>
      <c r="V321" s="42" t="str">
        <f t="shared" ref="V321:V384" si="201">IF(SUM(F321,K321)=$Z321,"T",IF(SUM(F321,K321)&gt;$Z321,"O","U"))</f>
        <v>U</v>
      </c>
      <c r="W321" s="42" t="str">
        <f t="shared" ref="W321:W384" si="202">IF(SUM(G321,L321)=$Z321,"T",IF(SUM(G321,L321)&gt;$Z321,"O","U"))</f>
        <v>U</v>
      </c>
      <c r="X321" s="42" t="str">
        <f t="shared" ref="X321:X384" si="203">IF(SUM(H321,M321)=$Z321,"T",IF(SUM(H321,M321)&gt;$Z321,"O","U"))</f>
        <v>U</v>
      </c>
      <c r="Z321">
        <v>54</v>
      </c>
      <c r="AA321" t="str">
        <f t="shared" si="153"/>
        <v>CLE/ORL</v>
      </c>
    </row>
    <row r="322" spans="1:27" ht="17.100000000000001" x14ac:dyDescent="0.45">
      <c r="A322" s="42">
        <v>191207</v>
      </c>
      <c r="B322" s="1">
        <v>0.375</v>
      </c>
      <c r="C322" t="s">
        <v>380</v>
      </c>
      <c r="D322" s="5" t="s">
        <v>381</v>
      </c>
      <c r="E322">
        <v>32</v>
      </c>
      <c r="F322">
        <v>23</v>
      </c>
      <c r="G322">
        <v>16</v>
      </c>
      <c r="H322">
        <v>37</v>
      </c>
      <c r="J322">
        <v>19</v>
      </c>
      <c r="K322">
        <v>25</v>
      </c>
      <c r="L322">
        <v>31</v>
      </c>
      <c r="M322">
        <v>26</v>
      </c>
      <c r="N322" s="2" t="s">
        <v>427</v>
      </c>
      <c r="O322" s="42">
        <f t="shared" si="194"/>
        <v>108</v>
      </c>
      <c r="P322" s="42">
        <f t="shared" si="195"/>
        <v>101</v>
      </c>
      <c r="Q322" s="42" t="str">
        <f t="shared" si="196"/>
        <v>HW</v>
      </c>
      <c r="R322" s="42" t="str">
        <f t="shared" si="197"/>
        <v>HL</v>
      </c>
      <c r="S322" s="42" t="str">
        <f t="shared" si="198"/>
        <v>HL</v>
      </c>
      <c r="T322" s="42" t="str">
        <f t="shared" si="199"/>
        <v>HW</v>
      </c>
      <c r="U322" s="42" t="str">
        <f t="shared" si="200"/>
        <v>U</v>
      </c>
      <c r="V322" s="42" t="str">
        <f t="shared" si="201"/>
        <v>U</v>
      </c>
      <c r="W322" s="42" t="str">
        <f t="shared" si="202"/>
        <v>U</v>
      </c>
      <c r="X322" s="42" t="str">
        <f t="shared" si="203"/>
        <v>O</v>
      </c>
      <c r="Z322">
        <v>54.5</v>
      </c>
      <c r="AA322" t="str">
        <f t="shared" si="153"/>
        <v>DET/IND</v>
      </c>
    </row>
    <row r="323" spans="1:27" ht="17.100000000000001" x14ac:dyDescent="0.45">
      <c r="A323" s="42">
        <v>191207</v>
      </c>
      <c r="B323" s="1">
        <v>0.375</v>
      </c>
      <c r="C323" t="s">
        <v>382</v>
      </c>
      <c r="D323" s="5" t="s">
        <v>383</v>
      </c>
      <c r="E323">
        <v>32</v>
      </c>
      <c r="F323">
        <v>25</v>
      </c>
      <c r="G323">
        <v>27</v>
      </c>
      <c r="H323">
        <v>20</v>
      </c>
      <c r="J323">
        <v>29</v>
      </c>
      <c r="K323">
        <v>26</v>
      </c>
      <c r="L323">
        <v>31</v>
      </c>
      <c r="M323">
        <v>25</v>
      </c>
      <c r="N323" s="2" t="s">
        <v>427</v>
      </c>
      <c r="O323" s="42">
        <f t="shared" si="194"/>
        <v>104</v>
      </c>
      <c r="P323" s="42">
        <f t="shared" si="195"/>
        <v>111</v>
      </c>
      <c r="Q323" s="42" t="str">
        <f t="shared" si="196"/>
        <v>HW</v>
      </c>
      <c r="R323" s="42" t="str">
        <f t="shared" si="197"/>
        <v>HL</v>
      </c>
      <c r="S323" s="42" t="str">
        <f t="shared" si="198"/>
        <v>HL</v>
      </c>
      <c r="T323" s="42" t="str">
        <f t="shared" si="199"/>
        <v>HL</v>
      </c>
      <c r="U323" s="42" t="str">
        <f t="shared" si="200"/>
        <v>O</v>
      </c>
      <c r="V323" s="42" t="str">
        <f t="shared" si="201"/>
        <v>U</v>
      </c>
      <c r="W323" s="42" t="str">
        <f t="shared" si="202"/>
        <v>O</v>
      </c>
      <c r="X323" s="42" t="str">
        <f t="shared" si="203"/>
        <v>U</v>
      </c>
      <c r="Z323">
        <v>53.5</v>
      </c>
      <c r="AA323" t="str">
        <f t="shared" si="153"/>
        <v>CHA/BKN</v>
      </c>
    </row>
    <row r="324" spans="1:27" ht="17.100000000000001" x14ac:dyDescent="0.45">
      <c r="A324" s="42">
        <v>191207</v>
      </c>
      <c r="B324" s="1">
        <v>0.41666666666666669</v>
      </c>
      <c r="C324" t="s">
        <v>384</v>
      </c>
      <c r="D324" s="5" t="s">
        <v>373</v>
      </c>
      <c r="E324">
        <v>33</v>
      </c>
      <c r="F324">
        <v>20</v>
      </c>
      <c r="G324">
        <v>32</v>
      </c>
      <c r="H324">
        <v>23</v>
      </c>
      <c r="J324">
        <v>26</v>
      </c>
      <c r="K324">
        <v>19</v>
      </c>
      <c r="L324">
        <v>19</v>
      </c>
      <c r="M324">
        <v>31</v>
      </c>
      <c r="N324" s="2" t="s">
        <v>427</v>
      </c>
      <c r="O324" s="42">
        <f t="shared" si="194"/>
        <v>108</v>
      </c>
      <c r="P324" s="42">
        <f t="shared" si="195"/>
        <v>95</v>
      </c>
      <c r="Q324" s="42" t="str">
        <f t="shared" si="196"/>
        <v>HW</v>
      </c>
      <c r="R324" s="42" t="str">
        <f t="shared" si="197"/>
        <v>HW</v>
      </c>
      <c r="S324" s="42" t="str">
        <f t="shared" si="198"/>
        <v>HW</v>
      </c>
      <c r="T324" s="42" t="str">
        <f t="shared" si="199"/>
        <v>HL</v>
      </c>
      <c r="U324" s="42" t="str">
        <f t="shared" si="200"/>
        <v>O</v>
      </c>
      <c r="V324" s="42" t="str">
        <f t="shared" si="201"/>
        <v>U</v>
      </c>
      <c r="W324" s="42" t="str">
        <f t="shared" si="202"/>
        <v>U</v>
      </c>
      <c r="X324" s="42" t="str">
        <f t="shared" si="203"/>
        <v>O</v>
      </c>
      <c r="Z324">
        <v>52.5</v>
      </c>
      <c r="AA324" t="str">
        <f t="shared" si="153"/>
        <v>BOS/DEN</v>
      </c>
    </row>
    <row r="325" spans="1:27" ht="17.100000000000001" x14ac:dyDescent="0.45">
      <c r="A325" s="42">
        <v>191207</v>
      </c>
      <c r="B325" s="1">
        <v>0.41666666666666669</v>
      </c>
      <c r="C325" t="s">
        <v>385</v>
      </c>
      <c r="D325" s="5" t="s">
        <v>386</v>
      </c>
      <c r="E325">
        <v>28</v>
      </c>
      <c r="F325">
        <v>23</v>
      </c>
      <c r="G325">
        <v>32</v>
      </c>
      <c r="H325">
        <v>15</v>
      </c>
      <c r="J325">
        <v>23</v>
      </c>
      <c r="K325">
        <v>27</v>
      </c>
      <c r="L325">
        <v>27</v>
      </c>
      <c r="M325">
        <v>23</v>
      </c>
      <c r="N325" s="2" t="s">
        <v>427</v>
      </c>
      <c r="O325" s="42">
        <f t="shared" si="194"/>
        <v>98</v>
      </c>
      <c r="P325" s="42">
        <f t="shared" si="195"/>
        <v>100</v>
      </c>
      <c r="Q325" s="42" t="str">
        <f t="shared" si="196"/>
        <v>HW</v>
      </c>
      <c r="R325" s="42" t="str">
        <f t="shared" si="197"/>
        <v>HL</v>
      </c>
      <c r="S325" s="42" t="str">
        <f t="shared" si="198"/>
        <v>HW</v>
      </c>
      <c r="T325" s="42" t="str">
        <f t="shared" si="199"/>
        <v>HL</v>
      </c>
      <c r="U325" s="42" t="str">
        <f t="shared" si="200"/>
        <v>U</v>
      </c>
      <c r="V325" s="42" t="str">
        <f t="shared" si="201"/>
        <v>U</v>
      </c>
      <c r="W325" s="42" t="str">
        <f t="shared" si="202"/>
        <v>O</v>
      </c>
      <c r="X325" s="42" t="str">
        <f t="shared" si="203"/>
        <v>U</v>
      </c>
      <c r="Z325">
        <v>54.5</v>
      </c>
      <c r="AA325" t="str">
        <f t="shared" si="153"/>
        <v>CHI/GS</v>
      </c>
    </row>
    <row r="326" spans="1:27" ht="17.100000000000001" x14ac:dyDescent="0.45">
      <c r="A326" s="42">
        <v>191207</v>
      </c>
      <c r="B326" s="1">
        <v>0.41666666666666669</v>
      </c>
      <c r="C326" t="s">
        <v>387</v>
      </c>
      <c r="D326" s="5" t="s">
        <v>388</v>
      </c>
      <c r="E326">
        <v>27</v>
      </c>
      <c r="F326">
        <v>34</v>
      </c>
      <c r="G326">
        <v>25</v>
      </c>
      <c r="H326">
        <v>26</v>
      </c>
      <c r="J326">
        <v>28</v>
      </c>
      <c r="K326">
        <v>37</v>
      </c>
      <c r="L326">
        <v>20</v>
      </c>
      <c r="M326">
        <v>18</v>
      </c>
      <c r="N326" s="2" t="s">
        <v>427</v>
      </c>
      <c r="O326" s="42">
        <f t="shared" si="194"/>
        <v>112</v>
      </c>
      <c r="P326" s="42">
        <f t="shared" si="195"/>
        <v>103</v>
      </c>
      <c r="Q326" s="42" t="str">
        <f t="shared" si="196"/>
        <v>HL</v>
      </c>
      <c r="R326" s="42" t="str">
        <f t="shared" si="197"/>
        <v>HL</v>
      </c>
      <c r="S326" s="42" t="str">
        <f t="shared" si="198"/>
        <v>HW</v>
      </c>
      <c r="T326" s="42" t="str">
        <f t="shared" si="199"/>
        <v>HW</v>
      </c>
      <c r="U326" s="42" t="str">
        <f t="shared" si="200"/>
        <v>U</v>
      </c>
      <c r="V326" s="42" t="str">
        <f t="shared" si="201"/>
        <v>O</v>
      </c>
      <c r="W326" s="42" t="str">
        <f t="shared" si="202"/>
        <v>U</v>
      </c>
      <c r="X326" s="42" t="str">
        <f t="shared" si="203"/>
        <v>U</v>
      </c>
      <c r="Z326">
        <v>59.5</v>
      </c>
      <c r="AA326" t="str">
        <f t="shared" si="153"/>
        <v>MIA/WAS</v>
      </c>
    </row>
    <row r="327" spans="1:27" ht="17.100000000000001" x14ac:dyDescent="0.45">
      <c r="A327" s="42">
        <v>191207</v>
      </c>
      <c r="B327" s="1">
        <v>0.41666666666666669</v>
      </c>
      <c r="C327" t="s">
        <v>389</v>
      </c>
      <c r="D327" s="5" t="s">
        <v>390</v>
      </c>
      <c r="E327">
        <v>30</v>
      </c>
      <c r="F327">
        <v>23</v>
      </c>
      <c r="G327">
        <v>41</v>
      </c>
      <c r="H327">
        <v>28</v>
      </c>
      <c r="I327">
        <v>17</v>
      </c>
      <c r="J327">
        <v>27</v>
      </c>
      <c r="K327">
        <v>31</v>
      </c>
      <c r="L327">
        <v>39</v>
      </c>
      <c r="M327">
        <v>25</v>
      </c>
      <c r="N327" s="2">
        <v>5</v>
      </c>
      <c r="O327" s="42">
        <f t="shared" si="194"/>
        <v>139</v>
      </c>
      <c r="P327" s="42">
        <f t="shared" si="195"/>
        <v>127</v>
      </c>
      <c r="Q327" s="42" t="str">
        <f t="shared" si="196"/>
        <v>HW</v>
      </c>
      <c r="R327" s="42" t="str">
        <f t="shared" si="197"/>
        <v>HL</v>
      </c>
      <c r="S327" s="42" t="str">
        <f t="shared" si="198"/>
        <v>HW</v>
      </c>
      <c r="T327" s="42" t="str">
        <f t="shared" si="199"/>
        <v>HW</v>
      </c>
      <c r="U327" s="42" t="str">
        <f t="shared" si="200"/>
        <v>O</v>
      </c>
      <c r="V327" s="42" t="str">
        <f t="shared" si="201"/>
        <v>U</v>
      </c>
      <c r="W327" s="42" t="str">
        <f t="shared" si="202"/>
        <v>O</v>
      </c>
      <c r="X327" s="42" t="str">
        <f t="shared" si="203"/>
        <v>U</v>
      </c>
      <c r="Z327">
        <v>56.5</v>
      </c>
      <c r="AA327" t="str">
        <f t="shared" si="153"/>
        <v>OKC/MIN</v>
      </c>
    </row>
    <row r="328" spans="1:27" ht="17.100000000000001" x14ac:dyDescent="0.45">
      <c r="A328" s="42">
        <v>191207</v>
      </c>
      <c r="B328" s="1">
        <v>0.4375</v>
      </c>
      <c r="C328" t="s">
        <v>391</v>
      </c>
      <c r="D328" s="5" t="s">
        <v>392</v>
      </c>
      <c r="E328">
        <v>30</v>
      </c>
      <c r="F328">
        <v>22</v>
      </c>
      <c r="G328">
        <v>35</v>
      </c>
      <c r="H328">
        <v>32</v>
      </c>
      <c r="J328">
        <v>15</v>
      </c>
      <c r="K328">
        <v>28</v>
      </c>
      <c r="L328">
        <v>19</v>
      </c>
      <c r="M328">
        <v>29</v>
      </c>
      <c r="N328" s="2" t="s">
        <v>427</v>
      </c>
      <c r="O328" s="42">
        <f t="shared" si="194"/>
        <v>119</v>
      </c>
      <c r="P328" s="42">
        <f t="shared" si="195"/>
        <v>91</v>
      </c>
      <c r="Q328" s="42" t="str">
        <f t="shared" si="196"/>
        <v>HW</v>
      </c>
      <c r="R328" s="42" t="str">
        <f t="shared" si="197"/>
        <v>HL</v>
      </c>
      <c r="S328" s="42" t="str">
        <f t="shared" si="198"/>
        <v>HW</v>
      </c>
      <c r="T328" s="42" t="str">
        <f t="shared" si="199"/>
        <v>HW</v>
      </c>
      <c r="U328" s="42" t="str">
        <f t="shared" si="200"/>
        <v>U</v>
      </c>
      <c r="V328" s="42" t="str">
        <f t="shared" si="201"/>
        <v>U</v>
      </c>
      <c r="W328" s="42" t="str">
        <f t="shared" si="202"/>
        <v>U</v>
      </c>
      <c r="X328" s="42" t="str">
        <f t="shared" si="203"/>
        <v>O</v>
      </c>
      <c r="Z328">
        <v>60</v>
      </c>
      <c r="AA328" t="str">
        <f t="shared" si="153"/>
        <v>MIL/LAC</v>
      </c>
    </row>
    <row r="329" spans="1:27" ht="17.100000000000001" x14ac:dyDescent="0.45">
      <c r="A329" s="42">
        <v>191207</v>
      </c>
      <c r="B329" s="1">
        <v>0.4375</v>
      </c>
      <c r="C329" t="s">
        <v>393</v>
      </c>
      <c r="D329" s="5" t="s">
        <v>394</v>
      </c>
      <c r="E329">
        <v>21</v>
      </c>
      <c r="F329">
        <v>31</v>
      </c>
      <c r="G329">
        <v>17</v>
      </c>
      <c r="H329">
        <v>31</v>
      </c>
      <c r="I329">
        <v>5</v>
      </c>
      <c r="J329">
        <v>17</v>
      </c>
      <c r="K329">
        <v>25</v>
      </c>
      <c r="L329">
        <v>30</v>
      </c>
      <c r="M329">
        <v>28</v>
      </c>
      <c r="N329" s="2">
        <v>4</v>
      </c>
      <c r="O329" s="42">
        <f t="shared" si="194"/>
        <v>105</v>
      </c>
      <c r="P329" s="42">
        <f t="shared" si="195"/>
        <v>104</v>
      </c>
      <c r="Q329" s="42" t="str">
        <f t="shared" si="196"/>
        <v>HW</v>
      </c>
      <c r="R329" s="42" t="str">
        <f t="shared" si="197"/>
        <v>HW</v>
      </c>
      <c r="S329" s="42" t="str">
        <f t="shared" si="198"/>
        <v>HL</v>
      </c>
      <c r="T329" s="42" t="str">
        <f t="shared" si="199"/>
        <v>HW</v>
      </c>
      <c r="U329" s="42" t="str">
        <f t="shared" si="200"/>
        <v>U</v>
      </c>
      <c r="V329" s="42" t="str">
        <f t="shared" si="201"/>
        <v>O</v>
      </c>
      <c r="W329" s="42" t="str">
        <f t="shared" si="202"/>
        <v>U</v>
      </c>
      <c r="X329" s="42" t="str">
        <f t="shared" si="203"/>
        <v>O</v>
      </c>
      <c r="Z329">
        <v>55.5</v>
      </c>
      <c r="AA329" t="str">
        <f t="shared" si="153"/>
        <v>SAS/SAC</v>
      </c>
    </row>
    <row r="330" spans="1:27" ht="17.100000000000001" x14ac:dyDescent="0.45">
      <c r="A330" s="42">
        <v>191207</v>
      </c>
      <c r="B330" s="1">
        <v>0.52083333333333337</v>
      </c>
      <c r="C330" t="s">
        <v>395</v>
      </c>
      <c r="D330" s="5" t="s">
        <v>396</v>
      </c>
      <c r="E330">
        <v>34</v>
      </c>
      <c r="F330">
        <v>28</v>
      </c>
      <c r="G330">
        <v>31</v>
      </c>
      <c r="H330">
        <v>20</v>
      </c>
      <c r="J330">
        <v>39</v>
      </c>
      <c r="K330">
        <v>38</v>
      </c>
      <c r="L330">
        <v>33</v>
      </c>
      <c r="M330">
        <v>26</v>
      </c>
      <c r="N330" s="2" t="s">
        <v>427</v>
      </c>
      <c r="O330" s="42">
        <f t="shared" si="194"/>
        <v>113</v>
      </c>
      <c r="P330" s="42">
        <f t="shared" si="195"/>
        <v>136</v>
      </c>
      <c r="Q330" s="42" t="str">
        <f t="shared" si="196"/>
        <v>HL</v>
      </c>
      <c r="R330" s="42" t="str">
        <f t="shared" si="197"/>
        <v>HL</v>
      </c>
      <c r="S330" s="42" t="str">
        <f t="shared" si="198"/>
        <v>HL</v>
      </c>
      <c r="T330" s="42" t="str">
        <f t="shared" si="199"/>
        <v>HL</v>
      </c>
      <c r="U330" s="42" t="str">
        <f t="shared" si="200"/>
        <v>O</v>
      </c>
      <c r="V330" s="42" t="str">
        <f t="shared" si="201"/>
        <v>O</v>
      </c>
      <c r="W330" s="42" t="str">
        <f t="shared" si="202"/>
        <v>O</v>
      </c>
      <c r="X330" s="42" t="str">
        <f t="shared" si="203"/>
        <v>U</v>
      </c>
      <c r="Z330">
        <v>58</v>
      </c>
      <c r="AA330" t="str">
        <f t="shared" si="153"/>
        <v>POR/LAL</v>
      </c>
    </row>
    <row r="331" spans="1:27" ht="17.100000000000001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>
        <v>31</v>
      </c>
      <c r="F331">
        <v>33</v>
      </c>
      <c r="G331">
        <v>40</v>
      </c>
      <c r="H331">
        <v>26</v>
      </c>
      <c r="J331">
        <v>28</v>
      </c>
      <c r="K331">
        <v>24</v>
      </c>
      <c r="L331">
        <v>14</v>
      </c>
      <c r="M331">
        <v>18</v>
      </c>
      <c r="N331" s="2" t="s">
        <v>427</v>
      </c>
      <c r="O331" s="42">
        <f t="shared" si="194"/>
        <v>130</v>
      </c>
      <c r="P331" s="42">
        <f t="shared" si="195"/>
        <v>84</v>
      </c>
      <c r="Q331" s="42" t="str">
        <f t="shared" si="196"/>
        <v>HW</v>
      </c>
      <c r="R331" s="42" t="str">
        <f t="shared" si="197"/>
        <v>HW</v>
      </c>
      <c r="S331" s="42" t="str">
        <f t="shared" si="198"/>
        <v>HW</v>
      </c>
      <c r="T331" s="42" t="str">
        <f t="shared" si="199"/>
        <v>HW</v>
      </c>
      <c r="U331" s="42" t="str">
        <f t="shared" si="200"/>
        <v>U</v>
      </c>
      <c r="V331" s="42" t="str">
        <f t="shared" si="201"/>
        <v>U</v>
      </c>
      <c r="W331" s="42" t="str">
        <f t="shared" si="202"/>
        <v>U</v>
      </c>
      <c r="X331" s="42" t="str">
        <f t="shared" si="203"/>
        <v>U</v>
      </c>
      <c r="Z331">
        <v>59.5</v>
      </c>
      <c r="AA331" s="42" t="str">
        <f t="shared" si="153"/>
        <v>DAL/NO</v>
      </c>
    </row>
    <row r="332" spans="1:27" ht="17.100000000000001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>
        <v>27</v>
      </c>
      <c r="F332">
        <v>33</v>
      </c>
      <c r="G332">
        <v>21</v>
      </c>
      <c r="H332">
        <v>22</v>
      </c>
      <c r="J332">
        <v>32</v>
      </c>
      <c r="K332">
        <v>34</v>
      </c>
      <c r="L332">
        <v>23</v>
      </c>
      <c r="M332">
        <v>15</v>
      </c>
      <c r="N332" s="2" t="s">
        <v>427</v>
      </c>
      <c r="O332" s="42">
        <f t="shared" si="194"/>
        <v>103</v>
      </c>
      <c r="P332" s="42">
        <f t="shared" si="195"/>
        <v>104</v>
      </c>
      <c r="Q332" s="42" t="str">
        <f t="shared" si="196"/>
        <v>HL</v>
      </c>
      <c r="R332" s="42" t="str">
        <f t="shared" si="197"/>
        <v>HL</v>
      </c>
      <c r="S332" s="42" t="str">
        <f t="shared" si="198"/>
        <v>HL</v>
      </c>
      <c r="T332" s="42" t="str">
        <f t="shared" si="199"/>
        <v>HW</v>
      </c>
      <c r="U332" s="42" t="str">
        <f t="shared" si="200"/>
        <v>O</v>
      </c>
      <c r="V332" s="42" t="str">
        <f t="shared" si="201"/>
        <v>O</v>
      </c>
      <c r="W332" s="42" t="str">
        <f t="shared" si="202"/>
        <v>U</v>
      </c>
      <c r="X332" s="42" t="str">
        <f t="shared" si="203"/>
        <v>U</v>
      </c>
      <c r="Z332">
        <v>54</v>
      </c>
      <c r="AA332" s="42" t="str">
        <f t="shared" ref="AA332:AA395" si="204">C332&amp;"/"&amp;D332</f>
        <v>NYK/IND</v>
      </c>
    </row>
    <row r="333" spans="1:27" ht="17.100000000000001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>
        <v>36</v>
      </c>
      <c r="F333">
        <v>41</v>
      </c>
      <c r="G333">
        <v>31</v>
      </c>
      <c r="H333">
        <v>33</v>
      </c>
      <c r="J333">
        <v>18</v>
      </c>
      <c r="K333">
        <v>18</v>
      </c>
      <c r="L333">
        <v>26</v>
      </c>
      <c r="M333">
        <v>32</v>
      </c>
      <c r="N333" s="2" t="s">
        <v>427</v>
      </c>
      <c r="O333" s="42">
        <f t="shared" si="194"/>
        <v>141</v>
      </c>
      <c r="P333" s="42">
        <f t="shared" si="195"/>
        <v>94</v>
      </c>
      <c r="Q333" s="42" t="str">
        <f t="shared" si="196"/>
        <v>HW</v>
      </c>
      <c r="R333" s="42" t="str">
        <f t="shared" si="197"/>
        <v>HW</v>
      </c>
      <c r="S333" s="42" t="str">
        <f t="shared" si="198"/>
        <v>HW</v>
      </c>
      <c r="T333" s="42" t="str">
        <f t="shared" si="199"/>
        <v>HW</v>
      </c>
      <c r="U333" s="42" t="str">
        <f t="shared" si="200"/>
        <v>O</v>
      </c>
      <c r="V333" s="42" t="str">
        <f t="shared" si="201"/>
        <v>O</v>
      </c>
      <c r="W333" s="42" t="str">
        <f t="shared" si="202"/>
        <v>O</v>
      </c>
      <c r="X333" s="42" t="str">
        <f t="shared" si="203"/>
        <v>O</v>
      </c>
      <c r="Z333">
        <v>53</v>
      </c>
      <c r="AA333" s="42" t="str">
        <f t="shared" si="204"/>
        <v>PHI/CLE</v>
      </c>
    </row>
    <row r="334" spans="1:27" ht="17.100000000000001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>
        <v>23</v>
      </c>
      <c r="F334">
        <v>37</v>
      </c>
      <c r="G334">
        <v>23</v>
      </c>
      <c r="H334">
        <v>32</v>
      </c>
      <c r="J334">
        <v>31</v>
      </c>
      <c r="K334">
        <v>21</v>
      </c>
      <c r="L334">
        <v>26</v>
      </c>
      <c r="M334">
        <v>31</v>
      </c>
      <c r="N334" s="2" t="s">
        <v>427</v>
      </c>
      <c r="O334" s="42">
        <f t="shared" si="194"/>
        <v>115</v>
      </c>
      <c r="P334" s="42">
        <f t="shared" si="195"/>
        <v>109</v>
      </c>
      <c r="Q334" s="42" t="str">
        <f t="shared" si="196"/>
        <v>HL</v>
      </c>
      <c r="R334" s="42" t="str">
        <f t="shared" si="197"/>
        <v>HW</v>
      </c>
      <c r="S334" s="42" t="str">
        <f t="shared" si="198"/>
        <v>HL</v>
      </c>
      <c r="T334" s="42" t="str">
        <f t="shared" si="199"/>
        <v>HW</v>
      </c>
      <c r="U334" s="42" t="str">
        <f t="shared" si="200"/>
        <v>U</v>
      </c>
      <c r="V334" s="42" t="str">
        <f t="shared" si="201"/>
        <v>U</v>
      </c>
      <c r="W334" s="42" t="str">
        <f t="shared" si="202"/>
        <v>U</v>
      </c>
      <c r="X334" s="42" t="str">
        <f t="shared" si="203"/>
        <v>O</v>
      </c>
      <c r="Z334">
        <v>58.5</v>
      </c>
      <c r="AA334" s="42" t="str">
        <f t="shared" si="204"/>
        <v>HOU/PHO</v>
      </c>
    </row>
    <row r="335" spans="1:27" ht="17.100000000000001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>
        <v>32</v>
      </c>
      <c r="F335">
        <v>37</v>
      </c>
      <c r="G335">
        <v>28</v>
      </c>
      <c r="H335">
        <v>29</v>
      </c>
      <c r="J335">
        <v>36</v>
      </c>
      <c r="K335">
        <v>18</v>
      </c>
      <c r="L335">
        <v>30</v>
      </c>
      <c r="M335">
        <v>28</v>
      </c>
      <c r="N335" s="2" t="s">
        <v>427</v>
      </c>
      <c r="O335" s="42">
        <f t="shared" si="194"/>
        <v>126</v>
      </c>
      <c r="P335" s="42">
        <f t="shared" si="195"/>
        <v>112</v>
      </c>
      <c r="Q335" s="42" t="str">
        <f t="shared" si="196"/>
        <v>HL</v>
      </c>
      <c r="R335" s="42" t="str">
        <f t="shared" si="197"/>
        <v>HW</v>
      </c>
      <c r="S335" s="42" t="str">
        <f t="shared" si="198"/>
        <v>HL</v>
      </c>
      <c r="T335" s="42" t="str">
        <f t="shared" si="199"/>
        <v>HW</v>
      </c>
      <c r="U335" s="42" t="str">
        <f t="shared" si="200"/>
        <v>O</v>
      </c>
      <c r="V335" s="42" t="str">
        <f t="shared" si="201"/>
        <v>O</v>
      </c>
      <c r="W335" s="42" t="str">
        <f t="shared" si="202"/>
        <v>O</v>
      </c>
      <c r="X335" s="42" t="str">
        <f t="shared" si="203"/>
        <v>O</v>
      </c>
      <c r="Z335">
        <v>53</v>
      </c>
      <c r="AA335" s="42" t="str">
        <f t="shared" si="204"/>
        <v>UTA/MEM</v>
      </c>
    </row>
    <row r="336" spans="1:27" ht="17.100000000000001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>
        <v>25</v>
      </c>
      <c r="F336">
        <v>28</v>
      </c>
      <c r="G336">
        <v>29</v>
      </c>
      <c r="H336">
        <v>23</v>
      </c>
      <c r="J336">
        <v>21</v>
      </c>
      <c r="K336">
        <v>33</v>
      </c>
      <c r="L336">
        <v>23</v>
      </c>
      <c r="M336">
        <v>25</v>
      </c>
      <c r="N336" s="2" t="s">
        <v>427</v>
      </c>
      <c r="O336" s="42">
        <f t="shared" si="194"/>
        <v>105</v>
      </c>
      <c r="P336" s="42">
        <f t="shared" si="195"/>
        <v>102</v>
      </c>
      <c r="Q336" s="42" t="str">
        <f t="shared" si="196"/>
        <v>HW</v>
      </c>
      <c r="R336" s="42" t="str">
        <f t="shared" si="197"/>
        <v>HL</v>
      </c>
      <c r="S336" s="42" t="str">
        <f t="shared" si="198"/>
        <v>HW</v>
      </c>
      <c r="T336" s="42" t="str">
        <f t="shared" si="199"/>
        <v>HL</v>
      </c>
      <c r="U336" s="42" t="str">
        <f t="shared" si="200"/>
        <v>U</v>
      </c>
      <c r="V336" s="42" t="str">
        <f t="shared" si="201"/>
        <v>O</v>
      </c>
      <c r="W336" s="42" t="str">
        <f t="shared" si="202"/>
        <v>U</v>
      </c>
      <c r="X336" s="42" t="str">
        <f t="shared" si="203"/>
        <v>U</v>
      </c>
      <c r="Z336">
        <v>54.5</v>
      </c>
      <c r="AA336" s="42" t="str">
        <f t="shared" si="204"/>
        <v>BKN/DEN</v>
      </c>
    </row>
    <row r="337" spans="1:27" ht="17.100000000000001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>
        <v>27</v>
      </c>
      <c r="F337">
        <v>26</v>
      </c>
      <c r="G337">
        <v>30</v>
      </c>
      <c r="H337">
        <v>24</v>
      </c>
      <c r="J337">
        <v>24</v>
      </c>
      <c r="K337">
        <v>27</v>
      </c>
      <c r="L337">
        <v>37</v>
      </c>
      <c r="M337">
        <v>34</v>
      </c>
      <c r="N337" s="2" t="s">
        <v>427</v>
      </c>
      <c r="O337" s="42">
        <f t="shared" si="194"/>
        <v>107</v>
      </c>
      <c r="P337" s="42">
        <f t="shared" si="195"/>
        <v>122</v>
      </c>
      <c r="Q337" s="42" t="str">
        <f t="shared" si="196"/>
        <v>HW</v>
      </c>
      <c r="R337" s="42" t="str">
        <f t="shared" si="197"/>
        <v>HL</v>
      </c>
      <c r="S337" s="42" t="str">
        <f t="shared" si="198"/>
        <v>HL</v>
      </c>
      <c r="T337" s="42" t="str">
        <f t="shared" si="199"/>
        <v>HL</v>
      </c>
      <c r="U337" s="42" t="str">
        <f t="shared" si="200"/>
        <v>U</v>
      </c>
      <c r="V337" s="42" t="str">
        <f t="shared" si="201"/>
        <v>U</v>
      </c>
      <c r="W337" s="42" t="str">
        <f t="shared" si="202"/>
        <v>O</v>
      </c>
      <c r="X337" s="42" t="str">
        <f t="shared" si="203"/>
        <v>O</v>
      </c>
      <c r="Z337">
        <v>57</v>
      </c>
      <c r="AA337" s="42" t="str">
        <f t="shared" si="204"/>
        <v>CHA/ATL</v>
      </c>
    </row>
    <row r="338" spans="1:27" ht="17.100000000000001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>
        <v>16</v>
      </c>
      <c r="F338">
        <v>31</v>
      </c>
      <c r="G338">
        <v>27</v>
      </c>
      <c r="H338">
        <v>23</v>
      </c>
      <c r="I338">
        <v>13</v>
      </c>
      <c r="J338">
        <v>25</v>
      </c>
      <c r="K338">
        <v>24</v>
      </c>
      <c r="L338">
        <v>24</v>
      </c>
      <c r="M338">
        <v>24</v>
      </c>
      <c r="N338" s="2">
        <v>8</v>
      </c>
      <c r="O338" s="42">
        <f t="shared" si="194"/>
        <v>110</v>
      </c>
      <c r="P338" s="42">
        <f t="shared" si="195"/>
        <v>105</v>
      </c>
      <c r="Q338" s="42" t="str">
        <f t="shared" si="196"/>
        <v>HL</v>
      </c>
      <c r="R338" s="42" t="str">
        <f t="shared" si="197"/>
        <v>HW</v>
      </c>
      <c r="S338" s="42" t="str">
        <f t="shared" si="198"/>
        <v>HW</v>
      </c>
      <c r="T338" s="42" t="str">
        <f t="shared" si="199"/>
        <v>HL</v>
      </c>
      <c r="U338" s="42" t="str">
        <f t="shared" si="200"/>
        <v>U</v>
      </c>
      <c r="V338" s="42" t="str">
        <f t="shared" si="201"/>
        <v>O</v>
      </c>
      <c r="W338" s="42" t="str">
        <f t="shared" si="202"/>
        <v>U</v>
      </c>
      <c r="X338" s="42" t="str">
        <f t="shared" si="203"/>
        <v>U</v>
      </c>
      <c r="Z338">
        <v>54</v>
      </c>
      <c r="AA338" s="42" t="str">
        <f t="shared" si="204"/>
        <v>MIA/CHI</v>
      </c>
    </row>
    <row r="339" spans="1:27" ht="17.100000000000001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>
        <v>27</v>
      </c>
      <c r="F339">
        <v>30</v>
      </c>
      <c r="G339">
        <v>29</v>
      </c>
      <c r="H339">
        <v>24</v>
      </c>
      <c r="J339">
        <v>22</v>
      </c>
      <c r="K339">
        <v>20</v>
      </c>
      <c r="L339">
        <v>26</v>
      </c>
      <c r="M339">
        <v>36</v>
      </c>
      <c r="N339" s="2" t="s">
        <v>427</v>
      </c>
      <c r="O339" s="42">
        <f t="shared" si="194"/>
        <v>110</v>
      </c>
      <c r="P339" s="42">
        <f t="shared" si="195"/>
        <v>104</v>
      </c>
      <c r="Q339" s="42" t="str">
        <f t="shared" si="196"/>
        <v>HW</v>
      </c>
      <c r="R339" s="42" t="str">
        <f t="shared" si="197"/>
        <v>HW</v>
      </c>
      <c r="S339" s="42" t="str">
        <f t="shared" si="198"/>
        <v>HW</v>
      </c>
      <c r="T339" s="42" t="str">
        <f t="shared" si="199"/>
        <v>HL</v>
      </c>
      <c r="U339" s="42" t="str">
        <f t="shared" si="200"/>
        <v>U</v>
      </c>
      <c r="V339" s="42" t="str">
        <f t="shared" si="201"/>
        <v>U</v>
      </c>
      <c r="W339" s="42" t="str">
        <f t="shared" si="202"/>
        <v>O</v>
      </c>
      <c r="X339" s="42" t="str">
        <f t="shared" si="203"/>
        <v>O</v>
      </c>
      <c r="Z339">
        <v>54.5</v>
      </c>
      <c r="AA339" s="42" t="str">
        <f t="shared" si="204"/>
        <v>PHI/TOR</v>
      </c>
    </row>
    <row r="340" spans="1:27" ht="17.100000000000001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>
        <v>25</v>
      </c>
      <c r="F340">
        <v>39</v>
      </c>
      <c r="G340">
        <v>29</v>
      </c>
      <c r="H340">
        <v>26</v>
      </c>
      <c r="J340">
        <v>35</v>
      </c>
      <c r="K340">
        <v>30</v>
      </c>
      <c r="L340">
        <v>35</v>
      </c>
      <c r="M340">
        <v>35</v>
      </c>
      <c r="N340" s="2" t="s">
        <v>427</v>
      </c>
      <c r="O340" s="42">
        <f t="shared" si="194"/>
        <v>119</v>
      </c>
      <c r="P340" s="42">
        <f t="shared" si="195"/>
        <v>135</v>
      </c>
      <c r="Q340" s="42" t="str">
        <f t="shared" si="196"/>
        <v>HL</v>
      </c>
      <c r="R340" s="42" t="str">
        <f t="shared" si="197"/>
        <v>HW</v>
      </c>
      <c r="S340" s="42" t="str">
        <f t="shared" si="198"/>
        <v>HL</v>
      </c>
      <c r="T340" s="42" t="str">
        <f t="shared" si="199"/>
        <v>HL</v>
      </c>
      <c r="U340" s="42" t="str">
        <f t="shared" si="200"/>
        <v>U</v>
      </c>
      <c r="V340" s="42" t="str">
        <f t="shared" si="201"/>
        <v>O</v>
      </c>
      <c r="W340" s="42" t="str">
        <f t="shared" si="202"/>
        <v>O</v>
      </c>
      <c r="X340" s="42" t="str">
        <f t="shared" si="203"/>
        <v>O</v>
      </c>
      <c r="Z340">
        <v>60.5</v>
      </c>
      <c r="AA340" s="42" t="str">
        <f t="shared" si="204"/>
        <v>WAS/LAC</v>
      </c>
    </row>
    <row r="341" spans="1:27" ht="17.100000000000001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>
        <v>27</v>
      </c>
      <c r="F341">
        <v>19</v>
      </c>
      <c r="G341">
        <v>32</v>
      </c>
      <c r="H341">
        <v>28</v>
      </c>
      <c r="J341">
        <v>36</v>
      </c>
      <c r="K341">
        <v>30</v>
      </c>
      <c r="L341">
        <v>26</v>
      </c>
      <c r="M341">
        <v>18</v>
      </c>
      <c r="N341" s="2" t="s">
        <v>427</v>
      </c>
      <c r="O341" s="42">
        <f t="shared" si="194"/>
        <v>106</v>
      </c>
      <c r="P341" s="42">
        <f t="shared" si="195"/>
        <v>110</v>
      </c>
      <c r="Q341" s="42" t="str">
        <f t="shared" si="196"/>
        <v>HL</v>
      </c>
      <c r="R341" s="42" t="str">
        <f t="shared" si="197"/>
        <v>HL</v>
      </c>
      <c r="S341" s="42" t="str">
        <f t="shared" si="198"/>
        <v>HW</v>
      </c>
      <c r="T341" s="42" t="str">
        <f t="shared" si="199"/>
        <v>HW</v>
      </c>
      <c r="U341" s="42" t="str">
        <f t="shared" si="200"/>
        <v>O</v>
      </c>
      <c r="V341" s="42" t="str">
        <f t="shared" si="201"/>
        <v>U</v>
      </c>
      <c r="W341" s="42" t="str">
        <f t="shared" si="202"/>
        <v>O</v>
      </c>
      <c r="X341" s="42" t="str">
        <f t="shared" si="203"/>
        <v>U</v>
      </c>
      <c r="Z341">
        <v>55.5</v>
      </c>
      <c r="AA341" s="42" t="str">
        <f t="shared" si="204"/>
        <v>DAL/SAC</v>
      </c>
    </row>
    <row r="342" spans="1:27" ht="17.100000000000001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>
        <v>20</v>
      </c>
      <c r="F342">
        <v>27</v>
      </c>
      <c r="G342">
        <v>31</v>
      </c>
      <c r="H342">
        <v>18</v>
      </c>
      <c r="J342">
        <v>21</v>
      </c>
      <c r="K342">
        <v>34</v>
      </c>
      <c r="L342">
        <v>27</v>
      </c>
      <c r="M342">
        <v>26</v>
      </c>
      <c r="N342" s="2" t="s">
        <v>427</v>
      </c>
      <c r="O342" s="42">
        <f t="shared" si="194"/>
        <v>96</v>
      </c>
      <c r="P342" s="42">
        <f t="shared" si="195"/>
        <v>108</v>
      </c>
      <c r="Q342" s="42" t="str">
        <f t="shared" si="196"/>
        <v>HL</v>
      </c>
      <c r="R342" s="42" t="str">
        <f t="shared" si="197"/>
        <v>HL</v>
      </c>
      <c r="S342" s="42" t="str">
        <f t="shared" si="198"/>
        <v>HW</v>
      </c>
      <c r="T342" s="42" t="str">
        <f t="shared" si="199"/>
        <v>HL</v>
      </c>
      <c r="U342" s="42" t="str">
        <f t="shared" si="200"/>
        <v>U</v>
      </c>
      <c r="V342" s="42" t="str">
        <f t="shared" si="201"/>
        <v>O</v>
      </c>
      <c r="W342" s="42" t="str">
        <f t="shared" si="202"/>
        <v>O</v>
      </c>
      <c r="X342" s="42" t="str">
        <f t="shared" si="203"/>
        <v>U</v>
      </c>
      <c r="Z342">
        <v>57.5</v>
      </c>
      <c r="AA342" s="42" t="str">
        <f t="shared" si="204"/>
        <v>POR/OKC</v>
      </c>
    </row>
    <row r="343" spans="1:27" ht="17.100000000000001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>
        <v>39</v>
      </c>
      <c r="F343">
        <v>34</v>
      </c>
      <c r="G343">
        <v>37</v>
      </c>
      <c r="H343">
        <v>32</v>
      </c>
      <c r="J343">
        <v>31</v>
      </c>
      <c r="K343">
        <v>34</v>
      </c>
      <c r="L343">
        <v>38</v>
      </c>
      <c r="M343">
        <v>22</v>
      </c>
      <c r="N343" s="2" t="s">
        <v>427</v>
      </c>
      <c r="O343" s="42">
        <f t="shared" si="194"/>
        <v>142</v>
      </c>
      <c r="P343" s="42">
        <f t="shared" si="195"/>
        <v>125</v>
      </c>
      <c r="Q343" s="42" t="str">
        <f t="shared" si="196"/>
        <v>HW</v>
      </c>
      <c r="R343" s="42" t="str">
        <f t="shared" si="197"/>
        <v>TT</v>
      </c>
      <c r="S343" s="42" t="str">
        <f t="shared" si="198"/>
        <v>HL</v>
      </c>
      <c r="T343" s="42" t="str">
        <f t="shared" si="199"/>
        <v>HW</v>
      </c>
      <c r="U343" s="42" t="str">
        <f t="shared" si="200"/>
        <v>O</v>
      </c>
      <c r="V343" s="42" t="str">
        <f t="shared" si="201"/>
        <v>O</v>
      </c>
      <c r="W343" s="42" t="str">
        <f t="shared" si="202"/>
        <v>O</v>
      </c>
      <c r="X343" s="42" t="str">
        <f t="shared" si="203"/>
        <v>U</v>
      </c>
      <c r="Z343">
        <v>58.5</v>
      </c>
      <c r="AA343" s="42" t="str">
        <f t="shared" si="204"/>
        <v>LAL/MIN</v>
      </c>
    </row>
    <row r="344" spans="1:27" ht="17.100000000000001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>
        <v>19</v>
      </c>
      <c r="F344">
        <v>29</v>
      </c>
      <c r="G344">
        <v>25</v>
      </c>
      <c r="H344">
        <v>26</v>
      </c>
      <c r="J344">
        <v>24</v>
      </c>
      <c r="K344">
        <v>36</v>
      </c>
      <c r="L344">
        <v>31</v>
      </c>
      <c r="M344">
        <v>19</v>
      </c>
      <c r="N344" s="2" t="s">
        <v>427</v>
      </c>
      <c r="O344" s="42">
        <f t="shared" si="194"/>
        <v>99</v>
      </c>
      <c r="P344" s="42">
        <f t="shared" si="195"/>
        <v>110</v>
      </c>
      <c r="Q344" s="42" t="str">
        <f t="shared" si="196"/>
        <v>HL</v>
      </c>
      <c r="R344" s="42" t="str">
        <f t="shared" si="197"/>
        <v>HL</v>
      </c>
      <c r="S344" s="42" t="str">
        <f t="shared" si="198"/>
        <v>HL</v>
      </c>
      <c r="T344" s="42" t="str">
        <f t="shared" si="199"/>
        <v>HW</v>
      </c>
      <c r="U344" s="42" t="str">
        <f t="shared" si="200"/>
        <v>U</v>
      </c>
      <c r="V344" s="42" t="str">
        <f t="shared" si="201"/>
        <v>O</v>
      </c>
      <c r="W344" s="42" t="str">
        <f t="shared" si="202"/>
        <v>T</v>
      </c>
      <c r="X344" s="42" t="str">
        <f t="shared" si="203"/>
        <v>U</v>
      </c>
      <c r="Z344">
        <v>56</v>
      </c>
      <c r="AA344" s="42" t="str">
        <f t="shared" si="204"/>
        <v>IND/LAC</v>
      </c>
    </row>
    <row r="345" spans="1:27" ht="17.100000000000001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>
        <v>29</v>
      </c>
      <c r="F345">
        <v>24</v>
      </c>
      <c r="G345">
        <v>30</v>
      </c>
      <c r="H345">
        <v>27</v>
      </c>
      <c r="J345">
        <v>18</v>
      </c>
      <c r="K345">
        <v>22</v>
      </c>
      <c r="L345">
        <v>26</v>
      </c>
      <c r="M345">
        <v>22</v>
      </c>
      <c r="N345" s="2" t="s">
        <v>427</v>
      </c>
      <c r="O345" s="42">
        <f t="shared" si="194"/>
        <v>110</v>
      </c>
      <c r="P345" s="42">
        <f t="shared" si="195"/>
        <v>88</v>
      </c>
      <c r="Q345" s="42" t="str">
        <f t="shared" si="196"/>
        <v>HW</v>
      </c>
      <c r="R345" s="42" t="str">
        <f t="shared" si="197"/>
        <v>HW</v>
      </c>
      <c r="S345" s="42" t="str">
        <f t="shared" si="198"/>
        <v>HW</v>
      </c>
      <c r="T345" s="42" t="str">
        <f t="shared" si="199"/>
        <v>HW</v>
      </c>
      <c r="U345" s="42" t="str">
        <f t="shared" si="200"/>
        <v>U</v>
      </c>
      <c r="V345" s="42" t="str">
        <f t="shared" si="201"/>
        <v>U</v>
      </c>
      <c r="W345" s="42" t="str">
        <f t="shared" si="202"/>
        <v>O</v>
      </c>
      <c r="X345" s="42" t="str">
        <f t="shared" si="203"/>
        <v>U</v>
      </c>
      <c r="Z345">
        <v>52.5</v>
      </c>
      <c r="AA345" s="42" t="str">
        <f t="shared" si="204"/>
        <v>BOS/CLE</v>
      </c>
    </row>
    <row r="346" spans="1:27" ht="17.100000000000001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>
        <v>29</v>
      </c>
      <c r="F346">
        <v>24</v>
      </c>
      <c r="G346">
        <v>21</v>
      </c>
      <c r="H346">
        <v>29</v>
      </c>
      <c r="J346">
        <v>25</v>
      </c>
      <c r="K346">
        <v>22</v>
      </c>
      <c r="L346">
        <v>34</v>
      </c>
      <c r="M346">
        <v>24</v>
      </c>
      <c r="N346" s="2" t="s">
        <v>427</v>
      </c>
      <c r="O346" s="42">
        <f t="shared" si="194"/>
        <v>103</v>
      </c>
      <c r="P346" s="42">
        <f t="shared" si="195"/>
        <v>105</v>
      </c>
      <c r="Q346" s="42" t="str">
        <f t="shared" si="196"/>
        <v>HW</v>
      </c>
      <c r="R346" s="42" t="str">
        <f t="shared" si="197"/>
        <v>HW</v>
      </c>
      <c r="S346" s="42" t="str">
        <f t="shared" si="198"/>
        <v>HL</v>
      </c>
      <c r="T346" s="42" t="str">
        <f t="shared" si="199"/>
        <v>HW</v>
      </c>
      <c r="U346" s="42" t="str">
        <f t="shared" si="200"/>
        <v>U</v>
      </c>
      <c r="V346" s="42" t="str">
        <f t="shared" si="201"/>
        <v>U</v>
      </c>
      <c r="W346" s="42" t="str">
        <f t="shared" si="202"/>
        <v>U</v>
      </c>
      <c r="X346" s="42" t="str">
        <f t="shared" si="203"/>
        <v>U</v>
      </c>
      <c r="Z346">
        <v>58</v>
      </c>
      <c r="AA346" s="42" t="str">
        <f t="shared" si="204"/>
        <v>NO/DET</v>
      </c>
    </row>
    <row r="347" spans="1:27" ht="17.100000000000001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>
        <v>30</v>
      </c>
      <c r="F347">
        <v>21</v>
      </c>
      <c r="G347">
        <v>20</v>
      </c>
      <c r="H347">
        <v>21</v>
      </c>
      <c r="J347">
        <v>30</v>
      </c>
      <c r="K347">
        <v>19</v>
      </c>
      <c r="L347">
        <v>22</v>
      </c>
      <c r="M347">
        <v>22</v>
      </c>
      <c r="N347" s="2" t="s">
        <v>427</v>
      </c>
      <c r="O347" s="42">
        <f t="shared" si="194"/>
        <v>92</v>
      </c>
      <c r="P347" s="42">
        <f t="shared" si="195"/>
        <v>93</v>
      </c>
      <c r="Q347" s="42" t="str">
        <f t="shared" si="196"/>
        <v>TT</v>
      </c>
      <c r="R347" s="42" t="str">
        <f t="shared" si="197"/>
        <v>HW</v>
      </c>
      <c r="S347" s="42" t="str">
        <f t="shared" si="198"/>
        <v>HL</v>
      </c>
      <c r="T347" s="42" t="str">
        <f t="shared" si="199"/>
        <v>HL</v>
      </c>
      <c r="U347" s="42" t="str">
        <f t="shared" si="200"/>
        <v>O</v>
      </c>
      <c r="V347" s="42" t="str">
        <f t="shared" si="201"/>
        <v>U</v>
      </c>
      <c r="W347" s="42" t="str">
        <f t="shared" si="202"/>
        <v>U</v>
      </c>
      <c r="X347" s="42" t="str">
        <f t="shared" si="203"/>
        <v>U</v>
      </c>
      <c r="Z347">
        <v>55</v>
      </c>
      <c r="AA347" s="42" t="str">
        <f t="shared" si="204"/>
        <v>CHI/TOR</v>
      </c>
    </row>
    <row r="348" spans="1:27" ht="17.100000000000001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>
        <v>28</v>
      </c>
      <c r="F348">
        <v>36</v>
      </c>
      <c r="G348">
        <v>29</v>
      </c>
      <c r="H348">
        <v>25</v>
      </c>
      <c r="J348">
        <v>32</v>
      </c>
      <c r="K348">
        <v>27</v>
      </c>
      <c r="L348">
        <v>35</v>
      </c>
      <c r="M348">
        <v>25</v>
      </c>
      <c r="N348" s="2" t="s">
        <v>427</v>
      </c>
      <c r="O348" s="42">
        <f t="shared" si="194"/>
        <v>118</v>
      </c>
      <c r="P348" s="42">
        <f t="shared" si="195"/>
        <v>119</v>
      </c>
      <c r="Q348" s="42" t="str">
        <f t="shared" si="196"/>
        <v>HL</v>
      </c>
      <c r="R348" s="42" t="str">
        <f t="shared" si="197"/>
        <v>HW</v>
      </c>
      <c r="S348" s="42" t="str">
        <f t="shared" si="198"/>
        <v>HL</v>
      </c>
      <c r="T348" s="42" t="str">
        <f t="shared" si="199"/>
        <v>TT</v>
      </c>
      <c r="U348" s="42" t="str">
        <f t="shared" si="200"/>
        <v>O</v>
      </c>
      <c r="V348" s="42" t="str">
        <f t="shared" si="201"/>
        <v>O</v>
      </c>
      <c r="W348" s="42" t="str">
        <f t="shared" si="202"/>
        <v>O</v>
      </c>
      <c r="X348" s="42" t="str">
        <f t="shared" si="203"/>
        <v>U</v>
      </c>
      <c r="Z348">
        <v>58</v>
      </c>
      <c r="AA348" s="42" t="str">
        <f t="shared" si="204"/>
        <v>HOU/SAC</v>
      </c>
    </row>
    <row r="349" spans="1:27" ht="17.100000000000001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>
        <v>31</v>
      </c>
      <c r="F349">
        <v>21</v>
      </c>
      <c r="G349">
        <v>28</v>
      </c>
      <c r="H349">
        <v>30</v>
      </c>
      <c r="J349">
        <v>20</v>
      </c>
      <c r="K349">
        <v>20</v>
      </c>
      <c r="L349">
        <v>33</v>
      </c>
      <c r="M349">
        <v>28</v>
      </c>
      <c r="N349" s="2" t="s">
        <v>427</v>
      </c>
      <c r="O349" s="42">
        <f t="shared" si="194"/>
        <v>110</v>
      </c>
      <c r="P349" s="42">
        <f t="shared" si="195"/>
        <v>101</v>
      </c>
      <c r="Q349" s="42" t="str">
        <f t="shared" si="196"/>
        <v>HW</v>
      </c>
      <c r="R349" s="42" t="str">
        <f t="shared" si="197"/>
        <v>HW</v>
      </c>
      <c r="S349" s="42" t="str">
        <f t="shared" si="198"/>
        <v>HL</v>
      </c>
      <c r="T349" s="42" t="str">
        <f t="shared" si="199"/>
        <v>HW</v>
      </c>
      <c r="U349" s="42" t="str">
        <f t="shared" si="200"/>
        <v>U</v>
      </c>
      <c r="V349" s="42" t="str">
        <f t="shared" si="201"/>
        <v>U</v>
      </c>
      <c r="W349" s="42" t="str">
        <f t="shared" si="202"/>
        <v>O</v>
      </c>
      <c r="X349" s="42" t="str">
        <f t="shared" si="203"/>
        <v>O</v>
      </c>
      <c r="Z349">
        <v>56.5</v>
      </c>
      <c r="AA349" s="42" t="str">
        <f t="shared" si="204"/>
        <v>MIL/ORL</v>
      </c>
    </row>
    <row r="350" spans="1:27" ht="17.100000000000001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>
        <v>33</v>
      </c>
      <c r="F350">
        <v>28</v>
      </c>
      <c r="G350">
        <v>33</v>
      </c>
      <c r="H350">
        <v>31</v>
      </c>
      <c r="J350">
        <v>31</v>
      </c>
      <c r="K350">
        <v>33</v>
      </c>
      <c r="L350">
        <v>21</v>
      </c>
      <c r="M350">
        <v>24</v>
      </c>
      <c r="N350" s="2" t="s">
        <v>427</v>
      </c>
      <c r="O350" s="42">
        <f t="shared" si="194"/>
        <v>125</v>
      </c>
      <c r="P350" s="42">
        <f t="shared" si="195"/>
        <v>109</v>
      </c>
      <c r="Q350" s="42" t="str">
        <f t="shared" si="196"/>
        <v>HW</v>
      </c>
      <c r="R350" s="42" t="str">
        <f t="shared" si="197"/>
        <v>HL</v>
      </c>
      <c r="S350" s="42" t="str">
        <f t="shared" si="198"/>
        <v>HW</v>
      </c>
      <c r="T350" s="42" t="str">
        <f t="shared" si="199"/>
        <v>HW</v>
      </c>
      <c r="U350" s="42" t="str">
        <f t="shared" si="200"/>
        <v>O</v>
      </c>
      <c r="V350" s="42" t="str">
        <f t="shared" si="201"/>
        <v>O</v>
      </c>
      <c r="W350" s="42" t="str">
        <f t="shared" si="202"/>
        <v>U</v>
      </c>
      <c r="X350" s="42" t="str">
        <f t="shared" si="203"/>
        <v>U</v>
      </c>
      <c r="Z350">
        <v>60</v>
      </c>
      <c r="AA350" s="42" t="str">
        <f t="shared" si="204"/>
        <v>PHO/MIN</v>
      </c>
    </row>
    <row r="351" spans="1:27" ht="17.100000000000001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>
        <v>24</v>
      </c>
      <c r="F351">
        <v>23</v>
      </c>
      <c r="G351">
        <v>21</v>
      </c>
      <c r="H351">
        <v>22</v>
      </c>
      <c r="J351">
        <v>25</v>
      </c>
      <c r="K351">
        <v>26</v>
      </c>
      <c r="L351">
        <v>34</v>
      </c>
      <c r="M351">
        <v>19</v>
      </c>
      <c r="N351" s="2" t="s">
        <v>427</v>
      </c>
      <c r="O351" s="42">
        <f t="shared" si="194"/>
        <v>90</v>
      </c>
      <c r="P351" s="42">
        <f t="shared" si="195"/>
        <v>104</v>
      </c>
      <c r="Q351" s="42" t="str">
        <f t="shared" si="196"/>
        <v>HL</v>
      </c>
      <c r="R351" s="42" t="str">
        <f t="shared" si="197"/>
        <v>HL</v>
      </c>
      <c r="S351" s="42" t="str">
        <f t="shared" si="198"/>
        <v>HL</v>
      </c>
      <c r="T351" s="42" t="str">
        <f t="shared" si="199"/>
        <v>HW</v>
      </c>
      <c r="U351" s="42" t="str">
        <f t="shared" si="200"/>
        <v>U</v>
      </c>
      <c r="V351" s="42" t="str">
        <f t="shared" si="201"/>
        <v>U</v>
      </c>
      <c r="W351" s="42" t="str">
        <f t="shared" si="202"/>
        <v>O</v>
      </c>
      <c r="X351" s="42" t="str">
        <f t="shared" si="203"/>
        <v>U</v>
      </c>
      <c r="Z351">
        <v>53.5</v>
      </c>
      <c r="AA351" s="42" t="str">
        <f t="shared" si="204"/>
        <v>UTA/OKC</v>
      </c>
    </row>
    <row r="352" spans="1:27" ht="17.100000000000001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>
        <v>20</v>
      </c>
      <c r="F352">
        <v>27</v>
      </c>
      <c r="G352">
        <v>32</v>
      </c>
      <c r="H352">
        <v>23</v>
      </c>
      <c r="J352">
        <v>29</v>
      </c>
      <c r="K352">
        <v>25</v>
      </c>
      <c r="L352">
        <v>34</v>
      </c>
      <c r="M352">
        <v>22</v>
      </c>
      <c r="N352" s="2" t="s">
        <v>427</v>
      </c>
      <c r="O352" s="42">
        <f t="shared" si="194"/>
        <v>102</v>
      </c>
      <c r="P352" s="42">
        <f t="shared" si="195"/>
        <v>110</v>
      </c>
      <c r="Q352" s="42" t="str">
        <f t="shared" si="196"/>
        <v>HL</v>
      </c>
      <c r="R352" s="42" t="str">
        <f t="shared" si="197"/>
        <v>HW</v>
      </c>
      <c r="S352" s="42" t="str">
        <f t="shared" si="198"/>
        <v>HL</v>
      </c>
      <c r="T352" s="42" t="str">
        <f t="shared" si="199"/>
        <v>HW</v>
      </c>
      <c r="U352" s="42" t="str">
        <f t="shared" si="200"/>
        <v>U</v>
      </c>
      <c r="V352" s="42" t="str">
        <f t="shared" si="201"/>
        <v>U</v>
      </c>
      <c r="W352" s="42" t="str">
        <f t="shared" si="202"/>
        <v>O</v>
      </c>
      <c r="X352" s="42" t="str">
        <f t="shared" si="203"/>
        <v>U</v>
      </c>
      <c r="Z352">
        <v>54</v>
      </c>
      <c r="AA352" s="42" t="str">
        <f t="shared" si="204"/>
        <v>GS/MEM</v>
      </c>
    </row>
    <row r="353" spans="1:27" ht="17.100000000000001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>
        <v>28</v>
      </c>
      <c r="F353">
        <v>25</v>
      </c>
      <c r="G353">
        <v>29</v>
      </c>
      <c r="H353">
        <v>32</v>
      </c>
      <c r="J353">
        <v>20</v>
      </c>
      <c r="K353">
        <v>28</v>
      </c>
      <c r="L353">
        <v>27</v>
      </c>
      <c r="M353">
        <v>32</v>
      </c>
      <c r="N353" s="2" t="s">
        <v>427</v>
      </c>
      <c r="O353" s="42">
        <f t="shared" si="194"/>
        <v>114</v>
      </c>
      <c r="P353" s="42">
        <f t="shared" si="195"/>
        <v>107</v>
      </c>
      <c r="Q353" s="42" t="str">
        <f t="shared" si="196"/>
        <v>HW</v>
      </c>
      <c r="R353" s="42" t="str">
        <f t="shared" si="197"/>
        <v>HL</v>
      </c>
      <c r="S353" s="42" t="str">
        <f t="shared" si="198"/>
        <v>HW</v>
      </c>
      <c r="T353" s="42" t="str">
        <f t="shared" si="199"/>
        <v>TT</v>
      </c>
      <c r="U353" s="42" t="str">
        <f t="shared" si="200"/>
        <v>U</v>
      </c>
      <c r="V353" s="42" t="str">
        <f t="shared" si="201"/>
        <v>U</v>
      </c>
      <c r="W353" s="42" t="str">
        <f t="shared" si="202"/>
        <v>U</v>
      </c>
      <c r="X353" s="42" t="str">
        <f t="shared" si="203"/>
        <v>O</v>
      </c>
      <c r="Z353">
        <v>59</v>
      </c>
      <c r="AA353" s="42" t="str">
        <f t="shared" si="204"/>
        <v>CHA/WAS</v>
      </c>
    </row>
    <row r="354" spans="1:27" ht="17.100000000000001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>
        <v>36</v>
      </c>
      <c r="F354">
        <v>30</v>
      </c>
      <c r="G354">
        <v>27</v>
      </c>
      <c r="H354">
        <v>24</v>
      </c>
      <c r="I354">
        <v>18</v>
      </c>
      <c r="J354">
        <v>30</v>
      </c>
      <c r="K354">
        <v>34</v>
      </c>
      <c r="L354">
        <v>32</v>
      </c>
      <c r="M354">
        <v>21</v>
      </c>
      <c r="N354" s="2">
        <v>4</v>
      </c>
      <c r="O354" s="42">
        <f t="shared" si="194"/>
        <v>135</v>
      </c>
      <c r="P354" s="42">
        <f t="shared" si="195"/>
        <v>121</v>
      </c>
      <c r="Q354" s="42" t="str">
        <f t="shared" si="196"/>
        <v>HW</v>
      </c>
      <c r="R354" s="42" t="str">
        <f t="shared" si="197"/>
        <v>HL</v>
      </c>
      <c r="S354" s="42" t="str">
        <f t="shared" si="198"/>
        <v>HL</v>
      </c>
      <c r="T354" s="42" t="str">
        <f t="shared" si="199"/>
        <v>HW</v>
      </c>
      <c r="U354" s="42" t="str">
        <f t="shared" si="200"/>
        <v>O</v>
      </c>
      <c r="V354" s="42" t="str">
        <f t="shared" si="201"/>
        <v>O</v>
      </c>
      <c r="W354" s="42" t="str">
        <f t="shared" si="202"/>
        <v>O</v>
      </c>
      <c r="X354" s="42" t="str">
        <f t="shared" si="203"/>
        <v>U</v>
      </c>
      <c r="Z354">
        <v>56.5</v>
      </c>
      <c r="AA354" s="42" t="str">
        <f t="shared" si="204"/>
        <v>MIA/ATL</v>
      </c>
    </row>
    <row r="355" spans="1:27" ht="17.100000000000001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>
        <v>26</v>
      </c>
      <c r="F355">
        <v>29</v>
      </c>
      <c r="G355">
        <v>28</v>
      </c>
      <c r="H355">
        <v>14</v>
      </c>
      <c r="J355">
        <v>27</v>
      </c>
      <c r="K355">
        <v>23</v>
      </c>
      <c r="L355">
        <v>26</v>
      </c>
      <c r="M355">
        <v>16</v>
      </c>
      <c r="N355" s="2" t="s">
        <v>427</v>
      </c>
      <c r="O355" s="42">
        <f t="shared" si="194"/>
        <v>97</v>
      </c>
      <c r="P355" s="42">
        <f t="shared" si="195"/>
        <v>92</v>
      </c>
      <c r="Q355" s="42" t="str">
        <f t="shared" si="196"/>
        <v>HL</v>
      </c>
      <c r="R355" s="42" t="str">
        <f t="shared" si="197"/>
        <v>HW</v>
      </c>
      <c r="S355" s="42" t="str">
        <f t="shared" si="198"/>
        <v>HW</v>
      </c>
      <c r="T355" s="42" t="str">
        <f t="shared" si="199"/>
        <v>HL</v>
      </c>
      <c r="U355" s="42" t="str">
        <f t="shared" si="200"/>
        <v>U</v>
      </c>
      <c r="V355" s="42" t="str">
        <f t="shared" si="201"/>
        <v>U</v>
      </c>
      <c r="W355" s="42" t="str">
        <f t="shared" si="202"/>
        <v>O</v>
      </c>
      <c r="X355" s="42" t="str">
        <f t="shared" si="203"/>
        <v>U</v>
      </c>
      <c r="Z355">
        <v>53.5</v>
      </c>
      <c r="AA355" s="42" t="str">
        <f t="shared" si="204"/>
        <v>PHI/DEN</v>
      </c>
    </row>
    <row r="356" spans="1:27" ht="17.100000000000001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>
        <v>32</v>
      </c>
      <c r="F356">
        <v>28</v>
      </c>
      <c r="G356">
        <v>26</v>
      </c>
      <c r="H356">
        <v>29</v>
      </c>
      <c r="J356">
        <v>22</v>
      </c>
      <c r="K356">
        <v>19</v>
      </c>
      <c r="L356">
        <v>18</v>
      </c>
      <c r="M356">
        <v>28</v>
      </c>
      <c r="N356" s="2" t="s">
        <v>427</v>
      </c>
      <c r="O356" s="42">
        <f t="shared" si="194"/>
        <v>115</v>
      </c>
      <c r="P356" s="42">
        <f t="shared" si="195"/>
        <v>87</v>
      </c>
      <c r="Q356" s="42" t="str">
        <f t="shared" si="196"/>
        <v>HW</v>
      </c>
      <c r="R356" s="42" t="str">
        <f t="shared" si="197"/>
        <v>HW</v>
      </c>
      <c r="S356" s="42" t="str">
        <f t="shared" si="198"/>
        <v>HW</v>
      </c>
      <c r="T356" s="42" t="str">
        <f t="shared" si="199"/>
        <v>HW</v>
      </c>
      <c r="U356" s="42" t="str">
        <f t="shared" si="200"/>
        <v>U</v>
      </c>
      <c r="V356" s="42" t="str">
        <f t="shared" si="201"/>
        <v>U</v>
      </c>
      <c r="W356" s="42" t="str">
        <f t="shared" si="202"/>
        <v>U</v>
      </c>
      <c r="X356" s="42" t="str">
        <f t="shared" si="203"/>
        <v>T</v>
      </c>
      <c r="Z356">
        <v>57</v>
      </c>
      <c r="AA356" s="42" t="str">
        <f t="shared" si="204"/>
        <v>POR/NYK</v>
      </c>
    </row>
    <row r="357" spans="1:27" ht="17.100000000000001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>
        <v>29</v>
      </c>
      <c r="F357">
        <v>28</v>
      </c>
      <c r="G357">
        <v>25</v>
      </c>
      <c r="H357">
        <v>28</v>
      </c>
      <c r="J357">
        <v>35</v>
      </c>
      <c r="K357">
        <v>29</v>
      </c>
      <c r="L357">
        <v>24</v>
      </c>
      <c r="M357">
        <v>28</v>
      </c>
      <c r="N357" s="2" t="s">
        <v>427</v>
      </c>
      <c r="O357" s="42">
        <f t="shared" si="194"/>
        <v>110</v>
      </c>
      <c r="P357" s="42">
        <f t="shared" si="195"/>
        <v>116</v>
      </c>
      <c r="Q357" s="42" t="str">
        <f t="shared" si="196"/>
        <v>HL</v>
      </c>
      <c r="R357" s="42" t="str">
        <f t="shared" si="197"/>
        <v>HL</v>
      </c>
      <c r="S357" s="42" t="str">
        <f t="shared" si="198"/>
        <v>HW</v>
      </c>
      <c r="T357" s="42" t="str">
        <f t="shared" si="199"/>
        <v>TT</v>
      </c>
      <c r="U357" s="42" t="str">
        <f t="shared" si="200"/>
        <v>O</v>
      </c>
      <c r="V357" s="42" t="str">
        <f t="shared" si="201"/>
        <v>U</v>
      </c>
      <c r="W357" s="42" t="str">
        <f t="shared" si="202"/>
        <v>U</v>
      </c>
      <c r="X357" s="42" t="str">
        <f t="shared" si="203"/>
        <v>U</v>
      </c>
      <c r="Z357">
        <v>59</v>
      </c>
      <c r="AA357" s="42" t="str">
        <f t="shared" si="204"/>
        <v>CLE/HOU</v>
      </c>
    </row>
    <row r="358" spans="1:27" ht="17.100000000000001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>
        <v>30</v>
      </c>
      <c r="F358">
        <v>31</v>
      </c>
      <c r="G358">
        <v>23</v>
      </c>
      <c r="H358">
        <v>38</v>
      </c>
      <c r="J358">
        <v>32</v>
      </c>
      <c r="K358">
        <v>25</v>
      </c>
      <c r="L358">
        <v>37</v>
      </c>
      <c r="M358">
        <v>23</v>
      </c>
      <c r="N358" s="2" t="s">
        <v>427</v>
      </c>
      <c r="O358" s="42">
        <f t="shared" si="194"/>
        <v>122</v>
      </c>
      <c r="P358" s="42">
        <f t="shared" si="195"/>
        <v>117</v>
      </c>
      <c r="Q358" s="42" t="str">
        <f t="shared" si="196"/>
        <v>HL</v>
      </c>
      <c r="R358" s="42" t="str">
        <f t="shared" si="197"/>
        <v>HW</v>
      </c>
      <c r="S358" s="42" t="str">
        <f t="shared" si="198"/>
        <v>HL</v>
      </c>
      <c r="T358" s="42" t="str">
        <f t="shared" si="199"/>
        <v>HW</v>
      </c>
      <c r="U358" s="42" t="str">
        <f t="shared" si="200"/>
        <v>O</v>
      </c>
      <c r="V358" s="42" t="str">
        <f t="shared" si="201"/>
        <v>O</v>
      </c>
      <c r="W358" s="42" t="str">
        <f t="shared" si="202"/>
        <v>O</v>
      </c>
      <c r="X358" s="42" t="str">
        <f t="shared" si="203"/>
        <v>O</v>
      </c>
      <c r="Z358">
        <v>51.5</v>
      </c>
      <c r="AA358" s="42" t="str">
        <f t="shared" si="204"/>
        <v>IND/BOS</v>
      </c>
    </row>
    <row r="359" spans="1:27" ht="17.100000000000001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>
        <v>9</v>
      </c>
      <c r="F359">
        <v>29</v>
      </c>
      <c r="G359">
        <v>27</v>
      </c>
      <c r="H359">
        <v>22</v>
      </c>
      <c r="J359">
        <v>26</v>
      </c>
      <c r="K359">
        <v>25</v>
      </c>
      <c r="L359">
        <v>18</v>
      </c>
      <c r="M359">
        <v>27</v>
      </c>
      <c r="N359" s="2" t="s">
        <v>427</v>
      </c>
      <c r="O359" s="42">
        <f t="shared" si="194"/>
        <v>87</v>
      </c>
      <c r="P359" s="42">
        <f t="shared" si="195"/>
        <v>96</v>
      </c>
      <c r="Q359" s="42" t="str">
        <f t="shared" si="196"/>
        <v>HL</v>
      </c>
      <c r="R359" s="42" t="str">
        <f t="shared" si="197"/>
        <v>HW</v>
      </c>
      <c r="S359" s="42" t="str">
        <f t="shared" si="198"/>
        <v>HW</v>
      </c>
      <c r="T359" s="42" t="str">
        <f t="shared" si="199"/>
        <v>HL</v>
      </c>
      <c r="U359" s="42" t="str">
        <f t="shared" si="200"/>
        <v>U</v>
      </c>
      <c r="V359" s="42" t="str">
        <f t="shared" si="201"/>
        <v>U</v>
      </c>
      <c r="W359" s="42" t="str">
        <f t="shared" si="202"/>
        <v>U</v>
      </c>
      <c r="X359" s="42" t="str">
        <f t="shared" si="203"/>
        <v>U</v>
      </c>
      <c r="Z359">
        <v>55</v>
      </c>
      <c r="AA359" s="42" t="str">
        <f t="shared" si="204"/>
        <v>ORL/LAL</v>
      </c>
    </row>
    <row r="360" spans="1:27" ht="17.100000000000001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>
        <v>32</v>
      </c>
      <c r="F360">
        <v>14</v>
      </c>
      <c r="G360">
        <v>25</v>
      </c>
      <c r="H360">
        <v>21</v>
      </c>
      <c r="J360">
        <v>27</v>
      </c>
      <c r="K360">
        <v>37</v>
      </c>
      <c r="L360">
        <v>24</v>
      </c>
      <c r="M360">
        <v>24</v>
      </c>
      <c r="N360" s="2" t="s">
        <v>427</v>
      </c>
      <c r="O360" s="42">
        <f t="shared" si="194"/>
        <v>92</v>
      </c>
      <c r="P360" s="42">
        <f t="shared" si="195"/>
        <v>112</v>
      </c>
      <c r="Q360" s="42" t="str">
        <f t="shared" si="196"/>
        <v>HW</v>
      </c>
      <c r="R360" s="42" t="str">
        <f t="shared" si="197"/>
        <v>HL</v>
      </c>
      <c r="S360" s="42" t="str">
        <f t="shared" si="198"/>
        <v>HW</v>
      </c>
      <c r="T360" s="42" t="str">
        <f t="shared" si="199"/>
        <v>HL</v>
      </c>
      <c r="U360" s="42" t="str">
        <f t="shared" si="200"/>
        <v>O</v>
      </c>
      <c r="V360" s="42" t="str">
        <f t="shared" si="201"/>
        <v>U</v>
      </c>
      <c r="W360" s="42" t="str">
        <f t="shared" si="202"/>
        <v>U</v>
      </c>
      <c r="X360" s="42" t="str">
        <f t="shared" si="203"/>
        <v>U</v>
      </c>
      <c r="Z360">
        <v>57</v>
      </c>
      <c r="AA360" s="42" t="str">
        <f t="shared" si="204"/>
        <v>TOR/LAC</v>
      </c>
    </row>
    <row r="361" spans="1:27" ht="17.100000000000001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>
        <v>34</v>
      </c>
      <c r="F361">
        <v>30</v>
      </c>
      <c r="G361">
        <v>22</v>
      </c>
      <c r="H361">
        <v>22</v>
      </c>
      <c r="J361">
        <v>26</v>
      </c>
      <c r="K361">
        <v>27</v>
      </c>
      <c r="L361">
        <v>31</v>
      </c>
      <c r="M361">
        <v>29</v>
      </c>
      <c r="N361" s="2" t="s">
        <v>427</v>
      </c>
      <c r="O361" s="42">
        <f t="shared" si="194"/>
        <v>108</v>
      </c>
      <c r="P361" s="42">
        <f t="shared" si="195"/>
        <v>113</v>
      </c>
      <c r="Q361" s="42" t="str">
        <f t="shared" si="196"/>
        <v>HW</v>
      </c>
      <c r="R361" s="42" t="str">
        <f t="shared" si="197"/>
        <v>HW</v>
      </c>
      <c r="S361" s="42" t="str">
        <f t="shared" si="198"/>
        <v>HL</v>
      </c>
      <c r="T361" s="42" t="str">
        <f t="shared" si="199"/>
        <v>HL</v>
      </c>
      <c r="U361" s="42" t="str">
        <f t="shared" si="200"/>
        <v>O</v>
      </c>
      <c r="V361" s="42" t="str">
        <f t="shared" si="201"/>
        <v>O</v>
      </c>
      <c r="W361" s="42" t="str">
        <f t="shared" si="202"/>
        <v>U</v>
      </c>
      <c r="X361" s="42" t="str">
        <f t="shared" si="203"/>
        <v>U</v>
      </c>
      <c r="Z361">
        <v>55.5</v>
      </c>
      <c r="AA361" s="42" t="str">
        <f t="shared" si="204"/>
        <v>BKN/CHA</v>
      </c>
    </row>
    <row r="362" spans="1:27" ht="17.100000000000001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>
        <v>37</v>
      </c>
      <c r="F362">
        <v>29</v>
      </c>
      <c r="G362">
        <v>40</v>
      </c>
      <c r="H362">
        <v>30</v>
      </c>
      <c r="J362">
        <v>33</v>
      </c>
      <c r="K362">
        <v>19</v>
      </c>
      <c r="L362">
        <v>35</v>
      </c>
      <c r="M362">
        <v>15</v>
      </c>
      <c r="N362" s="2" t="s">
        <v>427</v>
      </c>
      <c r="O362" s="42">
        <f t="shared" si="194"/>
        <v>136</v>
      </c>
      <c r="P362" s="42">
        <f t="shared" si="195"/>
        <v>102</v>
      </c>
      <c r="Q362" s="42" t="str">
        <f t="shared" si="196"/>
        <v>HW</v>
      </c>
      <c r="R362" s="42" t="str">
        <f t="shared" si="197"/>
        <v>HW</v>
      </c>
      <c r="S362" s="42" t="str">
        <f t="shared" si="198"/>
        <v>HW</v>
      </c>
      <c r="T362" s="42" t="str">
        <f t="shared" si="199"/>
        <v>HW</v>
      </c>
      <c r="U362" s="42" t="str">
        <f t="shared" si="200"/>
        <v>O</v>
      </c>
      <c r="V362" s="42" t="str">
        <f t="shared" si="201"/>
        <v>U</v>
      </c>
      <c r="W362" s="42" t="str">
        <f t="shared" si="202"/>
        <v>O</v>
      </c>
      <c r="X362" s="42" t="str">
        <f t="shared" si="203"/>
        <v>U</v>
      </c>
      <c r="Z362">
        <v>57</v>
      </c>
      <c r="AA362" s="42" t="str">
        <f t="shared" si="204"/>
        <v>CHI/ATL</v>
      </c>
    </row>
    <row r="363" spans="1:27" ht="17.100000000000001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>
        <v>23</v>
      </c>
      <c r="F363">
        <v>36</v>
      </c>
      <c r="G363">
        <v>24</v>
      </c>
      <c r="H363">
        <v>33</v>
      </c>
      <c r="J363">
        <v>25</v>
      </c>
      <c r="K363">
        <v>34</v>
      </c>
      <c r="L363">
        <v>38</v>
      </c>
      <c r="M363">
        <v>30</v>
      </c>
      <c r="N363" s="2" t="s">
        <v>427</v>
      </c>
      <c r="O363" s="42">
        <f t="shared" si="194"/>
        <v>116</v>
      </c>
      <c r="P363" s="42">
        <f t="shared" si="195"/>
        <v>127</v>
      </c>
      <c r="Q363" s="42" t="str">
        <f t="shared" si="196"/>
        <v>HL</v>
      </c>
      <c r="R363" s="42" t="str">
        <f t="shared" si="197"/>
        <v>HW</v>
      </c>
      <c r="S363" s="42" t="str">
        <f t="shared" si="198"/>
        <v>HL</v>
      </c>
      <c r="T363" s="42" t="str">
        <f t="shared" si="199"/>
        <v>HW</v>
      </c>
      <c r="U363" s="42" t="str">
        <f t="shared" si="200"/>
        <v>U</v>
      </c>
      <c r="V363" s="42" t="str">
        <f t="shared" si="201"/>
        <v>O</v>
      </c>
      <c r="W363" s="42" t="str">
        <f t="shared" si="202"/>
        <v>O</v>
      </c>
      <c r="X363" s="42" t="str">
        <f t="shared" si="203"/>
        <v>O</v>
      </c>
      <c r="Z363">
        <v>54</v>
      </c>
      <c r="AA363" s="42" t="str">
        <f t="shared" si="204"/>
        <v>MIN/UTA</v>
      </c>
    </row>
    <row r="364" spans="1:27" ht="17.100000000000001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>
        <v>19</v>
      </c>
      <c r="F364">
        <v>32</v>
      </c>
      <c r="G364">
        <v>28</v>
      </c>
      <c r="H364">
        <v>29</v>
      </c>
      <c r="J364">
        <v>27</v>
      </c>
      <c r="K364">
        <v>24</v>
      </c>
      <c r="L364">
        <v>33</v>
      </c>
      <c r="M364">
        <v>31</v>
      </c>
      <c r="N364" s="2" t="s">
        <v>427</v>
      </c>
      <c r="O364" s="42">
        <f t="shared" si="194"/>
        <v>108</v>
      </c>
      <c r="P364" s="42">
        <f t="shared" si="195"/>
        <v>115</v>
      </c>
      <c r="Q364" s="42" t="str">
        <f t="shared" si="196"/>
        <v>HL</v>
      </c>
      <c r="R364" s="42" t="str">
        <f t="shared" si="197"/>
        <v>HW</v>
      </c>
      <c r="S364" s="42" t="str">
        <f t="shared" si="198"/>
        <v>HL</v>
      </c>
      <c r="T364" s="42" t="str">
        <f t="shared" si="199"/>
        <v>HL</v>
      </c>
      <c r="U364" s="42" t="str">
        <f t="shared" si="200"/>
        <v>U</v>
      </c>
      <c r="V364" s="42" t="str">
        <f t="shared" si="201"/>
        <v>U</v>
      </c>
      <c r="W364" s="42" t="str">
        <f t="shared" si="202"/>
        <v>O</v>
      </c>
      <c r="X364" s="42" t="str">
        <f t="shared" si="203"/>
        <v>O</v>
      </c>
      <c r="Z364">
        <v>57</v>
      </c>
      <c r="AA364" s="42" t="str">
        <f t="shared" si="204"/>
        <v>PHO/MEM</v>
      </c>
    </row>
    <row r="365" spans="1:27" ht="17.100000000000001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>
        <v>35</v>
      </c>
      <c r="F365">
        <v>34</v>
      </c>
      <c r="G365">
        <v>36</v>
      </c>
      <c r="H365">
        <v>22</v>
      </c>
      <c r="J365">
        <v>20</v>
      </c>
      <c r="K365">
        <v>26</v>
      </c>
      <c r="L365">
        <v>40</v>
      </c>
      <c r="M365">
        <v>26</v>
      </c>
      <c r="N365" s="2" t="s">
        <v>427</v>
      </c>
      <c r="O365" s="42">
        <f t="shared" si="194"/>
        <v>127</v>
      </c>
      <c r="P365" s="42">
        <f t="shared" si="195"/>
        <v>112</v>
      </c>
      <c r="Q365" s="42" t="str">
        <f t="shared" si="196"/>
        <v>HW</v>
      </c>
      <c r="R365" s="42" t="str">
        <f t="shared" si="197"/>
        <v>HW</v>
      </c>
      <c r="S365" s="42" t="str">
        <f t="shared" si="198"/>
        <v>HL</v>
      </c>
      <c r="T365" s="42" t="str">
        <f t="shared" si="199"/>
        <v>HL</v>
      </c>
      <c r="U365" s="42" t="str">
        <f t="shared" si="200"/>
        <v>U</v>
      </c>
      <c r="V365" s="42" t="str">
        <f t="shared" si="201"/>
        <v>T</v>
      </c>
      <c r="W365" s="42" t="str">
        <f t="shared" si="202"/>
        <v>O</v>
      </c>
      <c r="X365" s="42" t="str">
        <f t="shared" si="203"/>
        <v>U</v>
      </c>
      <c r="Z365">
        <v>60</v>
      </c>
      <c r="AA365" s="42" t="str">
        <f t="shared" si="204"/>
        <v>MIL/NO</v>
      </c>
    </row>
    <row r="366" spans="1:27" ht="17.100000000000001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>
        <v>23</v>
      </c>
      <c r="F366">
        <v>15</v>
      </c>
      <c r="G366">
        <v>31</v>
      </c>
      <c r="H366">
        <v>25</v>
      </c>
      <c r="J366">
        <v>18</v>
      </c>
      <c r="K366">
        <v>29</v>
      </c>
      <c r="L366">
        <v>24</v>
      </c>
      <c r="M366">
        <v>22</v>
      </c>
      <c r="N366" s="2" t="s">
        <v>427</v>
      </c>
      <c r="O366" s="42">
        <f t="shared" si="194"/>
        <v>94</v>
      </c>
      <c r="P366" s="42">
        <f t="shared" si="195"/>
        <v>93</v>
      </c>
      <c r="Q366" s="42" t="str">
        <f t="shared" si="196"/>
        <v>HW</v>
      </c>
      <c r="R366" s="42" t="str">
        <f t="shared" si="197"/>
        <v>HL</v>
      </c>
      <c r="S366" s="42" t="str">
        <f t="shared" si="198"/>
        <v>HW</v>
      </c>
      <c r="T366" s="42" t="str">
        <f t="shared" si="199"/>
        <v>HW</v>
      </c>
      <c r="U366" s="42" t="str">
        <f t="shared" si="200"/>
        <v>U</v>
      </c>
      <c r="V366" s="42" t="str">
        <f t="shared" si="201"/>
        <v>U</v>
      </c>
      <c r="W366" s="42" t="str">
        <f t="shared" si="202"/>
        <v>O</v>
      </c>
      <c r="X366" s="42" t="str">
        <f t="shared" si="203"/>
        <v>U</v>
      </c>
      <c r="Z366">
        <v>53.5</v>
      </c>
      <c r="AA366" s="42" t="str">
        <f t="shared" si="204"/>
        <v>SAC/OKC</v>
      </c>
    </row>
    <row r="367" spans="1:27" ht="17.100000000000001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>
        <v>20</v>
      </c>
      <c r="F367">
        <v>30</v>
      </c>
      <c r="G367">
        <v>30</v>
      </c>
      <c r="H367">
        <v>32</v>
      </c>
      <c r="I367">
        <v>10</v>
      </c>
      <c r="J367">
        <v>30</v>
      </c>
      <c r="K367">
        <v>38</v>
      </c>
      <c r="L367">
        <v>19</v>
      </c>
      <c r="M367">
        <v>25</v>
      </c>
      <c r="N367" s="2">
        <v>12</v>
      </c>
      <c r="O367" s="42">
        <f t="shared" si="194"/>
        <v>122</v>
      </c>
      <c r="P367" s="42">
        <f t="shared" si="195"/>
        <v>124</v>
      </c>
      <c r="Q367" s="42" t="str">
        <f t="shared" si="196"/>
        <v>HL</v>
      </c>
      <c r="R367" s="42" t="str">
        <f t="shared" si="197"/>
        <v>HL</v>
      </c>
      <c r="S367" s="42" t="str">
        <f t="shared" si="198"/>
        <v>HW</v>
      </c>
      <c r="T367" s="42" t="str">
        <f t="shared" si="199"/>
        <v>HW</v>
      </c>
      <c r="U367" s="42" t="str">
        <f t="shared" si="200"/>
        <v>U</v>
      </c>
      <c r="V367" s="42" t="str">
        <f t="shared" si="201"/>
        <v>O</v>
      </c>
      <c r="W367" s="42" t="str">
        <f t="shared" si="202"/>
        <v>U</v>
      </c>
      <c r="X367" s="42" t="str">
        <f t="shared" si="203"/>
        <v>O</v>
      </c>
      <c r="Z367">
        <v>54</v>
      </c>
      <c r="AA367" s="42" t="str">
        <f t="shared" si="204"/>
        <v>GS/NYK</v>
      </c>
    </row>
    <row r="368" spans="1:27" ht="17.100000000000001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>
        <v>34</v>
      </c>
      <c r="F368">
        <v>25</v>
      </c>
      <c r="G368">
        <v>21</v>
      </c>
      <c r="H368">
        <v>29</v>
      </c>
      <c r="J368">
        <v>28</v>
      </c>
      <c r="K368">
        <v>28</v>
      </c>
      <c r="L368">
        <v>25</v>
      </c>
      <c r="M368">
        <v>34</v>
      </c>
      <c r="N368" s="2" t="s">
        <v>427</v>
      </c>
      <c r="O368" s="42">
        <f t="shared" si="194"/>
        <v>109</v>
      </c>
      <c r="P368" s="42">
        <f t="shared" si="195"/>
        <v>115</v>
      </c>
      <c r="Q368" s="42" t="str">
        <f t="shared" si="196"/>
        <v>HW</v>
      </c>
      <c r="R368" s="42" t="str">
        <f t="shared" si="197"/>
        <v>HL</v>
      </c>
      <c r="S368" s="42" t="str">
        <f t="shared" si="198"/>
        <v>HL</v>
      </c>
      <c r="T368" s="42" t="str">
        <f t="shared" si="199"/>
        <v>HL</v>
      </c>
      <c r="U368" s="42" t="str">
        <f t="shared" si="200"/>
        <v>O</v>
      </c>
      <c r="V368" s="42" t="str">
        <f t="shared" si="201"/>
        <v>O</v>
      </c>
      <c r="W368" s="42" t="str">
        <f t="shared" si="202"/>
        <v>U</v>
      </c>
      <c r="X368" s="42" t="str">
        <f t="shared" si="203"/>
        <v>O</v>
      </c>
      <c r="Z368">
        <v>52</v>
      </c>
      <c r="AA368" s="42" t="str">
        <f t="shared" si="204"/>
        <v>BOS/PHI</v>
      </c>
    </row>
    <row r="369" spans="1:27" ht="17.100000000000001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>
        <v>19</v>
      </c>
      <c r="F369">
        <v>24</v>
      </c>
      <c r="G369">
        <v>25</v>
      </c>
      <c r="H369">
        <v>35</v>
      </c>
      <c r="I369">
        <v>6</v>
      </c>
      <c r="J369">
        <v>28</v>
      </c>
      <c r="K369">
        <v>25</v>
      </c>
      <c r="L369">
        <v>25</v>
      </c>
      <c r="M369">
        <v>25</v>
      </c>
      <c r="N369" s="2">
        <v>14</v>
      </c>
      <c r="O369" s="42">
        <f t="shared" si="194"/>
        <v>109</v>
      </c>
      <c r="P369" s="42">
        <f t="shared" si="195"/>
        <v>117</v>
      </c>
      <c r="Q369" s="42" t="str">
        <f t="shared" si="196"/>
        <v>HL</v>
      </c>
      <c r="R369" s="42" t="str">
        <f t="shared" si="197"/>
        <v>HL</v>
      </c>
      <c r="S369" s="42" t="str">
        <f t="shared" si="198"/>
        <v>TT</v>
      </c>
      <c r="T369" s="42" t="str">
        <f t="shared" si="199"/>
        <v>HW</v>
      </c>
      <c r="U369" s="42" t="str">
        <f t="shared" si="200"/>
        <v>U</v>
      </c>
      <c r="V369" s="42" t="str">
        <f t="shared" si="201"/>
        <v>U</v>
      </c>
      <c r="W369" s="42" t="str">
        <f t="shared" si="202"/>
        <v>U</v>
      </c>
      <c r="X369" s="42" t="str">
        <f t="shared" si="203"/>
        <v>O</v>
      </c>
      <c r="Z369">
        <v>54</v>
      </c>
      <c r="AA369" s="42" t="str">
        <f t="shared" si="204"/>
        <v>SAS/CLE</v>
      </c>
    </row>
    <row r="370" spans="1:27" ht="17.100000000000001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>
        <v>29</v>
      </c>
      <c r="F370">
        <v>29</v>
      </c>
      <c r="G370">
        <v>27</v>
      </c>
      <c r="H370">
        <v>26</v>
      </c>
      <c r="J370">
        <v>34</v>
      </c>
      <c r="K370">
        <v>31</v>
      </c>
      <c r="L370">
        <v>30</v>
      </c>
      <c r="M370">
        <v>27</v>
      </c>
      <c r="N370" s="2" t="s">
        <v>427</v>
      </c>
      <c r="O370" s="42">
        <f t="shared" si="194"/>
        <v>111</v>
      </c>
      <c r="P370" s="42">
        <f t="shared" si="195"/>
        <v>122</v>
      </c>
      <c r="Q370" s="42" t="str">
        <f t="shared" si="196"/>
        <v>HL</v>
      </c>
      <c r="R370" s="42" t="str">
        <f t="shared" si="197"/>
        <v>HL</v>
      </c>
      <c r="S370" s="42" t="str">
        <f t="shared" si="198"/>
        <v>HL</v>
      </c>
      <c r="T370" s="42" t="str">
        <f t="shared" si="199"/>
        <v>HL</v>
      </c>
      <c r="U370" s="42" t="str">
        <f t="shared" si="200"/>
        <v>O</v>
      </c>
      <c r="V370" s="42" t="str">
        <f t="shared" si="201"/>
        <v>O</v>
      </c>
      <c r="W370" s="42" t="str">
        <f t="shared" si="202"/>
        <v>O</v>
      </c>
      <c r="X370" s="42" t="str">
        <f t="shared" si="203"/>
        <v>U</v>
      </c>
      <c r="Z370">
        <v>56.5</v>
      </c>
      <c r="AA370" s="42" t="str">
        <f t="shared" si="204"/>
        <v>DET/DAL</v>
      </c>
    </row>
    <row r="371" spans="1:27" ht="17.100000000000001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>
        <v>33</v>
      </c>
      <c r="F371">
        <v>29</v>
      </c>
      <c r="G371">
        <v>27</v>
      </c>
      <c r="H371">
        <v>25</v>
      </c>
      <c r="J371">
        <v>26</v>
      </c>
      <c r="K371">
        <v>27</v>
      </c>
      <c r="L371">
        <v>25</v>
      </c>
      <c r="M371">
        <v>21</v>
      </c>
      <c r="N371" s="2" t="s">
        <v>427</v>
      </c>
      <c r="O371" s="42">
        <f t="shared" si="194"/>
        <v>114</v>
      </c>
      <c r="P371" s="42">
        <f t="shared" si="195"/>
        <v>99</v>
      </c>
      <c r="Q371" s="42" t="str">
        <f t="shared" si="196"/>
        <v>HW</v>
      </c>
      <c r="R371" s="42" t="str">
        <f t="shared" si="197"/>
        <v>HW</v>
      </c>
      <c r="S371" s="42" t="str">
        <f t="shared" si="198"/>
        <v>HW</v>
      </c>
      <c r="T371" s="42" t="str">
        <f t="shared" si="199"/>
        <v>HW</v>
      </c>
      <c r="U371" s="42" t="str">
        <f t="shared" si="200"/>
        <v>O</v>
      </c>
      <c r="V371" s="42" t="str">
        <f t="shared" si="201"/>
        <v>O</v>
      </c>
      <c r="W371" s="42" t="str">
        <f t="shared" si="202"/>
        <v>U</v>
      </c>
      <c r="X371" s="42" t="str">
        <f t="shared" si="203"/>
        <v>U</v>
      </c>
      <c r="Z371">
        <v>54.5</v>
      </c>
      <c r="AA371" s="42" t="str">
        <f t="shared" si="204"/>
        <v>DEN/POR</v>
      </c>
    </row>
    <row r="372" spans="1:27" ht="17.100000000000001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>
        <v>29</v>
      </c>
      <c r="F372">
        <v>30</v>
      </c>
      <c r="G372">
        <v>26</v>
      </c>
      <c r="H372">
        <v>25</v>
      </c>
      <c r="J372">
        <v>30</v>
      </c>
      <c r="K372">
        <v>21</v>
      </c>
      <c r="L372">
        <v>37</v>
      </c>
      <c r="M372">
        <v>25</v>
      </c>
      <c r="N372" s="2" t="s">
        <v>427</v>
      </c>
      <c r="O372" s="42">
        <f t="shared" si="194"/>
        <v>110</v>
      </c>
      <c r="P372" s="42">
        <f t="shared" si="195"/>
        <v>113</v>
      </c>
      <c r="Q372" s="42" t="str">
        <f t="shared" si="196"/>
        <v>HL</v>
      </c>
      <c r="R372" s="42" t="str">
        <f t="shared" si="197"/>
        <v>HW</v>
      </c>
      <c r="S372" s="42" t="str">
        <f t="shared" si="198"/>
        <v>HL</v>
      </c>
      <c r="T372" s="42" t="str">
        <f t="shared" si="199"/>
        <v>TT</v>
      </c>
      <c r="U372" s="42" t="str">
        <f t="shared" si="200"/>
        <v>O</v>
      </c>
      <c r="V372" s="42" t="str">
        <f t="shared" si="201"/>
        <v>U</v>
      </c>
      <c r="W372" s="42" t="str">
        <f t="shared" si="202"/>
        <v>O</v>
      </c>
      <c r="X372" s="42" t="str">
        <f t="shared" si="203"/>
        <v>U</v>
      </c>
      <c r="Z372">
        <v>55</v>
      </c>
      <c r="AA372" s="42" t="str">
        <f t="shared" si="204"/>
        <v>MIA/LAL</v>
      </c>
    </row>
    <row r="373" spans="1:27" ht="17.100000000000001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>
        <v>22</v>
      </c>
      <c r="F373">
        <v>33</v>
      </c>
      <c r="G373">
        <v>23</v>
      </c>
      <c r="H373">
        <v>29</v>
      </c>
      <c r="J373">
        <v>28</v>
      </c>
      <c r="K373">
        <v>34</v>
      </c>
      <c r="L373">
        <v>34</v>
      </c>
      <c r="M373">
        <v>34</v>
      </c>
      <c r="N373" s="2" t="s">
        <v>427</v>
      </c>
      <c r="O373" s="42">
        <f t="shared" si="194"/>
        <v>107</v>
      </c>
      <c r="P373" s="42">
        <f t="shared" si="195"/>
        <v>130</v>
      </c>
      <c r="Q373" s="42" t="str">
        <f t="shared" si="196"/>
        <v>HL</v>
      </c>
      <c r="R373" s="42" t="str">
        <f t="shared" si="197"/>
        <v>HL</v>
      </c>
      <c r="S373" s="42" t="str">
        <f t="shared" si="198"/>
        <v>HL</v>
      </c>
      <c r="T373" s="42" t="str">
        <f t="shared" si="199"/>
        <v>HL</v>
      </c>
      <c r="U373" s="42" t="str">
        <f t="shared" si="200"/>
        <v>U</v>
      </c>
      <c r="V373" s="42" t="str">
        <f t="shared" si="201"/>
        <v>O</v>
      </c>
      <c r="W373" s="42" t="str">
        <f t="shared" si="202"/>
        <v>T</v>
      </c>
      <c r="X373" s="42" t="str">
        <f t="shared" si="203"/>
        <v>O</v>
      </c>
      <c r="Z373">
        <v>57</v>
      </c>
      <c r="AA373" s="42" t="str">
        <f t="shared" si="204"/>
        <v>ORL/HOU</v>
      </c>
    </row>
    <row r="374" spans="1:27" ht="17.100000000000001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>
        <v>39</v>
      </c>
      <c r="F374">
        <v>23</v>
      </c>
      <c r="G374">
        <v>30</v>
      </c>
      <c r="H374">
        <v>24</v>
      </c>
      <c r="J374">
        <v>25</v>
      </c>
      <c r="K374">
        <v>32</v>
      </c>
      <c r="L374">
        <v>25</v>
      </c>
      <c r="M374">
        <v>27</v>
      </c>
      <c r="N374" s="2" t="s">
        <v>427</v>
      </c>
      <c r="O374" s="42">
        <f t="shared" si="194"/>
        <v>116</v>
      </c>
      <c r="P374" s="42">
        <f t="shared" si="195"/>
        <v>109</v>
      </c>
      <c r="Q374" s="42" t="str">
        <f t="shared" si="196"/>
        <v>HW</v>
      </c>
      <c r="R374" s="42" t="str">
        <f t="shared" si="197"/>
        <v>HL</v>
      </c>
      <c r="S374" s="42" t="str">
        <f t="shared" si="198"/>
        <v>HW</v>
      </c>
      <c r="T374" s="42" t="str">
        <f t="shared" si="199"/>
        <v>HL</v>
      </c>
      <c r="U374" s="42" t="str">
        <f t="shared" si="200"/>
        <v>O</v>
      </c>
      <c r="V374" s="42" t="str">
        <f t="shared" si="201"/>
        <v>U</v>
      </c>
      <c r="W374" s="42" t="str">
        <f t="shared" si="202"/>
        <v>U</v>
      </c>
      <c r="X374" s="42" t="str">
        <f t="shared" si="203"/>
        <v>U</v>
      </c>
      <c r="Z374">
        <v>57.5</v>
      </c>
      <c r="AA374" s="42" t="str">
        <f t="shared" si="204"/>
        <v>PHI/NO</v>
      </c>
    </row>
    <row r="375" spans="1:27" ht="17.100000000000001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>
        <v>22</v>
      </c>
      <c r="F375">
        <v>26</v>
      </c>
      <c r="G375">
        <v>35</v>
      </c>
      <c r="H375">
        <v>17</v>
      </c>
      <c r="J375">
        <v>29</v>
      </c>
      <c r="K375">
        <v>34</v>
      </c>
      <c r="L375">
        <v>23</v>
      </c>
      <c r="M375">
        <v>24</v>
      </c>
      <c r="N375" s="2" t="s">
        <v>427</v>
      </c>
      <c r="O375" s="42">
        <f t="shared" si="194"/>
        <v>100</v>
      </c>
      <c r="P375" s="42">
        <f t="shared" si="195"/>
        <v>110</v>
      </c>
      <c r="Q375" s="42" t="str">
        <f t="shared" si="196"/>
        <v>HL</v>
      </c>
      <c r="R375" s="42" t="str">
        <f t="shared" si="197"/>
        <v>HL</v>
      </c>
      <c r="S375" s="42" t="str">
        <f t="shared" si="198"/>
        <v>HW</v>
      </c>
      <c r="T375" s="42" t="str">
        <f t="shared" si="199"/>
        <v>HL</v>
      </c>
      <c r="U375" s="42" t="str">
        <f t="shared" si="200"/>
        <v>U</v>
      </c>
      <c r="V375" s="42" t="str">
        <f t="shared" si="201"/>
        <v>O</v>
      </c>
      <c r="W375" s="42" t="str">
        <f t="shared" si="202"/>
        <v>O</v>
      </c>
      <c r="X375" s="42" t="str">
        <f t="shared" si="203"/>
        <v>U</v>
      </c>
      <c r="Z375">
        <v>57.5</v>
      </c>
      <c r="AA375" s="42" t="str">
        <f t="shared" si="204"/>
        <v>ATL/IND</v>
      </c>
    </row>
    <row r="376" spans="1:27" ht="17.100000000000001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>
        <v>15</v>
      </c>
      <c r="F376">
        <v>25</v>
      </c>
      <c r="G376">
        <v>10</v>
      </c>
      <c r="H376">
        <v>23</v>
      </c>
      <c r="J376">
        <v>24</v>
      </c>
      <c r="K376">
        <v>20</v>
      </c>
      <c r="L376">
        <v>15</v>
      </c>
      <c r="M376">
        <v>24</v>
      </c>
      <c r="N376" s="2" t="s">
        <v>427</v>
      </c>
      <c r="O376" s="42">
        <f t="shared" si="194"/>
        <v>73</v>
      </c>
      <c r="P376" s="42">
        <f t="shared" si="195"/>
        <v>83</v>
      </c>
      <c r="Q376" s="42" t="str">
        <f t="shared" si="196"/>
        <v>HL</v>
      </c>
      <c r="R376" s="42" t="str">
        <f t="shared" si="197"/>
        <v>HW</v>
      </c>
      <c r="S376" s="42" t="str">
        <f t="shared" si="198"/>
        <v>HL</v>
      </c>
      <c r="T376" s="42" t="str">
        <f t="shared" si="199"/>
        <v>HL</v>
      </c>
      <c r="U376" s="42" t="str">
        <f t="shared" si="200"/>
        <v>U</v>
      </c>
      <c r="V376" s="42" t="str">
        <f t="shared" si="201"/>
        <v>U</v>
      </c>
      <c r="W376" s="42" t="str">
        <f t="shared" si="202"/>
        <v>U</v>
      </c>
      <c r="X376" s="42" t="str">
        <f t="shared" si="203"/>
        <v>U</v>
      </c>
      <c r="Z376">
        <v>55</v>
      </c>
      <c r="AA376" s="42" t="str">
        <f t="shared" si="204"/>
        <v>CHI/CHA</v>
      </c>
    </row>
    <row r="377" spans="1:27" ht="17.100000000000001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>
        <v>29</v>
      </c>
      <c r="F377">
        <v>33</v>
      </c>
      <c r="G377">
        <v>33</v>
      </c>
      <c r="H377">
        <v>19</v>
      </c>
      <c r="J377">
        <v>35</v>
      </c>
      <c r="K377">
        <v>29</v>
      </c>
      <c r="L377">
        <v>26</v>
      </c>
      <c r="M377">
        <v>37</v>
      </c>
      <c r="N377" s="2" t="s">
        <v>427</v>
      </c>
      <c r="O377" s="42">
        <f t="shared" si="194"/>
        <v>114</v>
      </c>
      <c r="P377" s="42">
        <f t="shared" si="195"/>
        <v>127</v>
      </c>
      <c r="Q377" s="42" t="str">
        <f t="shared" si="196"/>
        <v>HL</v>
      </c>
      <c r="R377" s="42" t="str">
        <f t="shared" si="197"/>
        <v>HW</v>
      </c>
      <c r="S377" s="42" t="str">
        <f t="shared" si="198"/>
        <v>HW</v>
      </c>
      <c r="T377" s="42" t="str">
        <f t="shared" si="199"/>
        <v>HL</v>
      </c>
      <c r="U377" s="42" t="str">
        <f t="shared" si="200"/>
        <v>O</v>
      </c>
      <c r="V377" s="42" t="str">
        <f t="shared" si="201"/>
        <v>O</v>
      </c>
      <c r="W377" s="42" t="str">
        <f t="shared" si="202"/>
        <v>O</v>
      </c>
      <c r="X377" s="42" t="str">
        <f t="shared" si="203"/>
        <v>U</v>
      </c>
      <c r="Z377">
        <v>56.5</v>
      </c>
      <c r="AA377" s="42" t="str">
        <f t="shared" si="204"/>
        <v>MEM/MIL</v>
      </c>
    </row>
    <row r="378" spans="1:27" ht="17.100000000000001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>
        <v>22</v>
      </c>
      <c r="F378">
        <v>27</v>
      </c>
      <c r="G378">
        <v>37</v>
      </c>
      <c r="H378">
        <v>28</v>
      </c>
      <c r="J378">
        <v>29</v>
      </c>
      <c r="K378">
        <v>27</v>
      </c>
      <c r="L378">
        <v>28</v>
      </c>
      <c r="M378">
        <v>22</v>
      </c>
      <c r="N378" s="2" t="s">
        <v>427</v>
      </c>
      <c r="O378" s="42">
        <f t="shared" si="194"/>
        <v>114</v>
      </c>
      <c r="P378" s="42">
        <f t="shared" si="195"/>
        <v>106</v>
      </c>
      <c r="Q378" s="42" t="str">
        <f t="shared" si="196"/>
        <v>HL</v>
      </c>
      <c r="R378" s="42" t="str">
        <f t="shared" si="197"/>
        <v>TT</v>
      </c>
      <c r="S378" s="42" t="str">
        <f t="shared" si="198"/>
        <v>HW</v>
      </c>
      <c r="T378" s="42" t="str">
        <f t="shared" si="199"/>
        <v>HW</v>
      </c>
      <c r="U378" s="42" t="str">
        <f t="shared" si="200"/>
        <v>U</v>
      </c>
      <c r="V378" s="42" t="str">
        <f t="shared" si="201"/>
        <v>U</v>
      </c>
      <c r="W378" s="42" t="str">
        <f t="shared" si="202"/>
        <v>O</v>
      </c>
      <c r="X378" s="42" t="str">
        <f t="shared" si="203"/>
        <v>U</v>
      </c>
      <c r="Z378">
        <v>54.5</v>
      </c>
      <c r="AA378" s="42" t="str">
        <f t="shared" si="204"/>
        <v>UTA/GS</v>
      </c>
    </row>
    <row r="379" spans="1:27" ht="17.100000000000001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>
        <v>29</v>
      </c>
      <c r="F379">
        <v>29</v>
      </c>
      <c r="G379">
        <v>23</v>
      </c>
      <c r="H379">
        <v>36</v>
      </c>
      <c r="J379">
        <v>33</v>
      </c>
      <c r="K379">
        <v>32</v>
      </c>
      <c r="L379">
        <v>37</v>
      </c>
      <c r="M379">
        <v>22</v>
      </c>
      <c r="N379" s="2" t="s">
        <v>427</v>
      </c>
      <c r="O379" s="42">
        <f t="shared" si="194"/>
        <v>117</v>
      </c>
      <c r="P379" s="42">
        <f t="shared" si="195"/>
        <v>124</v>
      </c>
      <c r="Q379" s="42" t="str">
        <f t="shared" si="196"/>
        <v>HL</v>
      </c>
      <c r="R379" s="42" t="str">
        <f t="shared" si="197"/>
        <v>HL</v>
      </c>
      <c r="S379" s="42" t="str">
        <f t="shared" si="198"/>
        <v>HL</v>
      </c>
      <c r="T379" s="42" t="str">
        <f t="shared" si="199"/>
        <v>HW</v>
      </c>
      <c r="U379" s="42" t="str">
        <f t="shared" si="200"/>
        <v>O</v>
      </c>
      <c r="V379" s="42" t="str">
        <f t="shared" si="201"/>
        <v>O</v>
      </c>
      <c r="W379" s="42" t="str">
        <f t="shared" si="202"/>
        <v>O</v>
      </c>
      <c r="X379" s="42" t="str">
        <f t="shared" si="203"/>
        <v>U</v>
      </c>
      <c r="Z379">
        <v>59</v>
      </c>
      <c r="AA379" s="42" t="str">
        <f t="shared" si="204"/>
        <v>MIN/LAC</v>
      </c>
    </row>
    <row r="380" spans="1:27" ht="17.100000000000001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>
        <v>32</v>
      </c>
      <c r="F380">
        <v>22</v>
      </c>
      <c r="G380">
        <v>26</v>
      </c>
      <c r="H380">
        <v>21</v>
      </c>
      <c r="J380">
        <v>20</v>
      </c>
      <c r="K380">
        <v>25</v>
      </c>
      <c r="L380">
        <v>27</v>
      </c>
      <c r="M380">
        <v>31</v>
      </c>
      <c r="N380" s="2" t="s">
        <v>427</v>
      </c>
      <c r="O380" s="42">
        <f t="shared" si="194"/>
        <v>101</v>
      </c>
      <c r="P380" s="42">
        <f t="shared" si="195"/>
        <v>103</v>
      </c>
      <c r="Q380" s="42" t="str">
        <f t="shared" si="196"/>
        <v>HW</v>
      </c>
      <c r="R380" s="42" t="str">
        <f t="shared" si="197"/>
        <v>HL</v>
      </c>
      <c r="S380" s="42" t="str">
        <f t="shared" si="198"/>
        <v>HL</v>
      </c>
      <c r="T380" s="42" t="str">
        <f t="shared" si="199"/>
        <v>HL</v>
      </c>
      <c r="U380" s="42" t="str">
        <f t="shared" si="200"/>
        <v>U</v>
      </c>
      <c r="V380" s="42" t="str">
        <f t="shared" si="201"/>
        <v>U</v>
      </c>
      <c r="W380" s="42" t="str">
        <f t="shared" si="202"/>
        <v>U</v>
      </c>
      <c r="X380" s="42" t="str">
        <f t="shared" si="203"/>
        <v>U</v>
      </c>
      <c r="Z380">
        <v>54</v>
      </c>
      <c r="AA380" s="42" t="str">
        <f t="shared" si="204"/>
        <v>SAC/NYK</v>
      </c>
    </row>
    <row r="381" spans="1:27" ht="17.100000000000001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>
        <v>18</v>
      </c>
      <c r="F381">
        <v>30</v>
      </c>
      <c r="G381">
        <v>32</v>
      </c>
      <c r="H381">
        <v>29</v>
      </c>
      <c r="I381">
        <v>10</v>
      </c>
      <c r="J381">
        <v>28</v>
      </c>
      <c r="K381">
        <v>16</v>
      </c>
      <c r="L381">
        <v>34</v>
      </c>
      <c r="M381">
        <v>31</v>
      </c>
      <c r="N381" s="2">
        <v>12</v>
      </c>
      <c r="O381" s="42">
        <f t="shared" si="194"/>
        <v>119</v>
      </c>
      <c r="P381" s="42">
        <f t="shared" si="195"/>
        <v>121</v>
      </c>
      <c r="Q381" s="42" t="str">
        <f t="shared" si="196"/>
        <v>HL</v>
      </c>
      <c r="R381" s="42" t="str">
        <f t="shared" si="197"/>
        <v>HW</v>
      </c>
      <c r="S381" s="42" t="str">
        <f t="shared" si="198"/>
        <v>HL</v>
      </c>
      <c r="T381" s="42" t="str">
        <f t="shared" si="199"/>
        <v>HL</v>
      </c>
      <c r="U381" s="42" t="str">
        <f t="shared" si="200"/>
        <v>U</v>
      </c>
      <c r="V381" s="42" t="str">
        <f t="shared" si="201"/>
        <v>U</v>
      </c>
      <c r="W381" s="42" t="str">
        <f t="shared" si="202"/>
        <v>O</v>
      </c>
      <c r="X381" s="42" t="str">
        <f t="shared" si="203"/>
        <v>O</v>
      </c>
      <c r="Z381">
        <v>53.5</v>
      </c>
      <c r="AA381" s="42" t="str">
        <f t="shared" si="204"/>
        <v>PHO/SAS</v>
      </c>
    </row>
    <row r="382" spans="1:27" ht="17.100000000000001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>
        <v>38</v>
      </c>
      <c r="F382">
        <v>27</v>
      </c>
      <c r="G382">
        <v>25</v>
      </c>
      <c r="H382">
        <v>20</v>
      </c>
      <c r="J382">
        <v>31</v>
      </c>
      <c r="K382">
        <v>29</v>
      </c>
      <c r="L382">
        <v>23</v>
      </c>
      <c r="M382">
        <v>19</v>
      </c>
      <c r="N382" s="2" t="s">
        <v>427</v>
      </c>
      <c r="O382" s="42">
        <f t="shared" si="194"/>
        <v>110</v>
      </c>
      <c r="P382" s="42">
        <f t="shared" si="195"/>
        <v>102</v>
      </c>
      <c r="Q382" s="42" t="str">
        <f t="shared" si="196"/>
        <v>HW</v>
      </c>
      <c r="R382" s="42" t="str">
        <f t="shared" si="197"/>
        <v>HL</v>
      </c>
      <c r="S382" s="42" t="str">
        <f t="shared" si="198"/>
        <v>HW</v>
      </c>
      <c r="T382" s="42" t="str">
        <f t="shared" si="199"/>
        <v>HW</v>
      </c>
      <c r="U382" s="42" t="str">
        <f t="shared" si="200"/>
        <v>O</v>
      </c>
      <c r="V382" s="42" t="str">
        <f t="shared" si="201"/>
        <v>O</v>
      </c>
      <c r="W382" s="42" t="str">
        <f t="shared" si="202"/>
        <v>U</v>
      </c>
      <c r="X382" s="42" t="str">
        <f t="shared" si="203"/>
        <v>U</v>
      </c>
      <c r="Z382">
        <v>53.5</v>
      </c>
      <c r="AA382" s="42" t="str">
        <f t="shared" si="204"/>
        <v>TOR/BKN</v>
      </c>
    </row>
    <row r="383" spans="1:27" ht="17.100000000000001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>
        <v>24</v>
      </c>
      <c r="F383">
        <v>31</v>
      </c>
      <c r="G383">
        <v>29</v>
      </c>
      <c r="H383">
        <v>25</v>
      </c>
      <c r="J383">
        <v>29</v>
      </c>
      <c r="K383">
        <v>28</v>
      </c>
      <c r="L383">
        <v>22</v>
      </c>
      <c r="M383">
        <v>27</v>
      </c>
      <c r="N383" s="2" t="s">
        <v>427</v>
      </c>
      <c r="O383" s="42">
        <f t="shared" si="194"/>
        <v>109</v>
      </c>
      <c r="P383" s="42">
        <f t="shared" si="195"/>
        <v>106</v>
      </c>
      <c r="Q383" s="42" t="str">
        <f t="shared" si="196"/>
        <v>HL</v>
      </c>
      <c r="R383" s="42" t="str">
        <f t="shared" si="197"/>
        <v>HW</v>
      </c>
      <c r="S383" s="42" t="str">
        <f t="shared" si="198"/>
        <v>HW</v>
      </c>
      <c r="T383" s="42" t="str">
        <f t="shared" si="199"/>
        <v>HL</v>
      </c>
      <c r="U383" s="42" t="str">
        <f t="shared" si="200"/>
        <v>U</v>
      </c>
      <c r="V383" s="42" t="str">
        <f t="shared" si="201"/>
        <v>O</v>
      </c>
      <c r="W383" s="42" t="str">
        <f t="shared" si="202"/>
        <v>U</v>
      </c>
      <c r="X383" s="42" t="str">
        <f t="shared" si="203"/>
        <v>U</v>
      </c>
      <c r="Z383">
        <v>55</v>
      </c>
      <c r="AA383" s="42" t="str">
        <f t="shared" si="204"/>
        <v>CHI/LAC</v>
      </c>
    </row>
    <row r="384" spans="1:27" ht="17.100000000000001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>
        <v>35</v>
      </c>
      <c r="F384">
        <v>34</v>
      </c>
      <c r="G384">
        <v>35</v>
      </c>
      <c r="H384">
        <v>24</v>
      </c>
      <c r="J384">
        <v>30</v>
      </c>
      <c r="K384">
        <v>24</v>
      </c>
      <c r="L384">
        <v>30</v>
      </c>
      <c r="M384">
        <v>27</v>
      </c>
      <c r="N384" s="2" t="s">
        <v>427</v>
      </c>
      <c r="O384" s="42">
        <f t="shared" si="194"/>
        <v>128</v>
      </c>
      <c r="P384" s="42">
        <f t="shared" si="195"/>
        <v>111</v>
      </c>
      <c r="Q384" s="42" t="str">
        <f t="shared" si="196"/>
        <v>HW</v>
      </c>
      <c r="R384" s="42" t="str">
        <f t="shared" si="197"/>
        <v>HW</v>
      </c>
      <c r="S384" s="42" t="str">
        <f t="shared" si="198"/>
        <v>HW</v>
      </c>
      <c r="T384" s="42" t="str">
        <f t="shared" si="199"/>
        <v>HL</v>
      </c>
      <c r="U384" s="42" t="str">
        <f t="shared" si="200"/>
        <v>O</v>
      </c>
      <c r="V384" s="42" t="str">
        <f t="shared" si="201"/>
        <v>U</v>
      </c>
      <c r="W384" s="42" t="str">
        <f t="shared" si="202"/>
        <v>O</v>
      </c>
      <c r="X384" s="42" t="str">
        <f t="shared" si="203"/>
        <v>U</v>
      </c>
      <c r="Z384">
        <v>60.5</v>
      </c>
      <c r="AA384" s="42" t="str">
        <f t="shared" si="204"/>
        <v>MEM/WAS</v>
      </c>
    </row>
    <row r="385" spans="1:27" ht="17.100000000000001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>
        <v>23</v>
      </c>
      <c r="F385">
        <v>27</v>
      </c>
      <c r="G385">
        <v>31</v>
      </c>
      <c r="H385">
        <v>31</v>
      </c>
      <c r="I385">
        <v>6</v>
      </c>
      <c r="J385">
        <v>37</v>
      </c>
      <c r="K385">
        <v>36</v>
      </c>
      <c r="L385">
        <v>18</v>
      </c>
      <c r="M385">
        <v>21</v>
      </c>
      <c r="N385" s="2">
        <v>10</v>
      </c>
      <c r="O385" s="42">
        <f t="shared" ref="O385:O407" si="205">SUM(E385:I385)</f>
        <v>118</v>
      </c>
      <c r="P385" s="42">
        <f t="shared" ref="P385:P407" si="206">SUM(J385:N385)</f>
        <v>122</v>
      </c>
      <c r="Q385" s="42" t="str">
        <f t="shared" ref="Q385:Q407" si="207">IF(E385=J385,"TT",IF(E385&gt;J385,"HW","HL"))</f>
        <v>HL</v>
      </c>
      <c r="R385" s="42" t="str">
        <f t="shared" ref="R385:R407" si="208">IF(F385=K385,"TT",IF(F385&gt;K385,"HW","HL"))</f>
        <v>HL</v>
      </c>
      <c r="S385" s="42" t="str">
        <f t="shared" ref="S385:S407" si="209">IF(G385=L385,"TT",IF(G385&gt;L385,"HW","HL"))</f>
        <v>HW</v>
      </c>
      <c r="T385" s="42" t="str">
        <f t="shared" ref="T385:T407" si="210">IF(H385=M385,"TT",IF(H385&gt;M385,"HW","HL"))</f>
        <v>HW</v>
      </c>
      <c r="U385" s="42" t="str">
        <f t="shared" ref="U385:U407" si="211">IF(SUM(E385,J385)=$Z385,"T",IF(SUM(E385,J385)&gt;$Z385,"O","U"))</f>
        <v>O</v>
      </c>
      <c r="V385" s="42" t="str">
        <f t="shared" ref="V385:V407" si="212">IF(SUM(F385,K385)=$Z385,"T",IF(SUM(F385,K385)&gt;$Z385,"O","U"))</f>
        <v>O</v>
      </c>
      <c r="W385" s="42" t="str">
        <f t="shared" ref="W385:W407" si="213">IF(SUM(G385,L385)=$Z385,"T",IF(SUM(G385,L385)&gt;$Z385,"O","U"))</f>
        <v>U</v>
      </c>
      <c r="X385" s="42" t="str">
        <f t="shared" ref="X385:X407" si="214">IF(SUM(H385,M385)=$Z385,"T",IF(SUM(H385,M385)&gt;$Z385,"O","U"))</f>
        <v>U</v>
      </c>
      <c r="Z385">
        <v>56</v>
      </c>
      <c r="AA385" s="42" t="str">
        <f t="shared" si="204"/>
        <v>DAL/MIA</v>
      </c>
    </row>
    <row r="386" spans="1:27" ht="17.100000000000001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>
        <v>26</v>
      </c>
      <c r="F386">
        <v>43</v>
      </c>
      <c r="G386">
        <v>33</v>
      </c>
      <c r="H386">
        <v>23</v>
      </c>
      <c r="J386">
        <v>20</v>
      </c>
      <c r="K386">
        <v>31</v>
      </c>
      <c r="L386">
        <v>28</v>
      </c>
      <c r="M386">
        <v>29</v>
      </c>
      <c r="N386" s="2" t="s">
        <v>427</v>
      </c>
      <c r="O386" s="42">
        <f t="shared" si="205"/>
        <v>125</v>
      </c>
      <c r="P386" s="42">
        <f t="shared" si="206"/>
        <v>108</v>
      </c>
      <c r="Q386" s="42" t="str">
        <f t="shared" si="207"/>
        <v>HW</v>
      </c>
      <c r="R386" s="42" t="str">
        <f t="shared" si="208"/>
        <v>HW</v>
      </c>
      <c r="S386" s="42" t="str">
        <f t="shared" si="209"/>
        <v>HW</v>
      </c>
      <c r="T386" s="42" t="str">
        <f t="shared" si="210"/>
        <v>HL</v>
      </c>
      <c r="U386" s="42" t="str">
        <f t="shared" si="211"/>
        <v>U</v>
      </c>
      <c r="V386" s="42" t="str">
        <f t="shared" si="212"/>
        <v>O</v>
      </c>
      <c r="W386" s="42" t="str">
        <f t="shared" si="213"/>
        <v>O</v>
      </c>
      <c r="X386" s="42" t="str">
        <f t="shared" si="214"/>
        <v>U</v>
      </c>
      <c r="Z386">
        <v>54.5</v>
      </c>
      <c r="AA386" s="42" t="str">
        <f t="shared" si="204"/>
        <v>MIL/CLE</v>
      </c>
    </row>
    <row r="387" spans="1:27" ht="17.100000000000001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>
        <v>27</v>
      </c>
      <c r="F387">
        <v>25</v>
      </c>
      <c r="G387">
        <v>30</v>
      </c>
      <c r="H387">
        <v>28</v>
      </c>
      <c r="J387">
        <v>20</v>
      </c>
      <c r="K387">
        <v>29</v>
      </c>
      <c r="L387">
        <v>19</v>
      </c>
      <c r="M387">
        <v>34</v>
      </c>
      <c r="N387" s="2" t="s">
        <v>427</v>
      </c>
      <c r="O387" s="42">
        <f t="shared" si="205"/>
        <v>110</v>
      </c>
      <c r="P387" s="42">
        <f t="shared" si="206"/>
        <v>102</v>
      </c>
      <c r="Q387" s="42" t="str">
        <f t="shared" si="207"/>
        <v>HW</v>
      </c>
      <c r="R387" s="42" t="str">
        <f t="shared" si="208"/>
        <v>HL</v>
      </c>
      <c r="S387" s="42" t="str">
        <f t="shared" si="209"/>
        <v>HW</v>
      </c>
      <c r="T387" s="42" t="str">
        <f t="shared" si="210"/>
        <v>HL</v>
      </c>
      <c r="U387" s="42" t="str">
        <f t="shared" si="211"/>
        <v>U</v>
      </c>
      <c r="V387" s="42" t="str">
        <f t="shared" si="212"/>
        <v>O</v>
      </c>
      <c r="W387" s="42" t="str">
        <f t="shared" si="213"/>
        <v>U</v>
      </c>
      <c r="X387" s="42" t="str">
        <f t="shared" si="214"/>
        <v>O</v>
      </c>
      <c r="Z387">
        <v>53</v>
      </c>
      <c r="AA387" s="42" t="str">
        <f t="shared" si="204"/>
        <v>DEN/OKC</v>
      </c>
    </row>
    <row r="388" spans="1:27" ht="17.100000000000001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>
        <v>32</v>
      </c>
      <c r="F388">
        <v>20</v>
      </c>
      <c r="G388">
        <v>23</v>
      </c>
      <c r="H388">
        <v>32</v>
      </c>
      <c r="J388">
        <v>30</v>
      </c>
      <c r="K388">
        <v>32</v>
      </c>
      <c r="L388">
        <v>26</v>
      </c>
      <c r="M388">
        <v>27</v>
      </c>
      <c r="N388" s="2" t="s">
        <v>427</v>
      </c>
      <c r="O388" s="42">
        <f t="shared" si="205"/>
        <v>107</v>
      </c>
      <c r="P388" s="42">
        <f t="shared" si="206"/>
        <v>115</v>
      </c>
      <c r="Q388" s="42" t="str">
        <f t="shared" si="207"/>
        <v>HW</v>
      </c>
      <c r="R388" s="42" t="str">
        <f t="shared" si="208"/>
        <v>HL</v>
      </c>
      <c r="S388" s="42" t="str">
        <f t="shared" si="209"/>
        <v>HL</v>
      </c>
      <c r="T388" s="42" t="str">
        <f t="shared" si="210"/>
        <v>HW</v>
      </c>
      <c r="U388" s="42" t="str">
        <f t="shared" si="211"/>
        <v>O</v>
      </c>
      <c r="V388" s="42" t="str">
        <f t="shared" si="212"/>
        <v>U</v>
      </c>
      <c r="W388" s="42" t="str">
        <f t="shared" si="213"/>
        <v>U</v>
      </c>
      <c r="X388" s="42" t="str">
        <f t="shared" si="214"/>
        <v>O</v>
      </c>
      <c r="Z388">
        <v>58.5</v>
      </c>
      <c r="AA388" s="42" t="str">
        <f t="shared" si="204"/>
        <v>HOU/DET</v>
      </c>
    </row>
    <row r="389" spans="1:27" ht="17.100000000000001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>
        <v>30</v>
      </c>
      <c r="F389">
        <v>27</v>
      </c>
      <c r="G389">
        <v>27</v>
      </c>
      <c r="H389">
        <v>35</v>
      </c>
      <c r="J389">
        <v>24</v>
      </c>
      <c r="K389">
        <v>34</v>
      </c>
      <c r="L389">
        <v>41</v>
      </c>
      <c r="M389">
        <v>31</v>
      </c>
      <c r="N389" s="2" t="s">
        <v>427</v>
      </c>
      <c r="O389" s="42">
        <f t="shared" si="205"/>
        <v>119</v>
      </c>
      <c r="P389" s="42">
        <f t="shared" si="206"/>
        <v>130</v>
      </c>
      <c r="Q389" s="42" t="str">
        <f t="shared" si="207"/>
        <v>HW</v>
      </c>
      <c r="R389" s="42" t="str">
        <f t="shared" si="208"/>
        <v>HL</v>
      </c>
      <c r="S389" s="42" t="str">
        <f t="shared" si="209"/>
        <v>HL</v>
      </c>
      <c r="T389" s="42" t="str">
        <f t="shared" si="210"/>
        <v>HW</v>
      </c>
      <c r="U389" s="42" t="str">
        <f t="shared" si="211"/>
        <v>U</v>
      </c>
      <c r="V389" s="42" t="str">
        <f t="shared" si="212"/>
        <v>O</v>
      </c>
      <c r="W389" s="42" t="str">
        <f t="shared" si="213"/>
        <v>O</v>
      </c>
      <c r="X389" s="42" t="str">
        <f t="shared" si="214"/>
        <v>O</v>
      </c>
      <c r="Z389">
        <v>56</v>
      </c>
      <c r="AA389" s="42" t="str">
        <f t="shared" si="204"/>
        <v>NO/ORL</v>
      </c>
    </row>
    <row r="390" spans="1:27" ht="17.100000000000001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>
        <v>33</v>
      </c>
      <c r="F390">
        <v>26</v>
      </c>
      <c r="G390">
        <v>13</v>
      </c>
      <c r="H390">
        <v>35</v>
      </c>
      <c r="J390">
        <v>20</v>
      </c>
      <c r="K390">
        <v>24</v>
      </c>
      <c r="L390">
        <v>22</v>
      </c>
      <c r="M390">
        <v>19</v>
      </c>
      <c r="N390" s="2" t="s">
        <v>427</v>
      </c>
      <c r="O390" s="42">
        <f t="shared" si="205"/>
        <v>107</v>
      </c>
      <c r="P390" s="42">
        <f t="shared" si="206"/>
        <v>85</v>
      </c>
      <c r="Q390" s="42" t="str">
        <f t="shared" si="207"/>
        <v>HW</v>
      </c>
      <c r="R390" s="42" t="str">
        <f t="shared" si="208"/>
        <v>HW</v>
      </c>
      <c r="S390" s="42" t="str">
        <f t="shared" si="209"/>
        <v>HL</v>
      </c>
      <c r="T390" s="42" t="str">
        <f t="shared" si="210"/>
        <v>HW</v>
      </c>
      <c r="U390" s="42" t="str">
        <f t="shared" si="211"/>
        <v>U</v>
      </c>
      <c r="V390" s="42" t="str">
        <f t="shared" si="212"/>
        <v>U</v>
      </c>
      <c r="W390" s="42" t="str">
        <f t="shared" si="213"/>
        <v>U</v>
      </c>
      <c r="X390" s="42" t="str">
        <f t="shared" si="214"/>
        <v>U</v>
      </c>
      <c r="Z390">
        <v>54.5</v>
      </c>
      <c r="AA390" s="42" t="str">
        <f t="shared" si="204"/>
        <v>IND/CHA</v>
      </c>
    </row>
    <row r="391" spans="1:27" ht="17.100000000000001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>
        <v>25</v>
      </c>
      <c r="F391">
        <v>23</v>
      </c>
      <c r="G391">
        <v>30</v>
      </c>
      <c r="H391">
        <v>18</v>
      </c>
      <c r="J391">
        <v>24</v>
      </c>
      <c r="K391">
        <v>31</v>
      </c>
      <c r="L391">
        <v>27</v>
      </c>
      <c r="M391">
        <v>19</v>
      </c>
      <c r="N391" s="2" t="s">
        <v>427</v>
      </c>
      <c r="O391" s="42">
        <f t="shared" si="205"/>
        <v>96</v>
      </c>
      <c r="P391" s="42">
        <f t="shared" si="206"/>
        <v>101</v>
      </c>
      <c r="Q391" s="42" t="str">
        <f t="shared" si="207"/>
        <v>HW</v>
      </c>
      <c r="R391" s="42" t="str">
        <f t="shared" si="208"/>
        <v>HL</v>
      </c>
      <c r="S391" s="42" t="str">
        <f t="shared" si="209"/>
        <v>HW</v>
      </c>
      <c r="T391" s="42" t="str">
        <f t="shared" si="210"/>
        <v>HL</v>
      </c>
      <c r="U391" s="42" t="str">
        <f t="shared" si="211"/>
        <v>U</v>
      </c>
      <c r="V391" s="42" t="str">
        <f t="shared" si="212"/>
        <v>U</v>
      </c>
      <c r="W391" s="42" t="str">
        <f t="shared" si="213"/>
        <v>U</v>
      </c>
      <c r="X391" s="42" t="str">
        <f t="shared" si="214"/>
        <v>U</v>
      </c>
      <c r="Z391">
        <v>59</v>
      </c>
      <c r="AA391" s="42" t="str">
        <f t="shared" si="204"/>
        <v>ATL/LAL</v>
      </c>
    </row>
    <row r="392" spans="1:27" ht="17.100000000000001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>
        <v>28</v>
      </c>
      <c r="F392">
        <v>29</v>
      </c>
      <c r="G392">
        <v>26</v>
      </c>
      <c r="H392">
        <v>26</v>
      </c>
      <c r="J392">
        <v>23</v>
      </c>
      <c r="K392">
        <v>20</v>
      </c>
      <c r="L392">
        <v>23</v>
      </c>
      <c r="M392">
        <v>23</v>
      </c>
      <c r="N392" s="2" t="s">
        <v>427</v>
      </c>
      <c r="O392" s="42">
        <f t="shared" si="205"/>
        <v>109</v>
      </c>
      <c r="P392" s="42">
        <f t="shared" si="206"/>
        <v>89</v>
      </c>
      <c r="Q392" s="42" t="str">
        <f t="shared" si="207"/>
        <v>HW</v>
      </c>
      <c r="R392" s="42" t="str">
        <f t="shared" si="208"/>
        <v>HW</v>
      </c>
      <c r="S392" s="42" t="str">
        <f t="shared" si="209"/>
        <v>HW</v>
      </c>
      <c r="T392" s="42" t="str">
        <f t="shared" si="210"/>
        <v>HW</v>
      </c>
      <c r="U392" s="42" t="str">
        <f t="shared" si="211"/>
        <v>U</v>
      </c>
      <c r="V392" s="42" t="str">
        <f t="shared" si="212"/>
        <v>U</v>
      </c>
      <c r="W392" s="42" t="str">
        <f t="shared" si="213"/>
        <v>U</v>
      </c>
      <c r="X392" s="42" t="str">
        <f t="shared" si="214"/>
        <v>U</v>
      </c>
      <c r="Z392">
        <v>53.5</v>
      </c>
      <c r="AA392" s="42" t="str">
        <f t="shared" si="204"/>
        <v>BKN/PHI</v>
      </c>
    </row>
    <row r="393" spans="1:27" ht="17.100000000000001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>
        <v>33</v>
      </c>
      <c r="F393">
        <v>34</v>
      </c>
      <c r="G393">
        <v>20</v>
      </c>
      <c r="H393">
        <v>24</v>
      </c>
      <c r="J393">
        <v>22</v>
      </c>
      <c r="K393">
        <v>29</v>
      </c>
      <c r="L393">
        <v>33</v>
      </c>
      <c r="M393">
        <v>21</v>
      </c>
      <c r="N393" s="2" t="s">
        <v>427</v>
      </c>
      <c r="O393" s="42">
        <f t="shared" si="205"/>
        <v>111</v>
      </c>
      <c r="P393" s="42">
        <f t="shared" si="206"/>
        <v>105</v>
      </c>
      <c r="Q393" s="42" t="str">
        <f t="shared" si="207"/>
        <v>HW</v>
      </c>
      <c r="R393" s="42" t="str">
        <f t="shared" si="208"/>
        <v>HW</v>
      </c>
      <c r="S393" s="42" t="str">
        <f t="shared" si="209"/>
        <v>HL</v>
      </c>
      <c r="T393" s="42" t="str">
        <f t="shared" si="210"/>
        <v>HW</v>
      </c>
      <c r="U393" s="42" t="str">
        <f t="shared" si="211"/>
        <v>O</v>
      </c>
      <c r="V393" s="42" t="str">
        <f t="shared" si="212"/>
        <v>O</v>
      </c>
      <c r="W393" s="42" t="str">
        <f t="shared" si="213"/>
        <v>U</v>
      </c>
      <c r="X393" s="42" t="str">
        <f t="shared" si="214"/>
        <v>U</v>
      </c>
      <c r="Z393">
        <v>53.5</v>
      </c>
      <c r="AA393" s="42" t="str">
        <f t="shared" si="204"/>
        <v>DEN/NYK</v>
      </c>
    </row>
    <row r="394" spans="1:27" ht="17.100000000000001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>
        <v>18</v>
      </c>
      <c r="F394">
        <v>24</v>
      </c>
      <c r="G394">
        <v>17</v>
      </c>
      <c r="H394">
        <v>20</v>
      </c>
      <c r="J394">
        <v>26</v>
      </c>
      <c r="K394">
        <v>25</v>
      </c>
      <c r="L394">
        <v>28</v>
      </c>
      <c r="M394">
        <v>21</v>
      </c>
      <c r="N394" s="2" t="s">
        <v>427</v>
      </c>
      <c r="O394" s="42">
        <f t="shared" si="205"/>
        <v>79</v>
      </c>
      <c r="P394" s="42">
        <f t="shared" si="206"/>
        <v>100</v>
      </c>
      <c r="Q394" s="42" t="str">
        <f t="shared" si="207"/>
        <v>HL</v>
      </c>
      <c r="R394" s="42" t="str">
        <f t="shared" si="208"/>
        <v>HL</v>
      </c>
      <c r="S394" s="42" t="str">
        <f t="shared" si="209"/>
        <v>HL</v>
      </c>
      <c r="T394" s="42" t="str">
        <f t="shared" si="210"/>
        <v>HL</v>
      </c>
      <c r="U394" s="42" t="str">
        <f t="shared" si="211"/>
        <v>U</v>
      </c>
      <c r="V394" s="42" t="str">
        <f t="shared" si="212"/>
        <v>U</v>
      </c>
      <c r="W394" s="42" t="str">
        <f t="shared" si="213"/>
        <v>U</v>
      </c>
      <c r="X394" s="42" t="str">
        <f t="shared" si="214"/>
        <v>U</v>
      </c>
      <c r="Z394">
        <v>54</v>
      </c>
      <c r="AA394" s="42" t="str">
        <f t="shared" si="204"/>
        <v>GS/SAC</v>
      </c>
    </row>
    <row r="395" spans="1:27" ht="17.100000000000001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>
        <v>31</v>
      </c>
      <c r="F395">
        <v>30</v>
      </c>
      <c r="G395">
        <v>30</v>
      </c>
      <c r="H395">
        <v>28</v>
      </c>
      <c r="J395">
        <v>43</v>
      </c>
      <c r="K395">
        <v>24</v>
      </c>
      <c r="L395">
        <v>29</v>
      </c>
      <c r="M395">
        <v>37</v>
      </c>
      <c r="N395" s="2" t="s">
        <v>427</v>
      </c>
      <c r="O395" s="42">
        <f t="shared" si="205"/>
        <v>119</v>
      </c>
      <c r="P395" s="42">
        <f t="shared" si="206"/>
        <v>133</v>
      </c>
      <c r="Q395" s="42" t="str">
        <f t="shared" si="207"/>
        <v>HL</v>
      </c>
      <c r="R395" s="42" t="str">
        <f t="shared" si="208"/>
        <v>HW</v>
      </c>
      <c r="S395" s="42" t="str">
        <f t="shared" si="209"/>
        <v>HW</v>
      </c>
      <c r="T395" s="42" t="str">
        <f t="shared" si="210"/>
        <v>HL</v>
      </c>
      <c r="U395" s="42" t="str">
        <f t="shared" si="211"/>
        <v>O</v>
      </c>
      <c r="V395" s="42" t="str">
        <f t="shared" si="212"/>
        <v>U</v>
      </c>
      <c r="W395" s="42" t="str">
        <f t="shared" si="213"/>
        <v>U</v>
      </c>
      <c r="X395" s="42" t="str">
        <f t="shared" si="214"/>
        <v>O</v>
      </c>
      <c r="Z395">
        <v>59.5</v>
      </c>
      <c r="AA395" s="42" t="str">
        <f t="shared" si="204"/>
        <v>DET/WAS</v>
      </c>
    </row>
    <row r="396" spans="1:27" ht="17.100000000000001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>
        <v>37</v>
      </c>
      <c r="F396">
        <v>29</v>
      </c>
      <c r="G396">
        <v>38</v>
      </c>
      <c r="H396">
        <v>29</v>
      </c>
      <c r="J396">
        <v>29</v>
      </c>
      <c r="K396">
        <v>25</v>
      </c>
      <c r="L396">
        <v>30</v>
      </c>
      <c r="M396">
        <v>29</v>
      </c>
      <c r="N396" s="2" t="s">
        <v>427</v>
      </c>
      <c r="O396" s="42">
        <f t="shared" si="205"/>
        <v>133</v>
      </c>
      <c r="P396" s="42">
        <f t="shared" si="206"/>
        <v>113</v>
      </c>
      <c r="Q396" s="42" t="str">
        <f t="shared" si="207"/>
        <v>HW</v>
      </c>
      <c r="R396" s="42" t="str">
        <f t="shared" si="208"/>
        <v>HW</v>
      </c>
      <c r="S396" s="42" t="str">
        <f t="shared" si="209"/>
        <v>HW</v>
      </c>
      <c r="T396" s="42" t="str">
        <f t="shared" si="210"/>
        <v>TT</v>
      </c>
      <c r="U396" s="42" t="str">
        <f t="shared" si="211"/>
        <v>O</v>
      </c>
      <c r="V396" s="42" t="str">
        <f t="shared" si="212"/>
        <v>O</v>
      </c>
      <c r="W396" s="42" t="str">
        <f t="shared" si="213"/>
        <v>O</v>
      </c>
      <c r="X396" s="42" t="str">
        <f t="shared" si="214"/>
        <v>O</v>
      </c>
      <c r="Z396">
        <v>53.5</v>
      </c>
      <c r="AA396" s="42" t="str">
        <f t="shared" ref="AA396:AA459" si="215">C396&amp;"/"&amp;D396</f>
        <v>TOR/CLE</v>
      </c>
    </row>
    <row r="397" spans="1:27" ht="17.100000000000001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>
        <v>21</v>
      </c>
      <c r="F397">
        <v>32</v>
      </c>
      <c r="G397">
        <v>30</v>
      </c>
      <c r="H397">
        <v>26</v>
      </c>
      <c r="J397">
        <v>35</v>
      </c>
      <c r="K397">
        <v>37</v>
      </c>
      <c r="L397">
        <v>17</v>
      </c>
      <c r="M397">
        <v>18</v>
      </c>
      <c r="N397" s="2" t="s">
        <v>427</v>
      </c>
      <c r="O397" s="42">
        <f t="shared" si="205"/>
        <v>109</v>
      </c>
      <c r="P397" s="42">
        <f t="shared" si="206"/>
        <v>107</v>
      </c>
      <c r="Q397" s="42" t="str">
        <f t="shared" si="207"/>
        <v>HL</v>
      </c>
      <c r="R397" s="42" t="str">
        <f t="shared" si="208"/>
        <v>HL</v>
      </c>
      <c r="S397" s="42" t="str">
        <f t="shared" si="209"/>
        <v>HW</v>
      </c>
      <c r="T397" s="42" t="str">
        <f t="shared" si="210"/>
        <v>HW</v>
      </c>
      <c r="U397" s="42" t="str">
        <f t="shared" si="211"/>
        <v>U</v>
      </c>
      <c r="V397" s="42" t="str">
        <f t="shared" si="212"/>
        <v>O</v>
      </c>
      <c r="W397" s="42" t="str">
        <f t="shared" si="213"/>
        <v>U</v>
      </c>
      <c r="X397" s="42" t="str">
        <f t="shared" si="214"/>
        <v>U</v>
      </c>
      <c r="Z397">
        <v>57</v>
      </c>
      <c r="AA397" s="42" t="str">
        <f t="shared" si="215"/>
        <v>HOU/SAS</v>
      </c>
    </row>
    <row r="398" spans="1:27" ht="17.100000000000001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>
        <v>22</v>
      </c>
      <c r="F398">
        <v>34</v>
      </c>
      <c r="G398">
        <v>20</v>
      </c>
      <c r="H398">
        <v>40</v>
      </c>
      <c r="J398">
        <v>36</v>
      </c>
      <c r="K398">
        <v>23</v>
      </c>
      <c r="L398">
        <v>27</v>
      </c>
      <c r="M398">
        <v>34</v>
      </c>
      <c r="N398" s="2" t="s">
        <v>427</v>
      </c>
      <c r="O398" s="42">
        <f t="shared" si="205"/>
        <v>116</v>
      </c>
      <c r="P398" s="42">
        <f t="shared" si="206"/>
        <v>120</v>
      </c>
      <c r="Q398" s="42" t="str">
        <f t="shared" si="207"/>
        <v>HL</v>
      </c>
      <c r="R398" s="42" t="str">
        <f t="shared" si="208"/>
        <v>HW</v>
      </c>
      <c r="S398" s="42" t="str">
        <f t="shared" si="209"/>
        <v>HL</v>
      </c>
      <c r="T398" s="42" t="str">
        <f t="shared" si="210"/>
        <v>HW</v>
      </c>
      <c r="U398" s="42" t="str">
        <f t="shared" si="211"/>
        <v>U</v>
      </c>
      <c r="V398" s="42" t="str">
        <f t="shared" si="212"/>
        <v>U</v>
      </c>
      <c r="W398" s="42" t="str">
        <f t="shared" si="213"/>
        <v>U</v>
      </c>
      <c r="X398" s="42" t="str">
        <f t="shared" si="214"/>
        <v>O</v>
      </c>
      <c r="Z398">
        <v>58.5</v>
      </c>
      <c r="AA398" s="42" t="str">
        <f t="shared" si="215"/>
        <v>MIL/DAL</v>
      </c>
    </row>
    <row r="399" spans="1:27" ht="17.100000000000001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>
        <v>16</v>
      </c>
      <c r="F399">
        <v>33</v>
      </c>
      <c r="G399">
        <v>33</v>
      </c>
      <c r="H399">
        <v>27</v>
      </c>
      <c r="J399">
        <v>37</v>
      </c>
      <c r="K399">
        <v>31</v>
      </c>
      <c r="L399">
        <v>22</v>
      </c>
      <c r="M399">
        <v>16</v>
      </c>
      <c r="N399" s="2" t="s">
        <v>427</v>
      </c>
      <c r="O399" s="42">
        <f t="shared" si="205"/>
        <v>109</v>
      </c>
      <c r="P399" s="42">
        <f t="shared" si="206"/>
        <v>106</v>
      </c>
      <c r="Q399" s="42" t="str">
        <f t="shared" si="207"/>
        <v>HL</v>
      </c>
      <c r="R399" s="42" t="str">
        <f t="shared" si="208"/>
        <v>HW</v>
      </c>
      <c r="S399" s="42" t="str">
        <f t="shared" si="209"/>
        <v>HW</v>
      </c>
      <c r="T399" s="42" t="str">
        <f t="shared" si="210"/>
        <v>HW</v>
      </c>
      <c r="U399" s="42" t="str">
        <f t="shared" si="211"/>
        <v>U</v>
      </c>
      <c r="V399" s="42" t="str">
        <f t="shared" si="212"/>
        <v>O</v>
      </c>
      <c r="W399" s="42" t="str">
        <f t="shared" si="213"/>
        <v>O</v>
      </c>
      <c r="X399" s="42" t="str">
        <f t="shared" si="214"/>
        <v>U</v>
      </c>
      <c r="Z399">
        <v>53.5</v>
      </c>
      <c r="AA399" s="42" t="str">
        <f t="shared" si="215"/>
        <v>OKC/CHI</v>
      </c>
    </row>
    <row r="400" spans="1:27" ht="17.100000000000001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>
        <v>36</v>
      </c>
      <c r="F400">
        <v>37</v>
      </c>
      <c r="G400">
        <v>22</v>
      </c>
      <c r="H400">
        <v>23</v>
      </c>
      <c r="J400">
        <v>32</v>
      </c>
      <c r="K400">
        <v>26</v>
      </c>
      <c r="L400">
        <v>28</v>
      </c>
      <c r="M400">
        <v>25</v>
      </c>
      <c r="N400" s="2" t="s">
        <v>427</v>
      </c>
      <c r="O400" s="42">
        <f t="shared" si="205"/>
        <v>118</v>
      </c>
      <c r="P400" s="42">
        <f t="shared" si="206"/>
        <v>111</v>
      </c>
      <c r="Q400" s="42" t="str">
        <f t="shared" si="207"/>
        <v>HW</v>
      </c>
      <c r="R400" s="42" t="str">
        <f t="shared" si="208"/>
        <v>HW</v>
      </c>
      <c r="S400" s="42" t="str">
        <f t="shared" si="209"/>
        <v>HL</v>
      </c>
      <c r="T400" s="42" t="str">
        <f t="shared" si="210"/>
        <v>HL</v>
      </c>
      <c r="U400" s="42" t="str">
        <f t="shared" si="211"/>
        <v>O</v>
      </c>
      <c r="V400" s="42" t="str">
        <f t="shared" si="212"/>
        <v>O</v>
      </c>
      <c r="W400" s="42" t="str">
        <f t="shared" si="213"/>
        <v>U</v>
      </c>
      <c r="X400" s="42" t="str">
        <f t="shared" si="214"/>
        <v>U</v>
      </c>
      <c r="Z400">
        <v>56</v>
      </c>
      <c r="AA400" s="42" t="str">
        <f t="shared" si="215"/>
        <v>MEM/MIA</v>
      </c>
    </row>
    <row r="401" spans="1:27" x14ac:dyDescent="0.3">
      <c r="A401" s="42">
        <v>191217</v>
      </c>
      <c r="B401" s="44">
        <v>0.45833333333333331</v>
      </c>
      <c r="C401" s="42" t="s">
        <v>404</v>
      </c>
      <c r="D401" s="42" t="s">
        <v>417</v>
      </c>
      <c r="E401">
        <v>33</v>
      </c>
      <c r="F401">
        <v>34</v>
      </c>
      <c r="G401">
        <v>21</v>
      </c>
      <c r="H401">
        <v>22</v>
      </c>
      <c r="J401">
        <v>25</v>
      </c>
      <c r="K401">
        <v>34</v>
      </c>
      <c r="L401">
        <v>31</v>
      </c>
      <c r="M401">
        <v>21</v>
      </c>
      <c r="N401" s="2" t="s">
        <v>427</v>
      </c>
      <c r="O401" s="42">
        <f t="shared" si="205"/>
        <v>110</v>
      </c>
      <c r="P401" s="42">
        <f t="shared" si="206"/>
        <v>111</v>
      </c>
      <c r="Q401" s="42" t="str">
        <f t="shared" si="207"/>
        <v>HW</v>
      </c>
      <c r="R401" s="42" t="str">
        <f t="shared" si="208"/>
        <v>TT</v>
      </c>
      <c r="S401" s="42" t="str">
        <f t="shared" si="209"/>
        <v>HL</v>
      </c>
      <c r="T401" s="42" t="str">
        <f t="shared" si="210"/>
        <v>HW</v>
      </c>
      <c r="U401" s="42" t="str">
        <f t="shared" si="211"/>
        <v>T</v>
      </c>
      <c r="V401" s="42" t="str">
        <f t="shared" si="212"/>
        <v>O</v>
      </c>
      <c r="W401" s="42" t="str">
        <f t="shared" si="213"/>
        <v>U</v>
      </c>
      <c r="X401" s="42" t="str">
        <f t="shared" si="214"/>
        <v>U</v>
      </c>
      <c r="Z401">
        <v>58</v>
      </c>
      <c r="AA401" s="42" t="str">
        <f t="shared" si="215"/>
        <v>PHO/POR</v>
      </c>
    </row>
    <row r="402" spans="1:27" x14ac:dyDescent="0.3">
      <c r="A402" s="42">
        <v>191218</v>
      </c>
      <c r="B402" s="44">
        <v>0.375</v>
      </c>
      <c r="C402" s="42" t="s">
        <v>400</v>
      </c>
      <c r="D402" s="42" t="s">
        <v>419</v>
      </c>
      <c r="E402">
        <v>24</v>
      </c>
      <c r="F402">
        <v>26</v>
      </c>
      <c r="G402">
        <v>28</v>
      </c>
      <c r="H402">
        <v>27</v>
      </c>
      <c r="J402">
        <v>28</v>
      </c>
      <c r="K402">
        <v>24</v>
      </c>
      <c r="L402">
        <v>24</v>
      </c>
      <c r="M402">
        <v>26</v>
      </c>
      <c r="N402" s="2" t="s">
        <v>427</v>
      </c>
      <c r="O402" s="42">
        <f t="shared" si="205"/>
        <v>105</v>
      </c>
      <c r="P402" s="42">
        <f t="shared" si="206"/>
        <v>102</v>
      </c>
      <c r="Q402" s="42" t="str">
        <f t="shared" si="207"/>
        <v>HL</v>
      </c>
      <c r="R402" s="42" t="str">
        <f t="shared" si="208"/>
        <v>HW</v>
      </c>
      <c r="S402" s="42" t="str">
        <f t="shared" si="209"/>
        <v>HW</v>
      </c>
      <c r="T402" s="42" t="str">
        <f t="shared" si="210"/>
        <v>HW</v>
      </c>
      <c r="U402" s="42" t="str">
        <f t="shared" si="211"/>
        <v>U</v>
      </c>
      <c r="V402" s="42" t="str">
        <f t="shared" si="212"/>
        <v>U</v>
      </c>
      <c r="W402" s="42" t="str">
        <f t="shared" si="213"/>
        <v>U</v>
      </c>
      <c r="X402" s="42" t="str">
        <f t="shared" si="214"/>
        <v>U</v>
      </c>
      <c r="Z402">
        <v>54.5</v>
      </c>
      <c r="AA402" s="42" t="str">
        <f t="shared" si="215"/>
        <v>IND/LAL</v>
      </c>
    </row>
    <row r="403" spans="1:27" x14ac:dyDescent="0.3">
      <c r="A403" s="42">
        <v>191218</v>
      </c>
      <c r="B403" s="44">
        <v>0.375</v>
      </c>
      <c r="C403" s="42" t="s">
        <v>409</v>
      </c>
      <c r="D403" s="42" t="s">
        <v>416</v>
      </c>
      <c r="E403">
        <v>26</v>
      </c>
      <c r="F403">
        <v>27</v>
      </c>
      <c r="G403">
        <v>27</v>
      </c>
      <c r="H403">
        <v>30</v>
      </c>
      <c r="J403">
        <v>21</v>
      </c>
      <c r="K403">
        <v>26</v>
      </c>
      <c r="L403">
        <v>32</v>
      </c>
      <c r="M403">
        <v>23</v>
      </c>
      <c r="N403" s="2" t="s">
        <v>427</v>
      </c>
      <c r="O403" s="42">
        <f t="shared" si="205"/>
        <v>110</v>
      </c>
      <c r="P403" s="42">
        <f t="shared" si="206"/>
        <v>102</v>
      </c>
      <c r="Q403" s="42" t="str">
        <f t="shared" si="207"/>
        <v>HW</v>
      </c>
      <c r="R403" s="42" t="str">
        <f t="shared" si="208"/>
        <v>HW</v>
      </c>
      <c r="S403" s="42" t="str">
        <f t="shared" si="209"/>
        <v>HL</v>
      </c>
      <c r="T403" s="42" t="str">
        <f t="shared" si="210"/>
        <v>HW</v>
      </c>
      <c r="U403" s="42" t="str">
        <f t="shared" si="211"/>
        <v>U</v>
      </c>
      <c r="V403" s="42" t="str">
        <f t="shared" si="212"/>
        <v>U</v>
      </c>
      <c r="W403" s="42" t="str">
        <f t="shared" si="213"/>
        <v>O</v>
      </c>
      <c r="X403" s="42" t="str">
        <f t="shared" si="214"/>
        <v>U</v>
      </c>
      <c r="Z403">
        <v>54</v>
      </c>
      <c r="AA403" s="42" t="str">
        <f t="shared" si="215"/>
        <v>CHA/SAC</v>
      </c>
    </row>
    <row r="404" spans="1:27" x14ac:dyDescent="0.3">
      <c r="A404" s="42">
        <v>191218</v>
      </c>
      <c r="B404" s="44">
        <v>0.39583333333333331</v>
      </c>
      <c r="C404" s="42" t="s">
        <v>399</v>
      </c>
      <c r="D404" s="42" t="s">
        <v>410</v>
      </c>
      <c r="E404">
        <v>41</v>
      </c>
      <c r="F404">
        <v>36</v>
      </c>
      <c r="G404">
        <v>32</v>
      </c>
      <c r="H404">
        <v>34</v>
      </c>
      <c r="J404">
        <v>27</v>
      </c>
      <c r="K404">
        <v>26</v>
      </c>
      <c r="L404">
        <v>31</v>
      </c>
      <c r="M404">
        <v>36</v>
      </c>
      <c r="N404" s="2" t="s">
        <v>427</v>
      </c>
      <c r="O404" s="42">
        <f t="shared" si="205"/>
        <v>143</v>
      </c>
      <c r="P404" s="42">
        <f t="shared" si="206"/>
        <v>120</v>
      </c>
      <c r="Q404" s="42" t="str">
        <f t="shared" si="207"/>
        <v>HW</v>
      </c>
      <c r="R404" s="42" t="str">
        <f t="shared" si="208"/>
        <v>HW</v>
      </c>
      <c r="S404" s="42" t="str">
        <f t="shared" si="209"/>
        <v>HW</v>
      </c>
      <c r="T404" s="42" t="str">
        <f t="shared" si="210"/>
        <v>HL</v>
      </c>
      <c r="U404" s="42" t="str">
        <f t="shared" si="211"/>
        <v>O</v>
      </c>
      <c r="V404" s="42" t="str">
        <f t="shared" si="212"/>
        <v>O</v>
      </c>
      <c r="W404" s="42" t="str">
        <f t="shared" si="213"/>
        <v>O</v>
      </c>
      <c r="X404" s="42" t="str">
        <f t="shared" si="214"/>
        <v>O</v>
      </c>
      <c r="Z404">
        <v>58</v>
      </c>
      <c r="AA404" s="42" t="str">
        <f t="shared" si="215"/>
        <v>NYK/ATL</v>
      </c>
    </row>
    <row r="405" spans="1:27" x14ac:dyDescent="0.3">
      <c r="A405" s="42">
        <v>191218</v>
      </c>
      <c r="B405" s="44">
        <v>0.41666666666666669</v>
      </c>
      <c r="C405" s="42" t="s">
        <v>398</v>
      </c>
      <c r="D405" s="42" t="s">
        <v>407</v>
      </c>
      <c r="E405">
        <v>21</v>
      </c>
      <c r="F405">
        <v>14</v>
      </c>
      <c r="G405">
        <v>29</v>
      </c>
      <c r="H405">
        <v>29</v>
      </c>
      <c r="I405">
        <v>8</v>
      </c>
      <c r="J405">
        <v>21</v>
      </c>
      <c r="K405">
        <v>21</v>
      </c>
      <c r="L405">
        <v>19</v>
      </c>
      <c r="M405">
        <v>32</v>
      </c>
      <c r="N405" s="2">
        <v>15</v>
      </c>
      <c r="O405" s="42">
        <f t="shared" si="205"/>
        <v>101</v>
      </c>
      <c r="P405" s="42">
        <f t="shared" si="206"/>
        <v>108</v>
      </c>
      <c r="Q405" s="42" t="str">
        <f t="shared" si="207"/>
        <v>TT</v>
      </c>
      <c r="R405" s="42" t="str">
        <f t="shared" si="208"/>
        <v>HL</v>
      </c>
      <c r="S405" s="42" t="str">
        <f t="shared" si="209"/>
        <v>HW</v>
      </c>
      <c r="T405" s="42" t="str">
        <f t="shared" si="210"/>
        <v>HL</v>
      </c>
      <c r="U405" s="42" t="str">
        <f t="shared" si="211"/>
        <v>U</v>
      </c>
      <c r="V405" s="42" t="str">
        <f t="shared" si="212"/>
        <v>U</v>
      </c>
      <c r="W405" s="42" t="str">
        <f t="shared" si="213"/>
        <v>U</v>
      </c>
      <c r="X405" s="42" t="str">
        <f t="shared" si="214"/>
        <v>O</v>
      </c>
      <c r="Z405">
        <v>56</v>
      </c>
      <c r="AA405" s="42" t="str">
        <f t="shared" si="215"/>
        <v>NO/BKN</v>
      </c>
    </row>
    <row r="406" spans="1:27" x14ac:dyDescent="0.3">
      <c r="A406" s="42">
        <v>191218</v>
      </c>
      <c r="B406" s="44">
        <v>0.45833333333333331</v>
      </c>
      <c r="C406" s="42" t="s">
        <v>405</v>
      </c>
      <c r="D406" s="42" t="s">
        <v>424</v>
      </c>
      <c r="E406">
        <v>26</v>
      </c>
      <c r="F406">
        <v>32</v>
      </c>
      <c r="G406">
        <v>24</v>
      </c>
      <c r="H406">
        <v>27</v>
      </c>
      <c r="J406">
        <v>20</v>
      </c>
      <c r="K406">
        <v>27</v>
      </c>
      <c r="L406">
        <v>24</v>
      </c>
      <c r="M406">
        <v>31</v>
      </c>
      <c r="N406" s="2" t="s">
        <v>427</v>
      </c>
      <c r="O406" s="42">
        <f t="shared" si="205"/>
        <v>109</v>
      </c>
      <c r="P406" s="42">
        <f t="shared" si="206"/>
        <v>102</v>
      </c>
      <c r="Q406" s="42" t="str">
        <f t="shared" si="207"/>
        <v>HW</v>
      </c>
      <c r="R406" s="42" t="str">
        <f t="shared" si="208"/>
        <v>HW</v>
      </c>
      <c r="S406" s="42" t="str">
        <f t="shared" si="209"/>
        <v>TT</v>
      </c>
      <c r="T406" s="42" t="str">
        <f t="shared" si="210"/>
        <v>HL</v>
      </c>
      <c r="U406" s="42" t="str">
        <f t="shared" si="211"/>
        <v>U</v>
      </c>
      <c r="V406" s="42" t="str">
        <f t="shared" si="212"/>
        <v>O</v>
      </c>
      <c r="W406" s="42" t="str">
        <f t="shared" si="213"/>
        <v>U</v>
      </c>
      <c r="X406" s="42" t="str">
        <f t="shared" si="214"/>
        <v>O</v>
      </c>
      <c r="Z406">
        <v>53.5</v>
      </c>
      <c r="AA406" s="42" t="str">
        <f t="shared" si="215"/>
        <v>UTA/ORL</v>
      </c>
    </row>
    <row r="407" spans="1:27" x14ac:dyDescent="0.3">
      <c r="A407" s="42">
        <v>191218</v>
      </c>
      <c r="B407" s="44">
        <v>0.52083333333333337</v>
      </c>
      <c r="C407" s="42" t="s">
        <v>415</v>
      </c>
      <c r="D407" s="42" t="s">
        <v>404</v>
      </c>
      <c r="E407">
        <v>31</v>
      </c>
      <c r="F407">
        <v>23</v>
      </c>
      <c r="G407">
        <v>36</v>
      </c>
      <c r="H407">
        <v>30</v>
      </c>
      <c r="J407">
        <v>23</v>
      </c>
      <c r="K407">
        <v>21</v>
      </c>
      <c r="L407">
        <v>25</v>
      </c>
      <c r="M407">
        <v>30</v>
      </c>
      <c r="N407" s="2" t="s">
        <v>427</v>
      </c>
      <c r="O407" s="42">
        <f t="shared" si="205"/>
        <v>120</v>
      </c>
      <c r="P407" s="42">
        <f t="shared" si="206"/>
        <v>99</v>
      </c>
      <c r="Q407" s="42" t="str">
        <f t="shared" si="207"/>
        <v>HW</v>
      </c>
      <c r="R407" s="42" t="str">
        <f t="shared" si="208"/>
        <v>HW</v>
      </c>
      <c r="S407" s="42" t="str">
        <f t="shared" si="209"/>
        <v>HW</v>
      </c>
      <c r="T407" s="42" t="str">
        <f t="shared" si="210"/>
        <v>TT</v>
      </c>
      <c r="U407" s="42" t="str">
        <f t="shared" si="211"/>
        <v>U</v>
      </c>
      <c r="V407" s="42" t="str">
        <f t="shared" si="212"/>
        <v>U</v>
      </c>
      <c r="W407" s="42" t="str">
        <f t="shared" si="213"/>
        <v>O</v>
      </c>
      <c r="X407" s="42" t="str">
        <f t="shared" si="214"/>
        <v>O</v>
      </c>
      <c r="Z407">
        <v>55.5</v>
      </c>
      <c r="AA407" s="42" t="str">
        <f t="shared" si="215"/>
        <v>LAC/PHO</v>
      </c>
    </row>
    <row r="408" spans="1:27" x14ac:dyDescent="0.3">
      <c r="A408" s="50">
        <v>191219</v>
      </c>
      <c r="B408" s="44">
        <v>0.375</v>
      </c>
      <c r="C408" s="50" t="s">
        <v>402</v>
      </c>
      <c r="D408" s="50" t="s">
        <v>409</v>
      </c>
      <c r="E408" s="52">
        <v>29</v>
      </c>
      <c r="F408" s="52">
        <v>24</v>
      </c>
      <c r="G408" s="52">
        <v>23</v>
      </c>
      <c r="H408" s="52">
        <v>24</v>
      </c>
      <c r="I408" s="52"/>
      <c r="J408" s="52">
        <v>21</v>
      </c>
      <c r="K408" s="52">
        <v>20</v>
      </c>
      <c r="L408" s="52">
        <v>23</v>
      </c>
      <c r="M408" s="52">
        <v>34</v>
      </c>
      <c r="N408" s="52" t="s">
        <v>427</v>
      </c>
      <c r="O408" s="74">
        <f t="shared" ref="O408:O430" si="216">SUM(E408:I408)</f>
        <v>100</v>
      </c>
      <c r="P408" s="74">
        <f t="shared" ref="P408:P430" si="217">SUM(J408:N408)</f>
        <v>98</v>
      </c>
      <c r="Q408" s="74" t="str">
        <f t="shared" ref="Q408:Q430" si="218">IF(E408=J408,"TT",IF(E408&gt;J408,"HW","HL"))</f>
        <v>HW</v>
      </c>
      <c r="R408" s="74" t="str">
        <f t="shared" ref="R408:R430" si="219">IF(F408=K408,"TT",IF(F408&gt;K408,"HW","HL"))</f>
        <v>HW</v>
      </c>
      <c r="S408" s="74" t="str">
        <f t="shared" ref="S408:S430" si="220">IF(G408=L408,"TT",IF(G408&gt;L408,"HW","HL"))</f>
        <v>TT</v>
      </c>
      <c r="T408" s="74" t="str">
        <f t="shared" ref="T408:T430" si="221">IF(H408=M408,"TT",IF(H408&gt;M408,"HW","HL"))</f>
        <v>HL</v>
      </c>
      <c r="U408" s="74" t="str">
        <f t="shared" ref="U408:U430" si="222">IF(SUM(E408,J408)=$Z408,"T",IF(SUM(E408,J408)&gt;$Z408,"O","U"))</f>
        <v>U</v>
      </c>
      <c r="V408" s="74" t="str">
        <f t="shared" ref="V408:V430" si="223">IF(SUM(F408,K408)=$Z408,"T",IF(SUM(F408,K408)&gt;$Z408,"O","U"))</f>
        <v>U</v>
      </c>
      <c r="W408" s="74" t="str">
        <f t="shared" ref="W408:W430" si="224">IF(SUM(G408,L408)=$Z408,"T",IF(SUM(G408,L408)&gt;$Z408,"O","U"))</f>
        <v>U</v>
      </c>
      <c r="X408" s="74" t="str">
        <f t="shared" ref="X408:X430" si="225">IF(SUM(H408,M408)=$Z408,"T",IF(SUM(H408,M408)&gt;$Z408,"O","U"))</f>
        <v>O</v>
      </c>
      <c r="Z408">
        <v>54.5</v>
      </c>
      <c r="AA408" s="42" t="str">
        <f t="shared" si="215"/>
        <v>CLE/CHA</v>
      </c>
    </row>
    <row r="409" spans="1:27" x14ac:dyDescent="0.3">
      <c r="A409" s="50">
        <v>191219</v>
      </c>
      <c r="B409" s="44">
        <v>0.375</v>
      </c>
      <c r="C409" s="15" t="s">
        <v>422</v>
      </c>
      <c r="D409" s="15" t="s">
        <v>413</v>
      </c>
      <c r="E409" s="55">
        <v>29</v>
      </c>
      <c r="F409" s="55">
        <v>35</v>
      </c>
      <c r="G409" s="55">
        <v>15</v>
      </c>
      <c r="H409" s="55">
        <v>20</v>
      </c>
      <c r="I409" s="55"/>
      <c r="J409" s="55">
        <v>30</v>
      </c>
      <c r="K409" s="55">
        <v>40</v>
      </c>
      <c r="L409" s="55">
        <v>26</v>
      </c>
      <c r="M409" s="55">
        <v>16</v>
      </c>
      <c r="N409" s="55" t="s">
        <v>427</v>
      </c>
      <c r="O409" s="74">
        <f t="shared" si="216"/>
        <v>99</v>
      </c>
      <c r="P409" s="74">
        <f t="shared" si="217"/>
        <v>112</v>
      </c>
      <c r="Q409" s="74" t="str">
        <f t="shared" si="218"/>
        <v>HL</v>
      </c>
      <c r="R409" s="74" t="str">
        <f t="shared" si="219"/>
        <v>HL</v>
      </c>
      <c r="S409" s="74" t="str">
        <f t="shared" si="220"/>
        <v>HL</v>
      </c>
      <c r="T409" s="74" t="str">
        <f t="shared" si="221"/>
        <v>HW</v>
      </c>
      <c r="U409" s="74" t="str">
        <f t="shared" si="222"/>
        <v>O</v>
      </c>
      <c r="V409" s="74" t="str">
        <f t="shared" si="223"/>
        <v>O</v>
      </c>
      <c r="W409" s="74" t="str">
        <f t="shared" si="224"/>
        <v>U</v>
      </c>
      <c r="X409" s="74" t="str">
        <f t="shared" si="225"/>
        <v>U</v>
      </c>
      <c r="Z409">
        <v>56</v>
      </c>
      <c r="AA409" s="42" t="str">
        <f t="shared" si="215"/>
        <v>DET/TOR</v>
      </c>
    </row>
    <row r="410" spans="1:27" x14ac:dyDescent="0.3">
      <c r="A410" s="50">
        <v>191219</v>
      </c>
      <c r="B410" s="44">
        <v>0.375</v>
      </c>
      <c r="C410" s="15" t="s">
        <v>401</v>
      </c>
      <c r="D410" s="15" t="s">
        <v>411</v>
      </c>
      <c r="E410" s="58">
        <v>29</v>
      </c>
      <c r="F410" s="58">
        <v>19</v>
      </c>
      <c r="G410" s="58">
        <v>26</v>
      </c>
      <c r="H410" s="58">
        <v>30</v>
      </c>
      <c r="I410" s="58"/>
      <c r="J410" s="58">
        <v>19</v>
      </c>
      <c r="K410" s="58">
        <v>37</v>
      </c>
      <c r="L410" s="58">
        <v>26</v>
      </c>
      <c r="M410" s="58">
        <v>26</v>
      </c>
      <c r="N410" s="58" t="s">
        <v>427</v>
      </c>
      <c r="O410" s="74">
        <f t="shared" si="216"/>
        <v>104</v>
      </c>
      <c r="P410" s="74">
        <f t="shared" si="217"/>
        <v>108</v>
      </c>
      <c r="Q410" s="74" t="str">
        <f t="shared" si="218"/>
        <v>HW</v>
      </c>
      <c r="R410" s="74" t="str">
        <f t="shared" si="219"/>
        <v>HL</v>
      </c>
      <c r="S410" s="74" t="str">
        <f t="shared" si="220"/>
        <v>TT</v>
      </c>
      <c r="T410" s="74" t="str">
        <f t="shared" si="221"/>
        <v>HW</v>
      </c>
      <c r="U410" s="74" t="str">
        <f t="shared" si="222"/>
        <v>U</v>
      </c>
      <c r="V410" s="74" t="str">
        <f t="shared" si="223"/>
        <v>O</v>
      </c>
      <c r="W410" s="74" t="str">
        <f t="shared" si="224"/>
        <v>U</v>
      </c>
      <c r="X410" s="74" t="str">
        <f t="shared" si="225"/>
        <v>O</v>
      </c>
      <c r="Z410">
        <v>54.5</v>
      </c>
      <c r="AA410" s="42" t="str">
        <f t="shared" si="215"/>
        <v>PHI/MIA</v>
      </c>
    </row>
    <row r="411" spans="1:27" x14ac:dyDescent="0.3">
      <c r="A411" s="50">
        <v>191219</v>
      </c>
      <c r="B411" s="44">
        <v>0.375</v>
      </c>
      <c r="C411" s="50" t="s">
        <v>414</v>
      </c>
      <c r="D411" s="50" t="s">
        <v>412</v>
      </c>
      <c r="E411" s="60">
        <v>27</v>
      </c>
      <c r="F411" s="60">
        <v>31</v>
      </c>
      <c r="G411" s="60">
        <v>27</v>
      </c>
      <c r="H411" s="60">
        <v>13</v>
      </c>
      <c r="I411" s="60">
        <v>11</v>
      </c>
      <c r="J411" s="60">
        <v>23</v>
      </c>
      <c r="K411" s="60">
        <v>29</v>
      </c>
      <c r="L411" s="60">
        <v>21</v>
      </c>
      <c r="M411" s="60">
        <v>25</v>
      </c>
      <c r="N411" s="60">
        <v>12</v>
      </c>
      <c r="O411" s="74">
        <f t="shared" si="216"/>
        <v>109</v>
      </c>
      <c r="P411" s="74">
        <f t="shared" si="217"/>
        <v>110</v>
      </c>
      <c r="Q411" s="74" t="str">
        <f t="shared" si="218"/>
        <v>HW</v>
      </c>
      <c r="R411" s="74" t="str">
        <f t="shared" si="219"/>
        <v>HW</v>
      </c>
      <c r="S411" s="74" t="str">
        <f t="shared" si="220"/>
        <v>HW</v>
      </c>
      <c r="T411" s="74" t="str">
        <f t="shared" si="221"/>
        <v>HL</v>
      </c>
      <c r="U411" s="74" t="str">
        <f t="shared" si="222"/>
        <v>U</v>
      </c>
      <c r="V411" s="74" t="str">
        <f t="shared" si="223"/>
        <v>O</v>
      </c>
      <c r="W411" s="74" t="str">
        <f t="shared" si="224"/>
        <v>U</v>
      </c>
      <c r="X411" s="74" t="str">
        <f t="shared" si="225"/>
        <v>U</v>
      </c>
      <c r="Z411">
        <v>59</v>
      </c>
      <c r="AA411" s="42" t="str">
        <f t="shared" si="215"/>
        <v>WAS/CHI</v>
      </c>
    </row>
    <row r="412" spans="1:27" x14ac:dyDescent="0.3">
      <c r="A412" s="50">
        <v>191219</v>
      </c>
      <c r="B412" s="44">
        <v>0.41666666666666669</v>
      </c>
      <c r="C412" s="15" t="s">
        <v>420</v>
      </c>
      <c r="D412" s="13" t="s">
        <v>398</v>
      </c>
      <c r="E412" s="56">
        <v>25</v>
      </c>
      <c r="F412" s="56">
        <v>25</v>
      </c>
      <c r="G412" s="56">
        <v>22</v>
      </c>
      <c r="H412" s="56">
        <v>27</v>
      </c>
      <c r="I412" s="56"/>
      <c r="J412" s="56">
        <v>32</v>
      </c>
      <c r="K412" s="56">
        <v>31</v>
      </c>
      <c r="L412" s="56">
        <v>24</v>
      </c>
      <c r="M412" s="56">
        <v>20</v>
      </c>
      <c r="N412" s="56" t="s">
        <v>427</v>
      </c>
      <c r="O412" s="74">
        <f t="shared" si="216"/>
        <v>99</v>
      </c>
      <c r="P412" s="74">
        <f t="shared" si="217"/>
        <v>107</v>
      </c>
      <c r="Q412" s="74" t="str">
        <f t="shared" si="218"/>
        <v>HL</v>
      </c>
      <c r="R412" s="74" t="str">
        <f t="shared" si="219"/>
        <v>HL</v>
      </c>
      <c r="S412" s="74" t="str">
        <f t="shared" si="220"/>
        <v>HL</v>
      </c>
      <c r="T412" s="74" t="str">
        <f t="shared" si="221"/>
        <v>HW</v>
      </c>
      <c r="U412" s="74" t="str">
        <f t="shared" si="222"/>
        <v>U</v>
      </c>
      <c r="V412" s="74" t="str">
        <f t="shared" si="223"/>
        <v>U</v>
      </c>
      <c r="W412" s="74" t="str">
        <f t="shared" si="224"/>
        <v>U</v>
      </c>
      <c r="X412" s="74" t="str">
        <f t="shared" si="225"/>
        <v>U</v>
      </c>
      <c r="Z412">
        <v>59</v>
      </c>
      <c r="AA412" s="42" t="str">
        <f t="shared" si="215"/>
        <v>MIN/NO</v>
      </c>
    </row>
    <row r="413" spans="1:27" x14ac:dyDescent="0.3">
      <c r="A413" s="50">
        <v>191219</v>
      </c>
      <c r="B413" s="44">
        <v>0.41666666666666669</v>
      </c>
      <c r="C413" s="5" t="s">
        <v>418</v>
      </c>
      <c r="D413" s="5" t="s">
        <v>406</v>
      </c>
      <c r="E413" s="57">
        <v>27</v>
      </c>
      <c r="F413" s="57">
        <v>32</v>
      </c>
      <c r="G413" s="57">
        <v>34</v>
      </c>
      <c r="H413" s="57">
        <v>33</v>
      </c>
      <c r="I413" s="57"/>
      <c r="J413" s="57">
        <v>32</v>
      </c>
      <c r="K413" s="57">
        <v>36</v>
      </c>
      <c r="L413" s="57">
        <v>32</v>
      </c>
      <c r="M413" s="57">
        <v>22</v>
      </c>
      <c r="N413" s="57" t="s">
        <v>427</v>
      </c>
      <c r="O413" s="74">
        <f t="shared" si="216"/>
        <v>126</v>
      </c>
      <c r="P413" s="74">
        <f t="shared" si="217"/>
        <v>122</v>
      </c>
      <c r="Q413" s="74" t="str">
        <f t="shared" si="218"/>
        <v>HL</v>
      </c>
      <c r="R413" s="74" t="str">
        <f t="shared" si="219"/>
        <v>HL</v>
      </c>
      <c r="S413" s="74" t="str">
        <f t="shared" si="220"/>
        <v>HW</v>
      </c>
      <c r="T413" s="74" t="str">
        <f t="shared" si="221"/>
        <v>HW</v>
      </c>
      <c r="U413" s="74" t="str">
        <f t="shared" si="222"/>
        <v>O</v>
      </c>
      <c r="V413" s="74" t="str">
        <f t="shared" si="223"/>
        <v>O</v>
      </c>
      <c r="W413" s="74" t="str">
        <f t="shared" si="224"/>
        <v>O</v>
      </c>
      <c r="X413" s="74" t="str">
        <f t="shared" si="225"/>
        <v>O</v>
      </c>
      <c r="Z413">
        <v>54</v>
      </c>
      <c r="AA413" s="42" t="str">
        <f t="shared" si="215"/>
        <v>OKC/MEM</v>
      </c>
    </row>
    <row r="414" spans="1:27" x14ac:dyDescent="0.3">
      <c r="A414" s="50">
        <v>191219</v>
      </c>
      <c r="B414" s="44">
        <v>0.45833333333333331</v>
      </c>
      <c r="C414" s="13" t="s">
        <v>46</v>
      </c>
      <c r="D414" s="15" t="s">
        <v>424</v>
      </c>
      <c r="E414" s="54">
        <v>27</v>
      </c>
      <c r="F414" s="54">
        <v>18</v>
      </c>
      <c r="G414" s="54">
        <v>39</v>
      </c>
      <c r="H414" s="54">
        <v>29</v>
      </c>
      <c r="I414" s="54"/>
      <c r="J414" s="54">
        <v>32</v>
      </c>
      <c r="K414" s="54">
        <v>28</v>
      </c>
      <c r="L414" s="54">
        <v>16</v>
      </c>
      <c r="M414" s="54">
        <v>28</v>
      </c>
      <c r="N414" s="54" t="s">
        <v>427</v>
      </c>
      <c r="O414" s="74">
        <f t="shared" si="216"/>
        <v>113</v>
      </c>
      <c r="P414" s="74">
        <f t="shared" si="217"/>
        <v>104</v>
      </c>
      <c r="Q414" s="74" t="str">
        <f t="shared" si="218"/>
        <v>HL</v>
      </c>
      <c r="R414" s="74" t="str">
        <f t="shared" si="219"/>
        <v>HL</v>
      </c>
      <c r="S414" s="74" t="str">
        <f t="shared" si="220"/>
        <v>HW</v>
      </c>
      <c r="T414" s="74" t="str">
        <f t="shared" si="221"/>
        <v>HW</v>
      </c>
      <c r="U414" s="74" t="str">
        <f t="shared" si="222"/>
        <v>O</v>
      </c>
      <c r="V414" s="74" t="str">
        <f t="shared" si="223"/>
        <v>U</v>
      </c>
      <c r="W414" s="74" t="str">
        <f t="shared" si="224"/>
        <v>O</v>
      </c>
      <c r="X414" s="74" t="str">
        <f t="shared" si="225"/>
        <v>O</v>
      </c>
      <c r="Z414">
        <v>52.5</v>
      </c>
      <c r="AA414" s="42" t="str">
        <f t="shared" si="215"/>
        <v>DEN/ORL</v>
      </c>
    </row>
    <row r="415" spans="1:27" x14ac:dyDescent="0.3">
      <c r="A415" s="50">
        <v>191219</v>
      </c>
      <c r="B415" s="44">
        <v>0.47916666666666669</v>
      </c>
      <c r="C415" s="15" t="s">
        <v>98</v>
      </c>
      <c r="D415" s="48" t="s">
        <v>421</v>
      </c>
      <c r="E415" s="53">
        <v>29</v>
      </c>
      <c r="F415" s="53">
        <v>26</v>
      </c>
      <c r="G415" s="53">
        <v>18</v>
      </c>
      <c r="H415" s="53">
        <v>30</v>
      </c>
      <c r="I415" s="53"/>
      <c r="J415" s="53">
        <v>29</v>
      </c>
      <c r="K415" s="53">
        <v>21</v>
      </c>
      <c r="L415" s="53">
        <v>26</v>
      </c>
      <c r="M415" s="53">
        <v>33</v>
      </c>
      <c r="N415" s="53" t="s">
        <v>427</v>
      </c>
      <c r="O415" s="74">
        <f t="shared" si="216"/>
        <v>103</v>
      </c>
      <c r="P415" s="74">
        <f t="shared" si="217"/>
        <v>109</v>
      </c>
      <c r="Q415" s="74" t="str">
        <f t="shared" si="218"/>
        <v>TT</v>
      </c>
      <c r="R415" s="74" t="str">
        <f t="shared" si="219"/>
        <v>HW</v>
      </c>
      <c r="S415" s="74" t="str">
        <f t="shared" si="220"/>
        <v>HL</v>
      </c>
      <c r="T415" s="74" t="str">
        <f t="shared" si="221"/>
        <v>HL</v>
      </c>
      <c r="U415" s="74" t="str">
        <f t="shared" si="222"/>
        <v>O</v>
      </c>
      <c r="V415" s="74" t="str">
        <f t="shared" si="223"/>
        <v>U</v>
      </c>
      <c r="W415" s="74" t="str">
        <f t="shared" si="224"/>
        <v>U</v>
      </c>
      <c r="X415" s="74" t="str">
        <f t="shared" si="225"/>
        <v>O</v>
      </c>
      <c r="Z415">
        <v>52.5</v>
      </c>
      <c r="AA415" s="42" t="str">
        <f t="shared" si="215"/>
        <v>DAL/BOS</v>
      </c>
    </row>
    <row r="416" spans="1:27" x14ac:dyDescent="0.3">
      <c r="A416" s="50">
        <v>191219</v>
      </c>
      <c r="B416" s="44">
        <v>0.5</v>
      </c>
      <c r="C416" s="50" t="s">
        <v>417</v>
      </c>
      <c r="D416" s="50" t="s">
        <v>425</v>
      </c>
      <c r="E416" s="59">
        <v>40</v>
      </c>
      <c r="F416" s="59">
        <v>27</v>
      </c>
      <c r="G416" s="59">
        <v>30</v>
      </c>
      <c r="H416" s="59">
        <v>25</v>
      </c>
      <c r="I416" s="59"/>
      <c r="J416" s="59">
        <v>29</v>
      </c>
      <c r="K416" s="59">
        <v>37</v>
      </c>
      <c r="L416" s="59">
        <v>26</v>
      </c>
      <c r="M416" s="59">
        <v>20</v>
      </c>
      <c r="N416" s="59" t="s">
        <v>427</v>
      </c>
      <c r="O416" s="74">
        <f t="shared" si="216"/>
        <v>122</v>
      </c>
      <c r="P416" s="74">
        <f t="shared" si="217"/>
        <v>112</v>
      </c>
      <c r="Q416" s="74" t="str">
        <f t="shared" si="218"/>
        <v>HW</v>
      </c>
      <c r="R416" s="74" t="str">
        <f t="shared" si="219"/>
        <v>HL</v>
      </c>
      <c r="S416" s="74" t="str">
        <f t="shared" si="220"/>
        <v>HW</v>
      </c>
      <c r="T416" s="74" t="str">
        <f t="shared" si="221"/>
        <v>HW</v>
      </c>
      <c r="U416" s="74" t="str">
        <f t="shared" si="222"/>
        <v>O</v>
      </c>
      <c r="V416" s="74" t="str">
        <f t="shared" si="223"/>
        <v>O</v>
      </c>
      <c r="W416" s="74" t="str">
        <f t="shared" si="224"/>
        <v>U</v>
      </c>
      <c r="X416" s="74" t="str">
        <f t="shared" si="225"/>
        <v>U</v>
      </c>
      <c r="Z416">
        <v>56.5</v>
      </c>
      <c r="AA416" s="42" t="str">
        <f t="shared" si="215"/>
        <v>POR/GS</v>
      </c>
    </row>
    <row r="417" spans="1:27" x14ac:dyDescent="0.3">
      <c r="A417" s="50">
        <v>191220</v>
      </c>
      <c r="B417" s="51">
        <v>0.39583333333333331</v>
      </c>
      <c r="C417" s="50" t="s">
        <v>410</v>
      </c>
      <c r="D417" s="50" t="s">
        <v>405</v>
      </c>
      <c r="E417" s="61">
        <v>30</v>
      </c>
      <c r="F417" s="61">
        <v>26</v>
      </c>
      <c r="G417" s="61">
        <v>28</v>
      </c>
      <c r="H417" s="61">
        <v>22</v>
      </c>
      <c r="I417" s="61"/>
      <c r="J417" s="61">
        <v>28</v>
      </c>
      <c r="K417" s="61">
        <v>24</v>
      </c>
      <c r="L417" s="61">
        <v>31</v>
      </c>
      <c r="M417" s="61">
        <v>28</v>
      </c>
      <c r="N417" s="61" t="s">
        <v>427</v>
      </c>
      <c r="O417" s="74">
        <f t="shared" si="216"/>
        <v>106</v>
      </c>
      <c r="P417" s="74">
        <f t="shared" si="217"/>
        <v>111</v>
      </c>
      <c r="Q417" s="74" t="str">
        <f t="shared" si="218"/>
        <v>HW</v>
      </c>
      <c r="R417" s="74" t="str">
        <f t="shared" si="219"/>
        <v>HW</v>
      </c>
      <c r="S417" s="74" t="str">
        <f t="shared" si="220"/>
        <v>HL</v>
      </c>
      <c r="T417" s="74" t="str">
        <f t="shared" si="221"/>
        <v>HL</v>
      </c>
      <c r="U417" s="74" t="str">
        <f t="shared" si="222"/>
        <v>O</v>
      </c>
      <c r="V417" s="74" t="str">
        <f t="shared" si="223"/>
        <v>U</v>
      </c>
      <c r="W417" s="74" t="str">
        <f t="shared" si="224"/>
        <v>O</v>
      </c>
      <c r="X417" s="74" t="str">
        <f t="shared" si="225"/>
        <v>U</v>
      </c>
      <c r="Z417">
        <v>55</v>
      </c>
      <c r="AA417" s="74" t="str">
        <f t="shared" si="215"/>
        <v>ATL/UTA</v>
      </c>
    </row>
    <row r="418" spans="1:27" x14ac:dyDescent="0.3">
      <c r="A418" s="50">
        <v>191220</v>
      </c>
      <c r="B418" s="51">
        <v>0.41666666666666669</v>
      </c>
      <c r="C418" s="50" t="s">
        <v>423</v>
      </c>
      <c r="D418" s="50" t="s">
        <v>419</v>
      </c>
      <c r="E418" s="63">
        <v>23</v>
      </c>
      <c r="F418" s="63">
        <v>42</v>
      </c>
      <c r="G418" s="63">
        <v>24</v>
      </c>
      <c r="H418" s="63">
        <v>22</v>
      </c>
      <c r="I418" s="63"/>
      <c r="J418" s="63">
        <v>17</v>
      </c>
      <c r="K418" s="63">
        <v>29</v>
      </c>
      <c r="L418" s="63">
        <v>35</v>
      </c>
      <c r="M418" s="63">
        <v>23</v>
      </c>
      <c r="N418" s="63" t="s">
        <v>427</v>
      </c>
      <c r="O418" s="74">
        <f t="shared" si="216"/>
        <v>111</v>
      </c>
      <c r="P418" s="74">
        <f t="shared" si="217"/>
        <v>104</v>
      </c>
      <c r="Q418" s="74" t="str">
        <f t="shared" si="218"/>
        <v>HW</v>
      </c>
      <c r="R418" s="74" t="str">
        <f t="shared" si="219"/>
        <v>HW</v>
      </c>
      <c r="S418" s="74" t="str">
        <f t="shared" si="220"/>
        <v>HL</v>
      </c>
      <c r="T418" s="74" t="str">
        <f t="shared" si="221"/>
        <v>HL</v>
      </c>
      <c r="U418" s="74" t="str">
        <f t="shared" si="222"/>
        <v>U</v>
      </c>
      <c r="V418" s="74" t="str">
        <f t="shared" si="223"/>
        <v>O</v>
      </c>
      <c r="W418" s="74" t="str">
        <f t="shared" si="224"/>
        <v>O</v>
      </c>
      <c r="X418" s="74" t="str">
        <f t="shared" si="225"/>
        <v>U</v>
      </c>
      <c r="Z418">
        <v>58.5</v>
      </c>
      <c r="AA418" s="74" t="str">
        <f t="shared" si="215"/>
        <v>MIL/LAL</v>
      </c>
    </row>
    <row r="419" spans="1:27" x14ac:dyDescent="0.3">
      <c r="A419" s="50">
        <v>191220</v>
      </c>
      <c r="B419" s="51">
        <v>0.4375</v>
      </c>
      <c r="C419" s="50" t="s">
        <v>426</v>
      </c>
      <c r="D419" s="50" t="s">
        <v>407</v>
      </c>
      <c r="E419" s="64">
        <v>27</v>
      </c>
      <c r="F419" s="64">
        <v>23</v>
      </c>
      <c r="G419" s="64">
        <v>33</v>
      </c>
      <c r="H419" s="64">
        <v>35</v>
      </c>
      <c r="I419" s="64"/>
      <c r="J419" s="64">
        <v>33</v>
      </c>
      <c r="K419" s="64">
        <v>23</v>
      </c>
      <c r="L419" s="64">
        <v>25</v>
      </c>
      <c r="M419" s="64">
        <v>24</v>
      </c>
      <c r="N419" s="64" t="s">
        <v>427</v>
      </c>
      <c r="O419" s="74">
        <f t="shared" si="216"/>
        <v>118</v>
      </c>
      <c r="P419" s="74">
        <f t="shared" si="217"/>
        <v>105</v>
      </c>
      <c r="Q419" s="74" t="str">
        <f t="shared" si="218"/>
        <v>HL</v>
      </c>
      <c r="R419" s="74" t="str">
        <f t="shared" si="219"/>
        <v>TT</v>
      </c>
      <c r="S419" s="74" t="str">
        <f t="shared" si="220"/>
        <v>HW</v>
      </c>
      <c r="T419" s="74" t="str">
        <f t="shared" si="221"/>
        <v>HW</v>
      </c>
      <c r="U419" s="74" t="str">
        <f t="shared" si="222"/>
        <v>O</v>
      </c>
      <c r="V419" s="74" t="str">
        <f t="shared" si="223"/>
        <v>U</v>
      </c>
      <c r="W419" s="74" t="str">
        <f t="shared" si="224"/>
        <v>O</v>
      </c>
      <c r="X419" s="74" t="str">
        <f t="shared" si="225"/>
        <v>O</v>
      </c>
      <c r="Z419">
        <v>53.5</v>
      </c>
      <c r="AA419" s="74" t="str">
        <f t="shared" si="215"/>
        <v>SAS/BKN</v>
      </c>
    </row>
    <row r="420" spans="1:27" x14ac:dyDescent="0.3">
      <c r="A420" s="50">
        <v>191220</v>
      </c>
      <c r="B420" s="51">
        <v>0.52083333333333337</v>
      </c>
      <c r="C420" s="50" t="s">
        <v>415</v>
      </c>
      <c r="D420" s="50" t="s">
        <v>403</v>
      </c>
      <c r="E420" s="62">
        <v>28</v>
      </c>
      <c r="F420" s="62">
        <v>41</v>
      </c>
      <c r="G420" s="62">
        <v>18</v>
      </c>
      <c r="H420" s="62">
        <v>30</v>
      </c>
      <c r="I420" s="62"/>
      <c r="J420" s="62">
        <v>27</v>
      </c>
      <c r="K420" s="62">
        <v>27</v>
      </c>
      <c r="L420" s="62">
        <v>36</v>
      </c>
      <c r="M420" s="62">
        <v>32</v>
      </c>
      <c r="N420" s="62" t="s">
        <v>427</v>
      </c>
      <c r="O420" s="74">
        <f t="shared" si="216"/>
        <v>117</v>
      </c>
      <c r="P420" s="74">
        <f t="shared" si="217"/>
        <v>122</v>
      </c>
      <c r="Q420" s="74" t="str">
        <f t="shared" si="218"/>
        <v>HW</v>
      </c>
      <c r="R420" s="74" t="str">
        <f t="shared" si="219"/>
        <v>HW</v>
      </c>
      <c r="S420" s="74" t="str">
        <f t="shared" si="220"/>
        <v>HL</v>
      </c>
      <c r="T420" s="74" t="str">
        <f t="shared" si="221"/>
        <v>HL</v>
      </c>
      <c r="U420" s="74" t="str">
        <f t="shared" si="222"/>
        <v>U</v>
      </c>
      <c r="V420" s="74" t="str">
        <f t="shared" si="223"/>
        <v>O</v>
      </c>
      <c r="W420" s="74" t="str">
        <f t="shared" si="224"/>
        <v>U</v>
      </c>
      <c r="X420" s="74" t="str">
        <f t="shared" si="225"/>
        <v>O</v>
      </c>
      <c r="Z420">
        <v>60.5</v>
      </c>
      <c r="AA420" s="74" t="str">
        <f t="shared" si="215"/>
        <v>LAC/HOU</v>
      </c>
    </row>
    <row r="421" spans="1:27" x14ac:dyDescent="0.3">
      <c r="A421" s="50">
        <v>191221</v>
      </c>
      <c r="B421" s="51">
        <v>0.375</v>
      </c>
      <c r="C421" s="50" t="s">
        <v>402</v>
      </c>
      <c r="D421" s="50" t="s">
        <v>406</v>
      </c>
      <c r="E421" s="66">
        <v>25</v>
      </c>
      <c r="F421" s="66">
        <v>30</v>
      </c>
      <c r="G421" s="66">
        <v>26</v>
      </c>
      <c r="H421" s="66">
        <v>33</v>
      </c>
      <c r="I421" s="66"/>
      <c r="J421" s="66">
        <v>27</v>
      </c>
      <c r="K421" s="66">
        <v>24</v>
      </c>
      <c r="L421" s="66">
        <v>36</v>
      </c>
      <c r="M421" s="66">
        <v>20</v>
      </c>
      <c r="N421" s="66" t="s">
        <v>427</v>
      </c>
      <c r="O421" s="74">
        <f t="shared" si="216"/>
        <v>114</v>
      </c>
      <c r="P421" s="74">
        <f t="shared" si="217"/>
        <v>107</v>
      </c>
      <c r="Q421" s="74" t="str">
        <f t="shared" si="218"/>
        <v>HL</v>
      </c>
      <c r="R421" s="74" t="str">
        <f t="shared" si="219"/>
        <v>HW</v>
      </c>
      <c r="S421" s="74" t="str">
        <f t="shared" si="220"/>
        <v>HL</v>
      </c>
      <c r="T421" s="74" t="str">
        <f t="shared" si="221"/>
        <v>HW</v>
      </c>
      <c r="U421" s="74" t="str">
        <f t="shared" si="222"/>
        <v>U</v>
      </c>
      <c r="V421" s="74" t="str">
        <f t="shared" si="223"/>
        <v>U</v>
      </c>
      <c r="W421" s="74" t="str">
        <f t="shared" si="224"/>
        <v>O</v>
      </c>
      <c r="X421" s="74" t="str">
        <f t="shared" si="225"/>
        <v>U</v>
      </c>
      <c r="Z421">
        <v>55</v>
      </c>
      <c r="AA421" s="74" t="str">
        <f t="shared" si="215"/>
        <v>CLE/MEM</v>
      </c>
    </row>
    <row r="422" spans="1:27" x14ac:dyDescent="0.3">
      <c r="A422" s="50">
        <v>191221</v>
      </c>
      <c r="B422" s="51">
        <v>0.375</v>
      </c>
      <c r="C422" s="50" t="s">
        <v>400</v>
      </c>
      <c r="D422" s="50" t="s">
        <v>416</v>
      </c>
      <c r="E422" s="69">
        <v>30</v>
      </c>
      <c r="F422" s="69">
        <v>38</v>
      </c>
      <c r="G422" s="69">
        <v>24</v>
      </c>
      <c r="H422" s="69">
        <v>27</v>
      </c>
      <c r="I422" s="69"/>
      <c r="J422" s="69">
        <v>32</v>
      </c>
      <c r="K422" s="69">
        <v>25</v>
      </c>
      <c r="L422" s="69">
        <v>22</v>
      </c>
      <c r="M422" s="69">
        <v>26</v>
      </c>
      <c r="N422" s="69" t="s">
        <v>427</v>
      </c>
      <c r="O422" s="74">
        <f t="shared" si="216"/>
        <v>119</v>
      </c>
      <c r="P422" s="74">
        <f t="shared" si="217"/>
        <v>105</v>
      </c>
      <c r="Q422" s="74" t="str">
        <f t="shared" si="218"/>
        <v>HL</v>
      </c>
      <c r="R422" s="74" t="str">
        <f t="shared" si="219"/>
        <v>HW</v>
      </c>
      <c r="S422" s="74" t="str">
        <f t="shared" si="220"/>
        <v>HW</v>
      </c>
      <c r="T422" s="74" t="str">
        <f t="shared" si="221"/>
        <v>HW</v>
      </c>
      <c r="U422" s="74" t="str">
        <f t="shared" si="222"/>
        <v>O</v>
      </c>
      <c r="V422" s="74" t="str">
        <f t="shared" si="223"/>
        <v>O</v>
      </c>
      <c r="W422" s="74" t="str">
        <f t="shared" si="224"/>
        <v>U</v>
      </c>
      <c r="X422" s="74" t="str">
        <f t="shared" si="225"/>
        <v>U</v>
      </c>
      <c r="Z422">
        <v>54</v>
      </c>
      <c r="AA422" s="74" t="str">
        <f t="shared" si="215"/>
        <v>IND/SAC</v>
      </c>
    </row>
    <row r="423" spans="1:27" x14ac:dyDescent="0.3">
      <c r="A423" s="50">
        <v>191221</v>
      </c>
      <c r="B423" s="51">
        <v>0.39583333333333331</v>
      </c>
      <c r="C423" s="50" t="s">
        <v>421</v>
      </c>
      <c r="D423" s="50" t="s">
        <v>422</v>
      </c>
      <c r="E423" s="65">
        <v>28</v>
      </c>
      <c r="F423" s="65">
        <v>32</v>
      </c>
      <c r="G423" s="65">
        <v>31</v>
      </c>
      <c r="H423" s="65">
        <v>23</v>
      </c>
      <c r="I423" s="65"/>
      <c r="J423" s="65">
        <v>26</v>
      </c>
      <c r="K423" s="65">
        <v>22</v>
      </c>
      <c r="L423" s="65">
        <v>21</v>
      </c>
      <c r="M423" s="65">
        <v>24</v>
      </c>
      <c r="N423" s="65" t="s">
        <v>427</v>
      </c>
      <c r="O423" s="74">
        <f t="shared" si="216"/>
        <v>114</v>
      </c>
      <c r="P423" s="74">
        <f t="shared" si="217"/>
        <v>93</v>
      </c>
      <c r="Q423" s="74" t="str">
        <f t="shared" si="218"/>
        <v>HW</v>
      </c>
      <c r="R423" s="74" t="str">
        <f t="shared" si="219"/>
        <v>HW</v>
      </c>
      <c r="S423" s="74" t="str">
        <f t="shared" si="220"/>
        <v>HW</v>
      </c>
      <c r="T423" s="74" t="str">
        <f t="shared" si="221"/>
        <v>HL</v>
      </c>
      <c r="U423" s="74" t="str">
        <f t="shared" si="222"/>
        <v>U</v>
      </c>
      <c r="V423" s="74" t="str">
        <f t="shared" si="223"/>
        <v>U</v>
      </c>
      <c r="W423" s="74" t="str">
        <f t="shared" si="224"/>
        <v>U</v>
      </c>
      <c r="X423" s="74" t="str">
        <f t="shared" si="225"/>
        <v>U</v>
      </c>
      <c r="Z423">
        <v>54.5</v>
      </c>
      <c r="AA423" s="74" t="str">
        <f t="shared" si="215"/>
        <v>BOS/DET</v>
      </c>
    </row>
    <row r="424" spans="1:27" x14ac:dyDescent="0.3">
      <c r="A424" s="50">
        <v>191221</v>
      </c>
      <c r="B424" s="51">
        <v>0.39583333333333331</v>
      </c>
      <c r="C424" s="50" t="s">
        <v>413</v>
      </c>
      <c r="D424" s="50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16"/>
        <v>122</v>
      </c>
      <c r="P424" s="74">
        <f t="shared" si="217"/>
        <v>118</v>
      </c>
      <c r="Q424" s="74" t="str">
        <f t="shared" si="218"/>
        <v>HW</v>
      </c>
      <c r="R424" s="74" t="str">
        <f t="shared" si="219"/>
        <v>HL</v>
      </c>
      <c r="S424" s="74" t="str">
        <f t="shared" si="220"/>
        <v>HL</v>
      </c>
      <c r="T424" s="74" t="str">
        <f t="shared" si="221"/>
        <v>HL</v>
      </c>
      <c r="U424" s="74" t="str">
        <f t="shared" si="222"/>
        <v>O</v>
      </c>
      <c r="V424" s="74" t="str">
        <f t="shared" si="223"/>
        <v>U</v>
      </c>
      <c r="W424" s="74" t="str">
        <f t="shared" si="224"/>
        <v>O</v>
      </c>
      <c r="X424" s="74" t="str">
        <f t="shared" si="225"/>
        <v>T</v>
      </c>
      <c r="Z424">
        <v>59</v>
      </c>
      <c r="AA424" s="74" t="str">
        <f t="shared" si="215"/>
        <v>TOR/WAS</v>
      </c>
    </row>
    <row r="425" spans="1:27" x14ac:dyDescent="0.3">
      <c r="A425" s="50">
        <v>191221</v>
      </c>
      <c r="B425" s="51">
        <v>0.41666666666666669</v>
      </c>
      <c r="C425" s="50" t="s">
        <v>411</v>
      </c>
      <c r="D425" s="50" t="s">
        <v>399</v>
      </c>
      <c r="E425" s="70">
        <v>39</v>
      </c>
      <c r="F425" s="70">
        <v>31</v>
      </c>
      <c r="G425" s="70">
        <v>28</v>
      </c>
      <c r="H425" s="70">
        <v>31</v>
      </c>
      <c r="I425" s="70"/>
      <c r="J425" s="70">
        <v>20</v>
      </c>
      <c r="K425" s="70">
        <v>27</v>
      </c>
      <c r="L425" s="70">
        <v>27</v>
      </c>
      <c r="M425" s="70">
        <v>40</v>
      </c>
      <c r="N425" s="70" t="s">
        <v>427</v>
      </c>
      <c r="O425" s="74">
        <f t="shared" si="216"/>
        <v>129</v>
      </c>
      <c r="P425" s="74">
        <f t="shared" si="217"/>
        <v>114</v>
      </c>
      <c r="Q425" s="74" t="str">
        <f t="shared" si="218"/>
        <v>HW</v>
      </c>
      <c r="R425" s="74" t="str">
        <f t="shared" si="219"/>
        <v>HW</v>
      </c>
      <c r="S425" s="74" t="str">
        <f t="shared" si="220"/>
        <v>HW</v>
      </c>
      <c r="T425" s="74" t="str">
        <f t="shared" si="221"/>
        <v>HL</v>
      </c>
      <c r="U425" s="74" t="str">
        <f t="shared" si="222"/>
        <v>O</v>
      </c>
      <c r="V425" s="74" t="str">
        <f t="shared" si="223"/>
        <v>O</v>
      </c>
      <c r="W425" s="74" t="str">
        <f t="shared" si="224"/>
        <v>U</v>
      </c>
      <c r="X425" s="74" t="str">
        <f t="shared" si="225"/>
        <v>O</v>
      </c>
      <c r="Z425">
        <v>55.5</v>
      </c>
      <c r="AA425" s="74" t="str">
        <f t="shared" si="215"/>
        <v>MIA/NYK</v>
      </c>
    </row>
    <row r="426" spans="1:27" x14ac:dyDescent="0.3">
      <c r="A426" s="50">
        <v>191221</v>
      </c>
      <c r="B426" s="51">
        <v>0.41666666666666669</v>
      </c>
      <c r="C426" s="50" t="s">
        <v>401</v>
      </c>
      <c r="D426" s="50" t="s">
        <v>397</v>
      </c>
      <c r="E426" s="72">
        <v>28</v>
      </c>
      <c r="F426" s="72">
        <v>29</v>
      </c>
      <c r="G426" s="72">
        <v>20</v>
      </c>
      <c r="H426" s="72">
        <v>21</v>
      </c>
      <c r="I426" s="72"/>
      <c r="J426" s="72">
        <v>35</v>
      </c>
      <c r="K426" s="72">
        <v>28</v>
      </c>
      <c r="L426" s="72">
        <v>25</v>
      </c>
      <c r="M426" s="72">
        <v>29</v>
      </c>
      <c r="N426" s="72" t="s">
        <v>427</v>
      </c>
      <c r="O426" s="74">
        <f t="shared" si="216"/>
        <v>98</v>
      </c>
      <c r="P426" s="74">
        <f t="shared" si="217"/>
        <v>117</v>
      </c>
      <c r="Q426" s="74" t="str">
        <f t="shared" si="218"/>
        <v>HL</v>
      </c>
      <c r="R426" s="74" t="str">
        <f t="shared" si="219"/>
        <v>HW</v>
      </c>
      <c r="S426" s="74" t="str">
        <f t="shared" si="220"/>
        <v>HL</v>
      </c>
      <c r="T426" s="74" t="str">
        <f t="shared" si="221"/>
        <v>HL</v>
      </c>
      <c r="U426" s="74" t="str">
        <f t="shared" si="222"/>
        <v>O</v>
      </c>
      <c r="V426" s="74" t="str">
        <f t="shared" si="223"/>
        <v>O</v>
      </c>
      <c r="W426" s="74" t="str">
        <f t="shared" si="224"/>
        <v>U</v>
      </c>
      <c r="X426" s="74" t="str">
        <f t="shared" si="225"/>
        <v>U</v>
      </c>
      <c r="Z426">
        <v>54.5</v>
      </c>
      <c r="AA426" s="74" t="str">
        <f t="shared" si="215"/>
        <v>PHI/DAL</v>
      </c>
    </row>
    <row r="427" spans="1:27" x14ac:dyDescent="0.3">
      <c r="A427" s="50">
        <v>191221</v>
      </c>
      <c r="B427" s="51">
        <v>0.41666666666666669</v>
      </c>
      <c r="C427" s="50" t="s">
        <v>418</v>
      </c>
      <c r="D427" s="50" t="s">
        <v>404</v>
      </c>
      <c r="E427" s="71">
        <v>26</v>
      </c>
      <c r="F427" s="71">
        <v>31</v>
      </c>
      <c r="G427" s="71">
        <v>44</v>
      </c>
      <c r="H427" s="71">
        <v>25</v>
      </c>
      <c r="I427" s="71"/>
      <c r="J427" s="71">
        <v>23</v>
      </c>
      <c r="K427" s="71">
        <v>27</v>
      </c>
      <c r="L427" s="71">
        <v>41</v>
      </c>
      <c r="M427" s="71">
        <v>17</v>
      </c>
      <c r="N427" s="71" t="s">
        <v>427</v>
      </c>
      <c r="O427" s="74">
        <f t="shared" si="216"/>
        <v>126</v>
      </c>
      <c r="P427" s="74">
        <f t="shared" si="217"/>
        <v>108</v>
      </c>
      <c r="Q427" s="74" t="str">
        <f t="shared" si="218"/>
        <v>HW</v>
      </c>
      <c r="R427" s="74" t="str">
        <f t="shared" si="219"/>
        <v>HW</v>
      </c>
      <c r="S427" s="74" t="str">
        <f t="shared" si="220"/>
        <v>HW</v>
      </c>
      <c r="T427" s="74" t="str">
        <f t="shared" si="221"/>
        <v>HW</v>
      </c>
      <c r="U427" s="74" t="str">
        <f t="shared" si="222"/>
        <v>U</v>
      </c>
      <c r="V427" s="74" t="str">
        <f t="shared" si="223"/>
        <v>O</v>
      </c>
      <c r="W427" s="74" t="str">
        <f t="shared" si="224"/>
        <v>O</v>
      </c>
      <c r="X427" s="74" t="str">
        <f t="shared" si="225"/>
        <v>U</v>
      </c>
      <c r="Z427">
        <v>54</v>
      </c>
      <c r="AA427" s="74" t="str">
        <f t="shared" si="215"/>
        <v>OKC/PHO</v>
      </c>
    </row>
    <row r="428" spans="1:27" x14ac:dyDescent="0.3">
      <c r="A428" s="50">
        <v>191221</v>
      </c>
      <c r="B428" s="51">
        <v>0.45833333333333331</v>
      </c>
      <c r="C428" s="50" t="s">
        <v>408</v>
      </c>
      <c r="D428" s="50" t="s">
        <v>420</v>
      </c>
      <c r="E428" s="67">
        <v>33</v>
      </c>
      <c r="F428" s="67">
        <v>28</v>
      </c>
      <c r="G428" s="67">
        <v>21</v>
      </c>
      <c r="H428" s="67">
        <v>27</v>
      </c>
      <c r="I428" s="67"/>
      <c r="J428" s="67">
        <v>20</v>
      </c>
      <c r="K428" s="67">
        <v>31</v>
      </c>
      <c r="L428" s="67">
        <v>24</v>
      </c>
      <c r="M428" s="67">
        <v>25</v>
      </c>
      <c r="N428" s="67" t="s">
        <v>427</v>
      </c>
      <c r="O428" s="74">
        <f t="shared" si="216"/>
        <v>109</v>
      </c>
      <c r="P428" s="74">
        <f t="shared" si="217"/>
        <v>100</v>
      </c>
      <c r="Q428" s="74" t="str">
        <f t="shared" si="218"/>
        <v>HW</v>
      </c>
      <c r="R428" s="74" t="str">
        <f t="shared" si="219"/>
        <v>HL</v>
      </c>
      <c r="S428" s="74" t="str">
        <f t="shared" si="220"/>
        <v>HL</v>
      </c>
      <c r="T428" s="74" t="str">
        <f t="shared" si="221"/>
        <v>HW</v>
      </c>
      <c r="U428" s="74" t="str">
        <f t="shared" si="222"/>
        <v>U</v>
      </c>
      <c r="V428" s="74" t="str">
        <f t="shared" si="223"/>
        <v>O</v>
      </c>
      <c r="W428" s="74" t="str">
        <f t="shared" si="224"/>
        <v>U</v>
      </c>
      <c r="X428" s="74" t="str">
        <f t="shared" si="225"/>
        <v>U</v>
      </c>
      <c r="Z428">
        <v>55.5</v>
      </c>
      <c r="AA428" s="74" t="str">
        <f t="shared" si="215"/>
        <v>DEN/MIN</v>
      </c>
    </row>
    <row r="429" spans="1:27" x14ac:dyDescent="0.3">
      <c r="A429" s="50">
        <v>191221</v>
      </c>
      <c r="B429" s="51">
        <v>0.5</v>
      </c>
      <c r="C429" s="50" t="s">
        <v>417</v>
      </c>
      <c r="D429" s="50" t="s">
        <v>424</v>
      </c>
      <c r="E429" s="73">
        <v>31</v>
      </c>
      <c r="F429" s="73">
        <v>26</v>
      </c>
      <c r="G429" s="73">
        <v>36</v>
      </c>
      <c r="H429" s="73">
        <v>25</v>
      </c>
      <c r="I429" s="73"/>
      <c r="J429" s="73">
        <v>13</v>
      </c>
      <c r="K429" s="73">
        <v>31</v>
      </c>
      <c r="L429" s="73">
        <v>31</v>
      </c>
      <c r="M429" s="73">
        <v>28</v>
      </c>
      <c r="N429" s="73" t="s">
        <v>427</v>
      </c>
      <c r="O429" s="74">
        <f t="shared" si="216"/>
        <v>118</v>
      </c>
      <c r="P429" s="74">
        <f t="shared" si="217"/>
        <v>103</v>
      </c>
      <c r="Q429" s="74" t="str">
        <f t="shared" si="218"/>
        <v>HW</v>
      </c>
      <c r="R429" s="74" t="str">
        <f t="shared" si="219"/>
        <v>HL</v>
      </c>
      <c r="S429" s="74" t="str">
        <f t="shared" si="220"/>
        <v>HW</v>
      </c>
      <c r="T429" s="74" t="str">
        <f t="shared" si="221"/>
        <v>HL</v>
      </c>
      <c r="U429" s="74" t="str">
        <f t="shared" si="222"/>
        <v>U</v>
      </c>
      <c r="V429" s="74" t="str">
        <f t="shared" si="223"/>
        <v>O</v>
      </c>
      <c r="W429" s="74" t="str">
        <f t="shared" si="224"/>
        <v>O</v>
      </c>
      <c r="X429" s="74" t="str">
        <f t="shared" si="225"/>
        <v>U</v>
      </c>
      <c r="Z429">
        <v>56</v>
      </c>
      <c r="AA429" s="74" t="str">
        <f t="shared" si="215"/>
        <v>POR/ORL</v>
      </c>
    </row>
    <row r="430" spans="1:27" x14ac:dyDescent="0.3">
      <c r="A430" s="50">
        <v>191221</v>
      </c>
      <c r="B430" s="51">
        <v>0.52083333333333337</v>
      </c>
      <c r="C430" s="50" t="s">
        <v>425</v>
      </c>
      <c r="D430" s="50" t="s">
        <v>398</v>
      </c>
      <c r="E430" s="68">
        <v>31</v>
      </c>
      <c r="F430" s="68">
        <v>25</v>
      </c>
      <c r="G430" s="68">
        <v>22</v>
      </c>
      <c r="H430" s="68">
        <v>28</v>
      </c>
      <c r="I430" s="68"/>
      <c r="J430" s="68">
        <v>16</v>
      </c>
      <c r="K430" s="68">
        <v>28</v>
      </c>
      <c r="L430" s="68">
        <v>37</v>
      </c>
      <c r="M430" s="68">
        <v>21</v>
      </c>
      <c r="N430" s="68" t="s">
        <v>427</v>
      </c>
      <c r="O430" s="74">
        <f t="shared" si="216"/>
        <v>106</v>
      </c>
      <c r="P430" s="74">
        <f t="shared" si="217"/>
        <v>102</v>
      </c>
      <c r="Q430" s="74" t="str">
        <f t="shared" si="218"/>
        <v>HW</v>
      </c>
      <c r="R430" s="74" t="str">
        <f t="shared" si="219"/>
        <v>HL</v>
      </c>
      <c r="S430" s="74" t="str">
        <f t="shared" si="220"/>
        <v>HL</v>
      </c>
      <c r="T430" s="74" t="str">
        <f t="shared" si="221"/>
        <v>HW</v>
      </c>
      <c r="U430" s="74" t="str">
        <f t="shared" si="222"/>
        <v>U</v>
      </c>
      <c r="V430" s="74" t="str">
        <f t="shared" si="223"/>
        <v>U</v>
      </c>
      <c r="W430" s="74" t="str">
        <f t="shared" si="224"/>
        <v>O</v>
      </c>
      <c r="X430" s="74" t="str">
        <f t="shared" si="225"/>
        <v>U</v>
      </c>
      <c r="Z430">
        <v>57.5</v>
      </c>
      <c r="AA430" s="74" t="str">
        <f t="shared" si="215"/>
        <v>GS/NO</v>
      </c>
    </row>
    <row r="431" spans="1:27" x14ac:dyDescent="0.3">
      <c r="A431" s="50">
        <v>191222</v>
      </c>
      <c r="B431" s="51">
        <v>0.29166666666666669</v>
      </c>
      <c r="C431" s="13" t="s">
        <v>428</v>
      </c>
      <c r="D431" s="15" t="s">
        <v>405</v>
      </c>
      <c r="E431" s="186">
        <v>33</v>
      </c>
      <c r="F431" s="186">
        <v>31</v>
      </c>
      <c r="G431" s="186">
        <v>22</v>
      </c>
      <c r="H431" s="186">
        <v>21</v>
      </c>
      <c r="I431" s="186"/>
      <c r="J431" s="186">
        <v>31</v>
      </c>
      <c r="K431" s="186">
        <v>25</v>
      </c>
      <c r="L431" s="186">
        <v>28</v>
      </c>
      <c r="M431" s="186">
        <v>30</v>
      </c>
      <c r="N431" s="186" t="s">
        <v>427</v>
      </c>
      <c r="O431" s="186">
        <f t="shared" ref="O431:O494" si="226">SUM(E431:I431)</f>
        <v>107</v>
      </c>
      <c r="P431" s="186">
        <f t="shared" ref="P431:P494" si="227">SUM(J431:N431)</f>
        <v>114</v>
      </c>
      <c r="Q431" s="186" t="str">
        <f t="shared" ref="Q431:Q494" si="228">IF(E431=J431,"TT",IF(E431&gt;J431,"HW","HL"))</f>
        <v>HW</v>
      </c>
      <c r="R431" s="186" t="str">
        <f t="shared" ref="R431:R494" si="229">IF(F431=K431,"TT",IF(F431&gt;K431,"HW","HL"))</f>
        <v>HW</v>
      </c>
      <c r="S431" s="186" t="str">
        <f t="shared" ref="S431:S494" si="230">IF(G431=L431,"TT",IF(G431&gt;L431,"HW","HL"))</f>
        <v>HL</v>
      </c>
      <c r="T431" s="186" t="str">
        <f t="shared" ref="T431:T494" si="231">IF(H431=M431,"TT",IF(H431&gt;M431,"HW","HL"))</f>
        <v>HL</v>
      </c>
      <c r="U431" s="186" t="str">
        <f t="shared" ref="U431:U494" si="232">IF(SUM(E431,J431)=$Z431,"T",IF(SUM(E431,J431)&gt;$Z431,"O","U"))</f>
        <v>O</v>
      </c>
      <c r="V431" s="186" t="str">
        <f t="shared" ref="V431:V494" si="233">IF(SUM(F431,K431)=$Z431,"T",IF(SUM(F431,K431)&gt;$Z431,"O","U"))</f>
        <v>O</v>
      </c>
      <c r="W431" s="186" t="str">
        <f t="shared" ref="W431:W494" si="234">IF(SUM(G431,L431)=$Z431,"T",IF(SUM(G431,L431)&gt;$Z431,"O","U"))</f>
        <v>U</v>
      </c>
      <c r="X431" s="186" t="str">
        <f t="shared" ref="X431:X494" si="235">IF(SUM(H431,M431)=$Z431,"T",IF(SUM(H431,M431)&gt;$Z431,"O","U"))</f>
        <v>U</v>
      </c>
      <c r="Y431">
        <v>208.5</v>
      </c>
      <c r="Z431">
        <v>52.5</v>
      </c>
      <c r="AA431" s="74" t="str">
        <f t="shared" si="215"/>
        <v>CHA/UTA</v>
      </c>
    </row>
    <row r="432" spans="1:27" x14ac:dyDescent="0.3">
      <c r="A432" s="50">
        <v>191222</v>
      </c>
      <c r="B432" s="51">
        <v>0.33333333333333331</v>
      </c>
      <c r="C432" s="15" t="s">
        <v>407</v>
      </c>
      <c r="D432" s="50" t="s">
        <v>410</v>
      </c>
      <c r="E432" s="186">
        <v>34</v>
      </c>
      <c r="F432" s="186">
        <v>26</v>
      </c>
      <c r="G432" s="186">
        <v>25</v>
      </c>
      <c r="H432" s="186">
        <v>37</v>
      </c>
      <c r="I432" s="186"/>
      <c r="J432" s="186">
        <v>34</v>
      </c>
      <c r="K432" s="186">
        <v>39</v>
      </c>
      <c r="L432" s="186">
        <v>25</v>
      </c>
      <c r="M432" s="186">
        <v>14</v>
      </c>
      <c r="N432" s="186"/>
      <c r="O432" s="186">
        <f t="shared" si="226"/>
        <v>122</v>
      </c>
      <c r="P432" s="186">
        <f t="shared" si="227"/>
        <v>112</v>
      </c>
      <c r="Q432" s="186" t="str">
        <f t="shared" si="228"/>
        <v>TT</v>
      </c>
      <c r="R432" s="186" t="str">
        <f t="shared" si="229"/>
        <v>HL</v>
      </c>
      <c r="S432" s="186" t="str">
        <f t="shared" si="230"/>
        <v>TT</v>
      </c>
      <c r="T432" s="186" t="str">
        <f t="shared" si="231"/>
        <v>HW</v>
      </c>
      <c r="U432" s="186" t="str">
        <f t="shared" si="232"/>
        <v>O</v>
      </c>
      <c r="V432" s="186" t="str">
        <f t="shared" si="233"/>
        <v>O</v>
      </c>
      <c r="W432" s="186" t="str">
        <f t="shared" si="234"/>
        <v>U</v>
      </c>
      <c r="X432" s="186" t="str">
        <f t="shared" si="235"/>
        <v>U</v>
      </c>
      <c r="Y432">
        <v>231</v>
      </c>
      <c r="Z432" s="98">
        <v>58</v>
      </c>
      <c r="AA432" s="74" t="str">
        <f t="shared" si="215"/>
        <v>BKN/ATL</v>
      </c>
    </row>
    <row r="433" spans="1:27" x14ac:dyDescent="0.3">
      <c r="A433" s="50">
        <v>191222</v>
      </c>
      <c r="B433" s="51">
        <v>0.375</v>
      </c>
      <c r="C433" s="15" t="s">
        <v>422</v>
      </c>
      <c r="D433" s="13" t="s">
        <v>412</v>
      </c>
      <c r="E433" s="186">
        <v>28</v>
      </c>
      <c r="F433" s="186">
        <v>31</v>
      </c>
      <c r="G433" s="186">
        <v>30</v>
      </c>
      <c r="H433" s="186">
        <v>18</v>
      </c>
      <c r="I433" s="186"/>
      <c r="J433" s="186">
        <v>25</v>
      </c>
      <c r="K433" s="186">
        <v>28</v>
      </c>
      <c r="L433" s="186">
        <v>40</v>
      </c>
      <c r="M433" s="186">
        <v>26</v>
      </c>
      <c r="N433" s="186" t="s">
        <v>427</v>
      </c>
      <c r="O433" s="186">
        <f t="shared" si="226"/>
        <v>107</v>
      </c>
      <c r="P433" s="186">
        <f t="shared" si="227"/>
        <v>119</v>
      </c>
      <c r="Q433" s="186" t="str">
        <f t="shared" si="228"/>
        <v>HW</v>
      </c>
      <c r="R433" s="186" t="str">
        <f t="shared" si="229"/>
        <v>HW</v>
      </c>
      <c r="S433" s="186" t="str">
        <f t="shared" si="230"/>
        <v>HL</v>
      </c>
      <c r="T433" s="186" t="str">
        <f t="shared" si="231"/>
        <v>HL</v>
      </c>
      <c r="U433" s="186" t="str">
        <f t="shared" si="232"/>
        <v>O</v>
      </c>
      <c r="V433" s="186" t="str">
        <f t="shared" si="233"/>
        <v>O</v>
      </c>
      <c r="W433" s="186" t="str">
        <f t="shared" si="234"/>
        <v>O</v>
      </c>
      <c r="X433" s="186" t="str">
        <f t="shared" si="235"/>
        <v>U</v>
      </c>
      <c r="Y433">
        <v>209</v>
      </c>
      <c r="Z433" s="98">
        <v>52.5</v>
      </c>
      <c r="AA433" s="74" t="str">
        <f t="shared" si="215"/>
        <v>DET/CHI</v>
      </c>
    </row>
    <row r="434" spans="1:27" x14ac:dyDescent="0.3">
      <c r="A434" s="50">
        <v>191222</v>
      </c>
      <c r="B434" s="51">
        <v>0.375</v>
      </c>
      <c r="C434" s="5" t="s">
        <v>401</v>
      </c>
      <c r="D434" s="50" t="s">
        <v>414</v>
      </c>
      <c r="E434" s="186">
        <v>32</v>
      </c>
      <c r="F434" s="186">
        <v>33</v>
      </c>
      <c r="G434" s="186">
        <v>23</v>
      </c>
      <c r="H434" s="186">
        <v>37</v>
      </c>
      <c r="I434" s="186"/>
      <c r="J434" s="186">
        <v>25</v>
      </c>
      <c r="K434" s="186">
        <v>28</v>
      </c>
      <c r="L434" s="186">
        <v>27</v>
      </c>
      <c r="M434" s="186">
        <v>28</v>
      </c>
      <c r="N434" s="186" t="s">
        <v>427</v>
      </c>
      <c r="O434" s="186">
        <f t="shared" si="226"/>
        <v>125</v>
      </c>
      <c r="P434" s="186">
        <f t="shared" si="227"/>
        <v>108</v>
      </c>
      <c r="Q434" s="186" t="str">
        <f t="shared" si="228"/>
        <v>HW</v>
      </c>
      <c r="R434" s="186" t="str">
        <f t="shared" si="229"/>
        <v>HW</v>
      </c>
      <c r="S434" s="186" t="str">
        <f t="shared" si="230"/>
        <v>HL</v>
      </c>
      <c r="T434" s="186" t="str">
        <f t="shared" si="231"/>
        <v>HW</v>
      </c>
      <c r="U434" s="186" t="str">
        <f t="shared" si="232"/>
        <v>T</v>
      </c>
      <c r="V434" s="186" t="str">
        <f t="shared" si="233"/>
        <v>O</v>
      </c>
      <c r="W434" s="186" t="str">
        <f t="shared" si="234"/>
        <v>U</v>
      </c>
      <c r="X434" s="186" t="str">
        <f t="shared" si="235"/>
        <v>O</v>
      </c>
      <c r="Y434">
        <v>227</v>
      </c>
      <c r="Z434" s="98">
        <v>57</v>
      </c>
      <c r="AA434" s="74" t="str">
        <f t="shared" si="215"/>
        <v>PHI/WAS</v>
      </c>
    </row>
    <row r="435" spans="1:27" x14ac:dyDescent="0.3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86">
        <v>23</v>
      </c>
      <c r="F435" s="186">
        <v>31</v>
      </c>
      <c r="G435" s="186">
        <v>16</v>
      </c>
      <c r="H435" s="186">
        <v>32</v>
      </c>
      <c r="I435" s="186"/>
      <c r="J435" s="186">
        <v>37</v>
      </c>
      <c r="K435" s="186">
        <v>31</v>
      </c>
      <c r="L435" s="186">
        <v>27</v>
      </c>
      <c r="M435" s="186">
        <v>28</v>
      </c>
      <c r="N435" s="186" t="s">
        <v>427</v>
      </c>
      <c r="O435" s="186">
        <f t="shared" si="226"/>
        <v>102</v>
      </c>
      <c r="P435" s="186">
        <f t="shared" si="227"/>
        <v>123</v>
      </c>
      <c r="Q435" s="186" t="str">
        <f t="shared" si="228"/>
        <v>HL</v>
      </c>
      <c r="R435" s="186" t="str">
        <f t="shared" si="229"/>
        <v>TT</v>
      </c>
      <c r="S435" s="186" t="str">
        <f t="shared" si="230"/>
        <v>HL</v>
      </c>
      <c r="T435" s="186" t="str">
        <f t="shared" si="231"/>
        <v>HW</v>
      </c>
      <c r="U435" s="186" t="str">
        <f t="shared" si="232"/>
        <v>O</v>
      </c>
      <c r="V435" s="186" t="str">
        <f t="shared" si="233"/>
        <v>O</v>
      </c>
      <c r="W435" s="186" t="str">
        <f t="shared" si="234"/>
        <v>U</v>
      </c>
      <c r="X435" s="186" t="str">
        <f t="shared" si="235"/>
        <v>O</v>
      </c>
      <c r="Y435">
        <v>227</v>
      </c>
      <c r="Z435" s="98">
        <v>57</v>
      </c>
      <c r="AA435" s="74" t="str">
        <f t="shared" si="215"/>
        <v>NYK/MIL</v>
      </c>
    </row>
    <row r="436" spans="1:27" x14ac:dyDescent="0.3">
      <c r="A436" s="50">
        <v>191222</v>
      </c>
      <c r="B436" s="51">
        <v>0.41666666666666669</v>
      </c>
      <c r="C436" s="5" t="s">
        <v>406</v>
      </c>
      <c r="D436" s="50" t="s">
        <v>416</v>
      </c>
      <c r="E436" s="186">
        <v>23</v>
      </c>
      <c r="F436" s="186">
        <v>37</v>
      </c>
      <c r="G436" s="186">
        <v>31</v>
      </c>
      <c r="H436" s="186">
        <v>28</v>
      </c>
      <c r="I436" s="186"/>
      <c r="J436" s="186">
        <v>21</v>
      </c>
      <c r="K436" s="186">
        <v>29</v>
      </c>
      <c r="L436" s="186">
        <v>28</v>
      </c>
      <c r="M436" s="186">
        <v>37</v>
      </c>
      <c r="N436" s="186" t="s">
        <v>427</v>
      </c>
      <c r="O436" s="186">
        <f t="shared" si="226"/>
        <v>119</v>
      </c>
      <c r="P436" s="186">
        <f t="shared" si="227"/>
        <v>115</v>
      </c>
      <c r="Q436" s="186" t="str">
        <f t="shared" si="228"/>
        <v>HW</v>
      </c>
      <c r="R436" s="186" t="str">
        <f t="shared" si="229"/>
        <v>HW</v>
      </c>
      <c r="S436" s="186" t="str">
        <f t="shared" si="230"/>
        <v>HW</v>
      </c>
      <c r="T436" s="186" t="str">
        <f t="shared" si="231"/>
        <v>HL</v>
      </c>
      <c r="U436" s="186" t="str">
        <f t="shared" si="232"/>
        <v>U</v>
      </c>
      <c r="V436" s="186" t="str">
        <f t="shared" si="233"/>
        <v>O</v>
      </c>
      <c r="W436" s="186" t="str">
        <f t="shared" si="234"/>
        <v>O</v>
      </c>
      <c r="X436" s="186" t="str">
        <f t="shared" si="235"/>
        <v>O</v>
      </c>
      <c r="Y436">
        <v>221.5</v>
      </c>
      <c r="Z436" s="98">
        <v>55.5</v>
      </c>
      <c r="AA436" s="74" t="str">
        <f t="shared" si="215"/>
        <v>MEM/SAC</v>
      </c>
    </row>
    <row r="437" spans="1:27" x14ac:dyDescent="0.3">
      <c r="A437" s="50">
        <v>191222</v>
      </c>
      <c r="B437" s="51">
        <v>0.4375</v>
      </c>
      <c r="C437" s="15" t="s">
        <v>426</v>
      </c>
      <c r="D437" s="11" t="s">
        <v>415</v>
      </c>
      <c r="E437" s="186">
        <v>31</v>
      </c>
      <c r="F437" s="186">
        <v>30</v>
      </c>
      <c r="G437" s="186">
        <v>22</v>
      </c>
      <c r="H437" s="186">
        <v>26</v>
      </c>
      <c r="I437" s="186"/>
      <c r="J437" s="186">
        <v>33</v>
      </c>
      <c r="K437" s="186">
        <v>39</v>
      </c>
      <c r="L437" s="186">
        <v>38</v>
      </c>
      <c r="M437" s="186">
        <v>24</v>
      </c>
      <c r="N437" s="186" t="s">
        <v>427</v>
      </c>
      <c r="O437" s="186">
        <f t="shared" si="226"/>
        <v>109</v>
      </c>
      <c r="P437" s="186">
        <f t="shared" si="227"/>
        <v>134</v>
      </c>
      <c r="Q437" s="186" t="str">
        <f t="shared" si="228"/>
        <v>HL</v>
      </c>
      <c r="R437" s="186" t="str">
        <f t="shared" si="229"/>
        <v>HL</v>
      </c>
      <c r="S437" s="186" t="str">
        <f t="shared" si="230"/>
        <v>HL</v>
      </c>
      <c r="T437" s="186" t="str">
        <f t="shared" si="231"/>
        <v>HW</v>
      </c>
      <c r="U437" s="186" t="str">
        <f t="shared" si="232"/>
        <v>O</v>
      </c>
      <c r="V437" s="186" t="str">
        <f t="shared" si="233"/>
        <v>O</v>
      </c>
      <c r="W437" s="186" t="str">
        <f t="shared" si="234"/>
        <v>O</v>
      </c>
      <c r="X437" s="186" t="str">
        <f t="shared" si="235"/>
        <v>U</v>
      </c>
      <c r="Y437">
        <v>226</v>
      </c>
      <c r="Z437" s="98">
        <v>56.5</v>
      </c>
      <c r="AA437" s="74" t="str">
        <f t="shared" si="215"/>
        <v>SAS/LAC</v>
      </c>
    </row>
    <row r="438" spans="1:27" x14ac:dyDescent="0.3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86">
        <v>35</v>
      </c>
      <c r="F438" s="186">
        <v>30</v>
      </c>
      <c r="G438" s="186">
        <v>30</v>
      </c>
      <c r="H438" s="186">
        <v>30</v>
      </c>
      <c r="I438" s="186"/>
      <c r="J438" s="186">
        <v>36</v>
      </c>
      <c r="K438" s="186">
        <v>34</v>
      </c>
      <c r="L438" s="186">
        <v>36</v>
      </c>
      <c r="M438" s="186">
        <v>33</v>
      </c>
      <c r="N438" s="186" t="s">
        <v>427</v>
      </c>
      <c r="O438" s="186">
        <f t="shared" si="226"/>
        <v>125</v>
      </c>
      <c r="P438" s="186">
        <f t="shared" si="227"/>
        <v>139</v>
      </c>
      <c r="Q438" s="186" t="str">
        <f t="shared" si="228"/>
        <v>HL</v>
      </c>
      <c r="R438" s="186" t="str">
        <f t="shared" si="229"/>
        <v>HL</v>
      </c>
      <c r="S438" s="186" t="str">
        <f t="shared" si="230"/>
        <v>HL</v>
      </c>
      <c r="T438" s="186" t="str">
        <f t="shared" si="231"/>
        <v>HL</v>
      </c>
      <c r="U438" s="186" t="str">
        <f t="shared" si="232"/>
        <v>O</v>
      </c>
      <c r="V438" s="186" t="str">
        <f t="shared" si="233"/>
        <v>O</v>
      </c>
      <c r="W438" s="186" t="str">
        <f t="shared" si="234"/>
        <v>O</v>
      </c>
      <c r="X438" s="186" t="str">
        <f t="shared" si="235"/>
        <v>O</v>
      </c>
      <c r="Y438">
        <v>235</v>
      </c>
      <c r="Z438" s="98">
        <v>59</v>
      </c>
      <c r="AA438" s="74" t="str">
        <f t="shared" si="215"/>
        <v>PHO/HOU</v>
      </c>
    </row>
    <row r="439" spans="1:27" x14ac:dyDescent="0.3">
      <c r="A439" s="50">
        <v>191222</v>
      </c>
      <c r="B439" s="51">
        <v>0.5</v>
      </c>
      <c r="C439" s="50" t="s">
        <v>417</v>
      </c>
      <c r="D439" s="50" t="s">
        <v>420</v>
      </c>
      <c r="E439" s="186">
        <v>27</v>
      </c>
      <c r="F439" s="186">
        <v>34</v>
      </c>
      <c r="G439" s="186">
        <v>22</v>
      </c>
      <c r="H439" s="186">
        <v>30</v>
      </c>
      <c r="I439" s="186"/>
      <c r="J439" s="186">
        <v>23</v>
      </c>
      <c r="K439" s="186">
        <v>29</v>
      </c>
      <c r="L439" s="186">
        <v>28</v>
      </c>
      <c r="M439" s="186">
        <v>26</v>
      </c>
      <c r="N439" s="186" t="s">
        <v>427</v>
      </c>
      <c r="O439" s="186">
        <f t="shared" si="226"/>
        <v>113</v>
      </c>
      <c r="P439" s="186">
        <f t="shared" si="227"/>
        <v>106</v>
      </c>
      <c r="Q439" s="186" t="str">
        <f t="shared" si="228"/>
        <v>HW</v>
      </c>
      <c r="R439" s="186" t="str">
        <f t="shared" si="229"/>
        <v>HW</v>
      </c>
      <c r="S439" s="186" t="str">
        <f t="shared" si="230"/>
        <v>HL</v>
      </c>
      <c r="T439" s="186" t="str">
        <f t="shared" si="231"/>
        <v>HW</v>
      </c>
      <c r="U439" s="186" t="str">
        <f t="shared" si="232"/>
        <v>U</v>
      </c>
      <c r="V439" s="186" t="str">
        <f t="shared" si="233"/>
        <v>O</v>
      </c>
      <c r="W439" s="186" t="str">
        <f t="shared" si="234"/>
        <v>U</v>
      </c>
      <c r="X439" s="186" t="str">
        <f t="shared" si="235"/>
        <v>U</v>
      </c>
      <c r="Y439">
        <v>228</v>
      </c>
      <c r="Z439" s="98">
        <v>57</v>
      </c>
      <c r="AA439" s="74" t="str">
        <f t="shared" si="215"/>
        <v>POR/MIN</v>
      </c>
    </row>
    <row r="440" spans="1:27" x14ac:dyDescent="0.3">
      <c r="A440" s="74">
        <v>191223</v>
      </c>
      <c r="B440" s="77">
        <v>0.22916666666666666</v>
      </c>
      <c r="C440" s="76" t="s">
        <v>413</v>
      </c>
      <c r="D440" s="76" t="s">
        <v>397</v>
      </c>
      <c r="E440" s="186">
        <v>20</v>
      </c>
      <c r="F440" s="186">
        <v>22</v>
      </c>
      <c r="G440" s="186">
        <v>21</v>
      </c>
      <c r="H440" s="186">
        <v>47</v>
      </c>
      <c r="I440" s="186"/>
      <c r="J440" s="186">
        <v>17</v>
      </c>
      <c r="K440" s="186">
        <v>34</v>
      </c>
      <c r="L440" s="186">
        <v>35</v>
      </c>
      <c r="M440" s="186">
        <v>21</v>
      </c>
      <c r="N440" s="186" t="s">
        <v>427</v>
      </c>
      <c r="O440" s="186">
        <f t="shared" si="226"/>
        <v>110</v>
      </c>
      <c r="P440" s="186">
        <f t="shared" si="227"/>
        <v>107</v>
      </c>
      <c r="Q440" s="186" t="str">
        <f t="shared" si="228"/>
        <v>HW</v>
      </c>
      <c r="R440" s="186" t="str">
        <f t="shared" si="229"/>
        <v>HL</v>
      </c>
      <c r="S440" s="186" t="str">
        <f t="shared" si="230"/>
        <v>HL</v>
      </c>
      <c r="T440" s="186" t="str">
        <f t="shared" si="231"/>
        <v>HW</v>
      </c>
      <c r="U440" s="186" t="str">
        <f t="shared" si="232"/>
        <v>U</v>
      </c>
      <c r="V440" s="186" t="str">
        <f t="shared" si="233"/>
        <v>O</v>
      </c>
      <c r="W440" s="186" t="str">
        <f t="shared" si="234"/>
        <v>O</v>
      </c>
      <c r="X440" s="186" t="str">
        <f t="shared" si="235"/>
        <v>O</v>
      </c>
      <c r="Y440">
        <v>218.5</v>
      </c>
      <c r="Z440" s="98">
        <v>55</v>
      </c>
      <c r="AA440" s="90" t="str">
        <f t="shared" si="215"/>
        <v>TOR/DAL</v>
      </c>
    </row>
    <row r="441" spans="1:27" x14ac:dyDescent="0.3">
      <c r="A441" s="76">
        <v>191223</v>
      </c>
      <c r="B441" s="77">
        <v>0.33333333333333331</v>
      </c>
      <c r="C441" s="76" t="s">
        <v>421</v>
      </c>
      <c r="D441" s="76" t="s">
        <v>409</v>
      </c>
      <c r="E441" s="186">
        <v>30</v>
      </c>
      <c r="F441" s="186">
        <v>29</v>
      </c>
      <c r="G441" s="186">
        <v>25</v>
      </c>
      <c r="H441" s="186">
        <v>35</v>
      </c>
      <c r="I441" s="186"/>
      <c r="J441" s="186">
        <v>37</v>
      </c>
      <c r="K441" s="186">
        <v>19</v>
      </c>
      <c r="L441" s="186">
        <v>21</v>
      </c>
      <c r="M441" s="186">
        <v>16</v>
      </c>
      <c r="N441" s="186" t="s">
        <v>427</v>
      </c>
      <c r="O441" s="186">
        <f t="shared" si="226"/>
        <v>119</v>
      </c>
      <c r="P441" s="186">
        <f t="shared" si="227"/>
        <v>93</v>
      </c>
      <c r="Q441" s="186" t="str">
        <f t="shared" si="228"/>
        <v>HL</v>
      </c>
      <c r="R441" s="186" t="str">
        <f t="shared" si="229"/>
        <v>HW</v>
      </c>
      <c r="S441" s="186" t="str">
        <f t="shared" si="230"/>
        <v>HW</v>
      </c>
      <c r="T441" s="186" t="str">
        <f t="shared" si="231"/>
        <v>HW</v>
      </c>
      <c r="U441" s="186" t="str">
        <f t="shared" si="232"/>
        <v>O</v>
      </c>
      <c r="V441" s="186" t="str">
        <f t="shared" si="233"/>
        <v>U</v>
      </c>
      <c r="W441" s="186" t="str">
        <f t="shared" si="234"/>
        <v>U</v>
      </c>
      <c r="X441" s="186" t="str">
        <f t="shared" si="235"/>
        <v>U</v>
      </c>
      <c r="Y441">
        <v>209.5</v>
      </c>
      <c r="Z441" s="98">
        <v>52.5</v>
      </c>
      <c r="AA441" s="90" t="str">
        <f t="shared" si="215"/>
        <v>BOS/CHA</v>
      </c>
    </row>
    <row r="442" spans="1:27" x14ac:dyDescent="0.3">
      <c r="A442" s="76">
        <v>191223</v>
      </c>
      <c r="B442" s="77">
        <v>0.375</v>
      </c>
      <c r="C442" s="76" t="s">
        <v>423</v>
      </c>
      <c r="D442" s="76" t="s">
        <v>400</v>
      </c>
      <c r="E442" s="186">
        <v>21</v>
      </c>
      <c r="F442" s="186">
        <v>38</v>
      </c>
      <c r="G442" s="186">
        <v>24</v>
      </c>
      <c r="H442" s="186">
        <v>34</v>
      </c>
      <c r="I442" s="186"/>
      <c r="J442" s="186">
        <v>22</v>
      </c>
      <c r="K442" s="186">
        <v>33</v>
      </c>
      <c r="L442" s="186">
        <v>18</v>
      </c>
      <c r="M442" s="186">
        <v>16</v>
      </c>
      <c r="N442" s="186"/>
      <c r="O442" s="186">
        <f t="shared" si="226"/>
        <v>117</v>
      </c>
      <c r="P442" s="186">
        <f t="shared" si="227"/>
        <v>89</v>
      </c>
      <c r="Q442" s="186" t="str">
        <f t="shared" si="228"/>
        <v>HL</v>
      </c>
      <c r="R442" s="186" t="str">
        <f t="shared" si="229"/>
        <v>HW</v>
      </c>
      <c r="S442" s="186" t="str">
        <f t="shared" si="230"/>
        <v>HW</v>
      </c>
      <c r="T442" s="186" t="str">
        <f t="shared" si="231"/>
        <v>HW</v>
      </c>
      <c r="U442" s="186" t="str">
        <f t="shared" si="232"/>
        <v>U</v>
      </c>
      <c r="V442" s="186" t="str">
        <f t="shared" si="233"/>
        <v>O</v>
      </c>
      <c r="W442" s="186" t="str">
        <f t="shared" si="234"/>
        <v>U</v>
      </c>
      <c r="X442" s="186" t="str">
        <f t="shared" si="235"/>
        <v>U</v>
      </c>
      <c r="Y442">
        <v>221</v>
      </c>
      <c r="Z442" s="98">
        <v>55.5</v>
      </c>
      <c r="AA442" s="90" t="str">
        <f t="shared" si="215"/>
        <v>MIL/IND</v>
      </c>
    </row>
    <row r="443" spans="1:27" x14ac:dyDescent="0.3">
      <c r="A443" s="76">
        <v>191223</v>
      </c>
      <c r="B443" s="77">
        <v>0.375</v>
      </c>
      <c r="C443" s="76" t="s">
        <v>418</v>
      </c>
      <c r="D443" s="76" t="s">
        <v>415</v>
      </c>
      <c r="E443" s="186">
        <v>27</v>
      </c>
      <c r="F443" s="186">
        <v>30</v>
      </c>
      <c r="G443" s="186">
        <v>29</v>
      </c>
      <c r="H443" s="186">
        <v>32</v>
      </c>
      <c r="I443" s="186"/>
      <c r="J443" s="186">
        <v>33</v>
      </c>
      <c r="K443" s="186">
        <v>30</v>
      </c>
      <c r="L443" s="186">
        <v>26</v>
      </c>
      <c r="M443" s="186">
        <v>23</v>
      </c>
      <c r="N443" s="186" t="s">
        <v>427</v>
      </c>
      <c r="O443" s="186">
        <f t="shared" si="226"/>
        <v>118</v>
      </c>
      <c r="P443" s="186">
        <f t="shared" si="227"/>
        <v>112</v>
      </c>
      <c r="Q443" s="186" t="str">
        <f t="shared" si="228"/>
        <v>HL</v>
      </c>
      <c r="R443" s="186" t="str">
        <f t="shared" si="229"/>
        <v>TT</v>
      </c>
      <c r="S443" s="186" t="str">
        <f t="shared" si="230"/>
        <v>HW</v>
      </c>
      <c r="T443" s="186" t="str">
        <f t="shared" si="231"/>
        <v>HW</v>
      </c>
      <c r="U443" s="186" t="str">
        <f t="shared" si="232"/>
        <v>O</v>
      </c>
      <c r="V443" s="186" t="str">
        <f t="shared" si="233"/>
        <v>O</v>
      </c>
      <c r="W443" s="186" t="str">
        <f t="shared" si="234"/>
        <v>U</v>
      </c>
      <c r="X443" s="186" t="str">
        <f t="shared" si="235"/>
        <v>U</v>
      </c>
      <c r="Y443">
        <v>223.5</v>
      </c>
      <c r="Z443" s="98">
        <v>56</v>
      </c>
      <c r="AA443" s="90" t="str">
        <f t="shared" si="215"/>
        <v>OKC/LAC</v>
      </c>
    </row>
    <row r="444" spans="1:27" x14ac:dyDescent="0.3">
      <c r="A444" s="76">
        <v>191223</v>
      </c>
      <c r="B444" s="77">
        <v>0.47916666666666669</v>
      </c>
      <c r="C444" s="76" t="s">
        <v>419</v>
      </c>
      <c r="D444" s="76" t="s">
        <v>408</v>
      </c>
      <c r="E444" s="186">
        <v>28</v>
      </c>
      <c r="F444" s="186">
        <v>25</v>
      </c>
      <c r="G444" s="186">
        <v>25</v>
      </c>
      <c r="H444" s="186">
        <v>26</v>
      </c>
      <c r="I444" s="186"/>
      <c r="J444" s="186">
        <v>23</v>
      </c>
      <c r="K444" s="186">
        <v>32</v>
      </c>
      <c r="L444" s="186">
        <v>36</v>
      </c>
      <c r="M444" s="186">
        <v>37</v>
      </c>
      <c r="N444" s="186" t="s">
        <v>427</v>
      </c>
      <c r="O444" s="186">
        <f t="shared" si="226"/>
        <v>104</v>
      </c>
      <c r="P444" s="186">
        <f t="shared" si="227"/>
        <v>128</v>
      </c>
      <c r="Q444" s="186" t="str">
        <f t="shared" si="228"/>
        <v>HW</v>
      </c>
      <c r="R444" s="186" t="str">
        <f t="shared" si="229"/>
        <v>HL</v>
      </c>
      <c r="S444" s="186" t="str">
        <f t="shared" si="230"/>
        <v>HL</v>
      </c>
      <c r="T444" s="186" t="str">
        <f t="shared" si="231"/>
        <v>HL</v>
      </c>
      <c r="U444" s="186" t="str">
        <f t="shared" si="232"/>
        <v>U</v>
      </c>
      <c r="V444" s="186" t="str">
        <f t="shared" si="233"/>
        <v>O</v>
      </c>
      <c r="W444" s="186" t="str">
        <f t="shared" si="234"/>
        <v>O</v>
      </c>
      <c r="X444" s="186" t="str">
        <f t="shared" si="235"/>
        <v>O</v>
      </c>
      <c r="Y444">
        <v>208</v>
      </c>
      <c r="Z444" s="98">
        <v>52</v>
      </c>
      <c r="AA444" s="90" t="str">
        <f t="shared" si="215"/>
        <v>LAL/DEN</v>
      </c>
    </row>
    <row r="445" spans="1:27" x14ac:dyDescent="0.3">
      <c r="A445" s="76">
        <v>191224</v>
      </c>
      <c r="B445" s="79">
        <v>0.375</v>
      </c>
      <c r="C445" s="78" t="s">
        <v>402</v>
      </c>
      <c r="D445" s="78" t="s">
        <v>410</v>
      </c>
      <c r="E445" s="186">
        <v>42</v>
      </c>
      <c r="F445" s="186">
        <v>29</v>
      </c>
      <c r="G445" s="186">
        <v>23</v>
      </c>
      <c r="H445" s="186">
        <v>27</v>
      </c>
      <c r="I445" s="186"/>
      <c r="J445" s="186">
        <v>32</v>
      </c>
      <c r="K445" s="186">
        <v>32</v>
      </c>
      <c r="L445" s="186">
        <v>30</v>
      </c>
      <c r="M445" s="186">
        <v>24</v>
      </c>
      <c r="N445" s="186" t="s">
        <v>427</v>
      </c>
      <c r="O445" s="186">
        <f t="shared" si="226"/>
        <v>121</v>
      </c>
      <c r="P445" s="186">
        <f t="shared" si="227"/>
        <v>118</v>
      </c>
      <c r="Q445" s="186" t="str">
        <f t="shared" si="228"/>
        <v>HW</v>
      </c>
      <c r="R445" s="186" t="str">
        <f t="shared" si="229"/>
        <v>HL</v>
      </c>
      <c r="S445" s="186" t="str">
        <f t="shared" si="230"/>
        <v>HL</v>
      </c>
      <c r="T445" s="186" t="str">
        <f t="shared" si="231"/>
        <v>HW</v>
      </c>
      <c r="U445" s="186" t="str">
        <f t="shared" si="232"/>
        <v>O</v>
      </c>
      <c r="V445" s="186" t="str">
        <f t="shared" si="233"/>
        <v>O</v>
      </c>
      <c r="W445" s="186" t="str">
        <f t="shared" si="234"/>
        <v>U</v>
      </c>
      <c r="X445" s="186" t="str">
        <f t="shared" si="235"/>
        <v>U</v>
      </c>
      <c r="Y445">
        <v>229.5</v>
      </c>
      <c r="Z445" s="98">
        <v>57.5</v>
      </c>
      <c r="AA445" s="90" t="str">
        <f t="shared" si="215"/>
        <v>CLE/ATL</v>
      </c>
    </row>
    <row r="446" spans="1:27" x14ac:dyDescent="0.3">
      <c r="A446" s="78">
        <v>191224</v>
      </c>
      <c r="B446" s="79">
        <v>0.375</v>
      </c>
      <c r="C446" s="78" t="s">
        <v>422</v>
      </c>
      <c r="D446" s="78" t="s">
        <v>401</v>
      </c>
      <c r="E446" s="186">
        <v>23</v>
      </c>
      <c r="F446" s="186">
        <v>29</v>
      </c>
      <c r="G446" s="186">
        <v>34</v>
      </c>
      <c r="H446" s="186">
        <v>23</v>
      </c>
      <c r="I446" s="186"/>
      <c r="J446" s="186">
        <v>30</v>
      </c>
      <c r="K446" s="186">
        <v>30</v>
      </c>
      <c r="L446" s="186">
        <v>34</v>
      </c>
      <c r="M446" s="186">
        <v>31</v>
      </c>
      <c r="N446" s="186" t="s">
        <v>427</v>
      </c>
      <c r="O446" s="186">
        <f t="shared" si="226"/>
        <v>109</v>
      </c>
      <c r="P446" s="186">
        <f t="shared" si="227"/>
        <v>125</v>
      </c>
      <c r="Q446" s="186" t="str">
        <f t="shared" si="228"/>
        <v>HL</v>
      </c>
      <c r="R446" s="186" t="str">
        <f t="shared" si="229"/>
        <v>HL</v>
      </c>
      <c r="S446" s="186" t="str">
        <f t="shared" si="230"/>
        <v>TT</v>
      </c>
      <c r="T446" s="186" t="str">
        <f t="shared" si="231"/>
        <v>HL</v>
      </c>
      <c r="U446" s="186" t="str">
        <f t="shared" si="232"/>
        <v>U</v>
      </c>
      <c r="V446" s="186" t="str">
        <f t="shared" si="233"/>
        <v>O</v>
      </c>
      <c r="W446" s="186" t="str">
        <f t="shared" si="234"/>
        <v>O</v>
      </c>
      <c r="X446" s="186" t="str">
        <f t="shared" si="235"/>
        <v>T</v>
      </c>
      <c r="Y446">
        <v>215</v>
      </c>
      <c r="Z446" s="98">
        <v>54</v>
      </c>
      <c r="AA446" s="90" t="str">
        <f t="shared" si="215"/>
        <v>DET/PHI</v>
      </c>
    </row>
    <row r="447" spans="1:27" x14ac:dyDescent="0.3">
      <c r="A447" s="78">
        <v>191224</v>
      </c>
      <c r="B447" s="79">
        <v>0.375</v>
      </c>
      <c r="C447" s="78" t="s">
        <v>400</v>
      </c>
      <c r="D447" s="78" t="s">
        <v>413</v>
      </c>
      <c r="E447" s="186">
        <v>30</v>
      </c>
      <c r="F447" s="186">
        <v>24</v>
      </c>
      <c r="G447" s="186">
        <v>24</v>
      </c>
      <c r="H447" s="186">
        <v>29</v>
      </c>
      <c r="I447" s="186">
        <v>13</v>
      </c>
      <c r="J447" s="186">
        <v>19</v>
      </c>
      <c r="K447" s="186">
        <v>25</v>
      </c>
      <c r="L447" s="186">
        <v>35</v>
      </c>
      <c r="M447" s="186">
        <v>28</v>
      </c>
      <c r="N447" s="186">
        <v>8</v>
      </c>
      <c r="O447" s="186">
        <f t="shared" si="226"/>
        <v>120</v>
      </c>
      <c r="P447" s="186">
        <f t="shared" si="227"/>
        <v>115</v>
      </c>
      <c r="Q447" s="186" t="str">
        <f t="shared" si="228"/>
        <v>HW</v>
      </c>
      <c r="R447" s="186" t="str">
        <f t="shared" si="229"/>
        <v>HL</v>
      </c>
      <c r="S447" s="186" t="str">
        <f t="shared" si="230"/>
        <v>HL</v>
      </c>
      <c r="T447" s="186" t="str">
        <f t="shared" si="231"/>
        <v>HW</v>
      </c>
      <c r="U447" s="186" t="str">
        <f t="shared" si="232"/>
        <v>U</v>
      </c>
      <c r="V447" s="186" t="str">
        <f t="shared" si="233"/>
        <v>U</v>
      </c>
      <c r="W447" s="186" t="str">
        <f t="shared" si="234"/>
        <v>O</v>
      </c>
      <c r="X447" s="186" t="str">
        <f t="shared" si="235"/>
        <v>O</v>
      </c>
      <c r="Y447">
        <v>209.5</v>
      </c>
      <c r="Z447" s="98">
        <v>52.5</v>
      </c>
      <c r="AA447" s="90" t="str">
        <f t="shared" si="215"/>
        <v>IND/TOR</v>
      </c>
    </row>
    <row r="448" spans="1:27" x14ac:dyDescent="0.3">
      <c r="A448" s="78">
        <v>191224</v>
      </c>
      <c r="B448" s="79">
        <v>0.375</v>
      </c>
      <c r="C448" s="78" t="s">
        <v>399</v>
      </c>
      <c r="D448" s="78" t="s">
        <v>414</v>
      </c>
      <c r="E448" s="186">
        <v>37</v>
      </c>
      <c r="F448" s="186">
        <v>27</v>
      </c>
      <c r="G448" s="186">
        <v>27</v>
      </c>
      <c r="H448" s="186">
        <v>24</v>
      </c>
      <c r="I448" s="186"/>
      <c r="J448" s="186">
        <v>32</v>
      </c>
      <c r="K448" s="186">
        <v>31</v>
      </c>
      <c r="L448" s="186">
        <v>31</v>
      </c>
      <c r="M448" s="186">
        <v>27</v>
      </c>
      <c r="N448" s="186" t="s">
        <v>427</v>
      </c>
      <c r="O448" s="186">
        <f t="shared" si="226"/>
        <v>115</v>
      </c>
      <c r="P448" s="186">
        <f t="shared" si="227"/>
        <v>121</v>
      </c>
      <c r="Q448" s="186" t="str">
        <f t="shared" si="228"/>
        <v>HW</v>
      </c>
      <c r="R448" s="186" t="str">
        <f t="shared" si="229"/>
        <v>HL</v>
      </c>
      <c r="S448" s="186" t="str">
        <f t="shared" si="230"/>
        <v>HL</v>
      </c>
      <c r="T448" s="186" t="str">
        <f t="shared" si="231"/>
        <v>HL</v>
      </c>
      <c r="U448" s="186" t="str">
        <f t="shared" si="232"/>
        <v>O</v>
      </c>
      <c r="V448" s="186" t="str">
        <f t="shared" si="233"/>
        <v>O</v>
      </c>
      <c r="W448" s="186" t="str">
        <f t="shared" si="234"/>
        <v>O</v>
      </c>
      <c r="X448" s="186" t="str">
        <f t="shared" si="235"/>
        <v>U</v>
      </c>
      <c r="Y448">
        <v>228</v>
      </c>
      <c r="Z448" s="98">
        <v>57</v>
      </c>
      <c r="AA448" s="90" t="str">
        <f t="shared" si="215"/>
        <v>NYK/WAS</v>
      </c>
    </row>
    <row r="449" spans="1:27" x14ac:dyDescent="0.3">
      <c r="A449" s="78">
        <v>191224</v>
      </c>
      <c r="B449" s="79">
        <v>0.375</v>
      </c>
      <c r="C449" s="78" t="s">
        <v>424</v>
      </c>
      <c r="D449" s="78" t="s">
        <v>412</v>
      </c>
      <c r="E449" s="186">
        <v>28</v>
      </c>
      <c r="F449" s="186">
        <v>23</v>
      </c>
      <c r="G449" s="186">
        <v>32</v>
      </c>
      <c r="H449" s="186">
        <v>20</v>
      </c>
      <c r="I449" s="186"/>
      <c r="J449" s="186">
        <v>28</v>
      </c>
      <c r="K449" s="186">
        <v>26</v>
      </c>
      <c r="L449" s="186">
        <v>27</v>
      </c>
      <c r="M449" s="186">
        <v>14</v>
      </c>
      <c r="N449" s="186" t="s">
        <v>427</v>
      </c>
      <c r="O449" s="186">
        <f t="shared" si="226"/>
        <v>103</v>
      </c>
      <c r="P449" s="186">
        <f t="shared" si="227"/>
        <v>95</v>
      </c>
      <c r="Q449" s="186" t="str">
        <f t="shared" si="228"/>
        <v>TT</v>
      </c>
      <c r="R449" s="186" t="str">
        <f t="shared" si="229"/>
        <v>HL</v>
      </c>
      <c r="S449" s="186" t="str">
        <f t="shared" si="230"/>
        <v>HW</v>
      </c>
      <c r="T449" s="186" t="str">
        <f t="shared" si="231"/>
        <v>HW</v>
      </c>
      <c r="U449" s="186" t="str">
        <f t="shared" si="232"/>
        <v>O</v>
      </c>
      <c r="V449" s="186" t="str">
        <f t="shared" si="233"/>
        <v>U</v>
      </c>
      <c r="W449" s="186" t="str">
        <f t="shared" si="234"/>
        <v>O</v>
      </c>
      <c r="X449" s="186" t="str">
        <f t="shared" si="235"/>
        <v>U</v>
      </c>
      <c r="Y449">
        <v>205</v>
      </c>
      <c r="Z449" s="98">
        <v>51.5</v>
      </c>
      <c r="AA449" s="90" t="str">
        <f t="shared" si="215"/>
        <v>ORL/CHI</v>
      </c>
    </row>
    <row r="450" spans="1:27" x14ac:dyDescent="0.3">
      <c r="A450" s="78">
        <v>191224</v>
      </c>
      <c r="B450" s="79">
        <v>0.39583333333333331</v>
      </c>
      <c r="C450" s="78" t="s">
        <v>411</v>
      </c>
      <c r="D450" s="78" t="s">
        <v>405</v>
      </c>
      <c r="E450" s="186">
        <v>32</v>
      </c>
      <c r="F450" s="186">
        <v>21</v>
      </c>
      <c r="G450" s="186">
        <v>23</v>
      </c>
      <c r="H450" s="186">
        <v>31</v>
      </c>
      <c r="I450" s="186"/>
      <c r="J450" s="186">
        <v>28</v>
      </c>
      <c r="K450" s="186">
        <v>24</v>
      </c>
      <c r="L450" s="186">
        <v>29</v>
      </c>
      <c r="M450" s="186">
        <v>23</v>
      </c>
      <c r="N450" s="186" t="s">
        <v>427</v>
      </c>
      <c r="O450" s="186">
        <f t="shared" si="226"/>
        <v>107</v>
      </c>
      <c r="P450" s="186">
        <f t="shared" si="227"/>
        <v>104</v>
      </c>
      <c r="Q450" s="186" t="str">
        <f t="shared" si="228"/>
        <v>HW</v>
      </c>
      <c r="R450" s="186" t="str">
        <f t="shared" si="229"/>
        <v>HL</v>
      </c>
      <c r="S450" s="186" t="str">
        <f t="shared" si="230"/>
        <v>HL</v>
      </c>
      <c r="T450" s="186" t="str">
        <f t="shared" si="231"/>
        <v>HW</v>
      </c>
      <c r="U450" s="186" t="str">
        <f t="shared" si="232"/>
        <v>O</v>
      </c>
      <c r="V450" s="186" t="str">
        <f t="shared" si="233"/>
        <v>U</v>
      </c>
      <c r="W450" s="186" t="str">
        <f t="shared" si="234"/>
        <v>U</v>
      </c>
      <c r="X450" s="186" t="str">
        <f t="shared" si="235"/>
        <v>O</v>
      </c>
      <c r="Y450">
        <v>213.5</v>
      </c>
      <c r="Z450" s="98">
        <v>53.5</v>
      </c>
      <c r="AA450" s="90" t="str">
        <f t="shared" si="215"/>
        <v>MIA/UTA</v>
      </c>
    </row>
    <row r="451" spans="1:27" x14ac:dyDescent="0.3">
      <c r="A451" s="78">
        <v>191224</v>
      </c>
      <c r="B451" s="79">
        <v>0.41666666666666669</v>
      </c>
      <c r="C451" s="78" t="s">
        <v>406</v>
      </c>
      <c r="D451" s="78" t="s">
        <v>426</v>
      </c>
      <c r="E451" s="186">
        <v>31</v>
      </c>
      <c r="F451" s="186">
        <v>30</v>
      </c>
      <c r="G451" s="186">
        <v>28</v>
      </c>
      <c r="H451" s="186">
        <v>26</v>
      </c>
      <c r="I451" s="186"/>
      <c r="J451" s="186">
        <v>46</v>
      </c>
      <c r="K451" s="186">
        <v>26</v>
      </c>
      <c r="L451" s="186">
        <v>36</v>
      </c>
      <c r="M451" s="186">
        <v>37</v>
      </c>
      <c r="N451" s="186" t="s">
        <v>427</v>
      </c>
      <c r="O451" s="186">
        <f t="shared" si="226"/>
        <v>115</v>
      </c>
      <c r="P451" s="186">
        <f t="shared" si="227"/>
        <v>145</v>
      </c>
      <c r="Q451" s="186" t="str">
        <f t="shared" si="228"/>
        <v>HL</v>
      </c>
      <c r="R451" s="186" t="str">
        <f t="shared" si="229"/>
        <v>HW</v>
      </c>
      <c r="S451" s="186" t="str">
        <f t="shared" si="230"/>
        <v>HL</v>
      </c>
      <c r="T451" s="186" t="str">
        <f t="shared" si="231"/>
        <v>HL</v>
      </c>
      <c r="U451" s="186" t="str">
        <f t="shared" si="232"/>
        <v>O</v>
      </c>
      <c r="V451" s="186" t="str">
        <f t="shared" si="233"/>
        <v>U</v>
      </c>
      <c r="W451" s="186" t="str">
        <f t="shared" si="234"/>
        <v>O</v>
      </c>
      <c r="X451" s="186" t="str">
        <f t="shared" si="235"/>
        <v>O</v>
      </c>
      <c r="Y451">
        <v>227</v>
      </c>
      <c r="Z451" s="98">
        <v>57</v>
      </c>
      <c r="AA451" s="90" t="str">
        <f t="shared" si="215"/>
        <v>MEM/SAS</v>
      </c>
    </row>
    <row r="452" spans="1:27" x14ac:dyDescent="0.3">
      <c r="A452" s="78">
        <v>191224</v>
      </c>
      <c r="B452" s="79">
        <v>0.45833333333333331</v>
      </c>
      <c r="C452" s="78" t="s">
        <v>404</v>
      </c>
      <c r="D452" s="78" t="s">
        <v>408</v>
      </c>
      <c r="E452" s="186">
        <v>22</v>
      </c>
      <c r="F452" s="186">
        <v>27</v>
      </c>
      <c r="G452" s="186">
        <v>32</v>
      </c>
      <c r="H452" s="186">
        <v>30</v>
      </c>
      <c r="I452" s="186"/>
      <c r="J452" s="186">
        <v>34</v>
      </c>
      <c r="K452" s="186">
        <v>22</v>
      </c>
      <c r="L452" s="186">
        <v>26</v>
      </c>
      <c r="M452" s="186">
        <v>31</v>
      </c>
      <c r="N452" s="186" t="s">
        <v>427</v>
      </c>
      <c r="O452" s="186">
        <f t="shared" si="226"/>
        <v>111</v>
      </c>
      <c r="P452" s="186">
        <f t="shared" si="227"/>
        <v>113</v>
      </c>
      <c r="Q452" s="186" t="str">
        <f t="shared" si="228"/>
        <v>HL</v>
      </c>
      <c r="R452" s="186" t="str">
        <f t="shared" si="229"/>
        <v>HW</v>
      </c>
      <c r="S452" s="186" t="str">
        <f t="shared" si="230"/>
        <v>HW</v>
      </c>
      <c r="T452" s="186" t="str">
        <f t="shared" si="231"/>
        <v>HL</v>
      </c>
      <c r="U452" s="186" t="str">
        <f t="shared" si="232"/>
        <v>O</v>
      </c>
      <c r="V452" s="186" t="str">
        <f t="shared" si="233"/>
        <v>U</v>
      </c>
      <c r="W452" s="186" t="str">
        <f t="shared" si="234"/>
        <v>O</v>
      </c>
      <c r="X452" s="186" t="str">
        <f t="shared" si="235"/>
        <v>O</v>
      </c>
      <c r="Y452">
        <v>218.5</v>
      </c>
      <c r="Z452" s="98">
        <v>55</v>
      </c>
      <c r="AA452" s="90" t="str">
        <f t="shared" si="215"/>
        <v>PHO/DEN</v>
      </c>
    </row>
    <row r="453" spans="1:27" x14ac:dyDescent="0.3">
      <c r="A453" s="78">
        <v>191224</v>
      </c>
      <c r="B453" s="79">
        <v>0.5</v>
      </c>
      <c r="C453" s="78" t="s">
        <v>417</v>
      </c>
      <c r="D453" s="78" t="s">
        <v>398</v>
      </c>
      <c r="E453" s="186">
        <v>31</v>
      </c>
      <c r="F453" s="186">
        <v>25</v>
      </c>
      <c r="G453" s="186">
        <v>21</v>
      </c>
      <c r="H453" s="186">
        <v>17</v>
      </c>
      <c r="I453" s="186"/>
      <c r="J453" s="186">
        <v>31</v>
      </c>
      <c r="K453" s="186">
        <v>23</v>
      </c>
      <c r="L453" s="186">
        <v>28</v>
      </c>
      <c r="M453" s="186">
        <v>20</v>
      </c>
      <c r="N453" s="186" t="s">
        <v>427</v>
      </c>
      <c r="O453" s="186">
        <f t="shared" si="226"/>
        <v>94</v>
      </c>
      <c r="P453" s="186">
        <f t="shared" si="227"/>
        <v>102</v>
      </c>
      <c r="Q453" s="186" t="str">
        <f t="shared" si="228"/>
        <v>TT</v>
      </c>
      <c r="R453" s="186" t="str">
        <f t="shared" si="229"/>
        <v>HW</v>
      </c>
      <c r="S453" s="186" t="str">
        <f t="shared" si="230"/>
        <v>HL</v>
      </c>
      <c r="T453" s="186" t="str">
        <f t="shared" si="231"/>
        <v>HL</v>
      </c>
      <c r="U453" s="186" t="str">
        <f t="shared" si="232"/>
        <v>O</v>
      </c>
      <c r="V453" s="186" t="str">
        <f t="shared" si="233"/>
        <v>U</v>
      </c>
      <c r="W453" s="186" t="str">
        <f t="shared" si="234"/>
        <v>U</v>
      </c>
      <c r="X453" s="186" t="str">
        <f t="shared" si="235"/>
        <v>U</v>
      </c>
      <c r="Y453">
        <v>230</v>
      </c>
      <c r="Z453" s="98">
        <v>57.5</v>
      </c>
      <c r="AA453" s="90" t="str">
        <f t="shared" si="215"/>
        <v>POR/NO</v>
      </c>
    </row>
    <row r="454" spans="1:27" x14ac:dyDescent="0.3">
      <c r="A454" s="78">
        <v>191224</v>
      </c>
      <c r="B454" s="79">
        <v>0.5</v>
      </c>
      <c r="C454" s="78" t="s">
        <v>416</v>
      </c>
      <c r="D454" s="78" t="s">
        <v>403</v>
      </c>
      <c r="E454" s="186">
        <v>21</v>
      </c>
      <c r="F454" s="186">
        <v>36</v>
      </c>
      <c r="G454" s="186">
        <v>22</v>
      </c>
      <c r="H454" s="186">
        <v>25</v>
      </c>
      <c r="I454" s="186"/>
      <c r="J454" s="186">
        <v>37</v>
      </c>
      <c r="K454" s="186">
        <v>28</v>
      </c>
      <c r="L454" s="186">
        <v>32</v>
      </c>
      <c r="M454" s="186">
        <v>16</v>
      </c>
      <c r="N454" s="186" t="s">
        <v>427</v>
      </c>
      <c r="O454" s="186">
        <f t="shared" si="226"/>
        <v>104</v>
      </c>
      <c r="P454" s="186">
        <f t="shared" si="227"/>
        <v>113</v>
      </c>
      <c r="Q454" s="186" t="str">
        <f t="shared" si="228"/>
        <v>HL</v>
      </c>
      <c r="R454" s="186" t="str">
        <f t="shared" si="229"/>
        <v>HW</v>
      </c>
      <c r="S454" s="186" t="str">
        <f t="shared" si="230"/>
        <v>HL</v>
      </c>
      <c r="T454" s="186" t="str">
        <f t="shared" si="231"/>
        <v>HW</v>
      </c>
      <c r="U454" s="186" t="str">
        <f t="shared" si="232"/>
        <v>O</v>
      </c>
      <c r="V454" s="186" t="str">
        <f t="shared" si="233"/>
        <v>O</v>
      </c>
      <c r="W454" s="186" t="str">
        <f t="shared" si="234"/>
        <v>U</v>
      </c>
      <c r="X454" s="186" t="str">
        <f t="shared" si="235"/>
        <v>U</v>
      </c>
      <c r="Y454">
        <v>230</v>
      </c>
      <c r="Z454" s="98">
        <v>57.5</v>
      </c>
      <c r="AA454" s="90" t="str">
        <f t="shared" si="215"/>
        <v>SAC/HOU</v>
      </c>
    </row>
    <row r="455" spans="1:27" x14ac:dyDescent="0.3">
      <c r="A455" s="78">
        <v>191224</v>
      </c>
      <c r="B455" s="79">
        <v>0.52083333333333337</v>
      </c>
      <c r="C455" s="78" t="s">
        <v>425</v>
      </c>
      <c r="D455" s="78" t="s">
        <v>420</v>
      </c>
      <c r="E455" s="186">
        <v>22</v>
      </c>
      <c r="F455" s="186">
        <v>35</v>
      </c>
      <c r="G455" s="186">
        <v>27</v>
      </c>
      <c r="H455" s="186">
        <v>29</v>
      </c>
      <c r="I455" s="186"/>
      <c r="J455" s="186">
        <v>22</v>
      </c>
      <c r="K455" s="186">
        <v>21</v>
      </c>
      <c r="L455" s="186">
        <v>24</v>
      </c>
      <c r="M455" s="186">
        <v>37</v>
      </c>
      <c r="N455" s="186" t="s">
        <v>427</v>
      </c>
      <c r="O455" s="186">
        <f t="shared" si="226"/>
        <v>113</v>
      </c>
      <c r="P455" s="186">
        <f t="shared" si="227"/>
        <v>104</v>
      </c>
      <c r="Q455" s="186" t="str">
        <f t="shared" si="228"/>
        <v>TT</v>
      </c>
      <c r="R455" s="186" t="str">
        <f t="shared" si="229"/>
        <v>HW</v>
      </c>
      <c r="S455" s="186" t="str">
        <f t="shared" si="230"/>
        <v>HW</v>
      </c>
      <c r="T455" s="186" t="str">
        <f t="shared" si="231"/>
        <v>HL</v>
      </c>
      <c r="U455" s="186" t="str">
        <f t="shared" si="232"/>
        <v>U</v>
      </c>
      <c r="V455" s="186" t="str">
        <f t="shared" si="233"/>
        <v>T</v>
      </c>
      <c r="W455" s="186" t="str">
        <f t="shared" si="234"/>
        <v>U</v>
      </c>
      <c r="X455" s="186" t="str">
        <f t="shared" si="235"/>
        <v>O</v>
      </c>
      <c r="Y455">
        <v>222.5</v>
      </c>
      <c r="Z455" s="98">
        <v>56</v>
      </c>
      <c r="AA455" s="90" t="str">
        <f t="shared" si="215"/>
        <v>GS/MIN</v>
      </c>
    </row>
    <row r="456" spans="1:27" x14ac:dyDescent="0.3">
      <c r="A456" s="78">
        <v>191226</v>
      </c>
      <c r="B456" s="81">
        <v>8.3333333333333329E-2</v>
      </c>
      <c r="C456" s="80" t="s">
        <v>413</v>
      </c>
      <c r="D456" s="80" t="s">
        <v>421</v>
      </c>
      <c r="E456" s="186">
        <v>19</v>
      </c>
      <c r="F456" s="186">
        <v>28</v>
      </c>
      <c r="G456" s="186">
        <v>22</v>
      </c>
      <c r="H456" s="186">
        <v>33</v>
      </c>
      <c r="I456" s="186"/>
      <c r="J456" s="186">
        <v>28</v>
      </c>
      <c r="K456" s="186">
        <v>27</v>
      </c>
      <c r="L456" s="186">
        <v>33</v>
      </c>
      <c r="M456" s="186">
        <v>30</v>
      </c>
      <c r="N456" s="186" t="s">
        <v>427</v>
      </c>
      <c r="O456" s="186">
        <f t="shared" si="226"/>
        <v>102</v>
      </c>
      <c r="P456" s="186">
        <f t="shared" si="227"/>
        <v>118</v>
      </c>
      <c r="Q456" s="186" t="str">
        <f t="shared" si="228"/>
        <v>HL</v>
      </c>
      <c r="R456" s="186" t="str">
        <f t="shared" si="229"/>
        <v>HW</v>
      </c>
      <c r="S456" s="186" t="str">
        <f t="shared" si="230"/>
        <v>HL</v>
      </c>
      <c r="T456" s="186" t="str">
        <f t="shared" si="231"/>
        <v>HW</v>
      </c>
      <c r="U456" s="186" t="str">
        <f t="shared" si="232"/>
        <v>U</v>
      </c>
      <c r="V456" s="186" t="str">
        <f t="shared" si="233"/>
        <v>O</v>
      </c>
      <c r="W456" s="186" t="str">
        <f t="shared" si="234"/>
        <v>O</v>
      </c>
      <c r="X456" s="186" t="str">
        <f t="shared" si="235"/>
        <v>O</v>
      </c>
      <c r="Z456">
        <v>53</v>
      </c>
      <c r="AA456" s="90" t="str">
        <f t="shared" si="215"/>
        <v>TOR/BOS</v>
      </c>
    </row>
    <row r="457" spans="1:27" x14ac:dyDescent="0.3">
      <c r="A457" s="80">
        <v>191226</v>
      </c>
      <c r="B457" s="81">
        <v>0.1875</v>
      </c>
      <c r="C457" s="80" t="s">
        <v>401</v>
      </c>
      <c r="D457" s="80" t="s">
        <v>423</v>
      </c>
      <c r="E457" s="186">
        <v>38</v>
      </c>
      <c r="F457" s="186">
        <v>31</v>
      </c>
      <c r="G457" s="186">
        <v>31</v>
      </c>
      <c r="H457" s="186">
        <v>21</v>
      </c>
      <c r="I457" s="186"/>
      <c r="J457" s="186">
        <v>30</v>
      </c>
      <c r="K457" s="186">
        <v>18</v>
      </c>
      <c r="L457" s="186">
        <v>25</v>
      </c>
      <c r="M457" s="186">
        <v>36</v>
      </c>
      <c r="N457" s="186" t="s">
        <v>427</v>
      </c>
      <c r="O457" s="186">
        <f t="shared" si="226"/>
        <v>121</v>
      </c>
      <c r="P457" s="186">
        <f t="shared" si="227"/>
        <v>109</v>
      </c>
      <c r="Q457" s="186" t="str">
        <f t="shared" si="228"/>
        <v>HW</v>
      </c>
      <c r="R457" s="186" t="str">
        <f t="shared" si="229"/>
        <v>HW</v>
      </c>
      <c r="S457" s="186" t="str">
        <f t="shared" si="230"/>
        <v>HW</v>
      </c>
      <c r="T457" s="186" t="str">
        <f t="shared" si="231"/>
        <v>HL</v>
      </c>
      <c r="U457" s="186" t="str">
        <f t="shared" si="232"/>
        <v>O</v>
      </c>
      <c r="V457" s="186" t="str">
        <f t="shared" si="233"/>
        <v>U</v>
      </c>
      <c r="W457" s="186" t="str">
        <f t="shared" si="234"/>
        <v>O</v>
      </c>
      <c r="X457" s="186" t="str">
        <f t="shared" si="235"/>
        <v>O</v>
      </c>
      <c r="Z457">
        <v>54.5</v>
      </c>
      <c r="AA457" s="90" t="str">
        <f t="shared" si="215"/>
        <v>PHI/MIL</v>
      </c>
    </row>
    <row r="458" spans="1:27" x14ac:dyDescent="0.3">
      <c r="A458" s="80">
        <v>191226</v>
      </c>
      <c r="B458" s="81">
        <v>0.29166666666666669</v>
      </c>
      <c r="C458" s="80" t="s">
        <v>425</v>
      </c>
      <c r="D458" s="80" t="s">
        <v>403</v>
      </c>
      <c r="E458" s="186">
        <v>28</v>
      </c>
      <c r="F458" s="186">
        <v>36</v>
      </c>
      <c r="G458" s="186">
        <v>28</v>
      </c>
      <c r="H458" s="186">
        <v>24</v>
      </c>
      <c r="I458" s="186"/>
      <c r="J458" s="186">
        <v>29</v>
      </c>
      <c r="K458" s="186">
        <v>39</v>
      </c>
      <c r="L458" s="186">
        <v>19</v>
      </c>
      <c r="M458" s="186">
        <v>17</v>
      </c>
      <c r="N458" s="186" t="s">
        <v>427</v>
      </c>
      <c r="O458" s="186">
        <f t="shared" si="226"/>
        <v>116</v>
      </c>
      <c r="P458" s="186">
        <f t="shared" si="227"/>
        <v>104</v>
      </c>
      <c r="Q458" s="186" t="str">
        <f t="shared" si="228"/>
        <v>HL</v>
      </c>
      <c r="R458" s="186" t="str">
        <f t="shared" si="229"/>
        <v>HL</v>
      </c>
      <c r="S458" s="186" t="str">
        <f t="shared" si="230"/>
        <v>HW</v>
      </c>
      <c r="T458" s="186" t="str">
        <f t="shared" si="231"/>
        <v>HW</v>
      </c>
      <c r="U458" s="186" t="str">
        <f t="shared" si="232"/>
        <v>U</v>
      </c>
      <c r="V458" s="186" t="str">
        <f t="shared" si="233"/>
        <v>O</v>
      </c>
      <c r="W458" s="186" t="str">
        <f t="shared" si="234"/>
        <v>U</v>
      </c>
      <c r="X458" s="186" t="str">
        <f t="shared" si="235"/>
        <v>U</v>
      </c>
      <c r="Z458">
        <v>59</v>
      </c>
      <c r="AA458" s="90" t="str">
        <f t="shared" si="215"/>
        <v>GS/HOU</v>
      </c>
    </row>
    <row r="459" spans="1:27" x14ac:dyDescent="0.3">
      <c r="A459" s="80">
        <v>191226</v>
      </c>
      <c r="B459" s="81">
        <v>0.41666666666666669</v>
      </c>
      <c r="C459" s="80" t="s">
        <v>419</v>
      </c>
      <c r="D459" s="80" t="s">
        <v>415</v>
      </c>
      <c r="E459" s="186">
        <v>33</v>
      </c>
      <c r="F459" s="186">
        <v>30</v>
      </c>
      <c r="G459" s="186">
        <v>23</v>
      </c>
      <c r="H459" s="186">
        <v>20</v>
      </c>
      <c r="I459" s="186"/>
      <c r="J459" s="186">
        <v>31</v>
      </c>
      <c r="K459" s="186">
        <v>20</v>
      </c>
      <c r="L459" s="186">
        <v>35</v>
      </c>
      <c r="M459" s="186">
        <v>25</v>
      </c>
      <c r="N459" s="186" t="s">
        <v>427</v>
      </c>
      <c r="O459" s="186">
        <f t="shared" si="226"/>
        <v>106</v>
      </c>
      <c r="P459" s="186">
        <f t="shared" si="227"/>
        <v>111</v>
      </c>
      <c r="Q459" s="186" t="str">
        <f t="shared" si="228"/>
        <v>HW</v>
      </c>
      <c r="R459" s="186" t="str">
        <f t="shared" si="229"/>
        <v>HW</v>
      </c>
      <c r="S459" s="186" t="str">
        <f t="shared" si="230"/>
        <v>HL</v>
      </c>
      <c r="T459" s="186" t="str">
        <f t="shared" si="231"/>
        <v>HL</v>
      </c>
      <c r="U459" s="186" t="str">
        <f t="shared" si="232"/>
        <v>O</v>
      </c>
      <c r="V459" s="186" t="str">
        <f t="shared" si="233"/>
        <v>U</v>
      </c>
      <c r="W459" s="186" t="str">
        <f t="shared" si="234"/>
        <v>T</v>
      </c>
      <c r="X459" s="186" t="str">
        <f t="shared" si="235"/>
        <v>U</v>
      </c>
      <c r="Z459">
        <v>58</v>
      </c>
      <c r="AA459" s="90" t="str">
        <f t="shared" si="215"/>
        <v>LAL/LAC</v>
      </c>
    </row>
    <row r="460" spans="1:27" x14ac:dyDescent="0.3">
      <c r="A460" s="80">
        <v>191226</v>
      </c>
      <c r="B460" s="81">
        <v>0.52083333333333337</v>
      </c>
      <c r="C460" s="80" t="s">
        <v>408</v>
      </c>
      <c r="D460" s="80" t="s">
        <v>398</v>
      </c>
      <c r="E460" s="186">
        <v>26</v>
      </c>
      <c r="F460" s="186">
        <v>29</v>
      </c>
      <c r="G460" s="186">
        <v>25</v>
      </c>
      <c r="H460" s="186">
        <v>20</v>
      </c>
      <c r="I460" s="186"/>
      <c r="J460" s="186">
        <v>29</v>
      </c>
      <c r="K460" s="186">
        <v>29</v>
      </c>
      <c r="L460" s="186">
        <v>26</v>
      </c>
      <c r="M460" s="186">
        <v>28</v>
      </c>
      <c r="N460" s="186" t="s">
        <v>427</v>
      </c>
      <c r="O460" s="186">
        <f t="shared" si="226"/>
        <v>100</v>
      </c>
      <c r="P460" s="186">
        <f t="shared" si="227"/>
        <v>112</v>
      </c>
      <c r="Q460" s="186" t="str">
        <f t="shared" si="228"/>
        <v>HL</v>
      </c>
      <c r="R460" s="186" t="str">
        <f t="shared" si="229"/>
        <v>TT</v>
      </c>
      <c r="S460" s="186" t="str">
        <f t="shared" si="230"/>
        <v>HL</v>
      </c>
      <c r="T460" s="186" t="str">
        <f t="shared" si="231"/>
        <v>HL</v>
      </c>
      <c r="U460" s="186" t="str">
        <f t="shared" si="232"/>
        <v>U</v>
      </c>
      <c r="V460" s="186" t="str">
        <f t="shared" si="233"/>
        <v>O</v>
      </c>
      <c r="W460" s="186" t="str">
        <f t="shared" si="234"/>
        <v>U</v>
      </c>
      <c r="X460" s="186" t="str">
        <f t="shared" si="235"/>
        <v>U</v>
      </c>
      <c r="Z460">
        <v>56</v>
      </c>
      <c r="AA460" s="90" t="str">
        <f t="shared" ref="AA460:AA523" si="236">C460&amp;"/"&amp;D460</f>
        <v>DEN/NO</v>
      </c>
    </row>
    <row r="461" spans="1:27" x14ac:dyDescent="0.3">
      <c r="A461" s="80">
        <v>191227</v>
      </c>
      <c r="B461" s="83">
        <v>0.375</v>
      </c>
      <c r="C461" s="82" t="s">
        <v>422</v>
      </c>
      <c r="D461" s="82" t="s">
        <v>414</v>
      </c>
      <c r="E461" s="186">
        <v>31</v>
      </c>
      <c r="F461" s="186">
        <v>37</v>
      </c>
      <c r="G461" s="186">
        <v>38</v>
      </c>
      <c r="H461" s="186">
        <v>26</v>
      </c>
      <c r="I461" s="186"/>
      <c r="J461" s="186">
        <v>23</v>
      </c>
      <c r="K461" s="186">
        <v>25</v>
      </c>
      <c r="L461" s="186">
        <v>28</v>
      </c>
      <c r="M461" s="186">
        <v>26</v>
      </c>
      <c r="N461" s="186" t="s">
        <v>427</v>
      </c>
      <c r="O461" s="186">
        <f t="shared" si="226"/>
        <v>132</v>
      </c>
      <c r="P461" s="186">
        <f t="shared" si="227"/>
        <v>102</v>
      </c>
      <c r="Q461" s="186" t="str">
        <f t="shared" si="228"/>
        <v>HW</v>
      </c>
      <c r="R461" s="186" t="str">
        <f t="shared" si="229"/>
        <v>HW</v>
      </c>
      <c r="S461" s="186" t="str">
        <f t="shared" si="230"/>
        <v>HW</v>
      </c>
      <c r="T461" s="186" t="str">
        <f t="shared" si="231"/>
        <v>TT</v>
      </c>
      <c r="U461" s="186" t="str">
        <f t="shared" si="232"/>
        <v>U</v>
      </c>
      <c r="V461" s="186" t="str">
        <f t="shared" si="233"/>
        <v>O</v>
      </c>
      <c r="W461" s="186" t="str">
        <f t="shared" si="234"/>
        <v>O</v>
      </c>
      <c r="X461" s="186" t="str">
        <f t="shared" si="235"/>
        <v>U</v>
      </c>
      <c r="Z461">
        <v>59</v>
      </c>
      <c r="AA461" s="90" t="str">
        <f t="shared" si="236"/>
        <v>DET/WAS</v>
      </c>
    </row>
    <row r="462" spans="1:27" x14ac:dyDescent="0.3">
      <c r="A462" s="82">
        <v>191227</v>
      </c>
      <c r="B462" s="83">
        <v>0.39583333333333331</v>
      </c>
      <c r="C462" s="82" t="s">
        <v>407</v>
      </c>
      <c r="D462" s="82" t="s">
        <v>399</v>
      </c>
      <c r="E462" s="186">
        <v>15</v>
      </c>
      <c r="F462" s="186">
        <v>26</v>
      </c>
      <c r="G462" s="186">
        <v>20</v>
      </c>
      <c r="H462" s="186">
        <v>21</v>
      </c>
      <c r="I462" s="186"/>
      <c r="J462" s="186">
        <v>24</v>
      </c>
      <c r="K462" s="186">
        <v>22</v>
      </c>
      <c r="L462" s="186">
        <v>33</v>
      </c>
      <c r="M462" s="186">
        <v>15</v>
      </c>
      <c r="N462" s="186" t="s">
        <v>427</v>
      </c>
      <c r="O462" s="186">
        <f t="shared" si="226"/>
        <v>82</v>
      </c>
      <c r="P462" s="186">
        <f t="shared" si="227"/>
        <v>94</v>
      </c>
      <c r="Q462" s="186" t="str">
        <f t="shared" si="228"/>
        <v>HL</v>
      </c>
      <c r="R462" s="186" t="str">
        <f t="shared" si="229"/>
        <v>HW</v>
      </c>
      <c r="S462" s="186" t="str">
        <f t="shared" si="230"/>
        <v>HL</v>
      </c>
      <c r="T462" s="186" t="str">
        <f t="shared" si="231"/>
        <v>HW</v>
      </c>
      <c r="U462" s="186" t="str">
        <f t="shared" si="232"/>
        <v>U</v>
      </c>
      <c r="V462" s="186" t="str">
        <f t="shared" si="233"/>
        <v>U</v>
      </c>
      <c r="W462" s="186" t="str">
        <f t="shared" si="234"/>
        <v>U</v>
      </c>
      <c r="X462" s="186" t="str">
        <f t="shared" si="235"/>
        <v>U</v>
      </c>
      <c r="Z462">
        <v>58</v>
      </c>
      <c r="AA462" s="90" t="str">
        <f t="shared" si="236"/>
        <v>BKN/NYK</v>
      </c>
    </row>
    <row r="463" spans="1:27" x14ac:dyDescent="0.3">
      <c r="A463" s="82">
        <v>191227</v>
      </c>
      <c r="B463" s="83">
        <v>0.41666666666666669</v>
      </c>
      <c r="C463" s="82" t="s">
        <v>397</v>
      </c>
      <c r="D463" s="82" t="s">
        <v>426</v>
      </c>
      <c r="E463" s="186">
        <v>20</v>
      </c>
      <c r="F463" s="186">
        <v>32</v>
      </c>
      <c r="G463" s="186">
        <v>27</v>
      </c>
      <c r="H463" s="186">
        <v>23</v>
      </c>
      <c r="I463" s="186"/>
      <c r="J463" s="186">
        <v>24</v>
      </c>
      <c r="K463" s="186">
        <v>23</v>
      </c>
      <c r="L463" s="186">
        <v>27</v>
      </c>
      <c r="M463" s="186">
        <v>24</v>
      </c>
      <c r="N463" s="186" t="s">
        <v>427</v>
      </c>
      <c r="O463" s="186">
        <f t="shared" si="226"/>
        <v>102</v>
      </c>
      <c r="P463" s="186">
        <f t="shared" si="227"/>
        <v>98</v>
      </c>
      <c r="Q463" s="186" t="str">
        <f t="shared" si="228"/>
        <v>HL</v>
      </c>
      <c r="R463" s="186" t="str">
        <f t="shared" si="229"/>
        <v>HW</v>
      </c>
      <c r="S463" s="186" t="str">
        <f t="shared" si="230"/>
        <v>TT</v>
      </c>
      <c r="T463" s="186" t="str">
        <f t="shared" si="231"/>
        <v>HL</v>
      </c>
      <c r="U463" s="186" t="str">
        <f t="shared" si="232"/>
        <v>U</v>
      </c>
      <c r="V463" s="186" t="str">
        <f t="shared" si="233"/>
        <v>U</v>
      </c>
      <c r="W463" s="186" t="str">
        <f t="shared" si="234"/>
        <v>U</v>
      </c>
      <c r="X463" s="186" t="str">
        <f t="shared" si="235"/>
        <v>U</v>
      </c>
      <c r="Z463">
        <v>56</v>
      </c>
      <c r="AA463" s="90" t="str">
        <f t="shared" si="236"/>
        <v>DAL/SAS</v>
      </c>
    </row>
    <row r="464" spans="1:27" x14ac:dyDescent="0.3">
      <c r="A464" s="82">
        <v>191227</v>
      </c>
      <c r="B464" s="83">
        <v>0.41666666666666669</v>
      </c>
      <c r="C464" s="82" t="s">
        <v>418</v>
      </c>
      <c r="D464" s="82" t="s">
        <v>406</v>
      </c>
      <c r="E464" s="186">
        <v>18</v>
      </c>
      <c r="F464" s="186">
        <v>29</v>
      </c>
      <c r="G464" s="186">
        <v>27</v>
      </c>
      <c r="H464" s="186">
        <v>23</v>
      </c>
      <c r="I464" s="186"/>
      <c r="J464" s="186">
        <v>23</v>
      </c>
      <c r="K464" s="186">
        <v>26</v>
      </c>
      <c r="L464" s="186">
        <v>37</v>
      </c>
      <c r="M464" s="186">
        <v>24</v>
      </c>
      <c r="N464" s="186" t="s">
        <v>427</v>
      </c>
      <c r="O464" s="186">
        <f t="shared" si="226"/>
        <v>97</v>
      </c>
      <c r="P464" s="186">
        <f t="shared" si="227"/>
        <v>110</v>
      </c>
      <c r="Q464" s="186" t="str">
        <f t="shared" si="228"/>
        <v>HL</v>
      </c>
      <c r="R464" s="186" t="str">
        <f t="shared" si="229"/>
        <v>HW</v>
      </c>
      <c r="S464" s="186" t="str">
        <f t="shared" si="230"/>
        <v>HL</v>
      </c>
      <c r="T464" s="186" t="str">
        <f t="shared" si="231"/>
        <v>HL</v>
      </c>
      <c r="U464" s="186" t="str">
        <f t="shared" si="232"/>
        <v>U</v>
      </c>
      <c r="V464" s="186" t="str">
        <f t="shared" si="233"/>
        <v>T</v>
      </c>
      <c r="W464" s="186" t="str">
        <f t="shared" si="234"/>
        <v>O</v>
      </c>
      <c r="X464" s="186" t="str">
        <f t="shared" si="235"/>
        <v>U</v>
      </c>
      <c r="Z464">
        <v>55</v>
      </c>
      <c r="AA464" s="90" t="str">
        <f t="shared" si="236"/>
        <v>OKC/MEM</v>
      </c>
    </row>
    <row r="465" spans="1:27" x14ac:dyDescent="0.3">
      <c r="A465" s="82">
        <v>191227</v>
      </c>
      <c r="B465" s="83">
        <v>0.5</v>
      </c>
      <c r="C465" s="82" t="s">
        <v>416</v>
      </c>
      <c r="D465" s="82" t="s">
        <v>420</v>
      </c>
      <c r="E465" s="186">
        <v>26</v>
      </c>
      <c r="F465" s="186">
        <v>22</v>
      </c>
      <c r="G465" s="186">
        <v>31</v>
      </c>
      <c r="H465" s="186">
        <v>11</v>
      </c>
      <c r="I465" s="186">
        <v>14</v>
      </c>
      <c r="J465" s="186">
        <v>21</v>
      </c>
      <c r="K465" s="186">
        <v>29</v>
      </c>
      <c r="L465" s="186">
        <v>21</v>
      </c>
      <c r="M465" s="186">
        <v>19</v>
      </c>
      <c r="N465" s="186">
        <v>15</v>
      </c>
      <c r="O465" s="186">
        <f t="shared" si="226"/>
        <v>104</v>
      </c>
      <c r="P465" s="186">
        <f t="shared" si="227"/>
        <v>105</v>
      </c>
      <c r="Q465" s="186" t="str">
        <f t="shared" si="228"/>
        <v>HW</v>
      </c>
      <c r="R465" s="186" t="str">
        <f t="shared" si="229"/>
        <v>HL</v>
      </c>
      <c r="S465" s="186" t="str">
        <f t="shared" si="230"/>
        <v>HW</v>
      </c>
      <c r="T465" s="186" t="str">
        <f t="shared" si="231"/>
        <v>HL</v>
      </c>
      <c r="U465" s="186" t="str">
        <f t="shared" si="232"/>
        <v>U</v>
      </c>
      <c r="V465" s="186" t="str">
        <f t="shared" si="233"/>
        <v>U</v>
      </c>
      <c r="W465" s="186" t="str">
        <f t="shared" si="234"/>
        <v>U</v>
      </c>
      <c r="X465" s="186" t="str">
        <f t="shared" si="235"/>
        <v>U</v>
      </c>
      <c r="Z465">
        <v>57</v>
      </c>
      <c r="AA465" s="90" t="str">
        <f t="shared" si="236"/>
        <v>SAC/MIN</v>
      </c>
    </row>
    <row r="466" spans="1:27" x14ac:dyDescent="0.3">
      <c r="A466" s="82">
        <v>191227</v>
      </c>
      <c r="B466" s="83">
        <v>0.52083333333333337</v>
      </c>
      <c r="C466" s="82" t="s">
        <v>405</v>
      </c>
      <c r="D466" s="82" t="s">
        <v>417</v>
      </c>
      <c r="E466" s="186">
        <v>37</v>
      </c>
      <c r="F466" s="186">
        <v>25</v>
      </c>
      <c r="G466" s="186">
        <v>34</v>
      </c>
      <c r="H466" s="186">
        <v>25</v>
      </c>
      <c r="I466" s="186"/>
      <c r="J466" s="186">
        <v>22</v>
      </c>
      <c r="K466" s="186">
        <v>30</v>
      </c>
      <c r="L466" s="186">
        <v>24</v>
      </c>
      <c r="M466" s="186">
        <v>39</v>
      </c>
      <c r="N466" s="186" t="s">
        <v>427</v>
      </c>
      <c r="O466" s="186">
        <f t="shared" si="226"/>
        <v>121</v>
      </c>
      <c r="P466" s="186">
        <f t="shared" si="227"/>
        <v>115</v>
      </c>
      <c r="Q466" s="186" t="str">
        <f t="shared" si="228"/>
        <v>HW</v>
      </c>
      <c r="R466" s="186" t="str">
        <f t="shared" si="229"/>
        <v>HL</v>
      </c>
      <c r="S466" s="186" t="str">
        <f t="shared" si="230"/>
        <v>HW</v>
      </c>
      <c r="T466" s="186" t="str">
        <f t="shared" si="231"/>
        <v>HL</v>
      </c>
      <c r="U466" s="186" t="str">
        <f t="shared" si="232"/>
        <v>O</v>
      </c>
      <c r="V466" s="186" t="str">
        <f t="shared" si="233"/>
        <v>U</v>
      </c>
      <c r="W466" s="186" t="str">
        <f t="shared" si="234"/>
        <v>O</v>
      </c>
      <c r="X466" s="186" t="str">
        <f t="shared" si="235"/>
        <v>O</v>
      </c>
      <c r="Z466">
        <v>56.5</v>
      </c>
      <c r="AA466" s="90" t="str">
        <f t="shared" si="236"/>
        <v>UTA/POR</v>
      </c>
    </row>
    <row r="467" spans="1:27" x14ac:dyDescent="0.3">
      <c r="A467" s="82">
        <v>191228</v>
      </c>
      <c r="B467" s="85">
        <v>0.25</v>
      </c>
      <c r="C467" s="84" t="s">
        <v>421</v>
      </c>
      <c r="D467" s="84" t="s">
        <v>402</v>
      </c>
      <c r="E467" s="186">
        <v>33</v>
      </c>
      <c r="F467" s="186">
        <v>29</v>
      </c>
      <c r="G467" s="186">
        <v>30</v>
      </c>
      <c r="H467" s="186">
        <v>37</v>
      </c>
      <c r="I467" s="186"/>
      <c r="J467" s="186">
        <v>22</v>
      </c>
      <c r="K467" s="186">
        <v>25</v>
      </c>
      <c r="L467" s="186">
        <v>34</v>
      </c>
      <c r="M467" s="186">
        <v>36</v>
      </c>
      <c r="N467" s="186" t="s">
        <v>427</v>
      </c>
      <c r="O467" s="186">
        <f t="shared" si="226"/>
        <v>129</v>
      </c>
      <c r="P467" s="186">
        <f t="shared" si="227"/>
        <v>117</v>
      </c>
      <c r="Q467" s="186" t="str">
        <f t="shared" si="228"/>
        <v>HW</v>
      </c>
      <c r="R467" s="186" t="str">
        <f t="shared" si="229"/>
        <v>HW</v>
      </c>
      <c r="S467" s="186" t="str">
        <f t="shared" si="230"/>
        <v>HL</v>
      </c>
      <c r="T467" s="186" t="str">
        <f t="shared" si="231"/>
        <v>HW</v>
      </c>
      <c r="U467" s="186" t="str">
        <f t="shared" si="232"/>
        <v>O</v>
      </c>
      <c r="V467" s="186" t="str">
        <f t="shared" si="233"/>
        <v>O</v>
      </c>
      <c r="W467" s="186" t="str">
        <f t="shared" si="234"/>
        <v>O</v>
      </c>
      <c r="X467" s="186" t="str">
        <f t="shared" si="235"/>
        <v>O</v>
      </c>
      <c r="Z467">
        <v>53.5</v>
      </c>
      <c r="AA467" s="90" t="str">
        <f t="shared" si="236"/>
        <v>BOS/CLE</v>
      </c>
    </row>
    <row r="468" spans="1:27" x14ac:dyDescent="0.3">
      <c r="A468" s="84">
        <v>191228</v>
      </c>
      <c r="B468" s="85">
        <v>0.375</v>
      </c>
      <c r="C468" s="84" t="s">
        <v>424</v>
      </c>
      <c r="D468" s="84" t="s">
        <v>401</v>
      </c>
      <c r="E468" s="186">
        <v>19</v>
      </c>
      <c r="F468" s="186">
        <v>27</v>
      </c>
      <c r="G468" s="186">
        <v>25</v>
      </c>
      <c r="H468" s="186">
        <v>27</v>
      </c>
      <c r="I468" s="186"/>
      <c r="J468" s="186">
        <v>21</v>
      </c>
      <c r="K468" s="186">
        <v>26</v>
      </c>
      <c r="L468" s="186">
        <v>21</v>
      </c>
      <c r="M468" s="186">
        <v>29</v>
      </c>
      <c r="N468" s="186" t="s">
        <v>427</v>
      </c>
      <c r="O468" s="186">
        <f t="shared" si="226"/>
        <v>98</v>
      </c>
      <c r="P468" s="186">
        <f t="shared" si="227"/>
        <v>97</v>
      </c>
      <c r="Q468" s="186" t="str">
        <f t="shared" si="228"/>
        <v>HL</v>
      </c>
      <c r="R468" s="186" t="str">
        <f t="shared" si="229"/>
        <v>HW</v>
      </c>
      <c r="S468" s="186" t="str">
        <f t="shared" si="230"/>
        <v>HW</v>
      </c>
      <c r="T468" s="186" t="str">
        <f t="shared" si="231"/>
        <v>HL</v>
      </c>
      <c r="U468" s="186" t="str">
        <f t="shared" si="232"/>
        <v>U</v>
      </c>
      <c r="V468" s="186" t="str">
        <f t="shared" si="233"/>
        <v>O</v>
      </c>
      <c r="W468" s="186" t="str">
        <f t="shared" si="234"/>
        <v>U</v>
      </c>
      <c r="X468" s="186" t="str">
        <f t="shared" si="235"/>
        <v>O</v>
      </c>
      <c r="Z468">
        <v>52</v>
      </c>
      <c r="AA468" s="90" t="str">
        <f t="shared" si="236"/>
        <v>ORL/PHI</v>
      </c>
    </row>
    <row r="469" spans="1:27" x14ac:dyDescent="0.3">
      <c r="A469" s="84">
        <v>191228</v>
      </c>
      <c r="B469" s="85">
        <v>0.375</v>
      </c>
      <c r="C469" s="84" t="s">
        <v>409</v>
      </c>
      <c r="D469" s="84" t="s">
        <v>418</v>
      </c>
      <c r="E469" s="186">
        <v>18</v>
      </c>
      <c r="F469" s="186">
        <v>25</v>
      </c>
      <c r="G469" s="186">
        <v>22</v>
      </c>
      <c r="H469" s="186">
        <v>29</v>
      </c>
      <c r="I469" s="186">
        <v>8</v>
      </c>
      <c r="J469" s="186">
        <v>26</v>
      </c>
      <c r="K469" s="186">
        <v>27</v>
      </c>
      <c r="L469" s="186">
        <v>19</v>
      </c>
      <c r="M469" s="186">
        <v>22</v>
      </c>
      <c r="N469" s="186">
        <v>10</v>
      </c>
      <c r="O469" s="186">
        <f t="shared" si="226"/>
        <v>102</v>
      </c>
      <c r="P469" s="186">
        <f t="shared" si="227"/>
        <v>104</v>
      </c>
      <c r="Q469" s="186" t="str">
        <f t="shared" si="228"/>
        <v>HL</v>
      </c>
      <c r="R469" s="186" t="str">
        <f t="shared" si="229"/>
        <v>HL</v>
      </c>
      <c r="S469" s="186" t="str">
        <f t="shared" si="230"/>
        <v>HW</v>
      </c>
      <c r="T469" s="186" t="str">
        <f t="shared" si="231"/>
        <v>HW</v>
      </c>
      <c r="U469" s="186" t="str">
        <f t="shared" si="232"/>
        <v>U</v>
      </c>
      <c r="V469" s="186" t="str">
        <f t="shared" si="233"/>
        <v>U</v>
      </c>
      <c r="W469" s="186" t="str">
        <f t="shared" si="234"/>
        <v>U</v>
      </c>
      <c r="X469" s="186" t="str">
        <f t="shared" si="235"/>
        <v>U</v>
      </c>
      <c r="Z469">
        <v>53.5</v>
      </c>
      <c r="AA469" s="90" t="str">
        <f t="shared" si="236"/>
        <v>CHA/OKC</v>
      </c>
    </row>
    <row r="470" spans="1:27" x14ac:dyDescent="0.3">
      <c r="A470" s="84">
        <v>191228</v>
      </c>
      <c r="B470" s="85">
        <v>0.39583333333333331</v>
      </c>
      <c r="C470" s="84" t="s">
        <v>410</v>
      </c>
      <c r="D470" s="84" t="s">
        <v>423</v>
      </c>
      <c r="E470" s="186">
        <v>19</v>
      </c>
      <c r="F470" s="186">
        <v>21</v>
      </c>
      <c r="G470" s="186">
        <v>23</v>
      </c>
      <c r="H470" s="186">
        <v>23</v>
      </c>
      <c r="I470" s="186"/>
      <c r="J470" s="186">
        <v>32</v>
      </c>
      <c r="K470" s="186">
        <v>31</v>
      </c>
      <c r="L470" s="186">
        <v>21</v>
      </c>
      <c r="M470" s="186">
        <v>28</v>
      </c>
      <c r="N470" s="186" t="s">
        <v>427</v>
      </c>
      <c r="O470" s="186">
        <f t="shared" si="226"/>
        <v>86</v>
      </c>
      <c r="P470" s="186">
        <f t="shared" si="227"/>
        <v>112</v>
      </c>
      <c r="Q470" s="186" t="str">
        <f t="shared" si="228"/>
        <v>HL</v>
      </c>
      <c r="R470" s="186" t="str">
        <f t="shared" si="229"/>
        <v>HL</v>
      </c>
      <c r="S470" s="186" t="str">
        <f t="shared" si="230"/>
        <v>HW</v>
      </c>
      <c r="T470" s="186" t="str">
        <f t="shared" si="231"/>
        <v>HL</v>
      </c>
      <c r="U470" s="186" t="str">
        <f t="shared" si="232"/>
        <v>U</v>
      </c>
      <c r="V470" s="186" t="str">
        <f t="shared" si="233"/>
        <v>U</v>
      </c>
      <c r="W470" s="186" t="str">
        <f t="shared" si="234"/>
        <v>U</v>
      </c>
      <c r="X470" s="186" t="str">
        <f t="shared" si="235"/>
        <v>U</v>
      </c>
      <c r="Z470">
        <v>58</v>
      </c>
      <c r="AA470" s="90" t="str">
        <f t="shared" si="236"/>
        <v>ATL/MIL</v>
      </c>
    </row>
    <row r="471" spans="1:27" x14ac:dyDescent="0.3">
      <c r="A471" s="84">
        <v>191228</v>
      </c>
      <c r="B471" s="85">
        <v>0.41666666666666669</v>
      </c>
      <c r="C471" s="84" t="s">
        <v>411</v>
      </c>
      <c r="D471" s="84" t="s">
        <v>400</v>
      </c>
      <c r="E471" s="186">
        <v>25</v>
      </c>
      <c r="F471" s="186">
        <v>33</v>
      </c>
      <c r="G471" s="186">
        <v>26</v>
      </c>
      <c r="H471" s="186">
        <v>29</v>
      </c>
      <c r="I471" s="186"/>
      <c r="J471" s="186">
        <v>27</v>
      </c>
      <c r="K471" s="186">
        <v>28</v>
      </c>
      <c r="L471" s="186">
        <v>27</v>
      </c>
      <c r="M471" s="186">
        <v>30</v>
      </c>
      <c r="N471" s="186" t="s">
        <v>427</v>
      </c>
      <c r="O471" s="186">
        <f t="shared" si="226"/>
        <v>113</v>
      </c>
      <c r="P471" s="186">
        <f t="shared" si="227"/>
        <v>112</v>
      </c>
      <c r="Q471" s="186" t="str">
        <f t="shared" si="228"/>
        <v>HL</v>
      </c>
      <c r="R471" s="186" t="str">
        <f t="shared" si="229"/>
        <v>HW</v>
      </c>
      <c r="S471" s="186" t="str">
        <f t="shared" si="230"/>
        <v>HL</v>
      </c>
      <c r="T471" s="186" t="str">
        <f t="shared" si="231"/>
        <v>HL</v>
      </c>
      <c r="U471" s="186" t="str">
        <f t="shared" si="232"/>
        <v>U</v>
      </c>
      <c r="V471" s="186" t="str">
        <f t="shared" si="233"/>
        <v>O</v>
      </c>
      <c r="W471" s="186" t="str">
        <f t="shared" si="234"/>
        <v>U</v>
      </c>
      <c r="X471" s="186" t="str">
        <f t="shared" si="235"/>
        <v>O</v>
      </c>
      <c r="Z471">
        <v>54.5</v>
      </c>
      <c r="AA471" s="90" t="str">
        <f t="shared" si="236"/>
        <v>MIA/IND</v>
      </c>
    </row>
    <row r="472" spans="1:27" x14ac:dyDescent="0.3">
      <c r="A472" s="84">
        <v>191228</v>
      </c>
      <c r="B472" s="85">
        <v>0.52083333333333337</v>
      </c>
      <c r="C472" s="84" t="s">
        <v>425</v>
      </c>
      <c r="D472" s="84" t="s">
        <v>404</v>
      </c>
      <c r="E472" s="186">
        <v>25</v>
      </c>
      <c r="F472" s="186">
        <v>18</v>
      </c>
      <c r="G472" s="186">
        <v>23</v>
      </c>
      <c r="H472" s="186">
        <v>39</v>
      </c>
      <c r="I472" s="186"/>
      <c r="J472" s="186">
        <v>29</v>
      </c>
      <c r="K472" s="186">
        <v>22</v>
      </c>
      <c r="L472" s="186">
        <v>27</v>
      </c>
      <c r="M472" s="186">
        <v>18</v>
      </c>
      <c r="N472" s="186" t="s">
        <v>427</v>
      </c>
      <c r="O472" s="186">
        <f t="shared" si="226"/>
        <v>105</v>
      </c>
      <c r="P472" s="186">
        <f t="shared" si="227"/>
        <v>96</v>
      </c>
      <c r="Q472" s="186" t="str">
        <f t="shared" si="228"/>
        <v>HL</v>
      </c>
      <c r="R472" s="186" t="str">
        <f t="shared" si="229"/>
        <v>HL</v>
      </c>
      <c r="S472" s="186" t="str">
        <f t="shared" si="230"/>
        <v>HL</v>
      </c>
      <c r="T472" s="186" t="str">
        <f t="shared" si="231"/>
        <v>HW</v>
      </c>
      <c r="U472" s="186" t="str">
        <f t="shared" si="232"/>
        <v>U</v>
      </c>
      <c r="V472" s="186" t="str">
        <f t="shared" si="233"/>
        <v>U</v>
      </c>
      <c r="W472" s="186" t="str">
        <f t="shared" si="234"/>
        <v>U</v>
      </c>
      <c r="X472" s="186" t="str">
        <f t="shared" si="235"/>
        <v>O</v>
      </c>
      <c r="Z472">
        <v>55.5</v>
      </c>
      <c r="AA472" s="90" t="str">
        <f t="shared" si="236"/>
        <v>GS/PHO</v>
      </c>
    </row>
    <row r="473" spans="1:27" x14ac:dyDescent="0.3">
      <c r="A473" s="84">
        <v>191229</v>
      </c>
      <c r="B473" s="87">
        <v>0.29166666666666669</v>
      </c>
      <c r="C473" s="86" t="s">
        <v>408</v>
      </c>
      <c r="D473" s="86" t="s">
        <v>406</v>
      </c>
      <c r="E473" s="186">
        <v>26</v>
      </c>
      <c r="F473" s="186">
        <v>24</v>
      </c>
      <c r="G473" s="186">
        <v>32</v>
      </c>
      <c r="H473" s="186">
        <v>37</v>
      </c>
      <c r="I473" s="186"/>
      <c r="J473" s="186">
        <v>11</v>
      </c>
      <c r="K473" s="186">
        <v>28</v>
      </c>
      <c r="L473" s="186">
        <v>29</v>
      </c>
      <c r="M473" s="186">
        <v>42</v>
      </c>
      <c r="N473" s="186" t="s">
        <v>427</v>
      </c>
      <c r="O473" s="186">
        <f t="shared" si="226"/>
        <v>119</v>
      </c>
      <c r="P473" s="186">
        <f t="shared" si="227"/>
        <v>110</v>
      </c>
      <c r="Q473" s="186" t="str">
        <f t="shared" si="228"/>
        <v>HW</v>
      </c>
      <c r="R473" s="186" t="str">
        <f t="shared" si="229"/>
        <v>HL</v>
      </c>
      <c r="S473" s="186" t="str">
        <f t="shared" si="230"/>
        <v>HW</v>
      </c>
      <c r="T473" s="186" t="str">
        <f t="shared" si="231"/>
        <v>HL</v>
      </c>
      <c r="U473" s="186" t="str">
        <f t="shared" si="232"/>
        <v>U</v>
      </c>
      <c r="V473" s="186" t="str">
        <f t="shared" si="233"/>
        <v>U</v>
      </c>
      <c r="W473" s="186" t="str">
        <f t="shared" si="234"/>
        <v>O</v>
      </c>
      <c r="X473" s="186" t="str">
        <f t="shared" si="235"/>
        <v>O</v>
      </c>
      <c r="Z473">
        <v>54.5</v>
      </c>
      <c r="AA473" s="90" t="str">
        <f t="shared" si="236"/>
        <v>DEN/MEM</v>
      </c>
    </row>
    <row r="474" spans="1:27" x14ac:dyDescent="0.3">
      <c r="A474" s="86">
        <v>191229</v>
      </c>
      <c r="B474" s="87">
        <v>0.375</v>
      </c>
      <c r="C474" s="86" t="s">
        <v>421</v>
      </c>
      <c r="D474" s="86" t="s">
        <v>413</v>
      </c>
      <c r="E474" s="186">
        <v>25</v>
      </c>
      <c r="F474" s="186">
        <v>29</v>
      </c>
      <c r="G474" s="186">
        <v>25</v>
      </c>
      <c r="H474" s="186">
        <v>18</v>
      </c>
      <c r="I474" s="186"/>
      <c r="J474" s="186">
        <v>36</v>
      </c>
      <c r="K474" s="186">
        <v>23</v>
      </c>
      <c r="L474" s="186">
        <v>30</v>
      </c>
      <c r="M474" s="186">
        <v>24</v>
      </c>
      <c r="N474" s="186" t="s">
        <v>427</v>
      </c>
      <c r="O474" s="186">
        <f t="shared" si="226"/>
        <v>97</v>
      </c>
      <c r="P474" s="186">
        <f t="shared" si="227"/>
        <v>113</v>
      </c>
      <c r="Q474" s="186" t="str">
        <f t="shared" si="228"/>
        <v>HL</v>
      </c>
      <c r="R474" s="186" t="str">
        <f t="shared" si="229"/>
        <v>HW</v>
      </c>
      <c r="S474" s="186" t="str">
        <f t="shared" si="230"/>
        <v>HL</v>
      </c>
      <c r="T474" s="186" t="str">
        <f t="shared" si="231"/>
        <v>HL</v>
      </c>
      <c r="U474" s="186" t="str">
        <f t="shared" si="232"/>
        <v>O</v>
      </c>
      <c r="V474" s="186" t="str">
        <f t="shared" si="233"/>
        <v>U</v>
      </c>
      <c r="W474" s="186" t="str">
        <f t="shared" si="234"/>
        <v>U</v>
      </c>
      <c r="X474" s="186" t="str">
        <f t="shared" si="235"/>
        <v>U</v>
      </c>
      <c r="Z474">
        <v>55.5</v>
      </c>
      <c r="AA474" s="90" t="str">
        <f t="shared" si="236"/>
        <v>BOS/TOR</v>
      </c>
    </row>
    <row r="475" spans="1:27" x14ac:dyDescent="0.3">
      <c r="A475" s="86">
        <v>191229</v>
      </c>
      <c r="B475" s="87">
        <v>0.375</v>
      </c>
      <c r="C475" s="86" t="s">
        <v>398</v>
      </c>
      <c r="D475" s="86" t="s">
        <v>400</v>
      </c>
      <c r="E475" s="186">
        <v>19</v>
      </c>
      <c r="F475" s="186">
        <v>29</v>
      </c>
      <c r="G475" s="186">
        <v>38</v>
      </c>
      <c r="H475" s="186">
        <v>34</v>
      </c>
      <c r="I475" s="186"/>
      <c r="J475" s="186">
        <v>32</v>
      </c>
      <c r="K475" s="186">
        <v>13</v>
      </c>
      <c r="L475" s="186">
        <v>23</v>
      </c>
      <c r="M475" s="186">
        <v>30</v>
      </c>
      <c r="N475" s="186" t="s">
        <v>427</v>
      </c>
      <c r="O475" s="186">
        <f t="shared" si="226"/>
        <v>120</v>
      </c>
      <c r="P475" s="186">
        <f t="shared" si="227"/>
        <v>98</v>
      </c>
      <c r="Q475" s="186" t="str">
        <f t="shared" si="228"/>
        <v>HL</v>
      </c>
      <c r="R475" s="186" t="str">
        <f t="shared" si="229"/>
        <v>HW</v>
      </c>
      <c r="S475" s="186" t="str">
        <f t="shared" si="230"/>
        <v>HW</v>
      </c>
      <c r="T475" s="186" t="str">
        <f t="shared" si="231"/>
        <v>HW</v>
      </c>
      <c r="U475" s="186" t="str">
        <f t="shared" si="232"/>
        <v>U</v>
      </c>
      <c r="V475" s="186" t="str">
        <f t="shared" si="233"/>
        <v>U</v>
      </c>
      <c r="W475" s="186" t="str">
        <f t="shared" si="234"/>
        <v>O</v>
      </c>
      <c r="X475" s="186" t="str">
        <f t="shared" si="235"/>
        <v>O</v>
      </c>
      <c r="Z475">
        <v>56.5</v>
      </c>
      <c r="AA475" s="90" t="str">
        <f t="shared" si="236"/>
        <v>NO/IND</v>
      </c>
    </row>
    <row r="476" spans="1:27" x14ac:dyDescent="0.3">
      <c r="A476" s="86">
        <v>191229</v>
      </c>
      <c r="B476" s="87">
        <v>0.41666666666666669</v>
      </c>
      <c r="C476" s="86" t="s">
        <v>412</v>
      </c>
      <c r="D476" s="86" t="s">
        <v>410</v>
      </c>
      <c r="E476" s="186">
        <v>35</v>
      </c>
      <c r="F476" s="186">
        <v>29</v>
      </c>
      <c r="G476" s="186">
        <v>19</v>
      </c>
      <c r="H476" s="186">
        <v>33</v>
      </c>
      <c r="I476" s="186"/>
      <c r="J476" s="186">
        <v>19</v>
      </c>
      <c r="K476" s="186">
        <v>24</v>
      </c>
      <c r="L476" s="186">
        <v>22</v>
      </c>
      <c r="M476" s="186">
        <v>16</v>
      </c>
      <c r="N476" s="186" t="s">
        <v>427</v>
      </c>
      <c r="O476" s="186">
        <f t="shared" si="226"/>
        <v>116</v>
      </c>
      <c r="P476" s="186">
        <f t="shared" si="227"/>
        <v>81</v>
      </c>
      <c r="Q476" s="186" t="str">
        <f t="shared" si="228"/>
        <v>HW</v>
      </c>
      <c r="R476" s="186" t="str">
        <f t="shared" si="229"/>
        <v>HW</v>
      </c>
      <c r="S476" s="186" t="str">
        <f t="shared" si="230"/>
        <v>HL</v>
      </c>
      <c r="T476" s="186" t="str">
        <f t="shared" si="231"/>
        <v>HW</v>
      </c>
      <c r="U476" s="186" t="str">
        <f t="shared" si="232"/>
        <v>U</v>
      </c>
      <c r="V476" s="186" t="str">
        <f t="shared" si="233"/>
        <v>U</v>
      </c>
      <c r="W476" s="186" t="str">
        <f t="shared" si="234"/>
        <v>U</v>
      </c>
      <c r="X476" s="186" t="str">
        <f t="shared" si="235"/>
        <v>U</v>
      </c>
      <c r="Z476">
        <v>55.5</v>
      </c>
      <c r="AA476" s="90" t="str">
        <f t="shared" si="236"/>
        <v>CHI/ATL</v>
      </c>
    </row>
    <row r="477" spans="1:27" x14ac:dyDescent="0.3">
      <c r="A477" s="86">
        <v>191229</v>
      </c>
      <c r="B477" s="87">
        <v>0.41666666666666669</v>
      </c>
      <c r="C477" s="86" t="s">
        <v>403</v>
      </c>
      <c r="D477" s="86" t="s">
        <v>407</v>
      </c>
      <c r="E477" s="186">
        <v>42</v>
      </c>
      <c r="F477" s="186">
        <v>21</v>
      </c>
      <c r="G477" s="186">
        <v>25</v>
      </c>
      <c r="H477" s="186">
        <v>20</v>
      </c>
      <c r="I477" s="186"/>
      <c r="J477" s="186">
        <v>20</v>
      </c>
      <c r="K477" s="186">
        <v>34</v>
      </c>
      <c r="L477" s="186">
        <v>25</v>
      </c>
      <c r="M477" s="186">
        <v>19</v>
      </c>
      <c r="N477" s="186" t="s">
        <v>427</v>
      </c>
      <c r="O477" s="186">
        <f t="shared" si="226"/>
        <v>108</v>
      </c>
      <c r="P477" s="186">
        <f t="shared" si="227"/>
        <v>98</v>
      </c>
      <c r="Q477" s="186" t="str">
        <f t="shared" si="228"/>
        <v>HW</v>
      </c>
      <c r="R477" s="186" t="str">
        <f t="shared" si="229"/>
        <v>HL</v>
      </c>
      <c r="S477" s="186" t="str">
        <f t="shared" si="230"/>
        <v>TT</v>
      </c>
      <c r="T477" s="186" t="str">
        <f t="shared" si="231"/>
        <v>HW</v>
      </c>
      <c r="U477" s="186" t="str">
        <f t="shared" si="232"/>
        <v>O</v>
      </c>
      <c r="V477" s="186" t="str">
        <f t="shared" si="233"/>
        <v>U</v>
      </c>
      <c r="W477" s="186" t="str">
        <f t="shared" si="234"/>
        <v>U</v>
      </c>
      <c r="X477" s="186" t="str">
        <f t="shared" si="235"/>
        <v>U</v>
      </c>
      <c r="Z477">
        <v>57.5</v>
      </c>
      <c r="AA477" s="90" t="str">
        <f t="shared" si="236"/>
        <v>HOU/BKN</v>
      </c>
    </row>
    <row r="478" spans="1:27" x14ac:dyDescent="0.3">
      <c r="A478" s="86">
        <v>191229</v>
      </c>
      <c r="B478" s="87">
        <v>0.41666666666666669</v>
      </c>
      <c r="C478" s="86" t="s">
        <v>411</v>
      </c>
      <c r="D478" s="86" t="s">
        <v>401</v>
      </c>
      <c r="E478" s="186">
        <v>28</v>
      </c>
      <c r="F478" s="186">
        <v>26</v>
      </c>
      <c r="G478" s="186">
        <v>31</v>
      </c>
      <c r="H478" s="186">
        <v>23</v>
      </c>
      <c r="I478" s="186">
        <v>9</v>
      </c>
      <c r="J478" s="186">
        <v>33</v>
      </c>
      <c r="K478" s="186">
        <v>26</v>
      </c>
      <c r="L478" s="186">
        <v>20</v>
      </c>
      <c r="M478" s="186">
        <v>29</v>
      </c>
      <c r="N478" s="186">
        <v>8</v>
      </c>
      <c r="O478" s="186">
        <f t="shared" si="226"/>
        <v>117</v>
      </c>
      <c r="P478" s="186">
        <f t="shared" si="227"/>
        <v>116</v>
      </c>
      <c r="Q478" s="186" t="str">
        <f t="shared" si="228"/>
        <v>HL</v>
      </c>
      <c r="R478" s="186" t="str">
        <f t="shared" si="229"/>
        <v>TT</v>
      </c>
      <c r="S478" s="186" t="str">
        <f t="shared" si="230"/>
        <v>HW</v>
      </c>
      <c r="T478" s="186" t="str">
        <f t="shared" si="231"/>
        <v>HL</v>
      </c>
      <c r="U478" s="186" t="str">
        <f t="shared" si="232"/>
        <v>O</v>
      </c>
      <c r="V478" s="186" t="str">
        <f t="shared" si="233"/>
        <v>U</v>
      </c>
      <c r="W478" s="186" t="str">
        <f t="shared" si="234"/>
        <v>U</v>
      </c>
      <c r="X478" s="186" t="str">
        <f t="shared" si="235"/>
        <v>U</v>
      </c>
      <c r="Z478">
        <v>52.5</v>
      </c>
      <c r="AA478" s="90" t="str">
        <f t="shared" si="236"/>
        <v>MIA/PHI</v>
      </c>
    </row>
    <row r="479" spans="1:27" x14ac:dyDescent="0.3">
      <c r="A479" s="86">
        <v>191229</v>
      </c>
      <c r="B479" s="87">
        <v>0.41666666666666669</v>
      </c>
      <c r="C479" s="86" t="s">
        <v>420</v>
      </c>
      <c r="D479" s="86" t="s">
        <v>402</v>
      </c>
      <c r="E479" s="186">
        <v>21</v>
      </c>
      <c r="F479" s="186">
        <v>22</v>
      </c>
      <c r="G479" s="186">
        <v>17</v>
      </c>
      <c r="H479" s="186">
        <v>28</v>
      </c>
      <c r="I479" s="186"/>
      <c r="J479" s="186">
        <v>27</v>
      </c>
      <c r="K479" s="186">
        <v>22</v>
      </c>
      <c r="L479" s="186">
        <v>18</v>
      </c>
      <c r="M479" s="186">
        <v>27</v>
      </c>
      <c r="N479" s="186" t="s">
        <v>427</v>
      </c>
      <c r="O479" s="186">
        <f t="shared" si="226"/>
        <v>88</v>
      </c>
      <c r="P479" s="186">
        <f t="shared" si="227"/>
        <v>94</v>
      </c>
      <c r="Q479" s="186" t="str">
        <f t="shared" si="228"/>
        <v>HL</v>
      </c>
      <c r="R479" s="186" t="str">
        <f t="shared" si="229"/>
        <v>TT</v>
      </c>
      <c r="S479" s="186" t="str">
        <f t="shared" si="230"/>
        <v>HL</v>
      </c>
      <c r="T479" s="186" t="str">
        <f t="shared" si="231"/>
        <v>HW</v>
      </c>
      <c r="U479" s="186" t="str">
        <f t="shared" si="232"/>
        <v>U</v>
      </c>
      <c r="V479" s="186" t="str">
        <f t="shared" si="233"/>
        <v>U</v>
      </c>
      <c r="W479" s="186" t="str">
        <f t="shared" si="234"/>
        <v>U</v>
      </c>
      <c r="X479" s="186" t="str">
        <f t="shared" si="235"/>
        <v>O</v>
      </c>
      <c r="Z479">
        <v>53.5</v>
      </c>
      <c r="AA479" s="90" t="str">
        <f t="shared" si="236"/>
        <v>MIN/CLE</v>
      </c>
    </row>
    <row r="480" spans="1:27" x14ac:dyDescent="0.3">
      <c r="A480" s="86">
        <v>191229</v>
      </c>
      <c r="B480" s="87">
        <v>0.41666666666666669</v>
      </c>
      <c r="C480" s="86" t="s">
        <v>414</v>
      </c>
      <c r="D480" s="86" t="s">
        <v>399</v>
      </c>
      <c r="E480" s="186">
        <v>23</v>
      </c>
      <c r="F480" s="186">
        <v>35</v>
      </c>
      <c r="G480" s="186">
        <v>20</v>
      </c>
      <c r="H480" s="186">
        <v>22</v>
      </c>
      <c r="I480" s="186"/>
      <c r="J480" s="186">
        <v>33</v>
      </c>
      <c r="K480" s="186">
        <v>26</v>
      </c>
      <c r="L480" s="186">
        <v>27</v>
      </c>
      <c r="M480" s="186">
        <v>21</v>
      </c>
      <c r="N480" s="186" t="s">
        <v>427</v>
      </c>
      <c r="O480" s="186">
        <f t="shared" si="226"/>
        <v>100</v>
      </c>
      <c r="P480" s="186">
        <f t="shared" si="227"/>
        <v>107</v>
      </c>
      <c r="Q480" s="186" t="str">
        <f t="shared" si="228"/>
        <v>HL</v>
      </c>
      <c r="R480" s="186" t="str">
        <f t="shared" si="229"/>
        <v>HW</v>
      </c>
      <c r="S480" s="186" t="str">
        <f t="shared" si="230"/>
        <v>HL</v>
      </c>
      <c r="T480" s="186" t="str">
        <f t="shared" si="231"/>
        <v>HW</v>
      </c>
      <c r="U480" s="186" t="str">
        <f t="shared" si="232"/>
        <v>U</v>
      </c>
      <c r="V480" s="186" t="str">
        <f t="shared" si="233"/>
        <v>O</v>
      </c>
      <c r="W480" s="186" t="str">
        <f t="shared" si="234"/>
        <v>U</v>
      </c>
      <c r="X480" s="186" t="str">
        <f t="shared" si="235"/>
        <v>U</v>
      </c>
      <c r="Z480">
        <v>58</v>
      </c>
      <c r="AA480" s="90" t="str">
        <f t="shared" si="236"/>
        <v>WAS/NYK</v>
      </c>
    </row>
    <row r="481" spans="1:27" x14ac:dyDescent="0.3">
      <c r="A481" s="86">
        <v>191229</v>
      </c>
      <c r="B481" s="87">
        <v>0.4375</v>
      </c>
      <c r="C481" s="86" t="s">
        <v>425</v>
      </c>
      <c r="D481" s="86" t="s">
        <v>397</v>
      </c>
      <c r="E481" s="186">
        <v>41</v>
      </c>
      <c r="F481" s="186">
        <v>33</v>
      </c>
      <c r="G481" s="186">
        <v>24</v>
      </c>
      <c r="H481" s="186">
        <v>23</v>
      </c>
      <c r="I481" s="186"/>
      <c r="J481" s="186">
        <v>41</v>
      </c>
      <c r="K481" s="186">
        <v>31</v>
      </c>
      <c r="L481" s="186">
        <v>45</v>
      </c>
      <c r="M481" s="186">
        <v>24</v>
      </c>
      <c r="N481" s="186" t="s">
        <v>427</v>
      </c>
      <c r="O481" s="186">
        <f t="shared" si="226"/>
        <v>121</v>
      </c>
      <c r="P481" s="186">
        <f t="shared" si="227"/>
        <v>141</v>
      </c>
      <c r="Q481" s="186" t="str">
        <f t="shared" si="228"/>
        <v>TT</v>
      </c>
      <c r="R481" s="186" t="str">
        <f t="shared" si="229"/>
        <v>HW</v>
      </c>
      <c r="S481" s="186" t="str">
        <f t="shared" si="230"/>
        <v>HL</v>
      </c>
      <c r="T481" s="186" t="str">
        <f t="shared" si="231"/>
        <v>HL</v>
      </c>
      <c r="U481" s="186" t="str">
        <f t="shared" si="232"/>
        <v>O</v>
      </c>
      <c r="V481" s="186" t="str">
        <f t="shared" si="233"/>
        <v>O</v>
      </c>
      <c r="W481" s="186" t="str">
        <f t="shared" si="234"/>
        <v>O</v>
      </c>
      <c r="X481" s="186" t="str">
        <f t="shared" si="235"/>
        <v>U</v>
      </c>
      <c r="Z481">
        <v>56</v>
      </c>
      <c r="AA481" s="90" t="str">
        <f t="shared" si="236"/>
        <v>GS/DAL</v>
      </c>
    </row>
    <row r="482" spans="1:27" x14ac:dyDescent="0.3">
      <c r="A482" s="86">
        <v>191229</v>
      </c>
      <c r="B482" s="87">
        <v>0.4375</v>
      </c>
      <c r="C482" s="86" t="s">
        <v>423</v>
      </c>
      <c r="D482" s="86" t="s">
        <v>424</v>
      </c>
      <c r="E482" s="186">
        <v>37</v>
      </c>
      <c r="F482" s="186">
        <v>19</v>
      </c>
      <c r="G482" s="186">
        <v>22</v>
      </c>
      <c r="H482" s="186">
        <v>33</v>
      </c>
      <c r="I482" s="186"/>
      <c r="J482" s="186">
        <v>25</v>
      </c>
      <c r="K482" s="186">
        <v>21</v>
      </c>
      <c r="L482" s="186">
        <v>28</v>
      </c>
      <c r="M482" s="186">
        <v>26</v>
      </c>
      <c r="N482" s="186" t="s">
        <v>427</v>
      </c>
      <c r="O482" s="186">
        <f t="shared" si="226"/>
        <v>111</v>
      </c>
      <c r="P482" s="186">
        <f t="shared" si="227"/>
        <v>100</v>
      </c>
      <c r="Q482" s="186" t="str">
        <f t="shared" si="228"/>
        <v>HW</v>
      </c>
      <c r="R482" s="186" t="str">
        <f t="shared" si="229"/>
        <v>HL</v>
      </c>
      <c r="S482" s="186" t="str">
        <f t="shared" si="230"/>
        <v>HL</v>
      </c>
      <c r="T482" s="186" t="str">
        <f t="shared" si="231"/>
        <v>HW</v>
      </c>
      <c r="U482" s="186" t="str">
        <f t="shared" si="232"/>
        <v>O</v>
      </c>
      <c r="V482" s="186" t="str">
        <f t="shared" si="233"/>
        <v>U</v>
      </c>
      <c r="W482" s="186" t="str">
        <f t="shared" si="234"/>
        <v>U</v>
      </c>
      <c r="X482" s="186" t="str">
        <f t="shared" si="235"/>
        <v>O</v>
      </c>
      <c r="Z482">
        <v>55.5</v>
      </c>
      <c r="AA482" s="90" t="str">
        <f t="shared" si="236"/>
        <v>MIL/ORL</v>
      </c>
    </row>
    <row r="483" spans="1:27" x14ac:dyDescent="0.3">
      <c r="A483" s="86">
        <v>191229</v>
      </c>
      <c r="B483" s="87">
        <v>0.4375</v>
      </c>
      <c r="C483" s="86" t="s">
        <v>426</v>
      </c>
      <c r="D483" s="86" t="s">
        <v>422</v>
      </c>
      <c r="E483" s="186">
        <v>30</v>
      </c>
      <c r="F483" s="186">
        <v>29</v>
      </c>
      <c r="G483" s="186">
        <v>42</v>
      </c>
      <c r="H483" s="186">
        <v>35</v>
      </c>
      <c r="I483" s="186"/>
      <c r="J483" s="186">
        <v>28</v>
      </c>
      <c r="K483" s="186">
        <v>27</v>
      </c>
      <c r="L483" s="186">
        <v>25</v>
      </c>
      <c r="M483" s="186">
        <v>29</v>
      </c>
      <c r="N483" s="186" t="s">
        <v>427</v>
      </c>
      <c r="O483" s="186">
        <f t="shared" si="226"/>
        <v>136</v>
      </c>
      <c r="P483" s="186">
        <f t="shared" si="227"/>
        <v>109</v>
      </c>
      <c r="Q483" s="186" t="str">
        <f t="shared" si="228"/>
        <v>HW</v>
      </c>
      <c r="R483" s="186" t="str">
        <f t="shared" si="229"/>
        <v>HW</v>
      </c>
      <c r="S483" s="186" t="str">
        <f t="shared" si="230"/>
        <v>HW</v>
      </c>
      <c r="T483" s="186" t="str">
        <f t="shared" si="231"/>
        <v>HW</v>
      </c>
      <c r="U483" s="186" t="str">
        <f t="shared" si="232"/>
        <v>O</v>
      </c>
      <c r="V483" s="186" t="str">
        <f t="shared" si="233"/>
        <v>U</v>
      </c>
      <c r="W483" s="186" t="str">
        <f t="shared" si="234"/>
        <v>O</v>
      </c>
      <c r="X483" s="186" t="str">
        <f t="shared" si="235"/>
        <v>O</v>
      </c>
      <c r="Z483">
        <v>57</v>
      </c>
      <c r="AA483" s="90" t="str">
        <f t="shared" si="236"/>
        <v>SAS/DET</v>
      </c>
    </row>
    <row r="484" spans="1:27" x14ac:dyDescent="0.3">
      <c r="A484" s="86">
        <v>191229</v>
      </c>
      <c r="B484" s="87">
        <v>0.45833333333333331</v>
      </c>
      <c r="C484" s="86" t="s">
        <v>416</v>
      </c>
      <c r="D484" s="86" t="s">
        <v>404</v>
      </c>
      <c r="E484" s="186">
        <v>30</v>
      </c>
      <c r="F484" s="186">
        <v>19</v>
      </c>
      <c r="G484" s="186">
        <v>28</v>
      </c>
      <c r="H484" s="186">
        <v>33</v>
      </c>
      <c r="I484" s="186"/>
      <c r="J484" s="186">
        <v>31</v>
      </c>
      <c r="K484" s="186">
        <v>28</v>
      </c>
      <c r="L484" s="186">
        <v>22</v>
      </c>
      <c r="M484" s="186">
        <v>31</v>
      </c>
      <c r="N484" s="186" t="s">
        <v>427</v>
      </c>
      <c r="O484" s="186">
        <f t="shared" si="226"/>
        <v>110</v>
      </c>
      <c r="P484" s="186">
        <f t="shared" si="227"/>
        <v>112</v>
      </c>
      <c r="Q484" s="186" t="str">
        <f t="shared" si="228"/>
        <v>HL</v>
      </c>
      <c r="R484" s="186" t="str">
        <f t="shared" si="229"/>
        <v>HL</v>
      </c>
      <c r="S484" s="186" t="str">
        <f t="shared" si="230"/>
        <v>HW</v>
      </c>
      <c r="T484" s="186" t="str">
        <f t="shared" si="231"/>
        <v>HW</v>
      </c>
      <c r="U484" s="186" t="str">
        <f t="shared" si="232"/>
        <v>O</v>
      </c>
      <c r="V484" s="186" t="str">
        <f t="shared" si="233"/>
        <v>U</v>
      </c>
      <c r="W484" s="186" t="str">
        <f t="shared" si="234"/>
        <v>U</v>
      </c>
      <c r="X484" s="186" t="str">
        <f t="shared" si="235"/>
        <v>O</v>
      </c>
      <c r="Z484">
        <v>53.5</v>
      </c>
      <c r="AA484" s="90" t="str">
        <f t="shared" si="236"/>
        <v>SAC/PHO</v>
      </c>
    </row>
    <row r="485" spans="1:27" x14ac:dyDescent="0.3">
      <c r="A485" s="86">
        <v>191229</v>
      </c>
      <c r="B485" s="87">
        <v>0.5</v>
      </c>
      <c r="C485" s="86" t="s">
        <v>417</v>
      </c>
      <c r="D485" s="86" t="s">
        <v>419</v>
      </c>
      <c r="E485" s="186">
        <v>32</v>
      </c>
      <c r="F485" s="186">
        <v>32</v>
      </c>
      <c r="G485" s="186">
        <v>31</v>
      </c>
      <c r="H485" s="186">
        <v>25</v>
      </c>
      <c r="I485" s="186"/>
      <c r="J485" s="186">
        <v>34</v>
      </c>
      <c r="K485" s="186">
        <v>37</v>
      </c>
      <c r="L485" s="186">
        <v>32</v>
      </c>
      <c r="M485" s="186">
        <v>25</v>
      </c>
      <c r="N485" s="186" t="s">
        <v>427</v>
      </c>
      <c r="O485" s="186">
        <f t="shared" si="226"/>
        <v>120</v>
      </c>
      <c r="P485" s="186">
        <f t="shared" si="227"/>
        <v>128</v>
      </c>
      <c r="Q485" s="186" t="str">
        <f t="shared" si="228"/>
        <v>HL</v>
      </c>
      <c r="R485" s="186" t="str">
        <f t="shared" si="229"/>
        <v>HL</v>
      </c>
      <c r="S485" s="186" t="str">
        <f t="shared" si="230"/>
        <v>HL</v>
      </c>
      <c r="T485" s="186" t="str">
        <f t="shared" si="231"/>
        <v>TT</v>
      </c>
      <c r="U485" s="186" t="str">
        <f t="shared" si="232"/>
        <v>O</v>
      </c>
      <c r="V485" s="186" t="str">
        <f t="shared" si="233"/>
        <v>O</v>
      </c>
      <c r="W485" s="186" t="str">
        <f t="shared" si="234"/>
        <v>O</v>
      </c>
      <c r="X485" s="186" t="str">
        <f t="shared" si="235"/>
        <v>U</v>
      </c>
      <c r="Z485">
        <v>57.5</v>
      </c>
      <c r="AA485" s="90" t="str">
        <f t="shared" si="236"/>
        <v>POR/LAL</v>
      </c>
    </row>
    <row r="486" spans="1:27" x14ac:dyDescent="0.3">
      <c r="A486" s="86">
        <v>191229</v>
      </c>
      <c r="B486" s="87">
        <v>0.52083333333333337</v>
      </c>
      <c r="C486" s="86" t="s">
        <v>415</v>
      </c>
      <c r="D486" s="86" t="s">
        <v>405</v>
      </c>
      <c r="E486" s="186">
        <v>32</v>
      </c>
      <c r="F486" s="186">
        <v>31</v>
      </c>
      <c r="G486" s="186">
        <v>29</v>
      </c>
      <c r="H486" s="186">
        <v>15</v>
      </c>
      <c r="I486" s="186"/>
      <c r="J486" s="186">
        <v>22</v>
      </c>
      <c r="K486" s="186">
        <v>39</v>
      </c>
      <c r="L486" s="186">
        <v>32</v>
      </c>
      <c r="M486" s="186">
        <v>27</v>
      </c>
      <c r="N486" s="186" t="s">
        <v>427</v>
      </c>
      <c r="O486" s="186">
        <f t="shared" si="226"/>
        <v>107</v>
      </c>
      <c r="P486" s="186">
        <f t="shared" si="227"/>
        <v>120</v>
      </c>
      <c r="Q486" s="186" t="str">
        <f t="shared" si="228"/>
        <v>HW</v>
      </c>
      <c r="R486" s="186" t="str">
        <f t="shared" si="229"/>
        <v>HL</v>
      </c>
      <c r="S486" s="186" t="str">
        <f t="shared" si="230"/>
        <v>HL</v>
      </c>
      <c r="T486" s="186" t="str">
        <f t="shared" si="231"/>
        <v>HL</v>
      </c>
      <c r="U486" s="186" t="str">
        <f t="shared" si="232"/>
        <v>U</v>
      </c>
      <c r="V486" s="186" t="str">
        <f t="shared" si="233"/>
        <v>O</v>
      </c>
      <c r="W486" s="186" t="str">
        <f t="shared" si="234"/>
        <v>O</v>
      </c>
      <c r="X486" s="186" t="str">
        <f t="shared" si="235"/>
        <v>U</v>
      </c>
      <c r="Z486">
        <v>55</v>
      </c>
      <c r="AA486" s="90" t="str">
        <f t="shared" si="236"/>
        <v>LAC/UTA</v>
      </c>
    </row>
    <row r="487" spans="1:27" x14ac:dyDescent="0.3">
      <c r="A487" s="86">
        <v>191230</v>
      </c>
      <c r="B487" s="89">
        <v>0.33333333333333331</v>
      </c>
      <c r="C487" s="88" t="s">
        <v>413</v>
      </c>
      <c r="D487" s="88" t="s">
        <v>418</v>
      </c>
      <c r="E487" s="186">
        <v>20</v>
      </c>
      <c r="F487" s="186">
        <v>27</v>
      </c>
      <c r="G487" s="186">
        <v>33</v>
      </c>
      <c r="H487" s="186">
        <v>17</v>
      </c>
      <c r="I487" s="186"/>
      <c r="J487" s="186">
        <v>22</v>
      </c>
      <c r="K487" s="186">
        <v>25</v>
      </c>
      <c r="L487" s="186">
        <v>29</v>
      </c>
      <c r="M487" s="186">
        <v>22</v>
      </c>
      <c r="N487" s="186" t="s">
        <v>427</v>
      </c>
      <c r="O487" s="186">
        <f t="shared" si="226"/>
        <v>97</v>
      </c>
      <c r="P487" s="186">
        <f t="shared" si="227"/>
        <v>98</v>
      </c>
      <c r="Q487" s="186" t="str">
        <f t="shared" si="228"/>
        <v>HL</v>
      </c>
      <c r="R487" s="186" t="str">
        <f t="shared" si="229"/>
        <v>HW</v>
      </c>
      <c r="S487" s="186" t="str">
        <f t="shared" si="230"/>
        <v>HW</v>
      </c>
      <c r="T487" s="186" t="str">
        <f t="shared" si="231"/>
        <v>HL</v>
      </c>
      <c r="U487" s="186" t="str">
        <f t="shared" si="232"/>
        <v>U</v>
      </c>
      <c r="V487" s="186" t="str">
        <f t="shared" si="233"/>
        <v>U</v>
      </c>
      <c r="W487" s="186" t="str">
        <f t="shared" si="234"/>
        <v>O</v>
      </c>
      <c r="X487" s="186" t="str">
        <f t="shared" si="235"/>
        <v>U</v>
      </c>
      <c r="Z487">
        <v>54</v>
      </c>
      <c r="AA487" s="90" t="str">
        <f t="shared" si="236"/>
        <v>TOR/OKC</v>
      </c>
    </row>
    <row r="488" spans="1:27" x14ac:dyDescent="0.3">
      <c r="A488" s="88">
        <v>191230</v>
      </c>
      <c r="B488" s="89">
        <v>0.41666666666666669</v>
      </c>
      <c r="C488" s="88" t="s">
        <v>398</v>
      </c>
      <c r="D488" s="88" t="s">
        <v>403</v>
      </c>
      <c r="E488" s="186">
        <v>36</v>
      </c>
      <c r="F488" s="186">
        <v>28</v>
      </c>
      <c r="G488" s="186">
        <v>22</v>
      </c>
      <c r="H488" s="186">
        <v>41</v>
      </c>
      <c r="I488" s="186"/>
      <c r="J488" s="186">
        <v>37</v>
      </c>
      <c r="K488" s="186">
        <v>27</v>
      </c>
      <c r="L488" s="186">
        <v>29</v>
      </c>
      <c r="M488" s="186">
        <v>19</v>
      </c>
      <c r="N488" s="186" t="s">
        <v>427</v>
      </c>
      <c r="O488" s="186">
        <f t="shared" si="226"/>
        <v>127</v>
      </c>
      <c r="P488" s="186">
        <f t="shared" si="227"/>
        <v>112</v>
      </c>
      <c r="Q488" s="186" t="str">
        <f t="shared" si="228"/>
        <v>HL</v>
      </c>
      <c r="R488" s="186" t="str">
        <f t="shared" si="229"/>
        <v>HW</v>
      </c>
      <c r="S488" s="186" t="str">
        <f t="shared" si="230"/>
        <v>HL</v>
      </c>
      <c r="T488" s="186" t="str">
        <f t="shared" si="231"/>
        <v>HW</v>
      </c>
      <c r="U488" s="186" t="str">
        <f t="shared" si="232"/>
        <v>O</v>
      </c>
      <c r="V488" s="186" t="str">
        <f t="shared" si="233"/>
        <v>U</v>
      </c>
      <c r="W488" s="186" t="str">
        <f t="shared" si="234"/>
        <v>U</v>
      </c>
      <c r="X488" s="186" t="str">
        <f t="shared" si="235"/>
        <v>O</v>
      </c>
      <c r="Z488">
        <v>57.5</v>
      </c>
      <c r="AA488" s="90" t="str">
        <f t="shared" si="236"/>
        <v>NO/HOU</v>
      </c>
    </row>
    <row r="489" spans="1:27" x14ac:dyDescent="0.3">
      <c r="A489" s="88">
        <v>191230</v>
      </c>
      <c r="B489" s="89">
        <v>0.41666666666666669</v>
      </c>
      <c r="C489" s="88" t="s">
        <v>408</v>
      </c>
      <c r="D489" s="88" t="s">
        <v>416</v>
      </c>
      <c r="E489" s="186">
        <v>31</v>
      </c>
      <c r="F489" s="186">
        <v>31</v>
      </c>
      <c r="G489" s="186">
        <v>26</v>
      </c>
      <c r="H489" s="186">
        <v>32</v>
      </c>
      <c r="I489" s="186"/>
      <c r="J489" s="186">
        <v>32</v>
      </c>
      <c r="K489" s="186">
        <v>25</v>
      </c>
      <c r="L489" s="186">
        <v>24</v>
      </c>
      <c r="M489" s="186">
        <v>34</v>
      </c>
      <c r="N489" s="186" t="s">
        <v>427</v>
      </c>
      <c r="O489" s="186">
        <f t="shared" si="226"/>
        <v>120</v>
      </c>
      <c r="P489" s="186">
        <f t="shared" si="227"/>
        <v>115</v>
      </c>
      <c r="Q489" s="186" t="str">
        <f t="shared" si="228"/>
        <v>HL</v>
      </c>
      <c r="R489" s="186" t="str">
        <f t="shared" si="229"/>
        <v>HW</v>
      </c>
      <c r="S489" s="186" t="str">
        <f t="shared" si="230"/>
        <v>HW</v>
      </c>
      <c r="T489" s="186" t="str">
        <f t="shared" si="231"/>
        <v>HL</v>
      </c>
      <c r="U489" s="186" t="str">
        <f t="shared" si="232"/>
        <v>O</v>
      </c>
      <c r="V489" s="186" t="str">
        <f t="shared" si="233"/>
        <v>O</v>
      </c>
      <c r="W489" s="186" t="str">
        <f t="shared" si="234"/>
        <v>U</v>
      </c>
      <c r="X489" s="186" t="str">
        <f t="shared" si="235"/>
        <v>O</v>
      </c>
      <c r="Z489">
        <v>54</v>
      </c>
      <c r="AA489" s="90" t="str">
        <f t="shared" si="236"/>
        <v>DEN/SAC</v>
      </c>
    </row>
    <row r="490" spans="1:27" x14ac:dyDescent="0.3">
      <c r="A490" s="88">
        <v>191230</v>
      </c>
      <c r="B490" s="89">
        <v>0.41666666666666669</v>
      </c>
      <c r="C490" s="88" t="s">
        <v>406</v>
      </c>
      <c r="D490" s="88" t="s">
        <v>409</v>
      </c>
      <c r="E490" s="186">
        <v>31</v>
      </c>
      <c r="F490" s="186">
        <v>25</v>
      </c>
      <c r="G490" s="186">
        <v>30</v>
      </c>
      <c r="H490" s="186">
        <v>31</v>
      </c>
      <c r="I490" s="186"/>
      <c r="J490" s="186">
        <v>20</v>
      </c>
      <c r="K490" s="186">
        <v>26</v>
      </c>
      <c r="L490" s="186">
        <v>29</v>
      </c>
      <c r="M490" s="186">
        <v>29</v>
      </c>
      <c r="N490" s="186" t="s">
        <v>427</v>
      </c>
      <c r="O490" s="186">
        <f t="shared" si="226"/>
        <v>117</v>
      </c>
      <c r="P490" s="186">
        <f t="shared" si="227"/>
        <v>104</v>
      </c>
      <c r="Q490" s="186" t="str">
        <f t="shared" si="228"/>
        <v>HW</v>
      </c>
      <c r="R490" s="186" t="str">
        <f t="shared" si="229"/>
        <v>HL</v>
      </c>
      <c r="S490" s="186" t="str">
        <f t="shared" si="230"/>
        <v>HW</v>
      </c>
      <c r="T490" s="186" t="str">
        <f t="shared" si="231"/>
        <v>HW</v>
      </c>
      <c r="U490" s="186" t="str">
        <f t="shared" si="232"/>
        <v>U</v>
      </c>
      <c r="V490" s="186" t="str">
        <f t="shared" si="233"/>
        <v>U</v>
      </c>
      <c r="W490" s="186" t="str">
        <f t="shared" si="234"/>
        <v>O</v>
      </c>
      <c r="X490" s="186" t="str">
        <f t="shared" si="235"/>
        <v>O</v>
      </c>
      <c r="Z490">
        <v>56.5</v>
      </c>
      <c r="AA490" s="90" t="str">
        <f t="shared" si="236"/>
        <v>MEM/CHA</v>
      </c>
    </row>
    <row r="491" spans="1:27" x14ac:dyDescent="0.3">
      <c r="A491" s="88">
        <v>191230</v>
      </c>
      <c r="B491" s="89">
        <v>0.47916666666666669</v>
      </c>
      <c r="C491" s="88" t="s">
        <v>419</v>
      </c>
      <c r="D491" s="88" t="s">
        <v>397</v>
      </c>
      <c r="E491" s="186">
        <v>25</v>
      </c>
      <c r="F491" s="186">
        <v>29</v>
      </c>
      <c r="G491" s="186">
        <v>30</v>
      </c>
      <c r="H491" s="186">
        <v>24</v>
      </c>
      <c r="I491" s="186"/>
      <c r="J491" s="186">
        <v>19</v>
      </c>
      <c r="K491" s="186">
        <v>24</v>
      </c>
      <c r="L491" s="186">
        <v>26</v>
      </c>
      <c r="M491" s="186">
        <v>26</v>
      </c>
      <c r="N491" s="186" t="s">
        <v>427</v>
      </c>
      <c r="O491" s="186">
        <f t="shared" si="226"/>
        <v>108</v>
      </c>
      <c r="P491" s="186">
        <f t="shared" si="227"/>
        <v>95</v>
      </c>
      <c r="Q491" s="186" t="str">
        <f t="shared" si="228"/>
        <v>HW</v>
      </c>
      <c r="R491" s="186" t="str">
        <f t="shared" si="229"/>
        <v>HW</v>
      </c>
      <c r="S491" s="186" t="str">
        <f t="shared" si="230"/>
        <v>HW</v>
      </c>
      <c r="T491" s="186" t="str">
        <f t="shared" si="231"/>
        <v>HL</v>
      </c>
      <c r="U491" s="186" t="str">
        <f t="shared" si="232"/>
        <v>U</v>
      </c>
      <c r="V491" s="186" t="str">
        <f t="shared" si="233"/>
        <v>U</v>
      </c>
      <c r="W491" s="186" t="str">
        <f t="shared" si="234"/>
        <v>U</v>
      </c>
      <c r="X491" s="186" t="str">
        <f t="shared" si="235"/>
        <v>U</v>
      </c>
      <c r="Z491">
        <v>58</v>
      </c>
      <c r="AA491" s="90" t="str">
        <f t="shared" si="236"/>
        <v>LAL/DAL</v>
      </c>
    </row>
    <row r="492" spans="1:27" x14ac:dyDescent="0.3">
      <c r="A492" s="88">
        <v>191231</v>
      </c>
      <c r="B492" s="91">
        <v>0.375</v>
      </c>
      <c r="C492" s="90" t="s">
        <v>424</v>
      </c>
      <c r="D492" s="90" t="s">
        <v>410</v>
      </c>
      <c r="E492" s="186">
        <v>21</v>
      </c>
      <c r="F492" s="186">
        <v>36</v>
      </c>
      <c r="G492" s="186">
        <v>15</v>
      </c>
      <c r="H492" s="186">
        <v>21</v>
      </c>
      <c r="I492" s="186"/>
      <c r="J492" s="186">
        <v>25</v>
      </c>
      <c r="K492" s="186">
        <v>22</v>
      </c>
      <c r="L492" s="186">
        <v>27</v>
      </c>
      <c r="M492" s="186">
        <v>27</v>
      </c>
      <c r="N492" s="186" t="s">
        <v>427</v>
      </c>
      <c r="O492" s="186">
        <f t="shared" si="226"/>
        <v>93</v>
      </c>
      <c r="P492" s="186">
        <f t="shared" si="227"/>
        <v>101</v>
      </c>
      <c r="Q492" s="186" t="str">
        <f t="shared" si="228"/>
        <v>HL</v>
      </c>
      <c r="R492" s="186" t="str">
        <f t="shared" si="229"/>
        <v>HW</v>
      </c>
      <c r="S492" s="186" t="str">
        <f t="shared" si="230"/>
        <v>HL</v>
      </c>
      <c r="T492" s="186" t="str">
        <f t="shared" si="231"/>
        <v>HL</v>
      </c>
      <c r="U492" s="186" t="str">
        <f t="shared" si="232"/>
        <v>U</v>
      </c>
      <c r="V492" s="186" t="str">
        <f t="shared" si="233"/>
        <v>O</v>
      </c>
      <c r="W492" s="186" t="str">
        <f t="shared" si="234"/>
        <v>U</v>
      </c>
      <c r="X492" s="186" t="str">
        <f t="shared" si="235"/>
        <v>U</v>
      </c>
      <c r="Z492">
        <v>54</v>
      </c>
      <c r="AA492" s="90" t="str">
        <f t="shared" si="236"/>
        <v>ORL/ATL</v>
      </c>
    </row>
    <row r="493" spans="1:27" x14ac:dyDescent="0.3">
      <c r="A493" s="90">
        <v>191231</v>
      </c>
      <c r="B493" s="91">
        <v>0.375</v>
      </c>
      <c r="C493" s="90" t="s">
        <v>414</v>
      </c>
      <c r="D493" s="90" t="s">
        <v>411</v>
      </c>
      <c r="E493" s="186">
        <v>29</v>
      </c>
      <c r="F493" s="186">
        <v>42</v>
      </c>
      <c r="G493" s="186">
        <v>19</v>
      </c>
      <c r="H493" s="186">
        <v>33</v>
      </c>
      <c r="I493" s="186"/>
      <c r="J493" s="186">
        <v>39</v>
      </c>
      <c r="K493" s="186">
        <v>24</v>
      </c>
      <c r="L493" s="186">
        <v>18</v>
      </c>
      <c r="M493" s="186">
        <v>24</v>
      </c>
      <c r="N493" s="186" t="s">
        <v>427</v>
      </c>
      <c r="O493" s="186">
        <f t="shared" si="226"/>
        <v>123</v>
      </c>
      <c r="P493" s="186">
        <f t="shared" si="227"/>
        <v>105</v>
      </c>
      <c r="Q493" s="186" t="str">
        <f t="shared" si="228"/>
        <v>HL</v>
      </c>
      <c r="R493" s="186" t="str">
        <f t="shared" si="229"/>
        <v>HW</v>
      </c>
      <c r="S493" s="186" t="str">
        <f t="shared" si="230"/>
        <v>HW</v>
      </c>
      <c r="T493" s="186" t="str">
        <f t="shared" si="231"/>
        <v>HW</v>
      </c>
      <c r="U493" s="186" t="str">
        <f t="shared" si="232"/>
        <v>O</v>
      </c>
      <c r="V493" s="186" t="str">
        <f t="shared" si="233"/>
        <v>O</v>
      </c>
      <c r="W493" s="186" t="str">
        <f t="shared" si="234"/>
        <v>U</v>
      </c>
      <c r="X493" s="186" t="str">
        <f t="shared" si="235"/>
        <v>U</v>
      </c>
      <c r="Z493">
        <v>57.5</v>
      </c>
      <c r="AA493" s="90" t="str">
        <f t="shared" si="236"/>
        <v>WAS/MIA</v>
      </c>
    </row>
    <row r="494" spans="1:27" x14ac:dyDescent="0.3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86">
        <v>20</v>
      </c>
      <c r="F494" s="186">
        <v>32</v>
      </c>
      <c r="G494" s="186">
        <v>25</v>
      </c>
      <c r="H494" s="186">
        <v>25</v>
      </c>
      <c r="I494" s="186"/>
      <c r="J494" s="186">
        <v>31</v>
      </c>
      <c r="K494" s="186">
        <v>24</v>
      </c>
      <c r="L494" s="186">
        <v>40</v>
      </c>
      <c r="M494" s="186">
        <v>28</v>
      </c>
      <c r="N494" s="186" t="s">
        <v>427</v>
      </c>
      <c r="O494" s="186">
        <f t="shared" si="226"/>
        <v>102</v>
      </c>
      <c r="P494" s="186">
        <f t="shared" si="227"/>
        <v>123</v>
      </c>
      <c r="Q494" s="186" t="str">
        <f t="shared" si="228"/>
        <v>HL</v>
      </c>
      <c r="R494" s="186" t="str">
        <f t="shared" si="229"/>
        <v>HW</v>
      </c>
      <c r="S494" s="186" t="str">
        <f t="shared" si="230"/>
        <v>HL</v>
      </c>
      <c r="T494" s="186" t="str">
        <f t="shared" si="231"/>
        <v>HL</v>
      </c>
      <c r="U494" s="186" t="str">
        <f t="shared" si="232"/>
        <v>U</v>
      </c>
      <c r="V494" s="186" t="str">
        <f t="shared" si="233"/>
        <v>O</v>
      </c>
      <c r="W494" s="186" t="str">
        <f t="shared" si="234"/>
        <v>O</v>
      </c>
      <c r="X494" s="186" t="str">
        <f t="shared" si="235"/>
        <v>U</v>
      </c>
      <c r="Z494">
        <v>55</v>
      </c>
      <c r="AA494" s="90" t="str">
        <f t="shared" si="236"/>
        <v>CHI/MIL</v>
      </c>
    </row>
    <row r="495" spans="1:27" x14ac:dyDescent="0.3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86">
        <v>27</v>
      </c>
      <c r="F495" s="186">
        <v>22</v>
      </c>
      <c r="G495" s="186">
        <v>25</v>
      </c>
      <c r="H495" s="186">
        <v>29</v>
      </c>
      <c r="I495" s="186">
        <v>19</v>
      </c>
      <c r="J495" s="186">
        <v>29</v>
      </c>
      <c r="K495" s="186">
        <v>21</v>
      </c>
      <c r="L495" s="186">
        <v>30</v>
      </c>
      <c r="M495" s="186">
        <v>23</v>
      </c>
      <c r="N495" s="186">
        <v>12</v>
      </c>
      <c r="O495" s="186">
        <f t="shared" ref="O495:O517" si="237">SUM(E495:I495)</f>
        <v>122</v>
      </c>
      <c r="P495" s="186">
        <f t="shared" ref="P495:P517" si="238">SUM(J495:N495)</f>
        <v>115</v>
      </c>
      <c r="Q495" s="186" t="str">
        <f t="shared" ref="Q495:Q517" si="239">IF(E495=J495,"TT",IF(E495&gt;J495,"HW","HL"))</f>
        <v>HL</v>
      </c>
      <c r="R495" s="186" t="str">
        <f t="shared" ref="R495:R517" si="240">IF(F495=K495,"TT",IF(F495&gt;K495,"HW","HL"))</f>
        <v>HW</v>
      </c>
      <c r="S495" s="186" t="str">
        <f t="shared" ref="S495:S517" si="241">IF(G495=L495,"TT",IF(G495&gt;L495,"HW","HL"))</f>
        <v>HL</v>
      </c>
      <c r="T495" s="186" t="str">
        <f t="shared" ref="T495:T517" si="242">IF(H495=M495,"TT",IF(H495&gt;M495,"HW","HL"))</f>
        <v>HW</v>
      </c>
      <c r="U495" s="186" t="str">
        <f t="shared" ref="U495:U517" si="243">IF(SUM(E495,J495)=$Z495,"T",IF(SUM(E495,J495)&gt;$Z495,"O","U"))</f>
        <v>O</v>
      </c>
      <c r="V495" s="186" t="str">
        <f t="shared" ref="V495:V517" si="244">IF(SUM(F495,K495)=$Z495,"T",IF(SUM(F495,K495)&gt;$Z495,"O","U"))</f>
        <v>U</v>
      </c>
      <c r="W495" s="186" t="str">
        <f t="shared" ref="W495:W517" si="245">IF(SUM(G495,L495)=$Z495,"T",IF(SUM(G495,L495)&gt;$Z495,"O","U"))</f>
        <v>O</v>
      </c>
      <c r="X495" s="186" t="str">
        <f t="shared" ref="X495:X517" si="246">IF(SUM(H495,M495)=$Z495,"T",IF(SUM(H495,M495)&gt;$Z495,"O","U"))</f>
        <v>U</v>
      </c>
      <c r="Z495">
        <v>53.5</v>
      </c>
      <c r="AA495" s="90" t="str">
        <f t="shared" si="236"/>
        <v>MIN/BKN</v>
      </c>
    </row>
    <row r="496" spans="1:27" x14ac:dyDescent="0.3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86">
        <v>19</v>
      </c>
      <c r="F496" s="186">
        <v>20</v>
      </c>
      <c r="G496" s="186">
        <v>29</v>
      </c>
      <c r="H496" s="186">
        <v>36</v>
      </c>
      <c r="I496" s="186"/>
      <c r="J496" s="186">
        <v>21</v>
      </c>
      <c r="K496" s="186">
        <v>19</v>
      </c>
      <c r="L496" s="186">
        <v>18</v>
      </c>
      <c r="M496" s="186">
        <v>23</v>
      </c>
      <c r="N496" s="186" t="s">
        <v>427</v>
      </c>
      <c r="O496" s="186">
        <f t="shared" si="237"/>
        <v>104</v>
      </c>
      <c r="P496" s="186">
        <f t="shared" si="238"/>
        <v>81</v>
      </c>
      <c r="Q496" s="186" t="str">
        <f t="shared" si="239"/>
        <v>HL</v>
      </c>
      <c r="R496" s="186" t="str">
        <f t="shared" si="240"/>
        <v>HW</v>
      </c>
      <c r="S496" s="186" t="str">
        <f t="shared" si="241"/>
        <v>HW</v>
      </c>
      <c r="T496" s="186" t="str">
        <f t="shared" si="242"/>
        <v>HW</v>
      </c>
      <c r="U496" s="186" t="str">
        <f t="shared" si="243"/>
        <v>U</v>
      </c>
      <c r="V496" s="186" t="str">
        <f t="shared" si="244"/>
        <v>U</v>
      </c>
      <c r="W496" s="186" t="str">
        <f t="shared" si="245"/>
        <v>U</v>
      </c>
      <c r="X496" s="186" t="str">
        <f t="shared" si="246"/>
        <v>O</v>
      </c>
      <c r="Z496">
        <v>56</v>
      </c>
      <c r="AA496" s="90" t="str">
        <f t="shared" si="236"/>
        <v>UTA/DET</v>
      </c>
    </row>
    <row r="497" spans="1:27" x14ac:dyDescent="0.3">
      <c r="A497" s="90">
        <v>191231</v>
      </c>
      <c r="B497" s="91">
        <v>0.5</v>
      </c>
      <c r="C497" s="90" t="s">
        <v>417</v>
      </c>
      <c r="D497" s="90" t="s">
        <v>404</v>
      </c>
      <c r="E497" s="186">
        <v>38</v>
      </c>
      <c r="F497" s="186">
        <v>26</v>
      </c>
      <c r="G497" s="186">
        <v>25</v>
      </c>
      <c r="H497" s="186">
        <v>27</v>
      </c>
      <c r="I497" s="186"/>
      <c r="J497" s="186">
        <v>19</v>
      </c>
      <c r="K497" s="186">
        <v>36</v>
      </c>
      <c r="L497" s="186">
        <v>28</v>
      </c>
      <c r="M497" s="186">
        <v>39</v>
      </c>
      <c r="N497" s="186" t="s">
        <v>427</v>
      </c>
      <c r="O497" s="186">
        <f t="shared" si="237"/>
        <v>116</v>
      </c>
      <c r="P497" s="186">
        <f t="shared" si="238"/>
        <v>122</v>
      </c>
      <c r="Q497" s="186" t="str">
        <f t="shared" si="239"/>
        <v>HW</v>
      </c>
      <c r="R497" s="186" t="str">
        <f t="shared" si="240"/>
        <v>HL</v>
      </c>
      <c r="S497" s="186" t="str">
        <f t="shared" si="241"/>
        <v>HL</v>
      </c>
      <c r="T497" s="186" t="str">
        <f t="shared" si="242"/>
        <v>HL</v>
      </c>
      <c r="U497" s="186" t="str">
        <f t="shared" si="243"/>
        <v>O</v>
      </c>
      <c r="V497" s="186" t="str">
        <f t="shared" si="244"/>
        <v>O</v>
      </c>
      <c r="W497" s="186" t="str">
        <f t="shared" si="245"/>
        <v>U</v>
      </c>
      <c r="X497" s="186" t="str">
        <f t="shared" si="246"/>
        <v>O</v>
      </c>
      <c r="Z497">
        <v>56.5</v>
      </c>
      <c r="AA497" s="90" t="str">
        <f t="shared" si="236"/>
        <v>POR/PHO</v>
      </c>
    </row>
    <row r="498" spans="1:27" x14ac:dyDescent="0.3">
      <c r="A498">
        <v>200101</v>
      </c>
      <c r="B498" s="93">
        <v>0.20833333333333334</v>
      </c>
      <c r="C498" s="92" t="s">
        <v>400</v>
      </c>
      <c r="D498" s="92" t="s">
        <v>401</v>
      </c>
      <c r="E498" s="186">
        <v>29</v>
      </c>
      <c r="F498" s="186">
        <v>38</v>
      </c>
      <c r="G498" s="186">
        <v>29</v>
      </c>
      <c r="H498" s="186">
        <v>19</v>
      </c>
      <c r="I498" s="186"/>
      <c r="J498" s="186">
        <v>27</v>
      </c>
      <c r="K498" s="186">
        <v>16</v>
      </c>
      <c r="L498" s="186">
        <v>23</v>
      </c>
      <c r="M498" s="186">
        <v>31</v>
      </c>
      <c r="N498" s="186" t="s">
        <v>427</v>
      </c>
      <c r="O498" s="186">
        <f t="shared" si="237"/>
        <v>115</v>
      </c>
      <c r="P498" s="186">
        <f t="shared" si="238"/>
        <v>97</v>
      </c>
      <c r="Q498" s="186" t="str">
        <f t="shared" si="239"/>
        <v>HW</v>
      </c>
      <c r="R498" s="186" t="str">
        <f t="shared" si="240"/>
        <v>HW</v>
      </c>
      <c r="S498" s="186" t="str">
        <f t="shared" si="241"/>
        <v>HW</v>
      </c>
      <c r="T498" s="186" t="str">
        <f t="shared" si="242"/>
        <v>HL</v>
      </c>
      <c r="U498" s="186" t="str">
        <f t="shared" si="243"/>
        <v>O</v>
      </c>
      <c r="V498" s="186" t="str">
        <f t="shared" si="244"/>
        <v>O</v>
      </c>
      <c r="W498" s="186" t="str">
        <f t="shared" si="245"/>
        <v>U</v>
      </c>
      <c r="X498" s="186" t="str">
        <f t="shared" si="246"/>
        <v>U</v>
      </c>
      <c r="Z498">
        <v>53</v>
      </c>
      <c r="AA498" s="98" t="str">
        <f t="shared" si="236"/>
        <v>IND/PHI</v>
      </c>
    </row>
    <row r="499" spans="1:27" x14ac:dyDescent="0.3">
      <c r="A499" s="92">
        <v>200101</v>
      </c>
      <c r="B499" s="93">
        <v>0.20833333333333334</v>
      </c>
      <c r="C499" s="92" t="s">
        <v>409</v>
      </c>
      <c r="D499" s="92" t="s">
        <v>421</v>
      </c>
      <c r="E499" s="186">
        <v>18</v>
      </c>
      <c r="F499" s="186">
        <v>25</v>
      </c>
      <c r="G499" s="186">
        <v>30</v>
      </c>
      <c r="H499" s="186">
        <v>19</v>
      </c>
      <c r="I499" s="186"/>
      <c r="J499" s="186">
        <v>24</v>
      </c>
      <c r="K499" s="186">
        <v>26</v>
      </c>
      <c r="L499" s="186">
        <v>30</v>
      </c>
      <c r="M499" s="186">
        <v>29</v>
      </c>
      <c r="N499" s="186" t="s">
        <v>427</v>
      </c>
      <c r="O499" s="186">
        <f t="shared" si="237"/>
        <v>92</v>
      </c>
      <c r="P499" s="186">
        <f t="shared" si="238"/>
        <v>109</v>
      </c>
      <c r="Q499" s="186" t="str">
        <f t="shared" si="239"/>
        <v>HL</v>
      </c>
      <c r="R499" s="186" t="str">
        <f t="shared" si="240"/>
        <v>HL</v>
      </c>
      <c r="S499" s="186" t="str">
        <f t="shared" si="241"/>
        <v>TT</v>
      </c>
      <c r="T499" s="186" t="str">
        <f t="shared" si="242"/>
        <v>HL</v>
      </c>
      <c r="U499" s="186" t="str">
        <f t="shared" si="243"/>
        <v>U</v>
      </c>
      <c r="V499" s="186" t="str">
        <f t="shared" si="244"/>
        <v>U</v>
      </c>
      <c r="W499" s="186" t="str">
        <f t="shared" si="245"/>
        <v>O</v>
      </c>
      <c r="X499" s="186" t="str">
        <f t="shared" si="246"/>
        <v>U</v>
      </c>
      <c r="Z499">
        <v>52.5</v>
      </c>
      <c r="AA499" s="98" t="str">
        <f t="shared" si="236"/>
        <v>CHA/BOS</v>
      </c>
    </row>
    <row r="500" spans="1:27" x14ac:dyDescent="0.3">
      <c r="A500" s="92">
        <v>200101</v>
      </c>
      <c r="B500" s="93">
        <v>0.29166666666666669</v>
      </c>
      <c r="C500" s="92" t="s">
        <v>416</v>
      </c>
      <c r="D500" s="92" t="s">
        <v>415</v>
      </c>
      <c r="E500" s="186">
        <v>23</v>
      </c>
      <c r="F500" s="186">
        <v>17</v>
      </c>
      <c r="G500" s="186">
        <v>33</v>
      </c>
      <c r="H500" s="186">
        <v>14</v>
      </c>
      <c r="I500" s="186"/>
      <c r="J500" s="186">
        <v>28</v>
      </c>
      <c r="K500" s="186">
        <v>29</v>
      </c>
      <c r="L500" s="186">
        <v>31</v>
      </c>
      <c r="M500" s="186">
        <v>17</v>
      </c>
      <c r="N500" s="186" t="s">
        <v>427</v>
      </c>
      <c r="O500" s="186">
        <f t="shared" si="237"/>
        <v>87</v>
      </c>
      <c r="P500" s="186">
        <f t="shared" si="238"/>
        <v>105</v>
      </c>
      <c r="Q500" s="186" t="str">
        <f t="shared" si="239"/>
        <v>HL</v>
      </c>
      <c r="R500" s="186" t="str">
        <f t="shared" si="240"/>
        <v>HL</v>
      </c>
      <c r="S500" s="186" t="str">
        <f t="shared" si="241"/>
        <v>HW</v>
      </c>
      <c r="T500" s="186" t="str">
        <f t="shared" si="242"/>
        <v>HL</v>
      </c>
      <c r="U500" s="186" t="str">
        <f t="shared" si="243"/>
        <v>U</v>
      </c>
      <c r="V500" s="186" t="str">
        <f t="shared" si="244"/>
        <v>U</v>
      </c>
      <c r="W500" s="186" t="str">
        <f t="shared" si="245"/>
        <v>O</v>
      </c>
      <c r="X500" s="186" t="str">
        <f t="shared" si="246"/>
        <v>U</v>
      </c>
      <c r="Z500">
        <v>57</v>
      </c>
      <c r="AA500" s="98" t="str">
        <f t="shared" si="236"/>
        <v>SAC/LAC</v>
      </c>
    </row>
    <row r="501" spans="1:27" x14ac:dyDescent="0.3">
      <c r="A501" s="92">
        <v>200101</v>
      </c>
      <c r="B501" s="93">
        <v>0.375</v>
      </c>
      <c r="C501" s="92" t="s">
        <v>403</v>
      </c>
      <c r="D501" s="92" t="s">
        <v>408</v>
      </c>
      <c r="E501" s="186">
        <v>38</v>
      </c>
      <c r="F501" s="186">
        <v>31</v>
      </c>
      <c r="G501" s="186">
        <v>23</v>
      </c>
      <c r="H501" s="186">
        <v>38</v>
      </c>
      <c r="I501" s="186"/>
      <c r="J501" s="186">
        <v>26</v>
      </c>
      <c r="K501" s="186">
        <v>26</v>
      </c>
      <c r="L501" s="186">
        <v>37</v>
      </c>
      <c r="M501" s="186">
        <v>15</v>
      </c>
      <c r="N501" s="186" t="s">
        <v>427</v>
      </c>
      <c r="O501" s="186">
        <f t="shared" si="237"/>
        <v>130</v>
      </c>
      <c r="P501" s="186">
        <f t="shared" si="238"/>
        <v>104</v>
      </c>
      <c r="Q501" s="186" t="str">
        <f t="shared" si="239"/>
        <v>HW</v>
      </c>
      <c r="R501" s="186" t="str">
        <f t="shared" si="240"/>
        <v>HW</v>
      </c>
      <c r="S501" s="186" t="str">
        <f t="shared" si="241"/>
        <v>HL</v>
      </c>
      <c r="T501" s="186" t="str">
        <f t="shared" si="242"/>
        <v>HW</v>
      </c>
      <c r="U501" s="186" t="str">
        <f t="shared" si="243"/>
        <v>O</v>
      </c>
      <c r="V501" s="186" t="str">
        <f t="shared" si="244"/>
        <v>U</v>
      </c>
      <c r="W501" s="186" t="str">
        <f t="shared" si="245"/>
        <v>O</v>
      </c>
      <c r="X501" s="186" t="str">
        <f t="shared" si="246"/>
        <v>U</v>
      </c>
      <c r="Z501">
        <v>58</v>
      </c>
      <c r="AA501" s="98" t="str">
        <f t="shared" si="236"/>
        <v>HOU/DEN</v>
      </c>
    </row>
    <row r="502" spans="1:27" x14ac:dyDescent="0.3">
      <c r="A502" s="92">
        <v>200101</v>
      </c>
      <c r="B502" s="93">
        <v>0.375</v>
      </c>
      <c r="C502" s="92" t="s">
        <v>426</v>
      </c>
      <c r="D502" s="92" t="s">
        <v>425</v>
      </c>
      <c r="E502" s="186">
        <v>25</v>
      </c>
      <c r="F502" s="186">
        <v>28</v>
      </c>
      <c r="G502" s="186">
        <v>24</v>
      </c>
      <c r="H502" s="186">
        <v>23</v>
      </c>
      <c r="I502" s="186">
        <v>17</v>
      </c>
      <c r="J502" s="186">
        <v>32</v>
      </c>
      <c r="K502" s="186">
        <v>23</v>
      </c>
      <c r="L502" s="186">
        <v>20</v>
      </c>
      <c r="M502" s="186">
        <v>25</v>
      </c>
      <c r="N502" s="186">
        <v>13</v>
      </c>
      <c r="O502" s="186">
        <f t="shared" si="237"/>
        <v>117</v>
      </c>
      <c r="P502" s="186">
        <f t="shared" si="238"/>
        <v>113</v>
      </c>
      <c r="Q502" s="186" t="str">
        <f t="shared" si="239"/>
        <v>HL</v>
      </c>
      <c r="R502" s="186" t="str">
        <f t="shared" si="240"/>
        <v>HW</v>
      </c>
      <c r="S502" s="186" t="str">
        <f t="shared" si="241"/>
        <v>HW</v>
      </c>
      <c r="T502" s="186" t="str">
        <f t="shared" si="242"/>
        <v>HL</v>
      </c>
      <c r="U502" s="186" t="str">
        <f t="shared" si="243"/>
        <v>O</v>
      </c>
      <c r="V502" s="186" t="str">
        <f t="shared" si="244"/>
        <v>U</v>
      </c>
      <c r="W502" s="186" t="str">
        <f t="shared" si="245"/>
        <v>U</v>
      </c>
      <c r="X502" s="186" t="str">
        <f t="shared" si="246"/>
        <v>U</v>
      </c>
      <c r="Z502">
        <v>56</v>
      </c>
      <c r="AA502" s="98" t="str">
        <f t="shared" si="236"/>
        <v>SAS/GS</v>
      </c>
    </row>
    <row r="503" spans="1:27" x14ac:dyDescent="0.3">
      <c r="A503" s="92">
        <v>200101</v>
      </c>
      <c r="B503" s="93">
        <v>0.375</v>
      </c>
      <c r="C503" s="92" t="s">
        <v>413</v>
      </c>
      <c r="D503" s="92" t="s">
        <v>402</v>
      </c>
      <c r="E503" s="186">
        <v>27</v>
      </c>
      <c r="F503" s="186">
        <v>32</v>
      </c>
      <c r="G503" s="186">
        <v>27</v>
      </c>
      <c r="H503" s="186">
        <v>31</v>
      </c>
      <c r="I503" s="186"/>
      <c r="J503" s="186">
        <v>25</v>
      </c>
      <c r="K503" s="186">
        <v>18</v>
      </c>
      <c r="L503" s="186">
        <v>26</v>
      </c>
      <c r="M503" s="186">
        <v>28</v>
      </c>
      <c r="N503" s="186" t="s">
        <v>427</v>
      </c>
      <c r="O503" s="186">
        <f t="shared" si="237"/>
        <v>117</v>
      </c>
      <c r="P503" s="186">
        <f t="shared" si="238"/>
        <v>97</v>
      </c>
      <c r="Q503" s="186" t="str">
        <f t="shared" si="239"/>
        <v>HW</v>
      </c>
      <c r="R503" s="186" t="str">
        <f t="shared" si="240"/>
        <v>HW</v>
      </c>
      <c r="S503" s="186" t="str">
        <f t="shared" si="241"/>
        <v>HW</v>
      </c>
      <c r="T503" s="186" t="str">
        <f t="shared" si="242"/>
        <v>HW</v>
      </c>
      <c r="U503" s="186" t="str">
        <f t="shared" si="243"/>
        <v>U</v>
      </c>
      <c r="V503" s="186" t="str">
        <f t="shared" si="244"/>
        <v>U</v>
      </c>
      <c r="W503" s="186" t="str">
        <f t="shared" si="245"/>
        <v>U</v>
      </c>
      <c r="X503" s="186" t="str">
        <f t="shared" si="246"/>
        <v>O</v>
      </c>
      <c r="Z503">
        <v>53.5</v>
      </c>
      <c r="AA503" s="98" t="str">
        <f t="shared" si="236"/>
        <v>TOR/CLE</v>
      </c>
    </row>
    <row r="504" spans="1:27" x14ac:dyDescent="0.3">
      <c r="A504" s="92">
        <v>200101</v>
      </c>
      <c r="B504" s="93">
        <v>0.41666666666666669</v>
      </c>
      <c r="C504" s="92" t="s">
        <v>418</v>
      </c>
      <c r="D504" s="92" t="s">
        <v>397</v>
      </c>
      <c r="E504" s="186">
        <v>20</v>
      </c>
      <c r="F504" s="186">
        <v>30</v>
      </c>
      <c r="G504" s="186">
        <v>27</v>
      </c>
      <c r="H504" s="186">
        <v>29</v>
      </c>
      <c r="I504" s="186"/>
      <c r="J504" s="186">
        <v>32</v>
      </c>
      <c r="K504" s="186">
        <v>19</v>
      </c>
      <c r="L504" s="186">
        <v>27</v>
      </c>
      <c r="M504" s="186">
        <v>23</v>
      </c>
      <c r="N504" s="186" t="s">
        <v>427</v>
      </c>
      <c r="O504" s="186">
        <f t="shared" si="237"/>
        <v>106</v>
      </c>
      <c r="P504" s="186">
        <f t="shared" si="238"/>
        <v>101</v>
      </c>
      <c r="Q504" s="186" t="str">
        <f t="shared" si="239"/>
        <v>HL</v>
      </c>
      <c r="R504" s="186" t="str">
        <f t="shared" si="240"/>
        <v>HW</v>
      </c>
      <c r="S504" s="186" t="str">
        <f t="shared" si="241"/>
        <v>TT</v>
      </c>
      <c r="T504" s="186" t="str">
        <f t="shared" si="242"/>
        <v>HW</v>
      </c>
      <c r="U504" s="186" t="str">
        <f t="shared" si="243"/>
        <v>U</v>
      </c>
      <c r="V504" s="186" t="str">
        <f t="shared" si="244"/>
        <v>U</v>
      </c>
      <c r="W504" s="186" t="str">
        <f t="shared" si="245"/>
        <v>U</v>
      </c>
      <c r="X504" s="186" t="str">
        <f t="shared" si="246"/>
        <v>U</v>
      </c>
      <c r="Z504">
        <v>56.5</v>
      </c>
      <c r="AA504" s="98" t="str">
        <f t="shared" si="236"/>
        <v>OKC/DAL</v>
      </c>
    </row>
    <row r="505" spans="1:27" x14ac:dyDescent="0.3">
      <c r="A505" s="92">
        <v>200102</v>
      </c>
      <c r="B505" s="95">
        <v>0.33333333333333331</v>
      </c>
      <c r="C505" s="94" t="s">
        <v>414</v>
      </c>
      <c r="D505" s="94" t="s">
        <v>424</v>
      </c>
      <c r="E505" s="186">
        <v>29</v>
      </c>
      <c r="F505" s="186">
        <v>29</v>
      </c>
      <c r="G505" s="186">
        <v>25</v>
      </c>
      <c r="H505" s="186">
        <v>18</v>
      </c>
      <c r="I505" s="186"/>
      <c r="J505" s="186">
        <v>31</v>
      </c>
      <c r="K505" s="186">
        <v>31</v>
      </c>
      <c r="L505" s="186">
        <v>32</v>
      </c>
      <c r="M505" s="186">
        <v>28</v>
      </c>
      <c r="N505" s="186" t="s">
        <v>427</v>
      </c>
      <c r="O505" s="186">
        <f t="shared" si="237"/>
        <v>101</v>
      </c>
      <c r="P505" s="186">
        <f t="shared" si="238"/>
        <v>122</v>
      </c>
      <c r="Q505" s="186" t="str">
        <f t="shared" si="239"/>
        <v>HL</v>
      </c>
      <c r="R505" s="186" t="str">
        <f t="shared" si="240"/>
        <v>HL</v>
      </c>
      <c r="S505" s="186" t="str">
        <f t="shared" si="241"/>
        <v>HL</v>
      </c>
      <c r="T505" s="186" t="str">
        <f t="shared" si="242"/>
        <v>HL</v>
      </c>
      <c r="U505" s="186" t="str">
        <f t="shared" si="243"/>
        <v>O</v>
      </c>
      <c r="V505" s="186" t="str">
        <f t="shared" si="244"/>
        <v>O</v>
      </c>
      <c r="W505" s="186" t="str">
        <f t="shared" si="245"/>
        <v>T</v>
      </c>
      <c r="X505" s="186" t="str">
        <f t="shared" si="246"/>
        <v>U</v>
      </c>
      <c r="Z505">
        <v>57</v>
      </c>
      <c r="AA505" s="98" t="str">
        <f t="shared" si="236"/>
        <v>WAS/ORL</v>
      </c>
    </row>
    <row r="506" spans="1:27" x14ac:dyDescent="0.3">
      <c r="A506" s="94">
        <v>200102</v>
      </c>
      <c r="B506" s="95">
        <v>0.39583333333333331</v>
      </c>
      <c r="C506" s="94" t="s">
        <v>399</v>
      </c>
      <c r="D506" s="94" t="s">
        <v>417</v>
      </c>
      <c r="E506" s="186">
        <v>25</v>
      </c>
      <c r="F506" s="186">
        <v>26</v>
      </c>
      <c r="G506" s="186">
        <v>32</v>
      </c>
      <c r="H506" s="186">
        <v>34</v>
      </c>
      <c r="I506" s="186"/>
      <c r="J506" s="186">
        <v>27</v>
      </c>
      <c r="K506" s="186">
        <v>21</v>
      </c>
      <c r="L506" s="186">
        <v>29</v>
      </c>
      <c r="M506" s="186">
        <v>16</v>
      </c>
      <c r="N506" s="186" t="s">
        <v>427</v>
      </c>
      <c r="O506" s="186">
        <f t="shared" si="237"/>
        <v>117</v>
      </c>
      <c r="P506" s="186">
        <f t="shared" si="238"/>
        <v>93</v>
      </c>
      <c r="Q506" s="186" t="str">
        <f t="shared" si="239"/>
        <v>HL</v>
      </c>
      <c r="R506" s="186" t="str">
        <f t="shared" si="240"/>
        <v>HW</v>
      </c>
      <c r="S506" s="186" t="str">
        <f t="shared" si="241"/>
        <v>HW</v>
      </c>
      <c r="T506" s="186" t="str">
        <f t="shared" si="242"/>
        <v>HW</v>
      </c>
      <c r="U506" s="186" t="str">
        <f t="shared" si="243"/>
        <v>U</v>
      </c>
      <c r="V506" s="186" t="str">
        <f t="shared" si="244"/>
        <v>U</v>
      </c>
      <c r="W506" s="186" t="str">
        <f t="shared" si="245"/>
        <v>O</v>
      </c>
      <c r="X506" s="186" t="str">
        <f t="shared" si="246"/>
        <v>U</v>
      </c>
      <c r="Z506">
        <v>57.5</v>
      </c>
      <c r="AA506" s="98" t="str">
        <f t="shared" si="236"/>
        <v>NYK/POR</v>
      </c>
    </row>
    <row r="507" spans="1:27" x14ac:dyDescent="0.3">
      <c r="A507" s="94">
        <v>200102</v>
      </c>
      <c r="B507" s="95">
        <v>0.41666666666666669</v>
      </c>
      <c r="C507" s="94" t="s">
        <v>423</v>
      </c>
      <c r="D507" s="94" t="s">
        <v>420</v>
      </c>
      <c r="E507" s="186">
        <v>19</v>
      </c>
      <c r="F507" s="186">
        <v>33</v>
      </c>
      <c r="G507" s="186">
        <v>25</v>
      </c>
      <c r="H507" s="186">
        <v>29</v>
      </c>
      <c r="I507" s="186"/>
      <c r="J507" s="186">
        <v>23</v>
      </c>
      <c r="K507" s="186">
        <v>28</v>
      </c>
      <c r="L507" s="186">
        <v>20</v>
      </c>
      <c r="M507" s="186">
        <v>33</v>
      </c>
      <c r="N507" s="186" t="s">
        <v>427</v>
      </c>
      <c r="O507" s="186">
        <f t="shared" si="237"/>
        <v>106</v>
      </c>
      <c r="P507" s="186">
        <f t="shared" si="238"/>
        <v>104</v>
      </c>
      <c r="Q507" s="186" t="str">
        <f t="shared" si="239"/>
        <v>HL</v>
      </c>
      <c r="R507" s="186" t="str">
        <f t="shared" si="240"/>
        <v>HW</v>
      </c>
      <c r="S507" s="186" t="str">
        <f t="shared" si="241"/>
        <v>HW</v>
      </c>
      <c r="T507" s="186" t="str">
        <f t="shared" si="242"/>
        <v>HL</v>
      </c>
      <c r="U507" s="186" t="str">
        <f t="shared" si="243"/>
        <v>U</v>
      </c>
      <c r="V507" s="186" t="str">
        <f t="shared" si="244"/>
        <v>O</v>
      </c>
      <c r="W507" s="186" t="str">
        <f t="shared" si="245"/>
        <v>U</v>
      </c>
      <c r="X507" s="186" t="str">
        <f t="shared" si="246"/>
        <v>O</v>
      </c>
      <c r="Z507">
        <v>57</v>
      </c>
      <c r="AA507" s="98" t="str">
        <f t="shared" si="236"/>
        <v>MIL/MIN</v>
      </c>
    </row>
    <row r="508" spans="1:27" x14ac:dyDescent="0.3">
      <c r="A508" s="94">
        <v>200102</v>
      </c>
      <c r="B508" s="95">
        <v>0.52083333333333337</v>
      </c>
      <c r="C508" s="94" t="s">
        <v>419</v>
      </c>
      <c r="D508" s="94" t="s">
        <v>404</v>
      </c>
      <c r="E508" s="186">
        <v>43</v>
      </c>
      <c r="F508" s="186">
        <v>31</v>
      </c>
      <c r="G508" s="186">
        <v>27</v>
      </c>
      <c r="H508" s="186">
        <v>16</v>
      </c>
      <c r="I508" s="186"/>
      <c r="J508" s="186">
        <v>17</v>
      </c>
      <c r="K508" s="186">
        <v>24</v>
      </c>
      <c r="L508" s="186">
        <v>38</v>
      </c>
      <c r="M508" s="186">
        <v>28</v>
      </c>
      <c r="N508" s="186" t="s">
        <v>427</v>
      </c>
      <c r="O508" s="186">
        <f t="shared" si="237"/>
        <v>117</v>
      </c>
      <c r="P508" s="186">
        <f t="shared" si="238"/>
        <v>107</v>
      </c>
      <c r="Q508" s="186" t="str">
        <f t="shared" si="239"/>
        <v>HW</v>
      </c>
      <c r="R508" s="186" t="str">
        <f t="shared" si="240"/>
        <v>HW</v>
      </c>
      <c r="S508" s="186" t="str">
        <f t="shared" si="241"/>
        <v>HL</v>
      </c>
      <c r="T508" s="186" t="str">
        <f t="shared" si="242"/>
        <v>HL</v>
      </c>
      <c r="U508" s="186" t="str">
        <f t="shared" si="243"/>
        <v>O</v>
      </c>
      <c r="V508" s="186" t="str">
        <f t="shared" si="244"/>
        <v>U</v>
      </c>
      <c r="W508" s="186" t="str">
        <f t="shared" si="245"/>
        <v>O</v>
      </c>
      <c r="X508" s="186" t="str">
        <f t="shared" si="246"/>
        <v>U</v>
      </c>
      <c r="Z508">
        <v>56</v>
      </c>
      <c r="AA508" s="98" t="str">
        <f t="shared" si="236"/>
        <v>LAL/PHO</v>
      </c>
    </row>
    <row r="509" spans="1:27" x14ac:dyDescent="0.3">
      <c r="A509" s="94">
        <v>200103</v>
      </c>
      <c r="B509" s="97">
        <v>0.375</v>
      </c>
      <c r="C509" s="96" t="s">
        <v>402</v>
      </c>
      <c r="D509" s="96" t="s">
        <v>409</v>
      </c>
      <c r="E509" s="186">
        <v>29</v>
      </c>
      <c r="F509" s="186">
        <v>30</v>
      </c>
      <c r="G509" s="186">
        <v>26</v>
      </c>
      <c r="H509" s="186">
        <v>21</v>
      </c>
      <c r="I509" s="186"/>
      <c r="J509" s="186">
        <v>31</v>
      </c>
      <c r="K509" s="186">
        <v>21</v>
      </c>
      <c r="L509" s="186">
        <v>30</v>
      </c>
      <c r="M509" s="186">
        <v>27</v>
      </c>
      <c r="N509" s="186" t="s">
        <v>427</v>
      </c>
      <c r="O509" s="186">
        <f t="shared" si="237"/>
        <v>106</v>
      </c>
      <c r="P509" s="186">
        <f t="shared" si="238"/>
        <v>109</v>
      </c>
      <c r="Q509" s="186" t="str">
        <f t="shared" si="239"/>
        <v>HL</v>
      </c>
      <c r="R509" s="186" t="str">
        <f t="shared" si="240"/>
        <v>HW</v>
      </c>
      <c r="S509" s="186" t="str">
        <f t="shared" si="241"/>
        <v>HL</v>
      </c>
      <c r="T509" s="186" t="str">
        <f t="shared" si="242"/>
        <v>HL</v>
      </c>
      <c r="U509" s="186" t="str">
        <f t="shared" si="243"/>
        <v>O</v>
      </c>
      <c r="V509" s="186" t="str">
        <f t="shared" si="244"/>
        <v>U</v>
      </c>
      <c r="W509" s="186" t="str">
        <f t="shared" si="245"/>
        <v>O</v>
      </c>
      <c r="X509" s="186" t="str">
        <f t="shared" si="246"/>
        <v>U</v>
      </c>
      <c r="Z509">
        <v>54.5</v>
      </c>
      <c r="AA509" s="98" t="str">
        <f t="shared" si="236"/>
        <v>CLE/CHA</v>
      </c>
    </row>
    <row r="510" spans="1:27" x14ac:dyDescent="0.3">
      <c r="A510" s="96">
        <v>200103</v>
      </c>
      <c r="B510" s="97">
        <v>0.375</v>
      </c>
      <c r="C510" s="96" t="s">
        <v>400</v>
      </c>
      <c r="D510" s="96" t="s">
        <v>408</v>
      </c>
      <c r="E510" s="186">
        <v>37</v>
      </c>
      <c r="F510" s="186">
        <v>27</v>
      </c>
      <c r="G510" s="186">
        <v>24</v>
      </c>
      <c r="H510" s="186">
        <v>28</v>
      </c>
      <c r="I510" s="186"/>
      <c r="J510" s="186">
        <v>27</v>
      </c>
      <c r="K510" s="186">
        <v>35</v>
      </c>
      <c r="L510" s="186">
        <v>30</v>
      </c>
      <c r="M510" s="186">
        <v>32</v>
      </c>
      <c r="N510" s="186" t="s">
        <v>427</v>
      </c>
      <c r="O510" s="186">
        <f t="shared" si="237"/>
        <v>116</v>
      </c>
      <c r="P510" s="186">
        <f t="shared" si="238"/>
        <v>124</v>
      </c>
      <c r="Q510" s="186" t="str">
        <f t="shared" si="239"/>
        <v>HW</v>
      </c>
      <c r="R510" s="186" t="str">
        <f t="shared" si="240"/>
        <v>HL</v>
      </c>
      <c r="S510" s="186" t="str">
        <f t="shared" si="241"/>
        <v>HL</v>
      </c>
      <c r="T510" s="186" t="str">
        <f t="shared" si="242"/>
        <v>HL</v>
      </c>
      <c r="U510" s="186" t="str">
        <f t="shared" si="243"/>
        <v>O</v>
      </c>
      <c r="V510" s="186" t="str">
        <f t="shared" si="244"/>
        <v>O</v>
      </c>
      <c r="W510" s="186" t="str">
        <f t="shared" si="245"/>
        <v>O</v>
      </c>
      <c r="X510" s="186" t="str">
        <f t="shared" si="246"/>
        <v>O</v>
      </c>
      <c r="Z510">
        <v>53.5</v>
      </c>
      <c r="AA510" s="98" t="str">
        <f t="shared" si="236"/>
        <v>IND/DEN</v>
      </c>
    </row>
    <row r="511" spans="1:27" x14ac:dyDescent="0.3">
      <c r="A511" s="96">
        <v>200103</v>
      </c>
      <c r="B511" s="97">
        <v>0.39583333333333331</v>
      </c>
      <c r="C511" s="96" t="s">
        <v>411</v>
      </c>
      <c r="D511" s="96" t="s">
        <v>413</v>
      </c>
      <c r="E511" s="186">
        <v>18</v>
      </c>
      <c r="F511" s="186">
        <v>24</v>
      </c>
      <c r="G511" s="186">
        <v>21</v>
      </c>
      <c r="H511" s="186">
        <v>21</v>
      </c>
      <c r="I511" s="186"/>
      <c r="J511" s="186">
        <v>20</v>
      </c>
      <c r="K511" s="186">
        <v>19</v>
      </c>
      <c r="L511" s="186">
        <v>21</v>
      </c>
      <c r="M511" s="186">
        <v>16</v>
      </c>
      <c r="N511" s="186" t="s">
        <v>427</v>
      </c>
      <c r="O511" s="186">
        <f t="shared" si="237"/>
        <v>84</v>
      </c>
      <c r="P511" s="186">
        <f t="shared" si="238"/>
        <v>76</v>
      </c>
      <c r="Q511" s="186" t="str">
        <f t="shared" si="239"/>
        <v>HL</v>
      </c>
      <c r="R511" s="186" t="str">
        <f t="shared" si="240"/>
        <v>HW</v>
      </c>
      <c r="S511" s="186" t="str">
        <f t="shared" si="241"/>
        <v>TT</v>
      </c>
      <c r="T511" s="186" t="str">
        <f t="shared" si="242"/>
        <v>HW</v>
      </c>
      <c r="U511" s="186" t="str">
        <f t="shared" si="243"/>
        <v>U</v>
      </c>
      <c r="V511" s="186" t="str">
        <f t="shared" si="244"/>
        <v>U</v>
      </c>
      <c r="W511" s="186" t="str">
        <f t="shared" si="245"/>
        <v>U</v>
      </c>
      <c r="X511" s="186" t="str">
        <f t="shared" si="246"/>
        <v>U</v>
      </c>
      <c r="Z511">
        <v>55.5</v>
      </c>
      <c r="AA511" s="98" t="str">
        <f t="shared" si="236"/>
        <v>MIA/TOR</v>
      </c>
    </row>
    <row r="512" spans="1:27" x14ac:dyDescent="0.3">
      <c r="A512" s="96">
        <v>200103</v>
      </c>
      <c r="B512" s="97">
        <v>0.41666666666666669</v>
      </c>
      <c r="C512" s="96" t="s">
        <v>412</v>
      </c>
      <c r="D512" s="96" t="s">
        <v>405</v>
      </c>
      <c r="E512" s="186">
        <v>22</v>
      </c>
      <c r="F512" s="186">
        <v>29</v>
      </c>
      <c r="G512" s="186">
        <v>19</v>
      </c>
      <c r="H512" s="186">
        <v>28</v>
      </c>
      <c r="I512" s="186"/>
      <c r="J512" s="186">
        <v>25</v>
      </c>
      <c r="K512" s="186">
        <v>22</v>
      </c>
      <c r="L512" s="186">
        <v>29</v>
      </c>
      <c r="M512" s="186">
        <v>26</v>
      </c>
      <c r="N512" s="186" t="s">
        <v>427</v>
      </c>
      <c r="O512" s="186">
        <f t="shared" si="237"/>
        <v>98</v>
      </c>
      <c r="P512" s="186">
        <f t="shared" si="238"/>
        <v>102</v>
      </c>
      <c r="Q512" s="186" t="str">
        <f t="shared" si="239"/>
        <v>HL</v>
      </c>
      <c r="R512" s="186" t="str">
        <f t="shared" si="240"/>
        <v>HW</v>
      </c>
      <c r="S512" s="186" t="str">
        <f t="shared" si="241"/>
        <v>HL</v>
      </c>
      <c r="T512" s="186" t="str">
        <f t="shared" si="242"/>
        <v>HW</v>
      </c>
      <c r="U512" s="186" t="str">
        <f t="shared" si="243"/>
        <v>U</v>
      </c>
      <c r="V512" s="186" t="str">
        <f t="shared" si="244"/>
        <v>U</v>
      </c>
      <c r="W512" s="186" t="str">
        <f t="shared" si="245"/>
        <v>U</v>
      </c>
      <c r="X512" s="186" t="str">
        <f t="shared" si="246"/>
        <v>O</v>
      </c>
      <c r="Z512">
        <v>51.5</v>
      </c>
      <c r="AA512" s="98" t="str">
        <f t="shared" si="236"/>
        <v>CHI/UTA</v>
      </c>
    </row>
    <row r="513" spans="1:27" x14ac:dyDescent="0.3">
      <c r="A513" s="96">
        <v>200103</v>
      </c>
      <c r="B513" s="97">
        <v>0.41666666666666669</v>
      </c>
      <c r="C513" s="96" t="s">
        <v>420</v>
      </c>
      <c r="D513" s="96" t="s">
        <v>425</v>
      </c>
      <c r="E513" s="186">
        <v>34</v>
      </c>
      <c r="F513" s="186">
        <v>24</v>
      </c>
      <c r="G513" s="186">
        <v>23</v>
      </c>
      <c r="H513" s="186">
        <v>18</v>
      </c>
      <c r="I513" s="186"/>
      <c r="J513" s="186">
        <v>19</v>
      </c>
      <c r="K513" s="186">
        <v>22</v>
      </c>
      <c r="L513" s="186">
        <v>26</v>
      </c>
      <c r="M513" s="186">
        <v>17</v>
      </c>
      <c r="N513" s="186" t="s">
        <v>427</v>
      </c>
      <c r="O513" s="186">
        <f t="shared" si="237"/>
        <v>99</v>
      </c>
      <c r="P513" s="186">
        <f t="shared" si="238"/>
        <v>84</v>
      </c>
      <c r="Q513" s="186" t="str">
        <f t="shared" si="239"/>
        <v>HW</v>
      </c>
      <c r="R513" s="186" t="str">
        <f t="shared" si="240"/>
        <v>HW</v>
      </c>
      <c r="S513" s="186" t="str">
        <f t="shared" si="241"/>
        <v>HL</v>
      </c>
      <c r="T513" s="186" t="str">
        <f t="shared" si="242"/>
        <v>HW</v>
      </c>
      <c r="U513" s="186" t="str">
        <f t="shared" si="243"/>
        <v>U</v>
      </c>
      <c r="V513" s="186" t="str">
        <f t="shared" si="244"/>
        <v>U</v>
      </c>
      <c r="W513" s="186" t="str">
        <f t="shared" si="245"/>
        <v>U</v>
      </c>
      <c r="X513" s="186" t="str">
        <f t="shared" si="246"/>
        <v>U</v>
      </c>
      <c r="Z513">
        <v>54.5</v>
      </c>
      <c r="AA513" s="98" t="str">
        <f t="shared" si="236"/>
        <v>MIN/GS</v>
      </c>
    </row>
    <row r="514" spans="1:27" x14ac:dyDescent="0.3">
      <c r="A514" s="96">
        <v>200103</v>
      </c>
      <c r="B514" s="97">
        <v>0.4375</v>
      </c>
      <c r="C514" s="96" t="s">
        <v>397</v>
      </c>
      <c r="D514" s="96" t="s">
        <v>407</v>
      </c>
      <c r="E514" s="186">
        <v>31</v>
      </c>
      <c r="F514" s="186">
        <v>29</v>
      </c>
      <c r="G514" s="186">
        <v>33</v>
      </c>
      <c r="H514" s="186">
        <v>30</v>
      </c>
      <c r="I514" s="186"/>
      <c r="J514" s="186">
        <v>30</v>
      </c>
      <c r="K514" s="186">
        <v>35</v>
      </c>
      <c r="L514" s="186">
        <v>28</v>
      </c>
      <c r="M514" s="186">
        <v>18</v>
      </c>
      <c r="N514" s="186" t="s">
        <v>427</v>
      </c>
      <c r="O514" s="186">
        <f t="shared" si="237"/>
        <v>123</v>
      </c>
      <c r="P514" s="186">
        <f t="shared" si="238"/>
        <v>111</v>
      </c>
      <c r="Q514" s="186" t="str">
        <f t="shared" si="239"/>
        <v>HW</v>
      </c>
      <c r="R514" s="186" t="str">
        <f t="shared" si="240"/>
        <v>HL</v>
      </c>
      <c r="S514" s="186" t="str">
        <f t="shared" si="241"/>
        <v>HW</v>
      </c>
      <c r="T514" s="186" t="str">
        <f t="shared" si="242"/>
        <v>HW</v>
      </c>
      <c r="U514" s="186" t="str">
        <f t="shared" si="243"/>
        <v>O</v>
      </c>
      <c r="V514" s="186" t="str">
        <f t="shared" si="244"/>
        <v>O</v>
      </c>
      <c r="W514" s="186" t="str">
        <f t="shared" si="245"/>
        <v>O</v>
      </c>
      <c r="X514" s="186" t="str">
        <f t="shared" si="246"/>
        <v>U</v>
      </c>
      <c r="Z514">
        <v>54.5</v>
      </c>
      <c r="AA514" s="98" t="str">
        <f t="shared" si="236"/>
        <v>DAL/BKN</v>
      </c>
    </row>
    <row r="515" spans="1:27" x14ac:dyDescent="0.3">
      <c r="A515" s="96">
        <v>200103</v>
      </c>
      <c r="B515" s="97">
        <v>0.4375</v>
      </c>
      <c r="C515" s="96" t="s">
        <v>426</v>
      </c>
      <c r="D515" s="96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7"/>
        <v>103</v>
      </c>
      <c r="P515" s="186">
        <f t="shared" si="238"/>
        <v>109</v>
      </c>
      <c r="Q515" s="186" t="str">
        <f t="shared" si="239"/>
        <v>TT</v>
      </c>
      <c r="R515" s="186" t="str">
        <f t="shared" si="240"/>
        <v>HW</v>
      </c>
      <c r="S515" s="186" t="str">
        <f t="shared" si="241"/>
        <v>HL</v>
      </c>
      <c r="T515" s="186" t="str">
        <f t="shared" si="242"/>
        <v>HL</v>
      </c>
      <c r="U515" s="186" t="str">
        <f t="shared" si="243"/>
        <v>U</v>
      </c>
      <c r="V515" s="186" t="str">
        <f t="shared" si="244"/>
        <v>U</v>
      </c>
      <c r="W515" s="186" t="str">
        <f t="shared" si="245"/>
        <v>U</v>
      </c>
      <c r="X515" s="186" t="str">
        <f t="shared" si="246"/>
        <v>O</v>
      </c>
      <c r="Z515">
        <v>56</v>
      </c>
      <c r="AA515" s="98" t="str">
        <f t="shared" si="236"/>
        <v>SAS/OKC</v>
      </c>
    </row>
    <row r="516" spans="1:27" x14ac:dyDescent="0.3">
      <c r="A516" s="96">
        <v>200103</v>
      </c>
      <c r="B516" s="97">
        <v>0.5</v>
      </c>
      <c r="C516" s="96" t="s">
        <v>416</v>
      </c>
      <c r="D516" s="96" t="s">
        <v>406</v>
      </c>
      <c r="E516" s="186">
        <v>26</v>
      </c>
      <c r="F516" s="186">
        <v>37</v>
      </c>
      <c r="G516" s="186">
        <v>27</v>
      </c>
      <c r="H516" s="186">
        <v>38</v>
      </c>
      <c r="I516" s="186"/>
      <c r="J516" s="186">
        <v>42</v>
      </c>
      <c r="K516" s="186">
        <v>18</v>
      </c>
      <c r="L516" s="186">
        <v>37</v>
      </c>
      <c r="M516" s="186">
        <v>26</v>
      </c>
      <c r="N516" s="186" t="s">
        <v>427</v>
      </c>
      <c r="O516" s="186">
        <f t="shared" si="237"/>
        <v>128</v>
      </c>
      <c r="P516" s="186">
        <f t="shared" si="238"/>
        <v>123</v>
      </c>
      <c r="Q516" s="186" t="str">
        <f t="shared" si="239"/>
        <v>HL</v>
      </c>
      <c r="R516" s="186" t="str">
        <f t="shared" si="240"/>
        <v>HW</v>
      </c>
      <c r="S516" s="186" t="str">
        <f t="shared" si="241"/>
        <v>HL</v>
      </c>
      <c r="T516" s="186" t="str">
        <f t="shared" si="242"/>
        <v>HW</v>
      </c>
      <c r="U516" s="186" t="str">
        <f t="shared" si="243"/>
        <v>O</v>
      </c>
      <c r="V516" s="186" t="str">
        <f t="shared" si="244"/>
        <v>T</v>
      </c>
      <c r="W516" s="186" t="str">
        <f t="shared" si="245"/>
        <v>O</v>
      </c>
      <c r="X516" s="186" t="str">
        <f t="shared" si="246"/>
        <v>O</v>
      </c>
      <c r="Z516">
        <v>55</v>
      </c>
      <c r="AA516" s="98" t="str">
        <f t="shared" si="236"/>
        <v>SAC/MEM</v>
      </c>
    </row>
    <row r="517" spans="1:27" x14ac:dyDescent="0.3">
      <c r="A517" s="96">
        <v>200103</v>
      </c>
      <c r="B517" s="97">
        <v>0.52083333333333337</v>
      </c>
      <c r="C517" s="96" t="s">
        <v>415</v>
      </c>
      <c r="D517" s="96" t="s">
        <v>422</v>
      </c>
      <c r="E517" s="186">
        <v>30</v>
      </c>
      <c r="F517" s="186">
        <v>39</v>
      </c>
      <c r="G517" s="186">
        <v>37</v>
      </c>
      <c r="H517" s="186">
        <v>20</v>
      </c>
      <c r="I517" s="186"/>
      <c r="J517" s="186">
        <v>33</v>
      </c>
      <c r="K517" s="186">
        <v>30</v>
      </c>
      <c r="L517" s="186">
        <v>16</v>
      </c>
      <c r="M517" s="186">
        <v>33</v>
      </c>
      <c r="N517" s="186" t="s">
        <v>427</v>
      </c>
      <c r="O517" s="186">
        <f t="shared" si="237"/>
        <v>126</v>
      </c>
      <c r="P517" s="186">
        <f t="shared" si="238"/>
        <v>112</v>
      </c>
      <c r="Q517" s="186" t="str">
        <f t="shared" si="239"/>
        <v>HL</v>
      </c>
      <c r="R517" s="186" t="str">
        <f t="shared" si="240"/>
        <v>HW</v>
      </c>
      <c r="S517" s="186" t="str">
        <f t="shared" si="241"/>
        <v>HW</v>
      </c>
      <c r="T517" s="186" t="str">
        <f t="shared" si="242"/>
        <v>HL</v>
      </c>
      <c r="U517" s="186" t="str">
        <f t="shared" si="243"/>
        <v>O</v>
      </c>
      <c r="V517" s="186" t="str">
        <f t="shared" si="244"/>
        <v>O</v>
      </c>
      <c r="W517" s="186" t="str">
        <f t="shared" si="245"/>
        <v>U</v>
      </c>
      <c r="X517" s="186" t="str">
        <f t="shared" si="246"/>
        <v>U</v>
      </c>
      <c r="Z517">
        <v>58.5</v>
      </c>
      <c r="AA517" s="98" t="str">
        <f t="shared" si="236"/>
        <v>LAC/DET</v>
      </c>
    </row>
    <row r="518" spans="1:27" x14ac:dyDescent="0.3">
      <c r="A518" s="96">
        <v>200104</v>
      </c>
      <c r="B518" s="99">
        <v>0.375</v>
      </c>
      <c r="C518" s="98" t="s">
        <v>421</v>
      </c>
      <c r="D518" s="98" t="s">
        <v>410</v>
      </c>
      <c r="E518" s="187">
        <v>19</v>
      </c>
      <c r="F518" s="187">
        <v>34</v>
      </c>
      <c r="G518" s="187">
        <v>29</v>
      </c>
      <c r="H518" s="187">
        <v>27</v>
      </c>
      <c r="I518" s="187"/>
      <c r="J518" s="187">
        <v>32</v>
      </c>
      <c r="K518" s="187">
        <v>23</v>
      </c>
      <c r="L518" s="187">
        <v>25</v>
      </c>
      <c r="M518" s="187">
        <v>26</v>
      </c>
      <c r="N518" s="187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>
        <v>58</v>
      </c>
      <c r="AA518" s="98" t="str">
        <f t="shared" si="236"/>
        <v>BOS/ATL</v>
      </c>
    </row>
    <row r="519" spans="1:27" x14ac:dyDescent="0.3">
      <c r="A519" s="98">
        <v>200104</v>
      </c>
      <c r="B519" s="99">
        <v>0.375</v>
      </c>
      <c r="C519" s="98" t="s">
        <v>424</v>
      </c>
      <c r="D519" s="98" t="s">
        <v>411</v>
      </c>
      <c r="E519" s="190">
        <v>27</v>
      </c>
      <c r="F519" s="190">
        <v>29</v>
      </c>
      <c r="G519" s="190">
        <v>28</v>
      </c>
      <c r="H519" s="190">
        <v>21</v>
      </c>
      <c r="I519" s="190"/>
      <c r="J519" s="190">
        <v>22</v>
      </c>
      <c r="K519" s="190">
        <v>22</v>
      </c>
      <c r="L519" s="190">
        <v>35</v>
      </c>
      <c r="M519" s="190">
        <v>6</v>
      </c>
      <c r="N519" s="190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>
        <v>53</v>
      </c>
      <c r="AA519" s="98" t="str">
        <f t="shared" si="236"/>
        <v>ORL/MIA</v>
      </c>
    </row>
    <row r="520" spans="1:27" x14ac:dyDescent="0.3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>
        <v>60</v>
      </c>
      <c r="AA520" s="98" t="str">
        <f t="shared" si="236"/>
        <v>WAS/POR</v>
      </c>
    </row>
    <row r="521" spans="1:27" x14ac:dyDescent="0.3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88">
        <v>20</v>
      </c>
      <c r="F521" s="188">
        <v>40</v>
      </c>
      <c r="G521" s="188">
        <v>36</v>
      </c>
      <c r="H521" s="188">
        <v>22</v>
      </c>
      <c r="I521" s="188"/>
      <c r="J521" s="188">
        <v>27</v>
      </c>
      <c r="K521" s="188">
        <v>26</v>
      </c>
      <c r="L521" s="188">
        <v>31</v>
      </c>
      <c r="M521" s="188">
        <v>24</v>
      </c>
      <c r="N521" s="188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>
        <v>57</v>
      </c>
      <c r="AA521" s="98" t="str">
        <f t="shared" si="236"/>
        <v>HOU/PHI</v>
      </c>
    </row>
    <row r="522" spans="1:27" x14ac:dyDescent="0.3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1">
        <v>29</v>
      </c>
      <c r="F522" s="191">
        <v>22</v>
      </c>
      <c r="G522" s="191">
        <v>32</v>
      </c>
      <c r="H522" s="191">
        <v>37</v>
      </c>
      <c r="I522" s="191"/>
      <c r="J522" s="191">
        <v>37</v>
      </c>
      <c r="K522" s="191">
        <v>24</v>
      </c>
      <c r="L522" s="191">
        <v>26</v>
      </c>
      <c r="M522" s="191">
        <v>25</v>
      </c>
      <c r="N522" s="191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>
        <v>58</v>
      </c>
      <c r="AA522" s="98" t="str">
        <f t="shared" si="236"/>
        <v>PHO/NYK</v>
      </c>
    </row>
    <row r="523" spans="1:27" x14ac:dyDescent="0.3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89">
        <v>42</v>
      </c>
      <c r="F523" s="189">
        <v>32</v>
      </c>
      <c r="G523" s="189">
        <v>31</v>
      </c>
      <c r="H523" s="189">
        <v>18</v>
      </c>
      <c r="I523" s="189"/>
      <c r="J523" s="189">
        <v>30</v>
      </c>
      <c r="K523" s="189">
        <v>32</v>
      </c>
      <c r="L523" s="189">
        <v>21</v>
      </c>
      <c r="M523" s="189">
        <v>30</v>
      </c>
      <c r="N523" s="189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>
        <v>58</v>
      </c>
      <c r="AA523" s="98" t="str">
        <f t="shared" si="236"/>
        <v>LAL/NO</v>
      </c>
    </row>
    <row r="524" spans="1:27" x14ac:dyDescent="0.3">
      <c r="A524" s="193">
        <v>200105</v>
      </c>
      <c r="B524" s="194">
        <v>0.22916666666666666</v>
      </c>
      <c r="C524" s="193" t="s">
        <v>415</v>
      </c>
      <c r="D524" s="193" t="s">
        <v>406</v>
      </c>
    </row>
    <row r="525" spans="1:27" x14ac:dyDescent="0.3">
      <c r="A525" s="193">
        <v>200105</v>
      </c>
      <c r="B525" s="194">
        <v>0.33333333333333331</v>
      </c>
      <c r="C525" s="14" t="s">
        <v>407</v>
      </c>
      <c r="D525" s="193" t="s">
        <v>413</v>
      </c>
    </row>
    <row r="526" spans="1:27" x14ac:dyDescent="0.3">
      <c r="A526" s="193">
        <v>200105</v>
      </c>
      <c r="B526" s="194">
        <v>0.375</v>
      </c>
      <c r="C526" s="193" t="s">
        <v>431</v>
      </c>
      <c r="D526" s="193" t="s">
        <v>405</v>
      </c>
    </row>
    <row r="527" spans="1:27" x14ac:dyDescent="0.3">
      <c r="A527" s="193">
        <v>200105</v>
      </c>
      <c r="B527" s="194">
        <v>0.39583333333333331</v>
      </c>
      <c r="C527" s="14" t="s">
        <v>410</v>
      </c>
      <c r="D527" s="14" t="s">
        <v>400</v>
      </c>
    </row>
    <row r="528" spans="1:27" x14ac:dyDescent="0.3">
      <c r="A528" s="193">
        <v>200105</v>
      </c>
      <c r="B528" s="194">
        <v>0.39583333333333331</v>
      </c>
      <c r="C528" s="193" t="s">
        <v>402</v>
      </c>
      <c r="D528" s="193" t="s">
        <v>418</v>
      </c>
    </row>
    <row r="529" spans="1:4" x14ac:dyDescent="0.3">
      <c r="A529" s="193">
        <v>200105</v>
      </c>
      <c r="B529" s="194">
        <v>0.41666666666666669</v>
      </c>
      <c r="C529" s="14" t="s">
        <v>432</v>
      </c>
      <c r="D529" s="193" t="s">
        <v>421</v>
      </c>
    </row>
    <row r="530" spans="1:4" x14ac:dyDescent="0.3">
      <c r="A530" s="193">
        <v>200105</v>
      </c>
      <c r="B530" s="194">
        <v>0.41666666666666669</v>
      </c>
      <c r="C530" s="193" t="s">
        <v>433</v>
      </c>
      <c r="D530" s="193" t="s">
        <v>408</v>
      </c>
    </row>
    <row r="531" spans="1:4" x14ac:dyDescent="0.3">
      <c r="A531" s="193">
        <v>200105</v>
      </c>
      <c r="B531" s="194">
        <v>0.4375</v>
      </c>
      <c r="C531" s="14" t="s">
        <v>434</v>
      </c>
      <c r="D531" s="14" t="s">
        <v>409</v>
      </c>
    </row>
    <row r="532" spans="1:4" x14ac:dyDescent="0.3">
      <c r="A532" s="193">
        <v>200105</v>
      </c>
      <c r="B532" s="194">
        <v>0.4375</v>
      </c>
      <c r="C532" s="193" t="s">
        <v>425</v>
      </c>
      <c r="D532" s="193" t="s">
        <v>422</v>
      </c>
    </row>
    <row r="533" spans="1:4" x14ac:dyDescent="0.3">
      <c r="A533" s="193">
        <v>200105</v>
      </c>
      <c r="B533" s="194">
        <v>0.4375</v>
      </c>
      <c r="C533" s="193" t="s">
        <v>423</v>
      </c>
      <c r="D533" s="193" t="s">
        <v>426</v>
      </c>
    </row>
    <row r="534" spans="1:4" x14ac:dyDescent="0.3">
      <c r="A534" s="193">
        <v>200105</v>
      </c>
      <c r="B534" s="194">
        <v>0.5</v>
      </c>
      <c r="C534" s="11" t="s">
        <v>416</v>
      </c>
      <c r="D534" s="11" t="s">
        <v>398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34"/>
  <sheetViews>
    <sheetView zoomScale="85" zoomScaleNormal="85" workbookViewId="0">
      <pane xSplit="1" ySplit="1" topLeftCell="B509" activePane="bottomRight" state="frozen"/>
      <selection pane="topRight" activeCell="B1" sqref="B1"/>
      <selection pane="bottomLeft" activeCell="A2" sqref="A2"/>
      <selection pane="bottomRight" activeCell="A524" sqref="A524:D534"/>
    </sheetView>
  </sheetViews>
  <sheetFormatPr defaultRowHeight="16.5" x14ac:dyDescent="0.3"/>
  <cols>
    <col min="1" max="1" width="7.5" style="3" bestFit="1" customWidth="1"/>
    <col min="2" max="2" width="8.75" style="44" customWidth="1"/>
    <col min="3" max="3" width="6.375" style="3" bestFit="1" customWidth="1"/>
    <col min="4" max="4" width="5.75" style="3" bestFit="1" customWidth="1"/>
    <col min="5" max="8" width="4.75" style="3" bestFit="1" customWidth="1"/>
    <col min="9" max="9" width="4.375" style="3" bestFit="1" customWidth="1"/>
    <col min="10" max="13" width="4.625" style="3" bestFit="1" customWidth="1"/>
    <col min="14" max="14" width="4.625" style="3" customWidth="1"/>
    <col min="15" max="15" width="5" style="3" bestFit="1" customWidth="1"/>
    <col min="16" max="16" width="4.875" style="3" bestFit="1" customWidth="1"/>
    <col min="17" max="20" width="5.5" style="3" bestFit="1" customWidth="1"/>
    <col min="21" max="24" width="5.875" style="3" bestFit="1" customWidth="1"/>
    <col min="25" max="25" width="6.75" style="3" customWidth="1"/>
    <col min="26" max="26" width="8.25" style="3" customWidth="1"/>
    <col min="27" max="27" width="9" style="3"/>
    <col min="28" max="28" width="9.375" style="3" customWidth="1"/>
    <col min="29" max="29" width="4.875" style="3" customWidth="1"/>
    <col min="30" max="30" width="5" style="3" customWidth="1"/>
    <col min="31" max="31" width="5.75" style="3" customWidth="1"/>
    <col min="32" max="33" width="5.125" style="3" bestFit="1" customWidth="1"/>
    <col min="34" max="16384" width="9" style="3"/>
  </cols>
  <sheetData>
    <row r="1" spans="1:33" ht="17.100000000000001" x14ac:dyDescent="0.45">
      <c r="A1" s="3" t="s">
        <v>0</v>
      </c>
      <c r="B1" s="44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SUBTOTAL(109,AC2:AC523)</f>
        <v>923</v>
      </c>
      <c r="AD1" s="3">
        <f>SUBTOTAL(109,AD2:AD523)</f>
        <v>1128</v>
      </c>
      <c r="AF1" s="8">
        <f>AC1/(SUM($AC$1:$AD$1))</f>
        <v>0.45002437835202341</v>
      </c>
      <c r="AG1" s="9">
        <f>AD1/(SUM($AC$1:$AD$1))</f>
        <v>0.54997562164797664</v>
      </c>
    </row>
    <row r="2" spans="1:33" ht="17.100000000000001" x14ac:dyDescent="0.45">
      <c r="A2" s="3">
        <v>191023</v>
      </c>
      <c r="B2" s="44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ht="17.100000000000001" x14ac:dyDescent="0.45">
      <c r="A3" s="3">
        <v>191023</v>
      </c>
      <c r="B3" s="44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ht="17.100000000000001" x14ac:dyDescent="0.45">
      <c r="A4" s="3">
        <v>191024</v>
      </c>
      <c r="B4" s="44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ht="17.100000000000001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ht="17.100000000000001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ht="17.100000000000001" x14ac:dyDescent="0.45">
      <c r="A7" s="3">
        <v>191024</v>
      </c>
      <c r="B7" s="44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ht="17.100000000000001" x14ac:dyDescent="0.45">
      <c r="A8" s="3">
        <v>191024</v>
      </c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ht="17.100000000000001" x14ac:dyDescent="0.45">
      <c r="A9" s="3">
        <v>191024</v>
      </c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ht="17.100000000000001" x14ac:dyDescent="0.45">
      <c r="A10" s="3">
        <v>191024</v>
      </c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ht="17.100000000000001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ht="17.100000000000001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ht="17.100000000000001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ht="17.100000000000001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ht="17.100000000000001" x14ac:dyDescent="0.45">
      <c r="A15" s="3">
        <v>191025</v>
      </c>
      <c r="B15" s="44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ht="17.100000000000001" x14ac:dyDescent="0.45">
      <c r="A16" s="3">
        <v>191025</v>
      </c>
      <c r="B16" s="44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ht="17.100000000000001" x14ac:dyDescent="0.45">
      <c r="A17" s="3">
        <v>191025</v>
      </c>
      <c r="B17" s="44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ht="17.100000000000001" x14ac:dyDescent="0.45">
      <c r="A18" s="3">
        <v>191026</v>
      </c>
      <c r="B18" s="44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ht="17.100000000000001" x14ac:dyDescent="0.45">
      <c r="A19" s="3">
        <v>191026</v>
      </c>
      <c r="B19" s="44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ht="17.100000000000001" x14ac:dyDescent="0.45">
      <c r="A20" s="3">
        <v>191026</v>
      </c>
      <c r="B20" s="44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ht="17.100000000000001" x14ac:dyDescent="0.45">
      <c r="A21" s="3">
        <v>191026</v>
      </c>
      <c r="B21" s="44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ht="17.100000000000001" x14ac:dyDescent="0.45">
      <c r="A22" s="3">
        <v>191026</v>
      </c>
      <c r="B22" s="44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ht="17.100000000000001" x14ac:dyDescent="0.45">
      <c r="A23" s="3">
        <v>191026</v>
      </c>
      <c r="B23" s="44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ht="17.100000000000001" x14ac:dyDescent="0.45">
      <c r="A24" s="3">
        <v>191026</v>
      </c>
      <c r="B24" s="44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ht="17.100000000000001" x14ac:dyDescent="0.45">
      <c r="A25" s="3">
        <v>191026</v>
      </c>
      <c r="B25" s="44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ht="17.100000000000001" x14ac:dyDescent="0.45">
      <c r="A26" s="3">
        <v>191026</v>
      </c>
      <c r="B26" s="44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ht="17.100000000000001" x14ac:dyDescent="0.45">
      <c r="A27" s="3">
        <v>191027</v>
      </c>
      <c r="B27" s="44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ht="17.100000000000001" x14ac:dyDescent="0.45">
      <c r="A28" s="3">
        <v>191027</v>
      </c>
      <c r="B28" s="44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ht="17.100000000000001" x14ac:dyDescent="0.45">
      <c r="A29" s="3">
        <v>191027</v>
      </c>
      <c r="B29" s="45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ht="17.100000000000001" x14ac:dyDescent="0.45">
      <c r="A30" s="3">
        <v>191027</v>
      </c>
      <c r="B30" s="44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ht="17.100000000000001" x14ac:dyDescent="0.45">
      <c r="A31" s="3">
        <v>191027</v>
      </c>
      <c r="B31" s="44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ht="17.100000000000001" x14ac:dyDescent="0.45">
      <c r="A32" s="3">
        <v>191027</v>
      </c>
      <c r="B32" s="44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ht="17.100000000000001" x14ac:dyDescent="0.45">
      <c r="A33" s="3">
        <v>191027</v>
      </c>
      <c r="B33" s="44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ht="17.100000000000001" x14ac:dyDescent="0.45">
      <c r="A34" s="3">
        <v>191027</v>
      </c>
      <c r="B34" s="44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ht="17.100000000000001" x14ac:dyDescent="0.45">
      <c r="A35" s="3">
        <v>191027</v>
      </c>
      <c r="B35" s="45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ht="17.100000000000001" x14ac:dyDescent="0.45">
      <c r="A36" s="3">
        <v>191027</v>
      </c>
      <c r="B36" s="45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ht="17.100000000000001" x14ac:dyDescent="0.45">
      <c r="A37" s="3">
        <v>191028</v>
      </c>
      <c r="B37" s="46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ht="17.100000000000001" x14ac:dyDescent="0.45">
      <c r="A38" s="3">
        <v>191028</v>
      </c>
      <c r="B38" s="45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ht="17.100000000000001" x14ac:dyDescent="0.45">
      <c r="A39" s="3">
        <v>191028</v>
      </c>
      <c r="B39" s="44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ht="17.100000000000001" x14ac:dyDescent="0.45">
      <c r="A40" s="3">
        <v>191028</v>
      </c>
      <c r="B40" s="44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ht="17.100000000000001" x14ac:dyDescent="0.45">
      <c r="A41" s="3">
        <v>191028</v>
      </c>
      <c r="B41" s="45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ht="17.100000000000001" x14ac:dyDescent="0.45">
      <c r="A42" s="3">
        <v>191029</v>
      </c>
      <c r="B42" s="44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ht="17.100000000000001" x14ac:dyDescent="0.45">
      <c r="A43" s="3">
        <v>191029</v>
      </c>
      <c r="B43" s="44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ht="17.100000000000001" x14ac:dyDescent="0.45">
      <c r="A44" s="3">
        <v>191029</v>
      </c>
      <c r="B44" s="44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ht="17.100000000000001" x14ac:dyDescent="0.45">
      <c r="A45" s="3">
        <v>191029</v>
      </c>
      <c r="B45" s="44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ht="17.100000000000001" x14ac:dyDescent="0.45">
      <c r="A46" s="3">
        <v>191029</v>
      </c>
      <c r="B46" s="44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ht="17.100000000000001" x14ac:dyDescent="0.45">
      <c r="A47" s="3">
        <v>191029</v>
      </c>
      <c r="B47" s="44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ht="17.100000000000001" x14ac:dyDescent="0.45">
      <c r="A48" s="3">
        <v>191029</v>
      </c>
      <c r="B48" s="44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ht="17.100000000000001" x14ac:dyDescent="0.45">
      <c r="A49" s="3">
        <v>191029</v>
      </c>
      <c r="B49" s="44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ht="17.100000000000001" x14ac:dyDescent="0.45">
      <c r="A50" s="3">
        <v>191029</v>
      </c>
      <c r="B50" s="47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ht="17.100000000000001" x14ac:dyDescent="0.45">
      <c r="A51" s="3">
        <v>191029</v>
      </c>
      <c r="B51" s="45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ht="17.100000000000001" x14ac:dyDescent="0.45">
      <c r="A52" s="3">
        <v>191029</v>
      </c>
      <c r="B52" s="44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ht="17.100000000000001" x14ac:dyDescent="0.45">
      <c r="A53" s="3">
        <v>191030</v>
      </c>
      <c r="B53" s="44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ht="17.100000000000001" x14ac:dyDescent="0.45">
      <c r="A54" s="3">
        <v>191030</v>
      </c>
      <c r="B54" s="44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ht="17.100000000000001" x14ac:dyDescent="0.45">
      <c r="A55" s="3">
        <v>191030</v>
      </c>
      <c r="B55" s="47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ht="17.100000000000001" x14ac:dyDescent="0.45">
      <c r="A56" s="3">
        <v>191031</v>
      </c>
      <c r="B56" s="44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ht="17.100000000000001" x14ac:dyDescent="0.45">
      <c r="A57" s="3">
        <v>191031</v>
      </c>
      <c r="B57" s="44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ht="17.100000000000001" x14ac:dyDescent="0.45">
      <c r="A58" s="3">
        <v>191031</v>
      </c>
      <c r="B58" s="44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ht="17.100000000000001" x14ac:dyDescent="0.45">
      <c r="A59" s="3">
        <v>191031</v>
      </c>
      <c r="B59" s="44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ht="17.100000000000001" x14ac:dyDescent="0.45">
      <c r="A60" s="3">
        <v>191031</v>
      </c>
      <c r="B60" s="44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ht="17.100000000000001" x14ac:dyDescent="0.45">
      <c r="A61" s="3">
        <v>191031</v>
      </c>
      <c r="B61" s="44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ht="17.100000000000001" x14ac:dyDescent="0.45">
      <c r="A62" s="3">
        <v>191031</v>
      </c>
      <c r="B62" s="44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ht="17.100000000000001" x14ac:dyDescent="0.45">
      <c r="A63" s="3">
        <v>191031</v>
      </c>
      <c r="B63" s="44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ht="17.100000000000001" x14ac:dyDescent="0.45">
      <c r="A64" s="3">
        <v>191031</v>
      </c>
      <c r="B64" s="44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ht="17.100000000000001" x14ac:dyDescent="0.45">
      <c r="A65" s="3">
        <v>191031</v>
      </c>
      <c r="B65" s="44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ht="17.100000000000001" x14ac:dyDescent="0.45">
      <c r="A66" s="3">
        <v>191031</v>
      </c>
      <c r="B66" s="44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ht="17.100000000000001" x14ac:dyDescent="0.45">
      <c r="A67" s="3">
        <v>191101</v>
      </c>
      <c r="B67" s="44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ht="17.100000000000001" x14ac:dyDescent="0.45">
      <c r="A68" s="3">
        <v>191101</v>
      </c>
      <c r="B68" s="44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ht="17.100000000000001" x14ac:dyDescent="0.45">
      <c r="A69" s="3">
        <v>191101</v>
      </c>
      <c r="B69" s="44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ht="17.100000000000001" x14ac:dyDescent="0.45">
      <c r="A70" s="3">
        <v>191102</v>
      </c>
      <c r="B70" s="44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ht="17.100000000000001" x14ac:dyDescent="0.45">
      <c r="A71" s="3">
        <v>191102</v>
      </c>
      <c r="B71" s="44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ht="17.100000000000001" x14ac:dyDescent="0.45">
      <c r="A72" s="3">
        <v>191102</v>
      </c>
      <c r="B72" s="44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ht="17.100000000000001" x14ac:dyDescent="0.45">
      <c r="A73" s="3">
        <v>191102</v>
      </c>
      <c r="B73" s="44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ht="17.100000000000001" x14ac:dyDescent="0.45">
      <c r="A74" s="3">
        <v>191102</v>
      </c>
      <c r="B74" s="44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ht="17.100000000000001" x14ac:dyDescent="0.45">
      <c r="A75" s="3">
        <v>191102</v>
      </c>
      <c r="B75" s="44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ht="17.100000000000001" x14ac:dyDescent="0.45">
      <c r="A76" s="3">
        <v>191102</v>
      </c>
      <c r="B76" s="44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ht="17.100000000000001" x14ac:dyDescent="0.45">
      <c r="A77" s="3">
        <v>191102</v>
      </c>
      <c r="B77" s="44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ht="17.100000000000001" x14ac:dyDescent="0.45">
      <c r="A78" s="3">
        <v>191103</v>
      </c>
      <c r="B78" s="44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ht="17.100000000000001" x14ac:dyDescent="0.45">
      <c r="A79" s="3">
        <v>191103</v>
      </c>
      <c r="B79" s="44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ht="17.100000000000001" x14ac:dyDescent="0.45">
      <c r="A80" s="3">
        <v>191103</v>
      </c>
      <c r="B80" s="44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ht="17.100000000000001" x14ac:dyDescent="0.45">
      <c r="A81" s="3">
        <v>191103</v>
      </c>
      <c r="B81" s="44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ht="17.100000000000001" x14ac:dyDescent="0.45">
      <c r="A82" s="3">
        <v>191103</v>
      </c>
      <c r="B82" s="44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ht="17.100000000000001" x14ac:dyDescent="0.45">
      <c r="A83" s="3">
        <v>191103</v>
      </c>
      <c r="B83" s="44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ht="17.100000000000001" x14ac:dyDescent="0.45">
      <c r="A84" s="3">
        <v>191103</v>
      </c>
      <c r="B84" s="44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ht="17.100000000000001" x14ac:dyDescent="0.45">
      <c r="A85" s="3">
        <v>191103</v>
      </c>
      <c r="B85" s="44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ht="17.100000000000001" x14ac:dyDescent="0.45">
      <c r="A86" s="3">
        <v>191104</v>
      </c>
      <c r="B86" s="44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ht="17.100000000000001" x14ac:dyDescent="0.45">
      <c r="A87" s="3">
        <v>191104</v>
      </c>
      <c r="B87" s="44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ht="17.100000000000001" x14ac:dyDescent="0.45">
      <c r="A88" s="3">
        <v>191104</v>
      </c>
      <c r="B88" s="44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ht="17.100000000000001" x14ac:dyDescent="0.45">
      <c r="A89" s="3">
        <v>191104</v>
      </c>
      <c r="B89" s="44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ht="17.100000000000001" x14ac:dyDescent="0.45">
      <c r="A90" s="3">
        <v>191104</v>
      </c>
      <c r="B90" s="44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ht="17.100000000000001" x14ac:dyDescent="0.45">
      <c r="A91" s="3">
        <v>191104</v>
      </c>
      <c r="B91" s="44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ht="17.100000000000001" x14ac:dyDescent="0.45">
      <c r="A92" s="3">
        <v>191105</v>
      </c>
      <c r="B92" s="44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ht="17.100000000000001" x14ac:dyDescent="0.45">
      <c r="A93" s="3">
        <v>191105</v>
      </c>
      <c r="B93" s="44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ht="17.100000000000001" x14ac:dyDescent="0.45">
      <c r="A94" s="3">
        <v>191105</v>
      </c>
      <c r="B94" s="44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ht="17.100000000000001" x14ac:dyDescent="0.45">
      <c r="A95" s="3">
        <v>191105</v>
      </c>
      <c r="B95" s="44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ht="17.100000000000001" x14ac:dyDescent="0.45">
      <c r="A96" s="3">
        <v>191105</v>
      </c>
      <c r="B96" s="44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ht="17.100000000000001" x14ac:dyDescent="0.45">
      <c r="A97" s="3">
        <v>191105</v>
      </c>
      <c r="B97" s="44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ht="17.100000000000001" x14ac:dyDescent="0.45">
      <c r="A98" s="3">
        <v>191106</v>
      </c>
      <c r="B98" s="44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ht="17.100000000000001" x14ac:dyDescent="0.45">
      <c r="A99" s="3">
        <v>191106</v>
      </c>
      <c r="B99" s="44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ht="17.100000000000001" x14ac:dyDescent="0.45">
      <c r="A100" s="3">
        <v>191106</v>
      </c>
      <c r="B100" s="44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ht="17.100000000000001" x14ac:dyDescent="0.45">
      <c r="A101" s="3">
        <v>191106</v>
      </c>
      <c r="B101" s="44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ht="17.100000000000001" x14ac:dyDescent="0.45">
      <c r="A102" s="3">
        <v>191106</v>
      </c>
      <c r="B102" s="44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ht="17.100000000000001" x14ac:dyDescent="0.45">
      <c r="A103" s="3">
        <v>191106</v>
      </c>
      <c r="B103" s="44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ht="17.100000000000001" x14ac:dyDescent="0.45">
      <c r="A104" s="3">
        <v>191107</v>
      </c>
      <c r="B104" s="44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ht="17.100000000000001" x14ac:dyDescent="0.45">
      <c r="A105" s="3">
        <v>191107</v>
      </c>
      <c r="B105" s="44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ht="17.100000000000001" x14ac:dyDescent="0.45">
      <c r="A106" s="3">
        <v>191107</v>
      </c>
      <c r="B106" s="44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ht="17.100000000000001" x14ac:dyDescent="0.45">
      <c r="A107" s="3">
        <v>191107</v>
      </c>
      <c r="B107" s="44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ht="17.100000000000001" x14ac:dyDescent="0.45">
      <c r="A108" s="3">
        <v>191107</v>
      </c>
      <c r="B108" s="44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ht="17.100000000000001" x14ac:dyDescent="0.45">
      <c r="A109" s="3">
        <v>191107</v>
      </c>
      <c r="B109" s="44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ht="17.100000000000001" x14ac:dyDescent="0.45">
      <c r="A110" s="3">
        <v>191107</v>
      </c>
      <c r="B110" s="44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ht="17.100000000000001" x14ac:dyDescent="0.45">
      <c r="A111" s="3">
        <v>191107</v>
      </c>
      <c r="B111" s="44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ht="17.100000000000001" x14ac:dyDescent="0.45">
      <c r="A112" s="3">
        <v>191107</v>
      </c>
      <c r="B112" s="44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ht="17.100000000000001" x14ac:dyDescent="0.45">
      <c r="A113" s="3">
        <v>191108</v>
      </c>
      <c r="B113" s="44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ht="17.100000000000001" x14ac:dyDescent="0.45">
      <c r="A114" s="3">
        <v>191108</v>
      </c>
      <c r="B114" s="44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ht="17.100000000000001" x14ac:dyDescent="0.45">
      <c r="A115" s="3">
        <v>191108</v>
      </c>
      <c r="B115" s="44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ht="17.100000000000001" x14ac:dyDescent="0.45">
      <c r="A116" s="3">
        <v>191108</v>
      </c>
      <c r="B116" s="44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ht="17.100000000000001" x14ac:dyDescent="0.45">
      <c r="A117" s="3">
        <v>191109</v>
      </c>
      <c r="B117" s="44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ht="17.100000000000001" x14ac:dyDescent="0.45">
      <c r="A118" s="3">
        <v>191109</v>
      </c>
      <c r="B118" s="44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ht="17.100000000000001" x14ac:dyDescent="0.45">
      <c r="A119" s="3">
        <v>191109</v>
      </c>
      <c r="B119" s="44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ht="17.100000000000001" x14ac:dyDescent="0.45">
      <c r="A120" s="3">
        <v>191109</v>
      </c>
      <c r="B120" s="44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ht="17.100000000000001" x14ac:dyDescent="0.45">
      <c r="A121" s="3">
        <v>191109</v>
      </c>
      <c r="B121" s="44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ht="17.100000000000001" x14ac:dyDescent="0.45">
      <c r="A122" s="3">
        <v>191109</v>
      </c>
      <c r="B122" s="44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ht="17.100000000000001" x14ac:dyDescent="0.45">
      <c r="A123" s="3">
        <v>191109</v>
      </c>
      <c r="B123" s="44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ht="17.100000000000001" x14ac:dyDescent="0.45">
      <c r="A124" s="3">
        <v>191109</v>
      </c>
      <c r="B124" s="44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ht="17.100000000000001" x14ac:dyDescent="0.45">
      <c r="A125" s="3">
        <v>191109</v>
      </c>
      <c r="B125" s="44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ht="17.100000000000001" x14ac:dyDescent="0.45">
      <c r="A126" s="3">
        <v>191109</v>
      </c>
      <c r="B126" s="44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ht="17.100000000000001" x14ac:dyDescent="0.45">
      <c r="A127" s="3">
        <v>191109</v>
      </c>
      <c r="B127" s="44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ht="17.100000000000001" x14ac:dyDescent="0.45">
      <c r="A128" s="3">
        <v>191110</v>
      </c>
      <c r="B128" s="44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ht="17.100000000000001" x14ac:dyDescent="0.45">
      <c r="A129" s="3">
        <v>191110</v>
      </c>
      <c r="B129" s="44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ht="17.100000000000001" x14ac:dyDescent="0.45">
      <c r="A130" s="3">
        <v>191110</v>
      </c>
      <c r="B130" s="44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ht="17.100000000000001" x14ac:dyDescent="0.45">
      <c r="A131" s="3">
        <v>191110</v>
      </c>
      <c r="B131" s="44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ht="17.100000000000001" x14ac:dyDescent="0.45">
      <c r="A132" s="3">
        <v>191110</v>
      </c>
      <c r="B132" s="44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ht="17.100000000000001" x14ac:dyDescent="0.45">
      <c r="A133" s="3">
        <v>191111</v>
      </c>
      <c r="B133" s="44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ht="17.100000000000001" x14ac:dyDescent="0.45">
      <c r="A134" s="3">
        <v>191111</v>
      </c>
      <c r="B134" s="44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ht="17.100000000000001" x14ac:dyDescent="0.45">
      <c r="A135" s="3">
        <v>191111</v>
      </c>
      <c r="B135" s="44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ht="17.100000000000001" x14ac:dyDescent="0.45">
      <c r="A136" s="3">
        <v>191111</v>
      </c>
      <c r="B136" s="44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ht="17.100000000000001" x14ac:dyDescent="0.45">
      <c r="A137" s="3">
        <v>191111</v>
      </c>
      <c r="B137" s="44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ht="17.100000000000001" x14ac:dyDescent="0.45">
      <c r="A138" s="3">
        <v>191111</v>
      </c>
      <c r="B138" s="44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ht="17.100000000000001" x14ac:dyDescent="0.45">
      <c r="A139" s="3">
        <v>191111</v>
      </c>
      <c r="B139" s="44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ht="17.100000000000001" x14ac:dyDescent="0.45">
      <c r="A140" s="3">
        <v>191111</v>
      </c>
      <c r="B140" s="44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ht="17.100000000000001" x14ac:dyDescent="0.45">
      <c r="A141" s="3">
        <v>191112</v>
      </c>
      <c r="B141" s="44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ht="17.100000000000001" x14ac:dyDescent="0.45">
      <c r="A142" s="3">
        <v>191112</v>
      </c>
      <c r="B142" s="44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ht="17.100000000000001" x14ac:dyDescent="0.45">
      <c r="A143" s="3">
        <v>191112</v>
      </c>
      <c r="B143" s="44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ht="17.100000000000001" x14ac:dyDescent="0.45">
      <c r="A144" s="3">
        <v>191112</v>
      </c>
      <c r="B144" s="44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ht="17.100000000000001" x14ac:dyDescent="0.45">
      <c r="A145" s="3">
        <v>191112</v>
      </c>
      <c r="B145" s="44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ht="17.100000000000001" x14ac:dyDescent="0.45">
      <c r="A146" s="3">
        <v>191112</v>
      </c>
      <c r="B146" s="44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ht="17.100000000000001" x14ac:dyDescent="0.45">
      <c r="A147" s="3">
        <v>191113</v>
      </c>
      <c r="B147" s="44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ht="17.100000000000001" x14ac:dyDescent="0.45">
      <c r="A148" s="3">
        <v>191113</v>
      </c>
      <c r="B148" s="44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ht="17.100000000000001" x14ac:dyDescent="0.45">
      <c r="A149" s="3">
        <v>191113</v>
      </c>
      <c r="B149" s="44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ht="17.100000000000001" x14ac:dyDescent="0.45">
      <c r="A150" s="3">
        <v>191113</v>
      </c>
      <c r="B150" s="44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ht="17.100000000000001" x14ac:dyDescent="0.45">
      <c r="A151" s="3">
        <v>191113</v>
      </c>
      <c r="B151" s="44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ht="17.100000000000001" x14ac:dyDescent="0.45">
      <c r="A152" s="3">
        <v>191113</v>
      </c>
      <c r="B152" s="44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ht="17.100000000000001" x14ac:dyDescent="0.45">
      <c r="A153" s="3">
        <v>191113</v>
      </c>
      <c r="B153" s="44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ht="17.100000000000001" x14ac:dyDescent="0.45">
      <c r="A154" s="3">
        <v>191113</v>
      </c>
      <c r="B154" s="44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ht="17.100000000000001" x14ac:dyDescent="0.45">
      <c r="A155" s="3">
        <v>191114</v>
      </c>
      <c r="B155" s="44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ht="17.100000000000001" x14ac:dyDescent="0.45">
      <c r="A156" s="3">
        <v>191114</v>
      </c>
      <c r="B156" s="44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ht="17.100000000000001" x14ac:dyDescent="0.45">
      <c r="A157" s="3">
        <v>191114</v>
      </c>
      <c r="B157" s="44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ht="17.100000000000001" x14ac:dyDescent="0.45">
      <c r="A158" s="3">
        <v>191114</v>
      </c>
      <c r="B158" s="44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ht="17.100000000000001" x14ac:dyDescent="0.45">
      <c r="A159" s="3">
        <v>191114</v>
      </c>
      <c r="B159" s="44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ht="17.100000000000001" x14ac:dyDescent="0.45">
      <c r="A160" s="3">
        <v>191114</v>
      </c>
      <c r="B160" s="44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ht="17.100000000000001" x14ac:dyDescent="0.45">
      <c r="A161" s="3">
        <v>191114</v>
      </c>
      <c r="B161" s="44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ht="17.100000000000001" x14ac:dyDescent="0.45">
      <c r="A162" s="12">
        <v>191115</v>
      </c>
      <c r="B162" s="44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ht="17.100000000000001" x14ac:dyDescent="0.45">
      <c r="A163" s="12">
        <v>191115</v>
      </c>
      <c r="B163" s="44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ht="17.100000000000001" x14ac:dyDescent="0.45">
      <c r="A164" s="12">
        <v>191115</v>
      </c>
      <c r="B164" s="44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ht="17.100000000000001" x14ac:dyDescent="0.45">
      <c r="A165" s="12">
        <v>191115</v>
      </c>
      <c r="B165" s="44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ht="17.100000000000001" x14ac:dyDescent="0.45">
      <c r="A166" s="12">
        <v>191115</v>
      </c>
      <c r="B166" s="44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ht="17.100000000000001" x14ac:dyDescent="0.45">
      <c r="A167" s="12">
        <v>191115</v>
      </c>
      <c r="B167" s="44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ht="17.100000000000001" x14ac:dyDescent="0.45">
      <c r="A168" s="12">
        <v>191116</v>
      </c>
      <c r="B168" s="44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ht="17.100000000000001" x14ac:dyDescent="0.45">
      <c r="A169" s="12">
        <v>191116</v>
      </c>
      <c r="B169" s="44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ht="17.100000000000001" x14ac:dyDescent="0.45">
      <c r="A170" s="12">
        <v>191116</v>
      </c>
      <c r="B170" s="44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ht="17.100000000000001" x14ac:dyDescent="0.45">
      <c r="A171" s="12">
        <v>191116</v>
      </c>
      <c r="B171" s="44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ht="17.100000000000001" x14ac:dyDescent="0.45">
      <c r="A172" s="12">
        <v>191116</v>
      </c>
      <c r="B172" s="44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ht="17.100000000000001" x14ac:dyDescent="0.45">
      <c r="A173" s="12">
        <v>191116</v>
      </c>
      <c r="B173" s="44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ht="17.100000000000001" x14ac:dyDescent="0.45">
      <c r="A174" s="12">
        <v>191116</v>
      </c>
      <c r="B174" s="44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ht="17.100000000000001" x14ac:dyDescent="0.45">
      <c r="A175" s="12">
        <v>191116</v>
      </c>
      <c r="B175" s="44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ht="17.100000000000001" x14ac:dyDescent="0.45">
      <c r="A176" s="12">
        <v>191117</v>
      </c>
      <c r="B176" s="44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ht="17.100000000000001" x14ac:dyDescent="0.45">
      <c r="A177" s="12">
        <v>191117</v>
      </c>
      <c r="B177" s="44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ht="17.100000000000001" x14ac:dyDescent="0.45">
      <c r="A178" s="12">
        <v>191117</v>
      </c>
      <c r="B178" s="44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ht="17.100000000000001" x14ac:dyDescent="0.45">
      <c r="A179" s="12">
        <v>191117</v>
      </c>
      <c r="B179" s="44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ht="17.100000000000001" x14ac:dyDescent="0.45">
      <c r="A180" s="12">
        <v>191117</v>
      </c>
      <c r="B180" s="44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ht="17.100000000000001" x14ac:dyDescent="0.45">
      <c r="A181" s="12">
        <v>191117</v>
      </c>
      <c r="B181" s="44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ht="17.100000000000001" x14ac:dyDescent="0.45">
      <c r="A182" s="12">
        <v>191117</v>
      </c>
      <c r="B182" s="44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ht="17.100000000000001" x14ac:dyDescent="0.45">
      <c r="A183" s="12">
        <v>191117</v>
      </c>
      <c r="B183" s="44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ht="17.100000000000001" x14ac:dyDescent="0.45">
      <c r="A184" s="12">
        <v>191118</v>
      </c>
      <c r="B184" s="44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ht="17.100000000000001" x14ac:dyDescent="0.45">
      <c r="A185" s="12">
        <v>191118</v>
      </c>
      <c r="B185" s="44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ht="17.100000000000001" x14ac:dyDescent="0.45">
      <c r="A186" s="12">
        <v>191118</v>
      </c>
      <c r="B186" s="44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ht="17.100000000000001" x14ac:dyDescent="0.45">
      <c r="A187" s="12">
        <v>191118</v>
      </c>
      <c r="B187" s="44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ht="17.100000000000001" x14ac:dyDescent="0.45">
      <c r="A188" s="12">
        <v>191118</v>
      </c>
      <c r="B188" s="44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ht="17.100000000000001" x14ac:dyDescent="0.45">
      <c r="A189" s="12">
        <v>191118</v>
      </c>
      <c r="B189" s="44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ht="17.100000000000001" x14ac:dyDescent="0.45">
      <c r="A190" s="12">
        <v>191119</v>
      </c>
      <c r="B190" s="44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ht="17.100000000000001" x14ac:dyDescent="0.45">
      <c r="A191" s="12">
        <v>191119</v>
      </c>
      <c r="B191" s="44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ht="17.100000000000001" x14ac:dyDescent="0.45">
      <c r="A192" s="12">
        <v>191119</v>
      </c>
      <c r="B192" s="44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ht="17.100000000000001" x14ac:dyDescent="0.45">
      <c r="A193" s="12">
        <v>191119</v>
      </c>
      <c r="B193" s="44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ht="17.100000000000001" x14ac:dyDescent="0.45">
      <c r="A194" s="12">
        <v>191119</v>
      </c>
      <c r="B194" s="44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ht="17.100000000000001" x14ac:dyDescent="0.45">
      <c r="A195" s="12">
        <v>191119</v>
      </c>
      <c r="B195" s="44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ht="17.100000000000001" x14ac:dyDescent="0.45">
      <c r="A196" s="12">
        <v>191119</v>
      </c>
      <c r="B196" s="44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ht="17.100000000000001" x14ac:dyDescent="0.45">
      <c r="A197" s="12">
        <v>191119</v>
      </c>
      <c r="B197" s="44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ht="17.100000000000001" x14ac:dyDescent="0.45">
      <c r="A198" s="12">
        <v>191119</v>
      </c>
      <c r="B198" s="44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ht="17.100000000000001" x14ac:dyDescent="0.45">
      <c r="A199" s="12">
        <v>191120</v>
      </c>
      <c r="B199" s="44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ht="17.100000000000001" x14ac:dyDescent="0.45">
      <c r="A200" s="12">
        <v>191120</v>
      </c>
      <c r="B200" s="44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ht="17.100000000000001" x14ac:dyDescent="0.45">
      <c r="A201" s="12">
        <v>191120</v>
      </c>
      <c r="B201" s="44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ht="17.100000000000001" x14ac:dyDescent="0.45">
      <c r="A202" s="12">
        <v>191120</v>
      </c>
      <c r="B202" s="44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ht="17.100000000000001" x14ac:dyDescent="0.45">
      <c r="A203" s="12">
        <v>191121</v>
      </c>
      <c r="B203" s="44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ht="17.100000000000001" x14ac:dyDescent="0.45">
      <c r="A204" s="12">
        <v>191121</v>
      </c>
      <c r="B204" s="44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ht="17.100000000000001" x14ac:dyDescent="0.45">
      <c r="A205" s="12">
        <v>191121</v>
      </c>
      <c r="B205" s="44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ht="17.100000000000001" x14ac:dyDescent="0.45">
      <c r="A206" s="12">
        <v>191121</v>
      </c>
      <c r="B206" s="44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ht="17.100000000000001" x14ac:dyDescent="0.45">
      <c r="A207" s="12">
        <v>191121</v>
      </c>
      <c r="B207" s="44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ht="17.100000000000001" x14ac:dyDescent="0.45">
      <c r="A208" s="12">
        <v>191121</v>
      </c>
      <c r="B208" s="44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ht="17.100000000000001" x14ac:dyDescent="0.45">
      <c r="A209" s="12">
        <v>191121</v>
      </c>
      <c r="B209" s="44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ht="17.100000000000001" x14ac:dyDescent="0.45">
      <c r="A210" s="12">
        <v>191121</v>
      </c>
      <c r="B210" s="44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ht="17.100000000000001" x14ac:dyDescent="0.45">
      <c r="A211" s="12">
        <v>191121</v>
      </c>
      <c r="B211" s="44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ht="17.100000000000001" x14ac:dyDescent="0.45">
      <c r="A212" s="12">
        <v>191121</v>
      </c>
      <c r="B212" s="44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ht="17.100000000000001" x14ac:dyDescent="0.45">
      <c r="A213" s="12">
        <v>191121</v>
      </c>
      <c r="B213" s="44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ht="17.100000000000001" x14ac:dyDescent="0.45">
      <c r="A214" s="12">
        <v>191122</v>
      </c>
      <c r="B214" s="44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ht="17.100000000000001" x14ac:dyDescent="0.45">
      <c r="A215" s="12">
        <v>191122</v>
      </c>
      <c r="B215" s="44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ht="17.100000000000001" x14ac:dyDescent="0.45">
      <c r="A216" s="12">
        <v>191123</v>
      </c>
      <c r="B216" s="44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ht="17.100000000000001" x14ac:dyDescent="0.45">
      <c r="A217" s="12">
        <v>191123</v>
      </c>
      <c r="B217" s="44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ht="17.100000000000001" x14ac:dyDescent="0.45">
      <c r="A218" s="12">
        <v>191123</v>
      </c>
      <c r="B218" s="44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ht="17.100000000000001" x14ac:dyDescent="0.45">
      <c r="A219" s="12">
        <v>191123</v>
      </c>
      <c r="B219" s="44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ht="17.100000000000001" x14ac:dyDescent="0.45">
      <c r="A220" s="12">
        <v>191123</v>
      </c>
      <c r="B220" s="44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ht="17.100000000000001" x14ac:dyDescent="0.45">
      <c r="A221" s="12">
        <v>191123</v>
      </c>
      <c r="B221" s="44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ht="17.100000000000001" x14ac:dyDescent="0.45">
      <c r="A222" s="12">
        <v>191123</v>
      </c>
      <c r="B222" s="44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ht="17.100000000000001" x14ac:dyDescent="0.45">
      <c r="A223" s="12">
        <v>191123</v>
      </c>
      <c r="B223" s="44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ht="17.100000000000001" x14ac:dyDescent="0.45">
      <c r="A224" s="12">
        <v>191123</v>
      </c>
      <c r="B224" s="44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ht="17.100000000000001" x14ac:dyDescent="0.45">
      <c r="A225" s="12">
        <v>191123</v>
      </c>
      <c r="B225" s="44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ht="17.100000000000001" x14ac:dyDescent="0.45">
      <c r="A226" s="12">
        <v>191124</v>
      </c>
      <c r="B226" s="44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ht="17.100000000000001" x14ac:dyDescent="0.45">
      <c r="A227" s="12">
        <v>191124</v>
      </c>
      <c r="B227" s="44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ht="17.100000000000001" x14ac:dyDescent="0.45">
      <c r="A228" s="12">
        <v>191124</v>
      </c>
      <c r="B228" s="44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ht="17.100000000000001" x14ac:dyDescent="0.45">
      <c r="A229" s="12">
        <v>191124</v>
      </c>
      <c r="B229" s="44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ht="17.100000000000001" x14ac:dyDescent="0.45">
      <c r="A230" s="12">
        <v>191124</v>
      </c>
      <c r="B230" s="44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ht="17.100000000000001" x14ac:dyDescent="0.45">
      <c r="A231" s="12">
        <v>191124</v>
      </c>
      <c r="B231" s="44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ht="17.100000000000001" x14ac:dyDescent="0.45">
      <c r="A232" s="12">
        <v>191124</v>
      </c>
      <c r="B232" s="44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ht="17.100000000000001" x14ac:dyDescent="0.45">
      <c r="A233" s="12">
        <v>191124</v>
      </c>
      <c r="B233" s="44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ht="17.100000000000001" x14ac:dyDescent="0.45">
      <c r="A234" s="12">
        <v>191124</v>
      </c>
      <c r="B234" s="44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ht="17.100000000000001" x14ac:dyDescent="0.45">
      <c r="A235" s="12">
        <v>191124</v>
      </c>
      <c r="B235" s="44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ht="17.100000000000001" x14ac:dyDescent="0.45">
      <c r="A236" s="12">
        <v>191125</v>
      </c>
      <c r="B236" s="44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ht="17.100000000000001" x14ac:dyDescent="0.45">
      <c r="A237" s="12">
        <v>191125</v>
      </c>
      <c r="B237" s="44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ht="17.100000000000001" x14ac:dyDescent="0.45">
      <c r="A238" s="12">
        <v>191125</v>
      </c>
      <c r="B238" s="44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ht="17.100000000000001" x14ac:dyDescent="0.45">
      <c r="A239" s="12">
        <v>191125</v>
      </c>
      <c r="B239" s="44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ht="17.100000000000001" x14ac:dyDescent="0.45">
      <c r="A240" s="12">
        <v>191125</v>
      </c>
      <c r="B240" s="44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ht="17.100000000000001" x14ac:dyDescent="0.45">
      <c r="A241" s="12">
        <v>191126</v>
      </c>
      <c r="B241" s="44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ht="17.100000000000001" x14ac:dyDescent="0.45">
      <c r="A242" s="12">
        <v>191126</v>
      </c>
      <c r="B242" s="44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ht="17.100000000000001" x14ac:dyDescent="0.45">
      <c r="A243" s="12">
        <v>191126</v>
      </c>
      <c r="B243" s="44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ht="17.100000000000001" x14ac:dyDescent="0.45">
      <c r="A244" s="12">
        <v>191126</v>
      </c>
      <c r="B244" s="44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ht="17.100000000000001" x14ac:dyDescent="0.45">
      <c r="A245" s="12">
        <v>191126</v>
      </c>
      <c r="B245" s="44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ht="17.100000000000001" x14ac:dyDescent="0.45">
      <c r="A246" s="12">
        <v>191126</v>
      </c>
      <c r="B246" s="44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ht="17.100000000000001" x14ac:dyDescent="0.45">
      <c r="A247" s="12">
        <v>191126</v>
      </c>
      <c r="B247" s="44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ht="17.100000000000001" x14ac:dyDescent="0.45">
      <c r="A248" s="12">
        <v>191126</v>
      </c>
      <c r="B248" s="44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ht="17.100000000000001" x14ac:dyDescent="0.45">
      <c r="A249" s="12">
        <v>191126</v>
      </c>
      <c r="B249" s="44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ht="17.100000000000001" x14ac:dyDescent="0.45">
      <c r="A250" s="12">
        <v>191126</v>
      </c>
      <c r="B250" s="44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ht="17.100000000000001" x14ac:dyDescent="0.45">
      <c r="A251" s="12">
        <v>191126</v>
      </c>
      <c r="B251" s="44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ht="17.100000000000001" x14ac:dyDescent="0.45">
      <c r="A252" s="12">
        <v>191127</v>
      </c>
      <c r="B252" s="44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ht="17.100000000000001" x14ac:dyDescent="0.45">
      <c r="A253" s="12">
        <v>191127</v>
      </c>
      <c r="B253" s="44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ht="17.100000000000001" x14ac:dyDescent="0.45">
      <c r="A254" s="42">
        <v>191128</v>
      </c>
      <c r="B254" s="44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ht="17.100000000000001" x14ac:dyDescent="0.45">
      <c r="A255" s="42">
        <v>191128</v>
      </c>
      <c r="B255" s="44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ht="17.100000000000001" x14ac:dyDescent="0.45">
      <c r="A256" s="42">
        <v>191128</v>
      </c>
      <c r="B256" s="44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ht="17.100000000000001" x14ac:dyDescent="0.45">
      <c r="A257" s="42">
        <v>191128</v>
      </c>
      <c r="B257" s="44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ht="17.100000000000001" x14ac:dyDescent="0.45">
      <c r="A258" s="42">
        <v>191128</v>
      </c>
      <c r="B258" s="44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ht="17.100000000000001" x14ac:dyDescent="0.45">
      <c r="A259" s="42">
        <v>191128</v>
      </c>
      <c r="B259" s="44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ht="17.100000000000001" x14ac:dyDescent="0.45">
      <c r="A260" s="42">
        <v>191128</v>
      </c>
      <c r="B260" s="44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ht="17.100000000000001" x14ac:dyDescent="0.45">
      <c r="A261" s="42">
        <v>191128</v>
      </c>
      <c r="B261" s="44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ht="17.100000000000001" x14ac:dyDescent="0.45">
      <c r="A262" s="42">
        <v>191128</v>
      </c>
      <c r="B262" s="44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ht="17.100000000000001" x14ac:dyDescent="0.45">
      <c r="A263" s="42">
        <v>191128</v>
      </c>
      <c r="B263" s="44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ht="17.100000000000001" x14ac:dyDescent="0.45">
      <c r="A264" s="42">
        <v>191128</v>
      </c>
      <c r="B264" s="44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ht="17.100000000000001" x14ac:dyDescent="0.45">
      <c r="A265" s="42">
        <v>191128</v>
      </c>
      <c r="B265" s="44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ht="17.100000000000001" x14ac:dyDescent="0.45">
      <c r="A266" s="42">
        <v>191128</v>
      </c>
      <c r="B266" s="44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ht="17.100000000000001" x14ac:dyDescent="0.45">
      <c r="A267" s="42">
        <v>191128</v>
      </c>
      <c r="B267" s="44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ht="17.100000000000001" x14ac:dyDescent="0.45">
      <c r="A268" s="42">
        <v>191130</v>
      </c>
      <c r="B268" s="44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ht="17.100000000000001" x14ac:dyDescent="0.45">
      <c r="A269" s="42">
        <v>191130</v>
      </c>
      <c r="B269" s="44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ht="17.100000000000001" x14ac:dyDescent="0.45">
      <c r="A270" s="42">
        <v>191130</v>
      </c>
      <c r="B270" s="44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ht="17.100000000000001" x14ac:dyDescent="0.45">
      <c r="A271" s="42">
        <v>191130</v>
      </c>
      <c r="B271" s="44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ht="17.100000000000001" x14ac:dyDescent="0.45">
      <c r="A272" s="42">
        <v>191130</v>
      </c>
      <c r="B272" s="44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ht="17.100000000000001" x14ac:dyDescent="0.45">
      <c r="A273" s="42">
        <v>191130</v>
      </c>
      <c r="B273" s="44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ht="17.100000000000001" x14ac:dyDescent="0.45">
      <c r="A274" s="42">
        <v>191130</v>
      </c>
      <c r="B274" s="44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ht="17.100000000000001" x14ac:dyDescent="0.45">
      <c r="A275" s="42">
        <v>191130</v>
      </c>
      <c r="B275" s="44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ht="17.100000000000001" x14ac:dyDescent="0.45">
      <c r="A276" s="42">
        <v>191130</v>
      </c>
      <c r="B276" s="44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ht="17.100000000000001" x14ac:dyDescent="0.45">
      <c r="A277" s="42">
        <v>191130</v>
      </c>
      <c r="B277" s="44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ht="17.100000000000001" x14ac:dyDescent="0.45">
      <c r="A278" s="42">
        <v>191130</v>
      </c>
      <c r="B278" s="44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ht="17.100000000000001" x14ac:dyDescent="0.45">
      <c r="A279" s="42">
        <v>191130</v>
      </c>
      <c r="B279" s="44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ht="17.100000000000001" x14ac:dyDescent="0.45">
      <c r="A280" s="42">
        <v>191130</v>
      </c>
      <c r="B280" s="44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ht="17.100000000000001" x14ac:dyDescent="0.45">
      <c r="A281" s="42">
        <v>191201</v>
      </c>
      <c r="B281" s="44">
        <v>0.29166666666666669</v>
      </c>
      <c r="C281" s="15" t="s">
        <v>313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41">SUM(E281:I281)</f>
        <v>100</v>
      </c>
      <c r="P281" s="42">
        <f t="shared" ref="P281:P299" si="142">SUM(J281:N281)</f>
        <v>97</v>
      </c>
      <c r="Q281" s="42" t="str">
        <f t="shared" ref="Q281:Q299" si="143">IF(E281=J281,"TT",IF(E281&gt;J281,"HW","HL"))</f>
        <v>HL</v>
      </c>
      <c r="R281" s="42" t="str">
        <f t="shared" ref="R281:R299" si="144">IF(F281=K281,"TT",IF(F281&gt;K281,"HW","HL"))</f>
        <v>HL</v>
      </c>
      <c r="S281" s="42" t="str">
        <f t="shared" ref="S281:S299" si="145">IF(G281=L281,"TT",IF(G281&gt;L281,"HW","HL"))</f>
        <v>HW</v>
      </c>
      <c r="T281" s="42" t="str">
        <f t="shared" ref="T281:T299" si="146">IF(H281=M281,"TT",IF(H281&gt;M281,"HW","HL"))</f>
        <v>HW</v>
      </c>
      <c r="U281" s="42" t="str">
        <f t="shared" ref="U281:U299" si="147">IF(SUM(E281,J281)=$Z281,"T",IF(SUM(E281,J281)&gt;$Z281,"O","U"))</f>
        <v>U</v>
      </c>
      <c r="V281" s="42" t="str">
        <f t="shared" ref="V281:V299" si="148">IF(SUM(F281,K281)=$Z281,"T",IF(SUM(F281,K281)&gt;$Z281,"O","U"))</f>
        <v>U</v>
      </c>
      <c r="W281" s="42" t="str">
        <f t="shared" ref="W281:W299" si="149">IF(SUM(G281,L281)=$Z281,"T",IF(SUM(G281,L281)&gt;$Z281,"O","U"))</f>
        <v>U</v>
      </c>
      <c r="X281" s="42" t="str">
        <f t="shared" ref="X281:X299" si="150">IF(SUM(H281,M281)=$Z281,"T",IF(SUM(H281,M281)&gt;$Z281,"O","U"))</f>
        <v>U</v>
      </c>
      <c r="Z281" s="42">
        <v>53.5</v>
      </c>
      <c r="AB281" s="42" t="str">
        <f t="shared" ref="AB281" si="151">C281&amp;"/"&amp;D281</f>
        <v>SAC/DEN</v>
      </c>
      <c r="AC281" s="42">
        <f t="shared" ref="AC281" si="152">COUNTIF(U281:X281,"o")</f>
        <v>0</v>
      </c>
      <c r="AD281" s="42">
        <f t="shared" ref="AD281" si="153">COUNTIF(U281:X281,"u")</f>
        <v>4</v>
      </c>
    </row>
    <row r="282" spans="1:30" ht="17.100000000000001" x14ac:dyDescent="0.45">
      <c r="A282" s="42">
        <v>191201</v>
      </c>
      <c r="B282" s="44">
        <v>0.375</v>
      </c>
      <c r="C282" s="11" t="s">
        <v>315</v>
      </c>
      <c r="D282" s="11" t="s">
        <v>316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N282" s="42"/>
      <c r="O282" s="42">
        <f t="shared" si="141"/>
        <v>119</v>
      </c>
      <c r="P282" s="42">
        <f t="shared" si="142"/>
        <v>116</v>
      </c>
      <c r="Q282" s="42" t="str">
        <f t="shared" si="143"/>
        <v>HW</v>
      </c>
      <c r="R282" s="42" t="str">
        <f t="shared" si="144"/>
        <v>HL</v>
      </c>
      <c r="S282" s="42" t="str">
        <f t="shared" si="145"/>
        <v>TT</v>
      </c>
      <c r="T282" s="42" t="str">
        <f t="shared" si="146"/>
        <v>HW</v>
      </c>
      <c r="U282" s="42" t="str">
        <f t="shared" si="147"/>
        <v>O</v>
      </c>
      <c r="V282" s="42" t="str">
        <f t="shared" si="148"/>
        <v>O</v>
      </c>
      <c r="W282" s="42" t="str">
        <f t="shared" si="149"/>
        <v>O</v>
      </c>
      <c r="X282" s="42" t="str">
        <f t="shared" si="150"/>
        <v>U</v>
      </c>
      <c r="Z282" s="42">
        <v>53.5</v>
      </c>
      <c r="AB282" s="42" t="str">
        <f t="shared" ref="AB282:AB299" si="154">C282&amp;"/"&amp;D282</f>
        <v>PHI/IND</v>
      </c>
      <c r="AC282" s="42">
        <f t="shared" ref="AC282:AC299" si="155">COUNTIF(U282:X282,"o")</f>
        <v>3</v>
      </c>
      <c r="AD282" s="42">
        <f t="shared" ref="AD282:AD299" si="156">COUNTIF(U282:X282,"u")</f>
        <v>1</v>
      </c>
    </row>
    <row r="283" spans="1:30" ht="17.100000000000001" x14ac:dyDescent="0.45">
      <c r="A283" s="42">
        <v>191201</v>
      </c>
      <c r="B283" s="44">
        <v>0.41666666666666669</v>
      </c>
      <c r="C283" s="15" t="s">
        <v>317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N283" s="42"/>
      <c r="O283" s="42">
        <f t="shared" si="141"/>
        <v>158</v>
      </c>
      <c r="P283" s="42">
        <f t="shared" si="142"/>
        <v>111</v>
      </c>
      <c r="Q283" s="42" t="str">
        <f t="shared" si="143"/>
        <v>HW</v>
      </c>
      <c r="R283" s="42" t="str">
        <f t="shared" si="144"/>
        <v>HW</v>
      </c>
      <c r="S283" s="42" t="str">
        <f t="shared" si="145"/>
        <v>HW</v>
      </c>
      <c r="T283" s="42" t="str">
        <f t="shared" si="146"/>
        <v>HL</v>
      </c>
      <c r="U283" s="42" t="str">
        <f t="shared" si="147"/>
        <v>U</v>
      </c>
      <c r="V283" s="42" t="str">
        <f t="shared" si="148"/>
        <v>O</v>
      </c>
      <c r="W283" s="42" t="str">
        <f t="shared" si="149"/>
        <v>O</v>
      </c>
      <c r="X283" s="42" t="str">
        <f t="shared" si="150"/>
        <v>O</v>
      </c>
      <c r="Z283" s="42">
        <v>60.5</v>
      </c>
      <c r="AB283" s="42" t="str">
        <f t="shared" si="154"/>
        <v>HOU/ATL</v>
      </c>
      <c r="AC283" s="42">
        <f t="shared" si="155"/>
        <v>3</v>
      </c>
      <c r="AD283" s="42">
        <f t="shared" si="156"/>
        <v>1</v>
      </c>
    </row>
    <row r="284" spans="1:30" ht="17.100000000000001" x14ac:dyDescent="0.45">
      <c r="A284" s="42">
        <v>191201</v>
      </c>
      <c r="B284" s="44">
        <v>0.41666666666666669</v>
      </c>
      <c r="C284" s="42" t="s">
        <v>319</v>
      </c>
      <c r="D284" s="11" t="s">
        <v>320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N284" s="42"/>
      <c r="O284" s="42">
        <f t="shared" si="141"/>
        <v>137</v>
      </c>
      <c r="P284" s="42">
        <f t="shared" si="142"/>
        <v>96</v>
      </c>
      <c r="Q284" s="42" t="str">
        <f t="shared" si="143"/>
        <v>HW</v>
      </c>
      <c r="R284" s="42" t="str">
        <f t="shared" si="144"/>
        <v>HW</v>
      </c>
      <c r="S284" s="42" t="str">
        <f t="shared" si="145"/>
        <v>HW</v>
      </c>
      <c r="T284" s="42" t="str">
        <f t="shared" si="146"/>
        <v>HW</v>
      </c>
      <c r="U284" s="42" t="str">
        <f t="shared" si="147"/>
        <v>U</v>
      </c>
      <c r="V284" s="42" t="str">
        <f t="shared" si="148"/>
        <v>T</v>
      </c>
      <c r="W284" s="42" t="str">
        <f t="shared" si="149"/>
        <v>O</v>
      </c>
      <c r="X284" s="42" t="str">
        <f t="shared" si="150"/>
        <v>U</v>
      </c>
      <c r="Z284" s="42">
        <v>58</v>
      </c>
      <c r="AB284" s="42" t="str">
        <f t="shared" si="154"/>
        <v>MIL/CHA</v>
      </c>
      <c r="AC284" s="42">
        <f t="shared" si="155"/>
        <v>1</v>
      </c>
      <c r="AD284" s="42">
        <f t="shared" si="156"/>
        <v>2</v>
      </c>
    </row>
    <row r="285" spans="1:30" ht="17.100000000000001" x14ac:dyDescent="0.45">
      <c r="A285" s="42">
        <v>191202</v>
      </c>
      <c r="B285" s="44">
        <v>0.20833333333333334</v>
      </c>
      <c r="C285" s="42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N285" s="42"/>
      <c r="O285" s="42">
        <f t="shared" si="141"/>
        <v>106</v>
      </c>
      <c r="P285" s="42">
        <f t="shared" si="142"/>
        <v>109</v>
      </c>
      <c r="Q285" s="42" t="str">
        <f t="shared" si="143"/>
        <v>HL</v>
      </c>
      <c r="R285" s="42" t="str">
        <f t="shared" si="144"/>
        <v>HW</v>
      </c>
      <c r="S285" s="42" t="str">
        <f t="shared" si="145"/>
        <v>HL</v>
      </c>
      <c r="T285" s="42" t="str">
        <f t="shared" si="146"/>
        <v>HL</v>
      </c>
      <c r="U285" s="42" t="str">
        <f t="shared" si="147"/>
        <v>O</v>
      </c>
      <c r="V285" s="42" t="str">
        <f t="shared" si="148"/>
        <v>O</v>
      </c>
      <c r="W285" s="42" t="str">
        <f t="shared" si="149"/>
        <v>U</v>
      </c>
      <c r="X285" s="42" t="str">
        <f t="shared" si="150"/>
        <v>U</v>
      </c>
      <c r="Z285" s="42">
        <v>55.5</v>
      </c>
      <c r="AB285" s="42" t="str">
        <f t="shared" si="154"/>
        <v>BKN/MIA</v>
      </c>
      <c r="AC285" s="42">
        <f t="shared" si="155"/>
        <v>2</v>
      </c>
      <c r="AD285" s="42">
        <f t="shared" si="156"/>
        <v>2</v>
      </c>
    </row>
    <row r="286" spans="1:30" ht="17.100000000000001" x14ac:dyDescent="0.45">
      <c r="A286" s="42">
        <v>191202</v>
      </c>
      <c r="B286" s="44">
        <v>0.22916666666666666</v>
      </c>
      <c r="C286" s="42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N286" s="42"/>
      <c r="O286" s="42">
        <f t="shared" si="141"/>
        <v>107</v>
      </c>
      <c r="P286" s="42">
        <f t="shared" si="142"/>
        <v>115</v>
      </c>
      <c r="Q286" s="42" t="str">
        <f t="shared" si="143"/>
        <v>HL</v>
      </c>
      <c r="R286" s="42" t="str">
        <f t="shared" si="144"/>
        <v>HW</v>
      </c>
      <c r="S286" s="42" t="str">
        <f t="shared" si="145"/>
        <v>HL</v>
      </c>
      <c r="T286" s="42" t="str">
        <f t="shared" si="146"/>
        <v>HL</v>
      </c>
      <c r="U286" s="42" t="str">
        <f t="shared" si="147"/>
        <v>U</v>
      </c>
      <c r="V286" s="42" t="str">
        <f t="shared" si="148"/>
        <v>U</v>
      </c>
      <c r="W286" s="42" t="str">
        <f t="shared" si="149"/>
        <v>O</v>
      </c>
      <c r="X286" s="42" t="str">
        <f t="shared" si="150"/>
        <v>O</v>
      </c>
      <c r="Z286" s="42">
        <v>56.5</v>
      </c>
      <c r="AB286" s="42" t="str">
        <f t="shared" si="154"/>
        <v>MIN/MEM</v>
      </c>
      <c r="AC286" s="42">
        <f t="shared" si="155"/>
        <v>2</v>
      </c>
      <c r="AD286" s="42">
        <f t="shared" si="156"/>
        <v>2</v>
      </c>
    </row>
    <row r="287" spans="1:30" ht="17.100000000000001" x14ac:dyDescent="0.45">
      <c r="A287" s="42">
        <v>191202</v>
      </c>
      <c r="B287" s="44">
        <v>0.22916666666666666</v>
      </c>
      <c r="C287" s="42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N287" s="42"/>
      <c r="O287" s="42">
        <f t="shared" si="141"/>
        <v>104</v>
      </c>
      <c r="P287" s="42">
        <f t="shared" si="142"/>
        <v>113</v>
      </c>
      <c r="Q287" s="42" t="str">
        <f t="shared" si="143"/>
        <v>HL</v>
      </c>
      <c r="R287" s="42" t="str">
        <f t="shared" si="144"/>
        <v>HW</v>
      </c>
      <c r="S287" s="42" t="str">
        <f t="shared" si="145"/>
        <v>HW</v>
      </c>
      <c r="T287" s="42" t="str">
        <f t="shared" si="146"/>
        <v>HL</v>
      </c>
      <c r="U287" s="42" t="str">
        <f t="shared" si="147"/>
        <v>O</v>
      </c>
      <c r="V287" s="42" t="str">
        <f t="shared" si="148"/>
        <v>O</v>
      </c>
      <c r="W287" s="42" t="str">
        <f t="shared" si="149"/>
        <v>U</v>
      </c>
      <c r="X287" s="42" t="str">
        <f t="shared" si="150"/>
        <v>T</v>
      </c>
      <c r="Z287" s="42">
        <v>51</v>
      </c>
      <c r="AB287" s="42" t="str">
        <f t="shared" si="154"/>
        <v>NYK/BOS</v>
      </c>
      <c r="AC287" s="42">
        <f t="shared" si="155"/>
        <v>2</v>
      </c>
      <c r="AD287" s="42">
        <f t="shared" si="156"/>
        <v>1</v>
      </c>
    </row>
    <row r="288" spans="1:30" ht="17.100000000000001" x14ac:dyDescent="0.45">
      <c r="A288" s="42">
        <v>191202</v>
      </c>
      <c r="B288" s="44">
        <v>0.25</v>
      </c>
      <c r="C288" s="42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N288" s="42"/>
      <c r="O288" s="42">
        <f t="shared" si="141"/>
        <v>100</v>
      </c>
      <c r="P288" s="42">
        <f t="shared" si="142"/>
        <v>114</v>
      </c>
      <c r="Q288" s="42" t="str">
        <f t="shared" si="143"/>
        <v>HW</v>
      </c>
      <c r="R288" s="42" t="str">
        <f t="shared" si="144"/>
        <v>HL</v>
      </c>
      <c r="S288" s="42" t="str">
        <f t="shared" si="145"/>
        <v>HL</v>
      </c>
      <c r="T288" s="42" t="str">
        <f t="shared" si="146"/>
        <v>HW</v>
      </c>
      <c r="U288" s="42" t="str">
        <f t="shared" si="147"/>
        <v>U</v>
      </c>
      <c r="V288" s="42" t="str">
        <f t="shared" si="148"/>
        <v>O</v>
      </c>
      <c r="W288" s="42" t="str">
        <f t="shared" si="149"/>
        <v>U</v>
      </c>
      <c r="X288" s="42" t="str">
        <f t="shared" si="150"/>
        <v>U</v>
      </c>
      <c r="Z288" s="42">
        <v>57.5</v>
      </c>
      <c r="AB288" s="42" t="str">
        <f t="shared" si="154"/>
        <v>LAL/DAL</v>
      </c>
      <c r="AC288" s="42">
        <f t="shared" si="155"/>
        <v>1</v>
      </c>
      <c r="AD288" s="42">
        <f t="shared" si="156"/>
        <v>3</v>
      </c>
    </row>
    <row r="289" spans="1:30" ht="17.100000000000001" x14ac:dyDescent="0.45">
      <c r="A289" s="42">
        <v>191202</v>
      </c>
      <c r="B289" s="44">
        <v>0.29166666666666669</v>
      </c>
      <c r="C289" s="42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N289" s="42"/>
      <c r="O289" s="42">
        <f t="shared" si="141"/>
        <v>104</v>
      </c>
      <c r="P289" s="42">
        <f t="shared" si="142"/>
        <v>107</v>
      </c>
      <c r="Q289" s="42" t="str">
        <f t="shared" si="143"/>
        <v>HL</v>
      </c>
      <c r="R289" s="42" t="str">
        <f t="shared" si="144"/>
        <v>HW</v>
      </c>
      <c r="S289" s="42" t="str">
        <f t="shared" si="145"/>
        <v>HL</v>
      </c>
      <c r="T289" s="42" t="str">
        <f t="shared" si="146"/>
        <v>HW</v>
      </c>
      <c r="U289" s="42" t="str">
        <f t="shared" si="147"/>
        <v>O</v>
      </c>
      <c r="V289" s="42" t="str">
        <f t="shared" si="148"/>
        <v>U</v>
      </c>
      <c r="W289" s="42" t="str">
        <f t="shared" si="149"/>
        <v>U</v>
      </c>
      <c r="X289" s="42" t="str">
        <f t="shared" si="150"/>
        <v>U</v>
      </c>
      <c r="Z289" s="42">
        <v>58.5</v>
      </c>
      <c r="AB289" s="42" t="str">
        <f t="shared" si="154"/>
        <v>NO/OKC</v>
      </c>
      <c r="AC289" s="42">
        <f t="shared" si="155"/>
        <v>1</v>
      </c>
      <c r="AD289" s="42">
        <f t="shared" si="156"/>
        <v>3</v>
      </c>
    </row>
    <row r="290" spans="1:30" ht="17.100000000000001" x14ac:dyDescent="0.45">
      <c r="A290" s="42">
        <v>191202</v>
      </c>
      <c r="B290" s="44">
        <v>0.29166666666666669</v>
      </c>
      <c r="C290" s="42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N290" s="42"/>
      <c r="O290" s="42">
        <f t="shared" si="141"/>
        <v>132</v>
      </c>
      <c r="P290" s="42">
        <f t="shared" si="142"/>
        <v>98</v>
      </c>
      <c r="Q290" s="42" t="str">
        <f t="shared" si="143"/>
        <v>HW</v>
      </c>
      <c r="R290" s="42" t="str">
        <f t="shared" si="144"/>
        <v>HW</v>
      </c>
      <c r="S290" s="42" t="str">
        <f t="shared" si="145"/>
        <v>HW</v>
      </c>
      <c r="T290" s="42" t="str">
        <f t="shared" si="146"/>
        <v>HW</v>
      </c>
      <c r="U290" s="42" t="str">
        <f t="shared" si="147"/>
        <v>O</v>
      </c>
      <c r="V290" s="42" t="str">
        <f t="shared" si="148"/>
        <v>U</v>
      </c>
      <c r="W290" s="42" t="str">
        <f t="shared" si="149"/>
        <v>O</v>
      </c>
      <c r="X290" s="42" t="str">
        <f t="shared" si="150"/>
        <v>O</v>
      </c>
      <c r="Z290" s="42">
        <v>53</v>
      </c>
      <c r="AB290" s="42" t="str">
        <f t="shared" si="154"/>
        <v>DET/SAS</v>
      </c>
      <c r="AC290" s="42">
        <f t="shared" si="155"/>
        <v>3</v>
      </c>
      <c r="AD290" s="42">
        <f t="shared" si="156"/>
        <v>1</v>
      </c>
    </row>
    <row r="291" spans="1:30" ht="17.100000000000001" x14ac:dyDescent="0.45">
      <c r="A291" s="42">
        <v>191202</v>
      </c>
      <c r="B291" s="44">
        <v>0.33333333333333331</v>
      </c>
      <c r="C291" s="42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N291" s="42"/>
      <c r="O291" s="42">
        <f t="shared" si="141"/>
        <v>100</v>
      </c>
      <c r="P291" s="42">
        <f t="shared" si="142"/>
        <v>96</v>
      </c>
      <c r="Q291" s="42" t="str">
        <f t="shared" si="143"/>
        <v>HW</v>
      </c>
      <c r="R291" s="42" t="str">
        <f t="shared" si="144"/>
        <v>HL</v>
      </c>
      <c r="S291" s="42" t="str">
        <f t="shared" si="145"/>
        <v>HW</v>
      </c>
      <c r="T291" s="42" t="str">
        <f t="shared" si="146"/>
        <v>HW</v>
      </c>
      <c r="U291" s="42" t="str">
        <f t="shared" si="147"/>
        <v>U</v>
      </c>
      <c r="V291" s="42" t="str">
        <f t="shared" si="148"/>
        <v>O</v>
      </c>
      <c r="W291" s="42" t="str">
        <f t="shared" si="149"/>
        <v>U</v>
      </c>
      <c r="X291" s="42" t="str">
        <f t="shared" si="150"/>
        <v>T</v>
      </c>
      <c r="Z291" s="42">
        <v>53</v>
      </c>
      <c r="AB291" s="42" t="str">
        <f t="shared" si="154"/>
        <v>ORL/GS</v>
      </c>
      <c r="AC291" s="42">
        <f t="shared" si="155"/>
        <v>1</v>
      </c>
      <c r="AD291" s="42">
        <f t="shared" si="156"/>
        <v>2</v>
      </c>
    </row>
    <row r="292" spans="1:30" ht="17.100000000000001" x14ac:dyDescent="0.45">
      <c r="A292" s="42">
        <v>191202</v>
      </c>
      <c r="B292" s="44">
        <v>0.33333333333333331</v>
      </c>
      <c r="C292" s="4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N292" s="42"/>
      <c r="O292" s="42">
        <f t="shared" si="141"/>
        <v>130</v>
      </c>
      <c r="P292" s="42">
        <f t="shared" si="142"/>
        <v>110</v>
      </c>
      <c r="Q292" s="42" t="str">
        <f t="shared" si="143"/>
        <v>HW</v>
      </c>
      <c r="R292" s="42" t="str">
        <f t="shared" si="144"/>
        <v>HW</v>
      </c>
      <c r="S292" s="42" t="str">
        <f t="shared" si="145"/>
        <v>HL</v>
      </c>
      <c r="T292" s="42" t="str">
        <f t="shared" si="146"/>
        <v>HL</v>
      </c>
      <c r="U292" s="42" t="str">
        <f t="shared" si="147"/>
        <v>O</v>
      </c>
      <c r="V292" s="42" t="str">
        <f t="shared" si="148"/>
        <v>O</v>
      </c>
      <c r="W292" s="42" t="str">
        <f t="shared" si="149"/>
        <v>O</v>
      </c>
      <c r="X292" s="42" t="str">
        <f t="shared" si="150"/>
        <v>U</v>
      </c>
      <c r="Z292" s="42">
        <v>51.5</v>
      </c>
      <c r="AB292" s="42" t="str">
        <f t="shared" si="154"/>
        <v>TOR/UTA</v>
      </c>
      <c r="AC292" s="42">
        <f t="shared" si="155"/>
        <v>3</v>
      </c>
      <c r="AD292" s="42">
        <f t="shared" si="156"/>
        <v>1</v>
      </c>
    </row>
    <row r="293" spans="1:30" ht="17.100000000000001" x14ac:dyDescent="0.45">
      <c r="A293" s="42">
        <v>191202</v>
      </c>
      <c r="B293" s="44">
        <v>0.52083333333333337</v>
      </c>
      <c r="C293" s="42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N293" s="42"/>
      <c r="O293" s="42">
        <f t="shared" si="141"/>
        <v>150</v>
      </c>
      <c r="P293" s="42">
        <f t="shared" si="142"/>
        <v>125</v>
      </c>
      <c r="Q293" s="42" t="str">
        <f t="shared" si="143"/>
        <v>HW</v>
      </c>
      <c r="R293" s="42" t="str">
        <f t="shared" si="144"/>
        <v>HW</v>
      </c>
      <c r="S293" s="42" t="str">
        <f t="shared" si="145"/>
        <v>HL</v>
      </c>
      <c r="T293" s="42" t="str">
        <f t="shared" si="146"/>
        <v>HW</v>
      </c>
      <c r="U293" s="42" t="str">
        <f t="shared" si="147"/>
        <v>O</v>
      </c>
      <c r="V293" s="42" t="str">
        <f t="shared" si="148"/>
        <v>O</v>
      </c>
      <c r="W293" s="42" t="str">
        <f t="shared" si="149"/>
        <v>O</v>
      </c>
      <c r="X293" s="42" t="str">
        <f t="shared" si="150"/>
        <v>U</v>
      </c>
      <c r="Z293" s="42">
        <v>61.5</v>
      </c>
      <c r="AB293" s="42" t="str">
        <f t="shared" si="154"/>
        <v>LAC/WAS</v>
      </c>
      <c r="AC293" s="42">
        <f t="shared" si="155"/>
        <v>3</v>
      </c>
      <c r="AD293" s="42">
        <f t="shared" si="156"/>
        <v>1</v>
      </c>
    </row>
    <row r="294" spans="1:30" ht="17.100000000000001" x14ac:dyDescent="0.45">
      <c r="A294" s="42">
        <v>191203</v>
      </c>
      <c r="B294" s="44">
        <v>0.375</v>
      </c>
      <c r="C294" s="42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N294" s="42"/>
      <c r="O294" s="42">
        <f t="shared" si="141"/>
        <v>103</v>
      </c>
      <c r="P294" s="42">
        <f t="shared" si="142"/>
        <v>94</v>
      </c>
      <c r="Q294" s="42" t="str">
        <f t="shared" si="143"/>
        <v>HW</v>
      </c>
      <c r="R294" s="42" t="str">
        <f t="shared" si="144"/>
        <v>HW</v>
      </c>
      <c r="S294" s="42" t="str">
        <f t="shared" si="145"/>
        <v>HW</v>
      </c>
      <c r="T294" s="42" t="str">
        <f t="shared" si="146"/>
        <v>HL</v>
      </c>
      <c r="U294" s="42" t="str">
        <f t="shared" si="147"/>
        <v>O</v>
      </c>
      <c r="V294" s="42" t="str">
        <f t="shared" si="148"/>
        <v>U</v>
      </c>
      <c r="W294" s="42" t="str">
        <f t="shared" si="149"/>
        <v>U</v>
      </c>
      <c r="X294" s="42" t="str">
        <f t="shared" si="150"/>
        <v>U</v>
      </c>
      <c r="Z294" s="42">
        <v>51</v>
      </c>
      <c r="AB294" s="42" t="str">
        <f t="shared" si="154"/>
        <v>PHI/UTA</v>
      </c>
      <c r="AC294" s="42">
        <f t="shared" si="155"/>
        <v>1</v>
      </c>
      <c r="AD294" s="42">
        <f t="shared" si="156"/>
        <v>3</v>
      </c>
    </row>
    <row r="295" spans="1:30" ht="17.100000000000001" x14ac:dyDescent="0.45">
      <c r="A295" s="42">
        <v>191203</v>
      </c>
      <c r="B295" s="44">
        <v>0.375</v>
      </c>
      <c r="C295" s="42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N295" s="42"/>
      <c r="O295" s="42">
        <f t="shared" si="141"/>
        <v>104</v>
      </c>
      <c r="P295" s="42">
        <f t="shared" si="142"/>
        <v>109</v>
      </c>
      <c r="Q295" s="42" t="str">
        <f t="shared" si="143"/>
        <v>HL</v>
      </c>
      <c r="R295" s="42" t="str">
        <f t="shared" si="144"/>
        <v>HL</v>
      </c>
      <c r="S295" s="42" t="str">
        <f t="shared" si="145"/>
        <v>HW</v>
      </c>
      <c r="T295" s="42" t="str">
        <f t="shared" si="146"/>
        <v>HW</v>
      </c>
      <c r="U295" s="42" t="str">
        <f t="shared" si="147"/>
        <v>U</v>
      </c>
      <c r="V295" s="42" t="str">
        <f t="shared" si="148"/>
        <v>U</v>
      </c>
      <c r="W295" s="42" t="str">
        <f t="shared" si="149"/>
        <v>O</v>
      </c>
      <c r="X295" s="42" t="str">
        <f t="shared" si="150"/>
        <v>O</v>
      </c>
      <c r="Z295" s="42">
        <v>54.5</v>
      </c>
      <c r="AB295" s="42" t="str">
        <f t="shared" si="154"/>
        <v>CHA/PHO</v>
      </c>
      <c r="AC295" s="42">
        <f t="shared" si="155"/>
        <v>2</v>
      </c>
      <c r="AD295" s="42">
        <f t="shared" si="156"/>
        <v>2</v>
      </c>
    </row>
    <row r="296" spans="1:30" ht="17.100000000000001" x14ac:dyDescent="0.45">
      <c r="A296" s="42">
        <v>191203</v>
      </c>
      <c r="B296" s="44">
        <v>0.39583333333333331</v>
      </c>
      <c r="C296" s="42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N296" s="42"/>
      <c r="O296" s="42">
        <f t="shared" si="141"/>
        <v>104</v>
      </c>
      <c r="P296" s="42">
        <f t="shared" si="142"/>
        <v>79</v>
      </c>
      <c r="Q296" s="42" t="str">
        <f t="shared" si="143"/>
        <v>HL</v>
      </c>
      <c r="R296" s="42" t="str">
        <f t="shared" si="144"/>
        <v>HW</v>
      </c>
      <c r="S296" s="42" t="str">
        <f t="shared" si="145"/>
        <v>HW</v>
      </c>
      <c r="T296" s="42" t="str">
        <f t="shared" si="146"/>
        <v>HW</v>
      </c>
      <c r="U296" s="42" t="str">
        <f t="shared" si="147"/>
        <v>U</v>
      </c>
      <c r="V296" s="42" t="str">
        <f t="shared" si="148"/>
        <v>U</v>
      </c>
      <c r="W296" s="42" t="str">
        <f t="shared" si="149"/>
        <v>U</v>
      </c>
      <c r="X296" s="42" t="str">
        <f t="shared" si="150"/>
        <v>U</v>
      </c>
      <c r="Z296" s="42">
        <v>57</v>
      </c>
      <c r="AB296" s="42" t="str">
        <f t="shared" si="154"/>
        <v>ATL/GS</v>
      </c>
      <c r="AC296" s="42">
        <f t="shared" si="155"/>
        <v>0</v>
      </c>
      <c r="AD296" s="42">
        <f t="shared" si="156"/>
        <v>4</v>
      </c>
    </row>
    <row r="297" spans="1:30" ht="17.100000000000001" x14ac:dyDescent="0.45">
      <c r="A297" s="42">
        <v>191203</v>
      </c>
      <c r="B297" s="44">
        <v>0.41666666666666669</v>
      </c>
      <c r="C297" s="42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N297" s="42"/>
      <c r="O297" s="42">
        <f t="shared" si="141"/>
        <v>132</v>
      </c>
      <c r="P297" s="42">
        <f t="shared" si="142"/>
        <v>88</v>
      </c>
      <c r="Q297" s="42" t="str">
        <f t="shared" si="143"/>
        <v>HW</v>
      </c>
      <c r="R297" s="42" t="str">
        <f t="shared" si="144"/>
        <v>HW</v>
      </c>
      <c r="S297" s="42" t="str">
        <f t="shared" si="145"/>
        <v>HW</v>
      </c>
      <c r="T297" s="42" t="str">
        <f t="shared" si="146"/>
        <v>HW</v>
      </c>
      <c r="U297" s="42" t="str">
        <f t="shared" si="147"/>
        <v>U</v>
      </c>
      <c r="V297" s="42" t="str">
        <f t="shared" si="148"/>
        <v>O</v>
      </c>
      <c r="W297" s="42" t="str">
        <f t="shared" si="149"/>
        <v>U</v>
      </c>
      <c r="X297" s="42" t="str">
        <f t="shared" si="150"/>
        <v>O</v>
      </c>
      <c r="Z297" s="42">
        <v>57</v>
      </c>
      <c r="AB297" s="42" t="str">
        <f t="shared" si="154"/>
        <v>MIL/NYK</v>
      </c>
      <c r="AC297" s="42">
        <f t="shared" si="155"/>
        <v>2</v>
      </c>
      <c r="AD297" s="42">
        <f t="shared" si="156"/>
        <v>2</v>
      </c>
    </row>
    <row r="298" spans="1:30" ht="17.100000000000001" x14ac:dyDescent="0.45">
      <c r="A298" s="42">
        <v>191203</v>
      </c>
      <c r="B298" s="44">
        <v>0.41666666666666669</v>
      </c>
      <c r="C298" s="42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N298" s="42"/>
      <c r="O298" s="42">
        <f t="shared" si="141"/>
        <v>104</v>
      </c>
      <c r="P298" s="42">
        <f t="shared" si="142"/>
        <v>117</v>
      </c>
      <c r="Q298" s="42" t="str">
        <f t="shared" si="143"/>
        <v>HL</v>
      </c>
      <c r="R298" s="42" t="str">
        <f t="shared" si="144"/>
        <v>HL</v>
      </c>
      <c r="S298" s="42" t="str">
        <f t="shared" si="145"/>
        <v>HL</v>
      </c>
      <c r="T298" s="42" t="str">
        <f t="shared" si="146"/>
        <v>HL</v>
      </c>
      <c r="U298" s="42" t="str">
        <f t="shared" si="147"/>
        <v>U</v>
      </c>
      <c r="V298" s="42" t="str">
        <f t="shared" si="148"/>
        <v>O</v>
      </c>
      <c r="W298" s="42" t="str">
        <f t="shared" si="149"/>
        <v>U</v>
      </c>
      <c r="X298" s="42" t="str">
        <f t="shared" si="150"/>
        <v>O</v>
      </c>
      <c r="Z298" s="42">
        <v>56</v>
      </c>
      <c r="AB298" s="42" t="str">
        <f t="shared" si="154"/>
        <v>MEM/IND</v>
      </c>
      <c r="AC298" s="42">
        <f t="shared" si="155"/>
        <v>2</v>
      </c>
      <c r="AD298" s="42">
        <f t="shared" si="156"/>
        <v>2</v>
      </c>
    </row>
    <row r="299" spans="1:30" ht="17.100000000000001" x14ac:dyDescent="0.45">
      <c r="A299" s="42">
        <v>191203</v>
      </c>
      <c r="B299" s="44">
        <v>0.5</v>
      </c>
      <c r="C299" s="42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N299" s="42"/>
      <c r="O299" s="42">
        <f t="shared" si="141"/>
        <v>106</v>
      </c>
      <c r="P299" s="42">
        <f t="shared" si="142"/>
        <v>113</v>
      </c>
      <c r="Q299" s="42" t="str">
        <f t="shared" si="143"/>
        <v>HW</v>
      </c>
      <c r="R299" s="42" t="str">
        <f t="shared" si="144"/>
        <v>HL</v>
      </c>
      <c r="S299" s="42" t="str">
        <f t="shared" si="145"/>
        <v>HW</v>
      </c>
      <c r="T299" s="42" t="str">
        <f t="shared" si="146"/>
        <v>HW</v>
      </c>
      <c r="U299" s="42" t="str">
        <f t="shared" si="147"/>
        <v>U</v>
      </c>
      <c r="V299" s="42" t="str">
        <f t="shared" si="148"/>
        <v>U</v>
      </c>
      <c r="W299" s="42" t="str">
        <f t="shared" si="149"/>
        <v>O</v>
      </c>
      <c r="X299" s="42" t="str">
        <f t="shared" si="150"/>
        <v>O</v>
      </c>
      <c r="Z299" s="42">
        <v>54.5</v>
      </c>
      <c r="AB299" s="42" t="str">
        <f t="shared" si="154"/>
        <v>SAC/CHI</v>
      </c>
      <c r="AC299" s="42">
        <f t="shared" si="155"/>
        <v>2</v>
      </c>
      <c r="AD299" s="42">
        <f t="shared" si="156"/>
        <v>2</v>
      </c>
    </row>
    <row r="300" spans="1:30" ht="17.100000000000001" x14ac:dyDescent="0.45">
      <c r="A300" s="42">
        <v>191204</v>
      </c>
      <c r="B300" s="44">
        <v>0.375</v>
      </c>
      <c r="C300" s="42" t="s">
        <v>347</v>
      </c>
      <c r="D300" s="5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N300" s="42"/>
      <c r="O300" s="42">
        <f t="shared" ref="O300:O306" si="157">SUM(E300:I300)</f>
        <v>94</v>
      </c>
      <c r="P300" s="42">
        <f t="shared" ref="P300:P306" si="158">SUM(J300:N300)</f>
        <v>127</v>
      </c>
      <c r="Q300" s="42" t="str">
        <f t="shared" ref="Q300:Q306" si="159">IF(E300=J300,"TT",IF(E300&gt;J300,"HW","HL"))</f>
        <v>HL</v>
      </c>
      <c r="R300" s="42" t="str">
        <f t="shared" ref="R300:R306" si="160">IF(F300=K300,"TT",IF(F300&gt;K300,"HW","HL"))</f>
        <v>HL</v>
      </c>
      <c r="S300" s="42" t="str">
        <f t="shared" ref="S300:S306" si="161">IF(G300=L300,"TT",IF(G300&gt;L300,"HW","HL"))</f>
        <v>HL</v>
      </c>
      <c r="T300" s="42" t="str">
        <f t="shared" ref="T300:T306" si="162">IF(H300=M300,"TT",IF(H300&gt;M300,"HW","HL"))</f>
        <v>HL</v>
      </c>
      <c r="U300" s="42" t="str">
        <f t="shared" ref="U300:U306" si="163">IF(SUM(E300,J300)=$Z300,"T",IF(SUM(E300,J300)&gt;$Z300,"O","U"))</f>
        <v>O</v>
      </c>
      <c r="V300" s="42" t="str">
        <f t="shared" ref="V300:V306" si="164">IF(SUM(F300,K300)=$Z300,"T",IF(SUM(F300,K300)&gt;$Z300,"O","U"))</f>
        <v>U</v>
      </c>
      <c r="W300" s="42" t="str">
        <f t="shared" ref="W300:W306" si="165">IF(SUM(G300,L300)=$Z300,"T",IF(SUM(G300,L300)&gt;$Z300,"O","U"))</f>
        <v>O</v>
      </c>
      <c r="X300" s="42" t="str">
        <f t="shared" ref="X300:X306" si="166">IF(SUM(H300,M300)=$Z300,"T",IF(SUM(H300,M300)&gt;$Z300,"O","U"))</f>
        <v>T</v>
      </c>
      <c r="Y300" s="42"/>
      <c r="Z300" s="42">
        <v>56</v>
      </c>
      <c r="AB300" s="42" t="str">
        <f t="shared" ref="AB300:AB306" si="167">C300&amp;"/"&amp;D300</f>
        <v>CLE/DET</v>
      </c>
      <c r="AC300" s="42">
        <f t="shared" ref="AC300:AC306" si="168">COUNTIF(U300:X300,"o")</f>
        <v>2</v>
      </c>
      <c r="AD300" s="42">
        <f t="shared" ref="AD300:AD306" si="169">COUNTIF(U300:X300,"u")</f>
        <v>1</v>
      </c>
    </row>
    <row r="301" spans="1:30" ht="17.100000000000001" x14ac:dyDescent="0.45">
      <c r="A301" s="42">
        <v>191204</v>
      </c>
      <c r="B301" s="44">
        <v>0.375</v>
      </c>
      <c r="C301" s="42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N301" s="42"/>
      <c r="O301" s="42">
        <f t="shared" si="157"/>
        <v>120</v>
      </c>
      <c r="P301" s="42">
        <f t="shared" si="158"/>
        <v>127</v>
      </c>
      <c r="Q301" s="42" t="str">
        <f t="shared" si="159"/>
        <v>HL</v>
      </c>
      <c r="R301" s="42" t="str">
        <f t="shared" si="160"/>
        <v>HL</v>
      </c>
      <c r="S301" s="42" t="str">
        <f t="shared" si="161"/>
        <v>HW</v>
      </c>
      <c r="T301" s="42" t="str">
        <f t="shared" si="162"/>
        <v>HW</v>
      </c>
      <c r="U301" s="42" t="str">
        <f t="shared" si="163"/>
        <v>U</v>
      </c>
      <c r="V301" s="42" t="str">
        <f t="shared" si="164"/>
        <v>O</v>
      </c>
      <c r="W301" s="42" t="str">
        <f t="shared" si="165"/>
        <v>O</v>
      </c>
      <c r="X301" s="42" t="str">
        <f t="shared" si="166"/>
        <v>O</v>
      </c>
      <c r="Y301" s="42"/>
      <c r="Z301" s="42">
        <v>58.5</v>
      </c>
      <c r="AB301" s="42" t="str">
        <f t="shared" si="167"/>
        <v>WAS/ORL</v>
      </c>
      <c r="AC301" s="42">
        <f t="shared" si="168"/>
        <v>3</v>
      </c>
      <c r="AD301" s="42">
        <f t="shared" si="169"/>
        <v>1</v>
      </c>
    </row>
    <row r="302" spans="1:30" ht="17.100000000000001" x14ac:dyDescent="0.45">
      <c r="A302" s="42">
        <v>191204</v>
      </c>
      <c r="B302" s="44">
        <v>0.39583333333333331</v>
      </c>
      <c r="C302" s="4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N302" s="42"/>
      <c r="O302" s="42">
        <f t="shared" si="157"/>
        <v>97</v>
      </c>
      <c r="P302" s="42">
        <f t="shared" si="158"/>
        <v>118</v>
      </c>
      <c r="Q302" s="42" t="str">
        <f t="shared" si="159"/>
        <v>TT</v>
      </c>
      <c r="R302" s="42" t="str">
        <f t="shared" si="160"/>
        <v>HL</v>
      </c>
      <c r="S302" s="42" t="str">
        <f t="shared" si="161"/>
        <v>HL</v>
      </c>
      <c r="T302" s="42" t="str">
        <f t="shared" si="162"/>
        <v>HL</v>
      </c>
      <c r="U302" s="42" t="str">
        <f t="shared" si="163"/>
        <v>U</v>
      </c>
      <c r="V302" s="42" t="str">
        <f t="shared" si="164"/>
        <v>O</v>
      </c>
      <c r="W302" s="42" t="str">
        <f t="shared" si="165"/>
        <v>U</v>
      </c>
      <c r="X302" s="42" t="str">
        <f t="shared" si="166"/>
        <v>U</v>
      </c>
      <c r="Y302" s="42"/>
      <c r="Z302" s="42">
        <v>60.5</v>
      </c>
      <c r="AB302" s="42" t="str">
        <f t="shared" si="167"/>
        <v>NO/DAL</v>
      </c>
      <c r="AC302" s="42">
        <f t="shared" si="168"/>
        <v>1</v>
      </c>
      <c r="AD302" s="42">
        <f t="shared" si="169"/>
        <v>3</v>
      </c>
    </row>
    <row r="303" spans="1:30" ht="17.100000000000001" x14ac:dyDescent="0.45">
      <c r="A303" s="42">
        <v>191204</v>
      </c>
      <c r="B303" s="44">
        <v>0.39583333333333331</v>
      </c>
      <c r="C303" s="42" t="s">
        <v>335</v>
      </c>
      <c r="D303" s="5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N303" s="42"/>
      <c r="O303" s="42">
        <f t="shared" si="157"/>
        <v>108</v>
      </c>
      <c r="P303" s="42">
        <f t="shared" si="158"/>
        <v>108</v>
      </c>
      <c r="Q303" s="42" t="str">
        <f t="shared" si="159"/>
        <v>HL</v>
      </c>
      <c r="R303" s="42" t="str">
        <f t="shared" si="160"/>
        <v>HW</v>
      </c>
      <c r="S303" s="42" t="str">
        <f t="shared" si="161"/>
        <v>HW</v>
      </c>
      <c r="T303" s="42" t="str">
        <f t="shared" si="162"/>
        <v>HW</v>
      </c>
      <c r="U303" s="42" t="str">
        <f t="shared" si="163"/>
        <v>T</v>
      </c>
      <c r="V303" s="42" t="str">
        <f t="shared" si="164"/>
        <v>O</v>
      </c>
      <c r="W303" s="42" t="str">
        <f t="shared" si="165"/>
        <v>U</v>
      </c>
      <c r="X303" s="42" t="str">
        <f t="shared" si="166"/>
        <v>U</v>
      </c>
      <c r="Y303" s="42"/>
      <c r="Z303" s="42">
        <v>55</v>
      </c>
      <c r="AB303" s="42" t="str">
        <f t="shared" si="167"/>
        <v>TOR/MIA</v>
      </c>
      <c r="AC303" s="42">
        <f t="shared" si="168"/>
        <v>1</v>
      </c>
      <c r="AD303" s="42">
        <f t="shared" si="169"/>
        <v>2</v>
      </c>
    </row>
    <row r="304" spans="1:30" ht="17.100000000000001" x14ac:dyDescent="0.45">
      <c r="A304" s="42">
        <v>191204</v>
      </c>
      <c r="B304" s="44">
        <v>0.4375</v>
      </c>
      <c r="C304" s="42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57"/>
        <v>135</v>
      </c>
      <c r="P304" s="42">
        <f t="shared" si="158"/>
        <v>133</v>
      </c>
      <c r="Q304" s="42" t="str">
        <f t="shared" si="159"/>
        <v>HW</v>
      </c>
      <c r="R304" s="42" t="str">
        <f t="shared" si="160"/>
        <v>HL</v>
      </c>
      <c r="S304" s="42" t="str">
        <f t="shared" si="161"/>
        <v>HL</v>
      </c>
      <c r="T304" s="42" t="str">
        <f t="shared" si="162"/>
        <v>HW</v>
      </c>
      <c r="U304" s="42" t="str">
        <f t="shared" si="163"/>
        <v>U</v>
      </c>
      <c r="V304" s="42" t="str">
        <f t="shared" si="164"/>
        <v>O</v>
      </c>
      <c r="W304" s="42" t="str">
        <f t="shared" si="165"/>
        <v>U</v>
      </c>
      <c r="X304" s="42" t="str">
        <f t="shared" si="166"/>
        <v>U</v>
      </c>
      <c r="Y304" s="42"/>
      <c r="Z304" s="42">
        <v>60</v>
      </c>
      <c r="AB304" s="42" t="str">
        <f t="shared" si="167"/>
        <v>SAS/HOU</v>
      </c>
      <c r="AC304" s="42">
        <f t="shared" si="168"/>
        <v>1</v>
      </c>
      <c r="AD304" s="42">
        <f t="shared" si="169"/>
        <v>3</v>
      </c>
    </row>
    <row r="305" spans="1:30" ht="17.100000000000001" x14ac:dyDescent="0.45">
      <c r="A305" s="42">
        <v>191204</v>
      </c>
      <c r="B305" s="44">
        <v>0.45833333333333331</v>
      </c>
      <c r="C305" s="42" t="s">
        <v>349</v>
      </c>
      <c r="D305" s="5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N305" s="42"/>
      <c r="O305" s="42">
        <f t="shared" si="157"/>
        <v>96</v>
      </c>
      <c r="P305" s="42">
        <f t="shared" si="158"/>
        <v>105</v>
      </c>
      <c r="Q305" s="42" t="str">
        <f t="shared" si="159"/>
        <v>HL</v>
      </c>
      <c r="R305" s="42" t="str">
        <f t="shared" si="160"/>
        <v>HL</v>
      </c>
      <c r="S305" s="42" t="str">
        <f t="shared" si="161"/>
        <v>HW</v>
      </c>
      <c r="T305" s="42" t="str">
        <f t="shared" si="162"/>
        <v>HL</v>
      </c>
      <c r="U305" s="42" t="str">
        <f t="shared" si="163"/>
        <v>U</v>
      </c>
      <c r="V305" s="42" t="str">
        <f t="shared" si="164"/>
        <v>O</v>
      </c>
      <c r="W305" s="42" t="str">
        <f t="shared" si="165"/>
        <v>U</v>
      </c>
      <c r="X305" s="42" t="str">
        <f t="shared" si="166"/>
        <v>U</v>
      </c>
      <c r="Y305" s="42"/>
      <c r="Z305" s="42">
        <v>54</v>
      </c>
      <c r="AB305" s="42" t="str">
        <f t="shared" si="167"/>
        <v>DEN/LAL</v>
      </c>
      <c r="AC305" s="42">
        <f t="shared" si="168"/>
        <v>1</v>
      </c>
      <c r="AD305" s="42">
        <f t="shared" si="169"/>
        <v>3</v>
      </c>
    </row>
    <row r="306" spans="1:30" ht="17.100000000000001" x14ac:dyDescent="0.45">
      <c r="A306" s="42">
        <v>191204</v>
      </c>
      <c r="B306" s="44">
        <v>0.5</v>
      </c>
      <c r="C306" s="42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N306" s="42"/>
      <c r="O306" s="42">
        <f t="shared" si="157"/>
        <v>117</v>
      </c>
      <c r="P306" s="42">
        <f t="shared" si="158"/>
        <v>97</v>
      </c>
      <c r="Q306" s="42" t="str">
        <f t="shared" si="159"/>
        <v>HL</v>
      </c>
      <c r="R306" s="42" t="str">
        <f t="shared" si="160"/>
        <v>HW</v>
      </c>
      <c r="S306" s="42" t="str">
        <f t="shared" si="161"/>
        <v>HW</v>
      </c>
      <c r="T306" s="42" t="str">
        <f t="shared" si="162"/>
        <v>HW</v>
      </c>
      <c r="U306" s="42" t="str">
        <f t="shared" si="163"/>
        <v>O</v>
      </c>
      <c r="V306" s="42" t="str">
        <f t="shared" si="164"/>
        <v>O</v>
      </c>
      <c r="W306" s="42" t="str">
        <f t="shared" si="165"/>
        <v>U</v>
      </c>
      <c r="X306" s="42" t="str">
        <f t="shared" si="166"/>
        <v>U</v>
      </c>
      <c r="Y306" s="42"/>
      <c r="Z306" s="42">
        <v>58.5</v>
      </c>
      <c r="AB306" s="42" t="str">
        <f t="shared" si="167"/>
        <v>LAC/POR</v>
      </c>
      <c r="AC306" s="42">
        <f t="shared" si="168"/>
        <v>2</v>
      </c>
      <c r="AD306" s="42">
        <f t="shared" si="169"/>
        <v>2</v>
      </c>
    </row>
    <row r="307" spans="1:30" ht="17.100000000000001" x14ac:dyDescent="0.45">
      <c r="A307" s="42">
        <v>191205</v>
      </c>
      <c r="B307" s="44">
        <v>0.375</v>
      </c>
      <c r="C307" s="42" t="s">
        <v>351</v>
      </c>
      <c r="D307" s="5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N307" s="42"/>
      <c r="O307" s="42">
        <f t="shared" ref="O307:O320" si="170">SUM(E307:I307)</f>
        <v>103</v>
      </c>
      <c r="P307" s="42">
        <f t="shared" ref="P307:P320" si="171">SUM(J307:N307)</f>
        <v>127</v>
      </c>
      <c r="Q307" s="42" t="str">
        <f t="shared" ref="Q307:Q320" si="172">IF(E307=J307,"TT",IF(E307&gt;J307,"HW","HL"))</f>
        <v>HW</v>
      </c>
      <c r="R307" s="42" t="str">
        <f t="shared" ref="R307:R320" si="173">IF(F307=K307,"TT",IF(F307&gt;K307,"HW","HL"))</f>
        <v>HL</v>
      </c>
      <c r="S307" s="42" t="str">
        <f t="shared" ref="S307:S320" si="174">IF(G307=L307,"TT",IF(G307&gt;L307,"HW","HL"))</f>
        <v>HL</v>
      </c>
      <c r="T307" s="42" t="str">
        <f t="shared" ref="T307:T320" si="175">IF(H307=M307,"TT",IF(H307&gt;M307,"HW","HL"))</f>
        <v>HL</v>
      </c>
      <c r="U307" s="42" t="str">
        <f t="shared" ref="U307:U320" si="176">IF(SUM(E307,J307)=$Z307,"T",IF(SUM(E307,J307)&gt;$Z307,"O","U"))</f>
        <v>U</v>
      </c>
      <c r="V307" s="42" t="str">
        <f t="shared" ref="V307:V320" si="177">IF(SUM(F307,K307)=$Z307,"T",IF(SUM(F307,K307)&gt;$Z307,"O","U"))</f>
        <v>O</v>
      </c>
      <c r="W307" s="42" t="str">
        <f t="shared" ref="W307:W320" si="178">IF(SUM(G307,L307)=$Z307,"T",IF(SUM(G307,L307)&gt;$Z307,"O","U"))</f>
        <v>O</v>
      </c>
      <c r="X307" s="42" t="str">
        <f t="shared" ref="X307:X320" si="179">IF(SUM(H307,M307)=$Z307,"T",IF(SUM(H307,M307)&gt;$Z307,"O","U"))</f>
        <v>O</v>
      </c>
      <c r="Z307" s="42">
        <v>54.5</v>
      </c>
      <c r="AB307" s="42" t="str">
        <f t="shared" ref="AB307:AB320" si="180">C307&amp;"/"&amp;D307</f>
        <v>DET/MIL</v>
      </c>
      <c r="AC307" s="42">
        <f t="shared" ref="AC307:AC320" si="181">COUNTIF(U307:X307,"o")</f>
        <v>3</v>
      </c>
      <c r="AD307" s="42">
        <f t="shared" ref="AD307:AD320" si="182">COUNTIF(U307:X307,"u")</f>
        <v>1</v>
      </c>
    </row>
    <row r="308" spans="1:30" ht="17.100000000000001" x14ac:dyDescent="0.45">
      <c r="A308" s="42">
        <v>191205</v>
      </c>
      <c r="B308" s="44">
        <v>0.375</v>
      </c>
      <c r="C308" s="42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N308" s="42"/>
      <c r="O308" s="42">
        <f t="shared" si="170"/>
        <v>128</v>
      </c>
      <c r="P308" s="42">
        <f t="shared" si="171"/>
        <v>114</v>
      </c>
      <c r="Q308" s="42" t="str">
        <f t="shared" si="172"/>
        <v>HL</v>
      </c>
      <c r="R308" s="42" t="str">
        <f t="shared" si="173"/>
        <v>HW</v>
      </c>
      <c r="S308" s="42" t="str">
        <f t="shared" si="174"/>
        <v>HW</v>
      </c>
      <c r="T308" s="42" t="str">
        <f t="shared" si="175"/>
        <v>HL</v>
      </c>
      <c r="U308" s="42" t="str">
        <f t="shared" si="176"/>
        <v>O</v>
      </c>
      <c r="V308" s="42" t="str">
        <f t="shared" si="177"/>
        <v>O</v>
      </c>
      <c r="W308" s="42" t="str">
        <f t="shared" si="178"/>
        <v>O</v>
      </c>
      <c r="X308" s="42" t="str">
        <f t="shared" si="179"/>
        <v>O</v>
      </c>
      <c r="Z308" s="42">
        <v>52</v>
      </c>
      <c r="AB308" s="42" t="str">
        <f t="shared" si="180"/>
        <v>ORL/PHO</v>
      </c>
      <c r="AC308" s="42">
        <f t="shared" si="181"/>
        <v>4</v>
      </c>
      <c r="AD308" s="42">
        <f t="shared" si="182"/>
        <v>0</v>
      </c>
    </row>
    <row r="309" spans="1:30" ht="17.100000000000001" x14ac:dyDescent="0.45">
      <c r="A309" s="42">
        <v>191205</v>
      </c>
      <c r="B309" s="44">
        <v>0.375</v>
      </c>
      <c r="C309" s="42" t="s">
        <v>355</v>
      </c>
      <c r="D309" s="5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N309" s="42"/>
      <c r="O309" s="42">
        <f t="shared" si="170"/>
        <v>106</v>
      </c>
      <c r="P309" s="42">
        <f t="shared" si="171"/>
        <v>91</v>
      </c>
      <c r="Q309" s="42" t="str">
        <f t="shared" si="172"/>
        <v>HW</v>
      </c>
      <c r="R309" s="42" t="str">
        <f t="shared" si="173"/>
        <v>HL</v>
      </c>
      <c r="S309" s="42" t="str">
        <f t="shared" si="174"/>
        <v>HW</v>
      </c>
      <c r="T309" s="42" t="str">
        <f t="shared" si="175"/>
        <v>HW</v>
      </c>
      <c r="U309" s="42" t="str">
        <f t="shared" si="176"/>
        <v>U</v>
      </c>
      <c r="V309" s="42" t="str">
        <f t="shared" si="177"/>
        <v>O</v>
      </c>
      <c r="W309" s="42" t="str">
        <f t="shared" si="178"/>
        <v>U</v>
      </c>
      <c r="X309" s="42" t="str">
        <f t="shared" si="179"/>
        <v>U</v>
      </c>
      <c r="Z309" s="42">
        <v>55</v>
      </c>
      <c r="AB309" s="42" t="str">
        <f t="shared" si="180"/>
        <v>CHA/GS</v>
      </c>
      <c r="AC309" s="42">
        <f t="shared" si="181"/>
        <v>1</v>
      </c>
      <c r="AD309" s="42">
        <f t="shared" si="182"/>
        <v>3</v>
      </c>
    </row>
    <row r="310" spans="1:30" ht="17.100000000000001" x14ac:dyDescent="0.45">
      <c r="A310" s="42">
        <v>191205</v>
      </c>
      <c r="B310" s="44">
        <v>0.39583333333333331</v>
      </c>
      <c r="C310" s="42" t="s">
        <v>357</v>
      </c>
      <c r="D310" s="5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N310" s="42"/>
      <c r="O310" s="42">
        <f t="shared" si="170"/>
        <v>118</v>
      </c>
      <c r="P310" s="42">
        <f t="shared" si="171"/>
        <v>130</v>
      </c>
      <c r="Q310" s="42" t="str">
        <f t="shared" si="172"/>
        <v>HW</v>
      </c>
      <c r="R310" s="42" t="str">
        <f t="shared" si="173"/>
        <v>HL</v>
      </c>
      <c r="S310" s="42" t="str">
        <f t="shared" si="174"/>
        <v>TT</v>
      </c>
      <c r="T310" s="42" t="str">
        <f t="shared" si="175"/>
        <v>HL</v>
      </c>
      <c r="U310" s="42" t="str">
        <f t="shared" si="176"/>
        <v>U</v>
      </c>
      <c r="V310" s="42" t="str">
        <f t="shared" si="177"/>
        <v>U</v>
      </c>
      <c r="W310" s="42" t="str">
        <f t="shared" si="178"/>
        <v>O</v>
      </c>
      <c r="X310" s="42" t="str">
        <f t="shared" si="179"/>
        <v>O</v>
      </c>
      <c r="Z310" s="42">
        <v>55.5</v>
      </c>
      <c r="AB310" s="42" t="str">
        <f t="shared" si="180"/>
        <v>ATL/BKN</v>
      </c>
      <c r="AC310" s="42">
        <f t="shared" si="181"/>
        <v>2</v>
      </c>
      <c r="AD310" s="42">
        <f t="shared" si="182"/>
        <v>2</v>
      </c>
    </row>
    <row r="311" spans="1:30" ht="17.100000000000001" x14ac:dyDescent="0.45">
      <c r="A311" s="42">
        <v>191205</v>
      </c>
      <c r="B311" s="44">
        <v>0.39583333333333331</v>
      </c>
      <c r="C311" s="42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N311" s="42"/>
      <c r="O311" s="42">
        <f t="shared" si="170"/>
        <v>112</v>
      </c>
      <c r="P311" s="42">
        <f t="shared" si="171"/>
        <v>93</v>
      </c>
      <c r="Q311" s="42" t="str">
        <f t="shared" si="172"/>
        <v>HL</v>
      </c>
      <c r="R311" s="42" t="str">
        <f t="shared" si="173"/>
        <v>HW</v>
      </c>
      <c r="S311" s="42" t="str">
        <f t="shared" si="174"/>
        <v>HW</v>
      </c>
      <c r="T311" s="42" t="str">
        <f t="shared" si="175"/>
        <v>HW</v>
      </c>
      <c r="U311" s="42" t="str">
        <f t="shared" si="176"/>
        <v>U</v>
      </c>
      <c r="V311" s="42" t="str">
        <f t="shared" si="177"/>
        <v>U</v>
      </c>
      <c r="W311" s="42" t="str">
        <f t="shared" si="178"/>
        <v>O</v>
      </c>
      <c r="X311" s="42" t="str">
        <f t="shared" si="179"/>
        <v>T</v>
      </c>
      <c r="Z311" s="42">
        <v>54</v>
      </c>
      <c r="AB311" s="42" t="str">
        <f t="shared" si="180"/>
        <v>BOS/MIA</v>
      </c>
      <c r="AC311" s="42">
        <f t="shared" si="181"/>
        <v>1</v>
      </c>
      <c r="AD311" s="42">
        <f t="shared" si="182"/>
        <v>2</v>
      </c>
    </row>
    <row r="312" spans="1:30" ht="17.100000000000001" x14ac:dyDescent="0.45">
      <c r="A312" s="42">
        <v>191205</v>
      </c>
      <c r="B312" s="44">
        <v>0.41666666666666669</v>
      </c>
      <c r="C312" s="42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N312" s="42"/>
      <c r="O312" s="42">
        <f t="shared" si="170"/>
        <v>106</v>
      </c>
      <c r="P312" s="42">
        <f t="shared" si="171"/>
        <v>99</v>
      </c>
      <c r="Q312" s="42" t="str">
        <f t="shared" si="172"/>
        <v>HW</v>
      </c>
      <c r="R312" s="42" t="str">
        <f t="shared" si="173"/>
        <v>HW</v>
      </c>
      <c r="S312" s="42" t="str">
        <f t="shared" si="174"/>
        <v>HL</v>
      </c>
      <c r="T312" s="42" t="str">
        <f t="shared" si="175"/>
        <v>HL</v>
      </c>
      <c r="U312" s="42" t="str">
        <f t="shared" si="176"/>
        <v>U</v>
      </c>
      <c r="V312" s="42" t="str">
        <f t="shared" si="177"/>
        <v>U</v>
      </c>
      <c r="W312" s="42" t="str">
        <f t="shared" si="178"/>
        <v>O</v>
      </c>
      <c r="X312" s="42" t="str">
        <f t="shared" si="179"/>
        <v>O</v>
      </c>
      <c r="Z312" s="42">
        <v>54</v>
      </c>
      <c r="AB312" s="42" t="str">
        <f t="shared" si="180"/>
        <v>CHI/MEM</v>
      </c>
      <c r="AC312" s="42">
        <f t="shared" si="181"/>
        <v>2</v>
      </c>
      <c r="AD312" s="42">
        <f t="shared" si="182"/>
        <v>2</v>
      </c>
    </row>
    <row r="313" spans="1:30" ht="17.100000000000001" x14ac:dyDescent="0.45">
      <c r="A313" s="42">
        <v>191205</v>
      </c>
      <c r="B313" s="44">
        <v>0.41666666666666669</v>
      </c>
      <c r="C313" s="42" t="s">
        <v>363</v>
      </c>
      <c r="D313" s="5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N313" s="42"/>
      <c r="O313" s="42">
        <f t="shared" si="170"/>
        <v>100</v>
      </c>
      <c r="P313" s="42">
        <f t="shared" si="171"/>
        <v>107</v>
      </c>
      <c r="Q313" s="42" t="str">
        <f t="shared" si="172"/>
        <v>HW</v>
      </c>
      <c r="R313" s="42" t="str">
        <f t="shared" si="173"/>
        <v>HL</v>
      </c>
      <c r="S313" s="42" t="str">
        <f t="shared" si="174"/>
        <v>HL</v>
      </c>
      <c r="T313" s="42" t="str">
        <f t="shared" si="175"/>
        <v>HL</v>
      </c>
      <c r="U313" s="42" t="str">
        <f t="shared" si="176"/>
        <v>O</v>
      </c>
      <c r="V313" s="42" t="str">
        <f t="shared" si="177"/>
        <v>U</v>
      </c>
      <c r="W313" s="42" t="str">
        <f t="shared" si="178"/>
        <v>O</v>
      </c>
      <c r="X313" s="42" t="str">
        <f t="shared" si="179"/>
        <v>U</v>
      </c>
      <c r="Z313" s="42">
        <v>54</v>
      </c>
      <c r="AB313" s="42" t="str">
        <f t="shared" si="180"/>
        <v>OKC/IND</v>
      </c>
      <c r="AC313" s="42">
        <f t="shared" si="181"/>
        <v>2</v>
      </c>
      <c r="AD313" s="42">
        <f t="shared" si="182"/>
        <v>2</v>
      </c>
    </row>
    <row r="314" spans="1:30" ht="17.100000000000001" x14ac:dyDescent="0.45">
      <c r="A314" s="42">
        <v>191205</v>
      </c>
      <c r="B314" s="44">
        <v>0.4375</v>
      </c>
      <c r="C314" s="42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N314" s="42"/>
      <c r="O314" s="42">
        <f t="shared" si="170"/>
        <v>121</v>
      </c>
      <c r="P314" s="42">
        <f t="shared" si="171"/>
        <v>114</v>
      </c>
      <c r="Q314" s="42" t="str">
        <f t="shared" si="172"/>
        <v>HW</v>
      </c>
      <c r="R314" s="42" t="str">
        <f t="shared" si="173"/>
        <v>HL</v>
      </c>
      <c r="S314" s="42" t="str">
        <f t="shared" si="174"/>
        <v>HL</v>
      </c>
      <c r="T314" s="42" t="str">
        <f t="shared" si="175"/>
        <v>HW</v>
      </c>
      <c r="U314" s="42" t="str">
        <f t="shared" si="176"/>
        <v>U</v>
      </c>
      <c r="V314" s="42" t="str">
        <f t="shared" si="177"/>
        <v>U</v>
      </c>
      <c r="W314" s="42" t="str">
        <f t="shared" si="178"/>
        <v>U</v>
      </c>
      <c r="X314" s="42" t="str">
        <f t="shared" si="179"/>
        <v>O</v>
      </c>
      <c r="Z314" s="42">
        <v>59</v>
      </c>
      <c r="AB314" s="42" t="str">
        <f t="shared" si="180"/>
        <v>DAL/MIN</v>
      </c>
      <c r="AC314" s="42">
        <f t="shared" si="181"/>
        <v>1</v>
      </c>
      <c r="AD314" s="42">
        <f t="shared" si="182"/>
        <v>3</v>
      </c>
    </row>
    <row r="315" spans="1:30" ht="17.100000000000001" x14ac:dyDescent="0.45">
      <c r="A315" s="42">
        <v>191205</v>
      </c>
      <c r="B315" s="44">
        <v>0.45833333333333331</v>
      </c>
      <c r="C315" s="42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N315" s="42"/>
      <c r="O315" s="42">
        <f t="shared" si="170"/>
        <v>96</v>
      </c>
      <c r="P315" s="42">
        <f t="shared" si="171"/>
        <v>121</v>
      </c>
      <c r="Q315" s="42" t="str">
        <f t="shared" si="172"/>
        <v>HL</v>
      </c>
      <c r="R315" s="42" t="str">
        <f t="shared" si="173"/>
        <v>HL</v>
      </c>
      <c r="S315" s="42" t="str">
        <f t="shared" si="174"/>
        <v>HL</v>
      </c>
      <c r="T315" s="42" t="str">
        <f t="shared" si="175"/>
        <v>HL</v>
      </c>
      <c r="U315" s="42" t="str">
        <f t="shared" si="176"/>
        <v>O</v>
      </c>
      <c r="V315" s="42" t="str">
        <f t="shared" si="177"/>
        <v>U</v>
      </c>
      <c r="W315" s="42" t="str">
        <f t="shared" si="178"/>
        <v>O</v>
      </c>
      <c r="X315" s="42" t="str">
        <f t="shared" si="179"/>
        <v>U</v>
      </c>
      <c r="Z315" s="42">
        <v>54.5</v>
      </c>
      <c r="AB315" s="42" t="str">
        <f t="shared" si="180"/>
        <v>UTA/LAL</v>
      </c>
      <c r="AC315" s="42">
        <f t="shared" si="181"/>
        <v>2</v>
      </c>
      <c r="AD315" s="42">
        <f t="shared" si="182"/>
        <v>2</v>
      </c>
    </row>
    <row r="316" spans="1:30" ht="17.100000000000001" x14ac:dyDescent="0.45">
      <c r="A316" s="42">
        <v>191205</v>
      </c>
      <c r="B316" s="44">
        <v>0.5</v>
      </c>
      <c r="C316" s="42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N316" s="42"/>
      <c r="O316" s="42">
        <f t="shared" si="170"/>
        <v>127</v>
      </c>
      <c r="P316" s="42">
        <f t="shared" si="171"/>
        <v>116</v>
      </c>
      <c r="Q316" s="42" t="str">
        <f t="shared" si="172"/>
        <v>HL</v>
      </c>
      <c r="R316" s="42" t="str">
        <f t="shared" si="173"/>
        <v>HW</v>
      </c>
      <c r="S316" s="42" t="str">
        <f t="shared" si="174"/>
        <v>HW</v>
      </c>
      <c r="T316" s="42" t="str">
        <f t="shared" si="175"/>
        <v>HW</v>
      </c>
      <c r="U316" s="42" t="str">
        <f t="shared" si="176"/>
        <v>O</v>
      </c>
      <c r="V316" s="42" t="str">
        <f t="shared" si="177"/>
        <v>O</v>
      </c>
      <c r="W316" s="42" t="str">
        <f t="shared" si="178"/>
        <v>O</v>
      </c>
      <c r="X316" s="42" t="str">
        <f t="shared" si="179"/>
        <v>U</v>
      </c>
      <c r="Z316" s="42">
        <v>55.5</v>
      </c>
      <c r="AB316" s="42" t="str">
        <f t="shared" si="180"/>
        <v>POR/SAC</v>
      </c>
      <c r="AC316" s="42">
        <f t="shared" si="181"/>
        <v>3</v>
      </c>
      <c r="AD316" s="42">
        <f t="shared" si="182"/>
        <v>1</v>
      </c>
    </row>
    <row r="317" spans="1:30" ht="17.100000000000001" x14ac:dyDescent="0.45">
      <c r="A317" s="42">
        <v>191206</v>
      </c>
      <c r="B317" s="1">
        <v>0.375</v>
      </c>
      <c r="C317" s="42" t="s">
        <v>34</v>
      </c>
      <c r="D317" s="5" t="s">
        <v>41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N317" s="42"/>
      <c r="O317" s="42">
        <f t="shared" si="170"/>
        <v>119</v>
      </c>
      <c r="P317" s="42">
        <f t="shared" si="171"/>
        <v>113</v>
      </c>
      <c r="Q317" s="42" t="str">
        <f t="shared" si="172"/>
        <v>HL</v>
      </c>
      <c r="R317" s="42" t="str">
        <f t="shared" si="173"/>
        <v>HW</v>
      </c>
      <c r="S317" s="42" t="str">
        <f t="shared" si="174"/>
        <v>TT</v>
      </c>
      <c r="T317" s="42" t="str">
        <f t="shared" si="175"/>
        <v>HL</v>
      </c>
      <c r="U317" s="42" t="str">
        <f t="shared" si="176"/>
        <v>O</v>
      </c>
      <c r="V317" s="42" t="str">
        <f t="shared" si="177"/>
        <v>O</v>
      </c>
      <c r="W317" s="42" t="str">
        <f t="shared" si="178"/>
        <v>U</v>
      </c>
      <c r="X317" s="42" t="str">
        <f t="shared" si="179"/>
        <v>O</v>
      </c>
      <c r="Z317" s="42">
        <v>57.5</v>
      </c>
      <c r="AB317" s="42" t="str">
        <f t="shared" si="180"/>
        <v>WAS/PHI</v>
      </c>
      <c r="AC317" s="42">
        <f t="shared" si="181"/>
        <v>3</v>
      </c>
      <c r="AD317" s="42">
        <f t="shared" si="182"/>
        <v>1</v>
      </c>
    </row>
    <row r="318" spans="1:30" ht="17.100000000000001" x14ac:dyDescent="0.45">
      <c r="A318" s="42">
        <v>191206</v>
      </c>
      <c r="B318" s="1">
        <v>0.39583333333333331</v>
      </c>
      <c r="C318" s="42" t="s">
        <v>47</v>
      </c>
      <c r="D318" s="5" t="s">
        <v>46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N318" s="42"/>
      <c r="O318" s="42">
        <f t="shared" si="170"/>
        <v>92</v>
      </c>
      <c r="P318" s="42">
        <f t="shared" si="171"/>
        <v>129</v>
      </c>
      <c r="Q318" s="42" t="str">
        <f t="shared" si="172"/>
        <v>HL</v>
      </c>
      <c r="R318" s="42" t="str">
        <f t="shared" si="173"/>
        <v>HL</v>
      </c>
      <c r="S318" s="42" t="str">
        <f t="shared" si="174"/>
        <v>HL</v>
      </c>
      <c r="T318" s="42" t="str">
        <f t="shared" si="175"/>
        <v>HL</v>
      </c>
      <c r="U318" s="42" t="str">
        <f t="shared" si="176"/>
        <v>O</v>
      </c>
      <c r="V318" s="42" t="str">
        <f t="shared" si="177"/>
        <v>U</v>
      </c>
      <c r="W318" s="42" t="str">
        <f t="shared" si="178"/>
        <v>O</v>
      </c>
      <c r="X318" s="42" t="str">
        <f t="shared" si="179"/>
        <v>U</v>
      </c>
      <c r="Z318" s="42">
        <v>52.5</v>
      </c>
      <c r="AB318" s="42" t="str">
        <f t="shared" si="180"/>
        <v>NYK/DEN</v>
      </c>
      <c r="AC318" s="42">
        <f t="shared" si="181"/>
        <v>2</v>
      </c>
      <c r="AD318" s="42">
        <f t="shared" si="182"/>
        <v>2</v>
      </c>
    </row>
    <row r="319" spans="1:30" ht="17.100000000000001" x14ac:dyDescent="0.45">
      <c r="A319" s="42">
        <v>191206</v>
      </c>
      <c r="B319" s="1">
        <v>0.39583333333333331</v>
      </c>
      <c r="C319" s="42" t="s">
        <v>28</v>
      </c>
      <c r="D319" s="5" t="s">
        <v>52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N319" s="42"/>
      <c r="O319" s="42">
        <f t="shared" si="170"/>
        <v>109</v>
      </c>
      <c r="P319" s="42">
        <f t="shared" si="171"/>
        <v>119</v>
      </c>
      <c r="Q319" s="42" t="str">
        <f t="shared" si="172"/>
        <v>HL</v>
      </c>
      <c r="R319" s="42" t="str">
        <f t="shared" si="173"/>
        <v>HL</v>
      </c>
      <c r="S319" s="42" t="str">
        <f t="shared" si="174"/>
        <v>HW</v>
      </c>
      <c r="T319" s="42" t="str">
        <f t="shared" si="175"/>
        <v>HL</v>
      </c>
      <c r="U319" s="42" t="str">
        <f t="shared" si="176"/>
        <v>O</v>
      </c>
      <c r="V319" s="42" t="str">
        <f t="shared" si="177"/>
        <v>U</v>
      </c>
      <c r="W319" s="42" t="str">
        <f t="shared" si="178"/>
        <v>O</v>
      </c>
      <c r="X319" s="42" t="str">
        <f t="shared" si="179"/>
        <v>U</v>
      </c>
      <c r="Z319" s="42">
        <v>59</v>
      </c>
      <c r="AB319" s="42" t="str">
        <f t="shared" si="180"/>
        <v>TOR/HOU</v>
      </c>
      <c r="AC319" s="42">
        <f t="shared" si="181"/>
        <v>2</v>
      </c>
      <c r="AD319" s="42">
        <f t="shared" si="182"/>
        <v>2</v>
      </c>
    </row>
    <row r="320" spans="1:30" ht="17.100000000000001" x14ac:dyDescent="0.45">
      <c r="A320" s="42">
        <v>191206</v>
      </c>
      <c r="B320" s="1">
        <v>0.41666666666666669</v>
      </c>
      <c r="C320" s="42" t="s">
        <v>27</v>
      </c>
      <c r="D320" s="5" t="s">
        <v>43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70"/>
        <v>132</v>
      </c>
      <c r="P320" s="42">
        <f t="shared" si="171"/>
        <v>139</v>
      </c>
      <c r="Q320" s="42" t="str">
        <f t="shared" si="172"/>
        <v>HW</v>
      </c>
      <c r="R320" s="42" t="str">
        <f t="shared" si="173"/>
        <v>HL</v>
      </c>
      <c r="S320" s="42" t="str">
        <f t="shared" si="174"/>
        <v>HL</v>
      </c>
      <c r="T320" s="42" t="str">
        <f t="shared" si="175"/>
        <v>HW</v>
      </c>
      <c r="U320" s="42" t="str">
        <f t="shared" si="176"/>
        <v>O</v>
      </c>
      <c r="V320" s="42" t="str">
        <f t="shared" si="177"/>
        <v>O</v>
      </c>
      <c r="W320" s="42" t="str">
        <f t="shared" si="178"/>
        <v>U</v>
      </c>
      <c r="X320" s="42" t="str">
        <f t="shared" si="179"/>
        <v>U</v>
      </c>
      <c r="Z320" s="42">
        <v>57.5</v>
      </c>
      <c r="AB320" s="42" t="str">
        <f t="shared" si="180"/>
        <v>NO/PHO</v>
      </c>
      <c r="AC320" s="42">
        <f t="shared" si="181"/>
        <v>2</v>
      </c>
      <c r="AD320" s="42">
        <f t="shared" si="182"/>
        <v>2</v>
      </c>
    </row>
    <row r="321" spans="1:30" ht="17.100000000000001" x14ac:dyDescent="0.45">
      <c r="A321" s="42">
        <v>191207</v>
      </c>
      <c r="B321" s="1">
        <v>0.375</v>
      </c>
      <c r="C321" s="42" t="s">
        <v>40</v>
      </c>
      <c r="D321" s="5" t="s">
        <v>39</v>
      </c>
      <c r="E321" s="42">
        <v>25</v>
      </c>
      <c r="F321" s="42">
        <v>22</v>
      </c>
      <c r="G321" s="42">
        <v>23</v>
      </c>
      <c r="H321" s="42">
        <v>17</v>
      </c>
      <c r="I321" s="42"/>
      <c r="J321" s="42">
        <v>24</v>
      </c>
      <c r="K321" s="42">
        <v>28</v>
      </c>
      <c r="L321" s="42">
        <v>16</v>
      </c>
      <c r="M321" s="42">
        <v>25</v>
      </c>
      <c r="N321" s="42" t="s">
        <v>427</v>
      </c>
      <c r="O321" s="42">
        <f t="shared" ref="O321:O384" si="183">SUM(E321:I321)</f>
        <v>87</v>
      </c>
      <c r="P321" s="42">
        <f t="shared" ref="P321:P384" si="184">SUM(J321:N321)</f>
        <v>93</v>
      </c>
      <c r="Q321" s="42" t="str">
        <f t="shared" ref="Q321:Q384" si="185">IF(E321=J321,"TT",IF(E321&gt;J321,"HW","HL"))</f>
        <v>HW</v>
      </c>
      <c r="R321" s="42" t="str">
        <f t="shared" ref="R321:R384" si="186">IF(F321=K321,"TT",IF(F321&gt;K321,"HW","HL"))</f>
        <v>HL</v>
      </c>
      <c r="S321" s="42" t="str">
        <f t="shared" ref="S321:S384" si="187">IF(G321=L321,"TT",IF(G321&gt;L321,"HW","HL"))</f>
        <v>HW</v>
      </c>
      <c r="T321" s="42" t="str">
        <f t="shared" ref="T321:T384" si="188">IF(H321=M321,"TT",IF(H321&gt;M321,"HW","HL"))</f>
        <v>HL</v>
      </c>
      <c r="U321" s="42" t="str">
        <f t="shared" ref="U321:U384" si="189">IF(SUM(E321,J321)=$Z321,"T",IF(SUM(E321,J321)&gt;$Z321,"O","U"))</f>
        <v>U</v>
      </c>
      <c r="V321" s="42" t="str">
        <f t="shared" ref="V321:V384" si="190">IF(SUM(F321,K321)=$Z321,"T",IF(SUM(F321,K321)&gt;$Z321,"O","U"))</f>
        <v>U</v>
      </c>
      <c r="W321" s="42" t="str">
        <f t="shared" ref="W321:W384" si="191">IF(SUM(G321,L321)=$Z321,"T",IF(SUM(G321,L321)&gt;$Z321,"O","U"))</f>
        <v>U</v>
      </c>
      <c r="X321" s="42" t="str">
        <f t="shared" ref="X321:X384" si="192">IF(SUM(H321,M321)=$Z321,"T",IF(SUM(H321,M321)&gt;$Z321,"O","U"))</f>
        <v>U</v>
      </c>
      <c r="Z321" s="42">
        <v>54</v>
      </c>
      <c r="AB321" s="42" t="str">
        <f t="shared" ref="AB321:AB384" si="193">C321&amp;"/"&amp;D321</f>
        <v>CLE/ORL</v>
      </c>
      <c r="AC321" s="42">
        <f t="shared" ref="AC321:AC384" si="194">COUNTIF(U321:X321,"o")</f>
        <v>0</v>
      </c>
      <c r="AD321" s="42">
        <f t="shared" ref="AD321:AD384" si="195">COUNTIF(U321:X321,"u")</f>
        <v>4</v>
      </c>
    </row>
    <row r="322" spans="1:30" ht="17.100000000000001" x14ac:dyDescent="0.45">
      <c r="A322" s="42">
        <v>191207</v>
      </c>
      <c r="B322" s="1">
        <v>0.375</v>
      </c>
      <c r="C322" s="42" t="s">
        <v>36</v>
      </c>
      <c r="D322" s="5" t="s">
        <v>35</v>
      </c>
      <c r="E322" s="42">
        <v>32</v>
      </c>
      <c r="F322" s="42">
        <v>23</v>
      </c>
      <c r="G322" s="42">
        <v>16</v>
      </c>
      <c r="H322" s="42">
        <v>37</v>
      </c>
      <c r="I322" s="42"/>
      <c r="J322" s="42">
        <v>19</v>
      </c>
      <c r="K322" s="42">
        <v>25</v>
      </c>
      <c r="L322" s="42">
        <v>31</v>
      </c>
      <c r="M322" s="42">
        <v>26</v>
      </c>
      <c r="N322" s="42" t="s">
        <v>427</v>
      </c>
      <c r="O322" s="42">
        <f t="shared" si="183"/>
        <v>108</v>
      </c>
      <c r="P322" s="42">
        <f t="shared" si="184"/>
        <v>101</v>
      </c>
      <c r="Q322" s="42" t="str">
        <f t="shared" si="185"/>
        <v>HW</v>
      </c>
      <c r="R322" s="42" t="str">
        <f t="shared" si="186"/>
        <v>HL</v>
      </c>
      <c r="S322" s="42" t="str">
        <f t="shared" si="187"/>
        <v>HL</v>
      </c>
      <c r="T322" s="42" t="str">
        <f t="shared" si="188"/>
        <v>HW</v>
      </c>
      <c r="U322" s="42" t="str">
        <f t="shared" si="189"/>
        <v>U</v>
      </c>
      <c r="V322" s="42" t="str">
        <f t="shared" si="190"/>
        <v>U</v>
      </c>
      <c r="W322" s="42" t="str">
        <f t="shared" si="191"/>
        <v>U</v>
      </c>
      <c r="X322" s="42" t="str">
        <f t="shared" si="192"/>
        <v>O</v>
      </c>
      <c r="Z322" s="42">
        <v>54.5</v>
      </c>
      <c r="AB322" s="42" t="str">
        <f t="shared" si="193"/>
        <v>DET/IND</v>
      </c>
      <c r="AC322" s="42">
        <f t="shared" si="194"/>
        <v>1</v>
      </c>
      <c r="AD322" s="42">
        <f t="shared" si="195"/>
        <v>3</v>
      </c>
    </row>
    <row r="323" spans="1:30" ht="17.100000000000001" x14ac:dyDescent="0.45">
      <c r="A323" s="42">
        <v>191207</v>
      </c>
      <c r="B323" s="1">
        <v>0.375</v>
      </c>
      <c r="C323" s="42" t="s">
        <v>31</v>
      </c>
      <c r="D323" s="5" t="s">
        <v>30</v>
      </c>
      <c r="E323" s="42">
        <v>32</v>
      </c>
      <c r="F323" s="42">
        <v>25</v>
      </c>
      <c r="G323" s="42">
        <v>27</v>
      </c>
      <c r="H323" s="42">
        <v>20</v>
      </c>
      <c r="I323" s="42"/>
      <c r="J323" s="42">
        <v>29</v>
      </c>
      <c r="K323" s="42">
        <v>26</v>
      </c>
      <c r="L323" s="42">
        <v>31</v>
      </c>
      <c r="M323" s="42">
        <v>25</v>
      </c>
      <c r="N323" s="42" t="s">
        <v>427</v>
      </c>
      <c r="O323" s="42">
        <f t="shared" si="183"/>
        <v>104</v>
      </c>
      <c r="P323" s="42">
        <f t="shared" si="184"/>
        <v>111</v>
      </c>
      <c r="Q323" s="42" t="str">
        <f t="shared" si="185"/>
        <v>HW</v>
      </c>
      <c r="R323" s="42" t="str">
        <f t="shared" si="186"/>
        <v>HL</v>
      </c>
      <c r="S323" s="42" t="str">
        <f t="shared" si="187"/>
        <v>HL</v>
      </c>
      <c r="T323" s="42" t="str">
        <f t="shared" si="188"/>
        <v>HL</v>
      </c>
      <c r="U323" s="42" t="str">
        <f t="shared" si="189"/>
        <v>O</v>
      </c>
      <c r="V323" s="42" t="str">
        <f t="shared" si="190"/>
        <v>U</v>
      </c>
      <c r="W323" s="42" t="str">
        <f t="shared" si="191"/>
        <v>O</v>
      </c>
      <c r="X323" s="42" t="str">
        <f t="shared" si="192"/>
        <v>U</v>
      </c>
      <c r="Z323" s="42">
        <v>53.5</v>
      </c>
      <c r="AB323" s="42" t="str">
        <f t="shared" si="193"/>
        <v>CHA/BKN</v>
      </c>
      <c r="AC323" s="42">
        <f t="shared" si="194"/>
        <v>2</v>
      </c>
      <c r="AD323" s="42">
        <f t="shared" si="195"/>
        <v>2</v>
      </c>
    </row>
    <row r="324" spans="1:30" ht="17.100000000000001" x14ac:dyDescent="0.45">
      <c r="A324" s="42">
        <v>191207</v>
      </c>
      <c r="B324" s="1">
        <v>0.41666666666666669</v>
      </c>
      <c r="C324" s="42" t="s">
        <v>42</v>
      </c>
      <c r="D324" s="5" t="s">
        <v>46</v>
      </c>
      <c r="E324" s="42">
        <v>33</v>
      </c>
      <c r="F324" s="42">
        <v>20</v>
      </c>
      <c r="G324" s="42">
        <v>32</v>
      </c>
      <c r="H324" s="42">
        <v>23</v>
      </c>
      <c r="I324" s="42"/>
      <c r="J324" s="42">
        <v>26</v>
      </c>
      <c r="K324" s="42">
        <v>19</v>
      </c>
      <c r="L324" s="42">
        <v>19</v>
      </c>
      <c r="M324" s="42">
        <v>31</v>
      </c>
      <c r="N324" s="42" t="s">
        <v>427</v>
      </c>
      <c r="O324" s="42">
        <f t="shared" si="183"/>
        <v>108</v>
      </c>
      <c r="P324" s="42">
        <f t="shared" si="184"/>
        <v>95</v>
      </c>
      <c r="Q324" s="42" t="str">
        <f t="shared" si="185"/>
        <v>HW</v>
      </c>
      <c r="R324" s="42" t="str">
        <f t="shared" si="186"/>
        <v>HW</v>
      </c>
      <c r="S324" s="42" t="str">
        <f t="shared" si="187"/>
        <v>HW</v>
      </c>
      <c r="T324" s="42" t="str">
        <f t="shared" si="188"/>
        <v>HL</v>
      </c>
      <c r="U324" s="42" t="str">
        <f t="shared" si="189"/>
        <v>O</v>
      </c>
      <c r="V324" s="42" t="str">
        <f t="shared" si="190"/>
        <v>U</v>
      </c>
      <c r="W324" s="42" t="str">
        <f t="shared" si="191"/>
        <v>U</v>
      </c>
      <c r="X324" s="42" t="str">
        <f t="shared" si="192"/>
        <v>O</v>
      </c>
      <c r="Z324" s="42">
        <v>52.5</v>
      </c>
      <c r="AB324" s="42" t="str">
        <f t="shared" si="193"/>
        <v>BOS/DEN</v>
      </c>
      <c r="AC324" s="42">
        <f t="shared" si="194"/>
        <v>2</v>
      </c>
      <c r="AD324" s="42">
        <f t="shared" si="195"/>
        <v>2</v>
      </c>
    </row>
    <row r="325" spans="1:30" ht="17.100000000000001" x14ac:dyDescent="0.45">
      <c r="A325" s="42">
        <v>191207</v>
      </c>
      <c r="B325" s="1">
        <v>0.41666666666666669</v>
      </c>
      <c r="C325" s="42" t="s">
        <v>32</v>
      </c>
      <c r="D325" s="5" t="s">
        <v>51</v>
      </c>
      <c r="E325" s="42">
        <v>28</v>
      </c>
      <c r="F325" s="42">
        <v>23</v>
      </c>
      <c r="G325" s="42">
        <v>32</v>
      </c>
      <c r="H325" s="42">
        <v>15</v>
      </c>
      <c r="I325" s="42"/>
      <c r="J325" s="42">
        <v>23</v>
      </c>
      <c r="K325" s="42">
        <v>27</v>
      </c>
      <c r="L325" s="42">
        <v>27</v>
      </c>
      <c r="M325" s="42">
        <v>23</v>
      </c>
      <c r="N325" s="42" t="s">
        <v>427</v>
      </c>
      <c r="O325" s="42">
        <f t="shared" si="183"/>
        <v>98</v>
      </c>
      <c r="P325" s="42">
        <f t="shared" si="184"/>
        <v>100</v>
      </c>
      <c r="Q325" s="42" t="str">
        <f t="shared" si="185"/>
        <v>HW</v>
      </c>
      <c r="R325" s="42" t="str">
        <f t="shared" si="186"/>
        <v>HL</v>
      </c>
      <c r="S325" s="42" t="str">
        <f t="shared" si="187"/>
        <v>HW</v>
      </c>
      <c r="T325" s="42" t="str">
        <f t="shared" si="188"/>
        <v>HL</v>
      </c>
      <c r="U325" s="42" t="str">
        <f t="shared" si="189"/>
        <v>U</v>
      </c>
      <c r="V325" s="42" t="str">
        <f t="shared" si="190"/>
        <v>U</v>
      </c>
      <c r="W325" s="42" t="str">
        <f t="shared" si="191"/>
        <v>O</v>
      </c>
      <c r="X325" s="42" t="str">
        <f t="shared" si="192"/>
        <v>U</v>
      </c>
      <c r="Z325" s="42">
        <v>54.5</v>
      </c>
      <c r="AB325" s="42" t="str">
        <f t="shared" si="193"/>
        <v>CHI/GS</v>
      </c>
      <c r="AC325" s="42">
        <f t="shared" si="194"/>
        <v>1</v>
      </c>
      <c r="AD325" s="42">
        <f t="shared" si="195"/>
        <v>3</v>
      </c>
    </row>
    <row r="326" spans="1:30" ht="17.100000000000001" x14ac:dyDescent="0.45">
      <c r="A326" s="42">
        <v>191207</v>
      </c>
      <c r="B326" s="1">
        <v>0.41666666666666669</v>
      </c>
      <c r="C326" s="42" t="s">
        <v>37</v>
      </c>
      <c r="D326" s="5" t="s">
        <v>34</v>
      </c>
      <c r="E326" s="42">
        <v>27</v>
      </c>
      <c r="F326" s="42">
        <v>34</v>
      </c>
      <c r="G326" s="42">
        <v>25</v>
      </c>
      <c r="H326" s="42">
        <v>26</v>
      </c>
      <c r="I326" s="42"/>
      <c r="J326" s="42">
        <v>28</v>
      </c>
      <c r="K326" s="42">
        <v>37</v>
      </c>
      <c r="L326" s="42">
        <v>20</v>
      </c>
      <c r="M326" s="42">
        <v>18</v>
      </c>
      <c r="N326" s="42" t="s">
        <v>427</v>
      </c>
      <c r="O326" s="42">
        <f t="shared" si="183"/>
        <v>112</v>
      </c>
      <c r="P326" s="42">
        <f t="shared" si="184"/>
        <v>103</v>
      </c>
      <c r="Q326" s="42" t="str">
        <f t="shared" si="185"/>
        <v>HL</v>
      </c>
      <c r="R326" s="42" t="str">
        <f t="shared" si="186"/>
        <v>HL</v>
      </c>
      <c r="S326" s="42" t="str">
        <f t="shared" si="187"/>
        <v>HW</v>
      </c>
      <c r="T326" s="42" t="str">
        <f t="shared" si="188"/>
        <v>HW</v>
      </c>
      <c r="U326" s="42" t="str">
        <f t="shared" si="189"/>
        <v>U</v>
      </c>
      <c r="V326" s="42" t="str">
        <f t="shared" si="190"/>
        <v>O</v>
      </c>
      <c r="W326" s="42" t="str">
        <f t="shared" si="191"/>
        <v>U</v>
      </c>
      <c r="X326" s="42" t="str">
        <f t="shared" si="192"/>
        <v>U</v>
      </c>
      <c r="Z326" s="42">
        <v>59.5</v>
      </c>
      <c r="AB326" s="42" t="str">
        <f t="shared" si="193"/>
        <v>MIA/WAS</v>
      </c>
      <c r="AC326" s="42">
        <f t="shared" si="194"/>
        <v>1</v>
      </c>
      <c r="AD326" s="42">
        <f t="shared" si="195"/>
        <v>3</v>
      </c>
    </row>
    <row r="327" spans="1:30" ht="17.100000000000001" x14ac:dyDescent="0.45">
      <c r="A327" s="42">
        <v>191207</v>
      </c>
      <c r="B327" s="1">
        <v>0.41666666666666669</v>
      </c>
      <c r="C327" s="42" t="s">
        <v>49</v>
      </c>
      <c r="D327" s="5" t="s">
        <v>29</v>
      </c>
      <c r="E327" s="42">
        <v>30</v>
      </c>
      <c r="F327" s="42">
        <v>23</v>
      </c>
      <c r="G327" s="42">
        <v>41</v>
      </c>
      <c r="H327" s="42">
        <v>28</v>
      </c>
      <c r="I327" s="42">
        <v>17</v>
      </c>
      <c r="J327" s="42">
        <v>27</v>
      </c>
      <c r="K327" s="42">
        <v>31</v>
      </c>
      <c r="L327" s="42">
        <v>39</v>
      </c>
      <c r="M327" s="42">
        <v>25</v>
      </c>
      <c r="N327" s="42">
        <v>5</v>
      </c>
      <c r="O327" s="42">
        <f t="shared" si="183"/>
        <v>139</v>
      </c>
      <c r="P327" s="42">
        <f t="shared" si="184"/>
        <v>127</v>
      </c>
      <c r="Q327" s="42" t="str">
        <f t="shared" si="185"/>
        <v>HW</v>
      </c>
      <c r="R327" s="42" t="str">
        <f t="shared" si="186"/>
        <v>HL</v>
      </c>
      <c r="S327" s="42" t="str">
        <f t="shared" si="187"/>
        <v>HW</v>
      </c>
      <c r="T327" s="42" t="str">
        <f t="shared" si="188"/>
        <v>HW</v>
      </c>
      <c r="U327" s="42" t="str">
        <f t="shared" si="189"/>
        <v>O</v>
      </c>
      <c r="V327" s="42" t="str">
        <f t="shared" si="190"/>
        <v>U</v>
      </c>
      <c r="W327" s="42" t="str">
        <f t="shared" si="191"/>
        <v>O</v>
      </c>
      <c r="X327" s="42" t="str">
        <f t="shared" si="192"/>
        <v>U</v>
      </c>
      <c r="Z327" s="42">
        <v>56.5</v>
      </c>
      <c r="AB327" s="42" t="str">
        <f t="shared" si="193"/>
        <v>OKC/MIN</v>
      </c>
      <c r="AC327" s="42">
        <f t="shared" si="194"/>
        <v>2</v>
      </c>
      <c r="AD327" s="42">
        <f t="shared" si="195"/>
        <v>2</v>
      </c>
    </row>
    <row r="328" spans="1:30" ht="17.100000000000001" x14ac:dyDescent="0.45">
      <c r="A328" s="42">
        <v>191207</v>
      </c>
      <c r="B328" s="1">
        <v>0.4375</v>
      </c>
      <c r="C328" s="42" t="s">
        <v>53</v>
      </c>
      <c r="D328" s="5" t="s">
        <v>25</v>
      </c>
      <c r="E328" s="42">
        <v>30</v>
      </c>
      <c r="F328" s="42">
        <v>22</v>
      </c>
      <c r="G328" s="42">
        <v>35</v>
      </c>
      <c r="H328" s="42">
        <v>32</v>
      </c>
      <c r="I328" s="42"/>
      <c r="J328" s="42">
        <v>15</v>
      </c>
      <c r="K328" s="42">
        <v>28</v>
      </c>
      <c r="L328" s="42">
        <v>19</v>
      </c>
      <c r="M328" s="42">
        <v>29</v>
      </c>
      <c r="N328" s="42" t="s">
        <v>427</v>
      </c>
      <c r="O328" s="42">
        <f t="shared" si="183"/>
        <v>119</v>
      </c>
      <c r="P328" s="42">
        <f t="shared" si="184"/>
        <v>91</v>
      </c>
      <c r="Q328" s="42" t="str">
        <f t="shared" si="185"/>
        <v>HW</v>
      </c>
      <c r="R328" s="42" t="str">
        <f t="shared" si="186"/>
        <v>HL</v>
      </c>
      <c r="S328" s="42" t="str">
        <f t="shared" si="187"/>
        <v>HW</v>
      </c>
      <c r="T328" s="42" t="str">
        <f t="shared" si="188"/>
        <v>HW</v>
      </c>
      <c r="U328" s="42" t="str">
        <f t="shared" si="189"/>
        <v>U</v>
      </c>
      <c r="V328" s="42" t="str">
        <f t="shared" si="190"/>
        <v>U</v>
      </c>
      <c r="W328" s="42" t="str">
        <f t="shared" si="191"/>
        <v>U</v>
      </c>
      <c r="X328" s="42" t="str">
        <f t="shared" si="192"/>
        <v>O</v>
      </c>
      <c r="Z328" s="42">
        <v>60</v>
      </c>
      <c r="AB328" s="42" t="str">
        <f t="shared" si="193"/>
        <v>MIL/LAC</v>
      </c>
      <c r="AC328" s="42">
        <f t="shared" si="194"/>
        <v>1</v>
      </c>
      <c r="AD328" s="42">
        <f t="shared" si="195"/>
        <v>3</v>
      </c>
    </row>
    <row r="329" spans="1:30" ht="17.100000000000001" x14ac:dyDescent="0.45">
      <c r="A329" s="42">
        <v>191207</v>
      </c>
      <c r="B329" s="1">
        <v>0.4375</v>
      </c>
      <c r="C329" s="42" t="s">
        <v>56</v>
      </c>
      <c r="D329" s="5" t="s">
        <v>44</v>
      </c>
      <c r="E329" s="42">
        <v>21</v>
      </c>
      <c r="F329" s="42">
        <v>31</v>
      </c>
      <c r="G329" s="42">
        <v>17</v>
      </c>
      <c r="H329" s="42">
        <v>31</v>
      </c>
      <c r="I329" s="42">
        <v>5</v>
      </c>
      <c r="J329" s="42">
        <v>17</v>
      </c>
      <c r="K329" s="42">
        <v>25</v>
      </c>
      <c r="L329" s="42">
        <v>30</v>
      </c>
      <c r="M329" s="42">
        <v>28</v>
      </c>
      <c r="N329" s="42">
        <v>4</v>
      </c>
      <c r="O329" s="42">
        <f t="shared" si="183"/>
        <v>105</v>
      </c>
      <c r="P329" s="42">
        <f t="shared" si="184"/>
        <v>104</v>
      </c>
      <c r="Q329" s="42" t="str">
        <f t="shared" si="185"/>
        <v>HW</v>
      </c>
      <c r="R329" s="42" t="str">
        <f t="shared" si="186"/>
        <v>HW</v>
      </c>
      <c r="S329" s="42" t="str">
        <f t="shared" si="187"/>
        <v>HL</v>
      </c>
      <c r="T329" s="42" t="str">
        <f t="shared" si="188"/>
        <v>HW</v>
      </c>
      <c r="U329" s="42" t="str">
        <f t="shared" si="189"/>
        <v>U</v>
      </c>
      <c r="V329" s="42" t="str">
        <f t="shared" si="190"/>
        <v>O</v>
      </c>
      <c r="W329" s="42" t="str">
        <f t="shared" si="191"/>
        <v>U</v>
      </c>
      <c r="X329" s="42" t="str">
        <f t="shared" si="192"/>
        <v>O</v>
      </c>
      <c r="Z329" s="42">
        <v>55.5</v>
      </c>
      <c r="AB329" s="42" t="str">
        <f t="shared" si="193"/>
        <v>SAS/SAC</v>
      </c>
      <c r="AC329" s="42">
        <f t="shared" si="194"/>
        <v>2</v>
      </c>
      <c r="AD329" s="42">
        <f t="shared" si="195"/>
        <v>2</v>
      </c>
    </row>
    <row r="330" spans="1:30" ht="17.100000000000001" x14ac:dyDescent="0.45">
      <c r="A330" s="42">
        <v>191207</v>
      </c>
      <c r="B330" s="1">
        <v>0.52083333333333337</v>
      </c>
      <c r="C330" s="42" t="s">
        <v>45</v>
      </c>
      <c r="D330" s="5" t="s">
        <v>26</v>
      </c>
      <c r="E330" s="42">
        <v>34</v>
      </c>
      <c r="F330" s="42">
        <v>28</v>
      </c>
      <c r="G330" s="42">
        <v>31</v>
      </c>
      <c r="H330" s="42">
        <v>20</v>
      </c>
      <c r="I330" s="42"/>
      <c r="J330" s="42">
        <v>39</v>
      </c>
      <c r="K330" s="42">
        <v>38</v>
      </c>
      <c r="L330" s="42">
        <v>33</v>
      </c>
      <c r="M330" s="42">
        <v>26</v>
      </c>
      <c r="N330" s="42" t="s">
        <v>427</v>
      </c>
      <c r="O330" s="42">
        <f t="shared" si="183"/>
        <v>113</v>
      </c>
      <c r="P330" s="42">
        <f t="shared" si="184"/>
        <v>136</v>
      </c>
      <c r="Q330" s="42" t="str">
        <f t="shared" si="185"/>
        <v>HL</v>
      </c>
      <c r="R330" s="42" t="str">
        <f t="shared" si="186"/>
        <v>HL</v>
      </c>
      <c r="S330" s="42" t="str">
        <f t="shared" si="187"/>
        <v>HL</v>
      </c>
      <c r="T330" s="42" t="str">
        <f t="shared" si="188"/>
        <v>HL</v>
      </c>
      <c r="U330" s="42" t="str">
        <f t="shared" si="189"/>
        <v>O</v>
      </c>
      <c r="V330" s="42" t="str">
        <f t="shared" si="190"/>
        <v>O</v>
      </c>
      <c r="W330" s="42" t="str">
        <f t="shared" si="191"/>
        <v>O</v>
      </c>
      <c r="X330" s="42" t="str">
        <f t="shared" si="192"/>
        <v>U</v>
      </c>
      <c r="Z330" s="42">
        <v>58</v>
      </c>
      <c r="AB330" s="42" t="str">
        <f t="shared" si="193"/>
        <v>POR/LAL</v>
      </c>
      <c r="AC330" s="42">
        <f t="shared" si="194"/>
        <v>3</v>
      </c>
      <c r="AD330" s="42">
        <f t="shared" si="195"/>
        <v>1</v>
      </c>
    </row>
    <row r="331" spans="1:30" ht="17.100000000000001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 s="42">
        <v>31</v>
      </c>
      <c r="F331" s="42">
        <v>33</v>
      </c>
      <c r="G331" s="42">
        <v>40</v>
      </c>
      <c r="H331" s="42">
        <v>26</v>
      </c>
      <c r="I331" s="42"/>
      <c r="J331" s="42">
        <v>28</v>
      </c>
      <c r="K331" s="42">
        <v>24</v>
      </c>
      <c r="L331" s="42">
        <v>14</v>
      </c>
      <c r="M331" s="42">
        <v>18</v>
      </c>
      <c r="N331" s="42" t="s">
        <v>427</v>
      </c>
      <c r="O331" s="42">
        <f t="shared" si="183"/>
        <v>130</v>
      </c>
      <c r="P331" s="42">
        <f t="shared" si="184"/>
        <v>84</v>
      </c>
      <c r="Q331" s="42" t="str">
        <f t="shared" si="185"/>
        <v>HW</v>
      </c>
      <c r="R331" s="42" t="str">
        <f t="shared" si="186"/>
        <v>HW</v>
      </c>
      <c r="S331" s="42" t="str">
        <f t="shared" si="187"/>
        <v>HW</v>
      </c>
      <c r="T331" s="42" t="str">
        <f t="shared" si="188"/>
        <v>HW</v>
      </c>
      <c r="U331" s="42" t="str">
        <f t="shared" si="189"/>
        <v>U</v>
      </c>
      <c r="V331" s="42" t="str">
        <f t="shared" si="190"/>
        <v>U</v>
      </c>
      <c r="W331" s="42" t="str">
        <f t="shared" si="191"/>
        <v>U</v>
      </c>
      <c r="X331" s="42" t="str">
        <f t="shared" si="192"/>
        <v>U</v>
      </c>
      <c r="Z331" s="42">
        <v>59.5</v>
      </c>
      <c r="AB331" s="42" t="str">
        <f t="shared" si="193"/>
        <v>DAL/NO</v>
      </c>
      <c r="AC331" s="42">
        <f t="shared" si="194"/>
        <v>0</v>
      </c>
      <c r="AD331" s="42">
        <f t="shared" si="195"/>
        <v>4</v>
      </c>
    </row>
    <row r="332" spans="1:30" ht="17.100000000000001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 s="42">
        <v>27</v>
      </c>
      <c r="F332" s="42">
        <v>33</v>
      </c>
      <c r="G332" s="42">
        <v>21</v>
      </c>
      <c r="H332" s="42">
        <v>22</v>
      </c>
      <c r="I332" s="42"/>
      <c r="J332" s="42">
        <v>32</v>
      </c>
      <c r="K332" s="42">
        <v>34</v>
      </c>
      <c r="L332" s="42">
        <v>23</v>
      </c>
      <c r="M332" s="42">
        <v>15</v>
      </c>
      <c r="N332" s="42" t="s">
        <v>427</v>
      </c>
      <c r="O332" s="42">
        <f t="shared" si="183"/>
        <v>103</v>
      </c>
      <c r="P332" s="42">
        <f t="shared" si="184"/>
        <v>104</v>
      </c>
      <c r="Q332" s="42" t="str">
        <f t="shared" si="185"/>
        <v>HL</v>
      </c>
      <c r="R332" s="42" t="str">
        <f t="shared" si="186"/>
        <v>HL</v>
      </c>
      <c r="S332" s="42" t="str">
        <f t="shared" si="187"/>
        <v>HL</v>
      </c>
      <c r="T332" s="42" t="str">
        <f t="shared" si="188"/>
        <v>HW</v>
      </c>
      <c r="U332" s="42" t="str">
        <f t="shared" si="189"/>
        <v>O</v>
      </c>
      <c r="V332" s="42" t="str">
        <f t="shared" si="190"/>
        <v>O</v>
      </c>
      <c r="W332" s="42" t="str">
        <f t="shared" si="191"/>
        <v>U</v>
      </c>
      <c r="X332" s="42" t="str">
        <f t="shared" si="192"/>
        <v>U</v>
      </c>
      <c r="Z332" s="42">
        <v>54</v>
      </c>
      <c r="AB332" s="42" t="str">
        <f t="shared" si="193"/>
        <v>NYK/IND</v>
      </c>
      <c r="AC332" s="42">
        <f t="shared" si="194"/>
        <v>2</v>
      </c>
      <c r="AD332" s="42">
        <f t="shared" si="195"/>
        <v>2</v>
      </c>
    </row>
    <row r="333" spans="1:30" ht="17.100000000000001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 s="42">
        <v>36</v>
      </c>
      <c r="F333" s="42">
        <v>41</v>
      </c>
      <c r="G333" s="42">
        <v>31</v>
      </c>
      <c r="H333" s="42">
        <v>33</v>
      </c>
      <c r="I333" s="42"/>
      <c r="J333" s="42">
        <v>18</v>
      </c>
      <c r="K333" s="42">
        <v>18</v>
      </c>
      <c r="L333" s="42">
        <v>26</v>
      </c>
      <c r="M333" s="42">
        <v>32</v>
      </c>
      <c r="N333" s="42" t="s">
        <v>427</v>
      </c>
      <c r="O333" s="42">
        <f t="shared" si="183"/>
        <v>141</v>
      </c>
      <c r="P333" s="42">
        <f t="shared" si="184"/>
        <v>94</v>
      </c>
      <c r="Q333" s="42" t="str">
        <f t="shared" si="185"/>
        <v>HW</v>
      </c>
      <c r="R333" s="42" t="str">
        <f t="shared" si="186"/>
        <v>HW</v>
      </c>
      <c r="S333" s="42" t="str">
        <f t="shared" si="187"/>
        <v>HW</v>
      </c>
      <c r="T333" s="42" t="str">
        <f t="shared" si="188"/>
        <v>HW</v>
      </c>
      <c r="U333" s="42" t="str">
        <f t="shared" si="189"/>
        <v>O</v>
      </c>
      <c r="V333" s="42" t="str">
        <f t="shared" si="190"/>
        <v>O</v>
      </c>
      <c r="W333" s="42" t="str">
        <f t="shared" si="191"/>
        <v>O</v>
      </c>
      <c r="X333" s="42" t="str">
        <f t="shared" si="192"/>
        <v>O</v>
      </c>
      <c r="Z333" s="42">
        <v>53</v>
      </c>
      <c r="AB333" s="42" t="str">
        <f t="shared" si="193"/>
        <v>PHI/CLE</v>
      </c>
      <c r="AC333" s="42">
        <f t="shared" si="194"/>
        <v>4</v>
      </c>
      <c r="AD333" s="42">
        <f t="shared" si="195"/>
        <v>0</v>
      </c>
    </row>
    <row r="334" spans="1:30" ht="17.100000000000001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 s="42">
        <v>23</v>
      </c>
      <c r="F334" s="42">
        <v>37</v>
      </c>
      <c r="G334" s="42">
        <v>23</v>
      </c>
      <c r="H334" s="42">
        <v>32</v>
      </c>
      <c r="I334" s="42"/>
      <c r="J334" s="42">
        <v>31</v>
      </c>
      <c r="K334" s="42">
        <v>21</v>
      </c>
      <c r="L334" s="42">
        <v>26</v>
      </c>
      <c r="M334" s="42">
        <v>31</v>
      </c>
      <c r="N334" s="42" t="s">
        <v>427</v>
      </c>
      <c r="O334" s="42">
        <f t="shared" si="183"/>
        <v>115</v>
      </c>
      <c r="P334" s="42">
        <f t="shared" si="184"/>
        <v>109</v>
      </c>
      <c r="Q334" s="42" t="str">
        <f t="shared" si="185"/>
        <v>HL</v>
      </c>
      <c r="R334" s="42" t="str">
        <f t="shared" si="186"/>
        <v>HW</v>
      </c>
      <c r="S334" s="42" t="str">
        <f t="shared" si="187"/>
        <v>HL</v>
      </c>
      <c r="T334" s="42" t="str">
        <f t="shared" si="188"/>
        <v>HW</v>
      </c>
      <c r="U334" s="42" t="str">
        <f t="shared" si="189"/>
        <v>U</v>
      </c>
      <c r="V334" s="42" t="str">
        <f t="shared" si="190"/>
        <v>U</v>
      </c>
      <c r="W334" s="42" t="str">
        <f t="shared" si="191"/>
        <v>U</v>
      </c>
      <c r="X334" s="42" t="str">
        <f t="shared" si="192"/>
        <v>O</v>
      </c>
      <c r="Z334" s="42">
        <v>58.5</v>
      </c>
      <c r="AB334" s="42" t="str">
        <f t="shared" si="193"/>
        <v>HOU/PHO</v>
      </c>
      <c r="AC334" s="42">
        <f t="shared" si="194"/>
        <v>1</v>
      </c>
      <c r="AD334" s="42">
        <f t="shared" si="195"/>
        <v>3</v>
      </c>
    </row>
    <row r="335" spans="1:30" ht="17.100000000000001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 s="42">
        <v>32</v>
      </c>
      <c r="F335" s="42">
        <v>37</v>
      </c>
      <c r="G335" s="42">
        <v>28</v>
      </c>
      <c r="H335" s="42">
        <v>29</v>
      </c>
      <c r="I335" s="42"/>
      <c r="J335" s="42">
        <v>36</v>
      </c>
      <c r="K335" s="42">
        <v>18</v>
      </c>
      <c r="L335" s="42">
        <v>30</v>
      </c>
      <c r="M335" s="42">
        <v>28</v>
      </c>
      <c r="N335" s="42" t="s">
        <v>427</v>
      </c>
      <c r="O335" s="42">
        <f t="shared" si="183"/>
        <v>126</v>
      </c>
      <c r="P335" s="42">
        <f t="shared" si="184"/>
        <v>112</v>
      </c>
      <c r="Q335" s="42" t="str">
        <f t="shared" si="185"/>
        <v>HL</v>
      </c>
      <c r="R335" s="42" t="str">
        <f t="shared" si="186"/>
        <v>HW</v>
      </c>
      <c r="S335" s="42" t="str">
        <f t="shared" si="187"/>
        <v>HL</v>
      </c>
      <c r="T335" s="42" t="str">
        <f t="shared" si="188"/>
        <v>HW</v>
      </c>
      <c r="U335" s="42" t="str">
        <f t="shared" si="189"/>
        <v>O</v>
      </c>
      <c r="V335" s="42" t="str">
        <f t="shared" si="190"/>
        <v>O</v>
      </c>
      <c r="W335" s="42" t="str">
        <f t="shared" si="191"/>
        <v>O</v>
      </c>
      <c r="X335" s="42" t="str">
        <f t="shared" si="192"/>
        <v>O</v>
      </c>
      <c r="Z335" s="42">
        <v>53</v>
      </c>
      <c r="AB335" s="42" t="str">
        <f t="shared" si="193"/>
        <v>UTA/MEM</v>
      </c>
      <c r="AC335" s="42">
        <f t="shared" si="194"/>
        <v>4</v>
      </c>
      <c r="AD335" s="42">
        <f t="shared" si="195"/>
        <v>0</v>
      </c>
    </row>
    <row r="336" spans="1:30" ht="17.100000000000001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 s="42">
        <v>25</v>
      </c>
      <c r="F336" s="42">
        <v>28</v>
      </c>
      <c r="G336" s="42">
        <v>29</v>
      </c>
      <c r="H336" s="42">
        <v>23</v>
      </c>
      <c r="I336" s="42"/>
      <c r="J336" s="42">
        <v>21</v>
      </c>
      <c r="K336" s="42">
        <v>33</v>
      </c>
      <c r="L336" s="42">
        <v>23</v>
      </c>
      <c r="M336" s="42">
        <v>25</v>
      </c>
      <c r="N336" s="42" t="s">
        <v>427</v>
      </c>
      <c r="O336" s="42">
        <f t="shared" si="183"/>
        <v>105</v>
      </c>
      <c r="P336" s="42">
        <f t="shared" si="184"/>
        <v>102</v>
      </c>
      <c r="Q336" s="42" t="str">
        <f t="shared" si="185"/>
        <v>HW</v>
      </c>
      <c r="R336" s="42" t="str">
        <f t="shared" si="186"/>
        <v>HL</v>
      </c>
      <c r="S336" s="42" t="str">
        <f t="shared" si="187"/>
        <v>HW</v>
      </c>
      <c r="T336" s="42" t="str">
        <f t="shared" si="188"/>
        <v>HL</v>
      </c>
      <c r="U336" s="42" t="str">
        <f t="shared" si="189"/>
        <v>U</v>
      </c>
      <c r="V336" s="42" t="str">
        <f t="shared" si="190"/>
        <v>O</v>
      </c>
      <c r="W336" s="42" t="str">
        <f t="shared" si="191"/>
        <v>U</v>
      </c>
      <c r="X336" s="42" t="str">
        <f t="shared" si="192"/>
        <v>U</v>
      </c>
      <c r="Z336" s="42">
        <v>54.5</v>
      </c>
      <c r="AB336" s="42" t="str">
        <f t="shared" si="193"/>
        <v>BKN/DEN</v>
      </c>
      <c r="AC336" s="42">
        <f t="shared" si="194"/>
        <v>1</v>
      </c>
      <c r="AD336" s="42">
        <f t="shared" si="195"/>
        <v>3</v>
      </c>
    </row>
    <row r="337" spans="1:30" ht="17.100000000000001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 s="42">
        <v>27</v>
      </c>
      <c r="F337" s="42">
        <v>26</v>
      </c>
      <c r="G337" s="42">
        <v>30</v>
      </c>
      <c r="H337" s="42">
        <v>24</v>
      </c>
      <c r="I337" s="42"/>
      <c r="J337" s="42">
        <v>24</v>
      </c>
      <c r="K337" s="42">
        <v>27</v>
      </c>
      <c r="L337" s="42">
        <v>37</v>
      </c>
      <c r="M337" s="42">
        <v>34</v>
      </c>
      <c r="N337" s="42" t="s">
        <v>427</v>
      </c>
      <c r="O337" s="42">
        <f t="shared" si="183"/>
        <v>107</v>
      </c>
      <c r="P337" s="42">
        <f t="shared" si="184"/>
        <v>122</v>
      </c>
      <c r="Q337" s="42" t="str">
        <f t="shared" si="185"/>
        <v>HW</v>
      </c>
      <c r="R337" s="42" t="str">
        <f t="shared" si="186"/>
        <v>HL</v>
      </c>
      <c r="S337" s="42" t="str">
        <f t="shared" si="187"/>
        <v>HL</v>
      </c>
      <c r="T337" s="42" t="str">
        <f t="shared" si="188"/>
        <v>HL</v>
      </c>
      <c r="U337" s="42" t="str">
        <f t="shared" si="189"/>
        <v>U</v>
      </c>
      <c r="V337" s="42" t="str">
        <f t="shared" si="190"/>
        <v>U</v>
      </c>
      <c r="W337" s="42" t="str">
        <f t="shared" si="191"/>
        <v>O</v>
      </c>
      <c r="X337" s="42" t="str">
        <f t="shared" si="192"/>
        <v>O</v>
      </c>
      <c r="Z337" s="42">
        <v>57</v>
      </c>
      <c r="AB337" s="42" t="str">
        <f t="shared" si="193"/>
        <v>CHA/ATL</v>
      </c>
      <c r="AC337" s="42">
        <f t="shared" si="194"/>
        <v>2</v>
      </c>
      <c r="AD337" s="42">
        <f t="shared" si="195"/>
        <v>2</v>
      </c>
    </row>
    <row r="338" spans="1:30" ht="17.100000000000001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 s="42">
        <v>16</v>
      </c>
      <c r="F338" s="42">
        <v>31</v>
      </c>
      <c r="G338" s="42">
        <v>27</v>
      </c>
      <c r="H338" s="42">
        <v>23</v>
      </c>
      <c r="I338" s="42">
        <v>13</v>
      </c>
      <c r="J338" s="42">
        <v>25</v>
      </c>
      <c r="K338" s="42">
        <v>24</v>
      </c>
      <c r="L338" s="42">
        <v>24</v>
      </c>
      <c r="M338" s="42">
        <v>24</v>
      </c>
      <c r="N338" s="42">
        <v>8</v>
      </c>
      <c r="O338" s="42">
        <f t="shared" si="183"/>
        <v>110</v>
      </c>
      <c r="P338" s="42">
        <f t="shared" si="184"/>
        <v>105</v>
      </c>
      <c r="Q338" s="42" t="str">
        <f t="shared" si="185"/>
        <v>HL</v>
      </c>
      <c r="R338" s="42" t="str">
        <f t="shared" si="186"/>
        <v>HW</v>
      </c>
      <c r="S338" s="42" t="str">
        <f t="shared" si="187"/>
        <v>HW</v>
      </c>
      <c r="T338" s="42" t="str">
        <f t="shared" si="188"/>
        <v>HL</v>
      </c>
      <c r="U338" s="42" t="str">
        <f t="shared" si="189"/>
        <v>U</v>
      </c>
      <c r="V338" s="42" t="str">
        <f t="shared" si="190"/>
        <v>O</v>
      </c>
      <c r="W338" s="42" t="str">
        <f t="shared" si="191"/>
        <v>U</v>
      </c>
      <c r="X338" s="42" t="str">
        <f t="shared" si="192"/>
        <v>U</v>
      </c>
      <c r="Z338" s="42">
        <v>54</v>
      </c>
      <c r="AB338" s="42" t="str">
        <f t="shared" si="193"/>
        <v>MIA/CHI</v>
      </c>
      <c r="AC338" s="42">
        <f t="shared" si="194"/>
        <v>1</v>
      </c>
      <c r="AD338" s="42">
        <f t="shared" si="195"/>
        <v>3</v>
      </c>
    </row>
    <row r="339" spans="1:30" ht="17.100000000000001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 s="42">
        <v>27</v>
      </c>
      <c r="F339" s="42">
        <v>30</v>
      </c>
      <c r="G339" s="42">
        <v>29</v>
      </c>
      <c r="H339" s="42">
        <v>24</v>
      </c>
      <c r="I339" s="42"/>
      <c r="J339" s="42">
        <v>22</v>
      </c>
      <c r="K339" s="42">
        <v>20</v>
      </c>
      <c r="L339" s="42">
        <v>26</v>
      </c>
      <c r="M339" s="42">
        <v>36</v>
      </c>
      <c r="N339" s="42" t="s">
        <v>427</v>
      </c>
      <c r="O339" s="42">
        <f t="shared" si="183"/>
        <v>110</v>
      </c>
      <c r="P339" s="42">
        <f t="shared" si="184"/>
        <v>104</v>
      </c>
      <c r="Q339" s="42" t="str">
        <f t="shared" si="185"/>
        <v>HW</v>
      </c>
      <c r="R339" s="42" t="str">
        <f t="shared" si="186"/>
        <v>HW</v>
      </c>
      <c r="S339" s="42" t="str">
        <f t="shared" si="187"/>
        <v>HW</v>
      </c>
      <c r="T339" s="42" t="str">
        <f t="shared" si="188"/>
        <v>HL</v>
      </c>
      <c r="U339" s="42" t="str">
        <f t="shared" si="189"/>
        <v>U</v>
      </c>
      <c r="V339" s="42" t="str">
        <f t="shared" si="190"/>
        <v>U</v>
      </c>
      <c r="W339" s="42" t="str">
        <f t="shared" si="191"/>
        <v>O</v>
      </c>
      <c r="X339" s="42" t="str">
        <f t="shared" si="192"/>
        <v>O</v>
      </c>
      <c r="Z339" s="42">
        <v>54.5</v>
      </c>
      <c r="AB339" s="42" t="str">
        <f t="shared" si="193"/>
        <v>PHI/TOR</v>
      </c>
      <c r="AC339" s="42">
        <f t="shared" si="194"/>
        <v>2</v>
      </c>
      <c r="AD339" s="42">
        <f t="shared" si="195"/>
        <v>2</v>
      </c>
    </row>
    <row r="340" spans="1:30" ht="17.100000000000001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 s="42">
        <v>25</v>
      </c>
      <c r="F340" s="42">
        <v>39</v>
      </c>
      <c r="G340" s="42">
        <v>29</v>
      </c>
      <c r="H340" s="42">
        <v>26</v>
      </c>
      <c r="I340" s="42"/>
      <c r="J340" s="42">
        <v>35</v>
      </c>
      <c r="K340" s="42">
        <v>30</v>
      </c>
      <c r="L340" s="42">
        <v>35</v>
      </c>
      <c r="M340" s="42">
        <v>35</v>
      </c>
      <c r="N340" s="42" t="s">
        <v>427</v>
      </c>
      <c r="O340" s="42">
        <f t="shared" si="183"/>
        <v>119</v>
      </c>
      <c r="P340" s="42">
        <f t="shared" si="184"/>
        <v>135</v>
      </c>
      <c r="Q340" s="42" t="str">
        <f t="shared" si="185"/>
        <v>HL</v>
      </c>
      <c r="R340" s="42" t="str">
        <f t="shared" si="186"/>
        <v>HW</v>
      </c>
      <c r="S340" s="42" t="str">
        <f t="shared" si="187"/>
        <v>HL</v>
      </c>
      <c r="T340" s="42" t="str">
        <f t="shared" si="188"/>
        <v>HL</v>
      </c>
      <c r="U340" s="42" t="str">
        <f t="shared" si="189"/>
        <v>U</v>
      </c>
      <c r="V340" s="42" t="str">
        <f t="shared" si="190"/>
        <v>O</v>
      </c>
      <c r="W340" s="42" t="str">
        <f t="shared" si="191"/>
        <v>O</v>
      </c>
      <c r="X340" s="42" t="str">
        <f t="shared" si="192"/>
        <v>O</v>
      </c>
      <c r="Z340" s="42">
        <v>60.5</v>
      </c>
      <c r="AB340" s="42" t="str">
        <f t="shared" si="193"/>
        <v>WAS/LAC</v>
      </c>
      <c r="AC340" s="42">
        <f t="shared" si="194"/>
        <v>3</v>
      </c>
      <c r="AD340" s="42">
        <f t="shared" si="195"/>
        <v>1</v>
      </c>
    </row>
    <row r="341" spans="1:30" ht="17.100000000000001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 s="42">
        <v>27</v>
      </c>
      <c r="F341" s="42">
        <v>19</v>
      </c>
      <c r="G341" s="42">
        <v>32</v>
      </c>
      <c r="H341" s="42">
        <v>28</v>
      </c>
      <c r="I341" s="42"/>
      <c r="J341" s="42">
        <v>36</v>
      </c>
      <c r="K341" s="42">
        <v>30</v>
      </c>
      <c r="L341" s="42">
        <v>26</v>
      </c>
      <c r="M341" s="42">
        <v>18</v>
      </c>
      <c r="N341" s="42" t="s">
        <v>427</v>
      </c>
      <c r="O341" s="42">
        <f t="shared" si="183"/>
        <v>106</v>
      </c>
      <c r="P341" s="42">
        <f t="shared" si="184"/>
        <v>110</v>
      </c>
      <c r="Q341" s="42" t="str">
        <f t="shared" si="185"/>
        <v>HL</v>
      </c>
      <c r="R341" s="42" t="str">
        <f t="shared" si="186"/>
        <v>HL</v>
      </c>
      <c r="S341" s="42" t="str">
        <f t="shared" si="187"/>
        <v>HW</v>
      </c>
      <c r="T341" s="42" t="str">
        <f t="shared" si="188"/>
        <v>HW</v>
      </c>
      <c r="U341" s="42" t="str">
        <f t="shared" si="189"/>
        <v>O</v>
      </c>
      <c r="V341" s="42" t="str">
        <f t="shared" si="190"/>
        <v>U</v>
      </c>
      <c r="W341" s="42" t="str">
        <f t="shared" si="191"/>
        <v>O</v>
      </c>
      <c r="X341" s="42" t="str">
        <f t="shared" si="192"/>
        <v>U</v>
      </c>
      <c r="Z341" s="42">
        <v>55.5</v>
      </c>
      <c r="AB341" s="42" t="str">
        <f t="shared" si="193"/>
        <v>DAL/SAC</v>
      </c>
      <c r="AC341" s="42">
        <f t="shared" si="194"/>
        <v>2</v>
      </c>
      <c r="AD341" s="42">
        <f t="shared" si="195"/>
        <v>2</v>
      </c>
    </row>
    <row r="342" spans="1:30" ht="17.100000000000001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 s="42">
        <v>20</v>
      </c>
      <c r="F342" s="42">
        <v>27</v>
      </c>
      <c r="G342" s="42">
        <v>31</v>
      </c>
      <c r="H342" s="42">
        <v>18</v>
      </c>
      <c r="I342" s="42"/>
      <c r="J342" s="42">
        <v>21</v>
      </c>
      <c r="K342" s="42">
        <v>34</v>
      </c>
      <c r="L342" s="42">
        <v>27</v>
      </c>
      <c r="M342" s="42">
        <v>26</v>
      </c>
      <c r="N342" s="42" t="s">
        <v>427</v>
      </c>
      <c r="O342" s="42">
        <f t="shared" si="183"/>
        <v>96</v>
      </c>
      <c r="P342" s="42">
        <f t="shared" si="184"/>
        <v>108</v>
      </c>
      <c r="Q342" s="42" t="str">
        <f t="shared" si="185"/>
        <v>HL</v>
      </c>
      <c r="R342" s="42" t="str">
        <f t="shared" si="186"/>
        <v>HL</v>
      </c>
      <c r="S342" s="42" t="str">
        <f t="shared" si="187"/>
        <v>HW</v>
      </c>
      <c r="T342" s="42" t="str">
        <f t="shared" si="188"/>
        <v>HL</v>
      </c>
      <c r="U342" s="42" t="str">
        <f t="shared" si="189"/>
        <v>U</v>
      </c>
      <c r="V342" s="42" t="str">
        <f t="shared" si="190"/>
        <v>O</v>
      </c>
      <c r="W342" s="42" t="str">
        <f t="shared" si="191"/>
        <v>O</v>
      </c>
      <c r="X342" s="42" t="str">
        <f t="shared" si="192"/>
        <v>U</v>
      </c>
      <c r="Z342" s="42">
        <v>57.5</v>
      </c>
      <c r="AB342" s="42" t="str">
        <f t="shared" si="193"/>
        <v>POR/OKC</v>
      </c>
      <c r="AC342" s="42">
        <f t="shared" si="194"/>
        <v>2</v>
      </c>
      <c r="AD342" s="42">
        <f t="shared" si="195"/>
        <v>2</v>
      </c>
    </row>
    <row r="343" spans="1:30" ht="17.100000000000001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 s="42">
        <v>39</v>
      </c>
      <c r="F343" s="42">
        <v>34</v>
      </c>
      <c r="G343" s="42">
        <v>37</v>
      </c>
      <c r="H343" s="42">
        <v>32</v>
      </c>
      <c r="I343" s="42"/>
      <c r="J343" s="42">
        <v>31</v>
      </c>
      <c r="K343" s="42">
        <v>34</v>
      </c>
      <c r="L343" s="42">
        <v>38</v>
      </c>
      <c r="M343" s="42">
        <v>22</v>
      </c>
      <c r="N343" s="42" t="s">
        <v>427</v>
      </c>
      <c r="O343" s="42">
        <f t="shared" si="183"/>
        <v>142</v>
      </c>
      <c r="P343" s="42">
        <f t="shared" si="184"/>
        <v>125</v>
      </c>
      <c r="Q343" s="42" t="str">
        <f t="shared" si="185"/>
        <v>HW</v>
      </c>
      <c r="R343" s="42" t="str">
        <f t="shared" si="186"/>
        <v>TT</v>
      </c>
      <c r="S343" s="42" t="str">
        <f t="shared" si="187"/>
        <v>HL</v>
      </c>
      <c r="T343" s="42" t="str">
        <f t="shared" si="188"/>
        <v>HW</v>
      </c>
      <c r="U343" s="42" t="str">
        <f t="shared" si="189"/>
        <v>O</v>
      </c>
      <c r="V343" s="42" t="str">
        <f t="shared" si="190"/>
        <v>O</v>
      </c>
      <c r="W343" s="42" t="str">
        <f t="shared" si="191"/>
        <v>O</v>
      </c>
      <c r="X343" s="42" t="str">
        <f t="shared" si="192"/>
        <v>U</v>
      </c>
      <c r="Z343" s="42">
        <v>58.5</v>
      </c>
      <c r="AB343" s="42" t="str">
        <f t="shared" si="193"/>
        <v>LAL/MIN</v>
      </c>
      <c r="AC343" s="42">
        <f t="shared" si="194"/>
        <v>3</v>
      </c>
      <c r="AD343" s="42">
        <f t="shared" si="195"/>
        <v>1</v>
      </c>
    </row>
    <row r="344" spans="1:30" ht="17.100000000000001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 s="42">
        <v>19</v>
      </c>
      <c r="F344" s="42">
        <v>29</v>
      </c>
      <c r="G344" s="42">
        <v>25</v>
      </c>
      <c r="H344" s="42">
        <v>26</v>
      </c>
      <c r="I344" s="42"/>
      <c r="J344" s="42">
        <v>24</v>
      </c>
      <c r="K344" s="42">
        <v>36</v>
      </c>
      <c r="L344" s="42">
        <v>31</v>
      </c>
      <c r="M344" s="42">
        <v>19</v>
      </c>
      <c r="N344" s="42" t="s">
        <v>427</v>
      </c>
      <c r="O344" s="42">
        <f t="shared" si="183"/>
        <v>99</v>
      </c>
      <c r="P344" s="42">
        <f t="shared" si="184"/>
        <v>110</v>
      </c>
      <c r="Q344" s="42" t="str">
        <f t="shared" si="185"/>
        <v>HL</v>
      </c>
      <c r="R344" s="42" t="str">
        <f t="shared" si="186"/>
        <v>HL</v>
      </c>
      <c r="S344" s="42" t="str">
        <f t="shared" si="187"/>
        <v>HL</v>
      </c>
      <c r="T344" s="42" t="str">
        <f t="shared" si="188"/>
        <v>HW</v>
      </c>
      <c r="U344" s="42" t="str">
        <f t="shared" si="189"/>
        <v>U</v>
      </c>
      <c r="V344" s="42" t="str">
        <f t="shared" si="190"/>
        <v>O</v>
      </c>
      <c r="W344" s="42" t="str">
        <f t="shared" si="191"/>
        <v>T</v>
      </c>
      <c r="X344" s="42" t="str">
        <f t="shared" si="192"/>
        <v>U</v>
      </c>
      <c r="Z344" s="42">
        <v>56</v>
      </c>
      <c r="AB344" s="42" t="str">
        <f t="shared" si="193"/>
        <v>IND/LAC</v>
      </c>
      <c r="AC344" s="42">
        <f t="shared" si="194"/>
        <v>1</v>
      </c>
      <c r="AD344" s="42">
        <f t="shared" si="195"/>
        <v>2</v>
      </c>
    </row>
    <row r="345" spans="1:30" ht="17.100000000000001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 s="42">
        <v>29</v>
      </c>
      <c r="F345" s="42">
        <v>24</v>
      </c>
      <c r="G345" s="42">
        <v>30</v>
      </c>
      <c r="H345" s="42">
        <v>27</v>
      </c>
      <c r="I345" s="42"/>
      <c r="J345" s="42">
        <v>18</v>
      </c>
      <c r="K345" s="42">
        <v>22</v>
      </c>
      <c r="L345" s="42">
        <v>26</v>
      </c>
      <c r="M345" s="42">
        <v>22</v>
      </c>
      <c r="N345" s="42" t="s">
        <v>427</v>
      </c>
      <c r="O345" s="42">
        <f t="shared" si="183"/>
        <v>110</v>
      </c>
      <c r="P345" s="42">
        <f t="shared" si="184"/>
        <v>88</v>
      </c>
      <c r="Q345" s="42" t="str">
        <f t="shared" si="185"/>
        <v>HW</v>
      </c>
      <c r="R345" s="42" t="str">
        <f t="shared" si="186"/>
        <v>HW</v>
      </c>
      <c r="S345" s="42" t="str">
        <f t="shared" si="187"/>
        <v>HW</v>
      </c>
      <c r="T345" s="42" t="str">
        <f t="shared" si="188"/>
        <v>HW</v>
      </c>
      <c r="U345" s="42" t="str">
        <f t="shared" si="189"/>
        <v>U</v>
      </c>
      <c r="V345" s="42" t="str">
        <f t="shared" si="190"/>
        <v>U</v>
      </c>
      <c r="W345" s="42" t="str">
        <f t="shared" si="191"/>
        <v>O</v>
      </c>
      <c r="X345" s="42" t="str">
        <f t="shared" si="192"/>
        <v>U</v>
      </c>
      <c r="Z345" s="42">
        <v>52.5</v>
      </c>
      <c r="AB345" s="42" t="str">
        <f t="shared" si="193"/>
        <v>BOS/CLE</v>
      </c>
      <c r="AC345" s="42">
        <f t="shared" si="194"/>
        <v>1</v>
      </c>
      <c r="AD345" s="42">
        <f t="shared" si="195"/>
        <v>3</v>
      </c>
    </row>
    <row r="346" spans="1:30" ht="17.100000000000001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 s="42">
        <v>29</v>
      </c>
      <c r="F346" s="42">
        <v>24</v>
      </c>
      <c r="G346" s="42">
        <v>21</v>
      </c>
      <c r="H346" s="42">
        <v>29</v>
      </c>
      <c r="I346" s="42"/>
      <c r="J346" s="42">
        <v>25</v>
      </c>
      <c r="K346" s="42">
        <v>22</v>
      </c>
      <c r="L346" s="42">
        <v>34</v>
      </c>
      <c r="M346" s="42">
        <v>24</v>
      </c>
      <c r="N346" s="42" t="s">
        <v>427</v>
      </c>
      <c r="O346" s="42">
        <f t="shared" si="183"/>
        <v>103</v>
      </c>
      <c r="P346" s="42">
        <f t="shared" si="184"/>
        <v>105</v>
      </c>
      <c r="Q346" s="42" t="str">
        <f t="shared" si="185"/>
        <v>HW</v>
      </c>
      <c r="R346" s="42" t="str">
        <f t="shared" si="186"/>
        <v>HW</v>
      </c>
      <c r="S346" s="42" t="str">
        <f t="shared" si="187"/>
        <v>HL</v>
      </c>
      <c r="T346" s="42" t="str">
        <f t="shared" si="188"/>
        <v>HW</v>
      </c>
      <c r="U346" s="42" t="str">
        <f t="shared" si="189"/>
        <v>U</v>
      </c>
      <c r="V346" s="42" t="str">
        <f t="shared" si="190"/>
        <v>U</v>
      </c>
      <c r="W346" s="42" t="str">
        <f t="shared" si="191"/>
        <v>U</v>
      </c>
      <c r="X346" s="42" t="str">
        <f t="shared" si="192"/>
        <v>U</v>
      </c>
      <c r="Z346" s="42">
        <v>58</v>
      </c>
      <c r="AB346" s="42" t="str">
        <f t="shared" si="193"/>
        <v>NO/DET</v>
      </c>
      <c r="AC346" s="42">
        <f t="shared" si="194"/>
        <v>0</v>
      </c>
      <c r="AD346" s="42">
        <f t="shared" si="195"/>
        <v>4</v>
      </c>
    </row>
    <row r="347" spans="1:30" ht="17.100000000000001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 s="42">
        <v>30</v>
      </c>
      <c r="F347" s="42">
        <v>21</v>
      </c>
      <c r="G347" s="42">
        <v>20</v>
      </c>
      <c r="H347" s="42">
        <v>21</v>
      </c>
      <c r="I347" s="42"/>
      <c r="J347" s="42">
        <v>30</v>
      </c>
      <c r="K347" s="42">
        <v>19</v>
      </c>
      <c r="L347" s="42">
        <v>22</v>
      </c>
      <c r="M347" s="42">
        <v>22</v>
      </c>
      <c r="N347" s="42" t="s">
        <v>427</v>
      </c>
      <c r="O347" s="42">
        <f t="shared" si="183"/>
        <v>92</v>
      </c>
      <c r="P347" s="42">
        <f t="shared" si="184"/>
        <v>93</v>
      </c>
      <c r="Q347" s="42" t="str">
        <f t="shared" si="185"/>
        <v>TT</v>
      </c>
      <c r="R347" s="42" t="str">
        <f t="shared" si="186"/>
        <v>HW</v>
      </c>
      <c r="S347" s="42" t="str">
        <f t="shared" si="187"/>
        <v>HL</v>
      </c>
      <c r="T347" s="42" t="str">
        <f t="shared" si="188"/>
        <v>HL</v>
      </c>
      <c r="U347" s="42" t="str">
        <f t="shared" si="189"/>
        <v>O</v>
      </c>
      <c r="V347" s="42" t="str">
        <f t="shared" si="190"/>
        <v>U</v>
      </c>
      <c r="W347" s="42" t="str">
        <f t="shared" si="191"/>
        <v>U</v>
      </c>
      <c r="X347" s="42" t="str">
        <f t="shared" si="192"/>
        <v>U</v>
      </c>
      <c r="Z347" s="42">
        <v>55</v>
      </c>
      <c r="AB347" s="42" t="str">
        <f t="shared" si="193"/>
        <v>CHI/TOR</v>
      </c>
      <c r="AC347" s="42">
        <f t="shared" si="194"/>
        <v>1</v>
      </c>
      <c r="AD347" s="42">
        <f t="shared" si="195"/>
        <v>3</v>
      </c>
    </row>
    <row r="348" spans="1:30" ht="17.100000000000001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 s="42">
        <v>28</v>
      </c>
      <c r="F348" s="42">
        <v>36</v>
      </c>
      <c r="G348" s="42">
        <v>29</v>
      </c>
      <c r="H348" s="42">
        <v>25</v>
      </c>
      <c r="I348" s="42"/>
      <c r="J348" s="42">
        <v>32</v>
      </c>
      <c r="K348" s="42">
        <v>27</v>
      </c>
      <c r="L348" s="42">
        <v>35</v>
      </c>
      <c r="M348" s="42">
        <v>25</v>
      </c>
      <c r="N348" s="42" t="s">
        <v>427</v>
      </c>
      <c r="O348" s="42">
        <f t="shared" si="183"/>
        <v>118</v>
      </c>
      <c r="P348" s="42">
        <f t="shared" si="184"/>
        <v>119</v>
      </c>
      <c r="Q348" s="42" t="str">
        <f t="shared" si="185"/>
        <v>HL</v>
      </c>
      <c r="R348" s="42" t="str">
        <f t="shared" si="186"/>
        <v>HW</v>
      </c>
      <c r="S348" s="42" t="str">
        <f t="shared" si="187"/>
        <v>HL</v>
      </c>
      <c r="T348" s="42" t="str">
        <f t="shared" si="188"/>
        <v>TT</v>
      </c>
      <c r="U348" s="42" t="str">
        <f t="shared" si="189"/>
        <v>O</v>
      </c>
      <c r="V348" s="42" t="str">
        <f t="shared" si="190"/>
        <v>O</v>
      </c>
      <c r="W348" s="42" t="str">
        <f t="shared" si="191"/>
        <v>O</v>
      </c>
      <c r="X348" s="42" t="str">
        <f t="shared" si="192"/>
        <v>U</v>
      </c>
      <c r="Z348" s="42">
        <v>58</v>
      </c>
      <c r="AB348" s="42" t="str">
        <f t="shared" si="193"/>
        <v>HOU/SAC</v>
      </c>
      <c r="AC348" s="42">
        <f t="shared" si="194"/>
        <v>3</v>
      </c>
      <c r="AD348" s="42">
        <f t="shared" si="195"/>
        <v>1</v>
      </c>
    </row>
    <row r="349" spans="1:30" ht="17.100000000000001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 s="42">
        <v>31</v>
      </c>
      <c r="F349" s="42">
        <v>21</v>
      </c>
      <c r="G349" s="42">
        <v>28</v>
      </c>
      <c r="H349" s="42">
        <v>30</v>
      </c>
      <c r="I349" s="42"/>
      <c r="J349" s="42">
        <v>20</v>
      </c>
      <c r="K349" s="42">
        <v>20</v>
      </c>
      <c r="L349" s="42">
        <v>33</v>
      </c>
      <c r="M349" s="42">
        <v>28</v>
      </c>
      <c r="N349" s="42" t="s">
        <v>427</v>
      </c>
      <c r="O349" s="42">
        <f t="shared" si="183"/>
        <v>110</v>
      </c>
      <c r="P349" s="42">
        <f t="shared" si="184"/>
        <v>101</v>
      </c>
      <c r="Q349" s="42" t="str">
        <f t="shared" si="185"/>
        <v>HW</v>
      </c>
      <c r="R349" s="42" t="str">
        <f t="shared" si="186"/>
        <v>HW</v>
      </c>
      <c r="S349" s="42" t="str">
        <f t="shared" si="187"/>
        <v>HL</v>
      </c>
      <c r="T349" s="42" t="str">
        <f t="shared" si="188"/>
        <v>HW</v>
      </c>
      <c r="U349" s="42" t="str">
        <f t="shared" si="189"/>
        <v>U</v>
      </c>
      <c r="V349" s="42" t="str">
        <f t="shared" si="190"/>
        <v>U</v>
      </c>
      <c r="W349" s="42" t="str">
        <f t="shared" si="191"/>
        <v>O</v>
      </c>
      <c r="X349" s="42" t="str">
        <f t="shared" si="192"/>
        <v>O</v>
      </c>
      <c r="Z349" s="42">
        <v>56.5</v>
      </c>
      <c r="AB349" s="42" t="str">
        <f t="shared" si="193"/>
        <v>MIL/ORL</v>
      </c>
      <c r="AC349" s="42">
        <f t="shared" si="194"/>
        <v>2</v>
      </c>
      <c r="AD349" s="42">
        <f t="shared" si="195"/>
        <v>2</v>
      </c>
    </row>
    <row r="350" spans="1:30" ht="17.100000000000001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 s="42">
        <v>33</v>
      </c>
      <c r="F350" s="42">
        <v>28</v>
      </c>
      <c r="G350" s="42">
        <v>33</v>
      </c>
      <c r="H350" s="42">
        <v>31</v>
      </c>
      <c r="I350" s="42"/>
      <c r="J350" s="42">
        <v>31</v>
      </c>
      <c r="K350" s="42">
        <v>33</v>
      </c>
      <c r="L350" s="42">
        <v>21</v>
      </c>
      <c r="M350" s="42">
        <v>24</v>
      </c>
      <c r="N350" s="42" t="s">
        <v>427</v>
      </c>
      <c r="O350" s="42">
        <f t="shared" si="183"/>
        <v>125</v>
      </c>
      <c r="P350" s="42">
        <f t="shared" si="184"/>
        <v>109</v>
      </c>
      <c r="Q350" s="42" t="str">
        <f t="shared" si="185"/>
        <v>HW</v>
      </c>
      <c r="R350" s="42" t="str">
        <f t="shared" si="186"/>
        <v>HL</v>
      </c>
      <c r="S350" s="42" t="str">
        <f t="shared" si="187"/>
        <v>HW</v>
      </c>
      <c r="T350" s="42" t="str">
        <f t="shared" si="188"/>
        <v>HW</v>
      </c>
      <c r="U350" s="42" t="str">
        <f t="shared" si="189"/>
        <v>O</v>
      </c>
      <c r="V350" s="42" t="str">
        <f t="shared" si="190"/>
        <v>O</v>
      </c>
      <c r="W350" s="42" t="str">
        <f t="shared" si="191"/>
        <v>U</v>
      </c>
      <c r="X350" s="42" t="str">
        <f t="shared" si="192"/>
        <v>U</v>
      </c>
      <c r="Z350" s="42">
        <v>60</v>
      </c>
      <c r="AB350" s="42" t="str">
        <f t="shared" si="193"/>
        <v>PHO/MIN</v>
      </c>
      <c r="AC350" s="42">
        <f t="shared" si="194"/>
        <v>2</v>
      </c>
      <c r="AD350" s="42">
        <f t="shared" si="195"/>
        <v>2</v>
      </c>
    </row>
    <row r="351" spans="1:30" ht="17.100000000000001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 s="42">
        <v>24</v>
      </c>
      <c r="F351" s="42">
        <v>23</v>
      </c>
      <c r="G351" s="42">
        <v>21</v>
      </c>
      <c r="H351" s="42">
        <v>22</v>
      </c>
      <c r="I351" s="42"/>
      <c r="J351" s="42">
        <v>25</v>
      </c>
      <c r="K351" s="42">
        <v>26</v>
      </c>
      <c r="L351" s="42">
        <v>34</v>
      </c>
      <c r="M351" s="42">
        <v>19</v>
      </c>
      <c r="N351" s="42" t="s">
        <v>427</v>
      </c>
      <c r="O351" s="42">
        <f t="shared" si="183"/>
        <v>90</v>
      </c>
      <c r="P351" s="42">
        <f t="shared" si="184"/>
        <v>104</v>
      </c>
      <c r="Q351" s="42" t="str">
        <f t="shared" si="185"/>
        <v>HL</v>
      </c>
      <c r="R351" s="42" t="str">
        <f t="shared" si="186"/>
        <v>HL</v>
      </c>
      <c r="S351" s="42" t="str">
        <f t="shared" si="187"/>
        <v>HL</v>
      </c>
      <c r="T351" s="42" t="str">
        <f t="shared" si="188"/>
        <v>HW</v>
      </c>
      <c r="U351" s="42" t="str">
        <f t="shared" si="189"/>
        <v>U</v>
      </c>
      <c r="V351" s="42" t="str">
        <f t="shared" si="190"/>
        <v>U</v>
      </c>
      <c r="W351" s="42" t="str">
        <f t="shared" si="191"/>
        <v>O</v>
      </c>
      <c r="X351" s="42" t="str">
        <f t="shared" si="192"/>
        <v>U</v>
      </c>
      <c r="Z351" s="42">
        <v>53.5</v>
      </c>
      <c r="AB351" s="42" t="str">
        <f t="shared" si="193"/>
        <v>UTA/OKC</v>
      </c>
      <c r="AC351" s="42">
        <f t="shared" si="194"/>
        <v>1</v>
      </c>
      <c r="AD351" s="42">
        <f t="shared" si="195"/>
        <v>3</v>
      </c>
    </row>
    <row r="352" spans="1:30" ht="17.100000000000001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 s="42">
        <v>20</v>
      </c>
      <c r="F352" s="42">
        <v>27</v>
      </c>
      <c r="G352" s="42">
        <v>32</v>
      </c>
      <c r="H352" s="42">
        <v>23</v>
      </c>
      <c r="I352" s="42"/>
      <c r="J352" s="42">
        <v>29</v>
      </c>
      <c r="K352" s="42">
        <v>25</v>
      </c>
      <c r="L352" s="42">
        <v>34</v>
      </c>
      <c r="M352" s="42">
        <v>22</v>
      </c>
      <c r="N352" s="42" t="s">
        <v>427</v>
      </c>
      <c r="O352" s="42">
        <f t="shared" si="183"/>
        <v>102</v>
      </c>
      <c r="P352" s="42">
        <f t="shared" si="184"/>
        <v>110</v>
      </c>
      <c r="Q352" s="42" t="str">
        <f t="shared" si="185"/>
        <v>HL</v>
      </c>
      <c r="R352" s="42" t="str">
        <f t="shared" si="186"/>
        <v>HW</v>
      </c>
      <c r="S352" s="42" t="str">
        <f t="shared" si="187"/>
        <v>HL</v>
      </c>
      <c r="T352" s="42" t="str">
        <f t="shared" si="188"/>
        <v>HW</v>
      </c>
      <c r="U352" s="42" t="str">
        <f t="shared" si="189"/>
        <v>U</v>
      </c>
      <c r="V352" s="42" t="str">
        <f t="shared" si="190"/>
        <v>U</v>
      </c>
      <c r="W352" s="42" t="str">
        <f t="shared" si="191"/>
        <v>O</v>
      </c>
      <c r="X352" s="42" t="str">
        <f t="shared" si="192"/>
        <v>U</v>
      </c>
      <c r="Z352" s="42">
        <v>54</v>
      </c>
      <c r="AB352" s="42" t="str">
        <f t="shared" si="193"/>
        <v>GS/MEM</v>
      </c>
      <c r="AC352" s="42">
        <f t="shared" si="194"/>
        <v>1</v>
      </c>
      <c r="AD352" s="42">
        <f t="shared" si="195"/>
        <v>3</v>
      </c>
    </row>
    <row r="353" spans="1:30" ht="17.100000000000001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 s="42">
        <v>28</v>
      </c>
      <c r="F353" s="42">
        <v>25</v>
      </c>
      <c r="G353" s="42">
        <v>29</v>
      </c>
      <c r="H353" s="42">
        <v>32</v>
      </c>
      <c r="I353" s="42"/>
      <c r="J353" s="42">
        <v>20</v>
      </c>
      <c r="K353" s="42">
        <v>28</v>
      </c>
      <c r="L353" s="42">
        <v>27</v>
      </c>
      <c r="M353" s="42">
        <v>32</v>
      </c>
      <c r="N353" s="42" t="s">
        <v>427</v>
      </c>
      <c r="O353" s="42">
        <f t="shared" si="183"/>
        <v>114</v>
      </c>
      <c r="P353" s="42">
        <f t="shared" si="184"/>
        <v>107</v>
      </c>
      <c r="Q353" s="42" t="str">
        <f t="shared" si="185"/>
        <v>HW</v>
      </c>
      <c r="R353" s="42" t="str">
        <f t="shared" si="186"/>
        <v>HL</v>
      </c>
      <c r="S353" s="42" t="str">
        <f t="shared" si="187"/>
        <v>HW</v>
      </c>
      <c r="T353" s="42" t="str">
        <f t="shared" si="188"/>
        <v>TT</v>
      </c>
      <c r="U353" s="42" t="str">
        <f t="shared" si="189"/>
        <v>U</v>
      </c>
      <c r="V353" s="42" t="str">
        <f t="shared" si="190"/>
        <v>U</v>
      </c>
      <c r="W353" s="42" t="str">
        <f t="shared" si="191"/>
        <v>U</v>
      </c>
      <c r="X353" s="42" t="str">
        <f t="shared" si="192"/>
        <v>O</v>
      </c>
      <c r="Z353" s="42">
        <v>59</v>
      </c>
      <c r="AB353" s="42" t="str">
        <f t="shared" si="193"/>
        <v>CHA/WAS</v>
      </c>
      <c r="AC353" s="42">
        <f t="shared" si="194"/>
        <v>1</v>
      </c>
      <c r="AD353" s="42">
        <f t="shared" si="195"/>
        <v>3</v>
      </c>
    </row>
    <row r="354" spans="1:30" ht="17.100000000000001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 s="42">
        <v>36</v>
      </c>
      <c r="F354" s="42">
        <v>30</v>
      </c>
      <c r="G354" s="42">
        <v>27</v>
      </c>
      <c r="H354" s="42">
        <v>24</v>
      </c>
      <c r="I354" s="42">
        <v>18</v>
      </c>
      <c r="J354" s="42">
        <v>30</v>
      </c>
      <c r="K354" s="42">
        <v>34</v>
      </c>
      <c r="L354" s="42">
        <v>32</v>
      </c>
      <c r="M354" s="42">
        <v>21</v>
      </c>
      <c r="N354" s="42">
        <v>4</v>
      </c>
      <c r="O354" s="42">
        <f t="shared" si="183"/>
        <v>135</v>
      </c>
      <c r="P354" s="42">
        <f t="shared" si="184"/>
        <v>121</v>
      </c>
      <c r="Q354" s="42" t="str">
        <f t="shared" si="185"/>
        <v>HW</v>
      </c>
      <c r="R354" s="42" t="str">
        <f t="shared" si="186"/>
        <v>HL</v>
      </c>
      <c r="S354" s="42" t="str">
        <f t="shared" si="187"/>
        <v>HL</v>
      </c>
      <c r="T354" s="42" t="str">
        <f t="shared" si="188"/>
        <v>HW</v>
      </c>
      <c r="U354" s="42" t="str">
        <f t="shared" si="189"/>
        <v>O</v>
      </c>
      <c r="V354" s="42" t="str">
        <f t="shared" si="190"/>
        <v>O</v>
      </c>
      <c r="W354" s="42" t="str">
        <f t="shared" si="191"/>
        <v>O</v>
      </c>
      <c r="X354" s="42" t="str">
        <f t="shared" si="192"/>
        <v>U</v>
      </c>
      <c r="Z354" s="42">
        <v>56.5</v>
      </c>
      <c r="AB354" s="42" t="str">
        <f t="shared" si="193"/>
        <v>MIA/ATL</v>
      </c>
      <c r="AC354" s="42">
        <f t="shared" si="194"/>
        <v>3</v>
      </c>
      <c r="AD354" s="42">
        <f t="shared" si="195"/>
        <v>1</v>
      </c>
    </row>
    <row r="355" spans="1:30" ht="17.100000000000001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 s="42">
        <v>26</v>
      </c>
      <c r="F355" s="42">
        <v>29</v>
      </c>
      <c r="G355" s="42">
        <v>28</v>
      </c>
      <c r="H355" s="42">
        <v>14</v>
      </c>
      <c r="I355" s="42"/>
      <c r="J355" s="42">
        <v>27</v>
      </c>
      <c r="K355" s="42">
        <v>23</v>
      </c>
      <c r="L355" s="42">
        <v>26</v>
      </c>
      <c r="M355" s="42">
        <v>16</v>
      </c>
      <c r="N355" s="42" t="s">
        <v>427</v>
      </c>
      <c r="O355" s="42">
        <f t="shared" si="183"/>
        <v>97</v>
      </c>
      <c r="P355" s="42">
        <f t="shared" si="184"/>
        <v>92</v>
      </c>
      <c r="Q355" s="42" t="str">
        <f t="shared" si="185"/>
        <v>HL</v>
      </c>
      <c r="R355" s="42" t="str">
        <f t="shared" si="186"/>
        <v>HW</v>
      </c>
      <c r="S355" s="42" t="str">
        <f t="shared" si="187"/>
        <v>HW</v>
      </c>
      <c r="T355" s="42" t="str">
        <f t="shared" si="188"/>
        <v>HL</v>
      </c>
      <c r="U355" s="42" t="str">
        <f t="shared" si="189"/>
        <v>U</v>
      </c>
      <c r="V355" s="42" t="str">
        <f t="shared" si="190"/>
        <v>U</v>
      </c>
      <c r="W355" s="42" t="str">
        <f t="shared" si="191"/>
        <v>O</v>
      </c>
      <c r="X355" s="42" t="str">
        <f t="shared" si="192"/>
        <v>U</v>
      </c>
      <c r="Z355" s="42">
        <v>53.5</v>
      </c>
      <c r="AB355" s="42" t="str">
        <f t="shared" si="193"/>
        <v>PHI/DEN</v>
      </c>
      <c r="AC355" s="42">
        <f t="shared" si="194"/>
        <v>1</v>
      </c>
      <c r="AD355" s="42">
        <f t="shared" si="195"/>
        <v>3</v>
      </c>
    </row>
    <row r="356" spans="1:30" ht="17.100000000000001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 s="42">
        <v>32</v>
      </c>
      <c r="F356" s="42">
        <v>28</v>
      </c>
      <c r="G356" s="42">
        <v>26</v>
      </c>
      <c r="H356" s="42">
        <v>29</v>
      </c>
      <c r="I356" s="42"/>
      <c r="J356" s="42">
        <v>22</v>
      </c>
      <c r="K356" s="42">
        <v>19</v>
      </c>
      <c r="L356" s="42">
        <v>18</v>
      </c>
      <c r="M356" s="42">
        <v>28</v>
      </c>
      <c r="N356" s="42" t="s">
        <v>427</v>
      </c>
      <c r="O356" s="42">
        <f t="shared" si="183"/>
        <v>115</v>
      </c>
      <c r="P356" s="42">
        <f t="shared" si="184"/>
        <v>87</v>
      </c>
      <c r="Q356" s="42" t="str">
        <f t="shared" si="185"/>
        <v>HW</v>
      </c>
      <c r="R356" s="42" t="str">
        <f t="shared" si="186"/>
        <v>HW</v>
      </c>
      <c r="S356" s="42" t="str">
        <f t="shared" si="187"/>
        <v>HW</v>
      </c>
      <c r="T356" s="42" t="str">
        <f t="shared" si="188"/>
        <v>HW</v>
      </c>
      <c r="U356" s="42" t="str">
        <f t="shared" si="189"/>
        <v>U</v>
      </c>
      <c r="V356" s="42" t="str">
        <f t="shared" si="190"/>
        <v>U</v>
      </c>
      <c r="W356" s="42" t="str">
        <f t="shared" si="191"/>
        <v>U</v>
      </c>
      <c r="X356" s="42" t="str">
        <f t="shared" si="192"/>
        <v>T</v>
      </c>
      <c r="Z356" s="42">
        <v>57</v>
      </c>
      <c r="AB356" s="42" t="str">
        <f t="shared" si="193"/>
        <v>POR/NYK</v>
      </c>
      <c r="AC356" s="42">
        <f t="shared" si="194"/>
        <v>0</v>
      </c>
      <c r="AD356" s="42">
        <f t="shared" si="195"/>
        <v>3</v>
      </c>
    </row>
    <row r="357" spans="1:30" ht="17.100000000000001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 s="42">
        <v>29</v>
      </c>
      <c r="F357" s="42">
        <v>28</v>
      </c>
      <c r="G357" s="42">
        <v>25</v>
      </c>
      <c r="H357" s="42">
        <v>28</v>
      </c>
      <c r="I357" s="42"/>
      <c r="J357" s="42">
        <v>35</v>
      </c>
      <c r="K357" s="42">
        <v>29</v>
      </c>
      <c r="L357" s="42">
        <v>24</v>
      </c>
      <c r="M357" s="42">
        <v>28</v>
      </c>
      <c r="N357" s="42" t="s">
        <v>427</v>
      </c>
      <c r="O357" s="42">
        <f t="shared" si="183"/>
        <v>110</v>
      </c>
      <c r="P357" s="42">
        <f t="shared" si="184"/>
        <v>116</v>
      </c>
      <c r="Q357" s="42" t="str">
        <f t="shared" si="185"/>
        <v>HL</v>
      </c>
      <c r="R357" s="42" t="str">
        <f t="shared" si="186"/>
        <v>HL</v>
      </c>
      <c r="S357" s="42" t="str">
        <f t="shared" si="187"/>
        <v>HW</v>
      </c>
      <c r="T357" s="42" t="str">
        <f t="shared" si="188"/>
        <v>TT</v>
      </c>
      <c r="U357" s="42" t="str">
        <f t="shared" si="189"/>
        <v>O</v>
      </c>
      <c r="V357" s="42" t="str">
        <f t="shared" si="190"/>
        <v>U</v>
      </c>
      <c r="W357" s="42" t="str">
        <f t="shared" si="191"/>
        <v>U</v>
      </c>
      <c r="X357" s="42" t="str">
        <f t="shared" si="192"/>
        <v>U</v>
      </c>
      <c r="Z357" s="42">
        <v>59</v>
      </c>
      <c r="AB357" s="42" t="str">
        <f t="shared" si="193"/>
        <v>CLE/HOU</v>
      </c>
      <c r="AC357" s="42">
        <f t="shared" si="194"/>
        <v>1</v>
      </c>
      <c r="AD357" s="42">
        <f t="shared" si="195"/>
        <v>3</v>
      </c>
    </row>
    <row r="358" spans="1:30" ht="17.100000000000001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 s="42">
        <v>30</v>
      </c>
      <c r="F358" s="42">
        <v>31</v>
      </c>
      <c r="G358" s="42">
        <v>23</v>
      </c>
      <c r="H358" s="42">
        <v>38</v>
      </c>
      <c r="I358" s="42"/>
      <c r="J358" s="42">
        <v>32</v>
      </c>
      <c r="K358" s="42">
        <v>25</v>
      </c>
      <c r="L358" s="42">
        <v>37</v>
      </c>
      <c r="M358" s="42">
        <v>23</v>
      </c>
      <c r="N358" s="42" t="s">
        <v>427</v>
      </c>
      <c r="O358" s="42">
        <f t="shared" si="183"/>
        <v>122</v>
      </c>
      <c r="P358" s="42">
        <f t="shared" si="184"/>
        <v>117</v>
      </c>
      <c r="Q358" s="42" t="str">
        <f t="shared" si="185"/>
        <v>HL</v>
      </c>
      <c r="R358" s="42" t="str">
        <f t="shared" si="186"/>
        <v>HW</v>
      </c>
      <c r="S358" s="42" t="str">
        <f t="shared" si="187"/>
        <v>HL</v>
      </c>
      <c r="T358" s="42" t="str">
        <f t="shared" si="188"/>
        <v>HW</v>
      </c>
      <c r="U358" s="42" t="str">
        <f t="shared" si="189"/>
        <v>O</v>
      </c>
      <c r="V358" s="42" t="str">
        <f t="shared" si="190"/>
        <v>O</v>
      </c>
      <c r="W358" s="42" t="str">
        <f t="shared" si="191"/>
        <v>O</v>
      </c>
      <c r="X358" s="42" t="str">
        <f t="shared" si="192"/>
        <v>O</v>
      </c>
      <c r="Z358" s="42">
        <v>51.5</v>
      </c>
      <c r="AB358" s="42" t="str">
        <f t="shared" si="193"/>
        <v>IND/BOS</v>
      </c>
      <c r="AC358" s="42">
        <f t="shared" si="194"/>
        <v>4</v>
      </c>
      <c r="AD358" s="42">
        <f t="shared" si="195"/>
        <v>0</v>
      </c>
    </row>
    <row r="359" spans="1:30" ht="17.100000000000001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 s="42">
        <v>9</v>
      </c>
      <c r="F359" s="42">
        <v>29</v>
      </c>
      <c r="G359" s="42">
        <v>27</v>
      </c>
      <c r="H359" s="42">
        <v>22</v>
      </c>
      <c r="I359" s="42"/>
      <c r="J359" s="42">
        <v>26</v>
      </c>
      <c r="K359" s="42">
        <v>25</v>
      </c>
      <c r="L359" s="42">
        <v>18</v>
      </c>
      <c r="M359" s="42">
        <v>27</v>
      </c>
      <c r="N359" s="42" t="s">
        <v>427</v>
      </c>
      <c r="O359" s="42">
        <f t="shared" si="183"/>
        <v>87</v>
      </c>
      <c r="P359" s="42">
        <f t="shared" si="184"/>
        <v>96</v>
      </c>
      <c r="Q359" s="42" t="str">
        <f t="shared" si="185"/>
        <v>HL</v>
      </c>
      <c r="R359" s="42" t="str">
        <f t="shared" si="186"/>
        <v>HW</v>
      </c>
      <c r="S359" s="42" t="str">
        <f t="shared" si="187"/>
        <v>HW</v>
      </c>
      <c r="T359" s="42" t="str">
        <f t="shared" si="188"/>
        <v>HL</v>
      </c>
      <c r="U359" s="42" t="str">
        <f t="shared" si="189"/>
        <v>U</v>
      </c>
      <c r="V359" s="42" t="str">
        <f t="shared" si="190"/>
        <v>U</v>
      </c>
      <c r="W359" s="42" t="str">
        <f t="shared" si="191"/>
        <v>U</v>
      </c>
      <c r="X359" s="42" t="str">
        <f t="shared" si="192"/>
        <v>U</v>
      </c>
      <c r="Z359" s="42">
        <v>55</v>
      </c>
      <c r="AB359" s="42" t="str">
        <f t="shared" si="193"/>
        <v>ORL/LAL</v>
      </c>
      <c r="AC359" s="42">
        <f t="shared" si="194"/>
        <v>0</v>
      </c>
      <c r="AD359" s="42">
        <f t="shared" si="195"/>
        <v>4</v>
      </c>
    </row>
    <row r="360" spans="1:30" ht="17.100000000000001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 s="42">
        <v>32</v>
      </c>
      <c r="F360" s="42">
        <v>14</v>
      </c>
      <c r="G360" s="42">
        <v>25</v>
      </c>
      <c r="H360" s="42">
        <v>21</v>
      </c>
      <c r="I360" s="42"/>
      <c r="J360" s="42">
        <v>27</v>
      </c>
      <c r="K360" s="42">
        <v>37</v>
      </c>
      <c r="L360" s="42">
        <v>24</v>
      </c>
      <c r="M360" s="42">
        <v>24</v>
      </c>
      <c r="N360" s="42" t="s">
        <v>427</v>
      </c>
      <c r="O360" s="42">
        <f t="shared" si="183"/>
        <v>92</v>
      </c>
      <c r="P360" s="42">
        <f t="shared" si="184"/>
        <v>112</v>
      </c>
      <c r="Q360" s="42" t="str">
        <f t="shared" si="185"/>
        <v>HW</v>
      </c>
      <c r="R360" s="42" t="str">
        <f t="shared" si="186"/>
        <v>HL</v>
      </c>
      <c r="S360" s="42" t="str">
        <f t="shared" si="187"/>
        <v>HW</v>
      </c>
      <c r="T360" s="42" t="str">
        <f t="shared" si="188"/>
        <v>HL</v>
      </c>
      <c r="U360" s="42" t="str">
        <f t="shared" si="189"/>
        <v>O</v>
      </c>
      <c r="V360" s="42" t="str">
        <f t="shared" si="190"/>
        <v>U</v>
      </c>
      <c r="W360" s="42" t="str">
        <f t="shared" si="191"/>
        <v>U</v>
      </c>
      <c r="X360" s="42" t="str">
        <f t="shared" si="192"/>
        <v>U</v>
      </c>
      <c r="Z360" s="42">
        <v>57</v>
      </c>
      <c r="AB360" s="42" t="str">
        <f t="shared" si="193"/>
        <v>TOR/LAC</v>
      </c>
      <c r="AC360" s="42">
        <f t="shared" si="194"/>
        <v>1</v>
      </c>
      <c r="AD360" s="42">
        <f t="shared" si="195"/>
        <v>3</v>
      </c>
    </row>
    <row r="361" spans="1:30" ht="17.100000000000001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 s="42">
        <v>34</v>
      </c>
      <c r="F361" s="42">
        <v>30</v>
      </c>
      <c r="G361" s="42">
        <v>22</v>
      </c>
      <c r="H361" s="42">
        <v>22</v>
      </c>
      <c r="I361" s="42"/>
      <c r="J361" s="42">
        <v>26</v>
      </c>
      <c r="K361" s="42">
        <v>27</v>
      </c>
      <c r="L361" s="42">
        <v>31</v>
      </c>
      <c r="M361" s="42">
        <v>29</v>
      </c>
      <c r="N361" s="42" t="s">
        <v>427</v>
      </c>
      <c r="O361" s="42">
        <f t="shared" si="183"/>
        <v>108</v>
      </c>
      <c r="P361" s="42">
        <f t="shared" si="184"/>
        <v>113</v>
      </c>
      <c r="Q361" s="42" t="str">
        <f t="shared" si="185"/>
        <v>HW</v>
      </c>
      <c r="R361" s="42" t="str">
        <f t="shared" si="186"/>
        <v>HW</v>
      </c>
      <c r="S361" s="42" t="str">
        <f t="shared" si="187"/>
        <v>HL</v>
      </c>
      <c r="T361" s="42" t="str">
        <f t="shared" si="188"/>
        <v>HL</v>
      </c>
      <c r="U361" s="42" t="str">
        <f t="shared" si="189"/>
        <v>O</v>
      </c>
      <c r="V361" s="42" t="str">
        <f t="shared" si="190"/>
        <v>O</v>
      </c>
      <c r="W361" s="42" t="str">
        <f t="shared" si="191"/>
        <v>U</v>
      </c>
      <c r="X361" s="42" t="str">
        <f t="shared" si="192"/>
        <v>U</v>
      </c>
      <c r="Z361" s="42">
        <v>55.5</v>
      </c>
      <c r="AB361" s="42" t="str">
        <f t="shared" si="193"/>
        <v>BKN/CHA</v>
      </c>
      <c r="AC361" s="42">
        <f t="shared" si="194"/>
        <v>2</v>
      </c>
      <c r="AD361" s="42">
        <f t="shared" si="195"/>
        <v>2</v>
      </c>
    </row>
    <row r="362" spans="1:30" ht="17.100000000000001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 s="42">
        <v>37</v>
      </c>
      <c r="F362" s="42">
        <v>29</v>
      </c>
      <c r="G362" s="42">
        <v>40</v>
      </c>
      <c r="H362" s="42">
        <v>30</v>
      </c>
      <c r="I362" s="42"/>
      <c r="J362" s="42">
        <v>33</v>
      </c>
      <c r="K362" s="42">
        <v>19</v>
      </c>
      <c r="L362" s="42">
        <v>35</v>
      </c>
      <c r="M362" s="42">
        <v>15</v>
      </c>
      <c r="N362" s="42" t="s">
        <v>427</v>
      </c>
      <c r="O362" s="42">
        <f t="shared" si="183"/>
        <v>136</v>
      </c>
      <c r="P362" s="42">
        <f t="shared" si="184"/>
        <v>102</v>
      </c>
      <c r="Q362" s="42" t="str">
        <f t="shared" si="185"/>
        <v>HW</v>
      </c>
      <c r="R362" s="42" t="str">
        <f t="shared" si="186"/>
        <v>HW</v>
      </c>
      <c r="S362" s="42" t="str">
        <f t="shared" si="187"/>
        <v>HW</v>
      </c>
      <c r="T362" s="42" t="str">
        <f t="shared" si="188"/>
        <v>HW</v>
      </c>
      <c r="U362" s="42" t="str">
        <f t="shared" si="189"/>
        <v>O</v>
      </c>
      <c r="V362" s="42" t="str">
        <f t="shared" si="190"/>
        <v>U</v>
      </c>
      <c r="W362" s="42" t="str">
        <f t="shared" si="191"/>
        <v>O</v>
      </c>
      <c r="X362" s="42" t="str">
        <f t="shared" si="192"/>
        <v>U</v>
      </c>
      <c r="Z362" s="42">
        <v>57</v>
      </c>
      <c r="AB362" s="42" t="str">
        <f t="shared" si="193"/>
        <v>CHI/ATL</v>
      </c>
      <c r="AC362" s="42">
        <f t="shared" si="194"/>
        <v>2</v>
      </c>
      <c r="AD362" s="42">
        <f t="shared" si="195"/>
        <v>2</v>
      </c>
    </row>
    <row r="363" spans="1:30" ht="17.100000000000001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 s="42">
        <v>23</v>
      </c>
      <c r="F363" s="42">
        <v>36</v>
      </c>
      <c r="G363" s="42">
        <v>24</v>
      </c>
      <c r="H363" s="42">
        <v>33</v>
      </c>
      <c r="I363" s="42"/>
      <c r="J363" s="42">
        <v>25</v>
      </c>
      <c r="K363" s="42">
        <v>34</v>
      </c>
      <c r="L363" s="42">
        <v>38</v>
      </c>
      <c r="M363" s="42">
        <v>30</v>
      </c>
      <c r="N363" s="42" t="s">
        <v>427</v>
      </c>
      <c r="O363" s="42">
        <f t="shared" si="183"/>
        <v>116</v>
      </c>
      <c r="P363" s="42">
        <f t="shared" si="184"/>
        <v>127</v>
      </c>
      <c r="Q363" s="42" t="str">
        <f t="shared" si="185"/>
        <v>HL</v>
      </c>
      <c r="R363" s="42" t="str">
        <f t="shared" si="186"/>
        <v>HW</v>
      </c>
      <c r="S363" s="42" t="str">
        <f t="shared" si="187"/>
        <v>HL</v>
      </c>
      <c r="T363" s="42" t="str">
        <f t="shared" si="188"/>
        <v>HW</v>
      </c>
      <c r="U363" s="42" t="str">
        <f t="shared" si="189"/>
        <v>U</v>
      </c>
      <c r="V363" s="42" t="str">
        <f t="shared" si="190"/>
        <v>O</v>
      </c>
      <c r="W363" s="42" t="str">
        <f t="shared" si="191"/>
        <v>O</v>
      </c>
      <c r="X363" s="42" t="str">
        <f t="shared" si="192"/>
        <v>O</v>
      </c>
      <c r="Z363" s="42">
        <v>54</v>
      </c>
      <c r="AB363" s="42" t="str">
        <f t="shared" si="193"/>
        <v>MIN/UTA</v>
      </c>
      <c r="AC363" s="42">
        <f t="shared" si="194"/>
        <v>3</v>
      </c>
      <c r="AD363" s="42">
        <f t="shared" si="195"/>
        <v>1</v>
      </c>
    </row>
    <row r="364" spans="1:30" ht="17.100000000000001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 s="42">
        <v>19</v>
      </c>
      <c r="F364" s="42">
        <v>32</v>
      </c>
      <c r="G364" s="42">
        <v>28</v>
      </c>
      <c r="H364" s="42">
        <v>29</v>
      </c>
      <c r="I364" s="42"/>
      <c r="J364" s="42">
        <v>27</v>
      </c>
      <c r="K364" s="42">
        <v>24</v>
      </c>
      <c r="L364" s="42">
        <v>33</v>
      </c>
      <c r="M364" s="42">
        <v>31</v>
      </c>
      <c r="N364" s="42" t="s">
        <v>427</v>
      </c>
      <c r="O364" s="42">
        <f t="shared" si="183"/>
        <v>108</v>
      </c>
      <c r="P364" s="42">
        <f t="shared" si="184"/>
        <v>115</v>
      </c>
      <c r="Q364" s="42" t="str">
        <f t="shared" si="185"/>
        <v>HL</v>
      </c>
      <c r="R364" s="42" t="str">
        <f t="shared" si="186"/>
        <v>HW</v>
      </c>
      <c r="S364" s="42" t="str">
        <f t="shared" si="187"/>
        <v>HL</v>
      </c>
      <c r="T364" s="42" t="str">
        <f t="shared" si="188"/>
        <v>HL</v>
      </c>
      <c r="U364" s="42" t="str">
        <f t="shared" si="189"/>
        <v>U</v>
      </c>
      <c r="V364" s="42" t="str">
        <f t="shared" si="190"/>
        <v>U</v>
      </c>
      <c r="W364" s="42" t="str">
        <f t="shared" si="191"/>
        <v>O</v>
      </c>
      <c r="X364" s="42" t="str">
        <f t="shared" si="192"/>
        <v>O</v>
      </c>
      <c r="Z364" s="42">
        <v>57</v>
      </c>
      <c r="AB364" s="42" t="str">
        <f t="shared" si="193"/>
        <v>PHO/MEM</v>
      </c>
      <c r="AC364" s="42">
        <f t="shared" si="194"/>
        <v>2</v>
      </c>
      <c r="AD364" s="42">
        <f t="shared" si="195"/>
        <v>2</v>
      </c>
    </row>
    <row r="365" spans="1:30" ht="17.100000000000001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 s="42">
        <v>35</v>
      </c>
      <c r="F365" s="42">
        <v>34</v>
      </c>
      <c r="G365" s="42">
        <v>36</v>
      </c>
      <c r="H365" s="42">
        <v>22</v>
      </c>
      <c r="I365" s="42"/>
      <c r="J365" s="42">
        <v>20</v>
      </c>
      <c r="K365" s="42">
        <v>26</v>
      </c>
      <c r="L365" s="42">
        <v>40</v>
      </c>
      <c r="M365" s="42">
        <v>26</v>
      </c>
      <c r="N365" s="42" t="s">
        <v>427</v>
      </c>
      <c r="O365" s="42">
        <f t="shared" si="183"/>
        <v>127</v>
      </c>
      <c r="P365" s="42">
        <f t="shared" si="184"/>
        <v>112</v>
      </c>
      <c r="Q365" s="42" t="str">
        <f t="shared" si="185"/>
        <v>HW</v>
      </c>
      <c r="R365" s="42" t="str">
        <f t="shared" si="186"/>
        <v>HW</v>
      </c>
      <c r="S365" s="42" t="str">
        <f t="shared" si="187"/>
        <v>HL</v>
      </c>
      <c r="T365" s="42" t="str">
        <f t="shared" si="188"/>
        <v>HL</v>
      </c>
      <c r="U365" s="42" t="str">
        <f t="shared" si="189"/>
        <v>U</v>
      </c>
      <c r="V365" s="42" t="str">
        <f t="shared" si="190"/>
        <v>T</v>
      </c>
      <c r="W365" s="42" t="str">
        <f t="shared" si="191"/>
        <v>O</v>
      </c>
      <c r="X365" s="42" t="str">
        <f t="shared" si="192"/>
        <v>U</v>
      </c>
      <c r="Z365" s="42">
        <v>60</v>
      </c>
      <c r="AB365" s="42" t="str">
        <f t="shared" si="193"/>
        <v>MIL/NO</v>
      </c>
      <c r="AC365" s="42">
        <f t="shared" si="194"/>
        <v>1</v>
      </c>
      <c r="AD365" s="42">
        <f t="shared" si="195"/>
        <v>2</v>
      </c>
    </row>
    <row r="366" spans="1:30" ht="17.100000000000001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 s="42">
        <v>23</v>
      </c>
      <c r="F366" s="42">
        <v>15</v>
      </c>
      <c r="G366" s="42">
        <v>31</v>
      </c>
      <c r="H366" s="42">
        <v>25</v>
      </c>
      <c r="I366" s="42"/>
      <c r="J366" s="42">
        <v>18</v>
      </c>
      <c r="K366" s="42">
        <v>29</v>
      </c>
      <c r="L366" s="42">
        <v>24</v>
      </c>
      <c r="M366" s="42">
        <v>22</v>
      </c>
      <c r="N366" s="42" t="s">
        <v>427</v>
      </c>
      <c r="O366" s="42">
        <f t="shared" si="183"/>
        <v>94</v>
      </c>
      <c r="P366" s="42">
        <f t="shared" si="184"/>
        <v>93</v>
      </c>
      <c r="Q366" s="42" t="str">
        <f t="shared" si="185"/>
        <v>HW</v>
      </c>
      <c r="R366" s="42" t="str">
        <f t="shared" si="186"/>
        <v>HL</v>
      </c>
      <c r="S366" s="42" t="str">
        <f t="shared" si="187"/>
        <v>HW</v>
      </c>
      <c r="T366" s="42" t="str">
        <f t="shared" si="188"/>
        <v>HW</v>
      </c>
      <c r="U366" s="42" t="str">
        <f t="shared" si="189"/>
        <v>U</v>
      </c>
      <c r="V366" s="42" t="str">
        <f t="shared" si="190"/>
        <v>U</v>
      </c>
      <c r="W366" s="42" t="str">
        <f t="shared" si="191"/>
        <v>O</v>
      </c>
      <c r="X366" s="42" t="str">
        <f t="shared" si="192"/>
        <v>U</v>
      </c>
      <c r="Z366" s="42">
        <v>53.5</v>
      </c>
      <c r="AB366" s="42" t="str">
        <f t="shared" si="193"/>
        <v>SAC/OKC</v>
      </c>
      <c r="AC366" s="42">
        <f t="shared" si="194"/>
        <v>1</v>
      </c>
      <c r="AD366" s="42">
        <f t="shared" si="195"/>
        <v>3</v>
      </c>
    </row>
    <row r="367" spans="1:30" ht="17.100000000000001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 s="42">
        <v>20</v>
      </c>
      <c r="F367" s="42">
        <v>30</v>
      </c>
      <c r="G367" s="42">
        <v>30</v>
      </c>
      <c r="H367" s="42">
        <v>32</v>
      </c>
      <c r="I367" s="42">
        <v>10</v>
      </c>
      <c r="J367" s="42">
        <v>30</v>
      </c>
      <c r="K367" s="42">
        <v>38</v>
      </c>
      <c r="L367" s="42">
        <v>19</v>
      </c>
      <c r="M367" s="42">
        <v>25</v>
      </c>
      <c r="N367" s="42">
        <v>12</v>
      </c>
      <c r="O367" s="42">
        <f t="shared" si="183"/>
        <v>122</v>
      </c>
      <c r="P367" s="42">
        <f t="shared" si="184"/>
        <v>124</v>
      </c>
      <c r="Q367" s="42" t="str">
        <f t="shared" si="185"/>
        <v>HL</v>
      </c>
      <c r="R367" s="42" t="str">
        <f t="shared" si="186"/>
        <v>HL</v>
      </c>
      <c r="S367" s="42" t="str">
        <f t="shared" si="187"/>
        <v>HW</v>
      </c>
      <c r="T367" s="42" t="str">
        <f t="shared" si="188"/>
        <v>HW</v>
      </c>
      <c r="U367" s="42" t="str">
        <f t="shared" si="189"/>
        <v>U</v>
      </c>
      <c r="V367" s="42" t="str">
        <f t="shared" si="190"/>
        <v>O</v>
      </c>
      <c r="W367" s="42" t="str">
        <f t="shared" si="191"/>
        <v>U</v>
      </c>
      <c r="X367" s="42" t="str">
        <f t="shared" si="192"/>
        <v>O</v>
      </c>
      <c r="Z367" s="42">
        <v>54</v>
      </c>
      <c r="AB367" s="42" t="str">
        <f t="shared" si="193"/>
        <v>GS/NYK</v>
      </c>
      <c r="AC367" s="42">
        <f t="shared" si="194"/>
        <v>2</v>
      </c>
      <c r="AD367" s="42">
        <f t="shared" si="195"/>
        <v>2</v>
      </c>
    </row>
    <row r="368" spans="1:30" ht="17.100000000000001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 s="42">
        <v>34</v>
      </c>
      <c r="F368" s="42">
        <v>25</v>
      </c>
      <c r="G368" s="42">
        <v>21</v>
      </c>
      <c r="H368" s="42">
        <v>29</v>
      </c>
      <c r="I368" s="42"/>
      <c r="J368" s="42">
        <v>28</v>
      </c>
      <c r="K368" s="42">
        <v>28</v>
      </c>
      <c r="L368" s="42">
        <v>25</v>
      </c>
      <c r="M368" s="42">
        <v>34</v>
      </c>
      <c r="N368" s="42" t="s">
        <v>427</v>
      </c>
      <c r="O368" s="42">
        <f t="shared" si="183"/>
        <v>109</v>
      </c>
      <c r="P368" s="42">
        <f t="shared" si="184"/>
        <v>115</v>
      </c>
      <c r="Q368" s="42" t="str">
        <f t="shared" si="185"/>
        <v>HW</v>
      </c>
      <c r="R368" s="42" t="str">
        <f t="shared" si="186"/>
        <v>HL</v>
      </c>
      <c r="S368" s="42" t="str">
        <f t="shared" si="187"/>
        <v>HL</v>
      </c>
      <c r="T368" s="42" t="str">
        <f t="shared" si="188"/>
        <v>HL</v>
      </c>
      <c r="U368" s="42" t="str">
        <f t="shared" si="189"/>
        <v>O</v>
      </c>
      <c r="V368" s="42" t="str">
        <f t="shared" si="190"/>
        <v>O</v>
      </c>
      <c r="W368" s="42" t="str">
        <f t="shared" si="191"/>
        <v>U</v>
      </c>
      <c r="X368" s="42" t="str">
        <f t="shared" si="192"/>
        <v>O</v>
      </c>
      <c r="Z368" s="42">
        <v>52</v>
      </c>
      <c r="AB368" s="42" t="str">
        <f t="shared" si="193"/>
        <v>BOS/PHI</v>
      </c>
      <c r="AC368" s="42">
        <f t="shared" si="194"/>
        <v>3</v>
      </c>
      <c r="AD368" s="42">
        <f t="shared" si="195"/>
        <v>1</v>
      </c>
    </row>
    <row r="369" spans="1:30" ht="17.100000000000001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 s="42">
        <v>19</v>
      </c>
      <c r="F369" s="42">
        <v>24</v>
      </c>
      <c r="G369" s="42">
        <v>25</v>
      </c>
      <c r="H369" s="42">
        <v>35</v>
      </c>
      <c r="I369" s="42">
        <v>6</v>
      </c>
      <c r="J369" s="42">
        <v>28</v>
      </c>
      <c r="K369" s="42">
        <v>25</v>
      </c>
      <c r="L369" s="42">
        <v>25</v>
      </c>
      <c r="M369" s="42">
        <v>25</v>
      </c>
      <c r="N369" s="42">
        <v>14</v>
      </c>
      <c r="O369" s="42">
        <f t="shared" si="183"/>
        <v>109</v>
      </c>
      <c r="P369" s="42">
        <f t="shared" si="184"/>
        <v>117</v>
      </c>
      <c r="Q369" s="42" t="str">
        <f t="shared" si="185"/>
        <v>HL</v>
      </c>
      <c r="R369" s="42" t="str">
        <f t="shared" si="186"/>
        <v>HL</v>
      </c>
      <c r="S369" s="42" t="str">
        <f t="shared" si="187"/>
        <v>TT</v>
      </c>
      <c r="T369" s="42" t="str">
        <f t="shared" si="188"/>
        <v>HW</v>
      </c>
      <c r="U369" s="42" t="str">
        <f t="shared" si="189"/>
        <v>U</v>
      </c>
      <c r="V369" s="42" t="str">
        <f t="shared" si="190"/>
        <v>U</v>
      </c>
      <c r="W369" s="42" t="str">
        <f t="shared" si="191"/>
        <v>U</v>
      </c>
      <c r="X369" s="42" t="str">
        <f t="shared" si="192"/>
        <v>O</v>
      </c>
      <c r="Z369" s="42">
        <v>54</v>
      </c>
      <c r="AB369" s="42" t="str">
        <f t="shared" si="193"/>
        <v>SAS/CLE</v>
      </c>
      <c r="AC369" s="42">
        <f t="shared" si="194"/>
        <v>1</v>
      </c>
      <c r="AD369" s="42">
        <f t="shared" si="195"/>
        <v>3</v>
      </c>
    </row>
    <row r="370" spans="1:30" ht="17.100000000000001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 s="42">
        <v>29</v>
      </c>
      <c r="F370" s="42">
        <v>29</v>
      </c>
      <c r="G370" s="42">
        <v>27</v>
      </c>
      <c r="H370" s="42">
        <v>26</v>
      </c>
      <c r="I370" s="42"/>
      <c r="J370" s="42">
        <v>34</v>
      </c>
      <c r="K370" s="42">
        <v>31</v>
      </c>
      <c r="L370" s="42">
        <v>30</v>
      </c>
      <c r="M370" s="42">
        <v>27</v>
      </c>
      <c r="N370" s="42" t="s">
        <v>427</v>
      </c>
      <c r="O370" s="42">
        <f t="shared" si="183"/>
        <v>111</v>
      </c>
      <c r="P370" s="42">
        <f t="shared" si="184"/>
        <v>122</v>
      </c>
      <c r="Q370" s="42" t="str">
        <f t="shared" si="185"/>
        <v>HL</v>
      </c>
      <c r="R370" s="42" t="str">
        <f t="shared" si="186"/>
        <v>HL</v>
      </c>
      <c r="S370" s="42" t="str">
        <f t="shared" si="187"/>
        <v>HL</v>
      </c>
      <c r="T370" s="42" t="str">
        <f t="shared" si="188"/>
        <v>HL</v>
      </c>
      <c r="U370" s="42" t="str">
        <f t="shared" si="189"/>
        <v>O</v>
      </c>
      <c r="V370" s="42" t="str">
        <f t="shared" si="190"/>
        <v>O</v>
      </c>
      <c r="W370" s="42" t="str">
        <f t="shared" si="191"/>
        <v>O</v>
      </c>
      <c r="X370" s="42" t="str">
        <f t="shared" si="192"/>
        <v>U</v>
      </c>
      <c r="Z370" s="42">
        <v>56.5</v>
      </c>
      <c r="AB370" s="42" t="str">
        <f t="shared" si="193"/>
        <v>DET/DAL</v>
      </c>
      <c r="AC370" s="42">
        <f t="shared" si="194"/>
        <v>3</v>
      </c>
      <c r="AD370" s="42">
        <f t="shared" si="195"/>
        <v>1</v>
      </c>
    </row>
    <row r="371" spans="1:30" ht="17.100000000000001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 s="42">
        <v>33</v>
      </c>
      <c r="F371" s="42">
        <v>29</v>
      </c>
      <c r="G371" s="42">
        <v>27</v>
      </c>
      <c r="H371" s="42">
        <v>25</v>
      </c>
      <c r="I371" s="42"/>
      <c r="J371" s="42">
        <v>26</v>
      </c>
      <c r="K371" s="42">
        <v>27</v>
      </c>
      <c r="L371" s="42">
        <v>25</v>
      </c>
      <c r="M371" s="42">
        <v>21</v>
      </c>
      <c r="N371" s="42" t="s">
        <v>427</v>
      </c>
      <c r="O371" s="42">
        <f t="shared" si="183"/>
        <v>114</v>
      </c>
      <c r="P371" s="42">
        <f t="shared" si="184"/>
        <v>99</v>
      </c>
      <c r="Q371" s="42" t="str">
        <f t="shared" si="185"/>
        <v>HW</v>
      </c>
      <c r="R371" s="42" t="str">
        <f t="shared" si="186"/>
        <v>HW</v>
      </c>
      <c r="S371" s="42" t="str">
        <f t="shared" si="187"/>
        <v>HW</v>
      </c>
      <c r="T371" s="42" t="str">
        <f t="shared" si="188"/>
        <v>HW</v>
      </c>
      <c r="U371" s="42" t="str">
        <f t="shared" si="189"/>
        <v>O</v>
      </c>
      <c r="V371" s="42" t="str">
        <f t="shared" si="190"/>
        <v>O</v>
      </c>
      <c r="W371" s="42" t="str">
        <f t="shared" si="191"/>
        <v>U</v>
      </c>
      <c r="X371" s="42" t="str">
        <f t="shared" si="192"/>
        <v>U</v>
      </c>
      <c r="Z371" s="42">
        <v>54.5</v>
      </c>
      <c r="AB371" s="42" t="str">
        <f t="shared" si="193"/>
        <v>DEN/POR</v>
      </c>
      <c r="AC371" s="42">
        <f t="shared" si="194"/>
        <v>2</v>
      </c>
      <c r="AD371" s="42">
        <f t="shared" si="195"/>
        <v>2</v>
      </c>
    </row>
    <row r="372" spans="1:30" ht="17.100000000000001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 s="42">
        <v>29</v>
      </c>
      <c r="F372" s="42">
        <v>30</v>
      </c>
      <c r="G372" s="42">
        <v>26</v>
      </c>
      <c r="H372" s="42">
        <v>25</v>
      </c>
      <c r="I372" s="42"/>
      <c r="J372" s="42">
        <v>30</v>
      </c>
      <c r="K372" s="42">
        <v>21</v>
      </c>
      <c r="L372" s="42">
        <v>37</v>
      </c>
      <c r="M372" s="42">
        <v>25</v>
      </c>
      <c r="N372" s="42" t="s">
        <v>427</v>
      </c>
      <c r="O372" s="42">
        <f t="shared" si="183"/>
        <v>110</v>
      </c>
      <c r="P372" s="42">
        <f t="shared" si="184"/>
        <v>113</v>
      </c>
      <c r="Q372" s="42" t="str">
        <f t="shared" si="185"/>
        <v>HL</v>
      </c>
      <c r="R372" s="42" t="str">
        <f t="shared" si="186"/>
        <v>HW</v>
      </c>
      <c r="S372" s="42" t="str">
        <f t="shared" si="187"/>
        <v>HL</v>
      </c>
      <c r="T372" s="42" t="str">
        <f t="shared" si="188"/>
        <v>TT</v>
      </c>
      <c r="U372" s="42" t="str">
        <f t="shared" si="189"/>
        <v>O</v>
      </c>
      <c r="V372" s="42" t="str">
        <f t="shared" si="190"/>
        <v>U</v>
      </c>
      <c r="W372" s="42" t="str">
        <f t="shared" si="191"/>
        <v>O</v>
      </c>
      <c r="X372" s="42" t="str">
        <f t="shared" si="192"/>
        <v>U</v>
      </c>
      <c r="Z372" s="42">
        <v>55</v>
      </c>
      <c r="AB372" s="42" t="str">
        <f t="shared" si="193"/>
        <v>MIA/LAL</v>
      </c>
      <c r="AC372" s="42">
        <f t="shared" si="194"/>
        <v>2</v>
      </c>
      <c r="AD372" s="42">
        <f t="shared" si="195"/>
        <v>2</v>
      </c>
    </row>
    <row r="373" spans="1:30" ht="17.100000000000001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 s="42">
        <v>22</v>
      </c>
      <c r="F373" s="42">
        <v>33</v>
      </c>
      <c r="G373" s="42">
        <v>23</v>
      </c>
      <c r="H373" s="42">
        <v>29</v>
      </c>
      <c r="I373" s="42"/>
      <c r="J373" s="42">
        <v>28</v>
      </c>
      <c r="K373" s="42">
        <v>34</v>
      </c>
      <c r="L373" s="42">
        <v>34</v>
      </c>
      <c r="M373" s="42">
        <v>34</v>
      </c>
      <c r="N373" s="42" t="s">
        <v>427</v>
      </c>
      <c r="O373" s="42">
        <f t="shared" si="183"/>
        <v>107</v>
      </c>
      <c r="P373" s="42">
        <f t="shared" si="184"/>
        <v>130</v>
      </c>
      <c r="Q373" s="42" t="str">
        <f t="shared" si="185"/>
        <v>HL</v>
      </c>
      <c r="R373" s="42" t="str">
        <f t="shared" si="186"/>
        <v>HL</v>
      </c>
      <c r="S373" s="42" t="str">
        <f t="shared" si="187"/>
        <v>HL</v>
      </c>
      <c r="T373" s="42" t="str">
        <f t="shared" si="188"/>
        <v>HL</v>
      </c>
      <c r="U373" s="42" t="str">
        <f t="shared" si="189"/>
        <v>U</v>
      </c>
      <c r="V373" s="42" t="str">
        <f t="shared" si="190"/>
        <v>O</v>
      </c>
      <c r="W373" s="42" t="str">
        <f t="shared" si="191"/>
        <v>T</v>
      </c>
      <c r="X373" s="42" t="str">
        <f t="shared" si="192"/>
        <v>O</v>
      </c>
      <c r="Z373" s="42">
        <v>57</v>
      </c>
      <c r="AB373" s="42" t="str">
        <f t="shared" si="193"/>
        <v>ORL/HOU</v>
      </c>
      <c r="AC373" s="42">
        <f t="shared" si="194"/>
        <v>2</v>
      </c>
      <c r="AD373" s="42">
        <f t="shared" si="195"/>
        <v>1</v>
      </c>
    </row>
    <row r="374" spans="1:30" ht="17.100000000000001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 s="42">
        <v>39</v>
      </c>
      <c r="F374" s="42">
        <v>23</v>
      </c>
      <c r="G374" s="42">
        <v>30</v>
      </c>
      <c r="H374" s="42">
        <v>24</v>
      </c>
      <c r="I374" s="42"/>
      <c r="J374" s="42">
        <v>25</v>
      </c>
      <c r="K374" s="42">
        <v>32</v>
      </c>
      <c r="L374" s="42">
        <v>25</v>
      </c>
      <c r="M374" s="42">
        <v>27</v>
      </c>
      <c r="N374" s="42" t="s">
        <v>427</v>
      </c>
      <c r="O374" s="42">
        <f t="shared" si="183"/>
        <v>116</v>
      </c>
      <c r="P374" s="42">
        <f t="shared" si="184"/>
        <v>109</v>
      </c>
      <c r="Q374" s="42" t="str">
        <f t="shared" si="185"/>
        <v>HW</v>
      </c>
      <c r="R374" s="42" t="str">
        <f t="shared" si="186"/>
        <v>HL</v>
      </c>
      <c r="S374" s="42" t="str">
        <f t="shared" si="187"/>
        <v>HW</v>
      </c>
      <c r="T374" s="42" t="str">
        <f t="shared" si="188"/>
        <v>HL</v>
      </c>
      <c r="U374" s="42" t="str">
        <f t="shared" si="189"/>
        <v>O</v>
      </c>
      <c r="V374" s="42" t="str">
        <f t="shared" si="190"/>
        <v>U</v>
      </c>
      <c r="W374" s="42" t="str">
        <f t="shared" si="191"/>
        <v>U</v>
      </c>
      <c r="X374" s="42" t="str">
        <f t="shared" si="192"/>
        <v>U</v>
      </c>
      <c r="Z374" s="42">
        <v>57.5</v>
      </c>
      <c r="AB374" s="42" t="str">
        <f t="shared" si="193"/>
        <v>PHI/NO</v>
      </c>
      <c r="AC374" s="42">
        <f t="shared" si="194"/>
        <v>1</v>
      </c>
      <c r="AD374" s="42">
        <f t="shared" si="195"/>
        <v>3</v>
      </c>
    </row>
    <row r="375" spans="1:30" ht="17.100000000000001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 s="42">
        <v>22</v>
      </c>
      <c r="F375" s="42">
        <v>26</v>
      </c>
      <c r="G375" s="42">
        <v>35</v>
      </c>
      <c r="H375" s="42">
        <v>17</v>
      </c>
      <c r="I375" s="42"/>
      <c r="J375" s="42">
        <v>29</v>
      </c>
      <c r="K375" s="42">
        <v>34</v>
      </c>
      <c r="L375" s="42">
        <v>23</v>
      </c>
      <c r="M375" s="42">
        <v>24</v>
      </c>
      <c r="N375" s="42" t="s">
        <v>427</v>
      </c>
      <c r="O375" s="42">
        <f t="shared" si="183"/>
        <v>100</v>
      </c>
      <c r="P375" s="42">
        <f t="shared" si="184"/>
        <v>110</v>
      </c>
      <c r="Q375" s="42" t="str">
        <f t="shared" si="185"/>
        <v>HL</v>
      </c>
      <c r="R375" s="42" t="str">
        <f t="shared" si="186"/>
        <v>HL</v>
      </c>
      <c r="S375" s="42" t="str">
        <f t="shared" si="187"/>
        <v>HW</v>
      </c>
      <c r="T375" s="42" t="str">
        <f t="shared" si="188"/>
        <v>HL</v>
      </c>
      <c r="U375" s="42" t="str">
        <f t="shared" si="189"/>
        <v>U</v>
      </c>
      <c r="V375" s="42" t="str">
        <f t="shared" si="190"/>
        <v>O</v>
      </c>
      <c r="W375" s="42" t="str">
        <f t="shared" si="191"/>
        <v>O</v>
      </c>
      <c r="X375" s="42" t="str">
        <f t="shared" si="192"/>
        <v>U</v>
      </c>
      <c r="Z375" s="42">
        <v>57.5</v>
      </c>
      <c r="AB375" s="42" t="str">
        <f t="shared" si="193"/>
        <v>ATL/IND</v>
      </c>
      <c r="AC375" s="42">
        <f t="shared" si="194"/>
        <v>2</v>
      </c>
      <c r="AD375" s="42">
        <f t="shared" si="195"/>
        <v>2</v>
      </c>
    </row>
    <row r="376" spans="1:30" ht="17.100000000000001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 s="42">
        <v>15</v>
      </c>
      <c r="F376" s="42">
        <v>25</v>
      </c>
      <c r="G376" s="42">
        <v>10</v>
      </c>
      <c r="H376" s="42">
        <v>23</v>
      </c>
      <c r="I376" s="42"/>
      <c r="J376" s="42">
        <v>24</v>
      </c>
      <c r="K376" s="42">
        <v>20</v>
      </c>
      <c r="L376" s="42">
        <v>15</v>
      </c>
      <c r="M376" s="42">
        <v>24</v>
      </c>
      <c r="N376" s="42" t="s">
        <v>427</v>
      </c>
      <c r="O376" s="42">
        <f t="shared" si="183"/>
        <v>73</v>
      </c>
      <c r="P376" s="42">
        <f t="shared" si="184"/>
        <v>83</v>
      </c>
      <c r="Q376" s="42" t="str">
        <f t="shared" si="185"/>
        <v>HL</v>
      </c>
      <c r="R376" s="42" t="str">
        <f t="shared" si="186"/>
        <v>HW</v>
      </c>
      <c r="S376" s="42" t="str">
        <f t="shared" si="187"/>
        <v>HL</v>
      </c>
      <c r="T376" s="42" t="str">
        <f t="shared" si="188"/>
        <v>HL</v>
      </c>
      <c r="U376" s="42" t="str">
        <f t="shared" si="189"/>
        <v>U</v>
      </c>
      <c r="V376" s="42" t="str">
        <f t="shared" si="190"/>
        <v>U</v>
      </c>
      <c r="W376" s="42" t="str">
        <f t="shared" si="191"/>
        <v>U</v>
      </c>
      <c r="X376" s="42" t="str">
        <f t="shared" si="192"/>
        <v>U</v>
      </c>
      <c r="Z376" s="42">
        <v>55</v>
      </c>
      <c r="AB376" s="42" t="str">
        <f t="shared" si="193"/>
        <v>CHI/CHA</v>
      </c>
      <c r="AC376" s="42">
        <f t="shared" si="194"/>
        <v>0</v>
      </c>
      <c r="AD376" s="42">
        <f t="shared" si="195"/>
        <v>4</v>
      </c>
    </row>
    <row r="377" spans="1:30" ht="17.100000000000001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 s="42">
        <v>29</v>
      </c>
      <c r="F377" s="42">
        <v>33</v>
      </c>
      <c r="G377" s="42">
        <v>33</v>
      </c>
      <c r="H377" s="42">
        <v>19</v>
      </c>
      <c r="I377" s="42"/>
      <c r="J377" s="42">
        <v>35</v>
      </c>
      <c r="K377" s="42">
        <v>29</v>
      </c>
      <c r="L377" s="42">
        <v>26</v>
      </c>
      <c r="M377" s="42">
        <v>37</v>
      </c>
      <c r="N377" s="42" t="s">
        <v>427</v>
      </c>
      <c r="O377" s="42">
        <f t="shared" si="183"/>
        <v>114</v>
      </c>
      <c r="P377" s="42">
        <f t="shared" si="184"/>
        <v>127</v>
      </c>
      <c r="Q377" s="42" t="str">
        <f t="shared" si="185"/>
        <v>HL</v>
      </c>
      <c r="R377" s="42" t="str">
        <f t="shared" si="186"/>
        <v>HW</v>
      </c>
      <c r="S377" s="42" t="str">
        <f t="shared" si="187"/>
        <v>HW</v>
      </c>
      <c r="T377" s="42" t="str">
        <f t="shared" si="188"/>
        <v>HL</v>
      </c>
      <c r="U377" s="42" t="str">
        <f t="shared" si="189"/>
        <v>O</v>
      </c>
      <c r="V377" s="42" t="str">
        <f t="shared" si="190"/>
        <v>O</v>
      </c>
      <c r="W377" s="42" t="str">
        <f t="shared" si="191"/>
        <v>O</v>
      </c>
      <c r="X377" s="42" t="str">
        <f t="shared" si="192"/>
        <v>U</v>
      </c>
      <c r="Z377" s="42">
        <v>56.5</v>
      </c>
      <c r="AB377" s="42" t="str">
        <f t="shared" si="193"/>
        <v>MEM/MIL</v>
      </c>
      <c r="AC377" s="42">
        <f t="shared" si="194"/>
        <v>3</v>
      </c>
      <c r="AD377" s="42">
        <f t="shared" si="195"/>
        <v>1</v>
      </c>
    </row>
    <row r="378" spans="1:30" ht="17.100000000000001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 s="42">
        <v>22</v>
      </c>
      <c r="F378" s="42">
        <v>27</v>
      </c>
      <c r="G378" s="42">
        <v>37</v>
      </c>
      <c r="H378" s="42">
        <v>28</v>
      </c>
      <c r="I378" s="42"/>
      <c r="J378" s="42">
        <v>29</v>
      </c>
      <c r="K378" s="42">
        <v>27</v>
      </c>
      <c r="L378" s="42">
        <v>28</v>
      </c>
      <c r="M378" s="42">
        <v>22</v>
      </c>
      <c r="N378" s="42" t="s">
        <v>427</v>
      </c>
      <c r="O378" s="42">
        <f t="shared" si="183"/>
        <v>114</v>
      </c>
      <c r="P378" s="42">
        <f t="shared" si="184"/>
        <v>106</v>
      </c>
      <c r="Q378" s="42" t="str">
        <f t="shared" si="185"/>
        <v>HL</v>
      </c>
      <c r="R378" s="42" t="str">
        <f t="shared" si="186"/>
        <v>TT</v>
      </c>
      <c r="S378" s="42" t="str">
        <f t="shared" si="187"/>
        <v>HW</v>
      </c>
      <c r="T378" s="42" t="str">
        <f t="shared" si="188"/>
        <v>HW</v>
      </c>
      <c r="U378" s="42" t="str">
        <f t="shared" si="189"/>
        <v>U</v>
      </c>
      <c r="V378" s="42" t="str">
        <f t="shared" si="190"/>
        <v>U</v>
      </c>
      <c r="W378" s="42" t="str">
        <f t="shared" si="191"/>
        <v>O</v>
      </c>
      <c r="X378" s="42" t="str">
        <f t="shared" si="192"/>
        <v>U</v>
      </c>
      <c r="Z378" s="42">
        <v>54.5</v>
      </c>
      <c r="AB378" s="42" t="str">
        <f t="shared" si="193"/>
        <v>UTA/GS</v>
      </c>
      <c r="AC378" s="42">
        <f t="shared" si="194"/>
        <v>1</v>
      </c>
      <c r="AD378" s="42">
        <f t="shared" si="195"/>
        <v>3</v>
      </c>
    </row>
    <row r="379" spans="1:30" ht="17.100000000000001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 s="42">
        <v>29</v>
      </c>
      <c r="F379" s="42">
        <v>29</v>
      </c>
      <c r="G379" s="42">
        <v>23</v>
      </c>
      <c r="H379" s="42">
        <v>36</v>
      </c>
      <c r="I379" s="42"/>
      <c r="J379" s="42">
        <v>33</v>
      </c>
      <c r="K379" s="42">
        <v>32</v>
      </c>
      <c r="L379" s="42">
        <v>37</v>
      </c>
      <c r="M379" s="42">
        <v>22</v>
      </c>
      <c r="N379" s="42" t="s">
        <v>427</v>
      </c>
      <c r="O379" s="42">
        <f t="shared" si="183"/>
        <v>117</v>
      </c>
      <c r="P379" s="42">
        <f t="shared" si="184"/>
        <v>124</v>
      </c>
      <c r="Q379" s="42" t="str">
        <f t="shared" si="185"/>
        <v>HL</v>
      </c>
      <c r="R379" s="42" t="str">
        <f t="shared" si="186"/>
        <v>HL</v>
      </c>
      <c r="S379" s="42" t="str">
        <f t="shared" si="187"/>
        <v>HL</v>
      </c>
      <c r="T379" s="42" t="str">
        <f t="shared" si="188"/>
        <v>HW</v>
      </c>
      <c r="U379" s="42" t="str">
        <f t="shared" si="189"/>
        <v>O</v>
      </c>
      <c r="V379" s="42" t="str">
        <f t="shared" si="190"/>
        <v>O</v>
      </c>
      <c r="W379" s="42" t="str">
        <f t="shared" si="191"/>
        <v>O</v>
      </c>
      <c r="X379" s="42" t="str">
        <f t="shared" si="192"/>
        <v>U</v>
      </c>
      <c r="Z379" s="42">
        <v>59</v>
      </c>
      <c r="AB379" s="42" t="str">
        <f t="shared" si="193"/>
        <v>MIN/LAC</v>
      </c>
      <c r="AC379" s="42">
        <f t="shared" si="194"/>
        <v>3</v>
      </c>
      <c r="AD379" s="42">
        <f t="shared" si="195"/>
        <v>1</v>
      </c>
    </row>
    <row r="380" spans="1:30" ht="17.100000000000001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 s="42">
        <v>32</v>
      </c>
      <c r="F380" s="42">
        <v>22</v>
      </c>
      <c r="G380" s="42">
        <v>26</v>
      </c>
      <c r="H380" s="42">
        <v>21</v>
      </c>
      <c r="I380" s="42"/>
      <c r="J380" s="42">
        <v>20</v>
      </c>
      <c r="K380" s="42">
        <v>25</v>
      </c>
      <c r="L380" s="42">
        <v>27</v>
      </c>
      <c r="M380" s="42">
        <v>31</v>
      </c>
      <c r="N380" s="42" t="s">
        <v>427</v>
      </c>
      <c r="O380" s="42">
        <f t="shared" si="183"/>
        <v>101</v>
      </c>
      <c r="P380" s="42">
        <f t="shared" si="184"/>
        <v>103</v>
      </c>
      <c r="Q380" s="42" t="str">
        <f t="shared" si="185"/>
        <v>HW</v>
      </c>
      <c r="R380" s="42" t="str">
        <f t="shared" si="186"/>
        <v>HL</v>
      </c>
      <c r="S380" s="42" t="str">
        <f t="shared" si="187"/>
        <v>HL</v>
      </c>
      <c r="T380" s="42" t="str">
        <f t="shared" si="188"/>
        <v>HL</v>
      </c>
      <c r="U380" s="42" t="str">
        <f t="shared" si="189"/>
        <v>U</v>
      </c>
      <c r="V380" s="42" t="str">
        <f t="shared" si="190"/>
        <v>U</v>
      </c>
      <c r="W380" s="42" t="str">
        <f t="shared" si="191"/>
        <v>U</v>
      </c>
      <c r="X380" s="42" t="str">
        <f t="shared" si="192"/>
        <v>U</v>
      </c>
      <c r="Z380" s="42">
        <v>54</v>
      </c>
      <c r="AB380" s="42" t="str">
        <f t="shared" si="193"/>
        <v>SAC/NYK</v>
      </c>
      <c r="AC380" s="42">
        <f t="shared" si="194"/>
        <v>0</v>
      </c>
      <c r="AD380" s="42">
        <f t="shared" si="195"/>
        <v>4</v>
      </c>
    </row>
    <row r="381" spans="1:30" ht="17.100000000000001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 s="42">
        <v>18</v>
      </c>
      <c r="F381" s="42">
        <v>30</v>
      </c>
      <c r="G381" s="42">
        <v>32</v>
      </c>
      <c r="H381" s="42">
        <v>29</v>
      </c>
      <c r="I381" s="42">
        <v>10</v>
      </c>
      <c r="J381" s="42">
        <v>28</v>
      </c>
      <c r="K381" s="42">
        <v>16</v>
      </c>
      <c r="L381" s="42">
        <v>34</v>
      </c>
      <c r="M381" s="42">
        <v>31</v>
      </c>
      <c r="N381" s="42">
        <v>12</v>
      </c>
      <c r="O381" s="42">
        <f t="shared" si="183"/>
        <v>119</v>
      </c>
      <c r="P381" s="42">
        <f t="shared" si="184"/>
        <v>121</v>
      </c>
      <c r="Q381" s="42" t="str">
        <f t="shared" si="185"/>
        <v>HL</v>
      </c>
      <c r="R381" s="42" t="str">
        <f t="shared" si="186"/>
        <v>HW</v>
      </c>
      <c r="S381" s="42" t="str">
        <f t="shared" si="187"/>
        <v>HL</v>
      </c>
      <c r="T381" s="42" t="str">
        <f t="shared" si="188"/>
        <v>HL</v>
      </c>
      <c r="U381" s="42" t="str">
        <f t="shared" si="189"/>
        <v>U</v>
      </c>
      <c r="V381" s="42" t="str">
        <f t="shared" si="190"/>
        <v>U</v>
      </c>
      <c r="W381" s="42" t="str">
        <f t="shared" si="191"/>
        <v>O</v>
      </c>
      <c r="X381" s="42" t="str">
        <f t="shared" si="192"/>
        <v>O</v>
      </c>
      <c r="Z381" s="42">
        <v>53.5</v>
      </c>
      <c r="AB381" s="42" t="str">
        <f t="shared" si="193"/>
        <v>PHO/SAS</v>
      </c>
      <c r="AC381" s="42">
        <f t="shared" si="194"/>
        <v>2</v>
      </c>
      <c r="AD381" s="42">
        <f t="shared" si="195"/>
        <v>2</v>
      </c>
    </row>
    <row r="382" spans="1:30" ht="17.100000000000001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 s="42">
        <v>38</v>
      </c>
      <c r="F382" s="42">
        <v>27</v>
      </c>
      <c r="G382" s="42">
        <v>25</v>
      </c>
      <c r="H382" s="42">
        <v>20</v>
      </c>
      <c r="I382" s="42"/>
      <c r="J382" s="42">
        <v>31</v>
      </c>
      <c r="K382" s="42">
        <v>29</v>
      </c>
      <c r="L382" s="42">
        <v>23</v>
      </c>
      <c r="M382" s="42">
        <v>19</v>
      </c>
      <c r="N382" s="42" t="s">
        <v>427</v>
      </c>
      <c r="O382" s="42">
        <f t="shared" si="183"/>
        <v>110</v>
      </c>
      <c r="P382" s="42">
        <f t="shared" si="184"/>
        <v>102</v>
      </c>
      <c r="Q382" s="42" t="str">
        <f t="shared" si="185"/>
        <v>HW</v>
      </c>
      <c r="R382" s="42" t="str">
        <f t="shared" si="186"/>
        <v>HL</v>
      </c>
      <c r="S382" s="42" t="str">
        <f t="shared" si="187"/>
        <v>HW</v>
      </c>
      <c r="T382" s="42" t="str">
        <f t="shared" si="188"/>
        <v>HW</v>
      </c>
      <c r="U382" s="42" t="str">
        <f t="shared" si="189"/>
        <v>O</v>
      </c>
      <c r="V382" s="42" t="str">
        <f t="shared" si="190"/>
        <v>O</v>
      </c>
      <c r="W382" s="42" t="str">
        <f t="shared" si="191"/>
        <v>U</v>
      </c>
      <c r="X382" s="42" t="str">
        <f t="shared" si="192"/>
        <v>U</v>
      </c>
      <c r="Z382" s="42">
        <v>53.5</v>
      </c>
      <c r="AB382" s="42" t="str">
        <f t="shared" si="193"/>
        <v>TOR/BKN</v>
      </c>
      <c r="AC382" s="42">
        <f t="shared" si="194"/>
        <v>2</v>
      </c>
      <c r="AD382" s="42">
        <f t="shared" si="195"/>
        <v>2</v>
      </c>
    </row>
    <row r="383" spans="1:30" ht="17.100000000000001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 s="42">
        <v>24</v>
      </c>
      <c r="F383" s="42">
        <v>31</v>
      </c>
      <c r="G383" s="42">
        <v>29</v>
      </c>
      <c r="H383" s="42">
        <v>25</v>
      </c>
      <c r="I383" s="42"/>
      <c r="J383" s="42">
        <v>29</v>
      </c>
      <c r="K383" s="42">
        <v>28</v>
      </c>
      <c r="L383" s="42">
        <v>22</v>
      </c>
      <c r="M383" s="42">
        <v>27</v>
      </c>
      <c r="N383" s="42" t="s">
        <v>427</v>
      </c>
      <c r="O383" s="42">
        <f t="shared" si="183"/>
        <v>109</v>
      </c>
      <c r="P383" s="42">
        <f t="shared" si="184"/>
        <v>106</v>
      </c>
      <c r="Q383" s="42" t="str">
        <f t="shared" si="185"/>
        <v>HL</v>
      </c>
      <c r="R383" s="42" t="str">
        <f t="shared" si="186"/>
        <v>HW</v>
      </c>
      <c r="S383" s="42" t="str">
        <f t="shared" si="187"/>
        <v>HW</v>
      </c>
      <c r="T383" s="42" t="str">
        <f t="shared" si="188"/>
        <v>HL</v>
      </c>
      <c r="U383" s="42" t="str">
        <f t="shared" si="189"/>
        <v>U</v>
      </c>
      <c r="V383" s="42" t="str">
        <f t="shared" si="190"/>
        <v>O</v>
      </c>
      <c r="W383" s="42" t="str">
        <f t="shared" si="191"/>
        <v>U</v>
      </c>
      <c r="X383" s="42" t="str">
        <f t="shared" si="192"/>
        <v>U</v>
      </c>
      <c r="Z383" s="42">
        <v>55</v>
      </c>
      <c r="AB383" s="42" t="str">
        <f t="shared" si="193"/>
        <v>CHI/LAC</v>
      </c>
      <c r="AC383" s="42">
        <f t="shared" si="194"/>
        <v>1</v>
      </c>
      <c r="AD383" s="42">
        <f t="shared" si="195"/>
        <v>3</v>
      </c>
    </row>
    <row r="384" spans="1:30" ht="17.100000000000001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 s="42">
        <v>35</v>
      </c>
      <c r="F384" s="42">
        <v>34</v>
      </c>
      <c r="G384" s="42">
        <v>35</v>
      </c>
      <c r="H384" s="42">
        <v>24</v>
      </c>
      <c r="I384" s="42"/>
      <c r="J384" s="42">
        <v>30</v>
      </c>
      <c r="K384" s="42">
        <v>24</v>
      </c>
      <c r="L384" s="42">
        <v>30</v>
      </c>
      <c r="M384" s="42">
        <v>27</v>
      </c>
      <c r="N384" s="42" t="s">
        <v>427</v>
      </c>
      <c r="O384" s="42">
        <f t="shared" si="183"/>
        <v>128</v>
      </c>
      <c r="P384" s="42">
        <f t="shared" si="184"/>
        <v>111</v>
      </c>
      <c r="Q384" s="42" t="str">
        <f t="shared" si="185"/>
        <v>HW</v>
      </c>
      <c r="R384" s="42" t="str">
        <f t="shared" si="186"/>
        <v>HW</v>
      </c>
      <c r="S384" s="42" t="str">
        <f t="shared" si="187"/>
        <v>HW</v>
      </c>
      <c r="T384" s="42" t="str">
        <f t="shared" si="188"/>
        <v>HL</v>
      </c>
      <c r="U384" s="42" t="str">
        <f t="shared" si="189"/>
        <v>O</v>
      </c>
      <c r="V384" s="42" t="str">
        <f t="shared" si="190"/>
        <v>U</v>
      </c>
      <c r="W384" s="42" t="str">
        <f t="shared" si="191"/>
        <v>O</v>
      </c>
      <c r="X384" s="42" t="str">
        <f t="shared" si="192"/>
        <v>U</v>
      </c>
      <c r="Z384" s="42">
        <v>60.5</v>
      </c>
      <c r="AB384" s="42" t="str">
        <f t="shared" si="193"/>
        <v>MEM/WAS</v>
      </c>
      <c r="AC384" s="42">
        <f t="shared" si="194"/>
        <v>2</v>
      </c>
      <c r="AD384" s="42">
        <f t="shared" si="195"/>
        <v>2</v>
      </c>
    </row>
    <row r="385" spans="1:30" ht="17.100000000000001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 s="42">
        <v>23</v>
      </c>
      <c r="F385" s="42">
        <v>27</v>
      </c>
      <c r="G385" s="42">
        <v>31</v>
      </c>
      <c r="H385" s="42">
        <v>31</v>
      </c>
      <c r="I385" s="42">
        <v>6</v>
      </c>
      <c r="J385" s="42">
        <v>37</v>
      </c>
      <c r="K385" s="42">
        <v>36</v>
      </c>
      <c r="L385" s="42">
        <v>18</v>
      </c>
      <c r="M385" s="42">
        <v>21</v>
      </c>
      <c r="N385" s="42">
        <v>10</v>
      </c>
      <c r="O385" s="42">
        <f t="shared" ref="O385:O407" si="196">SUM(E385:I385)</f>
        <v>118</v>
      </c>
      <c r="P385" s="42">
        <f t="shared" ref="P385:P407" si="197">SUM(J385:N385)</f>
        <v>122</v>
      </c>
      <c r="Q385" s="42" t="str">
        <f t="shared" ref="Q385:Q407" si="198">IF(E385=J385,"TT",IF(E385&gt;J385,"HW","HL"))</f>
        <v>HL</v>
      </c>
      <c r="R385" s="42" t="str">
        <f t="shared" ref="R385:R407" si="199">IF(F385=K385,"TT",IF(F385&gt;K385,"HW","HL"))</f>
        <v>HL</v>
      </c>
      <c r="S385" s="42" t="str">
        <f t="shared" ref="S385:S407" si="200">IF(G385=L385,"TT",IF(G385&gt;L385,"HW","HL"))</f>
        <v>HW</v>
      </c>
      <c r="T385" s="42" t="str">
        <f t="shared" ref="T385:T407" si="201">IF(H385=M385,"TT",IF(H385&gt;M385,"HW","HL"))</f>
        <v>HW</v>
      </c>
      <c r="U385" s="42" t="str">
        <f t="shared" ref="U385:U407" si="202">IF(SUM(E385,J385)=$Z385,"T",IF(SUM(E385,J385)&gt;$Z385,"O","U"))</f>
        <v>O</v>
      </c>
      <c r="V385" s="42" t="str">
        <f t="shared" ref="V385:V407" si="203">IF(SUM(F385,K385)=$Z385,"T",IF(SUM(F385,K385)&gt;$Z385,"O","U"))</f>
        <v>O</v>
      </c>
      <c r="W385" s="42" t="str">
        <f t="shared" ref="W385:W407" si="204">IF(SUM(G385,L385)=$Z385,"T",IF(SUM(G385,L385)&gt;$Z385,"O","U"))</f>
        <v>U</v>
      </c>
      <c r="X385" s="42" t="str">
        <f t="shared" ref="X385:X407" si="205">IF(SUM(H385,M385)=$Z385,"T",IF(SUM(H385,M385)&gt;$Z385,"O","U"))</f>
        <v>U</v>
      </c>
      <c r="Z385" s="42">
        <v>56</v>
      </c>
      <c r="AB385" s="42" t="str">
        <f t="shared" ref="AB385:AB407" si="206">C385&amp;"/"&amp;D385</f>
        <v>DAL/MIA</v>
      </c>
      <c r="AC385" s="42">
        <f t="shared" ref="AC385:AC407" si="207">COUNTIF(U385:X385,"o")</f>
        <v>2</v>
      </c>
      <c r="AD385" s="42">
        <f t="shared" ref="AD385:AD407" si="208">COUNTIF(U385:X385,"u")</f>
        <v>2</v>
      </c>
    </row>
    <row r="386" spans="1:30" ht="17.100000000000001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 s="42">
        <v>26</v>
      </c>
      <c r="F386" s="42">
        <v>43</v>
      </c>
      <c r="G386" s="42">
        <v>33</v>
      </c>
      <c r="H386" s="42">
        <v>23</v>
      </c>
      <c r="I386" s="42"/>
      <c r="J386" s="42">
        <v>20</v>
      </c>
      <c r="K386" s="42">
        <v>31</v>
      </c>
      <c r="L386" s="42">
        <v>28</v>
      </c>
      <c r="M386" s="42">
        <v>29</v>
      </c>
      <c r="N386" s="42" t="s">
        <v>427</v>
      </c>
      <c r="O386" s="42">
        <f t="shared" si="196"/>
        <v>125</v>
      </c>
      <c r="P386" s="42">
        <f t="shared" si="197"/>
        <v>108</v>
      </c>
      <c r="Q386" s="42" t="str">
        <f t="shared" si="198"/>
        <v>HW</v>
      </c>
      <c r="R386" s="42" t="str">
        <f t="shared" si="199"/>
        <v>HW</v>
      </c>
      <c r="S386" s="42" t="str">
        <f t="shared" si="200"/>
        <v>HW</v>
      </c>
      <c r="T386" s="42" t="str">
        <f t="shared" si="201"/>
        <v>HL</v>
      </c>
      <c r="U386" s="42" t="str">
        <f t="shared" si="202"/>
        <v>U</v>
      </c>
      <c r="V386" s="42" t="str">
        <f t="shared" si="203"/>
        <v>O</v>
      </c>
      <c r="W386" s="42" t="str">
        <f t="shared" si="204"/>
        <v>O</v>
      </c>
      <c r="X386" s="42" t="str">
        <f t="shared" si="205"/>
        <v>U</v>
      </c>
      <c r="Z386" s="42">
        <v>54.5</v>
      </c>
      <c r="AB386" s="42" t="str">
        <f t="shared" si="206"/>
        <v>MIL/CLE</v>
      </c>
      <c r="AC386" s="42">
        <f t="shared" si="207"/>
        <v>2</v>
      </c>
      <c r="AD386" s="42">
        <f t="shared" si="208"/>
        <v>2</v>
      </c>
    </row>
    <row r="387" spans="1:30" ht="17.100000000000001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 s="42">
        <v>27</v>
      </c>
      <c r="F387" s="42">
        <v>25</v>
      </c>
      <c r="G387" s="42">
        <v>30</v>
      </c>
      <c r="H387" s="42">
        <v>28</v>
      </c>
      <c r="I387" s="42"/>
      <c r="J387" s="42">
        <v>20</v>
      </c>
      <c r="K387" s="42">
        <v>29</v>
      </c>
      <c r="L387" s="42">
        <v>19</v>
      </c>
      <c r="M387" s="42">
        <v>34</v>
      </c>
      <c r="N387" s="42" t="s">
        <v>427</v>
      </c>
      <c r="O387" s="42">
        <f t="shared" si="196"/>
        <v>110</v>
      </c>
      <c r="P387" s="42">
        <f t="shared" si="197"/>
        <v>102</v>
      </c>
      <c r="Q387" s="42" t="str">
        <f t="shared" si="198"/>
        <v>HW</v>
      </c>
      <c r="R387" s="42" t="str">
        <f t="shared" si="199"/>
        <v>HL</v>
      </c>
      <c r="S387" s="42" t="str">
        <f t="shared" si="200"/>
        <v>HW</v>
      </c>
      <c r="T387" s="42" t="str">
        <f t="shared" si="201"/>
        <v>HL</v>
      </c>
      <c r="U387" s="42" t="str">
        <f t="shared" si="202"/>
        <v>U</v>
      </c>
      <c r="V387" s="42" t="str">
        <f t="shared" si="203"/>
        <v>O</v>
      </c>
      <c r="W387" s="42" t="str">
        <f t="shared" si="204"/>
        <v>U</v>
      </c>
      <c r="X387" s="42" t="str">
        <f t="shared" si="205"/>
        <v>O</v>
      </c>
      <c r="Z387" s="42">
        <v>53</v>
      </c>
      <c r="AB387" s="42" t="str">
        <f t="shared" si="206"/>
        <v>DEN/OKC</v>
      </c>
      <c r="AC387" s="42">
        <f t="shared" si="207"/>
        <v>2</v>
      </c>
      <c r="AD387" s="42">
        <f t="shared" si="208"/>
        <v>2</v>
      </c>
    </row>
    <row r="388" spans="1:30" ht="17.100000000000001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 s="42">
        <v>32</v>
      </c>
      <c r="F388" s="42">
        <v>20</v>
      </c>
      <c r="G388" s="42">
        <v>23</v>
      </c>
      <c r="H388" s="42">
        <v>32</v>
      </c>
      <c r="I388" s="42"/>
      <c r="J388" s="42">
        <v>30</v>
      </c>
      <c r="K388" s="42">
        <v>32</v>
      </c>
      <c r="L388" s="42">
        <v>26</v>
      </c>
      <c r="M388" s="42">
        <v>27</v>
      </c>
      <c r="N388" s="42" t="s">
        <v>427</v>
      </c>
      <c r="O388" s="42">
        <f t="shared" si="196"/>
        <v>107</v>
      </c>
      <c r="P388" s="42">
        <f t="shared" si="197"/>
        <v>115</v>
      </c>
      <c r="Q388" s="42" t="str">
        <f t="shared" si="198"/>
        <v>HW</v>
      </c>
      <c r="R388" s="42" t="str">
        <f t="shared" si="199"/>
        <v>HL</v>
      </c>
      <c r="S388" s="42" t="str">
        <f t="shared" si="200"/>
        <v>HL</v>
      </c>
      <c r="T388" s="42" t="str">
        <f t="shared" si="201"/>
        <v>HW</v>
      </c>
      <c r="U388" s="42" t="str">
        <f t="shared" si="202"/>
        <v>O</v>
      </c>
      <c r="V388" s="42" t="str">
        <f t="shared" si="203"/>
        <v>U</v>
      </c>
      <c r="W388" s="42" t="str">
        <f t="shared" si="204"/>
        <v>U</v>
      </c>
      <c r="X388" s="42" t="str">
        <f t="shared" si="205"/>
        <v>O</v>
      </c>
      <c r="Z388" s="42">
        <v>58.5</v>
      </c>
      <c r="AB388" s="42" t="str">
        <f t="shared" si="206"/>
        <v>HOU/DET</v>
      </c>
      <c r="AC388" s="42">
        <f t="shared" si="207"/>
        <v>2</v>
      </c>
      <c r="AD388" s="42">
        <f t="shared" si="208"/>
        <v>2</v>
      </c>
    </row>
    <row r="389" spans="1:30" ht="17.100000000000001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 s="42">
        <v>30</v>
      </c>
      <c r="F389" s="42">
        <v>27</v>
      </c>
      <c r="G389" s="42">
        <v>27</v>
      </c>
      <c r="H389" s="42">
        <v>35</v>
      </c>
      <c r="I389" s="42"/>
      <c r="J389" s="42">
        <v>24</v>
      </c>
      <c r="K389" s="42">
        <v>34</v>
      </c>
      <c r="L389" s="42">
        <v>41</v>
      </c>
      <c r="M389" s="42">
        <v>31</v>
      </c>
      <c r="N389" s="42" t="s">
        <v>427</v>
      </c>
      <c r="O389" s="42">
        <f t="shared" si="196"/>
        <v>119</v>
      </c>
      <c r="P389" s="42">
        <f t="shared" si="197"/>
        <v>130</v>
      </c>
      <c r="Q389" s="42" t="str">
        <f t="shared" si="198"/>
        <v>HW</v>
      </c>
      <c r="R389" s="42" t="str">
        <f t="shared" si="199"/>
        <v>HL</v>
      </c>
      <c r="S389" s="42" t="str">
        <f t="shared" si="200"/>
        <v>HL</v>
      </c>
      <c r="T389" s="42" t="str">
        <f t="shared" si="201"/>
        <v>HW</v>
      </c>
      <c r="U389" s="42" t="str">
        <f t="shared" si="202"/>
        <v>U</v>
      </c>
      <c r="V389" s="42" t="str">
        <f t="shared" si="203"/>
        <v>O</v>
      </c>
      <c r="W389" s="42" t="str">
        <f t="shared" si="204"/>
        <v>O</v>
      </c>
      <c r="X389" s="42" t="str">
        <f t="shared" si="205"/>
        <v>O</v>
      </c>
      <c r="Z389" s="42">
        <v>56</v>
      </c>
      <c r="AB389" s="42" t="str">
        <f t="shared" si="206"/>
        <v>NO/ORL</v>
      </c>
      <c r="AC389" s="42">
        <f t="shared" si="207"/>
        <v>3</v>
      </c>
      <c r="AD389" s="42">
        <f t="shared" si="208"/>
        <v>1</v>
      </c>
    </row>
    <row r="390" spans="1:30" ht="17.100000000000001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 s="42">
        <v>33</v>
      </c>
      <c r="F390" s="42">
        <v>26</v>
      </c>
      <c r="G390" s="42">
        <v>13</v>
      </c>
      <c r="H390" s="42">
        <v>35</v>
      </c>
      <c r="I390" s="42"/>
      <c r="J390" s="42">
        <v>20</v>
      </c>
      <c r="K390" s="42">
        <v>24</v>
      </c>
      <c r="L390" s="42">
        <v>22</v>
      </c>
      <c r="M390" s="42">
        <v>19</v>
      </c>
      <c r="N390" s="42" t="s">
        <v>427</v>
      </c>
      <c r="O390" s="42">
        <f t="shared" si="196"/>
        <v>107</v>
      </c>
      <c r="P390" s="42">
        <f t="shared" si="197"/>
        <v>85</v>
      </c>
      <c r="Q390" s="42" t="str">
        <f t="shared" si="198"/>
        <v>HW</v>
      </c>
      <c r="R390" s="42" t="str">
        <f t="shared" si="199"/>
        <v>HW</v>
      </c>
      <c r="S390" s="42" t="str">
        <f t="shared" si="200"/>
        <v>HL</v>
      </c>
      <c r="T390" s="42" t="str">
        <f t="shared" si="201"/>
        <v>HW</v>
      </c>
      <c r="U390" s="42" t="str">
        <f t="shared" si="202"/>
        <v>U</v>
      </c>
      <c r="V390" s="42" t="str">
        <f t="shared" si="203"/>
        <v>U</v>
      </c>
      <c r="W390" s="42" t="str">
        <f t="shared" si="204"/>
        <v>U</v>
      </c>
      <c r="X390" s="42" t="str">
        <f t="shared" si="205"/>
        <v>U</v>
      </c>
      <c r="Z390" s="42">
        <v>54.5</v>
      </c>
      <c r="AB390" s="42" t="str">
        <f t="shared" si="206"/>
        <v>IND/CHA</v>
      </c>
      <c r="AC390" s="42">
        <f t="shared" si="207"/>
        <v>0</v>
      </c>
      <c r="AD390" s="42">
        <f t="shared" si="208"/>
        <v>4</v>
      </c>
    </row>
    <row r="391" spans="1:30" ht="17.100000000000001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 s="42">
        <v>25</v>
      </c>
      <c r="F391" s="42">
        <v>23</v>
      </c>
      <c r="G391" s="42">
        <v>30</v>
      </c>
      <c r="H391" s="42">
        <v>18</v>
      </c>
      <c r="I391" s="42"/>
      <c r="J391" s="42">
        <v>24</v>
      </c>
      <c r="K391" s="42">
        <v>31</v>
      </c>
      <c r="L391" s="42">
        <v>27</v>
      </c>
      <c r="M391" s="42">
        <v>19</v>
      </c>
      <c r="N391" s="42" t="s">
        <v>427</v>
      </c>
      <c r="O391" s="42">
        <f t="shared" si="196"/>
        <v>96</v>
      </c>
      <c r="P391" s="42">
        <f t="shared" si="197"/>
        <v>101</v>
      </c>
      <c r="Q391" s="42" t="str">
        <f t="shared" si="198"/>
        <v>HW</v>
      </c>
      <c r="R391" s="42" t="str">
        <f t="shared" si="199"/>
        <v>HL</v>
      </c>
      <c r="S391" s="42" t="str">
        <f t="shared" si="200"/>
        <v>HW</v>
      </c>
      <c r="T391" s="42" t="str">
        <f t="shared" si="201"/>
        <v>HL</v>
      </c>
      <c r="U391" s="42" t="str">
        <f t="shared" si="202"/>
        <v>U</v>
      </c>
      <c r="V391" s="42" t="str">
        <f t="shared" si="203"/>
        <v>U</v>
      </c>
      <c r="W391" s="42" t="str">
        <f t="shared" si="204"/>
        <v>U</v>
      </c>
      <c r="X391" s="42" t="str">
        <f t="shared" si="205"/>
        <v>U</v>
      </c>
      <c r="Z391" s="42">
        <v>59</v>
      </c>
      <c r="AB391" s="42" t="str">
        <f t="shared" si="206"/>
        <v>ATL/LAL</v>
      </c>
      <c r="AC391" s="42">
        <f t="shared" si="207"/>
        <v>0</v>
      </c>
      <c r="AD391" s="42">
        <f t="shared" si="208"/>
        <v>4</v>
      </c>
    </row>
    <row r="392" spans="1:30" ht="17.100000000000001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 s="42">
        <v>28</v>
      </c>
      <c r="F392" s="42">
        <v>29</v>
      </c>
      <c r="G392" s="42">
        <v>26</v>
      </c>
      <c r="H392" s="42">
        <v>26</v>
      </c>
      <c r="I392" s="42"/>
      <c r="J392" s="42">
        <v>23</v>
      </c>
      <c r="K392" s="42">
        <v>20</v>
      </c>
      <c r="L392" s="42">
        <v>23</v>
      </c>
      <c r="M392" s="42">
        <v>23</v>
      </c>
      <c r="N392" s="42" t="s">
        <v>427</v>
      </c>
      <c r="O392" s="42">
        <f t="shared" si="196"/>
        <v>109</v>
      </c>
      <c r="P392" s="42">
        <f t="shared" si="197"/>
        <v>89</v>
      </c>
      <c r="Q392" s="42" t="str">
        <f t="shared" si="198"/>
        <v>HW</v>
      </c>
      <c r="R392" s="42" t="str">
        <f t="shared" si="199"/>
        <v>HW</v>
      </c>
      <c r="S392" s="42" t="str">
        <f t="shared" si="200"/>
        <v>HW</v>
      </c>
      <c r="T392" s="42" t="str">
        <f t="shared" si="201"/>
        <v>HW</v>
      </c>
      <c r="U392" s="42" t="str">
        <f t="shared" si="202"/>
        <v>U</v>
      </c>
      <c r="V392" s="42" t="str">
        <f t="shared" si="203"/>
        <v>U</v>
      </c>
      <c r="W392" s="42" t="str">
        <f t="shared" si="204"/>
        <v>U</v>
      </c>
      <c r="X392" s="42" t="str">
        <f t="shared" si="205"/>
        <v>U</v>
      </c>
      <c r="Z392" s="42">
        <v>53.5</v>
      </c>
      <c r="AB392" s="42" t="str">
        <f t="shared" si="206"/>
        <v>BKN/PHI</v>
      </c>
      <c r="AC392" s="42">
        <f t="shared" si="207"/>
        <v>0</v>
      </c>
      <c r="AD392" s="42">
        <f t="shared" si="208"/>
        <v>4</v>
      </c>
    </row>
    <row r="393" spans="1:30" ht="17.100000000000001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 s="42">
        <v>33</v>
      </c>
      <c r="F393" s="42">
        <v>34</v>
      </c>
      <c r="G393" s="42">
        <v>20</v>
      </c>
      <c r="H393" s="42">
        <v>24</v>
      </c>
      <c r="I393" s="42"/>
      <c r="J393" s="42">
        <v>22</v>
      </c>
      <c r="K393" s="42">
        <v>29</v>
      </c>
      <c r="L393" s="42">
        <v>33</v>
      </c>
      <c r="M393" s="42">
        <v>21</v>
      </c>
      <c r="N393" s="42" t="s">
        <v>427</v>
      </c>
      <c r="O393" s="42">
        <f t="shared" si="196"/>
        <v>111</v>
      </c>
      <c r="P393" s="42">
        <f t="shared" si="197"/>
        <v>105</v>
      </c>
      <c r="Q393" s="42" t="str">
        <f t="shared" si="198"/>
        <v>HW</v>
      </c>
      <c r="R393" s="42" t="str">
        <f t="shared" si="199"/>
        <v>HW</v>
      </c>
      <c r="S393" s="42" t="str">
        <f t="shared" si="200"/>
        <v>HL</v>
      </c>
      <c r="T393" s="42" t="str">
        <f t="shared" si="201"/>
        <v>HW</v>
      </c>
      <c r="U393" s="42" t="str">
        <f t="shared" si="202"/>
        <v>O</v>
      </c>
      <c r="V393" s="42" t="str">
        <f t="shared" si="203"/>
        <v>O</v>
      </c>
      <c r="W393" s="42" t="str">
        <f t="shared" si="204"/>
        <v>U</v>
      </c>
      <c r="X393" s="42" t="str">
        <f t="shared" si="205"/>
        <v>U</v>
      </c>
      <c r="Z393" s="42">
        <v>53.5</v>
      </c>
      <c r="AB393" s="42" t="str">
        <f t="shared" si="206"/>
        <v>DEN/NYK</v>
      </c>
      <c r="AC393" s="42">
        <f t="shared" si="207"/>
        <v>2</v>
      </c>
      <c r="AD393" s="42">
        <f t="shared" si="208"/>
        <v>2</v>
      </c>
    </row>
    <row r="394" spans="1:30" ht="17.100000000000001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 s="42">
        <v>18</v>
      </c>
      <c r="F394" s="42">
        <v>24</v>
      </c>
      <c r="G394" s="42">
        <v>17</v>
      </c>
      <c r="H394" s="42">
        <v>20</v>
      </c>
      <c r="I394" s="42"/>
      <c r="J394" s="42">
        <v>26</v>
      </c>
      <c r="K394" s="42">
        <v>25</v>
      </c>
      <c r="L394" s="42">
        <v>28</v>
      </c>
      <c r="M394" s="42">
        <v>21</v>
      </c>
      <c r="N394" s="42" t="s">
        <v>427</v>
      </c>
      <c r="O394" s="42">
        <f t="shared" si="196"/>
        <v>79</v>
      </c>
      <c r="P394" s="42">
        <f t="shared" si="197"/>
        <v>100</v>
      </c>
      <c r="Q394" s="42" t="str">
        <f t="shared" si="198"/>
        <v>HL</v>
      </c>
      <c r="R394" s="42" t="str">
        <f t="shared" si="199"/>
        <v>HL</v>
      </c>
      <c r="S394" s="42" t="str">
        <f t="shared" si="200"/>
        <v>HL</v>
      </c>
      <c r="T394" s="42" t="str">
        <f t="shared" si="201"/>
        <v>HL</v>
      </c>
      <c r="U394" s="42" t="str">
        <f t="shared" si="202"/>
        <v>U</v>
      </c>
      <c r="V394" s="42" t="str">
        <f t="shared" si="203"/>
        <v>U</v>
      </c>
      <c r="W394" s="42" t="str">
        <f t="shared" si="204"/>
        <v>U</v>
      </c>
      <c r="X394" s="42" t="str">
        <f t="shared" si="205"/>
        <v>U</v>
      </c>
      <c r="Z394" s="42">
        <v>54</v>
      </c>
      <c r="AB394" s="42" t="str">
        <f t="shared" si="206"/>
        <v>GS/SAC</v>
      </c>
      <c r="AC394" s="42">
        <f t="shared" si="207"/>
        <v>0</v>
      </c>
      <c r="AD394" s="42">
        <f t="shared" si="208"/>
        <v>4</v>
      </c>
    </row>
    <row r="395" spans="1:30" ht="17.100000000000001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 s="42">
        <v>31</v>
      </c>
      <c r="F395" s="42">
        <v>30</v>
      </c>
      <c r="G395" s="42">
        <v>30</v>
      </c>
      <c r="H395" s="42">
        <v>28</v>
      </c>
      <c r="I395" s="42"/>
      <c r="J395" s="42">
        <v>43</v>
      </c>
      <c r="K395" s="42">
        <v>24</v>
      </c>
      <c r="L395" s="42">
        <v>29</v>
      </c>
      <c r="M395" s="42">
        <v>37</v>
      </c>
      <c r="N395" s="42" t="s">
        <v>427</v>
      </c>
      <c r="O395" s="42">
        <f t="shared" si="196"/>
        <v>119</v>
      </c>
      <c r="P395" s="42">
        <f t="shared" si="197"/>
        <v>133</v>
      </c>
      <c r="Q395" s="42" t="str">
        <f t="shared" si="198"/>
        <v>HL</v>
      </c>
      <c r="R395" s="42" t="str">
        <f t="shared" si="199"/>
        <v>HW</v>
      </c>
      <c r="S395" s="42" t="str">
        <f t="shared" si="200"/>
        <v>HW</v>
      </c>
      <c r="T395" s="42" t="str">
        <f t="shared" si="201"/>
        <v>HL</v>
      </c>
      <c r="U395" s="42" t="str">
        <f t="shared" si="202"/>
        <v>O</v>
      </c>
      <c r="V395" s="42" t="str">
        <f t="shared" si="203"/>
        <v>U</v>
      </c>
      <c r="W395" s="42" t="str">
        <f t="shared" si="204"/>
        <v>U</v>
      </c>
      <c r="X395" s="42" t="str">
        <f t="shared" si="205"/>
        <v>O</v>
      </c>
      <c r="Z395" s="42">
        <v>59.5</v>
      </c>
      <c r="AB395" s="42" t="str">
        <f t="shared" si="206"/>
        <v>DET/WAS</v>
      </c>
      <c r="AC395" s="42">
        <f t="shared" si="207"/>
        <v>2</v>
      </c>
      <c r="AD395" s="42">
        <f t="shared" si="208"/>
        <v>2</v>
      </c>
    </row>
    <row r="396" spans="1:30" ht="17.100000000000001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 s="42">
        <v>37</v>
      </c>
      <c r="F396" s="42">
        <v>29</v>
      </c>
      <c r="G396" s="42">
        <v>38</v>
      </c>
      <c r="H396" s="42">
        <v>29</v>
      </c>
      <c r="I396" s="42"/>
      <c r="J396" s="42">
        <v>29</v>
      </c>
      <c r="K396" s="42">
        <v>25</v>
      </c>
      <c r="L396" s="42">
        <v>30</v>
      </c>
      <c r="M396" s="42">
        <v>29</v>
      </c>
      <c r="N396" s="42" t="s">
        <v>427</v>
      </c>
      <c r="O396" s="42">
        <f t="shared" si="196"/>
        <v>133</v>
      </c>
      <c r="P396" s="42">
        <f t="shared" si="197"/>
        <v>113</v>
      </c>
      <c r="Q396" s="42" t="str">
        <f t="shared" si="198"/>
        <v>HW</v>
      </c>
      <c r="R396" s="42" t="str">
        <f t="shared" si="199"/>
        <v>HW</v>
      </c>
      <c r="S396" s="42" t="str">
        <f t="shared" si="200"/>
        <v>HW</v>
      </c>
      <c r="T396" s="42" t="str">
        <f t="shared" si="201"/>
        <v>TT</v>
      </c>
      <c r="U396" s="42" t="str">
        <f t="shared" si="202"/>
        <v>O</v>
      </c>
      <c r="V396" s="42" t="str">
        <f t="shared" si="203"/>
        <v>O</v>
      </c>
      <c r="W396" s="42" t="str">
        <f t="shared" si="204"/>
        <v>O</v>
      </c>
      <c r="X396" s="42" t="str">
        <f t="shared" si="205"/>
        <v>O</v>
      </c>
      <c r="Z396" s="42">
        <v>53.5</v>
      </c>
      <c r="AB396" s="42" t="str">
        <f t="shared" si="206"/>
        <v>TOR/CLE</v>
      </c>
      <c r="AC396" s="42">
        <f t="shared" si="207"/>
        <v>4</v>
      </c>
      <c r="AD396" s="42">
        <f t="shared" si="208"/>
        <v>0</v>
      </c>
    </row>
    <row r="397" spans="1:30" ht="17.100000000000001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 s="42">
        <v>21</v>
      </c>
      <c r="F397" s="42">
        <v>32</v>
      </c>
      <c r="G397" s="42">
        <v>30</v>
      </c>
      <c r="H397" s="42">
        <v>26</v>
      </c>
      <c r="I397" s="42"/>
      <c r="J397" s="42">
        <v>35</v>
      </c>
      <c r="K397" s="42">
        <v>37</v>
      </c>
      <c r="L397" s="42">
        <v>17</v>
      </c>
      <c r="M397" s="42">
        <v>18</v>
      </c>
      <c r="N397" s="42" t="s">
        <v>427</v>
      </c>
      <c r="O397" s="42">
        <f t="shared" si="196"/>
        <v>109</v>
      </c>
      <c r="P397" s="42">
        <f t="shared" si="197"/>
        <v>107</v>
      </c>
      <c r="Q397" s="42" t="str">
        <f t="shared" si="198"/>
        <v>HL</v>
      </c>
      <c r="R397" s="42" t="str">
        <f t="shared" si="199"/>
        <v>HL</v>
      </c>
      <c r="S397" s="42" t="str">
        <f t="shared" si="200"/>
        <v>HW</v>
      </c>
      <c r="T397" s="42" t="str">
        <f t="shared" si="201"/>
        <v>HW</v>
      </c>
      <c r="U397" s="42" t="str">
        <f t="shared" si="202"/>
        <v>U</v>
      </c>
      <c r="V397" s="42" t="str">
        <f t="shared" si="203"/>
        <v>O</v>
      </c>
      <c r="W397" s="42" t="str">
        <f t="shared" si="204"/>
        <v>U</v>
      </c>
      <c r="X397" s="42" t="str">
        <f t="shared" si="205"/>
        <v>U</v>
      </c>
      <c r="Z397" s="42">
        <v>57</v>
      </c>
      <c r="AB397" s="42" t="str">
        <f t="shared" si="206"/>
        <v>HOU/SAS</v>
      </c>
      <c r="AC397" s="42">
        <f t="shared" si="207"/>
        <v>1</v>
      </c>
      <c r="AD397" s="42">
        <f t="shared" si="208"/>
        <v>3</v>
      </c>
    </row>
    <row r="398" spans="1:30" ht="17.100000000000001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 s="42">
        <v>22</v>
      </c>
      <c r="F398" s="42">
        <v>34</v>
      </c>
      <c r="G398" s="42">
        <v>20</v>
      </c>
      <c r="H398" s="42">
        <v>40</v>
      </c>
      <c r="I398" s="42"/>
      <c r="J398" s="42">
        <v>36</v>
      </c>
      <c r="K398" s="42">
        <v>23</v>
      </c>
      <c r="L398" s="42">
        <v>27</v>
      </c>
      <c r="M398" s="42">
        <v>34</v>
      </c>
      <c r="N398" s="42" t="s">
        <v>427</v>
      </c>
      <c r="O398" s="42">
        <f t="shared" si="196"/>
        <v>116</v>
      </c>
      <c r="P398" s="42">
        <f t="shared" si="197"/>
        <v>120</v>
      </c>
      <c r="Q398" s="42" t="str">
        <f t="shared" si="198"/>
        <v>HL</v>
      </c>
      <c r="R398" s="42" t="str">
        <f t="shared" si="199"/>
        <v>HW</v>
      </c>
      <c r="S398" s="42" t="str">
        <f t="shared" si="200"/>
        <v>HL</v>
      </c>
      <c r="T398" s="42" t="str">
        <f t="shared" si="201"/>
        <v>HW</v>
      </c>
      <c r="U398" s="42" t="str">
        <f t="shared" si="202"/>
        <v>U</v>
      </c>
      <c r="V398" s="42" t="str">
        <f t="shared" si="203"/>
        <v>U</v>
      </c>
      <c r="W398" s="42" t="str">
        <f t="shared" si="204"/>
        <v>U</v>
      </c>
      <c r="X398" s="42" t="str">
        <f t="shared" si="205"/>
        <v>O</v>
      </c>
      <c r="Z398" s="42">
        <v>58.5</v>
      </c>
      <c r="AB398" s="42" t="str">
        <f t="shared" si="206"/>
        <v>MIL/DAL</v>
      </c>
      <c r="AC398" s="42">
        <f t="shared" si="207"/>
        <v>1</v>
      </c>
      <c r="AD398" s="42">
        <f t="shared" si="208"/>
        <v>3</v>
      </c>
    </row>
    <row r="399" spans="1:30" ht="17.100000000000001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 s="42">
        <v>16</v>
      </c>
      <c r="F399" s="42">
        <v>33</v>
      </c>
      <c r="G399" s="42">
        <v>33</v>
      </c>
      <c r="H399" s="42">
        <v>27</v>
      </c>
      <c r="I399" s="42"/>
      <c r="J399" s="42">
        <v>37</v>
      </c>
      <c r="K399" s="42">
        <v>31</v>
      </c>
      <c r="L399" s="42">
        <v>22</v>
      </c>
      <c r="M399" s="42">
        <v>16</v>
      </c>
      <c r="N399" s="42" t="s">
        <v>427</v>
      </c>
      <c r="O399" s="42">
        <f t="shared" si="196"/>
        <v>109</v>
      </c>
      <c r="P399" s="42">
        <f t="shared" si="197"/>
        <v>106</v>
      </c>
      <c r="Q399" s="42" t="str">
        <f t="shared" si="198"/>
        <v>HL</v>
      </c>
      <c r="R399" s="42" t="str">
        <f t="shared" si="199"/>
        <v>HW</v>
      </c>
      <c r="S399" s="42" t="str">
        <f t="shared" si="200"/>
        <v>HW</v>
      </c>
      <c r="T399" s="42" t="str">
        <f t="shared" si="201"/>
        <v>HW</v>
      </c>
      <c r="U399" s="42" t="str">
        <f t="shared" si="202"/>
        <v>U</v>
      </c>
      <c r="V399" s="42" t="str">
        <f t="shared" si="203"/>
        <v>O</v>
      </c>
      <c r="W399" s="42" t="str">
        <f t="shared" si="204"/>
        <v>O</v>
      </c>
      <c r="X399" s="42" t="str">
        <f t="shared" si="205"/>
        <v>U</v>
      </c>
      <c r="Z399" s="42">
        <v>53.5</v>
      </c>
      <c r="AB399" s="42" t="str">
        <f t="shared" si="206"/>
        <v>OKC/CHI</v>
      </c>
      <c r="AC399" s="42">
        <f t="shared" si="207"/>
        <v>2</v>
      </c>
      <c r="AD399" s="42">
        <f t="shared" si="208"/>
        <v>2</v>
      </c>
    </row>
    <row r="400" spans="1:30" ht="17.100000000000001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 s="42">
        <v>36</v>
      </c>
      <c r="F400" s="42">
        <v>37</v>
      </c>
      <c r="G400" s="42">
        <v>22</v>
      </c>
      <c r="H400" s="42">
        <v>23</v>
      </c>
      <c r="I400" s="42"/>
      <c r="J400" s="42">
        <v>32</v>
      </c>
      <c r="K400" s="42">
        <v>26</v>
      </c>
      <c r="L400" s="42">
        <v>28</v>
      </c>
      <c r="M400" s="42">
        <v>25</v>
      </c>
      <c r="N400" s="42" t="s">
        <v>427</v>
      </c>
      <c r="O400" s="42">
        <f t="shared" si="196"/>
        <v>118</v>
      </c>
      <c r="P400" s="42">
        <f t="shared" si="197"/>
        <v>111</v>
      </c>
      <c r="Q400" s="42" t="str">
        <f t="shared" si="198"/>
        <v>HW</v>
      </c>
      <c r="R400" s="42" t="str">
        <f t="shared" si="199"/>
        <v>HW</v>
      </c>
      <c r="S400" s="42" t="str">
        <f t="shared" si="200"/>
        <v>HL</v>
      </c>
      <c r="T400" s="42" t="str">
        <f t="shared" si="201"/>
        <v>HL</v>
      </c>
      <c r="U400" s="42" t="str">
        <f t="shared" si="202"/>
        <v>O</v>
      </c>
      <c r="V400" s="42" t="str">
        <f t="shared" si="203"/>
        <v>O</v>
      </c>
      <c r="W400" s="42" t="str">
        <f t="shared" si="204"/>
        <v>U</v>
      </c>
      <c r="X400" s="42" t="str">
        <f t="shared" si="205"/>
        <v>U</v>
      </c>
      <c r="Z400" s="42">
        <v>56</v>
      </c>
      <c r="AB400" s="42" t="str">
        <f t="shared" si="206"/>
        <v>MEM/MIA</v>
      </c>
      <c r="AC400" s="42">
        <f t="shared" si="207"/>
        <v>2</v>
      </c>
      <c r="AD400" s="42">
        <f t="shared" si="208"/>
        <v>2</v>
      </c>
    </row>
    <row r="401" spans="1:30" ht="17.100000000000001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 s="42">
        <v>33</v>
      </c>
      <c r="F401" s="42">
        <v>34</v>
      </c>
      <c r="G401" s="42">
        <v>21</v>
      </c>
      <c r="H401" s="42">
        <v>22</v>
      </c>
      <c r="I401" s="42"/>
      <c r="J401" s="42">
        <v>25</v>
      </c>
      <c r="K401" s="42">
        <v>34</v>
      </c>
      <c r="L401" s="42">
        <v>31</v>
      </c>
      <c r="M401" s="42">
        <v>21</v>
      </c>
      <c r="N401" s="42" t="s">
        <v>427</v>
      </c>
      <c r="O401" s="42">
        <f t="shared" si="196"/>
        <v>110</v>
      </c>
      <c r="P401" s="42">
        <f t="shared" si="197"/>
        <v>111</v>
      </c>
      <c r="Q401" s="42" t="str">
        <f t="shared" si="198"/>
        <v>HW</v>
      </c>
      <c r="R401" s="42" t="str">
        <f t="shared" si="199"/>
        <v>TT</v>
      </c>
      <c r="S401" s="42" t="str">
        <f t="shared" si="200"/>
        <v>HL</v>
      </c>
      <c r="T401" s="42" t="str">
        <f t="shared" si="201"/>
        <v>HW</v>
      </c>
      <c r="U401" s="42" t="str">
        <f t="shared" si="202"/>
        <v>T</v>
      </c>
      <c r="V401" s="42" t="str">
        <f t="shared" si="203"/>
        <v>O</v>
      </c>
      <c r="W401" s="42" t="str">
        <f t="shared" si="204"/>
        <v>U</v>
      </c>
      <c r="X401" s="42" t="str">
        <f t="shared" si="205"/>
        <v>U</v>
      </c>
      <c r="Z401" s="42">
        <v>58</v>
      </c>
      <c r="AB401" s="42" t="str">
        <f t="shared" si="206"/>
        <v>PHO/POR</v>
      </c>
      <c r="AC401" s="42">
        <f t="shared" si="207"/>
        <v>1</v>
      </c>
      <c r="AD401" s="42">
        <f t="shared" si="208"/>
        <v>2</v>
      </c>
    </row>
    <row r="402" spans="1:30" ht="17.100000000000001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 s="42">
        <v>24</v>
      </c>
      <c r="F402" s="42">
        <v>26</v>
      </c>
      <c r="G402" s="42">
        <v>28</v>
      </c>
      <c r="H402" s="42">
        <v>27</v>
      </c>
      <c r="I402" s="42"/>
      <c r="J402" s="42">
        <v>28</v>
      </c>
      <c r="K402" s="42">
        <v>24</v>
      </c>
      <c r="L402" s="42">
        <v>24</v>
      </c>
      <c r="M402" s="42">
        <v>26</v>
      </c>
      <c r="N402" s="42" t="s">
        <v>427</v>
      </c>
      <c r="O402" s="42">
        <f t="shared" si="196"/>
        <v>105</v>
      </c>
      <c r="P402" s="42">
        <f t="shared" si="197"/>
        <v>102</v>
      </c>
      <c r="Q402" s="42" t="str">
        <f t="shared" si="198"/>
        <v>HL</v>
      </c>
      <c r="R402" s="42" t="str">
        <f t="shared" si="199"/>
        <v>HW</v>
      </c>
      <c r="S402" s="42" t="str">
        <f t="shared" si="200"/>
        <v>HW</v>
      </c>
      <c r="T402" s="42" t="str">
        <f t="shared" si="201"/>
        <v>HW</v>
      </c>
      <c r="U402" s="42" t="str">
        <f t="shared" si="202"/>
        <v>U</v>
      </c>
      <c r="V402" s="42" t="str">
        <f t="shared" si="203"/>
        <v>U</v>
      </c>
      <c r="W402" s="42" t="str">
        <f t="shared" si="204"/>
        <v>U</v>
      </c>
      <c r="X402" s="42" t="str">
        <f t="shared" si="205"/>
        <v>U</v>
      </c>
      <c r="Z402" s="42">
        <v>54.5</v>
      </c>
      <c r="AB402" s="42" t="str">
        <f t="shared" si="206"/>
        <v>IND/LAL</v>
      </c>
      <c r="AC402" s="42">
        <f t="shared" si="207"/>
        <v>0</v>
      </c>
      <c r="AD402" s="42">
        <f t="shared" si="208"/>
        <v>4</v>
      </c>
    </row>
    <row r="403" spans="1:30" ht="17.100000000000001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 s="42">
        <v>26</v>
      </c>
      <c r="F403" s="42">
        <v>27</v>
      </c>
      <c r="G403" s="42">
        <v>27</v>
      </c>
      <c r="H403" s="42">
        <v>30</v>
      </c>
      <c r="I403" s="42"/>
      <c r="J403" s="42">
        <v>21</v>
      </c>
      <c r="K403" s="42">
        <v>26</v>
      </c>
      <c r="L403" s="42">
        <v>32</v>
      </c>
      <c r="M403" s="42">
        <v>23</v>
      </c>
      <c r="N403" s="42" t="s">
        <v>427</v>
      </c>
      <c r="O403" s="42">
        <f t="shared" si="196"/>
        <v>110</v>
      </c>
      <c r="P403" s="42">
        <f t="shared" si="197"/>
        <v>102</v>
      </c>
      <c r="Q403" s="42" t="str">
        <f t="shared" si="198"/>
        <v>HW</v>
      </c>
      <c r="R403" s="42" t="str">
        <f t="shared" si="199"/>
        <v>HW</v>
      </c>
      <c r="S403" s="42" t="str">
        <f t="shared" si="200"/>
        <v>HL</v>
      </c>
      <c r="T403" s="42" t="str">
        <f t="shared" si="201"/>
        <v>HW</v>
      </c>
      <c r="U403" s="42" t="str">
        <f t="shared" si="202"/>
        <v>U</v>
      </c>
      <c r="V403" s="42" t="str">
        <f t="shared" si="203"/>
        <v>U</v>
      </c>
      <c r="W403" s="42" t="str">
        <f t="shared" si="204"/>
        <v>O</v>
      </c>
      <c r="X403" s="42" t="str">
        <f t="shared" si="205"/>
        <v>U</v>
      </c>
      <c r="Z403" s="42">
        <v>54</v>
      </c>
      <c r="AB403" s="42" t="str">
        <f t="shared" si="206"/>
        <v>CHA/SAC</v>
      </c>
      <c r="AC403" s="42">
        <f t="shared" si="207"/>
        <v>1</v>
      </c>
      <c r="AD403" s="42">
        <f t="shared" si="208"/>
        <v>3</v>
      </c>
    </row>
    <row r="404" spans="1:30" ht="17.100000000000001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 s="42">
        <v>41</v>
      </c>
      <c r="F404" s="42">
        <v>36</v>
      </c>
      <c r="G404" s="42">
        <v>32</v>
      </c>
      <c r="H404" s="42">
        <v>34</v>
      </c>
      <c r="I404" s="42"/>
      <c r="J404" s="42">
        <v>27</v>
      </c>
      <c r="K404" s="42">
        <v>26</v>
      </c>
      <c r="L404" s="42">
        <v>31</v>
      </c>
      <c r="M404" s="42">
        <v>36</v>
      </c>
      <c r="N404" s="42" t="s">
        <v>427</v>
      </c>
      <c r="O404" s="42">
        <f t="shared" si="196"/>
        <v>143</v>
      </c>
      <c r="P404" s="42">
        <f t="shared" si="197"/>
        <v>120</v>
      </c>
      <c r="Q404" s="42" t="str">
        <f t="shared" si="198"/>
        <v>HW</v>
      </c>
      <c r="R404" s="42" t="str">
        <f t="shared" si="199"/>
        <v>HW</v>
      </c>
      <c r="S404" s="42" t="str">
        <f t="shared" si="200"/>
        <v>HW</v>
      </c>
      <c r="T404" s="42" t="str">
        <f t="shared" si="201"/>
        <v>HL</v>
      </c>
      <c r="U404" s="42" t="str">
        <f t="shared" si="202"/>
        <v>O</v>
      </c>
      <c r="V404" s="42" t="str">
        <f t="shared" si="203"/>
        <v>O</v>
      </c>
      <c r="W404" s="42" t="str">
        <f t="shared" si="204"/>
        <v>O</v>
      </c>
      <c r="X404" s="42" t="str">
        <f t="shared" si="205"/>
        <v>O</v>
      </c>
      <c r="Z404" s="42">
        <v>58</v>
      </c>
      <c r="AB404" s="42" t="str">
        <f t="shared" si="206"/>
        <v>NYK/ATL</v>
      </c>
      <c r="AC404" s="42">
        <f t="shared" si="207"/>
        <v>4</v>
      </c>
      <c r="AD404" s="42">
        <f t="shared" si="208"/>
        <v>0</v>
      </c>
    </row>
    <row r="405" spans="1:30" ht="17.100000000000001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 s="42">
        <v>21</v>
      </c>
      <c r="F405" s="42">
        <v>14</v>
      </c>
      <c r="G405" s="42">
        <v>29</v>
      </c>
      <c r="H405" s="42">
        <v>29</v>
      </c>
      <c r="I405" s="42">
        <v>8</v>
      </c>
      <c r="J405" s="42">
        <v>21</v>
      </c>
      <c r="K405" s="42">
        <v>21</v>
      </c>
      <c r="L405" s="42">
        <v>19</v>
      </c>
      <c r="M405" s="42">
        <v>32</v>
      </c>
      <c r="N405" s="42">
        <v>15</v>
      </c>
      <c r="O405" s="42">
        <f t="shared" si="196"/>
        <v>101</v>
      </c>
      <c r="P405" s="42">
        <f t="shared" si="197"/>
        <v>108</v>
      </c>
      <c r="Q405" s="42" t="str">
        <f t="shared" si="198"/>
        <v>TT</v>
      </c>
      <c r="R405" s="42" t="str">
        <f t="shared" si="199"/>
        <v>HL</v>
      </c>
      <c r="S405" s="42" t="str">
        <f t="shared" si="200"/>
        <v>HW</v>
      </c>
      <c r="T405" s="42" t="str">
        <f t="shared" si="201"/>
        <v>HL</v>
      </c>
      <c r="U405" s="42" t="str">
        <f t="shared" si="202"/>
        <v>U</v>
      </c>
      <c r="V405" s="42" t="str">
        <f t="shared" si="203"/>
        <v>U</v>
      </c>
      <c r="W405" s="42" t="str">
        <f t="shared" si="204"/>
        <v>U</v>
      </c>
      <c r="X405" s="42" t="str">
        <f t="shared" si="205"/>
        <v>O</v>
      </c>
      <c r="Z405" s="42">
        <v>56</v>
      </c>
      <c r="AB405" s="42" t="str">
        <f t="shared" si="206"/>
        <v>NO/BKN</v>
      </c>
      <c r="AC405" s="42">
        <f t="shared" si="207"/>
        <v>1</v>
      </c>
      <c r="AD405" s="42">
        <f t="shared" si="208"/>
        <v>3</v>
      </c>
    </row>
    <row r="406" spans="1:30" ht="17.100000000000001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 s="42">
        <v>26</v>
      </c>
      <c r="F406" s="42">
        <v>32</v>
      </c>
      <c r="G406" s="42">
        <v>24</v>
      </c>
      <c r="H406" s="42">
        <v>27</v>
      </c>
      <c r="I406" s="42"/>
      <c r="J406" s="42">
        <v>20</v>
      </c>
      <c r="K406" s="42">
        <v>27</v>
      </c>
      <c r="L406" s="42">
        <v>24</v>
      </c>
      <c r="M406" s="42">
        <v>31</v>
      </c>
      <c r="N406" s="42" t="s">
        <v>427</v>
      </c>
      <c r="O406" s="42">
        <f t="shared" si="196"/>
        <v>109</v>
      </c>
      <c r="P406" s="42">
        <f t="shared" si="197"/>
        <v>102</v>
      </c>
      <c r="Q406" s="42" t="str">
        <f t="shared" si="198"/>
        <v>HW</v>
      </c>
      <c r="R406" s="42" t="str">
        <f t="shared" si="199"/>
        <v>HW</v>
      </c>
      <c r="S406" s="42" t="str">
        <f t="shared" si="200"/>
        <v>TT</v>
      </c>
      <c r="T406" s="42" t="str">
        <f t="shared" si="201"/>
        <v>HL</v>
      </c>
      <c r="U406" s="42" t="str">
        <f t="shared" si="202"/>
        <v>U</v>
      </c>
      <c r="V406" s="42" t="str">
        <f t="shared" si="203"/>
        <v>O</v>
      </c>
      <c r="W406" s="42" t="str">
        <f t="shared" si="204"/>
        <v>U</v>
      </c>
      <c r="X406" s="42" t="str">
        <f t="shared" si="205"/>
        <v>O</v>
      </c>
      <c r="Z406" s="42">
        <v>53.5</v>
      </c>
      <c r="AB406" s="42" t="str">
        <f t="shared" si="206"/>
        <v>UTA/ORL</v>
      </c>
      <c r="AC406" s="42">
        <f t="shared" si="207"/>
        <v>2</v>
      </c>
      <c r="AD406" s="42">
        <f t="shared" si="208"/>
        <v>2</v>
      </c>
    </row>
    <row r="407" spans="1:30" ht="17.100000000000001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 s="42">
        <v>31</v>
      </c>
      <c r="F407" s="42">
        <v>23</v>
      </c>
      <c r="G407" s="42">
        <v>36</v>
      </c>
      <c r="H407" s="42">
        <v>30</v>
      </c>
      <c r="I407" s="42"/>
      <c r="J407" s="42">
        <v>23</v>
      </c>
      <c r="K407" s="42">
        <v>21</v>
      </c>
      <c r="L407" s="42">
        <v>25</v>
      </c>
      <c r="M407" s="42">
        <v>30</v>
      </c>
      <c r="N407" s="42" t="s">
        <v>427</v>
      </c>
      <c r="O407" s="42">
        <f t="shared" si="196"/>
        <v>120</v>
      </c>
      <c r="P407" s="42">
        <f t="shared" si="197"/>
        <v>99</v>
      </c>
      <c r="Q407" s="42" t="str">
        <f t="shared" si="198"/>
        <v>HW</v>
      </c>
      <c r="R407" s="42" t="str">
        <f t="shared" si="199"/>
        <v>HW</v>
      </c>
      <c r="S407" s="42" t="str">
        <f t="shared" si="200"/>
        <v>HW</v>
      </c>
      <c r="T407" s="42" t="str">
        <f t="shared" si="201"/>
        <v>TT</v>
      </c>
      <c r="U407" s="42" t="str">
        <f t="shared" si="202"/>
        <v>U</v>
      </c>
      <c r="V407" s="42" t="str">
        <f t="shared" si="203"/>
        <v>U</v>
      </c>
      <c r="W407" s="42" t="str">
        <f t="shared" si="204"/>
        <v>O</v>
      </c>
      <c r="X407" s="42" t="str">
        <f t="shared" si="205"/>
        <v>O</v>
      </c>
      <c r="Z407" s="42">
        <v>55.5</v>
      </c>
      <c r="AB407" s="42" t="str">
        <f t="shared" si="206"/>
        <v>LAC/PHO</v>
      </c>
      <c r="AC407" s="42">
        <f t="shared" si="207"/>
        <v>2</v>
      </c>
      <c r="AD407" s="42">
        <f t="shared" si="208"/>
        <v>2</v>
      </c>
    </row>
    <row r="408" spans="1:30" ht="17.100000000000001" x14ac:dyDescent="0.45">
      <c r="A408" s="74">
        <v>191219</v>
      </c>
      <c r="B408" s="44">
        <v>0.375</v>
      </c>
      <c r="C408" s="74" t="s">
        <v>402</v>
      </c>
      <c r="D408" s="74" t="s">
        <v>409</v>
      </c>
      <c r="E408" s="74">
        <v>29</v>
      </c>
      <c r="F408" s="74">
        <v>24</v>
      </c>
      <c r="G408" s="74">
        <v>23</v>
      </c>
      <c r="H408" s="74">
        <v>24</v>
      </c>
      <c r="I408" s="74"/>
      <c r="J408" s="74">
        <v>21</v>
      </c>
      <c r="K408" s="74">
        <v>20</v>
      </c>
      <c r="L408" s="74">
        <v>23</v>
      </c>
      <c r="M408" s="74">
        <v>34</v>
      </c>
      <c r="N408" s="74" t="s">
        <v>427</v>
      </c>
      <c r="O408" s="74">
        <f t="shared" ref="O408:O430" si="209">SUM(E408:I408)</f>
        <v>100</v>
      </c>
      <c r="P408" s="74">
        <f t="shared" ref="P408:P430" si="210">SUM(J408:N408)</f>
        <v>98</v>
      </c>
      <c r="Q408" s="74" t="str">
        <f t="shared" ref="Q408:Q430" si="211">IF(E408=J408,"TT",IF(E408&gt;J408,"HW","HL"))</f>
        <v>HW</v>
      </c>
      <c r="R408" s="74" t="str">
        <f t="shared" ref="R408:R430" si="212">IF(F408=K408,"TT",IF(F408&gt;K408,"HW","HL"))</f>
        <v>HW</v>
      </c>
      <c r="S408" s="74" t="str">
        <f t="shared" ref="S408:S430" si="213">IF(G408=L408,"TT",IF(G408&gt;L408,"HW","HL"))</f>
        <v>TT</v>
      </c>
      <c r="T408" s="74" t="str">
        <f t="shared" ref="T408:T430" si="214">IF(H408=M408,"TT",IF(H408&gt;M408,"HW","HL"))</f>
        <v>HL</v>
      </c>
      <c r="U408" s="74" t="str">
        <f t="shared" ref="U408:U430" si="215">IF(SUM(E408,J408)=$Z408,"T",IF(SUM(E408,J408)&gt;$Z408,"O","U"))</f>
        <v>U</v>
      </c>
      <c r="V408" s="74" t="str">
        <f t="shared" ref="V408:V430" si="216">IF(SUM(F408,K408)=$Z408,"T",IF(SUM(F408,K408)&gt;$Z408,"O","U"))</f>
        <v>U</v>
      </c>
      <c r="W408" s="74" t="str">
        <f t="shared" ref="W408:W430" si="217">IF(SUM(G408,L408)=$Z408,"T",IF(SUM(G408,L408)&gt;$Z408,"O","U"))</f>
        <v>U</v>
      </c>
      <c r="X408" s="74" t="str">
        <f t="shared" ref="X408:X430" si="218">IF(SUM(H408,M408)=$Z408,"T",IF(SUM(H408,M408)&gt;$Z408,"O","U"))</f>
        <v>O</v>
      </c>
      <c r="Y408" s="74"/>
      <c r="Z408" s="74">
        <v>54.5</v>
      </c>
      <c r="AB408" s="74" t="str">
        <f t="shared" ref="AB408:AB471" si="219">C408&amp;"/"&amp;D408</f>
        <v>CLE/CHA</v>
      </c>
      <c r="AC408" s="74">
        <f t="shared" ref="AC408:AC430" si="220">COUNTIF(U408:X408,"o")</f>
        <v>1</v>
      </c>
      <c r="AD408" s="74">
        <f t="shared" ref="AD408:AD430" si="221">COUNTIF(U408:X408,"u")</f>
        <v>3</v>
      </c>
    </row>
    <row r="409" spans="1:30" ht="17.100000000000001" x14ac:dyDescent="0.45">
      <c r="A409" s="74">
        <v>191219</v>
      </c>
      <c r="B409" s="44">
        <v>0.375</v>
      </c>
      <c r="C409" s="15" t="s">
        <v>422</v>
      </c>
      <c r="D409" s="15" t="s">
        <v>413</v>
      </c>
      <c r="E409" s="74">
        <v>29</v>
      </c>
      <c r="F409" s="74">
        <v>35</v>
      </c>
      <c r="G409" s="74">
        <v>15</v>
      </c>
      <c r="H409" s="74">
        <v>20</v>
      </c>
      <c r="I409" s="74"/>
      <c r="J409" s="74">
        <v>30</v>
      </c>
      <c r="K409" s="74">
        <v>40</v>
      </c>
      <c r="L409" s="74">
        <v>26</v>
      </c>
      <c r="M409" s="74">
        <v>16</v>
      </c>
      <c r="N409" s="74" t="s">
        <v>427</v>
      </c>
      <c r="O409" s="74">
        <f t="shared" si="209"/>
        <v>99</v>
      </c>
      <c r="P409" s="74">
        <f t="shared" si="210"/>
        <v>112</v>
      </c>
      <c r="Q409" s="74" t="str">
        <f t="shared" si="211"/>
        <v>HL</v>
      </c>
      <c r="R409" s="74" t="str">
        <f t="shared" si="212"/>
        <v>HL</v>
      </c>
      <c r="S409" s="74" t="str">
        <f t="shared" si="213"/>
        <v>HL</v>
      </c>
      <c r="T409" s="74" t="str">
        <f t="shared" si="214"/>
        <v>HW</v>
      </c>
      <c r="U409" s="74" t="str">
        <f t="shared" si="215"/>
        <v>O</v>
      </c>
      <c r="V409" s="74" t="str">
        <f t="shared" si="216"/>
        <v>O</v>
      </c>
      <c r="W409" s="74" t="str">
        <f t="shared" si="217"/>
        <v>U</v>
      </c>
      <c r="X409" s="74" t="str">
        <f t="shared" si="218"/>
        <v>U</v>
      </c>
      <c r="Y409" s="74"/>
      <c r="Z409" s="74">
        <v>56</v>
      </c>
      <c r="AB409" s="74" t="str">
        <f t="shared" si="219"/>
        <v>DET/TOR</v>
      </c>
      <c r="AC409" s="74">
        <f t="shared" si="220"/>
        <v>2</v>
      </c>
      <c r="AD409" s="74">
        <f t="shared" si="221"/>
        <v>2</v>
      </c>
    </row>
    <row r="410" spans="1:30" ht="17.100000000000001" x14ac:dyDescent="0.45">
      <c r="A410" s="74">
        <v>191219</v>
      </c>
      <c r="B410" s="44">
        <v>0.375</v>
      </c>
      <c r="C410" s="15" t="s">
        <v>401</v>
      </c>
      <c r="D410" s="15" t="s">
        <v>411</v>
      </c>
      <c r="E410" s="74">
        <v>29</v>
      </c>
      <c r="F410" s="74">
        <v>19</v>
      </c>
      <c r="G410" s="74">
        <v>26</v>
      </c>
      <c r="H410" s="74">
        <v>30</v>
      </c>
      <c r="I410" s="74"/>
      <c r="J410" s="74">
        <v>19</v>
      </c>
      <c r="K410" s="74">
        <v>37</v>
      </c>
      <c r="L410" s="74">
        <v>26</v>
      </c>
      <c r="M410" s="74">
        <v>26</v>
      </c>
      <c r="N410" s="74" t="s">
        <v>427</v>
      </c>
      <c r="O410" s="74">
        <f t="shared" si="209"/>
        <v>104</v>
      </c>
      <c r="P410" s="74">
        <f t="shared" si="210"/>
        <v>108</v>
      </c>
      <c r="Q410" s="74" t="str">
        <f t="shared" si="211"/>
        <v>HW</v>
      </c>
      <c r="R410" s="74" t="str">
        <f t="shared" si="212"/>
        <v>HL</v>
      </c>
      <c r="S410" s="74" t="str">
        <f t="shared" si="213"/>
        <v>TT</v>
      </c>
      <c r="T410" s="74" t="str">
        <f t="shared" si="214"/>
        <v>HW</v>
      </c>
      <c r="U410" s="74" t="str">
        <f t="shared" si="215"/>
        <v>U</v>
      </c>
      <c r="V410" s="74" t="str">
        <f t="shared" si="216"/>
        <v>O</v>
      </c>
      <c r="W410" s="74" t="str">
        <f t="shared" si="217"/>
        <v>U</v>
      </c>
      <c r="X410" s="74" t="str">
        <f t="shared" si="218"/>
        <v>O</v>
      </c>
      <c r="Y410" s="74"/>
      <c r="Z410" s="74">
        <v>54.5</v>
      </c>
      <c r="AB410" s="74" t="str">
        <f t="shared" si="219"/>
        <v>PHI/MIA</v>
      </c>
      <c r="AC410" s="74">
        <f t="shared" si="220"/>
        <v>2</v>
      </c>
      <c r="AD410" s="74">
        <f t="shared" si="221"/>
        <v>2</v>
      </c>
    </row>
    <row r="411" spans="1:30" ht="17.100000000000001" x14ac:dyDescent="0.45">
      <c r="A411" s="74">
        <v>191219</v>
      </c>
      <c r="B411" s="44">
        <v>0.375</v>
      </c>
      <c r="C411" s="74" t="s">
        <v>414</v>
      </c>
      <c r="D411" s="74" t="s">
        <v>412</v>
      </c>
      <c r="E411" s="74">
        <v>27</v>
      </c>
      <c r="F411" s="74">
        <v>31</v>
      </c>
      <c r="G411" s="74">
        <v>27</v>
      </c>
      <c r="H411" s="74">
        <v>13</v>
      </c>
      <c r="I411" s="74">
        <v>11</v>
      </c>
      <c r="J411" s="74">
        <v>23</v>
      </c>
      <c r="K411" s="74">
        <v>29</v>
      </c>
      <c r="L411" s="74">
        <v>21</v>
      </c>
      <c r="M411" s="74">
        <v>25</v>
      </c>
      <c r="N411" s="74">
        <v>12</v>
      </c>
      <c r="O411" s="74">
        <f t="shared" si="209"/>
        <v>109</v>
      </c>
      <c r="P411" s="74">
        <f t="shared" si="210"/>
        <v>110</v>
      </c>
      <c r="Q411" s="74" t="str">
        <f t="shared" si="211"/>
        <v>HW</v>
      </c>
      <c r="R411" s="74" t="str">
        <f t="shared" si="212"/>
        <v>HW</v>
      </c>
      <c r="S411" s="74" t="str">
        <f t="shared" si="213"/>
        <v>HW</v>
      </c>
      <c r="T411" s="74" t="str">
        <f t="shared" si="214"/>
        <v>HL</v>
      </c>
      <c r="U411" s="74" t="str">
        <f t="shared" si="215"/>
        <v>U</v>
      </c>
      <c r="V411" s="74" t="str">
        <f t="shared" si="216"/>
        <v>O</v>
      </c>
      <c r="W411" s="74" t="str">
        <f t="shared" si="217"/>
        <v>U</v>
      </c>
      <c r="X411" s="74" t="str">
        <f t="shared" si="218"/>
        <v>U</v>
      </c>
      <c r="Y411" s="74"/>
      <c r="Z411" s="74">
        <v>59</v>
      </c>
      <c r="AB411" s="74" t="str">
        <f t="shared" si="219"/>
        <v>WAS/CHI</v>
      </c>
      <c r="AC411" s="74">
        <f t="shared" si="220"/>
        <v>1</v>
      </c>
      <c r="AD411" s="74">
        <f t="shared" si="221"/>
        <v>3</v>
      </c>
    </row>
    <row r="412" spans="1:30" ht="17.100000000000001" x14ac:dyDescent="0.45">
      <c r="A412" s="74">
        <v>191219</v>
      </c>
      <c r="B412" s="44">
        <v>0.41666666666666669</v>
      </c>
      <c r="C412" s="15" t="s">
        <v>420</v>
      </c>
      <c r="D412" s="13" t="s">
        <v>398</v>
      </c>
      <c r="E412" s="74">
        <v>25</v>
      </c>
      <c r="F412" s="74">
        <v>25</v>
      </c>
      <c r="G412" s="74">
        <v>22</v>
      </c>
      <c r="H412" s="74">
        <v>27</v>
      </c>
      <c r="I412" s="74"/>
      <c r="J412" s="74">
        <v>32</v>
      </c>
      <c r="K412" s="74">
        <v>31</v>
      </c>
      <c r="L412" s="74">
        <v>24</v>
      </c>
      <c r="M412" s="74">
        <v>20</v>
      </c>
      <c r="N412" s="74" t="s">
        <v>427</v>
      </c>
      <c r="O412" s="74">
        <f t="shared" si="209"/>
        <v>99</v>
      </c>
      <c r="P412" s="74">
        <f t="shared" si="210"/>
        <v>107</v>
      </c>
      <c r="Q412" s="74" t="str">
        <f t="shared" si="211"/>
        <v>HL</v>
      </c>
      <c r="R412" s="74" t="str">
        <f t="shared" si="212"/>
        <v>HL</v>
      </c>
      <c r="S412" s="74" t="str">
        <f t="shared" si="213"/>
        <v>HL</v>
      </c>
      <c r="T412" s="74" t="str">
        <f t="shared" si="214"/>
        <v>HW</v>
      </c>
      <c r="U412" s="74" t="str">
        <f t="shared" si="215"/>
        <v>U</v>
      </c>
      <c r="V412" s="74" t="str">
        <f t="shared" si="216"/>
        <v>U</v>
      </c>
      <c r="W412" s="74" t="str">
        <f t="shared" si="217"/>
        <v>U</v>
      </c>
      <c r="X412" s="74" t="str">
        <f t="shared" si="218"/>
        <v>U</v>
      </c>
      <c r="Y412" s="74"/>
      <c r="Z412" s="74">
        <v>59</v>
      </c>
      <c r="AB412" s="74" t="str">
        <f t="shared" si="219"/>
        <v>MIN/NO</v>
      </c>
      <c r="AC412" s="74">
        <f t="shared" si="220"/>
        <v>0</v>
      </c>
      <c r="AD412" s="74">
        <f t="shared" si="221"/>
        <v>4</v>
      </c>
    </row>
    <row r="413" spans="1:30" ht="17.100000000000001" x14ac:dyDescent="0.45">
      <c r="A413" s="74">
        <v>191219</v>
      </c>
      <c r="B413" s="44">
        <v>0.41666666666666669</v>
      </c>
      <c r="C413" s="5" t="s">
        <v>418</v>
      </c>
      <c r="D413" s="5" t="s">
        <v>406</v>
      </c>
      <c r="E413" s="74">
        <v>27</v>
      </c>
      <c r="F413" s="74">
        <v>32</v>
      </c>
      <c r="G413" s="74">
        <v>34</v>
      </c>
      <c r="H413" s="74">
        <v>33</v>
      </c>
      <c r="I413" s="74"/>
      <c r="J413" s="74">
        <v>32</v>
      </c>
      <c r="K413" s="74">
        <v>36</v>
      </c>
      <c r="L413" s="74">
        <v>32</v>
      </c>
      <c r="M413" s="74">
        <v>22</v>
      </c>
      <c r="N413" s="74" t="s">
        <v>427</v>
      </c>
      <c r="O413" s="74">
        <f t="shared" si="209"/>
        <v>126</v>
      </c>
      <c r="P413" s="74">
        <f t="shared" si="210"/>
        <v>122</v>
      </c>
      <c r="Q413" s="74" t="str">
        <f t="shared" si="211"/>
        <v>HL</v>
      </c>
      <c r="R413" s="74" t="str">
        <f t="shared" si="212"/>
        <v>HL</v>
      </c>
      <c r="S413" s="74" t="str">
        <f t="shared" si="213"/>
        <v>HW</v>
      </c>
      <c r="T413" s="74" t="str">
        <f t="shared" si="214"/>
        <v>HW</v>
      </c>
      <c r="U413" s="74" t="str">
        <f t="shared" si="215"/>
        <v>O</v>
      </c>
      <c r="V413" s="74" t="str">
        <f t="shared" si="216"/>
        <v>O</v>
      </c>
      <c r="W413" s="74" t="str">
        <f t="shared" si="217"/>
        <v>O</v>
      </c>
      <c r="X413" s="74" t="str">
        <f t="shared" si="218"/>
        <v>O</v>
      </c>
      <c r="Y413" s="74"/>
      <c r="Z413" s="74">
        <v>54</v>
      </c>
      <c r="AB413" s="74" t="str">
        <f t="shared" si="219"/>
        <v>OKC/MEM</v>
      </c>
      <c r="AC413" s="74">
        <f t="shared" si="220"/>
        <v>4</v>
      </c>
      <c r="AD413" s="74">
        <f t="shared" si="221"/>
        <v>0</v>
      </c>
    </row>
    <row r="414" spans="1:30" ht="17.100000000000001" x14ac:dyDescent="0.45">
      <c r="A414" s="74">
        <v>191219</v>
      </c>
      <c r="B414" s="44">
        <v>0.45833333333333331</v>
      </c>
      <c r="C414" s="13" t="s">
        <v>46</v>
      </c>
      <c r="D414" s="15" t="s">
        <v>424</v>
      </c>
      <c r="E414" s="74">
        <v>27</v>
      </c>
      <c r="F414" s="74">
        <v>18</v>
      </c>
      <c r="G414" s="74">
        <v>39</v>
      </c>
      <c r="H414" s="74">
        <v>29</v>
      </c>
      <c r="I414" s="74"/>
      <c r="J414" s="74">
        <v>32</v>
      </c>
      <c r="K414" s="74">
        <v>28</v>
      </c>
      <c r="L414" s="74">
        <v>16</v>
      </c>
      <c r="M414" s="74">
        <v>28</v>
      </c>
      <c r="N414" s="74" t="s">
        <v>427</v>
      </c>
      <c r="O414" s="74">
        <f t="shared" si="209"/>
        <v>113</v>
      </c>
      <c r="P414" s="74">
        <f t="shared" si="210"/>
        <v>104</v>
      </c>
      <c r="Q414" s="74" t="str">
        <f t="shared" si="211"/>
        <v>HL</v>
      </c>
      <c r="R414" s="74" t="str">
        <f t="shared" si="212"/>
        <v>HL</v>
      </c>
      <c r="S414" s="74" t="str">
        <f t="shared" si="213"/>
        <v>HW</v>
      </c>
      <c r="T414" s="74" t="str">
        <f t="shared" si="214"/>
        <v>HW</v>
      </c>
      <c r="U414" s="74" t="str">
        <f t="shared" si="215"/>
        <v>O</v>
      </c>
      <c r="V414" s="74" t="str">
        <f t="shared" si="216"/>
        <v>U</v>
      </c>
      <c r="W414" s="74" t="str">
        <f t="shared" si="217"/>
        <v>O</v>
      </c>
      <c r="X414" s="74" t="str">
        <f t="shared" si="218"/>
        <v>O</v>
      </c>
      <c r="Y414" s="74"/>
      <c r="Z414" s="74">
        <v>52.5</v>
      </c>
      <c r="AB414" s="74" t="str">
        <f t="shared" si="219"/>
        <v>DEN/ORL</v>
      </c>
      <c r="AC414" s="74">
        <f t="shared" si="220"/>
        <v>3</v>
      </c>
      <c r="AD414" s="74">
        <f t="shared" si="221"/>
        <v>1</v>
      </c>
    </row>
    <row r="415" spans="1:30" ht="17.100000000000001" x14ac:dyDescent="0.45">
      <c r="A415" s="74">
        <v>191219</v>
      </c>
      <c r="B415" s="44">
        <v>0.47916666666666669</v>
      </c>
      <c r="C415" s="15" t="s">
        <v>98</v>
      </c>
      <c r="D415" s="48" t="s">
        <v>421</v>
      </c>
      <c r="E415" s="74">
        <v>29</v>
      </c>
      <c r="F415" s="74">
        <v>26</v>
      </c>
      <c r="G415" s="74">
        <v>18</v>
      </c>
      <c r="H415" s="74">
        <v>30</v>
      </c>
      <c r="I415" s="74"/>
      <c r="J415" s="74">
        <v>29</v>
      </c>
      <c r="K415" s="74">
        <v>21</v>
      </c>
      <c r="L415" s="74">
        <v>26</v>
      </c>
      <c r="M415" s="74">
        <v>33</v>
      </c>
      <c r="N415" s="74" t="s">
        <v>427</v>
      </c>
      <c r="O415" s="74">
        <f t="shared" si="209"/>
        <v>103</v>
      </c>
      <c r="P415" s="74">
        <f t="shared" si="210"/>
        <v>109</v>
      </c>
      <c r="Q415" s="74" t="str">
        <f t="shared" si="211"/>
        <v>TT</v>
      </c>
      <c r="R415" s="74" t="str">
        <f t="shared" si="212"/>
        <v>HW</v>
      </c>
      <c r="S415" s="74" t="str">
        <f t="shared" si="213"/>
        <v>HL</v>
      </c>
      <c r="T415" s="74" t="str">
        <f t="shared" si="214"/>
        <v>HL</v>
      </c>
      <c r="U415" s="74" t="str">
        <f t="shared" si="215"/>
        <v>O</v>
      </c>
      <c r="V415" s="74" t="str">
        <f t="shared" si="216"/>
        <v>U</v>
      </c>
      <c r="W415" s="74" t="str">
        <f t="shared" si="217"/>
        <v>U</v>
      </c>
      <c r="X415" s="74" t="str">
        <f t="shared" si="218"/>
        <v>O</v>
      </c>
      <c r="Y415" s="74"/>
      <c r="Z415" s="74">
        <v>52.5</v>
      </c>
      <c r="AB415" s="74" t="str">
        <f t="shared" si="219"/>
        <v>DAL/BOS</v>
      </c>
      <c r="AC415" s="74">
        <f t="shared" si="220"/>
        <v>2</v>
      </c>
      <c r="AD415" s="74">
        <f t="shared" si="221"/>
        <v>2</v>
      </c>
    </row>
    <row r="416" spans="1:30" x14ac:dyDescent="0.3">
      <c r="A416" s="74">
        <v>191219</v>
      </c>
      <c r="B416" s="44">
        <v>0.5</v>
      </c>
      <c r="C416" s="74" t="s">
        <v>417</v>
      </c>
      <c r="D416" s="74" t="s">
        <v>425</v>
      </c>
      <c r="E416" s="74">
        <v>40</v>
      </c>
      <c r="F416" s="74">
        <v>27</v>
      </c>
      <c r="G416" s="74">
        <v>30</v>
      </c>
      <c r="H416" s="74">
        <v>25</v>
      </c>
      <c r="I416" s="74"/>
      <c r="J416" s="74">
        <v>29</v>
      </c>
      <c r="K416" s="74">
        <v>37</v>
      </c>
      <c r="L416" s="74">
        <v>26</v>
      </c>
      <c r="M416" s="74">
        <v>20</v>
      </c>
      <c r="N416" s="74" t="s">
        <v>427</v>
      </c>
      <c r="O416" s="74">
        <f t="shared" si="209"/>
        <v>122</v>
      </c>
      <c r="P416" s="74">
        <f t="shared" si="210"/>
        <v>112</v>
      </c>
      <c r="Q416" s="74" t="str">
        <f t="shared" si="211"/>
        <v>HW</v>
      </c>
      <c r="R416" s="74" t="str">
        <f t="shared" si="212"/>
        <v>HL</v>
      </c>
      <c r="S416" s="74" t="str">
        <f t="shared" si="213"/>
        <v>HW</v>
      </c>
      <c r="T416" s="74" t="str">
        <f t="shared" si="214"/>
        <v>HW</v>
      </c>
      <c r="U416" s="74" t="str">
        <f t="shared" si="215"/>
        <v>O</v>
      </c>
      <c r="V416" s="74" t="str">
        <f t="shared" si="216"/>
        <v>O</v>
      </c>
      <c r="W416" s="74" t="str">
        <f t="shared" si="217"/>
        <v>U</v>
      </c>
      <c r="X416" s="74" t="str">
        <f t="shared" si="218"/>
        <v>U</v>
      </c>
      <c r="Y416" s="74"/>
      <c r="Z416" s="74">
        <v>56.5</v>
      </c>
      <c r="AB416" s="74" t="str">
        <f t="shared" si="219"/>
        <v>POR/GS</v>
      </c>
      <c r="AC416" s="74">
        <f t="shared" si="220"/>
        <v>2</v>
      </c>
      <c r="AD416" s="74">
        <f t="shared" si="221"/>
        <v>2</v>
      </c>
    </row>
    <row r="417" spans="1:30" x14ac:dyDescent="0.3">
      <c r="A417" s="74">
        <v>191220</v>
      </c>
      <c r="B417" s="75">
        <v>0.39583333333333331</v>
      </c>
      <c r="C417" s="74" t="s">
        <v>410</v>
      </c>
      <c r="D417" s="74" t="s">
        <v>405</v>
      </c>
      <c r="E417" s="74">
        <v>30</v>
      </c>
      <c r="F417" s="74">
        <v>26</v>
      </c>
      <c r="G417" s="74">
        <v>28</v>
      </c>
      <c r="H417" s="74">
        <v>22</v>
      </c>
      <c r="I417" s="74"/>
      <c r="J417" s="74">
        <v>28</v>
      </c>
      <c r="K417" s="74">
        <v>24</v>
      </c>
      <c r="L417" s="74">
        <v>31</v>
      </c>
      <c r="M417" s="74">
        <v>28</v>
      </c>
      <c r="N417" s="74" t="s">
        <v>427</v>
      </c>
      <c r="O417" s="74">
        <f t="shared" si="209"/>
        <v>106</v>
      </c>
      <c r="P417" s="74">
        <f t="shared" si="210"/>
        <v>111</v>
      </c>
      <c r="Q417" s="74" t="str">
        <f t="shared" si="211"/>
        <v>HW</v>
      </c>
      <c r="R417" s="74" t="str">
        <f t="shared" si="212"/>
        <v>HW</v>
      </c>
      <c r="S417" s="74" t="str">
        <f t="shared" si="213"/>
        <v>HL</v>
      </c>
      <c r="T417" s="74" t="str">
        <f t="shared" si="214"/>
        <v>HL</v>
      </c>
      <c r="U417" s="74" t="str">
        <f t="shared" si="215"/>
        <v>O</v>
      </c>
      <c r="V417" s="74" t="str">
        <f t="shared" si="216"/>
        <v>U</v>
      </c>
      <c r="W417" s="74" t="str">
        <f t="shared" si="217"/>
        <v>O</v>
      </c>
      <c r="X417" s="74" t="str">
        <f t="shared" si="218"/>
        <v>U</v>
      </c>
      <c r="Y417" s="74"/>
      <c r="Z417" s="74">
        <v>55</v>
      </c>
      <c r="AB417" s="74" t="str">
        <f t="shared" si="219"/>
        <v>ATL/UTA</v>
      </c>
      <c r="AC417" s="74">
        <f t="shared" si="220"/>
        <v>2</v>
      </c>
      <c r="AD417" s="74">
        <f t="shared" si="221"/>
        <v>2</v>
      </c>
    </row>
    <row r="418" spans="1:30" x14ac:dyDescent="0.3">
      <c r="A418" s="74">
        <v>191220</v>
      </c>
      <c r="B418" s="75">
        <v>0.41666666666666669</v>
      </c>
      <c r="C418" s="74" t="s">
        <v>423</v>
      </c>
      <c r="D418" s="74" t="s">
        <v>419</v>
      </c>
      <c r="E418" s="74">
        <v>23</v>
      </c>
      <c r="F418" s="74">
        <v>42</v>
      </c>
      <c r="G418" s="74">
        <v>24</v>
      </c>
      <c r="H418" s="74">
        <v>22</v>
      </c>
      <c r="I418" s="74"/>
      <c r="J418" s="74">
        <v>17</v>
      </c>
      <c r="K418" s="74">
        <v>29</v>
      </c>
      <c r="L418" s="74">
        <v>35</v>
      </c>
      <c r="M418" s="74">
        <v>23</v>
      </c>
      <c r="N418" s="74" t="s">
        <v>427</v>
      </c>
      <c r="O418" s="74">
        <f t="shared" si="209"/>
        <v>111</v>
      </c>
      <c r="P418" s="74">
        <f t="shared" si="210"/>
        <v>104</v>
      </c>
      <c r="Q418" s="74" t="str">
        <f t="shared" si="211"/>
        <v>HW</v>
      </c>
      <c r="R418" s="74" t="str">
        <f t="shared" si="212"/>
        <v>HW</v>
      </c>
      <c r="S418" s="74" t="str">
        <f t="shared" si="213"/>
        <v>HL</v>
      </c>
      <c r="T418" s="74" t="str">
        <f t="shared" si="214"/>
        <v>HL</v>
      </c>
      <c r="U418" s="74" t="str">
        <f t="shared" si="215"/>
        <v>U</v>
      </c>
      <c r="V418" s="74" t="str">
        <f t="shared" si="216"/>
        <v>O</v>
      </c>
      <c r="W418" s="74" t="str">
        <f t="shared" si="217"/>
        <v>O</v>
      </c>
      <c r="X418" s="74" t="str">
        <f t="shared" si="218"/>
        <v>U</v>
      </c>
      <c r="Y418" s="74"/>
      <c r="Z418" s="74">
        <v>58.5</v>
      </c>
      <c r="AB418" s="74" t="str">
        <f t="shared" si="219"/>
        <v>MIL/LAL</v>
      </c>
      <c r="AC418" s="74">
        <f t="shared" si="220"/>
        <v>2</v>
      </c>
      <c r="AD418" s="74">
        <f t="shared" si="221"/>
        <v>2</v>
      </c>
    </row>
    <row r="419" spans="1:30" x14ac:dyDescent="0.3">
      <c r="A419" s="74">
        <v>191220</v>
      </c>
      <c r="B419" s="75">
        <v>0.4375</v>
      </c>
      <c r="C419" s="74" t="s">
        <v>426</v>
      </c>
      <c r="D419" s="74" t="s">
        <v>407</v>
      </c>
      <c r="E419" s="74">
        <v>27</v>
      </c>
      <c r="F419" s="74">
        <v>23</v>
      </c>
      <c r="G419" s="74">
        <v>33</v>
      </c>
      <c r="H419" s="74">
        <v>35</v>
      </c>
      <c r="I419" s="74"/>
      <c r="J419" s="74">
        <v>33</v>
      </c>
      <c r="K419" s="74">
        <v>23</v>
      </c>
      <c r="L419" s="74">
        <v>25</v>
      </c>
      <c r="M419" s="74">
        <v>24</v>
      </c>
      <c r="N419" s="74" t="s">
        <v>427</v>
      </c>
      <c r="O419" s="74">
        <f t="shared" si="209"/>
        <v>118</v>
      </c>
      <c r="P419" s="74">
        <f t="shared" si="210"/>
        <v>105</v>
      </c>
      <c r="Q419" s="74" t="str">
        <f t="shared" si="211"/>
        <v>HL</v>
      </c>
      <c r="R419" s="74" t="str">
        <f t="shared" si="212"/>
        <v>TT</v>
      </c>
      <c r="S419" s="74" t="str">
        <f t="shared" si="213"/>
        <v>HW</v>
      </c>
      <c r="T419" s="74" t="str">
        <f t="shared" si="214"/>
        <v>HW</v>
      </c>
      <c r="U419" s="74" t="str">
        <f t="shared" si="215"/>
        <v>O</v>
      </c>
      <c r="V419" s="74" t="str">
        <f t="shared" si="216"/>
        <v>U</v>
      </c>
      <c r="W419" s="74" t="str">
        <f t="shared" si="217"/>
        <v>O</v>
      </c>
      <c r="X419" s="74" t="str">
        <f t="shared" si="218"/>
        <v>O</v>
      </c>
      <c r="Y419" s="74"/>
      <c r="Z419" s="74">
        <v>53.5</v>
      </c>
      <c r="AB419" s="74" t="str">
        <f t="shared" si="219"/>
        <v>SAS/BKN</v>
      </c>
      <c r="AC419" s="74">
        <f t="shared" si="220"/>
        <v>3</v>
      </c>
      <c r="AD419" s="74">
        <f t="shared" si="221"/>
        <v>1</v>
      </c>
    </row>
    <row r="420" spans="1:30" x14ac:dyDescent="0.3">
      <c r="A420" s="74">
        <v>191220</v>
      </c>
      <c r="B420" s="75">
        <v>0.52083333333333337</v>
      </c>
      <c r="C420" s="74" t="s">
        <v>415</v>
      </c>
      <c r="D420" s="74" t="s">
        <v>403</v>
      </c>
      <c r="E420" s="74">
        <v>28</v>
      </c>
      <c r="F420" s="74">
        <v>41</v>
      </c>
      <c r="G420" s="74">
        <v>18</v>
      </c>
      <c r="H420" s="74">
        <v>30</v>
      </c>
      <c r="I420" s="74"/>
      <c r="J420" s="74">
        <v>27</v>
      </c>
      <c r="K420" s="74">
        <v>27</v>
      </c>
      <c r="L420" s="74">
        <v>36</v>
      </c>
      <c r="M420" s="74">
        <v>32</v>
      </c>
      <c r="N420" s="74" t="s">
        <v>427</v>
      </c>
      <c r="O420" s="74">
        <f t="shared" si="209"/>
        <v>117</v>
      </c>
      <c r="P420" s="74">
        <f t="shared" si="210"/>
        <v>122</v>
      </c>
      <c r="Q420" s="74" t="str">
        <f t="shared" si="211"/>
        <v>HW</v>
      </c>
      <c r="R420" s="74" t="str">
        <f t="shared" si="212"/>
        <v>HW</v>
      </c>
      <c r="S420" s="74" t="str">
        <f t="shared" si="213"/>
        <v>HL</v>
      </c>
      <c r="T420" s="74" t="str">
        <f t="shared" si="214"/>
        <v>HL</v>
      </c>
      <c r="U420" s="74" t="str">
        <f t="shared" si="215"/>
        <v>U</v>
      </c>
      <c r="V420" s="74" t="str">
        <f t="shared" si="216"/>
        <v>O</v>
      </c>
      <c r="W420" s="74" t="str">
        <f t="shared" si="217"/>
        <v>U</v>
      </c>
      <c r="X420" s="74" t="str">
        <f t="shared" si="218"/>
        <v>O</v>
      </c>
      <c r="Y420" s="74"/>
      <c r="Z420" s="74">
        <v>60.5</v>
      </c>
      <c r="AB420" s="74" t="str">
        <f t="shared" si="219"/>
        <v>LAC/HOU</v>
      </c>
      <c r="AC420" s="74">
        <f t="shared" si="220"/>
        <v>2</v>
      </c>
      <c r="AD420" s="74">
        <f t="shared" si="221"/>
        <v>2</v>
      </c>
    </row>
    <row r="421" spans="1:30" x14ac:dyDescent="0.3">
      <c r="A421" s="74">
        <v>191221</v>
      </c>
      <c r="B421" s="75">
        <v>0.375</v>
      </c>
      <c r="C421" s="74" t="s">
        <v>402</v>
      </c>
      <c r="D421" s="74" t="s">
        <v>406</v>
      </c>
      <c r="E421" s="74">
        <v>25</v>
      </c>
      <c r="F421" s="74">
        <v>30</v>
      </c>
      <c r="G421" s="74">
        <v>26</v>
      </c>
      <c r="H421" s="74">
        <v>33</v>
      </c>
      <c r="I421" s="74"/>
      <c r="J421" s="74">
        <v>27</v>
      </c>
      <c r="K421" s="74">
        <v>24</v>
      </c>
      <c r="L421" s="74">
        <v>36</v>
      </c>
      <c r="M421" s="74">
        <v>20</v>
      </c>
      <c r="N421" s="74" t="s">
        <v>427</v>
      </c>
      <c r="O421" s="74">
        <f t="shared" si="209"/>
        <v>114</v>
      </c>
      <c r="P421" s="74">
        <f t="shared" si="210"/>
        <v>107</v>
      </c>
      <c r="Q421" s="74" t="str">
        <f t="shared" si="211"/>
        <v>HL</v>
      </c>
      <c r="R421" s="74" t="str">
        <f t="shared" si="212"/>
        <v>HW</v>
      </c>
      <c r="S421" s="74" t="str">
        <f t="shared" si="213"/>
        <v>HL</v>
      </c>
      <c r="T421" s="74" t="str">
        <f t="shared" si="214"/>
        <v>HW</v>
      </c>
      <c r="U421" s="74" t="str">
        <f t="shared" si="215"/>
        <v>U</v>
      </c>
      <c r="V421" s="74" t="str">
        <f t="shared" si="216"/>
        <v>U</v>
      </c>
      <c r="W421" s="74" t="str">
        <f t="shared" si="217"/>
        <v>O</v>
      </c>
      <c r="X421" s="74" t="str">
        <f t="shared" si="218"/>
        <v>U</v>
      </c>
      <c r="Y421" s="74"/>
      <c r="Z421" s="74">
        <v>55</v>
      </c>
      <c r="AB421" s="74" t="str">
        <f t="shared" si="219"/>
        <v>CLE/MEM</v>
      </c>
      <c r="AC421" s="74">
        <f t="shared" si="220"/>
        <v>1</v>
      </c>
      <c r="AD421" s="74">
        <f t="shared" si="221"/>
        <v>3</v>
      </c>
    </row>
    <row r="422" spans="1:30" x14ac:dyDescent="0.3">
      <c r="A422" s="74">
        <v>191221</v>
      </c>
      <c r="B422" s="75">
        <v>0.375</v>
      </c>
      <c r="C422" s="74" t="s">
        <v>400</v>
      </c>
      <c r="D422" s="74" t="s">
        <v>416</v>
      </c>
      <c r="E422" s="74">
        <v>30</v>
      </c>
      <c r="F422" s="74">
        <v>38</v>
      </c>
      <c r="G422" s="74">
        <v>24</v>
      </c>
      <c r="H422" s="74">
        <v>27</v>
      </c>
      <c r="I422" s="74"/>
      <c r="J422" s="74">
        <v>32</v>
      </c>
      <c r="K422" s="74">
        <v>25</v>
      </c>
      <c r="L422" s="74">
        <v>22</v>
      </c>
      <c r="M422" s="74">
        <v>26</v>
      </c>
      <c r="N422" s="74" t="s">
        <v>427</v>
      </c>
      <c r="O422" s="74">
        <f t="shared" si="209"/>
        <v>119</v>
      </c>
      <c r="P422" s="74">
        <f t="shared" si="210"/>
        <v>105</v>
      </c>
      <c r="Q422" s="74" t="str">
        <f t="shared" si="211"/>
        <v>HL</v>
      </c>
      <c r="R422" s="74" t="str">
        <f t="shared" si="212"/>
        <v>HW</v>
      </c>
      <c r="S422" s="74" t="str">
        <f t="shared" si="213"/>
        <v>HW</v>
      </c>
      <c r="T422" s="74" t="str">
        <f t="shared" si="214"/>
        <v>HW</v>
      </c>
      <c r="U422" s="74" t="str">
        <f t="shared" si="215"/>
        <v>O</v>
      </c>
      <c r="V422" s="74" t="str">
        <f t="shared" si="216"/>
        <v>O</v>
      </c>
      <c r="W422" s="74" t="str">
        <f t="shared" si="217"/>
        <v>U</v>
      </c>
      <c r="X422" s="74" t="str">
        <f t="shared" si="218"/>
        <v>U</v>
      </c>
      <c r="Y422" s="74"/>
      <c r="Z422" s="74">
        <v>54</v>
      </c>
      <c r="AB422" s="74" t="str">
        <f t="shared" si="219"/>
        <v>IND/SAC</v>
      </c>
      <c r="AC422" s="74">
        <f t="shared" si="220"/>
        <v>2</v>
      </c>
      <c r="AD422" s="74">
        <f t="shared" si="221"/>
        <v>2</v>
      </c>
    </row>
    <row r="423" spans="1:30" x14ac:dyDescent="0.3">
      <c r="A423" s="74">
        <v>191221</v>
      </c>
      <c r="B423" s="75">
        <v>0.39583333333333331</v>
      </c>
      <c r="C423" s="74" t="s">
        <v>421</v>
      </c>
      <c r="D423" s="74" t="s">
        <v>422</v>
      </c>
      <c r="E423" s="74">
        <v>28</v>
      </c>
      <c r="F423" s="74">
        <v>32</v>
      </c>
      <c r="G423" s="74">
        <v>31</v>
      </c>
      <c r="H423" s="74">
        <v>23</v>
      </c>
      <c r="I423" s="74"/>
      <c r="J423" s="74">
        <v>26</v>
      </c>
      <c r="K423" s="74">
        <v>22</v>
      </c>
      <c r="L423" s="74">
        <v>21</v>
      </c>
      <c r="M423" s="74">
        <v>24</v>
      </c>
      <c r="N423" s="74" t="s">
        <v>427</v>
      </c>
      <c r="O423" s="74">
        <f t="shared" si="209"/>
        <v>114</v>
      </c>
      <c r="P423" s="74">
        <f t="shared" si="210"/>
        <v>93</v>
      </c>
      <c r="Q423" s="74" t="str">
        <f t="shared" si="211"/>
        <v>HW</v>
      </c>
      <c r="R423" s="74" t="str">
        <f t="shared" si="212"/>
        <v>HW</v>
      </c>
      <c r="S423" s="74" t="str">
        <f t="shared" si="213"/>
        <v>HW</v>
      </c>
      <c r="T423" s="74" t="str">
        <f t="shared" si="214"/>
        <v>HL</v>
      </c>
      <c r="U423" s="74" t="str">
        <f t="shared" si="215"/>
        <v>U</v>
      </c>
      <c r="V423" s="74" t="str">
        <f t="shared" si="216"/>
        <v>U</v>
      </c>
      <c r="W423" s="74" t="str">
        <f t="shared" si="217"/>
        <v>U</v>
      </c>
      <c r="X423" s="74" t="str">
        <f t="shared" si="218"/>
        <v>U</v>
      </c>
      <c r="Y423" s="74"/>
      <c r="Z423" s="74">
        <v>54.5</v>
      </c>
      <c r="AB423" s="74" t="str">
        <f t="shared" si="219"/>
        <v>BOS/DET</v>
      </c>
      <c r="AC423" s="74">
        <f t="shared" si="220"/>
        <v>0</v>
      </c>
      <c r="AD423" s="74">
        <f t="shared" si="221"/>
        <v>4</v>
      </c>
    </row>
    <row r="424" spans="1:30" x14ac:dyDescent="0.3">
      <c r="A424" s="74">
        <v>191221</v>
      </c>
      <c r="B424" s="75">
        <v>0.39583333333333331</v>
      </c>
      <c r="C424" s="74" t="s">
        <v>413</v>
      </c>
      <c r="D424" s="74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09"/>
        <v>122</v>
      </c>
      <c r="P424" s="74">
        <f t="shared" si="210"/>
        <v>118</v>
      </c>
      <c r="Q424" s="74" t="str">
        <f t="shared" si="211"/>
        <v>HW</v>
      </c>
      <c r="R424" s="74" t="str">
        <f t="shared" si="212"/>
        <v>HL</v>
      </c>
      <c r="S424" s="74" t="str">
        <f t="shared" si="213"/>
        <v>HL</v>
      </c>
      <c r="T424" s="74" t="str">
        <f t="shared" si="214"/>
        <v>HL</v>
      </c>
      <c r="U424" s="74" t="str">
        <f t="shared" si="215"/>
        <v>O</v>
      </c>
      <c r="V424" s="74" t="str">
        <f t="shared" si="216"/>
        <v>U</v>
      </c>
      <c r="W424" s="74" t="str">
        <f t="shared" si="217"/>
        <v>O</v>
      </c>
      <c r="X424" s="74" t="str">
        <f t="shared" si="218"/>
        <v>T</v>
      </c>
      <c r="Y424" s="74"/>
      <c r="Z424" s="74">
        <v>59</v>
      </c>
      <c r="AB424" s="74" t="str">
        <f t="shared" si="219"/>
        <v>TOR/WAS</v>
      </c>
      <c r="AC424" s="74">
        <f t="shared" si="220"/>
        <v>2</v>
      </c>
      <c r="AD424" s="74">
        <f t="shared" si="221"/>
        <v>1</v>
      </c>
    </row>
    <row r="425" spans="1:30" x14ac:dyDescent="0.3">
      <c r="A425" s="74">
        <v>191221</v>
      </c>
      <c r="B425" s="75">
        <v>0.41666666666666669</v>
      </c>
      <c r="C425" s="74" t="s">
        <v>411</v>
      </c>
      <c r="D425" s="74" t="s">
        <v>399</v>
      </c>
      <c r="E425" s="74">
        <v>39</v>
      </c>
      <c r="F425" s="74">
        <v>31</v>
      </c>
      <c r="G425" s="74">
        <v>28</v>
      </c>
      <c r="H425" s="74">
        <v>31</v>
      </c>
      <c r="I425" s="74"/>
      <c r="J425" s="74">
        <v>20</v>
      </c>
      <c r="K425" s="74">
        <v>27</v>
      </c>
      <c r="L425" s="74">
        <v>27</v>
      </c>
      <c r="M425" s="74">
        <v>40</v>
      </c>
      <c r="N425" s="74" t="s">
        <v>427</v>
      </c>
      <c r="O425" s="74">
        <f t="shared" si="209"/>
        <v>129</v>
      </c>
      <c r="P425" s="74">
        <f t="shared" si="210"/>
        <v>114</v>
      </c>
      <c r="Q425" s="74" t="str">
        <f t="shared" si="211"/>
        <v>HW</v>
      </c>
      <c r="R425" s="74" t="str">
        <f t="shared" si="212"/>
        <v>HW</v>
      </c>
      <c r="S425" s="74" t="str">
        <f t="shared" si="213"/>
        <v>HW</v>
      </c>
      <c r="T425" s="74" t="str">
        <f t="shared" si="214"/>
        <v>HL</v>
      </c>
      <c r="U425" s="74" t="str">
        <f t="shared" si="215"/>
        <v>O</v>
      </c>
      <c r="V425" s="74" t="str">
        <f t="shared" si="216"/>
        <v>O</v>
      </c>
      <c r="W425" s="74" t="str">
        <f t="shared" si="217"/>
        <v>U</v>
      </c>
      <c r="X425" s="74" t="str">
        <f t="shared" si="218"/>
        <v>O</v>
      </c>
      <c r="Y425" s="74"/>
      <c r="Z425" s="74">
        <v>55.5</v>
      </c>
      <c r="AB425" s="74" t="str">
        <f t="shared" si="219"/>
        <v>MIA/NYK</v>
      </c>
      <c r="AC425" s="74">
        <f t="shared" si="220"/>
        <v>3</v>
      </c>
      <c r="AD425" s="74">
        <f t="shared" si="221"/>
        <v>1</v>
      </c>
    </row>
    <row r="426" spans="1:30" x14ac:dyDescent="0.3">
      <c r="A426" s="74">
        <v>191221</v>
      </c>
      <c r="B426" s="75">
        <v>0.41666666666666669</v>
      </c>
      <c r="C426" s="74" t="s">
        <v>401</v>
      </c>
      <c r="D426" s="74" t="s">
        <v>397</v>
      </c>
      <c r="E426" s="74">
        <v>28</v>
      </c>
      <c r="F426" s="74">
        <v>29</v>
      </c>
      <c r="G426" s="74">
        <v>20</v>
      </c>
      <c r="H426" s="74">
        <v>21</v>
      </c>
      <c r="I426" s="74"/>
      <c r="J426" s="74">
        <v>35</v>
      </c>
      <c r="K426" s="74">
        <v>28</v>
      </c>
      <c r="L426" s="74">
        <v>25</v>
      </c>
      <c r="M426" s="74">
        <v>29</v>
      </c>
      <c r="N426" s="74" t="s">
        <v>427</v>
      </c>
      <c r="O426" s="74">
        <f t="shared" si="209"/>
        <v>98</v>
      </c>
      <c r="P426" s="74">
        <f t="shared" si="210"/>
        <v>117</v>
      </c>
      <c r="Q426" s="74" t="str">
        <f t="shared" si="211"/>
        <v>HL</v>
      </c>
      <c r="R426" s="74" t="str">
        <f t="shared" si="212"/>
        <v>HW</v>
      </c>
      <c r="S426" s="74" t="str">
        <f t="shared" si="213"/>
        <v>HL</v>
      </c>
      <c r="T426" s="74" t="str">
        <f t="shared" si="214"/>
        <v>HL</v>
      </c>
      <c r="U426" s="74" t="str">
        <f t="shared" si="215"/>
        <v>O</v>
      </c>
      <c r="V426" s="74" t="str">
        <f t="shared" si="216"/>
        <v>O</v>
      </c>
      <c r="W426" s="74" t="str">
        <f t="shared" si="217"/>
        <v>U</v>
      </c>
      <c r="X426" s="74" t="str">
        <f t="shared" si="218"/>
        <v>U</v>
      </c>
      <c r="Y426" s="74"/>
      <c r="Z426" s="74">
        <v>54.5</v>
      </c>
      <c r="AB426" s="74" t="str">
        <f t="shared" si="219"/>
        <v>PHI/DAL</v>
      </c>
      <c r="AC426" s="74">
        <f t="shared" si="220"/>
        <v>2</v>
      </c>
      <c r="AD426" s="74">
        <f t="shared" si="221"/>
        <v>2</v>
      </c>
    </row>
    <row r="427" spans="1:30" x14ac:dyDescent="0.3">
      <c r="A427" s="74">
        <v>191221</v>
      </c>
      <c r="B427" s="75">
        <v>0.41666666666666669</v>
      </c>
      <c r="C427" s="74" t="s">
        <v>418</v>
      </c>
      <c r="D427" s="74" t="s">
        <v>404</v>
      </c>
      <c r="E427" s="74">
        <v>26</v>
      </c>
      <c r="F427" s="74">
        <v>31</v>
      </c>
      <c r="G427" s="74">
        <v>44</v>
      </c>
      <c r="H427" s="74">
        <v>25</v>
      </c>
      <c r="I427" s="74"/>
      <c r="J427" s="74">
        <v>23</v>
      </c>
      <c r="K427" s="74">
        <v>27</v>
      </c>
      <c r="L427" s="74">
        <v>41</v>
      </c>
      <c r="M427" s="74">
        <v>17</v>
      </c>
      <c r="N427" s="74" t="s">
        <v>427</v>
      </c>
      <c r="O427" s="74">
        <f t="shared" si="209"/>
        <v>126</v>
      </c>
      <c r="P427" s="74">
        <f t="shared" si="210"/>
        <v>108</v>
      </c>
      <c r="Q427" s="74" t="str">
        <f t="shared" si="211"/>
        <v>HW</v>
      </c>
      <c r="R427" s="74" t="str">
        <f t="shared" si="212"/>
        <v>HW</v>
      </c>
      <c r="S427" s="74" t="str">
        <f t="shared" si="213"/>
        <v>HW</v>
      </c>
      <c r="T427" s="74" t="str">
        <f t="shared" si="214"/>
        <v>HW</v>
      </c>
      <c r="U427" s="74" t="str">
        <f t="shared" si="215"/>
        <v>U</v>
      </c>
      <c r="V427" s="74" t="str">
        <f t="shared" si="216"/>
        <v>O</v>
      </c>
      <c r="W427" s="74" t="str">
        <f t="shared" si="217"/>
        <v>O</v>
      </c>
      <c r="X427" s="74" t="str">
        <f t="shared" si="218"/>
        <v>U</v>
      </c>
      <c r="Y427" s="74"/>
      <c r="Z427" s="74">
        <v>54</v>
      </c>
      <c r="AB427" s="74" t="str">
        <f t="shared" si="219"/>
        <v>OKC/PHO</v>
      </c>
      <c r="AC427" s="74">
        <f t="shared" si="220"/>
        <v>2</v>
      </c>
      <c r="AD427" s="74">
        <f t="shared" si="221"/>
        <v>2</v>
      </c>
    </row>
    <row r="428" spans="1:30" x14ac:dyDescent="0.3">
      <c r="A428" s="74">
        <v>191221</v>
      </c>
      <c r="B428" s="75">
        <v>0.45833333333333331</v>
      </c>
      <c r="C428" s="74" t="s">
        <v>408</v>
      </c>
      <c r="D428" s="74" t="s">
        <v>420</v>
      </c>
      <c r="E428" s="74">
        <v>33</v>
      </c>
      <c r="F428" s="74">
        <v>28</v>
      </c>
      <c r="G428" s="74">
        <v>21</v>
      </c>
      <c r="H428" s="74">
        <v>27</v>
      </c>
      <c r="I428" s="74"/>
      <c r="J428" s="74">
        <v>20</v>
      </c>
      <c r="K428" s="74">
        <v>31</v>
      </c>
      <c r="L428" s="74">
        <v>24</v>
      </c>
      <c r="M428" s="74">
        <v>25</v>
      </c>
      <c r="N428" s="74" t="s">
        <v>427</v>
      </c>
      <c r="O428" s="74">
        <f t="shared" si="209"/>
        <v>109</v>
      </c>
      <c r="P428" s="74">
        <f t="shared" si="210"/>
        <v>100</v>
      </c>
      <c r="Q428" s="74" t="str">
        <f t="shared" si="211"/>
        <v>HW</v>
      </c>
      <c r="R428" s="74" t="str">
        <f t="shared" si="212"/>
        <v>HL</v>
      </c>
      <c r="S428" s="74" t="str">
        <f t="shared" si="213"/>
        <v>HL</v>
      </c>
      <c r="T428" s="74" t="str">
        <f t="shared" si="214"/>
        <v>HW</v>
      </c>
      <c r="U428" s="74" t="str">
        <f t="shared" si="215"/>
        <v>U</v>
      </c>
      <c r="V428" s="74" t="str">
        <f t="shared" si="216"/>
        <v>O</v>
      </c>
      <c r="W428" s="74" t="str">
        <f t="shared" si="217"/>
        <v>U</v>
      </c>
      <c r="X428" s="74" t="str">
        <f t="shared" si="218"/>
        <v>U</v>
      </c>
      <c r="Y428" s="74"/>
      <c r="Z428" s="74">
        <v>55.5</v>
      </c>
      <c r="AB428" s="74" t="str">
        <f t="shared" si="219"/>
        <v>DEN/MIN</v>
      </c>
      <c r="AC428" s="74">
        <f t="shared" si="220"/>
        <v>1</v>
      </c>
      <c r="AD428" s="74">
        <f t="shared" si="221"/>
        <v>3</v>
      </c>
    </row>
    <row r="429" spans="1:30" x14ac:dyDescent="0.3">
      <c r="A429" s="74">
        <v>191221</v>
      </c>
      <c r="B429" s="75">
        <v>0.5</v>
      </c>
      <c r="C429" s="74" t="s">
        <v>417</v>
      </c>
      <c r="D429" s="74" t="s">
        <v>424</v>
      </c>
      <c r="E429" s="74">
        <v>31</v>
      </c>
      <c r="F429" s="74">
        <v>26</v>
      </c>
      <c r="G429" s="74">
        <v>36</v>
      </c>
      <c r="H429" s="74">
        <v>25</v>
      </c>
      <c r="I429" s="74"/>
      <c r="J429" s="74">
        <v>13</v>
      </c>
      <c r="K429" s="74">
        <v>31</v>
      </c>
      <c r="L429" s="74">
        <v>31</v>
      </c>
      <c r="M429" s="74">
        <v>28</v>
      </c>
      <c r="N429" s="74" t="s">
        <v>427</v>
      </c>
      <c r="O429" s="74">
        <f t="shared" si="209"/>
        <v>118</v>
      </c>
      <c r="P429" s="74">
        <f t="shared" si="210"/>
        <v>103</v>
      </c>
      <c r="Q429" s="74" t="str">
        <f t="shared" si="211"/>
        <v>HW</v>
      </c>
      <c r="R429" s="74" t="str">
        <f t="shared" si="212"/>
        <v>HL</v>
      </c>
      <c r="S429" s="74" t="str">
        <f t="shared" si="213"/>
        <v>HW</v>
      </c>
      <c r="T429" s="74" t="str">
        <f t="shared" si="214"/>
        <v>HL</v>
      </c>
      <c r="U429" s="74" t="str">
        <f t="shared" si="215"/>
        <v>U</v>
      </c>
      <c r="V429" s="74" t="str">
        <f t="shared" si="216"/>
        <v>O</v>
      </c>
      <c r="W429" s="74" t="str">
        <f t="shared" si="217"/>
        <v>O</v>
      </c>
      <c r="X429" s="74" t="str">
        <f t="shared" si="218"/>
        <v>U</v>
      </c>
      <c r="Y429" s="74"/>
      <c r="Z429" s="74">
        <v>56</v>
      </c>
      <c r="AB429" s="74" t="str">
        <f t="shared" si="219"/>
        <v>POR/ORL</v>
      </c>
      <c r="AC429" s="74">
        <f t="shared" si="220"/>
        <v>2</v>
      </c>
      <c r="AD429" s="74">
        <f t="shared" si="221"/>
        <v>2</v>
      </c>
    </row>
    <row r="430" spans="1:30" x14ac:dyDescent="0.3">
      <c r="A430" s="74">
        <v>191221</v>
      </c>
      <c r="B430" s="75">
        <v>0.52083333333333337</v>
      </c>
      <c r="C430" s="74" t="s">
        <v>425</v>
      </c>
      <c r="D430" s="74" t="s">
        <v>398</v>
      </c>
      <c r="E430" s="74">
        <v>31</v>
      </c>
      <c r="F430" s="74">
        <v>25</v>
      </c>
      <c r="G430" s="74">
        <v>22</v>
      </c>
      <c r="H430" s="74">
        <v>28</v>
      </c>
      <c r="I430" s="74"/>
      <c r="J430" s="74">
        <v>16</v>
      </c>
      <c r="K430" s="74">
        <v>28</v>
      </c>
      <c r="L430" s="74">
        <v>37</v>
      </c>
      <c r="M430" s="74">
        <v>21</v>
      </c>
      <c r="N430" s="74" t="s">
        <v>427</v>
      </c>
      <c r="O430" s="74">
        <f t="shared" si="209"/>
        <v>106</v>
      </c>
      <c r="P430" s="74">
        <f t="shared" si="210"/>
        <v>102</v>
      </c>
      <c r="Q430" s="74" t="str">
        <f t="shared" si="211"/>
        <v>HW</v>
      </c>
      <c r="R430" s="74" t="str">
        <f t="shared" si="212"/>
        <v>HL</v>
      </c>
      <c r="S430" s="74" t="str">
        <f t="shared" si="213"/>
        <v>HL</v>
      </c>
      <c r="T430" s="74" t="str">
        <f t="shared" si="214"/>
        <v>HW</v>
      </c>
      <c r="U430" s="74" t="str">
        <f t="shared" si="215"/>
        <v>U</v>
      </c>
      <c r="V430" s="74" t="str">
        <f t="shared" si="216"/>
        <v>U</v>
      </c>
      <c r="W430" s="74" t="str">
        <f t="shared" si="217"/>
        <v>O</v>
      </c>
      <c r="X430" s="74" t="str">
        <f t="shared" si="218"/>
        <v>U</v>
      </c>
      <c r="Y430" s="74"/>
      <c r="Z430" s="74">
        <v>57.5</v>
      </c>
      <c r="AB430" s="74" t="str">
        <f t="shared" si="219"/>
        <v>GS/NO</v>
      </c>
      <c r="AC430" s="74">
        <f t="shared" si="220"/>
        <v>1</v>
      </c>
      <c r="AD430" s="74">
        <f t="shared" si="221"/>
        <v>3</v>
      </c>
    </row>
    <row r="431" spans="1:30" x14ac:dyDescent="0.3">
      <c r="A431" s="49">
        <v>191222</v>
      </c>
      <c r="B431" s="51">
        <v>0.29166666666666669</v>
      </c>
      <c r="C431" s="50" t="s">
        <v>428</v>
      </c>
      <c r="D431" s="50" t="s">
        <v>405</v>
      </c>
      <c r="E431" s="101">
        <v>33</v>
      </c>
      <c r="F431" s="101">
        <v>31</v>
      </c>
      <c r="G431" s="101">
        <v>22</v>
      </c>
      <c r="H431" s="101">
        <v>21</v>
      </c>
      <c r="I431" s="101"/>
      <c r="J431" s="101">
        <v>31</v>
      </c>
      <c r="K431" s="101">
        <v>25</v>
      </c>
      <c r="L431" s="101">
        <v>28</v>
      </c>
      <c r="M431" s="101">
        <v>30</v>
      </c>
      <c r="N431" s="101" t="s">
        <v>427</v>
      </c>
      <c r="O431" s="186">
        <f t="shared" ref="O431:O494" si="222">SUM(E431:I431)</f>
        <v>107</v>
      </c>
      <c r="P431" s="186">
        <f t="shared" ref="P431:P494" si="223">SUM(J431:N431)</f>
        <v>114</v>
      </c>
      <c r="Q431" s="186" t="str">
        <f t="shared" ref="Q431:Q494" si="224">IF(E431=J431,"TT",IF(E431&gt;J431,"HW","HL"))</f>
        <v>HW</v>
      </c>
      <c r="R431" s="186" t="str">
        <f t="shared" ref="R431:R494" si="225">IF(F431=K431,"TT",IF(F431&gt;K431,"HW","HL"))</f>
        <v>HW</v>
      </c>
      <c r="S431" s="186" t="str">
        <f t="shared" ref="S431:S494" si="226">IF(G431=L431,"TT",IF(G431&gt;L431,"HW","HL"))</f>
        <v>HL</v>
      </c>
      <c r="T431" s="186" t="str">
        <f t="shared" ref="T431:T494" si="227">IF(H431=M431,"TT",IF(H431&gt;M431,"HW","HL"))</f>
        <v>HL</v>
      </c>
      <c r="U431" s="186" t="str">
        <f t="shared" ref="U431:U494" si="228">IF(SUM(E431,J431)=$Z431,"T",IF(SUM(E431,J431)&gt;$Z431,"O","U"))</f>
        <v>O</v>
      </c>
      <c r="V431" s="186" t="str">
        <f t="shared" ref="V431:V494" si="229">IF(SUM(F431,K431)=$Z431,"T",IF(SUM(F431,K431)&gt;$Z431,"O","U"))</f>
        <v>O</v>
      </c>
      <c r="W431" s="186" t="str">
        <f t="shared" ref="W431:W494" si="230">IF(SUM(G431,L431)=$Z431,"T",IF(SUM(G431,L431)&gt;$Z431,"O","U"))</f>
        <v>U</v>
      </c>
      <c r="X431" s="186" t="str">
        <f t="shared" ref="X431:X494" si="231">IF(SUM(H431,M431)=$Z431,"T",IF(SUM(H431,M431)&gt;$Z431,"O","U"))</f>
        <v>U</v>
      </c>
      <c r="Y431" s="186"/>
      <c r="Z431" s="98">
        <v>52.5</v>
      </c>
      <c r="AB431" s="90" t="str">
        <f t="shared" si="219"/>
        <v>CHA/UTA</v>
      </c>
      <c r="AC431" s="186">
        <f t="shared" ref="AC431:AC494" si="232">COUNTIF(U431:X431,"o")</f>
        <v>2</v>
      </c>
      <c r="AD431" s="186">
        <f t="shared" ref="AD431:AD494" si="233">COUNTIF(U431:X431,"u")</f>
        <v>2</v>
      </c>
    </row>
    <row r="432" spans="1:30" x14ac:dyDescent="0.3">
      <c r="A432" s="50">
        <v>191222</v>
      </c>
      <c r="B432" s="51">
        <v>0.33333333333333331</v>
      </c>
      <c r="C432" s="50" t="s">
        <v>407</v>
      </c>
      <c r="D432" s="50" t="s">
        <v>410</v>
      </c>
      <c r="E432" s="100">
        <v>34</v>
      </c>
      <c r="F432" s="100">
        <v>26</v>
      </c>
      <c r="G432" s="100">
        <v>25</v>
      </c>
      <c r="H432" s="100">
        <v>37</v>
      </c>
      <c r="I432" s="100"/>
      <c r="J432" s="100">
        <v>34</v>
      </c>
      <c r="K432" s="100">
        <v>39</v>
      </c>
      <c r="L432" s="100">
        <v>25</v>
      </c>
      <c r="M432" s="100">
        <v>14</v>
      </c>
      <c r="O432" s="186">
        <f t="shared" si="222"/>
        <v>122</v>
      </c>
      <c r="P432" s="186">
        <f t="shared" si="223"/>
        <v>112</v>
      </c>
      <c r="Q432" s="186" t="str">
        <f t="shared" si="224"/>
        <v>TT</v>
      </c>
      <c r="R432" s="186" t="str">
        <f t="shared" si="225"/>
        <v>HL</v>
      </c>
      <c r="S432" s="186" t="str">
        <f t="shared" si="226"/>
        <v>TT</v>
      </c>
      <c r="T432" s="186" t="str">
        <f t="shared" si="227"/>
        <v>HW</v>
      </c>
      <c r="U432" s="186" t="str">
        <f t="shared" si="228"/>
        <v>O</v>
      </c>
      <c r="V432" s="186" t="str">
        <f t="shared" si="229"/>
        <v>O</v>
      </c>
      <c r="W432" s="186" t="str">
        <f t="shared" si="230"/>
        <v>U</v>
      </c>
      <c r="X432" s="186" t="str">
        <f t="shared" si="231"/>
        <v>U</v>
      </c>
      <c r="Y432" s="186"/>
      <c r="Z432" s="98">
        <v>58</v>
      </c>
      <c r="AB432" s="90" t="str">
        <f t="shared" si="219"/>
        <v>BKN/ATL</v>
      </c>
      <c r="AC432" s="186">
        <f t="shared" si="232"/>
        <v>2</v>
      </c>
      <c r="AD432" s="186">
        <f t="shared" si="233"/>
        <v>2</v>
      </c>
    </row>
    <row r="433" spans="1:30" x14ac:dyDescent="0.3">
      <c r="A433" s="50">
        <v>191222</v>
      </c>
      <c r="B433" s="51">
        <v>0.375</v>
      </c>
      <c r="C433" s="50" t="s">
        <v>422</v>
      </c>
      <c r="D433" s="50" t="s">
        <v>412</v>
      </c>
      <c r="E433" s="102">
        <v>28</v>
      </c>
      <c r="F433" s="102">
        <v>31</v>
      </c>
      <c r="G433" s="102">
        <v>30</v>
      </c>
      <c r="H433" s="102">
        <v>18</v>
      </c>
      <c r="I433" s="102"/>
      <c r="J433" s="102">
        <v>25</v>
      </c>
      <c r="K433" s="102">
        <v>28</v>
      </c>
      <c r="L433" s="102">
        <v>40</v>
      </c>
      <c r="M433" s="102">
        <v>26</v>
      </c>
      <c r="N433" s="102" t="s">
        <v>427</v>
      </c>
      <c r="O433" s="186">
        <f t="shared" si="222"/>
        <v>107</v>
      </c>
      <c r="P433" s="186">
        <f t="shared" si="223"/>
        <v>119</v>
      </c>
      <c r="Q433" s="186" t="str">
        <f t="shared" si="224"/>
        <v>HW</v>
      </c>
      <c r="R433" s="186" t="str">
        <f t="shared" si="225"/>
        <v>HW</v>
      </c>
      <c r="S433" s="186" t="str">
        <f t="shared" si="226"/>
        <v>HL</v>
      </c>
      <c r="T433" s="186" t="str">
        <f t="shared" si="227"/>
        <v>HL</v>
      </c>
      <c r="U433" s="186" t="str">
        <f t="shared" si="228"/>
        <v>O</v>
      </c>
      <c r="V433" s="186" t="str">
        <f t="shared" si="229"/>
        <v>O</v>
      </c>
      <c r="W433" s="186" t="str">
        <f t="shared" si="230"/>
        <v>O</v>
      </c>
      <c r="X433" s="186" t="str">
        <f t="shared" si="231"/>
        <v>U</v>
      </c>
      <c r="Y433" s="186"/>
      <c r="Z433" s="98">
        <v>52.5</v>
      </c>
      <c r="AB433" s="90" t="str">
        <f t="shared" si="219"/>
        <v>DET/CHI</v>
      </c>
      <c r="AC433" s="186">
        <f t="shared" si="232"/>
        <v>3</v>
      </c>
      <c r="AD433" s="186">
        <f t="shared" si="233"/>
        <v>1</v>
      </c>
    </row>
    <row r="434" spans="1:30" x14ac:dyDescent="0.3">
      <c r="A434" s="50">
        <v>191222</v>
      </c>
      <c r="B434" s="51">
        <v>0.375</v>
      </c>
      <c r="C434" s="50" t="s">
        <v>401</v>
      </c>
      <c r="D434" s="50" t="s">
        <v>414</v>
      </c>
      <c r="E434" s="105">
        <v>32</v>
      </c>
      <c r="F434" s="105">
        <v>33</v>
      </c>
      <c r="G434" s="105">
        <v>23</v>
      </c>
      <c r="H434" s="105">
        <v>37</v>
      </c>
      <c r="I434" s="105"/>
      <c r="J434" s="105">
        <v>25</v>
      </c>
      <c r="K434" s="105">
        <v>28</v>
      </c>
      <c r="L434" s="105">
        <v>27</v>
      </c>
      <c r="M434" s="105">
        <v>28</v>
      </c>
      <c r="N434" s="105" t="s">
        <v>427</v>
      </c>
      <c r="O434" s="186">
        <f t="shared" si="222"/>
        <v>125</v>
      </c>
      <c r="P434" s="186">
        <f t="shared" si="223"/>
        <v>108</v>
      </c>
      <c r="Q434" s="186" t="str">
        <f t="shared" si="224"/>
        <v>HW</v>
      </c>
      <c r="R434" s="186" t="str">
        <f t="shared" si="225"/>
        <v>HW</v>
      </c>
      <c r="S434" s="186" t="str">
        <f t="shared" si="226"/>
        <v>HL</v>
      </c>
      <c r="T434" s="186" t="str">
        <f t="shared" si="227"/>
        <v>HW</v>
      </c>
      <c r="U434" s="186" t="str">
        <f t="shared" si="228"/>
        <v>T</v>
      </c>
      <c r="V434" s="186" t="str">
        <f t="shared" si="229"/>
        <v>O</v>
      </c>
      <c r="W434" s="186" t="str">
        <f t="shared" si="230"/>
        <v>U</v>
      </c>
      <c r="X434" s="186" t="str">
        <f t="shared" si="231"/>
        <v>O</v>
      </c>
      <c r="Y434" s="186"/>
      <c r="Z434" s="98">
        <v>57</v>
      </c>
      <c r="AB434" s="90" t="str">
        <f t="shared" si="219"/>
        <v>PHI/WAS</v>
      </c>
      <c r="AC434" s="186">
        <f t="shared" si="232"/>
        <v>2</v>
      </c>
      <c r="AD434" s="186">
        <f t="shared" si="233"/>
        <v>1</v>
      </c>
    </row>
    <row r="435" spans="1:30" x14ac:dyDescent="0.3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04">
        <v>23</v>
      </c>
      <c r="F435" s="104">
        <v>31</v>
      </c>
      <c r="G435" s="104">
        <v>16</v>
      </c>
      <c r="H435" s="104">
        <v>32</v>
      </c>
      <c r="I435" s="104"/>
      <c r="J435" s="104">
        <v>37</v>
      </c>
      <c r="K435" s="104">
        <v>31</v>
      </c>
      <c r="L435" s="104">
        <v>27</v>
      </c>
      <c r="M435" s="104">
        <v>28</v>
      </c>
      <c r="N435" s="104" t="s">
        <v>427</v>
      </c>
      <c r="O435" s="186">
        <f t="shared" si="222"/>
        <v>102</v>
      </c>
      <c r="P435" s="186">
        <f t="shared" si="223"/>
        <v>123</v>
      </c>
      <c r="Q435" s="186" t="str">
        <f t="shared" si="224"/>
        <v>HL</v>
      </c>
      <c r="R435" s="186" t="str">
        <f t="shared" si="225"/>
        <v>TT</v>
      </c>
      <c r="S435" s="186" t="str">
        <f t="shared" si="226"/>
        <v>HL</v>
      </c>
      <c r="T435" s="186" t="str">
        <f t="shared" si="227"/>
        <v>HW</v>
      </c>
      <c r="U435" s="186" t="str">
        <f t="shared" si="228"/>
        <v>O</v>
      </c>
      <c r="V435" s="186" t="str">
        <f t="shared" si="229"/>
        <v>O</v>
      </c>
      <c r="W435" s="186" t="str">
        <f t="shared" si="230"/>
        <v>U</v>
      </c>
      <c r="X435" s="186" t="str">
        <f t="shared" si="231"/>
        <v>O</v>
      </c>
      <c r="Y435" s="186"/>
      <c r="Z435" s="98">
        <v>57</v>
      </c>
      <c r="AB435" s="90" t="str">
        <f t="shared" si="219"/>
        <v>NYK/MIL</v>
      </c>
      <c r="AC435" s="186">
        <f t="shared" si="232"/>
        <v>3</v>
      </c>
      <c r="AD435" s="186">
        <f t="shared" si="233"/>
        <v>1</v>
      </c>
    </row>
    <row r="436" spans="1:30" x14ac:dyDescent="0.3">
      <c r="A436" s="50">
        <v>191222</v>
      </c>
      <c r="B436" s="51">
        <v>0.41666666666666669</v>
      </c>
      <c r="C436" s="50" t="s">
        <v>406</v>
      </c>
      <c r="D436" s="50" t="s">
        <v>416</v>
      </c>
      <c r="E436" s="103">
        <v>23</v>
      </c>
      <c r="F436" s="103">
        <v>37</v>
      </c>
      <c r="G436" s="103">
        <v>31</v>
      </c>
      <c r="H436" s="103">
        <v>28</v>
      </c>
      <c r="I436" s="103"/>
      <c r="J436" s="103">
        <v>21</v>
      </c>
      <c r="K436" s="103">
        <v>29</v>
      </c>
      <c r="L436" s="103">
        <v>28</v>
      </c>
      <c r="M436" s="103">
        <v>37</v>
      </c>
      <c r="N436" s="103" t="s">
        <v>427</v>
      </c>
      <c r="O436" s="186">
        <f t="shared" si="222"/>
        <v>119</v>
      </c>
      <c r="P436" s="186">
        <f t="shared" si="223"/>
        <v>115</v>
      </c>
      <c r="Q436" s="186" t="str">
        <f t="shared" si="224"/>
        <v>HW</v>
      </c>
      <c r="R436" s="186" t="str">
        <f t="shared" si="225"/>
        <v>HW</v>
      </c>
      <c r="S436" s="186" t="str">
        <f t="shared" si="226"/>
        <v>HW</v>
      </c>
      <c r="T436" s="186" t="str">
        <f t="shared" si="227"/>
        <v>HL</v>
      </c>
      <c r="U436" s="186" t="str">
        <f t="shared" si="228"/>
        <v>U</v>
      </c>
      <c r="V436" s="186" t="str">
        <f t="shared" si="229"/>
        <v>O</v>
      </c>
      <c r="W436" s="186" t="str">
        <f t="shared" si="230"/>
        <v>O</v>
      </c>
      <c r="X436" s="186" t="str">
        <f t="shared" si="231"/>
        <v>O</v>
      </c>
      <c r="Y436" s="186"/>
      <c r="Z436" s="98">
        <v>55.5</v>
      </c>
      <c r="AB436" s="90" t="str">
        <f t="shared" si="219"/>
        <v>MEM/SAC</v>
      </c>
      <c r="AC436" s="186">
        <f t="shared" si="232"/>
        <v>3</v>
      </c>
      <c r="AD436" s="186">
        <f t="shared" si="233"/>
        <v>1</v>
      </c>
    </row>
    <row r="437" spans="1:30" x14ac:dyDescent="0.3">
      <c r="A437" s="50">
        <v>191222</v>
      </c>
      <c r="B437" s="51">
        <v>0.4375</v>
      </c>
      <c r="C437" s="50" t="s">
        <v>426</v>
      </c>
      <c r="D437" s="50" t="s">
        <v>415</v>
      </c>
      <c r="E437" s="108">
        <v>31</v>
      </c>
      <c r="F437" s="108">
        <v>30</v>
      </c>
      <c r="G437" s="108">
        <v>22</v>
      </c>
      <c r="H437" s="108">
        <v>26</v>
      </c>
      <c r="I437" s="108"/>
      <c r="J437" s="108">
        <v>33</v>
      </c>
      <c r="K437" s="108">
        <v>39</v>
      </c>
      <c r="L437" s="108">
        <v>38</v>
      </c>
      <c r="M437" s="108">
        <v>24</v>
      </c>
      <c r="N437" s="108" t="s">
        <v>427</v>
      </c>
      <c r="O437" s="186">
        <f t="shared" si="222"/>
        <v>109</v>
      </c>
      <c r="P437" s="186">
        <f t="shared" si="223"/>
        <v>134</v>
      </c>
      <c r="Q437" s="186" t="str">
        <f t="shared" si="224"/>
        <v>HL</v>
      </c>
      <c r="R437" s="186" t="str">
        <f t="shared" si="225"/>
        <v>HL</v>
      </c>
      <c r="S437" s="186" t="str">
        <f t="shared" si="226"/>
        <v>HL</v>
      </c>
      <c r="T437" s="186" t="str">
        <f t="shared" si="227"/>
        <v>HW</v>
      </c>
      <c r="U437" s="186" t="str">
        <f t="shared" si="228"/>
        <v>O</v>
      </c>
      <c r="V437" s="186" t="str">
        <f t="shared" si="229"/>
        <v>O</v>
      </c>
      <c r="W437" s="186" t="str">
        <f t="shared" si="230"/>
        <v>O</v>
      </c>
      <c r="X437" s="186" t="str">
        <f t="shared" si="231"/>
        <v>U</v>
      </c>
      <c r="Y437" s="186"/>
      <c r="Z437" s="98">
        <v>56.5</v>
      </c>
      <c r="AB437" s="90" t="str">
        <f t="shared" si="219"/>
        <v>SAS/LAC</v>
      </c>
      <c r="AC437" s="186">
        <f t="shared" si="232"/>
        <v>3</v>
      </c>
      <c r="AD437" s="186">
        <f t="shared" si="233"/>
        <v>1</v>
      </c>
    </row>
    <row r="438" spans="1:30" x14ac:dyDescent="0.3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06">
        <v>35</v>
      </c>
      <c r="F438" s="106">
        <v>30</v>
      </c>
      <c r="G438" s="106">
        <v>30</v>
      </c>
      <c r="H438" s="106">
        <v>30</v>
      </c>
      <c r="I438" s="106"/>
      <c r="J438" s="106">
        <v>36</v>
      </c>
      <c r="K438" s="106">
        <v>34</v>
      </c>
      <c r="L438" s="106">
        <v>36</v>
      </c>
      <c r="M438" s="106">
        <v>33</v>
      </c>
      <c r="N438" s="106" t="s">
        <v>427</v>
      </c>
      <c r="O438" s="186">
        <f t="shared" si="222"/>
        <v>125</v>
      </c>
      <c r="P438" s="186">
        <f t="shared" si="223"/>
        <v>139</v>
      </c>
      <c r="Q438" s="186" t="str">
        <f t="shared" si="224"/>
        <v>HL</v>
      </c>
      <c r="R438" s="186" t="str">
        <f t="shared" si="225"/>
        <v>HL</v>
      </c>
      <c r="S438" s="186" t="str">
        <f t="shared" si="226"/>
        <v>HL</v>
      </c>
      <c r="T438" s="186" t="str">
        <f t="shared" si="227"/>
        <v>HL</v>
      </c>
      <c r="U438" s="186" t="str">
        <f t="shared" si="228"/>
        <v>O</v>
      </c>
      <c r="V438" s="186" t="str">
        <f t="shared" si="229"/>
        <v>O</v>
      </c>
      <c r="W438" s="186" t="str">
        <f t="shared" si="230"/>
        <v>O</v>
      </c>
      <c r="X438" s="186" t="str">
        <f t="shared" si="231"/>
        <v>O</v>
      </c>
      <c r="Y438" s="186"/>
      <c r="Z438" s="98">
        <v>59</v>
      </c>
      <c r="AB438" s="90" t="str">
        <f t="shared" si="219"/>
        <v>PHO/HOU</v>
      </c>
      <c r="AC438" s="186">
        <f t="shared" si="232"/>
        <v>4</v>
      </c>
      <c r="AD438" s="186">
        <f t="shared" si="233"/>
        <v>0</v>
      </c>
    </row>
    <row r="439" spans="1:30" x14ac:dyDescent="0.3">
      <c r="A439" s="50">
        <v>191222</v>
      </c>
      <c r="B439" s="51">
        <v>0.5</v>
      </c>
      <c r="C439" s="50" t="s">
        <v>417</v>
      </c>
      <c r="D439" s="50" t="s">
        <v>420</v>
      </c>
      <c r="E439" s="107">
        <v>27</v>
      </c>
      <c r="F439" s="107">
        <v>34</v>
      </c>
      <c r="G439" s="107">
        <v>22</v>
      </c>
      <c r="H439" s="107">
        <v>30</v>
      </c>
      <c r="I439" s="107"/>
      <c r="J439" s="107">
        <v>23</v>
      </c>
      <c r="K439" s="107">
        <v>29</v>
      </c>
      <c r="L439" s="107">
        <v>28</v>
      </c>
      <c r="M439" s="107">
        <v>26</v>
      </c>
      <c r="N439" s="107" t="s">
        <v>427</v>
      </c>
      <c r="O439" s="186">
        <f t="shared" si="222"/>
        <v>113</v>
      </c>
      <c r="P439" s="186">
        <f t="shared" si="223"/>
        <v>106</v>
      </c>
      <c r="Q439" s="186" t="str">
        <f t="shared" si="224"/>
        <v>HW</v>
      </c>
      <c r="R439" s="186" t="str">
        <f t="shared" si="225"/>
        <v>HW</v>
      </c>
      <c r="S439" s="186" t="str">
        <f t="shared" si="226"/>
        <v>HL</v>
      </c>
      <c r="T439" s="186" t="str">
        <f t="shared" si="227"/>
        <v>HW</v>
      </c>
      <c r="U439" s="186" t="str">
        <f t="shared" si="228"/>
        <v>U</v>
      </c>
      <c r="V439" s="186" t="str">
        <f t="shared" si="229"/>
        <v>O</v>
      </c>
      <c r="W439" s="186" t="str">
        <f t="shared" si="230"/>
        <v>U</v>
      </c>
      <c r="X439" s="186" t="str">
        <f t="shared" si="231"/>
        <v>U</v>
      </c>
      <c r="Y439" s="186"/>
      <c r="Z439" s="98">
        <v>57</v>
      </c>
      <c r="AB439" s="90" t="str">
        <f t="shared" si="219"/>
        <v>POR/MIN</v>
      </c>
      <c r="AC439" s="186">
        <f t="shared" si="232"/>
        <v>1</v>
      </c>
      <c r="AD439" s="186">
        <f t="shared" si="233"/>
        <v>3</v>
      </c>
    </row>
    <row r="440" spans="1:30" x14ac:dyDescent="0.3">
      <c r="A440" s="90">
        <v>191223</v>
      </c>
      <c r="B440" s="91">
        <v>0.22916666666666666</v>
      </c>
      <c r="C440" s="90" t="s">
        <v>413</v>
      </c>
      <c r="D440" s="90" t="s">
        <v>397</v>
      </c>
      <c r="E440" s="113">
        <v>20</v>
      </c>
      <c r="F440" s="113">
        <v>22</v>
      </c>
      <c r="G440" s="113">
        <v>21</v>
      </c>
      <c r="H440" s="113">
        <v>47</v>
      </c>
      <c r="I440" s="113"/>
      <c r="J440" s="113">
        <v>17</v>
      </c>
      <c r="K440" s="113">
        <v>34</v>
      </c>
      <c r="L440" s="113">
        <v>35</v>
      </c>
      <c r="M440" s="113">
        <v>21</v>
      </c>
      <c r="N440" s="113" t="s">
        <v>427</v>
      </c>
      <c r="O440" s="186">
        <f t="shared" si="222"/>
        <v>110</v>
      </c>
      <c r="P440" s="186">
        <f t="shared" si="223"/>
        <v>107</v>
      </c>
      <c r="Q440" s="186" t="str">
        <f t="shared" si="224"/>
        <v>HW</v>
      </c>
      <c r="R440" s="186" t="str">
        <f t="shared" si="225"/>
        <v>HL</v>
      </c>
      <c r="S440" s="186" t="str">
        <f t="shared" si="226"/>
        <v>HL</v>
      </c>
      <c r="T440" s="186" t="str">
        <f t="shared" si="227"/>
        <v>HW</v>
      </c>
      <c r="U440" s="186" t="str">
        <f t="shared" si="228"/>
        <v>U</v>
      </c>
      <c r="V440" s="186" t="str">
        <f t="shared" si="229"/>
        <v>O</v>
      </c>
      <c r="W440" s="186" t="str">
        <f t="shared" si="230"/>
        <v>O</v>
      </c>
      <c r="X440" s="186" t="str">
        <f t="shared" si="231"/>
        <v>O</v>
      </c>
      <c r="Y440" s="186"/>
      <c r="Z440" s="98">
        <v>55</v>
      </c>
      <c r="AB440" s="90" t="str">
        <f t="shared" si="219"/>
        <v>TOR/DAL</v>
      </c>
      <c r="AC440" s="186">
        <f t="shared" si="232"/>
        <v>3</v>
      </c>
      <c r="AD440" s="186">
        <f t="shared" si="233"/>
        <v>1</v>
      </c>
    </row>
    <row r="441" spans="1:30" x14ac:dyDescent="0.3">
      <c r="A441" s="90">
        <v>191223</v>
      </c>
      <c r="B441" s="91">
        <v>0.33333333333333331</v>
      </c>
      <c r="C441" s="90" t="s">
        <v>421</v>
      </c>
      <c r="D441" s="90" t="s">
        <v>409</v>
      </c>
      <c r="E441" s="109">
        <v>30</v>
      </c>
      <c r="F441" s="109">
        <v>29</v>
      </c>
      <c r="G441" s="109">
        <v>25</v>
      </c>
      <c r="H441" s="109">
        <v>35</v>
      </c>
      <c r="I441" s="109"/>
      <c r="J441" s="109">
        <v>37</v>
      </c>
      <c r="K441" s="109">
        <v>19</v>
      </c>
      <c r="L441" s="109">
        <v>21</v>
      </c>
      <c r="M441" s="109">
        <v>16</v>
      </c>
      <c r="N441" s="109" t="s">
        <v>427</v>
      </c>
      <c r="O441" s="186">
        <f t="shared" si="222"/>
        <v>119</v>
      </c>
      <c r="P441" s="186">
        <f t="shared" si="223"/>
        <v>93</v>
      </c>
      <c r="Q441" s="186" t="str">
        <f t="shared" si="224"/>
        <v>HL</v>
      </c>
      <c r="R441" s="186" t="str">
        <f t="shared" si="225"/>
        <v>HW</v>
      </c>
      <c r="S441" s="186" t="str">
        <f t="shared" si="226"/>
        <v>HW</v>
      </c>
      <c r="T441" s="186" t="str">
        <f t="shared" si="227"/>
        <v>HW</v>
      </c>
      <c r="U441" s="186" t="str">
        <f t="shared" si="228"/>
        <v>O</v>
      </c>
      <c r="V441" s="186" t="str">
        <f t="shared" si="229"/>
        <v>U</v>
      </c>
      <c r="W441" s="186" t="str">
        <f t="shared" si="230"/>
        <v>U</v>
      </c>
      <c r="X441" s="186" t="str">
        <f t="shared" si="231"/>
        <v>U</v>
      </c>
      <c r="Y441" s="186"/>
      <c r="Z441" s="98">
        <v>52.5</v>
      </c>
      <c r="AB441" s="90" t="str">
        <f t="shared" si="219"/>
        <v>BOS/CHA</v>
      </c>
      <c r="AC441" s="186">
        <f t="shared" si="232"/>
        <v>1</v>
      </c>
      <c r="AD441" s="186">
        <f t="shared" si="233"/>
        <v>3</v>
      </c>
    </row>
    <row r="442" spans="1:30" x14ac:dyDescent="0.3">
      <c r="A442" s="90">
        <v>191223</v>
      </c>
      <c r="B442" s="91">
        <v>0.375</v>
      </c>
      <c r="C442" s="90" t="s">
        <v>423</v>
      </c>
      <c r="D442" s="90" t="s">
        <v>400</v>
      </c>
      <c r="E442" s="111">
        <v>21</v>
      </c>
      <c r="F442" s="111">
        <v>38</v>
      </c>
      <c r="G442" s="111">
        <v>24</v>
      </c>
      <c r="H442" s="111">
        <v>34</v>
      </c>
      <c r="I442" s="111"/>
      <c r="J442" s="111">
        <v>22</v>
      </c>
      <c r="K442" s="111">
        <v>33</v>
      </c>
      <c r="L442" s="111">
        <v>18</v>
      </c>
      <c r="M442" s="111">
        <v>16</v>
      </c>
      <c r="O442" s="186">
        <f t="shared" si="222"/>
        <v>117</v>
      </c>
      <c r="P442" s="186">
        <f t="shared" si="223"/>
        <v>89</v>
      </c>
      <c r="Q442" s="186" t="str">
        <f t="shared" si="224"/>
        <v>HL</v>
      </c>
      <c r="R442" s="186" t="str">
        <f t="shared" si="225"/>
        <v>HW</v>
      </c>
      <c r="S442" s="186" t="str">
        <f t="shared" si="226"/>
        <v>HW</v>
      </c>
      <c r="T442" s="186" t="str">
        <f t="shared" si="227"/>
        <v>HW</v>
      </c>
      <c r="U442" s="186" t="str">
        <f t="shared" si="228"/>
        <v>U</v>
      </c>
      <c r="V442" s="186" t="str">
        <f t="shared" si="229"/>
        <v>O</v>
      </c>
      <c r="W442" s="186" t="str">
        <f t="shared" si="230"/>
        <v>U</v>
      </c>
      <c r="X442" s="186" t="str">
        <f t="shared" si="231"/>
        <v>U</v>
      </c>
      <c r="Y442" s="186"/>
      <c r="Z442" s="98">
        <v>55.5</v>
      </c>
      <c r="AB442" s="90" t="str">
        <f t="shared" si="219"/>
        <v>MIL/IND</v>
      </c>
      <c r="AC442" s="186">
        <f t="shared" si="232"/>
        <v>1</v>
      </c>
      <c r="AD442" s="186">
        <f t="shared" si="233"/>
        <v>3</v>
      </c>
    </row>
    <row r="443" spans="1:30" x14ac:dyDescent="0.3">
      <c r="A443" s="90">
        <v>191223</v>
      </c>
      <c r="B443" s="91">
        <v>0.375</v>
      </c>
      <c r="C443" s="90" t="s">
        <v>418</v>
      </c>
      <c r="D443" s="90" t="s">
        <v>415</v>
      </c>
      <c r="E443" s="112">
        <v>27</v>
      </c>
      <c r="F443" s="112">
        <v>30</v>
      </c>
      <c r="G443" s="112">
        <v>29</v>
      </c>
      <c r="H443" s="112">
        <v>32</v>
      </c>
      <c r="I443" s="112"/>
      <c r="J443" s="112">
        <v>33</v>
      </c>
      <c r="K443" s="112">
        <v>30</v>
      </c>
      <c r="L443" s="112">
        <v>26</v>
      </c>
      <c r="M443" s="112">
        <v>23</v>
      </c>
      <c r="N443" s="112" t="s">
        <v>427</v>
      </c>
      <c r="O443" s="186">
        <f t="shared" si="222"/>
        <v>118</v>
      </c>
      <c r="P443" s="186">
        <f t="shared" si="223"/>
        <v>112</v>
      </c>
      <c r="Q443" s="186" t="str">
        <f t="shared" si="224"/>
        <v>HL</v>
      </c>
      <c r="R443" s="186" t="str">
        <f t="shared" si="225"/>
        <v>TT</v>
      </c>
      <c r="S443" s="186" t="str">
        <f t="shared" si="226"/>
        <v>HW</v>
      </c>
      <c r="T443" s="186" t="str">
        <f t="shared" si="227"/>
        <v>HW</v>
      </c>
      <c r="U443" s="186" t="str">
        <f t="shared" si="228"/>
        <v>O</v>
      </c>
      <c r="V443" s="186" t="str">
        <f t="shared" si="229"/>
        <v>O</v>
      </c>
      <c r="W443" s="186" t="str">
        <f t="shared" si="230"/>
        <v>U</v>
      </c>
      <c r="X443" s="186" t="str">
        <f t="shared" si="231"/>
        <v>U</v>
      </c>
      <c r="Y443" s="186"/>
      <c r="Z443" s="98">
        <v>56</v>
      </c>
      <c r="AB443" s="90" t="str">
        <f t="shared" si="219"/>
        <v>OKC/LAC</v>
      </c>
      <c r="AC443" s="186">
        <f t="shared" si="232"/>
        <v>2</v>
      </c>
      <c r="AD443" s="186">
        <f t="shared" si="233"/>
        <v>2</v>
      </c>
    </row>
    <row r="444" spans="1:30" x14ac:dyDescent="0.3">
      <c r="A444" s="90">
        <v>191223</v>
      </c>
      <c r="B444" s="91">
        <v>0.47916666666666669</v>
      </c>
      <c r="C444" s="90" t="s">
        <v>419</v>
      </c>
      <c r="D444" s="90" t="s">
        <v>408</v>
      </c>
      <c r="E444" s="110">
        <v>28</v>
      </c>
      <c r="F444" s="110">
        <v>25</v>
      </c>
      <c r="G444" s="110">
        <v>25</v>
      </c>
      <c r="H444" s="110">
        <v>26</v>
      </c>
      <c r="I444" s="110"/>
      <c r="J444" s="110">
        <v>23</v>
      </c>
      <c r="K444" s="110">
        <v>32</v>
      </c>
      <c r="L444" s="110">
        <v>36</v>
      </c>
      <c r="M444" s="110">
        <v>37</v>
      </c>
      <c r="N444" s="110" t="s">
        <v>427</v>
      </c>
      <c r="O444" s="186">
        <f t="shared" si="222"/>
        <v>104</v>
      </c>
      <c r="P444" s="186">
        <f t="shared" si="223"/>
        <v>128</v>
      </c>
      <c r="Q444" s="186" t="str">
        <f t="shared" si="224"/>
        <v>HW</v>
      </c>
      <c r="R444" s="186" t="str">
        <f t="shared" si="225"/>
        <v>HL</v>
      </c>
      <c r="S444" s="186" t="str">
        <f t="shared" si="226"/>
        <v>HL</v>
      </c>
      <c r="T444" s="186" t="str">
        <f t="shared" si="227"/>
        <v>HL</v>
      </c>
      <c r="U444" s="186" t="str">
        <f t="shared" si="228"/>
        <v>U</v>
      </c>
      <c r="V444" s="186" t="str">
        <f t="shared" si="229"/>
        <v>O</v>
      </c>
      <c r="W444" s="186" t="str">
        <f t="shared" si="230"/>
        <v>O</v>
      </c>
      <c r="X444" s="186" t="str">
        <f t="shared" si="231"/>
        <v>O</v>
      </c>
      <c r="Y444" s="186"/>
      <c r="Z444" s="98">
        <v>52</v>
      </c>
      <c r="AB444" s="90" t="str">
        <f t="shared" si="219"/>
        <v>LAL/DEN</v>
      </c>
      <c r="AC444" s="186">
        <f t="shared" si="232"/>
        <v>3</v>
      </c>
      <c r="AD444" s="186">
        <f t="shared" si="233"/>
        <v>1</v>
      </c>
    </row>
    <row r="445" spans="1:30" x14ac:dyDescent="0.3">
      <c r="A445" s="90">
        <v>191224</v>
      </c>
      <c r="B445" s="91">
        <v>0.375</v>
      </c>
      <c r="C445" s="90" t="s">
        <v>402</v>
      </c>
      <c r="D445" s="90" t="s">
        <v>410</v>
      </c>
      <c r="E445" s="114">
        <v>42</v>
      </c>
      <c r="F445" s="114">
        <v>29</v>
      </c>
      <c r="G445" s="114">
        <v>23</v>
      </c>
      <c r="H445" s="114">
        <v>27</v>
      </c>
      <c r="I445" s="114"/>
      <c r="J445" s="114">
        <v>32</v>
      </c>
      <c r="K445" s="114">
        <v>32</v>
      </c>
      <c r="L445" s="114">
        <v>30</v>
      </c>
      <c r="M445" s="114">
        <v>24</v>
      </c>
      <c r="N445" s="114" t="s">
        <v>427</v>
      </c>
      <c r="O445" s="186">
        <f t="shared" si="222"/>
        <v>121</v>
      </c>
      <c r="P445" s="186">
        <f t="shared" si="223"/>
        <v>118</v>
      </c>
      <c r="Q445" s="186" t="str">
        <f t="shared" si="224"/>
        <v>HW</v>
      </c>
      <c r="R445" s="186" t="str">
        <f t="shared" si="225"/>
        <v>HL</v>
      </c>
      <c r="S445" s="186" t="str">
        <f t="shared" si="226"/>
        <v>HL</v>
      </c>
      <c r="T445" s="186" t="str">
        <f t="shared" si="227"/>
        <v>HW</v>
      </c>
      <c r="U445" s="186" t="str">
        <f t="shared" si="228"/>
        <v>O</v>
      </c>
      <c r="V445" s="186" t="str">
        <f t="shared" si="229"/>
        <v>O</v>
      </c>
      <c r="W445" s="186" t="str">
        <f t="shared" si="230"/>
        <v>U</v>
      </c>
      <c r="X445" s="186" t="str">
        <f t="shared" si="231"/>
        <v>U</v>
      </c>
      <c r="Y445" s="186"/>
      <c r="Z445" s="98">
        <v>57.5</v>
      </c>
      <c r="AB445" s="90" t="str">
        <f t="shared" si="219"/>
        <v>CLE/ATL</v>
      </c>
      <c r="AC445" s="186">
        <f t="shared" si="232"/>
        <v>2</v>
      </c>
      <c r="AD445" s="186">
        <f t="shared" si="233"/>
        <v>2</v>
      </c>
    </row>
    <row r="446" spans="1:30" x14ac:dyDescent="0.3">
      <c r="A446" s="90">
        <v>191224</v>
      </c>
      <c r="B446" s="91">
        <v>0.375</v>
      </c>
      <c r="C446" s="90" t="s">
        <v>422</v>
      </c>
      <c r="D446" s="90" t="s">
        <v>401</v>
      </c>
      <c r="E446" s="115">
        <v>23</v>
      </c>
      <c r="F446" s="115">
        <v>29</v>
      </c>
      <c r="G446" s="115">
        <v>34</v>
      </c>
      <c r="H446" s="115">
        <v>23</v>
      </c>
      <c r="I446" s="115"/>
      <c r="J446" s="115">
        <v>30</v>
      </c>
      <c r="K446" s="115">
        <v>30</v>
      </c>
      <c r="L446" s="115">
        <v>34</v>
      </c>
      <c r="M446" s="115">
        <v>31</v>
      </c>
      <c r="N446" s="115" t="s">
        <v>427</v>
      </c>
      <c r="O446" s="186">
        <f t="shared" si="222"/>
        <v>109</v>
      </c>
      <c r="P446" s="186">
        <f t="shared" si="223"/>
        <v>125</v>
      </c>
      <c r="Q446" s="186" t="str">
        <f t="shared" si="224"/>
        <v>HL</v>
      </c>
      <c r="R446" s="186" t="str">
        <f t="shared" si="225"/>
        <v>HL</v>
      </c>
      <c r="S446" s="186" t="str">
        <f t="shared" si="226"/>
        <v>TT</v>
      </c>
      <c r="T446" s="186" t="str">
        <f t="shared" si="227"/>
        <v>HL</v>
      </c>
      <c r="U446" s="186" t="str">
        <f t="shared" si="228"/>
        <v>U</v>
      </c>
      <c r="V446" s="186" t="str">
        <f t="shared" si="229"/>
        <v>O</v>
      </c>
      <c r="W446" s="186" t="str">
        <f t="shared" si="230"/>
        <v>O</v>
      </c>
      <c r="X446" s="186" t="str">
        <f t="shared" si="231"/>
        <v>T</v>
      </c>
      <c r="Y446" s="186"/>
      <c r="Z446" s="98">
        <v>54</v>
      </c>
      <c r="AB446" s="90" t="str">
        <f t="shared" si="219"/>
        <v>DET/PHI</v>
      </c>
      <c r="AC446" s="186">
        <f t="shared" si="232"/>
        <v>2</v>
      </c>
      <c r="AD446" s="186">
        <f t="shared" si="233"/>
        <v>1</v>
      </c>
    </row>
    <row r="447" spans="1:30" x14ac:dyDescent="0.3">
      <c r="A447" s="90">
        <v>191224</v>
      </c>
      <c r="B447" s="91">
        <v>0.375</v>
      </c>
      <c r="C447" s="90" t="s">
        <v>400</v>
      </c>
      <c r="D447" s="90" t="s">
        <v>413</v>
      </c>
      <c r="E447" s="117">
        <v>30</v>
      </c>
      <c r="F447" s="117">
        <v>24</v>
      </c>
      <c r="G447" s="117">
        <v>24</v>
      </c>
      <c r="H447" s="117">
        <v>29</v>
      </c>
      <c r="I447" s="117">
        <v>13</v>
      </c>
      <c r="J447" s="117">
        <v>19</v>
      </c>
      <c r="K447" s="117">
        <v>25</v>
      </c>
      <c r="L447" s="117">
        <v>35</v>
      </c>
      <c r="M447" s="117">
        <v>28</v>
      </c>
      <c r="N447" s="117">
        <v>8</v>
      </c>
      <c r="O447" s="186">
        <f t="shared" si="222"/>
        <v>120</v>
      </c>
      <c r="P447" s="186">
        <f t="shared" si="223"/>
        <v>115</v>
      </c>
      <c r="Q447" s="186" t="str">
        <f t="shared" si="224"/>
        <v>HW</v>
      </c>
      <c r="R447" s="186" t="str">
        <f t="shared" si="225"/>
        <v>HL</v>
      </c>
      <c r="S447" s="186" t="str">
        <f t="shared" si="226"/>
        <v>HL</v>
      </c>
      <c r="T447" s="186" t="str">
        <f t="shared" si="227"/>
        <v>HW</v>
      </c>
      <c r="U447" s="186" t="str">
        <f t="shared" si="228"/>
        <v>U</v>
      </c>
      <c r="V447" s="186" t="str">
        <f t="shared" si="229"/>
        <v>U</v>
      </c>
      <c r="W447" s="186" t="str">
        <f t="shared" si="230"/>
        <v>O</v>
      </c>
      <c r="X447" s="186" t="str">
        <f t="shared" si="231"/>
        <v>O</v>
      </c>
      <c r="Y447" s="186"/>
      <c r="Z447" s="98">
        <v>52.5</v>
      </c>
      <c r="AB447" s="90" t="str">
        <f t="shared" si="219"/>
        <v>IND/TOR</v>
      </c>
      <c r="AC447" s="186">
        <f t="shared" si="232"/>
        <v>2</v>
      </c>
      <c r="AD447" s="186">
        <f t="shared" si="233"/>
        <v>2</v>
      </c>
    </row>
    <row r="448" spans="1:30" x14ac:dyDescent="0.3">
      <c r="A448" s="90">
        <v>191224</v>
      </c>
      <c r="B448" s="91">
        <v>0.375</v>
      </c>
      <c r="C448" s="90" t="s">
        <v>399</v>
      </c>
      <c r="D448" s="90" t="s">
        <v>414</v>
      </c>
      <c r="E448" s="120">
        <v>37</v>
      </c>
      <c r="F448" s="120">
        <v>27</v>
      </c>
      <c r="G448" s="120">
        <v>27</v>
      </c>
      <c r="H448" s="120">
        <v>24</v>
      </c>
      <c r="I448" s="120"/>
      <c r="J448" s="120">
        <v>32</v>
      </c>
      <c r="K448" s="120">
        <v>31</v>
      </c>
      <c r="L448" s="120">
        <v>31</v>
      </c>
      <c r="M448" s="120">
        <v>27</v>
      </c>
      <c r="N448" s="120" t="s">
        <v>427</v>
      </c>
      <c r="O448" s="186">
        <f t="shared" si="222"/>
        <v>115</v>
      </c>
      <c r="P448" s="186">
        <f t="shared" si="223"/>
        <v>121</v>
      </c>
      <c r="Q448" s="186" t="str">
        <f t="shared" si="224"/>
        <v>HW</v>
      </c>
      <c r="R448" s="186" t="str">
        <f t="shared" si="225"/>
        <v>HL</v>
      </c>
      <c r="S448" s="186" t="str">
        <f t="shared" si="226"/>
        <v>HL</v>
      </c>
      <c r="T448" s="186" t="str">
        <f t="shared" si="227"/>
        <v>HL</v>
      </c>
      <c r="U448" s="186" t="str">
        <f t="shared" si="228"/>
        <v>O</v>
      </c>
      <c r="V448" s="186" t="str">
        <f t="shared" si="229"/>
        <v>O</v>
      </c>
      <c r="W448" s="186" t="str">
        <f t="shared" si="230"/>
        <v>O</v>
      </c>
      <c r="X448" s="186" t="str">
        <f t="shared" si="231"/>
        <v>U</v>
      </c>
      <c r="Y448" s="186"/>
      <c r="Z448" s="98">
        <v>57</v>
      </c>
      <c r="AB448" s="90" t="str">
        <f t="shared" si="219"/>
        <v>NYK/WAS</v>
      </c>
      <c r="AC448" s="186">
        <f t="shared" si="232"/>
        <v>3</v>
      </c>
      <c r="AD448" s="186">
        <f t="shared" si="233"/>
        <v>1</v>
      </c>
    </row>
    <row r="449" spans="1:30" x14ac:dyDescent="0.3">
      <c r="A449" s="90">
        <v>191224</v>
      </c>
      <c r="B449" s="91">
        <v>0.375</v>
      </c>
      <c r="C449" s="90" t="s">
        <v>424</v>
      </c>
      <c r="D449" s="90" t="s">
        <v>412</v>
      </c>
      <c r="E449" s="121">
        <v>28</v>
      </c>
      <c r="F449" s="121">
        <v>23</v>
      </c>
      <c r="G449" s="121">
        <v>32</v>
      </c>
      <c r="H449" s="121">
        <v>20</v>
      </c>
      <c r="I449" s="121"/>
      <c r="J449" s="121">
        <v>28</v>
      </c>
      <c r="K449" s="121">
        <v>26</v>
      </c>
      <c r="L449" s="121">
        <v>27</v>
      </c>
      <c r="M449" s="121">
        <v>14</v>
      </c>
      <c r="N449" s="121" t="s">
        <v>427</v>
      </c>
      <c r="O449" s="186">
        <f t="shared" si="222"/>
        <v>103</v>
      </c>
      <c r="P449" s="186">
        <f t="shared" si="223"/>
        <v>95</v>
      </c>
      <c r="Q449" s="186" t="str">
        <f t="shared" si="224"/>
        <v>TT</v>
      </c>
      <c r="R449" s="186" t="str">
        <f t="shared" si="225"/>
        <v>HL</v>
      </c>
      <c r="S449" s="186" t="str">
        <f t="shared" si="226"/>
        <v>HW</v>
      </c>
      <c r="T449" s="186" t="str">
        <f t="shared" si="227"/>
        <v>HW</v>
      </c>
      <c r="U449" s="186" t="str">
        <f t="shared" si="228"/>
        <v>O</v>
      </c>
      <c r="V449" s="186" t="str">
        <f t="shared" si="229"/>
        <v>U</v>
      </c>
      <c r="W449" s="186" t="str">
        <f t="shared" si="230"/>
        <v>O</v>
      </c>
      <c r="X449" s="186" t="str">
        <f t="shared" si="231"/>
        <v>U</v>
      </c>
      <c r="Y449" s="186"/>
      <c r="Z449" s="98">
        <v>51.5</v>
      </c>
      <c r="AB449" s="90" t="str">
        <f t="shared" si="219"/>
        <v>ORL/CHI</v>
      </c>
      <c r="AC449" s="186">
        <f t="shared" si="232"/>
        <v>2</v>
      </c>
      <c r="AD449" s="186">
        <f t="shared" si="233"/>
        <v>2</v>
      </c>
    </row>
    <row r="450" spans="1:30" x14ac:dyDescent="0.3">
      <c r="A450" s="90">
        <v>191224</v>
      </c>
      <c r="B450" s="91">
        <v>0.39583333333333331</v>
      </c>
      <c r="C450" s="90" t="s">
        <v>411</v>
      </c>
      <c r="D450" s="90" t="s">
        <v>405</v>
      </c>
      <c r="E450" s="119">
        <v>32</v>
      </c>
      <c r="F450" s="119">
        <v>21</v>
      </c>
      <c r="G450" s="119">
        <v>23</v>
      </c>
      <c r="H450" s="119">
        <v>31</v>
      </c>
      <c r="I450" s="119"/>
      <c r="J450" s="119">
        <v>28</v>
      </c>
      <c r="K450" s="119">
        <v>24</v>
      </c>
      <c r="L450" s="119">
        <v>29</v>
      </c>
      <c r="M450" s="119">
        <v>23</v>
      </c>
      <c r="N450" s="119" t="s">
        <v>427</v>
      </c>
      <c r="O450" s="186">
        <f t="shared" si="222"/>
        <v>107</v>
      </c>
      <c r="P450" s="186">
        <f t="shared" si="223"/>
        <v>104</v>
      </c>
      <c r="Q450" s="186" t="str">
        <f t="shared" si="224"/>
        <v>HW</v>
      </c>
      <c r="R450" s="186" t="str">
        <f t="shared" si="225"/>
        <v>HL</v>
      </c>
      <c r="S450" s="186" t="str">
        <f t="shared" si="226"/>
        <v>HL</v>
      </c>
      <c r="T450" s="186" t="str">
        <f t="shared" si="227"/>
        <v>HW</v>
      </c>
      <c r="U450" s="186" t="str">
        <f t="shared" si="228"/>
        <v>O</v>
      </c>
      <c r="V450" s="186" t="str">
        <f t="shared" si="229"/>
        <v>U</v>
      </c>
      <c r="W450" s="186" t="str">
        <f t="shared" si="230"/>
        <v>U</v>
      </c>
      <c r="X450" s="186" t="str">
        <f t="shared" si="231"/>
        <v>O</v>
      </c>
      <c r="Y450" s="186"/>
      <c r="Z450" s="98">
        <v>53.5</v>
      </c>
      <c r="AB450" s="90" t="str">
        <f t="shared" si="219"/>
        <v>MIA/UTA</v>
      </c>
      <c r="AC450" s="186">
        <f t="shared" si="232"/>
        <v>2</v>
      </c>
      <c r="AD450" s="186">
        <f t="shared" si="233"/>
        <v>2</v>
      </c>
    </row>
    <row r="451" spans="1:30" x14ac:dyDescent="0.3">
      <c r="A451" s="90">
        <v>191224</v>
      </c>
      <c r="B451" s="91">
        <v>0.41666666666666669</v>
      </c>
      <c r="C451" s="90" t="s">
        <v>406</v>
      </c>
      <c r="D451" s="90" t="s">
        <v>426</v>
      </c>
      <c r="E451" s="118">
        <v>31</v>
      </c>
      <c r="F451" s="118">
        <v>30</v>
      </c>
      <c r="G451" s="118">
        <v>28</v>
      </c>
      <c r="H451" s="118">
        <v>26</v>
      </c>
      <c r="I451" s="118"/>
      <c r="J451" s="118">
        <v>46</v>
      </c>
      <c r="K451" s="118">
        <v>26</v>
      </c>
      <c r="L451" s="118">
        <v>36</v>
      </c>
      <c r="M451" s="118">
        <v>37</v>
      </c>
      <c r="N451" s="118" t="s">
        <v>427</v>
      </c>
      <c r="O451" s="186">
        <f t="shared" si="222"/>
        <v>115</v>
      </c>
      <c r="P451" s="186">
        <f t="shared" si="223"/>
        <v>145</v>
      </c>
      <c r="Q451" s="186" t="str">
        <f t="shared" si="224"/>
        <v>HL</v>
      </c>
      <c r="R451" s="186" t="str">
        <f t="shared" si="225"/>
        <v>HW</v>
      </c>
      <c r="S451" s="186" t="str">
        <f t="shared" si="226"/>
        <v>HL</v>
      </c>
      <c r="T451" s="186" t="str">
        <f t="shared" si="227"/>
        <v>HL</v>
      </c>
      <c r="U451" s="186" t="str">
        <f t="shared" si="228"/>
        <v>O</v>
      </c>
      <c r="V451" s="186" t="str">
        <f t="shared" si="229"/>
        <v>U</v>
      </c>
      <c r="W451" s="186" t="str">
        <f t="shared" si="230"/>
        <v>O</v>
      </c>
      <c r="X451" s="186" t="str">
        <f t="shared" si="231"/>
        <v>O</v>
      </c>
      <c r="Y451" s="186"/>
      <c r="Z451" s="98">
        <v>57</v>
      </c>
      <c r="AB451" s="90" t="str">
        <f t="shared" si="219"/>
        <v>MEM/SAS</v>
      </c>
      <c r="AC451" s="186">
        <f t="shared" si="232"/>
        <v>3</v>
      </c>
      <c r="AD451" s="186">
        <f t="shared" si="233"/>
        <v>1</v>
      </c>
    </row>
    <row r="452" spans="1:30" x14ac:dyDescent="0.3">
      <c r="A452" s="90">
        <v>191224</v>
      </c>
      <c r="B452" s="91">
        <v>0.45833333333333331</v>
      </c>
      <c r="C452" s="90" t="s">
        <v>404</v>
      </c>
      <c r="D452" s="90" t="s">
        <v>408</v>
      </c>
      <c r="E452" s="122">
        <v>22</v>
      </c>
      <c r="F452" s="122">
        <v>27</v>
      </c>
      <c r="G452" s="122">
        <v>32</v>
      </c>
      <c r="H452" s="122">
        <v>30</v>
      </c>
      <c r="I452" s="122"/>
      <c r="J452" s="122">
        <v>34</v>
      </c>
      <c r="K452" s="122">
        <v>22</v>
      </c>
      <c r="L452" s="122">
        <v>26</v>
      </c>
      <c r="M452" s="122">
        <v>31</v>
      </c>
      <c r="N452" s="122" t="s">
        <v>427</v>
      </c>
      <c r="O452" s="186">
        <f t="shared" si="222"/>
        <v>111</v>
      </c>
      <c r="P452" s="186">
        <f t="shared" si="223"/>
        <v>113</v>
      </c>
      <c r="Q452" s="186" t="str">
        <f t="shared" si="224"/>
        <v>HL</v>
      </c>
      <c r="R452" s="186" t="str">
        <f t="shared" si="225"/>
        <v>HW</v>
      </c>
      <c r="S452" s="186" t="str">
        <f t="shared" si="226"/>
        <v>HW</v>
      </c>
      <c r="T452" s="186" t="str">
        <f t="shared" si="227"/>
        <v>HL</v>
      </c>
      <c r="U452" s="186" t="str">
        <f t="shared" si="228"/>
        <v>O</v>
      </c>
      <c r="V452" s="186" t="str">
        <f t="shared" si="229"/>
        <v>U</v>
      </c>
      <c r="W452" s="186" t="str">
        <f t="shared" si="230"/>
        <v>O</v>
      </c>
      <c r="X452" s="186" t="str">
        <f t="shared" si="231"/>
        <v>O</v>
      </c>
      <c r="Y452" s="186"/>
      <c r="Z452" s="98">
        <v>55</v>
      </c>
      <c r="AB452" s="90" t="str">
        <f t="shared" si="219"/>
        <v>PHO/DEN</v>
      </c>
      <c r="AC452" s="186">
        <f t="shared" si="232"/>
        <v>3</v>
      </c>
      <c r="AD452" s="186">
        <f t="shared" si="233"/>
        <v>1</v>
      </c>
    </row>
    <row r="453" spans="1:30" x14ac:dyDescent="0.3">
      <c r="A453" s="90">
        <v>191224</v>
      </c>
      <c r="B453" s="91">
        <v>0.5</v>
      </c>
      <c r="C453" s="90" t="s">
        <v>417</v>
      </c>
      <c r="D453" s="90" t="s">
        <v>398</v>
      </c>
      <c r="E453" s="123">
        <v>31</v>
      </c>
      <c r="F453" s="123">
        <v>25</v>
      </c>
      <c r="G453" s="123">
        <v>21</v>
      </c>
      <c r="H453" s="123">
        <v>17</v>
      </c>
      <c r="I453" s="123"/>
      <c r="J453" s="123">
        <v>31</v>
      </c>
      <c r="K453" s="123">
        <v>23</v>
      </c>
      <c r="L453" s="123">
        <v>28</v>
      </c>
      <c r="M453" s="123">
        <v>20</v>
      </c>
      <c r="N453" s="123" t="s">
        <v>427</v>
      </c>
      <c r="O453" s="186">
        <f t="shared" si="222"/>
        <v>94</v>
      </c>
      <c r="P453" s="186">
        <f t="shared" si="223"/>
        <v>102</v>
      </c>
      <c r="Q453" s="186" t="str">
        <f t="shared" si="224"/>
        <v>TT</v>
      </c>
      <c r="R453" s="186" t="str">
        <f t="shared" si="225"/>
        <v>HW</v>
      </c>
      <c r="S453" s="186" t="str">
        <f t="shared" si="226"/>
        <v>HL</v>
      </c>
      <c r="T453" s="186" t="str">
        <f t="shared" si="227"/>
        <v>HL</v>
      </c>
      <c r="U453" s="186" t="str">
        <f t="shared" si="228"/>
        <v>O</v>
      </c>
      <c r="V453" s="186" t="str">
        <f t="shared" si="229"/>
        <v>U</v>
      </c>
      <c r="W453" s="186" t="str">
        <f t="shared" si="230"/>
        <v>U</v>
      </c>
      <c r="X453" s="186" t="str">
        <f t="shared" si="231"/>
        <v>U</v>
      </c>
      <c r="Y453" s="186"/>
      <c r="Z453" s="98">
        <v>57.5</v>
      </c>
      <c r="AB453" s="90" t="str">
        <f t="shared" si="219"/>
        <v>POR/NO</v>
      </c>
      <c r="AC453" s="186">
        <f t="shared" si="232"/>
        <v>1</v>
      </c>
      <c r="AD453" s="186">
        <f t="shared" si="233"/>
        <v>3</v>
      </c>
    </row>
    <row r="454" spans="1:30" x14ac:dyDescent="0.3">
      <c r="A454" s="90">
        <v>191224</v>
      </c>
      <c r="B454" s="91">
        <v>0.5</v>
      </c>
      <c r="C454" s="90" t="s">
        <v>416</v>
      </c>
      <c r="D454" s="90" t="s">
        <v>403</v>
      </c>
      <c r="E454" s="124">
        <v>21</v>
      </c>
      <c r="F454" s="124">
        <v>36</v>
      </c>
      <c r="G454" s="124">
        <v>22</v>
      </c>
      <c r="H454" s="124">
        <v>25</v>
      </c>
      <c r="I454" s="124"/>
      <c r="J454" s="124">
        <v>37</v>
      </c>
      <c r="K454" s="124">
        <v>28</v>
      </c>
      <c r="L454" s="124">
        <v>32</v>
      </c>
      <c r="M454" s="124">
        <v>16</v>
      </c>
      <c r="N454" s="124" t="s">
        <v>427</v>
      </c>
      <c r="O454" s="186">
        <f t="shared" si="222"/>
        <v>104</v>
      </c>
      <c r="P454" s="186">
        <f t="shared" si="223"/>
        <v>113</v>
      </c>
      <c r="Q454" s="186" t="str">
        <f t="shared" si="224"/>
        <v>HL</v>
      </c>
      <c r="R454" s="186" t="str">
        <f t="shared" si="225"/>
        <v>HW</v>
      </c>
      <c r="S454" s="186" t="str">
        <f t="shared" si="226"/>
        <v>HL</v>
      </c>
      <c r="T454" s="186" t="str">
        <f t="shared" si="227"/>
        <v>HW</v>
      </c>
      <c r="U454" s="186" t="str">
        <f t="shared" si="228"/>
        <v>O</v>
      </c>
      <c r="V454" s="186" t="str">
        <f t="shared" si="229"/>
        <v>O</v>
      </c>
      <c r="W454" s="186" t="str">
        <f t="shared" si="230"/>
        <v>U</v>
      </c>
      <c r="X454" s="186" t="str">
        <f t="shared" si="231"/>
        <v>U</v>
      </c>
      <c r="Y454" s="186"/>
      <c r="Z454" s="98">
        <v>57.5</v>
      </c>
      <c r="AB454" s="90" t="str">
        <f t="shared" si="219"/>
        <v>SAC/HOU</v>
      </c>
      <c r="AC454" s="186">
        <f t="shared" si="232"/>
        <v>2</v>
      </c>
      <c r="AD454" s="186">
        <f t="shared" si="233"/>
        <v>2</v>
      </c>
    </row>
    <row r="455" spans="1:30" x14ac:dyDescent="0.3">
      <c r="A455" s="90">
        <v>191224</v>
      </c>
      <c r="B455" s="91">
        <v>0.52083333333333337</v>
      </c>
      <c r="C455" s="90" t="s">
        <v>425</v>
      </c>
      <c r="D455" s="90" t="s">
        <v>420</v>
      </c>
      <c r="E455" s="116">
        <v>22</v>
      </c>
      <c r="F455" s="116">
        <v>35</v>
      </c>
      <c r="G455" s="116">
        <v>27</v>
      </c>
      <c r="H455" s="116">
        <v>29</v>
      </c>
      <c r="I455" s="116"/>
      <c r="J455" s="116">
        <v>22</v>
      </c>
      <c r="K455" s="116">
        <v>21</v>
      </c>
      <c r="L455" s="116">
        <v>24</v>
      </c>
      <c r="M455" s="116">
        <v>37</v>
      </c>
      <c r="N455" s="116" t="s">
        <v>427</v>
      </c>
      <c r="O455" s="186">
        <f t="shared" si="222"/>
        <v>113</v>
      </c>
      <c r="P455" s="186">
        <f t="shared" si="223"/>
        <v>104</v>
      </c>
      <c r="Q455" s="186" t="str">
        <f t="shared" si="224"/>
        <v>TT</v>
      </c>
      <c r="R455" s="186" t="str">
        <f t="shared" si="225"/>
        <v>HW</v>
      </c>
      <c r="S455" s="186" t="str">
        <f t="shared" si="226"/>
        <v>HW</v>
      </c>
      <c r="T455" s="186" t="str">
        <f t="shared" si="227"/>
        <v>HL</v>
      </c>
      <c r="U455" s="186" t="str">
        <f t="shared" si="228"/>
        <v>U</v>
      </c>
      <c r="V455" s="186" t="str">
        <f t="shared" si="229"/>
        <v>T</v>
      </c>
      <c r="W455" s="186" t="str">
        <f t="shared" si="230"/>
        <v>U</v>
      </c>
      <c r="X455" s="186" t="str">
        <f t="shared" si="231"/>
        <v>O</v>
      </c>
      <c r="Y455" s="186"/>
      <c r="Z455" s="98">
        <v>56</v>
      </c>
      <c r="AB455" s="90" t="str">
        <f t="shared" si="219"/>
        <v>GS/MIN</v>
      </c>
      <c r="AC455" s="186">
        <f t="shared" si="232"/>
        <v>1</v>
      </c>
      <c r="AD455" s="186">
        <f t="shared" si="233"/>
        <v>2</v>
      </c>
    </row>
    <row r="456" spans="1:30" x14ac:dyDescent="0.3">
      <c r="A456" s="90">
        <v>191226</v>
      </c>
      <c r="B456" s="91">
        <v>8.3333333333333329E-2</v>
      </c>
      <c r="C456" s="90" t="s">
        <v>413</v>
      </c>
      <c r="D456" s="90" t="s">
        <v>421</v>
      </c>
      <c r="E456" s="129">
        <v>19</v>
      </c>
      <c r="F456" s="129">
        <v>28</v>
      </c>
      <c r="G456" s="129">
        <v>22</v>
      </c>
      <c r="H456" s="129">
        <v>33</v>
      </c>
      <c r="I456" s="129"/>
      <c r="J456" s="129">
        <v>28</v>
      </c>
      <c r="K456" s="129">
        <v>27</v>
      </c>
      <c r="L456" s="129">
        <v>33</v>
      </c>
      <c r="M456" s="129">
        <v>30</v>
      </c>
      <c r="N456" s="129" t="s">
        <v>427</v>
      </c>
      <c r="O456" s="186">
        <f t="shared" si="222"/>
        <v>102</v>
      </c>
      <c r="P456" s="186">
        <f t="shared" si="223"/>
        <v>118</v>
      </c>
      <c r="Q456" s="186" t="str">
        <f t="shared" si="224"/>
        <v>HL</v>
      </c>
      <c r="R456" s="186" t="str">
        <f t="shared" si="225"/>
        <v>HW</v>
      </c>
      <c r="S456" s="186" t="str">
        <f t="shared" si="226"/>
        <v>HL</v>
      </c>
      <c r="T456" s="186" t="str">
        <f t="shared" si="227"/>
        <v>HW</v>
      </c>
      <c r="U456" s="186" t="str">
        <f t="shared" si="228"/>
        <v>U</v>
      </c>
      <c r="V456" s="186" t="str">
        <f t="shared" si="229"/>
        <v>O</v>
      </c>
      <c r="W456" s="186" t="str">
        <f t="shared" si="230"/>
        <v>O</v>
      </c>
      <c r="X456" s="186" t="str">
        <f t="shared" si="231"/>
        <v>O</v>
      </c>
      <c r="Y456" s="186"/>
      <c r="Z456" s="90">
        <v>53</v>
      </c>
      <c r="AB456" s="90" t="str">
        <f t="shared" si="219"/>
        <v>TOR/BOS</v>
      </c>
      <c r="AC456" s="186">
        <f t="shared" si="232"/>
        <v>3</v>
      </c>
      <c r="AD456" s="186">
        <f t="shared" si="233"/>
        <v>1</v>
      </c>
    </row>
    <row r="457" spans="1:30" x14ac:dyDescent="0.3">
      <c r="A457" s="90">
        <v>191226</v>
      </c>
      <c r="B457" s="91">
        <v>0.1875</v>
      </c>
      <c r="C457" s="90" t="s">
        <v>401</v>
      </c>
      <c r="D457" s="90" t="s">
        <v>423</v>
      </c>
      <c r="E457" s="128">
        <v>38</v>
      </c>
      <c r="F457" s="128">
        <v>31</v>
      </c>
      <c r="G457" s="128">
        <v>31</v>
      </c>
      <c r="H457" s="128">
        <v>21</v>
      </c>
      <c r="I457" s="128"/>
      <c r="J457" s="128">
        <v>30</v>
      </c>
      <c r="K457" s="128">
        <v>18</v>
      </c>
      <c r="L457" s="128">
        <v>25</v>
      </c>
      <c r="M457" s="128">
        <v>36</v>
      </c>
      <c r="N457" s="128" t="s">
        <v>427</v>
      </c>
      <c r="O457" s="186">
        <f t="shared" si="222"/>
        <v>121</v>
      </c>
      <c r="P457" s="186">
        <f t="shared" si="223"/>
        <v>109</v>
      </c>
      <c r="Q457" s="186" t="str">
        <f t="shared" si="224"/>
        <v>HW</v>
      </c>
      <c r="R457" s="186" t="str">
        <f t="shared" si="225"/>
        <v>HW</v>
      </c>
      <c r="S457" s="186" t="str">
        <f t="shared" si="226"/>
        <v>HW</v>
      </c>
      <c r="T457" s="186" t="str">
        <f t="shared" si="227"/>
        <v>HL</v>
      </c>
      <c r="U457" s="186" t="str">
        <f t="shared" si="228"/>
        <v>O</v>
      </c>
      <c r="V457" s="186" t="str">
        <f t="shared" si="229"/>
        <v>U</v>
      </c>
      <c r="W457" s="186" t="str">
        <f t="shared" si="230"/>
        <v>O</v>
      </c>
      <c r="X457" s="186" t="str">
        <f t="shared" si="231"/>
        <v>O</v>
      </c>
      <c r="Y457" s="186"/>
      <c r="Z457" s="90">
        <v>54.5</v>
      </c>
      <c r="AB457" s="90" t="str">
        <f t="shared" si="219"/>
        <v>PHI/MIL</v>
      </c>
      <c r="AC457" s="186">
        <f t="shared" si="232"/>
        <v>3</v>
      </c>
      <c r="AD457" s="186">
        <f t="shared" si="233"/>
        <v>1</v>
      </c>
    </row>
    <row r="458" spans="1:30" x14ac:dyDescent="0.3">
      <c r="A458" s="90">
        <v>191226</v>
      </c>
      <c r="B458" s="91">
        <v>0.29166666666666669</v>
      </c>
      <c r="C458" s="90" t="s">
        <v>425</v>
      </c>
      <c r="D458" s="90" t="s">
        <v>403</v>
      </c>
      <c r="E458" s="126">
        <v>28</v>
      </c>
      <c r="F458" s="126">
        <v>36</v>
      </c>
      <c r="G458" s="126">
        <v>28</v>
      </c>
      <c r="H458" s="126">
        <v>24</v>
      </c>
      <c r="I458" s="126"/>
      <c r="J458" s="126">
        <v>29</v>
      </c>
      <c r="K458" s="126">
        <v>39</v>
      </c>
      <c r="L458" s="126">
        <v>19</v>
      </c>
      <c r="M458" s="126">
        <v>17</v>
      </c>
      <c r="N458" s="126" t="s">
        <v>427</v>
      </c>
      <c r="O458" s="186">
        <f t="shared" si="222"/>
        <v>116</v>
      </c>
      <c r="P458" s="186">
        <f t="shared" si="223"/>
        <v>104</v>
      </c>
      <c r="Q458" s="186" t="str">
        <f t="shared" si="224"/>
        <v>HL</v>
      </c>
      <c r="R458" s="186" t="str">
        <f t="shared" si="225"/>
        <v>HL</v>
      </c>
      <c r="S458" s="186" t="str">
        <f t="shared" si="226"/>
        <v>HW</v>
      </c>
      <c r="T458" s="186" t="str">
        <f t="shared" si="227"/>
        <v>HW</v>
      </c>
      <c r="U458" s="186" t="str">
        <f t="shared" si="228"/>
        <v>U</v>
      </c>
      <c r="V458" s="186" t="str">
        <f t="shared" si="229"/>
        <v>O</v>
      </c>
      <c r="W458" s="186" t="str">
        <f t="shared" si="230"/>
        <v>U</v>
      </c>
      <c r="X458" s="186" t="str">
        <f t="shared" si="231"/>
        <v>U</v>
      </c>
      <c r="Y458" s="186"/>
      <c r="Z458" s="90">
        <v>59</v>
      </c>
      <c r="AB458" s="90" t="str">
        <f t="shared" si="219"/>
        <v>GS/HOU</v>
      </c>
      <c r="AC458" s="186">
        <f t="shared" si="232"/>
        <v>1</v>
      </c>
      <c r="AD458" s="186">
        <f t="shared" si="233"/>
        <v>3</v>
      </c>
    </row>
    <row r="459" spans="1:30" x14ac:dyDescent="0.3">
      <c r="A459" s="90">
        <v>191226</v>
      </c>
      <c r="B459" s="91">
        <v>0.41666666666666669</v>
      </c>
      <c r="C459" s="90" t="s">
        <v>419</v>
      </c>
      <c r="D459" s="90" t="s">
        <v>415</v>
      </c>
      <c r="E459" s="127">
        <v>33</v>
      </c>
      <c r="F459" s="127">
        <v>30</v>
      </c>
      <c r="G459" s="127">
        <v>23</v>
      </c>
      <c r="H459" s="127">
        <v>20</v>
      </c>
      <c r="I459" s="127"/>
      <c r="J459" s="127">
        <v>31</v>
      </c>
      <c r="K459" s="127">
        <v>20</v>
      </c>
      <c r="L459" s="127">
        <v>35</v>
      </c>
      <c r="M459" s="127">
        <v>25</v>
      </c>
      <c r="N459" s="127" t="s">
        <v>427</v>
      </c>
      <c r="O459" s="186">
        <f t="shared" si="222"/>
        <v>106</v>
      </c>
      <c r="P459" s="186">
        <f t="shared" si="223"/>
        <v>111</v>
      </c>
      <c r="Q459" s="186" t="str">
        <f t="shared" si="224"/>
        <v>HW</v>
      </c>
      <c r="R459" s="186" t="str">
        <f t="shared" si="225"/>
        <v>HW</v>
      </c>
      <c r="S459" s="186" t="str">
        <f t="shared" si="226"/>
        <v>HL</v>
      </c>
      <c r="T459" s="186" t="str">
        <f t="shared" si="227"/>
        <v>HL</v>
      </c>
      <c r="U459" s="186" t="str">
        <f t="shared" si="228"/>
        <v>O</v>
      </c>
      <c r="V459" s="186" t="str">
        <f t="shared" si="229"/>
        <v>U</v>
      </c>
      <c r="W459" s="186" t="str">
        <f t="shared" si="230"/>
        <v>T</v>
      </c>
      <c r="X459" s="186" t="str">
        <f t="shared" si="231"/>
        <v>U</v>
      </c>
      <c r="Y459" s="186"/>
      <c r="Z459" s="90">
        <v>58</v>
      </c>
      <c r="AB459" s="90" t="str">
        <f t="shared" si="219"/>
        <v>LAL/LAC</v>
      </c>
      <c r="AC459" s="186">
        <f t="shared" si="232"/>
        <v>1</v>
      </c>
      <c r="AD459" s="186">
        <f t="shared" si="233"/>
        <v>2</v>
      </c>
    </row>
    <row r="460" spans="1:30" x14ac:dyDescent="0.3">
      <c r="A460" s="90">
        <v>191226</v>
      </c>
      <c r="B460" s="91">
        <v>0.52083333333333337</v>
      </c>
      <c r="C460" s="90" t="s">
        <v>408</v>
      </c>
      <c r="D460" s="90" t="s">
        <v>398</v>
      </c>
      <c r="E460" s="125">
        <v>26</v>
      </c>
      <c r="F460" s="125">
        <v>29</v>
      </c>
      <c r="G460" s="125">
        <v>25</v>
      </c>
      <c r="H460" s="125">
        <v>20</v>
      </c>
      <c r="I460" s="125"/>
      <c r="J460" s="125">
        <v>29</v>
      </c>
      <c r="K460" s="125">
        <v>29</v>
      </c>
      <c r="L460" s="125">
        <v>26</v>
      </c>
      <c r="M460" s="125">
        <v>28</v>
      </c>
      <c r="N460" s="125" t="s">
        <v>427</v>
      </c>
      <c r="O460" s="186">
        <f t="shared" si="222"/>
        <v>100</v>
      </c>
      <c r="P460" s="186">
        <f t="shared" si="223"/>
        <v>112</v>
      </c>
      <c r="Q460" s="186" t="str">
        <f t="shared" si="224"/>
        <v>HL</v>
      </c>
      <c r="R460" s="186" t="str">
        <f t="shared" si="225"/>
        <v>TT</v>
      </c>
      <c r="S460" s="186" t="str">
        <f t="shared" si="226"/>
        <v>HL</v>
      </c>
      <c r="T460" s="186" t="str">
        <f t="shared" si="227"/>
        <v>HL</v>
      </c>
      <c r="U460" s="186" t="str">
        <f t="shared" si="228"/>
        <v>U</v>
      </c>
      <c r="V460" s="186" t="str">
        <f t="shared" si="229"/>
        <v>O</v>
      </c>
      <c r="W460" s="186" t="str">
        <f t="shared" si="230"/>
        <v>U</v>
      </c>
      <c r="X460" s="186" t="str">
        <f t="shared" si="231"/>
        <v>U</v>
      </c>
      <c r="Y460" s="186"/>
      <c r="Z460" s="90">
        <v>56</v>
      </c>
      <c r="AB460" s="90" t="str">
        <f t="shared" si="219"/>
        <v>DEN/NO</v>
      </c>
      <c r="AC460" s="186">
        <f t="shared" si="232"/>
        <v>1</v>
      </c>
      <c r="AD460" s="186">
        <f t="shared" si="233"/>
        <v>3</v>
      </c>
    </row>
    <row r="461" spans="1:30" x14ac:dyDescent="0.3">
      <c r="A461" s="90">
        <v>191227</v>
      </c>
      <c r="B461" s="91">
        <v>0.375</v>
      </c>
      <c r="C461" s="90" t="s">
        <v>422</v>
      </c>
      <c r="D461" s="90" t="s">
        <v>414</v>
      </c>
      <c r="E461" s="132">
        <v>31</v>
      </c>
      <c r="F461" s="132">
        <v>37</v>
      </c>
      <c r="G461" s="132">
        <v>38</v>
      </c>
      <c r="H461" s="132">
        <v>26</v>
      </c>
      <c r="I461" s="132"/>
      <c r="J461" s="132">
        <v>23</v>
      </c>
      <c r="K461" s="132">
        <v>25</v>
      </c>
      <c r="L461" s="132">
        <v>28</v>
      </c>
      <c r="M461" s="132">
        <v>26</v>
      </c>
      <c r="N461" s="132" t="s">
        <v>427</v>
      </c>
      <c r="O461" s="186">
        <f t="shared" si="222"/>
        <v>132</v>
      </c>
      <c r="P461" s="186">
        <f t="shared" si="223"/>
        <v>102</v>
      </c>
      <c r="Q461" s="186" t="str">
        <f t="shared" si="224"/>
        <v>HW</v>
      </c>
      <c r="R461" s="186" t="str">
        <f t="shared" si="225"/>
        <v>HW</v>
      </c>
      <c r="S461" s="186" t="str">
        <f t="shared" si="226"/>
        <v>HW</v>
      </c>
      <c r="T461" s="186" t="str">
        <f t="shared" si="227"/>
        <v>TT</v>
      </c>
      <c r="U461" s="186" t="str">
        <f t="shared" si="228"/>
        <v>U</v>
      </c>
      <c r="V461" s="186" t="str">
        <f t="shared" si="229"/>
        <v>O</v>
      </c>
      <c r="W461" s="186" t="str">
        <f t="shared" si="230"/>
        <v>O</v>
      </c>
      <c r="X461" s="186" t="str">
        <f t="shared" si="231"/>
        <v>U</v>
      </c>
      <c r="Y461" s="186"/>
      <c r="Z461" s="90">
        <v>59</v>
      </c>
      <c r="AB461" s="90" t="str">
        <f t="shared" si="219"/>
        <v>DET/WAS</v>
      </c>
      <c r="AC461" s="186">
        <f t="shared" si="232"/>
        <v>2</v>
      </c>
      <c r="AD461" s="186">
        <f t="shared" si="233"/>
        <v>2</v>
      </c>
    </row>
    <row r="462" spans="1:30" x14ac:dyDescent="0.3">
      <c r="A462" s="90">
        <v>191227</v>
      </c>
      <c r="B462" s="91">
        <v>0.39583333333333331</v>
      </c>
      <c r="C462" s="90" t="s">
        <v>407</v>
      </c>
      <c r="D462" s="90" t="s">
        <v>399</v>
      </c>
      <c r="E462" s="130">
        <v>15</v>
      </c>
      <c r="F462" s="130">
        <v>26</v>
      </c>
      <c r="G462" s="130">
        <v>20</v>
      </c>
      <c r="H462" s="130">
        <v>21</v>
      </c>
      <c r="I462" s="130"/>
      <c r="J462" s="130">
        <v>24</v>
      </c>
      <c r="K462" s="130">
        <v>22</v>
      </c>
      <c r="L462" s="130">
        <v>33</v>
      </c>
      <c r="M462" s="130">
        <v>15</v>
      </c>
      <c r="N462" s="130" t="s">
        <v>427</v>
      </c>
      <c r="O462" s="186">
        <f t="shared" si="222"/>
        <v>82</v>
      </c>
      <c r="P462" s="186">
        <f t="shared" si="223"/>
        <v>94</v>
      </c>
      <c r="Q462" s="186" t="str">
        <f t="shared" si="224"/>
        <v>HL</v>
      </c>
      <c r="R462" s="186" t="str">
        <f t="shared" si="225"/>
        <v>HW</v>
      </c>
      <c r="S462" s="186" t="str">
        <f t="shared" si="226"/>
        <v>HL</v>
      </c>
      <c r="T462" s="186" t="str">
        <f t="shared" si="227"/>
        <v>HW</v>
      </c>
      <c r="U462" s="186" t="str">
        <f t="shared" si="228"/>
        <v>U</v>
      </c>
      <c r="V462" s="186" t="str">
        <f t="shared" si="229"/>
        <v>U</v>
      </c>
      <c r="W462" s="186" t="str">
        <f t="shared" si="230"/>
        <v>U</v>
      </c>
      <c r="X462" s="186" t="str">
        <f t="shared" si="231"/>
        <v>U</v>
      </c>
      <c r="Y462" s="186"/>
      <c r="Z462" s="90">
        <v>58</v>
      </c>
      <c r="AB462" s="90" t="str">
        <f t="shared" si="219"/>
        <v>BKN/NYK</v>
      </c>
      <c r="AC462" s="186">
        <f t="shared" si="232"/>
        <v>0</v>
      </c>
      <c r="AD462" s="186">
        <f t="shared" si="233"/>
        <v>4</v>
      </c>
    </row>
    <row r="463" spans="1:30" x14ac:dyDescent="0.3">
      <c r="A463" s="90">
        <v>191227</v>
      </c>
      <c r="B463" s="91">
        <v>0.41666666666666669</v>
      </c>
      <c r="C463" s="90" t="s">
        <v>397</v>
      </c>
      <c r="D463" s="90" t="s">
        <v>426</v>
      </c>
      <c r="E463" s="131">
        <v>20</v>
      </c>
      <c r="F463" s="131">
        <v>32</v>
      </c>
      <c r="G463" s="131">
        <v>27</v>
      </c>
      <c r="H463" s="131">
        <v>23</v>
      </c>
      <c r="I463" s="131"/>
      <c r="J463" s="131">
        <v>24</v>
      </c>
      <c r="K463" s="131">
        <v>23</v>
      </c>
      <c r="L463" s="131">
        <v>27</v>
      </c>
      <c r="M463" s="131">
        <v>24</v>
      </c>
      <c r="N463" s="131" t="s">
        <v>427</v>
      </c>
      <c r="O463" s="186">
        <f t="shared" si="222"/>
        <v>102</v>
      </c>
      <c r="P463" s="186">
        <f t="shared" si="223"/>
        <v>98</v>
      </c>
      <c r="Q463" s="186" t="str">
        <f t="shared" si="224"/>
        <v>HL</v>
      </c>
      <c r="R463" s="186" t="str">
        <f t="shared" si="225"/>
        <v>HW</v>
      </c>
      <c r="S463" s="186" t="str">
        <f t="shared" si="226"/>
        <v>TT</v>
      </c>
      <c r="T463" s="186" t="str">
        <f t="shared" si="227"/>
        <v>HL</v>
      </c>
      <c r="U463" s="186" t="str">
        <f t="shared" si="228"/>
        <v>U</v>
      </c>
      <c r="V463" s="186" t="str">
        <f t="shared" si="229"/>
        <v>U</v>
      </c>
      <c r="W463" s="186" t="str">
        <f t="shared" si="230"/>
        <v>U</v>
      </c>
      <c r="X463" s="186" t="str">
        <f t="shared" si="231"/>
        <v>U</v>
      </c>
      <c r="Y463" s="186"/>
      <c r="Z463" s="90">
        <v>56</v>
      </c>
      <c r="AB463" s="90" t="str">
        <f t="shared" si="219"/>
        <v>DAL/SAS</v>
      </c>
      <c r="AC463" s="186">
        <f t="shared" si="232"/>
        <v>0</v>
      </c>
      <c r="AD463" s="186">
        <f t="shared" si="233"/>
        <v>4</v>
      </c>
    </row>
    <row r="464" spans="1:30" x14ac:dyDescent="0.3">
      <c r="A464" s="90">
        <v>191227</v>
      </c>
      <c r="B464" s="91">
        <v>0.41666666666666669</v>
      </c>
      <c r="C464" s="90" t="s">
        <v>418</v>
      </c>
      <c r="D464" s="90" t="s">
        <v>406</v>
      </c>
      <c r="E464" s="133">
        <v>18</v>
      </c>
      <c r="F464" s="133">
        <v>29</v>
      </c>
      <c r="G464" s="133">
        <v>27</v>
      </c>
      <c r="H464" s="133">
        <v>23</v>
      </c>
      <c r="I464" s="133"/>
      <c r="J464" s="133">
        <v>23</v>
      </c>
      <c r="K464" s="133">
        <v>26</v>
      </c>
      <c r="L464" s="133">
        <v>37</v>
      </c>
      <c r="M464" s="133">
        <v>24</v>
      </c>
      <c r="N464" s="133" t="s">
        <v>427</v>
      </c>
      <c r="O464" s="186">
        <f t="shared" si="222"/>
        <v>97</v>
      </c>
      <c r="P464" s="186">
        <f t="shared" si="223"/>
        <v>110</v>
      </c>
      <c r="Q464" s="186" t="str">
        <f t="shared" si="224"/>
        <v>HL</v>
      </c>
      <c r="R464" s="186" t="str">
        <f t="shared" si="225"/>
        <v>HW</v>
      </c>
      <c r="S464" s="186" t="str">
        <f t="shared" si="226"/>
        <v>HL</v>
      </c>
      <c r="T464" s="186" t="str">
        <f t="shared" si="227"/>
        <v>HL</v>
      </c>
      <c r="U464" s="186" t="str">
        <f t="shared" si="228"/>
        <v>U</v>
      </c>
      <c r="V464" s="186" t="str">
        <f t="shared" si="229"/>
        <v>T</v>
      </c>
      <c r="W464" s="186" t="str">
        <f t="shared" si="230"/>
        <v>O</v>
      </c>
      <c r="X464" s="186" t="str">
        <f t="shared" si="231"/>
        <v>U</v>
      </c>
      <c r="Y464" s="186"/>
      <c r="Z464" s="90">
        <v>55</v>
      </c>
      <c r="AB464" s="90" t="str">
        <f t="shared" si="219"/>
        <v>OKC/MEM</v>
      </c>
      <c r="AC464" s="186">
        <f t="shared" si="232"/>
        <v>1</v>
      </c>
      <c r="AD464" s="186">
        <f t="shared" si="233"/>
        <v>2</v>
      </c>
    </row>
    <row r="465" spans="1:30" x14ac:dyDescent="0.3">
      <c r="A465" s="90">
        <v>191227</v>
      </c>
      <c r="B465" s="91">
        <v>0.5</v>
      </c>
      <c r="C465" s="90" t="s">
        <v>416</v>
      </c>
      <c r="D465" s="90" t="s">
        <v>420</v>
      </c>
      <c r="E465" s="134">
        <v>26</v>
      </c>
      <c r="F465" s="134">
        <v>22</v>
      </c>
      <c r="G465" s="134">
        <v>31</v>
      </c>
      <c r="H465" s="134">
        <v>11</v>
      </c>
      <c r="I465" s="134">
        <v>14</v>
      </c>
      <c r="J465" s="134">
        <v>21</v>
      </c>
      <c r="K465" s="134">
        <v>29</v>
      </c>
      <c r="L465" s="134">
        <v>21</v>
      </c>
      <c r="M465" s="134">
        <v>19</v>
      </c>
      <c r="N465" s="134">
        <v>15</v>
      </c>
      <c r="O465" s="186">
        <f t="shared" si="222"/>
        <v>104</v>
      </c>
      <c r="P465" s="186">
        <f t="shared" si="223"/>
        <v>105</v>
      </c>
      <c r="Q465" s="186" t="str">
        <f t="shared" si="224"/>
        <v>HW</v>
      </c>
      <c r="R465" s="186" t="str">
        <f t="shared" si="225"/>
        <v>HL</v>
      </c>
      <c r="S465" s="186" t="str">
        <f t="shared" si="226"/>
        <v>HW</v>
      </c>
      <c r="T465" s="186" t="str">
        <f t="shared" si="227"/>
        <v>HL</v>
      </c>
      <c r="U465" s="186" t="str">
        <f t="shared" si="228"/>
        <v>U</v>
      </c>
      <c r="V465" s="186" t="str">
        <f t="shared" si="229"/>
        <v>U</v>
      </c>
      <c r="W465" s="186" t="str">
        <f t="shared" si="230"/>
        <v>U</v>
      </c>
      <c r="X465" s="186" t="str">
        <f t="shared" si="231"/>
        <v>U</v>
      </c>
      <c r="Y465" s="186"/>
      <c r="Z465" s="90">
        <v>57</v>
      </c>
      <c r="AB465" s="90" t="str">
        <f t="shared" si="219"/>
        <v>SAC/MIN</v>
      </c>
      <c r="AC465" s="186">
        <f t="shared" si="232"/>
        <v>0</v>
      </c>
      <c r="AD465" s="186">
        <f t="shared" si="233"/>
        <v>4</v>
      </c>
    </row>
    <row r="466" spans="1:30" x14ac:dyDescent="0.3">
      <c r="A466" s="90">
        <v>191227</v>
      </c>
      <c r="B466" s="91">
        <v>0.52083333333333337</v>
      </c>
      <c r="C466" s="90" t="s">
        <v>405</v>
      </c>
      <c r="D466" s="90" t="s">
        <v>417</v>
      </c>
      <c r="E466" s="135">
        <v>37</v>
      </c>
      <c r="F466" s="135">
        <v>25</v>
      </c>
      <c r="G466" s="135">
        <v>34</v>
      </c>
      <c r="H466" s="135">
        <v>25</v>
      </c>
      <c r="I466" s="135"/>
      <c r="J466" s="135">
        <v>22</v>
      </c>
      <c r="K466" s="135">
        <v>30</v>
      </c>
      <c r="L466" s="135">
        <v>24</v>
      </c>
      <c r="M466" s="135">
        <v>39</v>
      </c>
      <c r="N466" s="135" t="s">
        <v>427</v>
      </c>
      <c r="O466" s="186">
        <f t="shared" si="222"/>
        <v>121</v>
      </c>
      <c r="P466" s="186">
        <f t="shared" si="223"/>
        <v>115</v>
      </c>
      <c r="Q466" s="186" t="str">
        <f t="shared" si="224"/>
        <v>HW</v>
      </c>
      <c r="R466" s="186" t="str">
        <f t="shared" si="225"/>
        <v>HL</v>
      </c>
      <c r="S466" s="186" t="str">
        <f t="shared" si="226"/>
        <v>HW</v>
      </c>
      <c r="T466" s="186" t="str">
        <f t="shared" si="227"/>
        <v>HL</v>
      </c>
      <c r="U466" s="186" t="str">
        <f t="shared" si="228"/>
        <v>O</v>
      </c>
      <c r="V466" s="186" t="str">
        <f t="shared" si="229"/>
        <v>U</v>
      </c>
      <c r="W466" s="186" t="str">
        <f t="shared" si="230"/>
        <v>O</v>
      </c>
      <c r="X466" s="186" t="str">
        <f t="shared" si="231"/>
        <v>O</v>
      </c>
      <c r="Y466" s="186"/>
      <c r="Z466" s="90">
        <v>56.5</v>
      </c>
      <c r="AB466" s="90" t="str">
        <f t="shared" si="219"/>
        <v>UTA/POR</v>
      </c>
      <c r="AC466" s="186">
        <f t="shared" si="232"/>
        <v>3</v>
      </c>
      <c r="AD466" s="186">
        <f t="shared" si="233"/>
        <v>1</v>
      </c>
    </row>
    <row r="467" spans="1:30" x14ac:dyDescent="0.3">
      <c r="A467" s="90">
        <v>191228</v>
      </c>
      <c r="B467" s="91">
        <v>0.25</v>
      </c>
      <c r="C467" s="90" t="s">
        <v>421</v>
      </c>
      <c r="D467" s="90" t="s">
        <v>402</v>
      </c>
      <c r="E467" s="137">
        <v>33</v>
      </c>
      <c r="F467" s="137">
        <v>29</v>
      </c>
      <c r="G467" s="137">
        <v>30</v>
      </c>
      <c r="H467" s="137">
        <v>37</v>
      </c>
      <c r="I467" s="137"/>
      <c r="J467" s="137">
        <v>22</v>
      </c>
      <c r="K467" s="137">
        <v>25</v>
      </c>
      <c r="L467" s="137">
        <v>34</v>
      </c>
      <c r="M467" s="137">
        <v>36</v>
      </c>
      <c r="N467" s="137" t="s">
        <v>427</v>
      </c>
      <c r="O467" s="186">
        <f t="shared" si="222"/>
        <v>129</v>
      </c>
      <c r="P467" s="186">
        <f t="shared" si="223"/>
        <v>117</v>
      </c>
      <c r="Q467" s="186" t="str">
        <f t="shared" si="224"/>
        <v>HW</v>
      </c>
      <c r="R467" s="186" t="str">
        <f t="shared" si="225"/>
        <v>HW</v>
      </c>
      <c r="S467" s="186" t="str">
        <f t="shared" si="226"/>
        <v>HL</v>
      </c>
      <c r="T467" s="186" t="str">
        <f t="shared" si="227"/>
        <v>HW</v>
      </c>
      <c r="U467" s="186" t="str">
        <f t="shared" si="228"/>
        <v>O</v>
      </c>
      <c r="V467" s="186" t="str">
        <f t="shared" si="229"/>
        <v>O</v>
      </c>
      <c r="W467" s="186" t="str">
        <f t="shared" si="230"/>
        <v>O</v>
      </c>
      <c r="X467" s="186" t="str">
        <f t="shared" si="231"/>
        <v>O</v>
      </c>
      <c r="Y467" s="186"/>
      <c r="Z467" s="90">
        <v>53.5</v>
      </c>
      <c r="AB467" s="90" t="str">
        <f t="shared" si="219"/>
        <v>BOS/CLE</v>
      </c>
      <c r="AC467" s="186">
        <f t="shared" si="232"/>
        <v>4</v>
      </c>
      <c r="AD467" s="186">
        <f t="shared" si="233"/>
        <v>0</v>
      </c>
    </row>
    <row r="468" spans="1:30" x14ac:dyDescent="0.3">
      <c r="A468" s="90">
        <v>191228</v>
      </c>
      <c r="B468" s="91">
        <v>0.375</v>
      </c>
      <c r="C468" s="90" t="s">
        <v>424</v>
      </c>
      <c r="D468" s="90" t="s">
        <v>401</v>
      </c>
      <c r="E468" s="141">
        <v>19</v>
      </c>
      <c r="F468" s="141">
        <v>27</v>
      </c>
      <c r="G468" s="141">
        <v>25</v>
      </c>
      <c r="H468" s="141">
        <v>27</v>
      </c>
      <c r="I468" s="141"/>
      <c r="J468" s="141">
        <v>21</v>
      </c>
      <c r="K468" s="141">
        <v>26</v>
      </c>
      <c r="L468" s="141">
        <v>21</v>
      </c>
      <c r="M468" s="141">
        <v>29</v>
      </c>
      <c r="N468" s="141" t="s">
        <v>427</v>
      </c>
      <c r="O468" s="186">
        <f t="shared" si="222"/>
        <v>98</v>
      </c>
      <c r="P468" s="186">
        <f t="shared" si="223"/>
        <v>97</v>
      </c>
      <c r="Q468" s="186" t="str">
        <f t="shared" si="224"/>
        <v>HL</v>
      </c>
      <c r="R468" s="186" t="str">
        <f t="shared" si="225"/>
        <v>HW</v>
      </c>
      <c r="S468" s="186" t="str">
        <f t="shared" si="226"/>
        <v>HW</v>
      </c>
      <c r="T468" s="186" t="str">
        <f t="shared" si="227"/>
        <v>HL</v>
      </c>
      <c r="U468" s="186" t="str">
        <f t="shared" si="228"/>
        <v>U</v>
      </c>
      <c r="V468" s="186" t="str">
        <f t="shared" si="229"/>
        <v>O</v>
      </c>
      <c r="W468" s="186" t="str">
        <f t="shared" si="230"/>
        <v>U</v>
      </c>
      <c r="X468" s="186" t="str">
        <f t="shared" si="231"/>
        <v>O</v>
      </c>
      <c r="Y468" s="186"/>
      <c r="Z468" s="90">
        <v>52</v>
      </c>
      <c r="AB468" s="90" t="str">
        <f t="shared" si="219"/>
        <v>ORL/PHI</v>
      </c>
      <c r="AC468" s="186">
        <f t="shared" si="232"/>
        <v>2</v>
      </c>
      <c r="AD468" s="186">
        <f t="shared" si="233"/>
        <v>2</v>
      </c>
    </row>
    <row r="469" spans="1:30" x14ac:dyDescent="0.3">
      <c r="A469" s="90">
        <v>191228</v>
      </c>
      <c r="B469" s="91">
        <v>0.375</v>
      </c>
      <c r="C469" s="90" t="s">
        <v>409</v>
      </c>
      <c r="D469" s="90" t="s">
        <v>418</v>
      </c>
      <c r="E469" s="138">
        <v>18</v>
      </c>
      <c r="F469" s="138">
        <v>25</v>
      </c>
      <c r="G469" s="138">
        <v>22</v>
      </c>
      <c r="H469" s="138">
        <v>29</v>
      </c>
      <c r="I469" s="138">
        <v>8</v>
      </c>
      <c r="J469" s="138">
        <v>26</v>
      </c>
      <c r="K469" s="138">
        <v>27</v>
      </c>
      <c r="L469" s="138">
        <v>19</v>
      </c>
      <c r="M469" s="138">
        <v>22</v>
      </c>
      <c r="N469" s="138">
        <v>10</v>
      </c>
      <c r="O469" s="186">
        <f t="shared" si="222"/>
        <v>102</v>
      </c>
      <c r="P469" s="186">
        <f t="shared" si="223"/>
        <v>104</v>
      </c>
      <c r="Q469" s="186" t="str">
        <f t="shared" si="224"/>
        <v>HL</v>
      </c>
      <c r="R469" s="186" t="str">
        <f t="shared" si="225"/>
        <v>HL</v>
      </c>
      <c r="S469" s="186" t="str">
        <f t="shared" si="226"/>
        <v>HW</v>
      </c>
      <c r="T469" s="186" t="str">
        <f t="shared" si="227"/>
        <v>HW</v>
      </c>
      <c r="U469" s="186" t="str">
        <f t="shared" si="228"/>
        <v>U</v>
      </c>
      <c r="V469" s="186" t="str">
        <f t="shared" si="229"/>
        <v>U</v>
      </c>
      <c r="W469" s="186" t="str">
        <f t="shared" si="230"/>
        <v>U</v>
      </c>
      <c r="X469" s="186" t="str">
        <f t="shared" si="231"/>
        <v>U</v>
      </c>
      <c r="Y469" s="186"/>
      <c r="Z469" s="90">
        <v>53.5</v>
      </c>
      <c r="AB469" s="90" t="str">
        <f t="shared" si="219"/>
        <v>CHA/OKC</v>
      </c>
      <c r="AC469" s="186">
        <f t="shared" si="232"/>
        <v>0</v>
      </c>
      <c r="AD469" s="186">
        <f t="shared" si="233"/>
        <v>4</v>
      </c>
    </row>
    <row r="470" spans="1:30" x14ac:dyDescent="0.3">
      <c r="A470" s="90">
        <v>191228</v>
      </c>
      <c r="B470" s="91">
        <v>0.39583333333333331</v>
      </c>
      <c r="C470" s="90" t="s">
        <v>410</v>
      </c>
      <c r="D470" s="90" t="s">
        <v>423</v>
      </c>
      <c r="E470" s="136">
        <v>19</v>
      </c>
      <c r="F470" s="136">
        <v>21</v>
      </c>
      <c r="G470" s="136">
        <v>23</v>
      </c>
      <c r="H470" s="136">
        <v>23</v>
      </c>
      <c r="I470" s="136"/>
      <c r="J470" s="136">
        <v>32</v>
      </c>
      <c r="K470" s="136">
        <v>31</v>
      </c>
      <c r="L470" s="136">
        <v>21</v>
      </c>
      <c r="M470" s="136">
        <v>28</v>
      </c>
      <c r="N470" s="136" t="s">
        <v>427</v>
      </c>
      <c r="O470" s="186">
        <f t="shared" si="222"/>
        <v>86</v>
      </c>
      <c r="P470" s="186">
        <f t="shared" si="223"/>
        <v>112</v>
      </c>
      <c r="Q470" s="186" t="str">
        <f t="shared" si="224"/>
        <v>HL</v>
      </c>
      <c r="R470" s="186" t="str">
        <f t="shared" si="225"/>
        <v>HL</v>
      </c>
      <c r="S470" s="186" t="str">
        <f t="shared" si="226"/>
        <v>HW</v>
      </c>
      <c r="T470" s="186" t="str">
        <f t="shared" si="227"/>
        <v>HL</v>
      </c>
      <c r="U470" s="186" t="str">
        <f t="shared" si="228"/>
        <v>U</v>
      </c>
      <c r="V470" s="186" t="str">
        <f t="shared" si="229"/>
        <v>U</v>
      </c>
      <c r="W470" s="186" t="str">
        <f t="shared" si="230"/>
        <v>U</v>
      </c>
      <c r="X470" s="186" t="str">
        <f t="shared" si="231"/>
        <v>U</v>
      </c>
      <c r="Y470" s="186"/>
      <c r="Z470" s="90">
        <v>58</v>
      </c>
      <c r="AB470" s="90" t="str">
        <f t="shared" si="219"/>
        <v>ATL/MIL</v>
      </c>
      <c r="AC470" s="186">
        <f t="shared" si="232"/>
        <v>0</v>
      </c>
      <c r="AD470" s="186">
        <f t="shared" si="233"/>
        <v>4</v>
      </c>
    </row>
    <row r="471" spans="1:30" x14ac:dyDescent="0.3">
      <c r="A471" s="90">
        <v>191228</v>
      </c>
      <c r="B471" s="91">
        <v>0.41666666666666669</v>
      </c>
      <c r="C471" s="90" t="s">
        <v>411</v>
      </c>
      <c r="D471" s="90" t="s">
        <v>400</v>
      </c>
      <c r="E471" s="140">
        <v>25</v>
      </c>
      <c r="F471" s="140">
        <v>33</v>
      </c>
      <c r="G471" s="140">
        <v>26</v>
      </c>
      <c r="H471" s="140">
        <v>29</v>
      </c>
      <c r="I471" s="140"/>
      <c r="J471" s="140">
        <v>27</v>
      </c>
      <c r="K471" s="140">
        <v>28</v>
      </c>
      <c r="L471" s="140">
        <v>27</v>
      </c>
      <c r="M471" s="140">
        <v>30</v>
      </c>
      <c r="N471" s="140" t="s">
        <v>427</v>
      </c>
      <c r="O471" s="186">
        <f t="shared" si="222"/>
        <v>113</v>
      </c>
      <c r="P471" s="186">
        <f t="shared" si="223"/>
        <v>112</v>
      </c>
      <c r="Q471" s="186" t="str">
        <f t="shared" si="224"/>
        <v>HL</v>
      </c>
      <c r="R471" s="186" t="str">
        <f t="shared" si="225"/>
        <v>HW</v>
      </c>
      <c r="S471" s="186" t="str">
        <f t="shared" si="226"/>
        <v>HL</v>
      </c>
      <c r="T471" s="186" t="str">
        <f t="shared" si="227"/>
        <v>HL</v>
      </c>
      <c r="U471" s="186" t="str">
        <f t="shared" si="228"/>
        <v>U</v>
      </c>
      <c r="V471" s="186" t="str">
        <f t="shared" si="229"/>
        <v>O</v>
      </c>
      <c r="W471" s="186" t="str">
        <f t="shared" si="230"/>
        <v>U</v>
      </c>
      <c r="X471" s="186" t="str">
        <f t="shared" si="231"/>
        <v>O</v>
      </c>
      <c r="Y471" s="186"/>
      <c r="Z471" s="90">
        <v>54.5</v>
      </c>
      <c r="AB471" s="90" t="str">
        <f t="shared" si="219"/>
        <v>MIA/IND</v>
      </c>
      <c r="AC471" s="186">
        <f t="shared" si="232"/>
        <v>2</v>
      </c>
      <c r="AD471" s="186">
        <f t="shared" si="233"/>
        <v>2</v>
      </c>
    </row>
    <row r="472" spans="1:30" x14ac:dyDescent="0.3">
      <c r="A472" s="90">
        <v>191228</v>
      </c>
      <c r="B472" s="91">
        <v>0.52083333333333337</v>
      </c>
      <c r="C472" s="90" t="s">
        <v>425</v>
      </c>
      <c r="D472" s="90" t="s">
        <v>404</v>
      </c>
      <c r="E472" s="139">
        <v>25</v>
      </c>
      <c r="F472" s="139">
        <v>18</v>
      </c>
      <c r="G472" s="139">
        <v>23</v>
      </c>
      <c r="H472" s="139">
        <v>39</v>
      </c>
      <c r="I472" s="139"/>
      <c r="J472" s="139">
        <v>29</v>
      </c>
      <c r="K472" s="139">
        <v>22</v>
      </c>
      <c r="L472" s="139">
        <v>27</v>
      </c>
      <c r="M472" s="139">
        <v>18</v>
      </c>
      <c r="N472" s="139" t="s">
        <v>427</v>
      </c>
      <c r="O472" s="186">
        <f t="shared" si="222"/>
        <v>105</v>
      </c>
      <c r="P472" s="186">
        <f t="shared" si="223"/>
        <v>96</v>
      </c>
      <c r="Q472" s="186" t="str">
        <f t="shared" si="224"/>
        <v>HL</v>
      </c>
      <c r="R472" s="186" t="str">
        <f t="shared" si="225"/>
        <v>HL</v>
      </c>
      <c r="S472" s="186" t="str">
        <f t="shared" si="226"/>
        <v>HL</v>
      </c>
      <c r="T472" s="186" t="str">
        <f t="shared" si="227"/>
        <v>HW</v>
      </c>
      <c r="U472" s="186" t="str">
        <f t="shared" si="228"/>
        <v>U</v>
      </c>
      <c r="V472" s="186" t="str">
        <f t="shared" si="229"/>
        <v>U</v>
      </c>
      <c r="W472" s="186" t="str">
        <f t="shared" si="230"/>
        <v>U</v>
      </c>
      <c r="X472" s="186" t="str">
        <f t="shared" si="231"/>
        <v>O</v>
      </c>
      <c r="Y472" s="186"/>
      <c r="Z472" s="90">
        <v>55.5</v>
      </c>
      <c r="AB472" s="90" t="str">
        <f t="shared" ref="AB472:AB523" si="234">C472&amp;"/"&amp;D472</f>
        <v>GS/PHO</v>
      </c>
      <c r="AC472" s="186">
        <f t="shared" si="232"/>
        <v>1</v>
      </c>
      <c r="AD472" s="186">
        <f t="shared" si="233"/>
        <v>3</v>
      </c>
    </row>
    <row r="473" spans="1:30" x14ac:dyDescent="0.3">
      <c r="A473" s="90">
        <v>191229</v>
      </c>
      <c r="B473" s="91">
        <v>0.29166666666666669</v>
      </c>
      <c r="C473" s="90" t="s">
        <v>408</v>
      </c>
      <c r="D473" s="90" t="s">
        <v>406</v>
      </c>
      <c r="E473" s="144">
        <v>26</v>
      </c>
      <c r="F473" s="144">
        <v>24</v>
      </c>
      <c r="G473" s="144">
        <v>32</v>
      </c>
      <c r="H473" s="144">
        <v>37</v>
      </c>
      <c r="I473" s="144"/>
      <c r="J473" s="144">
        <v>11</v>
      </c>
      <c r="K473" s="144">
        <v>28</v>
      </c>
      <c r="L473" s="144">
        <v>29</v>
      </c>
      <c r="M473" s="144">
        <v>42</v>
      </c>
      <c r="N473" s="144" t="s">
        <v>427</v>
      </c>
      <c r="O473" s="186">
        <f t="shared" si="222"/>
        <v>119</v>
      </c>
      <c r="P473" s="186">
        <f t="shared" si="223"/>
        <v>110</v>
      </c>
      <c r="Q473" s="186" t="str">
        <f t="shared" si="224"/>
        <v>HW</v>
      </c>
      <c r="R473" s="186" t="str">
        <f t="shared" si="225"/>
        <v>HL</v>
      </c>
      <c r="S473" s="186" t="str">
        <f t="shared" si="226"/>
        <v>HW</v>
      </c>
      <c r="T473" s="186" t="str">
        <f t="shared" si="227"/>
        <v>HL</v>
      </c>
      <c r="U473" s="186" t="str">
        <f t="shared" si="228"/>
        <v>U</v>
      </c>
      <c r="V473" s="186" t="str">
        <f t="shared" si="229"/>
        <v>U</v>
      </c>
      <c r="W473" s="186" t="str">
        <f t="shared" si="230"/>
        <v>O</v>
      </c>
      <c r="X473" s="186" t="str">
        <f t="shared" si="231"/>
        <v>O</v>
      </c>
      <c r="Y473" s="186"/>
      <c r="Z473" s="90">
        <v>54.5</v>
      </c>
      <c r="AB473" s="90" t="str">
        <f t="shared" si="234"/>
        <v>DEN/MEM</v>
      </c>
      <c r="AC473" s="186">
        <f t="shared" si="232"/>
        <v>2</v>
      </c>
      <c r="AD473" s="186">
        <f t="shared" si="233"/>
        <v>2</v>
      </c>
    </row>
    <row r="474" spans="1:30" x14ac:dyDescent="0.3">
      <c r="A474" s="90">
        <v>191229</v>
      </c>
      <c r="B474" s="91">
        <v>0.375</v>
      </c>
      <c r="C474" s="90" t="s">
        <v>421</v>
      </c>
      <c r="D474" s="90" t="s">
        <v>413</v>
      </c>
      <c r="E474" s="142">
        <v>25</v>
      </c>
      <c r="F474" s="142">
        <v>29</v>
      </c>
      <c r="G474" s="142">
        <v>25</v>
      </c>
      <c r="H474" s="142">
        <v>18</v>
      </c>
      <c r="I474" s="142"/>
      <c r="J474" s="142">
        <v>36</v>
      </c>
      <c r="K474" s="142">
        <v>23</v>
      </c>
      <c r="L474" s="142">
        <v>30</v>
      </c>
      <c r="M474" s="142">
        <v>24</v>
      </c>
      <c r="N474" s="142" t="s">
        <v>427</v>
      </c>
      <c r="O474" s="186">
        <f t="shared" si="222"/>
        <v>97</v>
      </c>
      <c r="P474" s="186">
        <f t="shared" si="223"/>
        <v>113</v>
      </c>
      <c r="Q474" s="186" t="str">
        <f t="shared" si="224"/>
        <v>HL</v>
      </c>
      <c r="R474" s="186" t="str">
        <f t="shared" si="225"/>
        <v>HW</v>
      </c>
      <c r="S474" s="186" t="str">
        <f t="shared" si="226"/>
        <v>HL</v>
      </c>
      <c r="T474" s="186" t="str">
        <f t="shared" si="227"/>
        <v>HL</v>
      </c>
      <c r="U474" s="186" t="str">
        <f t="shared" si="228"/>
        <v>O</v>
      </c>
      <c r="V474" s="186" t="str">
        <f t="shared" si="229"/>
        <v>U</v>
      </c>
      <c r="W474" s="186" t="str">
        <f t="shared" si="230"/>
        <v>U</v>
      </c>
      <c r="X474" s="186" t="str">
        <f t="shared" si="231"/>
        <v>U</v>
      </c>
      <c r="Y474" s="186"/>
      <c r="Z474" s="90">
        <v>55.5</v>
      </c>
      <c r="AB474" s="90" t="str">
        <f t="shared" si="234"/>
        <v>BOS/TOR</v>
      </c>
      <c r="AC474" s="186">
        <f t="shared" si="232"/>
        <v>1</v>
      </c>
      <c r="AD474" s="186">
        <f t="shared" si="233"/>
        <v>3</v>
      </c>
    </row>
    <row r="475" spans="1:30" x14ac:dyDescent="0.3">
      <c r="A475" s="90">
        <v>191229</v>
      </c>
      <c r="B475" s="91">
        <v>0.375</v>
      </c>
      <c r="C475" s="90" t="s">
        <v>398</v>
      </c>
      <c r="D475" s="90" t="s">
        <v>400</v>
      </c>
      <c r="E475" s="151">
        <v>19</v>
      </c>
      <c r="F475" s="151">
        <v>29</v>
      </c>
      <c r="G475" s="151">
        <v>38</v>
      </c>
      <c r="H475" s="151">
        <v>34</v>
      </c>
      <c r="I475" s="151"/>
      <c r="J475" s="151">
        <v>32</v>
      </c>
      <c r="K475" s="151">
        <v>13</v>
      </c>
      <c r="L475" s="151">
        <v>23</v>
      </c>
      <c r="M475" s="151">
        <v>30</v>
      </c>
      <c r="N475" s="151" t="s">
        <v>427</v>
      </c>
      <c r="O475" s="186">
        <f t="shared" si="222"/>
        <v>120</v>
      </c>
      <c r="P475" s="186">
        <f t="shared" si="223"/>
        <v>98</v>
      </c>
      <c r="Q475" s="186" t="str">
        <f t="shared" si="224"/>
        <v>HL</v>
      </c>
      <c r="R475" s="186" t="str">
        <f t="shared" si="225"/>
        <v>HW</v>
      </c>
      <c r="S475" s="186" t="str">
        <f t="shared" si="226"/>
        <v>HW</v>
      </c>
      <c r="T475" s="186" t="str">
        <f t="shared" si="227"/>
        <v>HW</v>
      </c>
      <c r="U475" s="186" t="str">
        <f t="shared" si="228"/>
        <v>U</v>
      </c>
      <c r="V475" s="186" t="str">
        <f t="shared" si="229"/>
        <v>U</v>
      </c>
      <c r="W475" s="186" t="str">
        <f t="shared" si="230"/>
        <v>O</v>
      </c>
      <c r="X475" s="186" t="str">
        <f t="shared" si="231"/>
        <v>O</v>
      </c>
      <c r="Y475" s="186"/>
      <c r="Z475" s="90">
        <v>56.5</v>
      </c>
      <c r="AB475" s="90" t="str">
        <f t="shared" si="234"/>
        <v>NO/IND</v>
      </c>
      <c r="AC475" s="186">
        <f t="shared" si="232"/>
        <v>2</v>
      </c>
      <c r="AD475" s="186">
        <f t="shared" si="233"/>
        <v>2</v>
      </c>
    </row>
    <row r="476" spans="1:30" x14ac:dyDescent="0.3">
      <c r="A476" s="90">
        <v>191229</v>
      </c>
      <c r="B476" s="91">
        <v>0.41666666666666669</v>
      </c>
      <c r="C476" s="90" t="s">
        <v>412</v>
      </c>
      <c r="D476" s="90" t="s">
        <v>410</v>
      </c>
      <c r="E476" s="143">
        <v>35</v>
      </c>
      <c r="F476" s="143">
        <v>29</v>
      </c>
      <c r="G476" s="143">
        <v>19</v>
      </c>
      <c r="H476" s="143">
        <v>33</v>
      </c>
      <c r="I476" s="143"/>
      <c r="J476" s="143">
        <v>19</v>
      </c>
      <c r="K476" s="143">
        <v>24</v>
      </c>
      <c r="L476" s="143">
        <v>22</v>
      </c>
      <c r="M476" s="143">
        <v>16</v>
      </c>
      <c r="N476" s="143" t="s">
        <v>427</v>
      </c>
      <c r="O476" s="186">
        <f t="shared" si="222"/>
        <v>116</v>
      </c>
      <c r="P476" s="186">
        <f t="shared" si="223"/>
        <v>81</v>
      </c>
      <c r="Q476" s="186" t="str">
        <f t="shared" si="224"/>
        <v>HW</v>
      </c>
      <c r="R476" s="186" t="str">
        <f t="shared" si="225"/>
        <v>HW</v>
      </c>
      <c r="S476" s="186" t="str">
        <f t="shared" si="226"/>
        <v>HL</v>
      </c>
      <c r="T476" s="186" t="str">
        <f t="shared" si="227"/>
        <v>HW</v>
      </c>
      <c r="U476" s="186" t="str">
        <f t="shared" si="228"/>
        <v>U</v>
      </c>
      <c r="V476" s="186" t="str">
        <f t="shared" si="229"/>
        <v>U</v>
      </c>
      <c r="W476" s="186" t="str">
        <f t="shared" si="230"/>
        <v>U</v>
      </c>
      <c r="X476" s="186" t="str">
        <f t="shared" si="231"/>
        <v>U</v>
      </c>
      <c r="Y476" s="186"/>
      <c r="Z476" s="90">
        <v>55.5</v>
      </c>
      <c r="AB476" s="90" t="str">
        <f t="shared" si="234"/>
        <v>CHI/ATL</v>
      </c>
      <c r="AC476" s="186">
        <f t="shared" si="232"/>
        <v>0</v>
      </c>
      <c r="AD476" s="186">
        <f t="shared" si="233"/>
        <v>4</v>
      </c>
    </row>
    <row r="477" spans="1:30" x14ac:dyDescent="0.3">
      <c r="A477" s="90">
        <v>191229</v>
      </c>
      <c r="B477" s="91">
        <v>0.41666666666666669</v>
      </c>
      <c r="C477" s="90" t="s">
        <v>403</v>
      </c>
      <c r="D477" s="90" t="s">
        <v>407</v>
      </c>
      <c r="E477" s="146">
        <v>42</v>
      </c>
      <c r="F477" s="146">
        <v>21</v>
      </c>
      <c r="G477" s="146">
        <v>25</v>
      </c>
      <c r="H477" s="146">
        <v>20</v>
      </c>
      <c r="I477" s="146"/>
      <c r="J477" s="146">
        <v>20</v>
      </c>
      <c r="K477" s="146">
        <v>34</v>
      </c>
      <c r="L477" s="146">
        <v>25</v>
      </c>
      <c r="M477" s="146">
        <v>19</v>
      </c>
      <c r="N477" s="146" t="s">
        <v>427</v>
      </c>
      <c r="O477" s="186">
        <f t="shared" si="222"/>
        <v>108</v>
      </c>
      <c r="P477" s="186">
        <f t="shared" si="223"/>
        <v>98</v>
      </c>
      <c r="Q477" s="186" t="str">
        <f t="shared" si="224"/>
        <v>HW</v>
      </c>
      <c r="R477" s="186" t="str">
        <f t="shared" si="225"/>
        <v>HL</v>
      </c>
      <c r="S477" s="186" t="str">
        <f t="shared" si="226"/>
        <v>TT</v>
      </c>
      <c r="T477" s="186" t="str">
        <f t="shared" si="227"/>
        <v>HW</v>
      </c>
      <c r="U477" s="186" t="str">
        <f t="shared" si="228"/>
        <v>O</v>
      </c>
      <c r="V477" s="186" t="str">
        <f t="shared" si="229"/>
        <v>U</v>
      </c>
      <c r="W477" s="186" t="str">
        <f t="shared" si="230"/>
        <v>U</v>
      </c>
      <c r="X477" s="186" t="str">
        <f t="shared" si="231"/>
        <v>U</v>
      </c>
      <c r="Y477" s="186"/>
      <c r="Z477" s="90">
        <v>57.5</v>
      </c>
      <c r="AB477" s="90" t="str">
        <f t="shared" si="234"/>
        <v>HOU/BKN</v>
      </c>
      <c r="AC477" s="186">
        <f t="shared" si="232"/>
        <v>1</v>
      </c>
      <c r="AD477" s="186">
        <f t="shared" si="233"/>
        <v>3</v>
      </c>
    </row>
    <row r="478" spans="1:30" x14ac:dyDescent="0.3">
      <c r="A478" s="90">
        <v>191229</v>
      </c>
      <c r="B478" s="91">
        <v>0.41666666666666669</v>
      </c>
      <c r="C478" s="90" t="s">
        <v>411</v>
      </c>
      <c r="D478" s="90" t="s">
        <v>401</v>
      </c>
      <c r="E478" s="148">
        <v>28</v>
      </c>
      <c r="F478" s="148">
        <v>26</v>
      </c>
      <c r="G478" s="148">
        <v>31</v>
      </c>
      <c r="H478" s="148">
        <v>23</v>
      </c>
      <c r="I478" s="148">
        <v>9</v>
      </c>
      <c r="J478" s="148">
        <v>33</v>
      </c>
      <c r="K478" s="148">
        <v>26</v>
      </c>
      <c r="L478" s="148">
        <v>20</v>
      </c>
      <c r="M478" s="148">
        <v>29</v>
      </c>
      <c r="N478" s="148">
        <v>8</v>
      </c>
      <c r="O478" s="186">
        <f t="shared" si="222"/>
        <v>117</v>
      </c>
      <c r="P478" s="186">
        <f t="shared" si="223"/>
        <v>116</v>
      </c>
      <c r="Q478" s="186" t="str">
        <f t="shared" si="224"/>
        <v>HL</v>
      </c>
      <c r="R478" s="186" t="str">
        <f t="shared" si="225"/>
        <v>TT</v>
      </c>
      <c r="S478" s="186" t="str">
        <f t="shared" si="226"/>
        <v>HW</v>
      </c>
      <c r="T478" s="186" t="str">
        <f t="shared" si="227"/>
        <v>HL</v>
      </c>
      <c r="U478" s="186" t="str">
        <f t="shared" si="228"/>
        <v>O</v>
      </c>
      <c r="V478" s="186" t="str">
        <f t="shared" si="229"/>
        <v>U</v>
      </c>
      <c r="W478" s="186" t="str">
        <f t="shared" si="230"/>
        <v>U</v>
      </c>
      <c r="X478" s="186" t="str">
        <f t="shared" si="231"/>
        <v>U</v>
      </c>
      <c r="Y478" s="186"/>
      <c r="Z478" s="90">
        <v>52.5</v>
      </c>
      <c r="AB478" s="90" t="str">
        <f t="shared" si="234"/>
        <v>MIA/PHI</v>
      </c>
      <c r="AC478" s="186">
        <f t="shared" si="232"/>
        <v>1</v>
      </c>
      <c r="AD478" s="186">
        <f t="shared" si="233"/>
        <v>3</v>
      </c>
    </row>
    <row r="479" spans="1:30" x14ac:dyDescent="0.3">
      <c r="A479" s="90">
        <v>191229</v>
      </c>
      <c r="B479" s="91">
        <v>0.41666666666666669</v>
      </c>
      <c r="C479" s="90" t="s">
        <v>420</v>
      </c>
      <c r="D479" s="90" t="s">
        <v>402</v>
      </c>
      <c r="E479" s="150">
        <v>21</v>
      </c>
      <c r="F479" s="150">
        <v>22</v>
      </c>
      <c r="G479" s="150">
        <v>17</v>
      </c>
      <c r="H479" s="150">
        <v>28</v>
      </c>
      <c r="I479" s="150"/>
      <c r="J479" s="150">
        <v>27</v>
      </c>
      <c r="K479" s="150">
        <v>22</v>
      </c>
      <c r="L479" s="150">
        <v>18</v>
      </c>
      <c r="M479" s="150">
        <v>27</v>
      </c>
      <c r="N479" s="150" t="s">
        <v>427</v>
      </c>
      <c r="O479" s="186">
        <f t="shared" si="222"/>
        <v>88</v>
      </c>
      <c r="P479" s="186">
        <f t="shared" si="223"/>
        <v>94</v>
      </c>
      <c r="Q479" s="186" t="str">
        <f t="shared" si="224"/>
        <v>HL</v>
      </c>
      <c r="R479" s="186" t="str">
        <f t="shared" si="225"/>
        <v>TT</v>
      </c>
      <c r="S479" s="186" t="str">
        <f t="shared" si="226"/>
        <v>HL</v>
      </c>
      <c r="T479" s="186" t="str">
        <f t="shared" si="227"/>
        <v>HW</v>
      </c>
      <c r="U479" s="186" t="str">
        <f t="shared" si="228"/>
        <v>U</v>
      </c>
      <c r="V479" s="186" t="str">
        <f t="shared" si="229"/>
        <v>U</v>
      </c>
      <c r="W479" s="186" t="str">
        <f t="shared" si="230"/>
        <v>U</v>
      </c>
      <c r="X479" s="186" t="str">
        <f t="shared" si="231"/>
        <v>O</v>
      </c>
      <c r="Y479" s="186"/>
      <c r="Z479" s="90">
        <v>53.5</v>
      </c>
      <c r="AB479" s="90" t="str">
        <f t="shared" si="234"/>
        <v>MIN/CLE</v>
      </c>
      <c r="AC479" s="186">
        <f t="shared" si="232"/>
        <v>1</v>
      </c>
      <c r="AD479" s="186">
        <f t="shared" si="233"/>
        <v>3</v>
      </c>
    </row>
    <row r="480" spans="1:30" x14ac:dyDescent="0.3">
      <c r="A480" s="90">
        <v>191229</v>
      </c>
      <c r="B480" s="91">
        <v>0.41666666666666669</v>
      </c>
      <c r="C480" s="90" t="s">
        <v>414</v>
      </c>
      <c r="D480" s="90" t="s">
        <v>399</v>
      </c>
      <c r="E480" s="155">
        <v>23</v>
      </c>
      <c r="F480" s="155">
        <v>35</v>
      </c>
      <c r="G480" s="155">
        <v>20</v>
      </c>
      <c r="H480" s="155">
        <v>22</v>
      </c>
      <c r="I480" s="155"/>
      <c r="J480" s="155">
        <v>33</v>
      </c>
      <c r="K480" s="155">
        <v>26</v>
      </c>
      <c r="L480" s="155">
        <v>27</v>
      </c>
      <c r="M480" s="155">
        <v>21</v>
      </c>
      <c r="N480" s="155" t="s">
        <v>427</v>
      </c>
      <c r="O480" s="186">
        <f t="shared" si="222"/>
        <v>100</v>
      </c>
      <c r="P480" s="186">
        <f t="shared" si="223"/>
        <v>107</v>
      </c>
      <c r="Q480" s="186" t="str">
        <f t="shared" si="224"/>
        <v>HL</v>
      </c>
      <c r="R480" s="186" t="str">
        <f t="shared" si="225"/>
        <v>HW</v>
      </c>
      <c r="S480" s="186" t="str">
        <f t="shared" si="226"/>
        <v>HL</v>
      </c>
      <c r="T480" s="186" t="str">
        <f t="shared" si="227"/>
        <v>HW</v>
      </c>
      <c r="U480" s="186" t="str">
        <f t="shared" si="228"/>
        <v>U</v>
      </c>
      <c r="V480" s="186" t="str">
        <f t="shared" si="229"/>
        <v>O</v>
      </c>
      <c r="W480" s="186" t="str">
        <f t="shared" si="230"/>
        <v>U</v>
      </c>
      <c r="X480" s="186" t="str">
        <f t="shared" si="231"/>
        <v>U</v>
      </c>
      <c r="Y480" s="186"/>
      <c r="Z480" s="90">
        <v>58</v>
      </c>
      <c r="AB480" s="90" t="str">
        <f t="shared" si="234"/>
        <v>WAS/NYK</v>
      </c>
      <c r="AC480" s="186">
        <f t="shared" si="232"/>
        <v>1</v>
      </c>
      <c r="AD480" s="186">
        <f t="shared" si="233"/>
        <v>3</v>
      </c>
    </row>
    <row r="481" spans="1:30" x14ac:dyDescent="0.3">
      <c r="A481" s="90">
        <v>191229</v>
      </c>
      <c r="B481" s="91">
        <v>0.4375</v>
      </c>
      <c r="C481" s="90" t="s">
        <v>425</v>
      </c>
      <c r="D481" s="90" t="s">
        <v>397</v>
      </c>
      <c r="E481" s="145">
        <v>41</v>
      </c>
      <c r="F481" s="145">
        <v>33</v>
      </c>
      <c r="G481" s="145">
        <v>24</v>
      </c>
      <c r="H481" s="145">
        <v>23</v>
      </c>
      <c r="I481" s="145"/>
      <c r="J481" s="145">
        <v>41</v>
      </c>
      <c r="K481" s="145">
        <v>31</v>
      </c>
      <c r="L481" s="145">
        <v>45</v>
      </c>
      <c r="M481" s="145">
        <v>24</v>
      </c>
      <c r="N481" s="145" t="s">
        <v>427</v>
      </c>
      <c r="O481" s="186">
        <f t="shared" si="222"/>
        <v>121</v>
      </c>
      <c r="P481" s="186">
        <f t="shared" si="223"/>
        <v>141</v>
      </c>
      <c r="Q481" s="186" t="str">
        <f t="shared" si="224"/>
        <v>TT</v>
      </c>
      <c r="R481" s="186" t="str">
        <f t="shared" si="225"/>
        <v>HW</v>
      </c>
      <c r="S481" s="186" t="str">
        <f t="shared" si="226"/>
        <v>HL</v>
      </c>
      <c r="T481" s="186" t="str">
        <f t="shared" si="227"/>
        <v>HL</v>
      </c>
      <c r="U481" s="186" t="str">
        <f t="shared" si="228"/>
        <v>O</v>
      </c>
      <c r="V481" s="186" t="str">
        <f t="shared" si="229"/>
        <v>O</v>
      </c>
      <c r="W481" s="186" t="str">
        <f t="shared" si="230"/>
        <v>O</v>
      </c>
      <c r="X481" s="186" t="str">
        <f t="shared" si="231"/>
        <v>U</v>
      </c>
      <c r="Y481" s="186"/>
      <c r="Z481" s="90">
        <v>56</v>
      </c>
      <c r="AB481" s="90" t="str">
        <f t="shared" si="234"/>
        <v>GS/DAL</v>
      </c>
      <c r="AC481" s="186">
        <f t="shared" si="232"/>
        <v>3</v>
      </c>
      <c r="AD481" s="186">
        <f t="shared" si="233"/>
        <v>1</v>
      </c>
    </row>
    <row r="482" spans="1:30" x14ac:dyDescent="0.3">
      <c r="A482" s="90">
        <v>191229</v>
      </c>
      <c r="B482" s="91">
        <v>0.4375</v>
      </c>
      <c r="C482" s="90" t="s">
        <v>423</v>
      </c>
      <c r="D482" s="90" t="s">
        <v>424</v>
      </c>
      <c r="E482" s="149">
        <v>37</v>
      </c>
      <c r="F482" s="149">
        <v>19</v>
      </c>
      <c r="G482" s="149">
        <v>22</v>
      </c>
      <c r="H482" s="149">
        <v>33</v>
      </c>
      <c r="I482" s="149"/>
      <c r="J482" s="149">
        <v>25</v>
      </c>
      <c r="K482" s="149">
        <v>21</v>
      </c>
      <c r="L482" s="149">
        <v>28</v>
      </c>
      <c r="M482" s="149">
        <v>26</v>
      </c>
      <c r="N482" s="149" t="s">
        <v>427</v>
      </c>
      <c r="O482" s="186">
        <f t="shared" si="222"/>
        <v>111</v>
      </c>
      <c r="P482" s="186">
        <f t="shared" si="223"/>
        <v>100</v>
      </c>
      <c r="Q482" s="186" t="str">
        <f t="shared" si="224"/>
        <v>HW</v>
      </c>
      <c r="R482" s="186" t="str">
        <f t="shared" si="225"/>
        <v>HL</v>
      </c>
      <c r="S482" s="186" t="str">
        <f t="shared" si="226"/>
        <v>HL</v>
      </c>
      <c r="T482" s="186" t="str">
        <f t="shared" si="227"/>
        <v>HW</v>
      </c>
      <c r="U482" s="186" t="str">
        <f t="shared" si="228"/>
        <v>O</v>
      </c>
      <c r="V482" s="186" t="str">
        <f t="shared" si="229"/>
        <v>U</v>
      </c>
      <c r="W482" s="186" t="str">
        <f t="shared" si="230"/>
        <v>U</v>
      </c>
      <c r="X482" s="186" t="str">
        <f t="shared" si="231"/>
        <v>O</v>
      </c>
      <c r="Y482" s="186"/>
      <c r="Z482" s="90">
        <v>55.5</v>
      </c>
      <c r="AB482" s="90" t="str">
        <f t="shared" si="234"/>
        <v>MIL/ORL</v>
      </c>
      <c r="AC482" s="186">
        <f t="shared" si="232"/>
        <v>2</v>
      </c>
      <c r="AD482" s="186">
        <f t="shared" si="233"/>
        <v>2</v>
      </c>
    </row>
    <row r="483" spans="1:30" x14ac:dyDescent="0.3">
      <c r="A483" s="90">
        <v>191229</v>
      </c>
      <c r="B483" s="91">
        <v>0.4375</v>
      </c>
      <c r="C483" s="90" t="s">
        <v>426</v>
      </c>
      <c r="D483" s="90" t="s">
        <v>422</v>
      </c>
      <c r="E483" s="154">
        <v>30</v>
      </c>
      <c r="F483" s="154">
        <v>29</v>
      </c>
      <c r="G483" s="154">
        <v>42</v>
      </c>
      <c r="H483" s="154">
        <v>35</v>
      </c>
      <c r="I483" s="154"/>
      <c r="J483" s="154">
        <v>28</v>
      </c>
      <c r="K483" s="154">
        <v>27</v>
      </c>
      <c r="L483" s="154">
        <v>25</v>
      </c>
      <c r="M483" s="154">
        <v>29</v>
      </c>
      <c r="N483" s="154" t="s">
        <v>427</v>
      </c>
      <c r="O483" s="186">
        <f t="shared" si="222"/>
        <v>136</v>
      </c>
      <c r="P483" s="186">
        <f t="shared" si="223"/>
        <v>109</v>
      </c>
      <c r="Q483" s="186" t="str">
        <f t="shared" si="224"/>
        <v>HW</v>
      </c>
      <c r="R483" s="186" t="str">
        <f t="shared" si="225"/>
        <v>HW</v>
      </c>
      <c r="S483" s="186" t="str">
        <f t="shared" si="226"/>
        <v>HW</v>
      </c>
      <c r="T483" s="186" t="str">
        <f t="shared" si="227"/>
        <v>HW</v>
      </c>
      <c r="U483" s="186" t="str">
        <f t="shared" si="228"/>
        <v>O</v>
      </c>
      <c r="V483" s="186" t="str">
        <f t="shared" si="229"/>
        <v>U</v>
      </c>
      <c r="W483" s="186" t="str">
        <f t="shared" si="230"/>
        <v>O</v>
      </c>
      <c r="X483" s="186" t="str">
        <f t="shared" si="231"/>
        <v>O</v>
      </c>
      <c r="Y483" s="186"/>
      <c r="Z483" s="90">
        <v>57</v>
      </c>
      <c r="AB483" s="90" t="str">
        <f t="shared" si="234"/>
        <v>SAS/DET</v>
      </c>
      <c r="AC483" s="186">
        <f t="shared" si="232"/>
        <v>3</v>
      </c>
      <c r="AD483" s="186">
        <f t="shared" si="233"/>
        <v>1</v>
      </c>
    </row>
    <row r="484" spans="1:30" x14ac:dyDescent="0.3">
      <c r="A484" s="90">
        <v>191229</v>
      </c>
      <c r="B484" s="91">
        <v>0.45833333333333331</v>
      </c>
      <c r="C484" s="90" t="s">
        <v>416</v>
      </c>
      <c r="D484" s="90" t="s">
        <v>404</v>
      </c>
      <c r="E484" s="153">
        <v>30</v>
      </c>
      <c r="F484" s="153">
        <v>19</v>
      </c>
      <c r="G484" s="153">
        <v>28</v>
      </c>
      <c r="H484" s="153">
        <v>33</v>
      </c>
      <c r="I484" s="153"/>
      <c r="J484" s="153">
        <v>31</v>
      </c>
      <c r="K484" s="153">
        <v>28</v>
      </c>
      <c r="L484" s="153">
        <v>22</v>
      </c>
      <c r="M484" s="153">
        <v>31</v>
      </c>
      <c r="N484" s="153" t="s">
        <v>427</v>
      </c>
      <c r="O484" s="186">
        <f t="shared" si="222"/>
        <v>110</v>
      </c>
      <c r="P484" s="186">
        <f t="shared" si="223"/>
        <v>112</v>
      </c>
      <c r="Q484" s="186" t="str">
        <f t="shared" si="224"/>
        <v>HL</v>
      </c>
      <c r="R484" s="186" t="str">
        <f t="shared" si="225"/>
        <v>HL</v>
      </c>
      <c r="S484" s="186" t="str">
        <f t="shared" si="226"/>
        <v>HW</v>
      </c>
      <c r="T484" s="186" t="str">
        <f t="shared" si="227"/>
        <v>HW</v>
      </c>
      <c r="U484" s="186" t="str">
        <f t="shared" si="228"/>
        <v>O</v>
      </c>
      <c r="V484" s="186" t="str">
        <f t="shared" si="229"/>
        <v>U</v>
      </c>
      <c r="W484" s="186" t="str">
        <f t="shared" si="230"/>
        <v>U</v>
      </c>
      <c r="X484" s="186" t="str">
        <f t="shared" si="231"/>
        <v>O</v>
      </c>
      <c r="Y484" s="186"/>
      <c r="Z484" s="90">
        <v>53.5</v>
      </c>
      <c r="AB484" s="90" t="str">
        <f t="shared" si="234"/>
        <v>SAC/PHO</v>
      </c>
      <c r="AC484" s="186">
        <f t="shared" si="232"/>
        <v>2</v>
      </c>
      <c r="AD484" s="186">
        <f t="shared" si="233"/>
        <v>2</v>
      </c>
    </row>
    <row r="485" spans="1:30" x14ac:dyDescent="0.3">
      <c r="A485" s="90">
        <v>191229</v>
      </c>
      <c r="B485" s="91">
        <v>0.5</v>
      </c>
      <c r="C485" s="90" t="s">
        <v>417</v>
      </c>
      <c r="D485" s="90" t="s">
        <v>419</v>
      </c>
      <c r="E485" s="152">
        <v>32</v>
      </c>
      <c r="F485" s="152">
        <v>32</v>
      </c>
      <c r="G485" s="152">
        <v>31</v>
      </c>
      <c r="H485" s="152">
        <v>25</v>
      </c>
      <c r="I485" s="152"/>
      <c r="J485" s="152">
        <v>34</v>
      </c>
      <c r="K485" s="152">
        <v>37</v>
      </c>
      <c r="L485" s="152">
        <v>32</v>
      </c>
      <c r="M485" s="152">
        <v>25</v>
      </c>
      <c r="N485" s="152" t="s">
        <v>427</v>
      </c>
      <c r="O485" s="186">
        <f t="shared" si="222"/>
        <v>120</v>
      </c>
      <c r="P485" s="186">
        <f t="shared" si="223"/>
        <v>128</v>
      </c>
      <c r="Q485" s="186" t="str">
        <f t="shared" si="224"/>
        <v>HL</v>
      </c>
      <c r="R485" s="186" t="str">
        <f t="shared" si="225"/>
        <v>HL</v>
      </c>
      <c r="S485" s="186" t="str">
        <f t="shared" si="226"/>
        <v>HL</v>
      </c>
      <c r="T485" s="186" t="str">
        <f t="shared" si="227"/>
        <v>TT</v>
      </c>
      <c r="U485" s="186" t="str">
        <f t="shared" si="228"/>
        <v>O</v>
      </c>
      <c r="V485" s="186" t="str">
        <f t="shared" si="229"/>
        <v>O</v>
      </c>
      <c r="W485" s="186" t="str">
        <f t="shared" si="230"/>
        <v>O</v>
      </c>
      <c r="X485" s="186" t="str">
        <f t="shared" si="231"/>
        <v>U</v>
      </c>
      <c r="Y485" s="186"/>
      <c r="Z485" s="90">
        <v>57.5</v>
      </c>
      <c r="AB485" s="90" t="str">
        <f t="shared" si="234"/>
        <v>POR/LAL</v>
      </c>
      <c r="AC485" s="186">
        <f t="shared" si="232"/>
        <v>3</v>
      </c>
      <c r="AD485" s="186">
        <f t="shared" si="233"/>
        <v>1</v>
      </c>
    </row>
    <row r="486" spans="1:30" x14ac:dyDescent="0.3">
      <c r="A486" s="90">
        <v>191229</v>
      </c>
      <c r="B486" s="91">
        <v>0.52083333333333337</v>
      </c>
      <c r="C486" s="90" t="s">
        <v>415</v>
      </c>
      <c r="D486" s="90" t="s">
        <v>405</v>
      </c>
      <c r="E486" s="147">
        <v>32</v>
      </c>
      <c r="F486" s="147">
        <v>31</v>
      </c>
      <c r="G486" s="147">
        <v>29</v>
      </c>
      <c r="H486" s="147">
        <v>15</v>
      </c>
      <c r="I486" s="147"/>
      <c r="J486" s="147">
        <v>22</v>
      </c>
      <c r="K486" s="147">
        <v>39</v>
      </c>
      <c r="L486" s="147">
        <v>32</v>
      </c>
      <c r="M486" s="147">
        <v>27</v>
      </c>
      <c r="N486" s="147" t="s">
        <v>427</v>
      </c>
      <c r="O486" s="186">
        <f t="shared" si="222"/>
        <v>107</v>
      </c>
      <c r="P486" s="186">
        <f t="shared" si="223"/>
        <v>120</v>
      </c>
      <c r="Q486" s="186" t="str">
        <f t="shared" si="224"/>
        <v>HW</v>
      </c>
      <c r="R486" s="186" t="str">
        <f t="shared" si="225"/>
        <v>HL</v>
      </c>
      <c r="S486" s="186" t="str">
        <f t="shared" si="226"/>
        <v>HL</v>
      </c>
      <c r="T486" s="186" t="str">
        <f t="shared" si="227"/>
        <v>HL</v>
      </c>
      <c r="U486" s="186" t="str">
        <f t="shared" si="228"/>
        <v>U</v>
      </c>
      <c r="V486" s="186" t="str">
        <f t="shared" si="229"/>
        <v>O</v>
      </c>
      <c r="W486" s="186" t="str">
        <f t="shared" si="230"/>
        <v>O</v>
      </c>
      <c r="X486" s="186" t="str">
        <f t="shared" si="231"/>
        <v>U</v>
      </c>
      <c r="Y486" s="186"/>
      <c r="Z486" s="90">
        <v>55</v>
      </c>
      <c r="AB486" s="90" t="str">
        <f t="shared" si="234"/>
        <v>LAC/UTA</v>
      </c>
      <c r="AC486" s="186">
        <f t="shared" si="232"/>
        <v>2</v>
      </c>
      <c r="AD486" s="186">
        <f t="shared" si="233"/>
        <v>2</v>
      </c>
    </row>
    <row r="487" spans="1:30" x14ac:dyDescent="0.3">
      <c r="A487" s="90">
        <v>191230</v>
      </c>
      <c r="B487" s="91">
        <v>0.33333333333333331</v>
      </c>
      <c r="C487" s="90" t="s">
        <v>413</v>
      </c>
      <c r="D487" s="90" t="s">
        <v>418</v>
      </c>
      <c r="E487" s="160">
        <v>20</v>
      </c>
      <c r="F487" s="160">
        <v>27</v>
      </c>
      <c r="G487" s="160">
        <v>33</v>
      </c>
      <c r="H487" s="160">
        <v>17</v>
      </c>
      <c r="I487" s="160"/>
      <c r="J487" s="160">
        <v>22</v>
      </c>
      <c r="K487" s="160">
        <v>25</v>
      </c>
      <c r="L487" s="160">
        <v>29</v>
      </c>
      <c r="M487" s="160">
        <v>22</v>
      </c>
      <c r="N487" s="160" t="s">
        <v>427</v>
      </c>
      <c r="O487" s="186">
        <f t="shared" si="222"/>
        <v>97</v>
      </c>
      <c r="P487" s="186">
        <f t="shared" si="223"/>
        <v>98</v>
      </c>
      <c r="Q487" s="186" t="str">
        <f t="shared" si="224"/>
        <v>HL</v>
      </c>
      <c r="R487" s="186" t="str">
        <f t="shared" si="225"/>
        <v>HW</v>
      </c>
      <c r="S487" s="186" t="str">
        <f t="shared" si="226"/>
        <v>HW</v>
      </c>
      <c r="T487" s="186" t="str">
        <f t="shared" si="227"/>
        <v>HL</v>
      </c>
      <c r="U487" s="186" t="str">
        <f t="shared" si="228"/>
        <v>U</v>
      </c>
      <c r="V487" s="186" t="str">
        <f t="shared" si="229"/>
        <v>U</v>
      </c>
      <c r="W487" s="186" t="str">
        <f t="shared" si="230"/>
        <v>O</v>
      </c>
      <c r="X487" s="186" t="str">
        <f t="shared" si="231"/>
        <v>U</v>
      </c>
      <c r="Y487" s="186"/>
      <c r="Z487" s="90">
        <v>54</v>
      </c>
      <c r="AB487" s="90" t="str">
        <f t="shared" si="234"/>
        <v>TOR/OKC</v>
      </c>
      <c r="AC487" s="186">
        <f t="shared" si="232"/>
        <v>1</v>
      </c>
      <c r="AD487" s="186">
        <f t="shared" si="233"/>
        <v>3</v>
      </c>
    </row>
    <row r="488" spans="1:30" x14ac:dyDescent="0.3">
      <c r="A488" s="90">
        <v>191230</v>
      </c>
      <c r="B488" s="91">
        <v>0.41666666666666669</v>
      </c>
      <c r="C488" s="90" t="s">
        <v>398</v>
      </c>
      <c r="D488" s="90" t="s">
        <v>403</v>
      </c>
      <c r="E488" s="159">
        <v>36</v>
      </c>
      <c r="F488" s="159">
        <v>28</v>
      </c>
      <c r="G488" s="159">
        <v>22</v>
      </c>
      <c r="H488" s="159">
        <v>41</v>
      </c>
      <c r="I488" s="159"/>
      <c r="J488" s="159">
        <v>37</v>
      </c>
      <c r="K488" s="159">
        <v>27</v>
      </c>
      <c r="L488" s="159">
        <v>29</v>
      </c>
      <c r="M488" s="159">
        <v>19</v>
      </c>
      <c r="N488" s="159" t="s">
        <v>427</v>
      </c>
      <c r="O488" s="186">
        <f t="shared" si="222"/>
        <v>127</v>
      </c>
      <c r="P488" s="186">
        <f t="shared" si="223"/>
        <v>112</v>
      </c>
      <c r="Q488" s="186" t="str">
        <f t="shared" si="224"/>
        <v>HL</v>
      </c>
      <c r="R488" s="186" t="str">
        <f t="shared" si="225"/>
        <v>HW</v>
      </c>
      <c r="S488" s="186" t="str">
        <f t="shared" si="226"/>
        <v>HL</v>
      </c>
      <c r="T488" s="186" t="str">
        <f t="shared" si="227"/>
        <v>HW</v>
      </c>
      <c r="U488" s="186" t="str">
        <f t="shared" si="228"/>
        <v>O</v>
      </c>
      <c r="V488" s="186" t="str">
        <f t="shared" si="229"/>
        <v>U</v>
      </c>
      <c r="W488" s="186" t="str">
        <f t="shared" si="230"/>
        <v>U</v>
      </c>
      <c r="X488" s="186" t="str">
        <f t="shared" si="231"/>
        <v>O</v>
      </c>
      <c r="Y488" s="186"/>
      <c r="Z488" s="90">
        <v>57.5</v>
      </c>
      <c r="AB488" s="90" t="str">
        <f t="shared" si="234"/>
        <v>NO/HOU</v>
      </c>
      <c r="AC488" s="186">
        <f t="shared" si="232"/>
        <v>2</v>
      </c>
      <c r="AD488" s="186">
        <f t="shared" si="233"/>
        <v>2</v>
      </c>
    </row>
    <row r="489" spans="1:30" x14ac:dyDescent="0.3">
      <c r="A489" s="90">
        <v>191230</v>
      </c>
      <c r="B489" s="91">
        <v>0.41666666666666669</v>
      </c>
      <c r="C489" s="90" t="s">
        <v>408</v>
      </c>
      <c r="D489" s="90" t="s">
        <v>416</v>
      </c>
      <c r="E489" s="156">
        <v>31</v>
      </c>
      <c r="F489" s="156">
        <v>31</v>
      </c>
      <c r="G489" s="156">
        <v>26</v>
      </c>
      <c r="H489" s="156">
        <v>32</v>
      </c>
      <c r="I489" s="156"/>
      <c r="J489" s="156">
        <v>32</v>
      </c>
      <c r="K489" s="156">
        <v>25</v>
      </c>
      <c r="L489" s="156">
        <v>24</v>
      </c>
      <c r="M489" s="156">
        <v>34</v>
      </c>
      <c r="N489" s="156" t="s">
        <v>427</v>
      </c>
      <c r="O489" s="186">
        <f t="shared" si="222"/>
        <v>120</v>
      </c>
      <c r="P489" s="186">
        <f t="shared" si="223"/>
        <v>115</v>
      </c>
      <c r="Q489" s="186" t="str">
        <f t="shared" si="224"/>
        <v>HL</v>
      </c>
      <c r="R489" s="186" t="str">
        <f t="shared" si="225"/>
        <v>HW</v>
      </c>
      <c r="S489" s="186" t="str">
        <f t="shared" si="226"/>
        <v>HW</v>
      </c>
      <c r="T489" s="186" t="str">
        <f t="shared" si="227"/>
        <v>HL</v>
      </c>
      <c r="U489" s="186" t="str">
        <f t="shared" si="228"/>
        <v>O</v>
      </c>
      <c r="V489" s="186" t="str">
        <f t="shared" si="229"/>
        <v>O</v>
      </c>
      <c r="W489" s="186" t="str">
        <f t="shared" si="230"/>
        <v>U</v>
      </c>
      <c r="X489" s="186" t="str">
        <f t="shared" si="231"/>
        <v>O</v>
      </c>
      <c r="Y489" s="186"/>
      <c r="Z489" s="90">
        <v>54</v>
      </c>
      <c r="AB489" s="90" t="str">
        <f t="shared" si="234"/>
        <v>DEN/SAC</v>
      </c>
      <c r="AC489" s="186">
        <f t="shared" si="232"/>
        <v>3</v>
      </c>
      <c r="AD489" s="186">
        <f t="shared" si="233"/>
        <v>1</v>
      </c>
    </row>
    <row r="490" spans="1:30" x14ac:dyDescent="0.3">
      <c r="A490" s="90">
        <v>191230</v>
      </c>
      <c r="B490" s="91">
        <v>0.41666666666666669</v>
      </c>
      <c r="C490" s="90" t="s">
        <v>406</v>
      </c>
      <c r="D490" s="90" t="s">
        <v>409</v>
      </c>
      <c r="E490" s="158">
        <v>31</v>
      </c>
      <c r="F490" s="158">
        <v>25</v>
      </c>
      <c r="G490" s="158">
        <v>30</v>
      </c>
      <c r="H490" s="158">
        <v>31</v>
      </c>
      <c r="I490" s="158"/>
      <c r="J490" s="158">
        <v>20</v>
      </c>
      <c r="K490" s="158">
        <v>26</v>
      </c>
      <c r="L490" s="158">
        <v>29</v>
      </c>
      <c r="M490" s="158">
        <v>29</v>
      </c>
      <c r="N490" s="158" t="s">
        <v>427</v>
      </c>
      <c r="O490" s="186">
        <f t="shared" si="222"/>
        <v>117</v>
      </c>
      <c r="P490" s="186">
        <f t="shared" si="223"/>
        <v>104</v>
      </c>
      <c r="Q490" s="186" t="str">
        <f t="shared" si="224"/>
        <v>HW</v>
      </c>
      <c r="R490" s="186" t="str">
        <f t="shared" si="225"/>
        <v>HL</v>
      </c>
      <c r="S490" s="186" t="str">
        <f t="shared" si="226"/>
        <v>HW</v>
      </c>
      <c r="T490" s="186" t="str">
        <f t="shared" si="227"/>
        <v>HW</v>
      </c>
      <c r="U490" s="186" t="str">
        <f t="shared" si="228"/>
        <v>U</v>
      </c>
      <c r="V490" s="186" t="str">
        <f t="shared" si="229"/>
        <v>U</v>
      </c>
      <c r="W490" s="186" t="str">
        <f t="shared" si="230"/>
        <v>O</v>
      </c>
      <c r="X490" s="186" t="str">
        <f t="shared" si="231"/>
        <v>O</v>
      </c>
      <c r="Y490" s="186"/>
      <c r="Z490" s="90">
        <v>56.5</v>
      </c>
      <c r="AB490" s="90" t="str">
        <f t="shared" si="234"/>
        <v>MEM/CHA</v>
      </c>
      <c r="AC490" s="186">
        <f t="shared" si="232"/>
        <v>2</v>
      </c>
      <c r="AD490" s="186">
        <f t="shared" si="233"/>
        <v>2</v>
      </c>
    </row>
    <row r="491" spans="1:30" x14ac:dyDescent="0.3">
      <c r="A491" s="90">
        <v>191230</v>
      </c>
      <c r="B491" s="91">
        <v>0.47916666666666669</v>
      </c>
      <c r="C491" s="90" t="s">
        <v>419</v>
      </c>
      <c r="D491" s="90" t="s">
        <v>397</v>
      </c>
      <c r="E491" s="157">
        <v>25</v>
      </c>
      <c r="F491" s="157">
        <v>29</v>
      </c>
      <c r="G491" s="157">
        <v>30</v>
      </c>
      <c r="H491" s="157">
        <v>24</v>
      </c>
      <c r="I491" s="157"/>
      <c r="J491" s="157">
        <v>19</v>
      </c>
      <c r="K491" s="157">
        <v>24</v>
      </c>
      <c r="L491" s="157">
        <v>26</v>
      </c>
      <c r="M491" s="157">
        <v>26</v>
      </c>
      <c r="N491" s="157" t="s">
        <v>427</v>
      </c>
      <c r="O491" s="186">
        <f t="shared" si="222"/>
        <v>108</v>
      </c>
      <c r="P491" s="186">
        <f t="shared" si="223"/>
        <v>95</v>
      </c>
      <c r="Q491" s="186" t="str">
        <f t="shared" si="224"/>
        <v>HW</v>
      </c>
      <c r="R491" s="186" t="str">
        <f t="shared" si="225"/>
        <v>HW</v>
      </c>
      <c r="S491" s="186" t="str">
        <f t="shared" si="226"/>
        <v>HW</v>
      </c>
      <c r="T491" s="186" t="str">
        <f t="shared" si="227"/>
        <v>HL</v>
      </c>
      <c r="U491" s="186" t="str">
        <f t="shared" si="228"/>
        <v>U</v>
      </c>
      <c r="V491" s="186" t="str">
        <f t="shared" si="229"/>
        <v>U</v>
      </c>
      <c r="W491" s="186" t="str">
        <f t="shared" si="230"/>
        <v>U</v>
      </c>
      <c r="X491" s="186" t="str">
        <f t="shared" si="231"/>
        <v>U</v>
      </c>
      <c r="Y491" s="186"/>
      <c r="Z491" s="90">
        <v>58</v>
      </c>
      <c r="AB491" s="90" t="str">
        <f t="shared" si="234"/>
        <v>LAL/DAL</v>
      </c>
      <c r="AC491" s="186">
        <f t="shared" si="232"/>
        <v>0</v>
      </c>
      <c r="AD491" s="186">
        <f t="shared" si="233"/>
        <v>4</v>
      </c>
    </row>
    <row r="492" spans="1:30" x14ac:dyDescent="0.3">
      <c r="A492" s="90">
        <v>191231</v>
      </c>
      <c r="B492" s="91">
        <v>0.375</v>
      </c>
      <c r="C492" s="90" t="s">
        <v>424</v>
      </c>
      <c r="D492" s="90" t="s">
        <v>410</v>
      </c>
      <c r="E492" s="163">
        <v>21</v>
      </c>
      <c r="F492" s="163">
        <v>36</v>
      </c>
      <c r="G492" s="163">
        <v>15</v>
      </c>
      <c r="H492" s="163">
        <v>21</v>
      </c>
      <c r="I492" s="163"/>
      <c r="J492" s="163">
        <v>25</v>
      </c>
      <c r="K492" s="163">
        <v>22</v>
      </c>
      <c r="L492" s="163">
        <v>27</v>
      </c>
      <c r="M492" s="163">
        <v>27</v>
      </c>
      <c r="N492" s="163" t="s">
        <v>427</v>
      </c>
      <c r="O492" s="186">
        <f t="shared" si="222"/>
        <v>93</v>
      </c>
      <c r="P492" s="186">
        <f t="shared" si="223"/>
        <v>101</v>
      </c>
      <c r="Q492" s="186" t="str">
        <f t="shared" si="224"/>
        <v>HL</v>
      </c>
      <c r="R492" s="186" t="str">
        <f t="shared" si="225"/>
        <v>HW</v>
      </c>
      <c r="S492" s="186" t="str">
        <f t="shared" si="226"/>
        <v>HL</v>
      </c>
      <c r="T492" s="186" t="str">
        <f t="shared" si="227"/>
        <v>HL</v>
      </c>
      <c r="U492" s="186" t="str">
        <f t="shared" si="228"/>
        <v>U</v>
      </c>
      <c r="V492" s="186" t="str">
        <f t="shared" si="229"/>
        <v>O</v>
      </c>
      <c r="W492" s="186" t="str">
        <f t="shared" si="230"/>
        <v>U</v>
      </c>
      <c r="X492" s="186" t="str">
        <f t="shared" si="231"/>
        <v>U</v>
      </c>
      <c r="Y492" s="186"/>
      <c r="Z492" s="90">
        <v>54</v>
      </c>
      <c r="AB492" s="90" t="str">
        <f t="shared" si="234"/>
        <v>ORL/ATL</v>
      </c>
      <c r="AC492" s="186">
        <f t="shared" si="232"/>
        <v>1</v>
      </c>
      <c r="AD492" s="186">
        <f t="shared" si="233"/>
        <v>3</v>
      </c>
    </row>
    <row r="493" spans="1:30" x14ac:dyDescent="0.3">
      <c r="A493" s="90">
        <v>191231</v>
      </c>
      <c r="B493" s="91">
        <v>0.375</v>
      </c>
      <c r="C493" s="90" t="s">
        <v>414</v>
      </c>
      <c r="D493" s="90" t="s">
        <v>411</v>
      </c>
      <c r="E493" s="166">
        <v>29</v>
      </c>
      <c r="F493" s="166">
        <v>42</v>
      </c>
      <c r="G493" s="166">
        <v>19</v>
      </c>
      <c r="H493" s="166">
        <v>33</v>
      </c>
      <c r="I493" s="166"/>
      <c r="J493" s="166">
        <v>39</v>
      </c>
      <c r="K493" s="166">
        <v>24</v>
      </c>
      <c r="L493" s="166">
        <v>18</v>
      </c>
      <c r="M493" s="166">
        <v>24</v>
      </c>
      <c r="N493" s="166" t="s">
        <v>427</v>
      </c>
      <c r="O493" s="186">
        <f t="shared" si="222"/>
        <v>123</v>
      </c>
      <c r="P493" s="186">
        <f t="shared" si="223"/>
        <v>105</v>
      </c>
      <c r="Q493" s="186" t="str">
        <f t="shared" si="224"/>
        <v>HL</v>
      </c>
      <c r="R493" s="186" t="str">
        <f t="shared" si="225"/>
        <v>HW</v>
      </c>
      <c r="S493" s="186" t="str">
        <f t="shared" si="226"/>
        <v>HW</v>
      </c>
      <c r="T493" s="186" t="str">
        <f t="shared" si="227"/>
        <v>HW</v>
      </c>
      <c r="U493" s="186" t="str">
        <f t="shared" si="228"/>
        <v>O</v>
      </c>
      <c r="V493" s="186" t="str">
        <f t="shared" si="229"/>
        <v>O</v>
      </c>
      <c r="W493" s="186" t="str">
        <f t="shared" si="230"/>
        <v>U</v>
      </c>
      <c r="X493" s="186" t="str">
        <f t="shared" si="231"/>
        <v>U</v>
      </c>
      <c r="Y493" s="186"/>
      <c r="Z493" s="90">
        <v>57.5</v>
      </c>
      <c r="AB493" s="90" t="str">
        <f t="shared" si="234"/>
        <v>WAS/MIA</v>
      </c>
      <c r="AC493" s="186">
        <f t="shared" si="232"/>
        <v>2</v>
      </c>
      <c r="AD493" s="186">
        <f t="shared" si="233"/>
        <v>2</v>
      </c>
    </row>
    <row r="494" spans="1:30" x14ac:dyDescent="0.3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61">
        <v>20</v>
      </c>
      <c r="F494" s="161">
        <v>32</v>
      </c>
      <c r="G494" s="161">
        <v>25</v>
      </c>
      <c r="H494" s="161">
        <v>25</v>
      </c>
      <c r="I494" s="161"/>
      <c r="J494" s="161">
        <v>31</v>
      </c>
      <c r="K494" s="161">
        <v>24</v>
      </c>
      <c r="L494" s="161">
        <v>40</v>
      </c>
      <c r="M494" s="161">
        <v>28</v>
      </c>
      <c r="N494" s="161" t="s">
        <v>427</v>
      </c>
      <c r="O494" s="186">
        <f t="shared" si="222"/>
        <v>102</v>
      </c>
      <c r="P494" s="186">
        <f t="shared" si="223"/>
        <v>123</v>
      </c>
      <c r="Q494" s="186" t="str">
        <f t="shared" si="224"/>
        <v>HL</v>
      </c>
      <c r="R494" s="186" t="str">
        <f t="shared" si="225"/>
        <v>HW</v>
      </c>
      <c r="S494" s="186" t="str">
        <f t="shared" si="226"/>
        <v>HL</v>
      </c>
      <c r="T494" s="186" t="str">
        <f t="shared" si="227"/>
        <v>HL</v>
      </c>
      <c r="U494" s="186" t="str">
        <f t="shared" si="228"/>
        <v>U</v>
      </c>
      <c r="V494" s="186" t="str">
        <f t="shared" si="229"/>
        <v>O</v>
      </c>
      <c r="W494" s="186" t="str">
        <f t="shared" si="230"/>
        <v>O</v>
      </c>
      <c r="X494" s="186" t="str">
        <f t="shared" si="231"/>
        <v>U</v>
      </c>
      <c r="Y494" s="186"/>
      <c r="Z494" s="90">
        <v>55</v>
      </c>
      <c r="AB494" s="90" t="str">
        <f t="shared" si="234"/>
        <v>CHI/MIL</v>
      </c>
      <c r="AC494" s="186">
        <f t="shared" si="232"/>
        <v>2</v>
      </c>
      <c r="AD494" s="186">
        <f t="shared" si="233"/>
        <v>2</v>
      </c>
    </row>
    <row r="495" spans="1:30" x14ac:dyDescent="0.3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62">
        <v>27</v>
      </c>
      <c r="F495" s="162">
        <v>22</v>
      </c>
      <c r="G495" s="162">
        <v>25</v>
      </c>
      <c r="H495" s="162">
        <v>29</v>
      </c>
      <c r="I495" s="162">
        <v>19</v>
      </c>
      <c r="J495" s="162">
        <v>29</v>
      </c>
      <c r="K495" s="162">
        <v>21</v>
      </c>
      <c r="L495" s="162">
        <v>30</v>
      </c>
      <c r="M495" s="162">
        <v>23</v>
      </c>
      <c r="N495" s="162">
        <v>12</v>
      </c>
      <c r="O495" s="186">
        <f t="shared" ref="O495:O517" si="235">SUM(E495:I495)</f>
        <v>122</v>
      </c>
      <c r="P495" s="186">
        <f t="shared" ref="P495:P517" si="236">SUM(J495:N495)</f>
        <v>115</v>
      </c>
      <c r="Q495" s="186" t="str">
        <f t="shared" ref="Q495:Q517" si="237">IF(E495=J495,"TT",IF(E495&gt;J495,"HW","HL"))</f>
        <v>HL</v>
      </c>
      <c r="R495" s="186" t="str">
        <f t="shared" ref="R495:R517" si="238">IF(F495=K495,"TT",IF(F495&gt;K495,"HW","HL"))</f>
        <v>HW</v>
      </c>
      <c r="S495" s="186" t="str">
        <f t="shared" ref="S495:S517" si="239">IF(G495=L495,"TT",IF(G495&gt;L495,"HW","HL"))</f>
        <v>HL</v>
      </c>
      <c r="T495" s="186" t="str">
        <f t="shared" ref="T495:T517" si="240">IF(H495=M495,"TT",IF(H495&gt;M495,"HW","HL"))</f>
        <v>HW</v>
      </c>
      <c r="U495" s="186" t="str">
        <f t="shared" ref="U495:U517" si="241">IF(SUM(E495,J495)=$Z495,"T",IF(SUM(E495,J495)&gt;$Z495,"O","U"))</f>
        <v>O</v>
      </c>
      <c r="V495" s="186" t="str">
        <f t="shared" ref="V495:V517" si="242">IF(SUM(F495,K495)=$Z495,"T",IF(SUM(F495,K495)&gt;$Z495,"O","U"))</f>
        <v>U</v>
      </c>
      <c r="W495" s="186" t="str">
        <f t="shared" ref="W495:W517" si="243">IF(SUM(G495,L495)=$Z495,"T",IF(SUM(G495,L495)&gt;$Z495,"O","U"))</f>
        <v>O</v>
      </c>
      <c r="X495" s="186" t="str">
        <f t="shared" ref="X495:X517" si="244">IF(SUM(H495,M495)=$Z495,"T",IF(SUM(H495,M495)&gt;$Z495,"O","U"))</f>
        <v>U</v>
      </c>
      <c r="Y495" s="186"/>
      <c r="Z495" s="90">
        <v>53.5</v>
      </c>
      <c r="AB495" s="90" t="str">
        <f t="shared" si="234"/>
        <v>MIN/BKN</v>
      </c>
      <c r="AC495" s="186">
        <f t="shared" ref="AC495:AC517" si="245">COUNTIF(U495:X495,"o")</f>
        <v>2</v>
      </c>
      <c r="AD495" s="186">
        <f t="shared" ref="AD495:AD517" si="246">COUNTIF(U495:X495,"u")</f>
        <v>2</v>
      </c>
    </row>
    <row r="496" spans="1:30" x14ac:dyDescent="0.3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65">
        <v>19</v>
      </c>
      <c r="F496" s="165">
        <v>20</v>
      </c>
      <c r="G496" s="165">
        <v>29</v>
      </c>
      <c r="H496" s="165">
        <v>36</v>
      </c>
      <c r="I496" s="165"/>
      <c r="J496" s="165">
        <v>21</v>
      </c>
      <c r="K496" s="165">
        <v>19</v>
      </c>
      <c r="L496" s="165">
        <v>18</v>
      </c>
      <c r="M496" s="165">
        <v>23</v>
      </c>
      <c r="N496" s="165" t="s">
        <v>427</v>
      </c>
      <c r="O496" s="186">
        <f t="shared" si="235"/>
        <v>104</v>
      </c>
      <c r="P496" s="186">
        <f t="shared" si="236"/>
        <v>81</v>
      </c>
      <c r="Q496" s="186" t="str">
        <f t="shared" si="237"/>
        <v>HL</v>
      </c>
      <c r="R496" s="186" t="str">
        <f t="shared" si="238"/>
        <v>HW</v>
      </c>
      <c r="S496" s="186" t="str">
        <f t="shared" si="239"/>
        <v>HW</v>
      </c>
      <c r="T496" s="186" t="str">
        <f t="shared" si="240"/>
        <v>HW</v>
      </c>
      <c r="U496" s="186" t="str">
        <f t="shared" si="241"/>
        <v>U</v>
      </c>
      <c r="V496" s="186" t="str">
        <f t="shared" si="242"/>
        <v>U</v>
      </c>
      <c r="W496" s="186" t="str">
        <f t="shared" si="243"/>
        <v>U</v>
      </c>
      <c r="X496" s="186" t="str">
        <f t="shared" si="244"/>
        <v>O</v>
      </c>
      <c r="Y496" s="186"/>
      <c r="Z496" s="90">
        <v>56</v>
      </c>
      <c r="AB496" s="90" t="str">
        <f t="shared" si="234"/>
        <v>UTA/DET</v>
      </c>
      <c r="AC496" s="186">
        <f t="shared" si="245"/>
        <v>1</v>
      </c>
      <c r="AD496" s="186">
        <f t="shared" si="246"/>
        <v>3</v>
      </c>
    </row>
    <row r="497" spans="1:30" x14ac:dyDescent="0.3">
      <c r="A497" s="90">
        <v>191231</v>
      </c>
      <c r="B497" s="91">
        <v>0.5</v>
      </c>
      <c r="C497" s="90" t="s">
        <v>417</v>
      </c>
      <c r="D497" s="90" t="s">
        <v>404</v>
      </c>
      <c r="E497" s="164">
        <v>38</v>
      </c>
      <c r="F497" s="164">
        <v>26</v>
      </c>
      <c r="G497" s="164">
        <v>25</v>
      </c>
      <c r="H497" s="164">
        <v>27</v>
      </c>
      <c r="I497" s="164"/>
      <c r="J497" s="164">
        <v>19</v>
      </c>
      <c r="K497" s="164">
        <v>36</v>
      </c>
      <c r="L497" s="164">
        <v>28</v>
      </c>
      <c r="M497" s="164">
        <v>39</v>
      </c>
      <c r="N497" s="164" t="s">
        <v>427</v>
      </c>
      <c r="O497" s="186">
        <f t="shared" si="235"/>
        <v>116</v>
      </c>
      <c r="P497" s="186">
        <f t="shared" si="236"/>
        <v>122</v>
      </c>
      <c r="Q497" s="186" t="str">
        <f t="shared" si="237"/>
        <v>HW</v>
      </c>
      <c r="R497" s="186" t="str">
        <f t="shared" si="238"/>
        <v>HL</v>
      </c>
      <c r="S497" s="186" t="str">
        <f t="shared" si="239"/>
        <v>HL</v>
      </c>
      <c r="T497" s="186" t="str">
        <f t="shared" si="240"/>
        <v>HL</v>
      </c>
      <c r="U497" s="186" t="str">
        <f t="shared" si="241"/>
        <v>O</v>
      </c>
      <c r="V497" s="186" t="str">
        <f t="shared" si="242"/>
        <v>O</v>
      </c>
      <c r="W497" s="186" t="str">
        <f t="shared" si="243"/>
        <v>U</v>
      </c>
      <c r="X497" s="186" t="str">
        <f t="shared" si="244"/>
        <v>O</v>
      </c>
      <c r="Y497" s="186"/>
      <c r="Z497" s="90">
        <v>56.5</v>
      </c>
      <c r="AB497" s="90" t="str">
        <f t="shared" si="234"/>
        <v>POR/PHO</v>
      </c>
      <c r="AC497" s="186">
        <f t="shared" si="245"/>
        <v>3</v>
      </c>
      <c r="AD497" s="186">
        <f t="shared" si="246"/>
        <v>1</v>
      </c>
    </row>
    <row r="498" spans="1:30" x14ac:dyDescent="0.3">
      <c r="A498" s="98">
        <v>200101</v>
      </c>
      <c r="B498" s="99">
        <v>0.20833333333333334</v>
      </c>
      <c r="C498" s="98" t="s">
        <v>400</v>
      </c>
      <c r="D498" s="98" t="s">
        <v>401</v>
      </c>
      <c r="E498" s="169">
        <v>29</v>
      </c>
      <c r="F498" s="169">
        <v>38</v>
      </c>
      <c r="G498" s="169">
        <v>29</v>
      </c>
      <c r="H498" s="169">
        <v>19</v>
      </c>
      <c r="I498" s="169"/>
      <c r="J498" s="169">
        <v>27</v>
      </c>
      <c r="K498" s="169">
        <v>16</v>
      </c>
      <c r="L498" s="169">
        <v>23</v>
      </c>
      <c r="M498" s="169">
        <v>31</v>
      </c>
      <c r="N498" s="169" t="s">
        <v>427</v>
      </c>
      <c r="O498" s="186">
        <f t="shared" si="235"/>
        <v>115</v>
      </c>
      <c r="P498" s="186">
        <f t="shared" si="236"/>
        <v>97</v>
      </c>
      <c r="Q498" s="186" t="str">
        <f t="shared" si="237"/>
        <v>HW</v>
      </c>
      <c r="R498" s="186" t="str">
        <f t="shared" si="238"/>
        <v>HW</v>
      </c>
      <c r="S498" s="186" t="str">
        <f t="shared" si="239"/>
        <v>HW</v>
      </c>
      <c r="T498" s="186" t="str">
        <f t="shared" si="240"/>
        <v>HL</v>
      </c>
      <c r="U498" s="186" t="str">
        <f t="shared" si="241"/>
        <v>O</v>
      </c>
      <c r="V498" s="186" t="str">
        <f t="shared" si="242"/>
        <v>O</v>
      </c>
      <c r="W498" s="186" t="str">
        <f t="shared" si="243"/>
        <v>U</v>
      </c>
      <c r="X498" s="186" t="str">
        <f t="shared" si="244"/>
        <v>U</v>
      </c>
      <c r="Y498" s="186"/>
      <c r="Z498" s="186">
        <v>53</v>
      </c>
      <c r="AB498" s="186" t="str">
        <f t="shared" si="234"/>
        <v>IND/PHI</v>
      </c>
      <c r="AC498" s="186">
        <f t="shared" si="245"/>
        <v>2</v>
      </c>
      <c r="AD498" s="186">
        <f t="shared" si="246"/>
        <v>2</v>
      </c>
    </row>
    <row r="499" spans="1:30" x14ac:dyDescent="0.3">
      <c r="A499" s="98">
        <v>200101</v>
      </c>
      <c r="B499" s="99">
        <v>0.20833333333333334</v>
      </c>
      <c r="C499" s="98" t="s">
        <v>409</v>
      </c>
      <c r="D499" s="98" t="s">
        <v>421</v>
      </c>
      <c r="E499" s="167">
        <v>18</v>
      </c>
      <c r="F499" s="167">
        <v>25</v>
      </c>
      <c r="G499" s="167">
        <v>30</v>
      </c>
      <c r="H499" s="167">
        <v>19</v>
      </c>
      <c r="I499" s="167"/>
      <c r="J499" s="167">
        <v>24</v>
      </c>
      <c r="K499" s="167">
        <v>26</v>
      </c>
      <c r="L499" s="167">
        <v>30</v>
      </c>
      <c r="M499" s="167">
        <v>29</v>
      </c>
      <c r="N499" s="167" t="s">
        <v>427</v>
      </c>
      <c r="O499" s="186">
        <f t="shared" si="235"/>
        <v>92</v>
      </c>
      <c r="P499" s="186">
        <f t="shared" si="236"/>
        <v>109</v>
      </c>
      <c r="Q499" s="186" t="str">
        <f t="shared" si="237"/>
        <v>HL</v>
      </c>
      <c r="R499" s="186" t="str">
        <f t="shared" si="238"/>
        <v>HL</v>
      </c>
      <c r="S499" s="186" t="str">
        <f t="shared" si="239"/>
        <v>TT</v>
      </c>
      <c r="T499" s="186" t="str">
        <f t="shared" si="240"/>
        <v>HL</v>
      </c>
      <c r="U499" s="186" t="str">
        <f t="shared" si="241"/>
        <v>U</v>
      </c>
      <c r="V499" s="186" t="str">
        <f t="shared" si="242"/>
        <v>U</v>
      </c>
      <c r="W499" s="186" t="str">
        <f t="shared" si="243"/>
        <v>O</v>
      </c>
      <c r="X499" s="186" t="str">
        <f t="shared" si="244"/>
        <v>U</v>
      </c>
      <c r="Y499" s="186"/>
      <c r="Z499" s="186">
        <v>52.5</v>
      </c>
      <c r="AB499" s="186" t="str">
        <f t="shared" si="234"/>
        <v>CHA/BOS</v>
      </c>
      <c r="AC499" s="186">
        <f t="shared" si="245"/>
        <v>1</v>
      </c>
      <c r="AD499" s="186">
        <f t="shared" si="246"/>
        <v>3</v>
      </c>
    </row>
    <row r="500" spans="1:30" x14ac:dyDescent="0.3">
      <c r="A500" s="98">
        <v>200101</v>
      </c>
      <c r="B500" s="99">
        <v>0.29166666666666669</v>
      </c>
      <c r="C500" s="98" t="s">
        <v>416</v>
      </c>
      <c r="D500" s="98" t="s">
        <v>415</v>
      </c>
      <c r="E500" s="171">
        <v>23</v>
      </c>
      <c r="F500" s="171">
        <v>17</v>
      </c>
      <c r="G500" s="171">
        <v>33</v>
      </c>
      <c r="H500" s="171">
        <v>14</v>
      </c>
      <c r="I500" s="171"/>
      <c r="J500" s="171">
        <v>28</v>
      </c>
      <c r="K500" s="171">
        <v>29</v>
      </c>
      <c r="L500" s="171">
        <v>31</v>
      </c>
      <c r="M500" s="171">
        <v>17</v>
      </c>
      <c r="N500" s="171" t="s">
        <v>427</v>
      </c>
      <c r="O500" s="186">
        <f t="shared" si="235"/>
        <v>87</v>
      </c>
      <c r="P500" s="186">
        <f t="shared" si="236"/>
        <v>105</v>
      </c>
      <c r="Q500" s="186" t="str">
        <f t="shared" si="237"/>
        <v>HL</v>
      </c>
      <c r="R500" s="186" t="str">
        <f t="shared" si="238"/>
        <v>HL</v>
      </c>
      <c r="S500" s="186" t="str">
        <f t="shared" si="239"/>
        <v>HW</v>
      </c>
      <c r="T500" s="186" t="str">
        <f t="shared" si="240"/>
        <v>HL</v>
      </c>
      <c r="U500" s="186" t="str">
        <f t="shared" si="241"/>
        <v>U</v>
      </c>
      <c r="V500" s="186" t="str">
        <f t="shared" si="242"/>
        <v>U</v>
      </c>
      <c r="W500" s="186" t="str">
        <f t="shared" si="243"/>
        <v>O</v>
      </c>
      <c r="X500" s="186" t="str">
        <f t="shared" si="244"/>
        <v>U</v>
      </c>
      <c r="Y500" s="186"/>
      <c r="Z500" s="186">
        <v>57</v>
      </c>
      <c r="AB500" s="186" t="str">
        <f t="shared" si="234"/>
        <v>SAC/LAC</v>
      </c>
      <c r="AC500" s="186">
        <f t="shared" si="245"/>
        <v>1</v>
      </c>
      <c r="AD500" s="186">
        <f t="shared" si="246"/>
        <v>3</v>
      </c>
    </row>
    <row r="501" spans="1:30" x14ac:dyDescent="0.3">
      <c r="A501" s="98">
        <v>200101</v>
      </c>
      <c r="B501" s="99">
        <v>0.375</v>
      </c>
      <c r="C501" s="98" t="s">
        <v>403</v>
      </c>
      <c r="D501" s="98" t="s">
        <v>408</v>
      </c>
      <c r="E501" s="168">
        <v>38</v>
      </c>
      <c r="F501" s="168">
        <v>31</v>
      </c>
      <c r="G501" s="168">
        <v>23</v>
      </c>
      <c r="H501" s="168">
        <v>38</v>
      </c>
      <c r="I501" s="168"/>
      <c r="J501" s="168">
        <v>26</v>
      </c>
      <c r="K501" s="168">
        <v>26</v>
      </c>
      <c r="L501" s="168">
        <v>37</v>
      </c>
      <c r="M501" s="168">
        <v>15</v>
      </c>
      <c r="N501" s="168" t="s">
        <v>427</v>
      </c>
      <c r="O501" s="186">
        <f t="shared" si="235"/>
        <v>130</v>
      </c>
      <c r="P501" s="186">
        <f t="shared" si="236"/>
        <v>104</v>
      </c>
      <c r="Q501" s="186" t="str">
        <f t="shared" si="237"/>
        <v>HW</v>
      </c>
      <c r="R501" s="186" t="str">
        <f t="shared" si="238"/>
        <v>HW</v>
      </c>
      <c r="S501" s="186" t="str">
        <f t="shared" si="239"/>
        <v>HL</v>
      </c>
      <c r="T501" s="186" t="str">
        <f t="shared" si="240"/>
        <v>HW</v>
      </c>
      <c r="U501" s="186" t="str">
        <f t="shared" si="241"/>
        <v>O</v>
      </c>
      <c r="V501" s="186" t="str">
        <f t="shared" si="242"/>
        <v>U</v>
      </c>
      <c r="W501" s="186" t="str">
        <f t="shared" si="243"/>
        <v>O</v>
      </c>
      <c r="X501" s="186" t="str">
        <f t="shared" si="244"/>
        <v>U</v>
      </c>
      <c r="Y501" s="186"/>
      <c r="Z501" s="186">
        <v>58</v>
      </c>
      <c r="AB501" s="186" t="str">
        <f t="shared" si="234"/>
        <v>HOU/DEN</v>
      </c>
      <c r="AC501" s="186">
        <f t="shared" si="245"/>
        <v>2</v>
      </c>
      <c r="AD501" s="186">
        <f t="shared" si="246"/>
        <v>2</v>
      </c>
    </row>
    <row r="502" spans="1:30" x14ac:dyDescent="0.3">
      <c r="A502" s="98">
        <v>200101</v>
      </c>
      <c r="B502" s="99">
        <v>0.375</v>
      </c>
      <c r="C502" s="98" t="s">
        <v>426</v>
      </c>
      <c r="D502" s="98" t="s">
        <v>425</v>
      </c>
      <c r="E502" s="172">
        <v>25</v>
      </c>
      <c r="F502" s="172">
        <v>28</v>
      </c>
      <c r="G502" s="172">
        <v>24</v>
      </c>
      <c r="H502" s="172">
        <v>23</v>
      </c>
      <c r="I502" s="172">
        <v>17</v>
      </c>
      <c r="J502" s="172">
        <v>32</v>
      </c>
      <c r="K502" s="172">
        <v>23</v>
      </c>
      <c r="L502" s="172">
        <v>20</v>
      </c>
      <c r="M502" s="172">
        <v>25</v>
      </c>
      <c r="N502" s="172">
        <v>13</v>
      </c>
      <c r="O502" s="186">
        <f t="shared" si="235"/>
        <v>117</v>
      </c>
      <c r="P502" s="186">
        <f t="shared" si="236"/>
        <v>113</v>
      </c>
      <c r="Q502" s="186" t="str">
        <f t="shared" si="237"/>
        <v>HL</v>
      </c>
      <c r="R502" s="186" t="str">
        <f t="shared" si="238"/>
        <v>HW</v>
      </c>
      <c r="S502" s="186" t="str">
        <f t="shared" si="239"/>
        <v>HW</v>
      </c>
      <c r="T502" s="186" t="str">
        <f t="shared" si="240"/>
        <v>HL</v>
      </c>
      <c r="U502" s="186" t="str">
        <f t="shared" si="241"/>
        <v>O</v>
      </c>
      <c r="V502" s="186" t="str">
        <f t="shared" si="242"/>
        <v>U</v>
      </c>
      <c r="W502" s="186" t="str">
        <f t="shared" si="243"/>
        <v>U</v>
      </c>
      <c r="X502" s="186" t="str">
        <f t="shared" si="244"/>
        <v>U</v>
      </c>
      <c r="Y502" s="186"/>
      <c r="Z502" s="186">
        <v>56</v>
      </c>
      <c r="AB502" s="186" t="str">
        <f t="shared" si="234"/>
        <v>SAS/GS</v>
      </c>
      <c r="AC502" s="186">
        <f t="shared" si="245"/>
        <v>1</v>
      </c>
      <c r="AD502" s="186">
        <f t="shared" si="246"/>
        <v>3</v>
      </c>
    </row>
    <row r="503" spans="1:30" x14ac:dyDescent="0.3">
      <c r="A503" s="98">
        <v>200101</v>
      </c>
      <c r="B503" s="99">
        <v>0.375</v>
      </c>
      <c r="C503" s="98" t="s">
        <v>413</v>
      </c>
      <c r="D503" s="98" t="s">
        <v>402</v>
      </c>
      <c r="E503" s="173">
        <v>27</v>
      </c>
      <c r="F503" s="173">
        <v>32</v>
      </c>
      <c r="G503" s="173">
        <v>27</v>
      </c>
      <c r="H503" s="173">
        <v>31</v>
      </c>
      <c r="I503" s="173"/>
      <c r="J503" s="173">
        <v>25</v>
      </c>
      <c r="K503" s="173">
        <v>18</v>
      </c>
      <c r="L503" s="173">
        <v>26</v>
      </c>
      <c r="M503" s="173">
        <v>28</v>
      </c>
      <c r="N503" s="173" t="s">
        <v>427</v>
      </c>
      <c r="O503" s="186">
        <f t="shared" si="235"/>
        <v>117</v>
      </c>
      <c r="P503" s="186">
        <f t="shared" si="236"/>
        <v>97</v>
      </c>
      <c r="Q503" s="186" t="str">
        <f t="shared" si="237"/>
        <v>HW</v>
      </c>
      <c r="R503" s="186" t="str">
        <f t="shared" si="238"/>
        <v>HW</v>
      </c>
      <c r="S503" s="186" t="str">
        <f t="shared" si="239"/>
        <v>HW</v>
      </c>
      <c r="T503" s="186" t="str">
        <f t="shared" si="240"/>
        <v>HW</v>
      </c>
      <c r="U503" s="186" t="str">
        <f t="shared" si="241"/>
        <v>U</v>
      </c>
      <c r="V503" s="186" t="str">
        <f t="shared" si="242"/>
        <v>U</v>
      </c>
      <c r="W503" s="186" t="str">
        <f t="shared" si="243"/>
        <v>U</v>
      </c>
      <c r="X503" s="186" t="str">
        <f t="shared" si="244"/>
        <v>O</v>
      </c>
      <c r="Y503" s="186"/>
      <c r="Z503" s="186">
        <v>53.5</v>
      </c>
      <c r="AB503" s="186" t="str">
        <f t="shared" si="234"/>
        <v>TOR/CLE</v>
      </c>
      <c r="AC503" s="186">
        <f t="shared" si="245"/>
        <v>1</v>
      </c>
      <c r="AD503" s="186">
        <f t="shared" si="246"/>
        <v>3</v>
      </c>
    </row>
    <row r="504" spans="1:30" x14ac:dyDescent="0.3">
      <c r="A504" s="98">
        <v>200101</v>
      </c>
      <c r="B504" s="99">
        <v>0.41666666666666669</v>
      </c>
      <c r="C504" s="98" t="s">
        <v>418</v>
      </c>
      <c r="D504" s="98" t="s">
        <v>397</v>
      </c>
      <c r="E504" s="170">
        <v>20</v>
      </c>
      <c r="F504" s="170">
        <v>30</v>
      </c>
      <c r="G504" s="170">
        <v>27</v>
      </c>
      <c r="H504" s="170">
        <v>29</v>
      </c>
      <c r="I504" s="170"/>
      <c r="J504" s="170">
        <v>32</v>
      </c>
      <c r="K504" s="170">
        <v>19</v>
      </c>
      <c r="L504" s="170">
        <v>27</v>
      </c>
      <c r="M504" s="170">
        <v>23</v>
      </c>
      <c r="N504" s="170" t="s">
        <v>427</v>
      </c>
      <c r="O504" s="186">
        <f t="shared" si="235"/>
        <v>106</v>
      </c>
      <c r="P504" s="186">
        <f t="shared" si="236"/>
        <v>101</v>
      </c>
      <c r="Q504" s="186" t="str">
        <f t="shared" si="237"/>
        <v>HL</v>
      </c>
      <c r="R504" s="186" t="str">
        <f t="shared" si="238"/>
        <v>HW</v>
      </c>
      <c r="S504" s="186" t="str">
        <f t="shared" si="239"/>
        <v>TT</v>
      </c>
      <c r="T504" s="186" t="str">
        <f t="shared" si="240"/>
        <v>HW</v>
      </c>
      <c r="U504" s="186" t="str">
        <f t="shared" si="241"/>
        <v>U</v>
      </c>
      <c r="V504" s="186" t="str">
        <f t="shared" si="242"/>
        <v>U</v>
      </c>
      <c r="W504" s="186" t="str">
        <f t="shared" si="243"/>
        <v>U</v>
      </c>
      <c r="X504" s="186" t="str">
        <f t="shared" si="244"/>
        <v>U</v>
      </c>
      <c r="Y504" s="186"/>
      <c r="Z504" s="186">
        <v>56.5</v>
      </c>
      <c r="AB504" s="186" t="str">
        <f t="shared" si="234"/>
        <v>OKC/DAL</v>
      </c>
      <c r="AC504" s="186">
        <f t="shared" si="245"/>
        <v>0</v>
      </c>
      <c r="AD504" s="186">
        <f t="shared" si="246"/>
        <v>4</v>
      </c>
    </row>
    <row r="505" spans="1:30" x14ac:dyDescent="0.3">
      <c r="A505" s="98">
        <v>200102</v>
      </c>
      <c r="B505" s="99">
        <v>0.33333333333333331</v>
      </c>
      <c r="C505" s="98" t="s">
        <v>414</v>
      </c>
      <c r="D505" s="98" t="s">
        <v>424</v>
      </c>
      <c r="E505" s="177">
        <v>29</v>
      </c>
      <c r="F505" s="177">
        <v>29</v>
      </c>
      <c r="G505" s="177">
        <v>25</v>
      </c>
      <c r="H505" s="177">
        <v>18</v>
      </c>
      <c r="I505" s="177"/>
      <c r="J505" s="177">
        <v>31</v>
      </c>
      <c r="K505" s="177">
        <v>31</v>
      </c>
      <c r="L505" s="177">
        <v>32</v>
      </c>
      <c r="M505" s="177">
        <v>28</v>
      </c>
      <c r="N505" s="177" t="s">
        <v>427</v>
      </c>
      <c r="O505" s="186">
        <f t="shared" si="235"/>
        <v>101</v>
      </c>
      <c r="P505" s="186">
        <f t="shared" si="236"/>
        <v>122</v>
      </c>
      <c r="Q505" s="186" t="str">
        <f t="shared" si="237"/>
        <v>HL</v>
      </c>
      <c r="R505" s="186" t="str">
        <f t="shared" si="238"/>
        <v>HL</v>
      </c>
      <c r="S505" s="186" t="str">
        <f t="shared" si="239"/>
        <v>HL</v>
      </c>
      <c r="T505" s="186" t="str">
        <f t="shared" si="240"/>
        <v>HL</v>
      </c>
      <c r="U505" s="186" t="str">
        <f t="shared" si="241"/>
        <v>O</v>
      </c>
      <c r="V505" s="186" t="str">
        <f t="shared" si="242"/>
        <v>O</v>
      </c>
      <c r="W505" s="186" t="str">
        <f t="shared" si="243"/>
        <v>T</v>
      </c>
      <c r="X505" s="186" t="str">
        <f t="shared" si="244"/>
        <v>U</v>
      </c>
      <c r="Y505" s="186"/>
      <c r="Z505" s="186">
        <v>57</v>
      </c>
      <c r="AB505" s="186" t="str">
        <f t="shared" si="234"/>
        <v>WAS/ORL</v>
      </c>
      <c r="AC505" s="186">
        <f t="shared" si="245"/>
        <v>2</v>
      </c>
      <c r="AD505" s="186">
        <f t="shared" si="246"/>
        <v>1</v>
      </c>
    </row>
    <row r="506" spans="1:30" x14ac:dyDescent="0.3">
      <c r="A506" s="98">
        <v>200102</v>
      </c>
      <c r="B506" s="99">
        <v>0.39583333333333331</v>
      </c>
      <c r="C506" s="98" t="s">
        <v>399</v>
      </c>
      <c r="D506" s="98" t="s">
        <v>417</v>
      </c>
      <c r="E506" s="176">
        <v>25</v>
      </c>
      <c r="F506" s="176">
        <v>26</v>
      </c>
      <c r="G506" s="176">
        <v>32</v>
      </c>
      <c r="H506" s="176">
        <v>34</v>
      </c>
      <c r="I506" s="176"/>
      <c r="J506" s="176">
        <v>27</v>
      </c>
      <c r="K506" s="176">
        <v>21</v>
      </c>
      <c r="L506" s="176">
        <v>29</v>
      </c>
      <c r="M506" s="176">
        <v>16</v>
      </c>
      <c r="N506" s="176" t="s">
        <v>427</v>
      </c>
      <c r="O506" s="186">
        <f t="shared" si="235"/>
        <v>117</v>
      </c>
      <c r="P506" s="186">
        <f t="shared" si="236"/>
        <v>93</v>
      </c>
      <c r="Q506" s="186" t="str">
        <f t="shared" si="237"/>
        <v>HL</v>
      </c>
      <c r="R506" s="186" t="str">
        <f t="shared" si="238"/>
        <v>HW</v>
      </c>
      <c r="S506" s="186" t="str">
        <f t="shared" si="239"/>
        <v>HW</v>
      </c>
      <c r="T506" s="186" t="str">
        <f t="shared" si="240"/>
        <v>HW</v>
      </c>
      <c r="U506" s="186" t="str">
        <f t="shared" si="241"/>
        <v>U</v>
      </c>
      <c r="V506" s="186" t="str">
        <f t="shared" si="242"/>
        <v>U</v>
      </c>
      <c r="W506" s="186" t="str">
        <f t="shared" si="243"/>
        <v>O</v>
      </c>
      <c r="X506" s="186" t="str">
        <f t="shared" si="244"/>
        <v>U</v>
      </c>
      <c r="Y506" s="186"/>
      <c r="Z506" s="186">
        <v>57.5</v>
      </c>
      <c r="AB506" s="186" t="str">
        <f t="shared" si="234"/>
        <v>NYK/POR</v>
      </c>
      <c r="AC506" s="186">
        <f t="shared" si="245"/>
        <v>1</v>
      </c>
      <c r="AD506" s="186">
        <f t="shared" si="246"/>
        <v>3</v>
      </c>
    </row>
    <row r="507" spans="1:30" x14ac:dyDescent="0.3">
      <c r="A507" s="98">
        <v>200102</v>
      </c>
      <c r="B507" s="99">
        <v>0.41666666666666669</v>
      </c>
      <c r="C507" s="98" t="s">
        <v>423</v>
      </c>
      <c r="D507" s="98" t="s">
        <v>420</v>
      </c>
      <c r="E507" s="175">
        <v>19</v>
      </c>
      <c r="F507" s="175">
        <v>33</v>
      </c>
      <c r="G507" s="175">
        <v>25</v>
      </c>
      <c r="H507" s="175">
        <v>29</v>
      </c>
      <c r="I507" s="175"/>
      <c r="J507" s="175">
        <v>23</v>
      </c>
      <c r="K507" s="175">
        <v>28</v>
      </c>
      <c r="L507" s="175">
        <v>20</v>
      </c>
      <c r="M507" s="175">
        <v>33</v>
      </c>
      <c r="N507" s="175" t="s">
        <v>427</v>
      </c>
      <c r="O507" s="186">
        <f t="shared" si="235"/>
        <v>106</v>
      </c>
      <c r="P507" s="186">
        <f t="shared" si="236"/>
        <v>104</v>
      </c>
      <c r="Q507" s="186" t="str">
        <f t="shared" si="237"/>
        <v>HL</v>
      </c>
      <c r="R507" s="186" t="str">
        <f t="shared" si="238"/>
        <v>HW</v>
      </c>
      <c r="S507" s="186" t="str">
        <f t="shared" si="239"/>
        <v>HW</v>
      </c>
      <c r="T507" s="186" t="str">
        <f t="shared" si="240"/>
        <v>HL</v>
      </c>
      <c r="U507" s="186" t="str">
        <f t="shared" si="241"/>
        <v>U</v>
      </c>
      <c r="V507" s="186" t="str">
        <f t="shared" si="242"/>
        <v>O</v>
      </c>
      <c r="W507" s="186" t="str">
        <f t="shared" si="243"/>
        <v>U</v>
      </c>
      <c r="X507" s="186" t="str">
        <f t="shared" si="244"/>
        <v>O</v>
      </c>
      <c r="Y507" s="186"/>
      <c r="Z507" s="186">
        <v>57</v>
      </c>
      <c r="AB507" s="186" t="str">
        <f t="shared" si="234"/>
        <v>MIL/MIN</v>
      </c>
      <c r="AC507" s="186">
        <f t="shared" si="245"/>
        <v>2</v>
      </c>
      <c r="AD507" s="186">
        <f t="shared" si="246"/>
        <v>2</v>
      </c>
    </row>
    <row r="508" spans="1:30" x14ac:dyDescent="0.3">
      <c r="A508" s="98">
        <v>200102</v>
      </c>
      <c r="B508" s="99">
        <v>0.52083333333333337</v>
      </c>
      <c r="C508" s="98" t="s">
        <v>419</v>
      </c>
      <c r="D508" s="98" t="s">
        <v>404</v>
      </c>
      <c r="E508" s="174">
        <v>43</v>
      </c>
      <c r="F508" s="174">
        <v>31</v>
      </c>
      <c r="G508" s="174">
        <v>27</v>
      </c>
      <c r="H508" s="174">
        <v>16</v>
      </c>
      <c r="I508" s="174"/>
      <c r="J508" s="174">
        <v>17</v>
      </c>
      <c r="K508" s="174">
        <v>24</v>
      </c>
      <c r="L508" s="174">
        <v>38</v>
      </c>
      <c r="M508" s="174">
        <v>28</v>
      </c>
      <c r="N508" s="174" t="s">
        <v>427</v>
      </c>
      <c r="O508" s="186">
        <f t="shared" si="235"/>
        <v>117</v>
      </c>
      <c r="P508" s="186">
        <f t="shared" si="236"/>
        <v>107</v>
      </c>
      <c r="Q508" s="186" t="str">
        <f t="shared" si="237"/>
        <v>HW</v>
      </c>
      <c r="R508" s="186" t="str">
        <f t="shared" si="238"/>
        <v>HW</v>
      </c>
      <c r="S508" s="186" t="str">
        <f t="shared" si="239"/>
        <v>HL</v>
      </c>
      <c r="T508" s="186" t="str">
        <f t="shared" si="240"/>
        <v>HL</v>
      </c>
      <c r="U508" s="186" t="str">
        <f t="shared" si="241"/>
        <v>O</v>
      </c>
      <c r="V508" s="186" t="str">
        <f t="shared" si="242"/>
        <v>U</v>
      </c>
      <c r="W508" s="186" t="str">
        <f t="shared" si="243"/>
        <v>O</v>
      </c>
      <c r="X508" s="186" t="str">
        <f t="shared" si="244"/>
        <v>U</v>
      </c>
      <c r="Y508" s="186"/>
      <c r="Z508" s="186">
        <v>56</v>
      </c>
      <c r="AB508" s="186" t="str">
        <f t="shared" si="234"/>
        <v>LAL/PHO</v>
      </c>
      <c r="AC508" s="186">
        <f t="shared" si="245"/>
        <v>2</v>
      </c>
      <c r="AD508" s="186">
        <f t="shared" si="246"/>
        <v>2</v>
      </c>
    </row>
    <row r="509" spans="1:30" x14ac:dyDescent="0.3">
      <c r="A509" s="98">
        <v>200103</v>
      </c>
      <c r="B509" s="99">
        <v>0.375</v>
      </c>
      <c r="C509" s="98" t="s">
        <v>402</v>
      </c>
      <c r="D509" s="98" t="s">
        <v>409</v>
      </c>
      <c r="E509" s="179">
        <v>29</v>
      </c>
      <c r="F509" s="179">
        <v>30</v>
      </c>
      <c r="G509" s="179">
        <v>26</v>
      </c>
      <c r="H509" s="179">
        <v>21</v>
      </c>
      <c r="I509" s="179"/>
      <c r="J509" s="179">
        <v>31</v>
      </c>
      <c r="K509" s="179">
        <v>21</v>
      </c>
      <c r="L509" s="179">
        <v>30</v>
      </c>
      <c r="M509" s="179">
        <v>27</v>
      </c>
      <c r="N509" s="179" t="s">
        <v>427</v>
      </c>
      <c r="O509" s="186">
        <f t="shared" si="235"/>
        <v>106</v>
      </c>
      <c r="P509" s="186">
        <f t="shared" si="236"/>
        <v>109</v>
      </c>
      <c r="Q509" s="186" t="str">
        <f t="shared" si="237"/>
        <v>HL</v>
      </c>
      <c r="R509" s="186" t="str">
        <f t="shared" si="238"/>
        <v>HW</v>
      </c>
      <c r="S509" s="186" t="str">
        <f t="shared" si="239"/>
        <v>HL</v>
      </c>
      <c r="T509" s="186" t="str">
        <f t="shared" si="240"/>
        <v>HL</v>
      </c>
      <c r="U509" s="186" t="str">
        <f t="shared" si="241"/>
        <v>O</v>
      </c>
      <c r="V509" s="186" t="str">
        <f t="shared" si="242"/>
        <v>U</v>
      </c>
      <c r="W509" s="186" t="str">
        <f t="shared" si="243"/>
        <v>O</v>
      </c>
      <c r="X509" s="186" t="str">
        <f t="shared" si="244"/>
        <v>U</v>
      </c>
      <c r="Y509" s="186"/>
      <c r="Z509" s="186">
        <v>54.5</v>
      </c>
      <c r="AB509" s="186" t="str">
        <f t="shared" si="234"/>
        <v>CLE/CHA</v>
      </c>
      <c r="AC509" s="186">
        <f t="shared" si="245"/>
        <v>2</v>
      </c>
      <c r="AD509" s="186">
        <f t="shared" si="246"/>
        <v>2</v>
      </c>
    </row>
    <row r="510" spans="1:30" x14ac:dyDescent="0.3">
      <c r="A510" s="98">
        <v>200103</v>
      </c>
      <c r="B510" s="99">
        <v>0.375</v>
      </c>
      <c r="C510" s="98" t="s">
        <v>400</v>
      </c>
      <c r="D510" s="98" t="s">
        <v>408</v>
      </c>
      <c r="E510" s="181">
        <v>37</v>
      </c>
      <c r="F510" s="181">
        <v>27</v>
      </c>
      <c r="G510" s="181">
        <v>24</v>
      </c>
      <c r="H510" s="181">
        <v>28</v>
      </c>
      <c r="I510" s="181"/>
      <c r="J510" s="181">
        <v>27</v>
      </c>
      <c r="K510" s="181">
        <v>35</v>
      </c>
      <c r="L510" s="181">
        <v>30</v>
      </c>
      <c r="M510" s="181">
        <v>32</v>
      </c>
      <c r="N510" s="181" t="s">
        <v>427</v>
      </c>
      <c r="O510" s="186">
        <f t="shared" si="235"/>
        <v>116</v>
      </c>
      <c r="P510" s="186">
        <f t="shared" si="236"/>
        <v>124</v>
      </c>
      <c r="Q510" s="186" t="str">
        <f t="shared" si="237"/>
        <v>HW</v>
      </c>
      <c r="R510" s="186" t="str">
        <f t="shared" si="238"/>
        <v>HL</v>
      </c>
      <c r="S510" s="186" t="str">
        <f t="shared" si="239"/>
        <v>HL</v>
      </c>
      <c r="T510" s="186" t="str">
        <f t="shared" si="240"/>
        <v>HL</v>
      </c>
      <c r="U510" s="186" t="str">
        <f t="shared" si="241"/>
        <v>O</v>
      </c>
      <c r="V510" s="186" t="str">
        <f t="shared" si="242"/>
        <v>O</v>
      </c>
      <c r="W510" s="186" t="str">
        <f t="shared" si="243"/>
        <v>O</v>
      </c>
      <c r="X510" s="186" t="str">
        <f t="shared" si="244"/>
        <v>O</v>
      </c>
      <c r="Y510" s="186"/>
      <c r="Z510" s="186">
        <v>53.5</v>
      </c>
      <c r="AB510" s="186" t="str">
        <f t="shared" si="234"/>
        <v>IND/DEN</v>
      </c>
      <c r="AC510" s="186">
        <f t="shared" si="245"/>
        <v>4</v>
      </c>
      <c r="AD510" s="186">
        <f t="shared" si="246"/>
        <v>0</v>
      </c>
    </row>
    <row r="511" spans="1:30" x14ac:dyDescent="0.3">
      <c r="A511" s="98">
        <v>200103</v>
      </c>
      <c r="B511" s="99">
        <v>0.39583333333333331</v>
      </c>
      <c r="C511" s="98" t="s">
        <v>411</v>
      </c>
      <c r="D511" s="98" t="s">
        <v>413</v>
      </c>
      <c r="E511" s="183">
        <v>18</v>
      </c>
      <c r="F511" s="183">
        <v>24</v>
      </c>
      <c r="G511" s="183">
        <v>21</v>
      </c>
      <c r="H511" s="183">
        <v>21</v>
      </c>
      <c r="I511" s="183"/>
      <c r="J511" s="183">
        <v>20</v>
      </c>
      <c r="K511" s="183">
        <v>19</v>
      </c>
      <c r="L511" s="183">
        <v>21</v>
      </c>
      <c r="M511" s="183">
        <v>16</v>
      </c>
      <c r="N511" s="183" t="s">
        <v>427</v>
      </c>
      <c r="O511" s="186">
        <f t="shared" si="235"/>
        <v>84</v>
      </c>
      <c r="P511" s="186">
        <f t="shared" si="236"/>
        <v>76</v>
      </c>
      <c r="Q511" s="186" t="str">
        <f t="shared" si="237"/>
        <v>HL</v>
      </c>
      <c r="R511" s="186" t="str">
        <f t="shared" si="238"/>
        <v>HW</v>
      </c>
      <c r="S511" s="186" t="str">
        <f t="shared" si="239"/>
        <v>TT</v>
      </c>
      <c r="T511" s="186" t="str">
        <f t="shared" si="240"/>
        <v>HW</v>
      </c>
      <c r="U511" s="186" t="str">
        <f t="shared" si="241"/>
        <v>U</v>
      </c>
      <c r="V511" s="186" t="str">
        <f t="shared" si="242"/>
        <v>U</v>
      </c>
      <c r="W511" s="186" t="str">
        <f t="shared" si="243"/>
        <v>U</v>
      </c>
      <c r="X511" s="186" t="str">
        <f t="shared" si="244"/>
        <v>U</v>
      </c>
      <c r="Y511" s="186"/>
      <c r="Z511" s="186">
        <v>55.5</v>
      </c>
      <c r="AB511" s="186" t="str">
        <f t="shared" si="234"/>
        <v>MIA/TOR</v>
      </c>
      <c r="AC511" s="186">
        <f t="shared" si="245"/>
        <v>0</v>
      </c>
      <c r="AD511" s="186">
        <f t="shared" si="246"/>
        <v>4</v>
      </c>
    </row>
    <row r="512" spans="1:30" x14ac:dyDescent="0.3">
      <c r="A512" s="98">
        <v>200103</v>
      </c>
      <c r="B512" s="99">
        <v>0.41666666666666669</v>
      </c>
      <c r="C512" s="98" t="s">
        <v>412</v>
      </c>
      <c r="D512" s="98" t="s">
        <v>405</v>
      </c>
      <c r="E512" s="178">
        <v>22</v>
      </c>
      <c r="F512" s="178">
        <v>29</v>
      </c>
      <c r="G512" s="178">
        <v>19</v>
      </c>
      <c r="H512" s="178">
        <v>28</v>
      </c>
      <c r="I512" s="178"/>
      <c r="J512" s="178">
        <v>25</v>
      </c>
      <c r="K512" s="178">
        <v>22</v>
      </c>
      <c r="L512" s="178">
        <v>29</v>
      </c>
      <c r="M512" s="178">
        <v>26</v>
      </c>
      <c r="N512" s="178" t="s">
        <v>427</v>
      </c>
      <c r="O512" s="186">
        <f t="shared" si="235"/>
        <v>98</v>
      </c>
      <c r="P512" s="186">
        <f t="shared" si="236"/>
        <v>102</v>
      </c>
      <c r="Q512" s="186" t="str">
        <f t="shared" si="237"/>
        <v>HL</v>
      </c>
      <c r="R512" s="186" t="str">
        <f t="shared" si="238"/>
        <v>HW</v>
      </c>
      <c r="S512" s="186" t="str">
        <f t="shared" si="239"/>
        <v>HL</v>
      </c>
      <c r="T512" s="186" t="str">
        <f t="shared" si="240"/>
        <v>HW</v>
      </c>
      <c r="U512" s="186" t="str">
        <f t="shared" si="241"/>
        <v>U</v>
      </c>
      <c r="V512" s="186" t="str">
        <f t="shared" si="242"/>
        <v>U</v>
      </c>
      <c r="W512" s="186" t="str">
        <f t="shared" si="243"/>
        <v>U</v>
      </c>
      <c r="X512" s="186" t="str">
        <f t="shared" si="244"/>
        <v>O</v>
      </c>
      <c r="Y512" s="186"/>
      <c r="Z512" s="186">
        <v>51.5</v>
      </c>
      <c r="AB512" s="186" t="str">
        <f t="shared" si="234"/>
        <v>CHI/UTA</v>
      </c>
      <c r="AC512" s="186">
        <f t="shared" si="245"/>
        <v>1</v>
      </c>
      <c r="AD512" s="186">
        <f t="shared" si="246"/>
        <v>3</v>
      </c>
    </row>
    <row r="513" spans="1:30" x14ac:dyDescent="0.3">
      <c r="A513" s="98">
        <v>200103</v>
      </c>
      <c r="B513" s="99">
        <v>0.41666666666666669</v>
      </c>
      <c r="C513" s="98" t="s">
        <v>420</v>
      </c>
      <c r="D513" s="98" t="s">
        <v>425</v>
      </c>
      <c r="E513" s="184">
        <v>34</v>
      </c>
      <c r="F513" s="184">
        <v>24</v>
      </c>
      <c r="G513" s="184">
        <v>23</v>
      </c>
      <c r="H513" s="184">
        <v>18</v>
      </c>
      <c r="I513" s="184"/>
      <c r="J513" s="184">
        <v>19</v>
      </c>
      <c r="K513" s="184">
        <v>22</v>
      </c>
      <c r="L513" s="184">
        <v>26</v>
      </c>
      <c r="M513" s="184">
        <v>17</v>
      </c>
      <c r="N513" s="184" t="s">
        <v>427</v>
      </c>
      <c r="O513" s="186">
        <f t="shared" si="235"/>
        <v>99</v>
      </c>
      <c r="P513" s="186">
        <f t="shared" si="236"/>
        <v>84</v>
      </c>
      <c r="Q513" s="186" t="str">
        <f t="shared" si="237"/>
        <v>HW</v>
      </c>
      <c r="R513" s="186" t="str">
        <f t="shared" si="238"/>
        <v>HW</v>
      </c>
      <c r="S513" s="186" t="str">
        <f t="shared" si="239"/>
        <v>HL</v>
      </c>
      <c r="T513" s="186" t="str">
        <f t="shared" si="240"/>
        <v>HW</v>
      </c>
      <c r="U513" s="186" t="str">
        <f t="shared" si="241"/>
        <v>U</v>
      </c>
      <c r="V513" s="186" t="str">
        <f t="shared" si="242"/>
        <v>U</v>
      </c>
      <c r="W513" s="186" t="str">
        <f t="shared" si="243"/>
        <v>U</v>
      </c>
      <c r="X513" s="186" t="str">
        <f t="shared" si="244"/>
        <v>U</v>
      </c>
      <c r="Y513" s="186"/>
      <c r="Z513" s="186">
        <v>54.5</v>
      </c>
      <c r="AB513" s="186" t="str">
        <f t="shared" si="234"/>
        <v>MIN/GS</v>
      </c>
      <c r="AC513" s="186">
        <f t="shared" si="245"/>
        <v>0</v>
      </c>
      <c r="AD513" s="186">
        <f t="shared" si="246"/>
        <v>4</v>
      </c>
    </row>
    <row r="514" spans="1:30" x14ac:dyDescent="0.3">
      <c r="A514" s="98">
        <v>200103</v>
      </c>
      <c r="B514" s="99">
        <v>0.4375</v>
      </c>
      <c r="C514" s="98" t="s">
        <v>397</v>
      </c>
      <c r="D514" s="98" t="s">
        <v>407</v>
      </c>
      <c r="E514" s="180">
        <v>31</v>
      </c>
      <c r="F514" s="180">
        <v>29</v>
      </c>
      <c r="G514" s="180">
        <v>33</v>
      </c>
      <c r="H514" s="180">
        <v>30</v>
      </c>
      <c r="I514" s="180"/>
      <c r="J514" s="180">
        <v>30</v>
      </c>
      <c r="K514" s="180">
        <v>35</v>
      </c>
      <c r="L514" s="180">
        <v>28</v>
      </c>
      <c r="M514" s="180">
        <v>18</v>
      </c>
      <c r="N514" s="180" t="s">
        <v>427</v>
      </c>
      <c r="O514" s="186">
        <f t="shared" si="235"/>
        <v>123</v>
      </c>
      <c r="P514" s="186">
        <f t="shared" si="236"/>
        <v>111</v>
      </c>
      <c r="Q514" s="186" t="str">
        <f t="shared" si="237"/>
        <v>HW</v>
      </c>
      <c r="R514" s="186" t="str">
        <f t="shared" si="238"/>
        <v>HL</v>
      </c>
      <c r="S514" s="186" t="str">
        <f t="shared" si="239"/>
        <v>HW</v>
      </c>
      <c r="T514" s="186" t="str">
        <f t="shared" si="240"/>
        <v>HW</v>
      </c>
      <c r="U514" s="186" t="str">
        <f t="shared" si="241"/>
        <v>O</v>
      </c>
      <c r="V514" s="186" t="str">
        <f t="shared" si="242"/>
        <v>O</v>
      </c>
      <c r="W514" s="186" t="str">
        <f t="shared" si="243"/>
        <v>O</v>
      </c>
      <c r="X514" s="186" t="str">
        <f t="shared" si="244"/>
        <v>U</v>
      </c>
      <c r="Y514" s="186"/>
      <c r="Z514" s="186">
        <v>54.5</v>
      </c>
      <c r="AB514" s="186" t="str">
        <f t="shared" si="234"/>
        <v>DAL/BKN</v>
      </c>
      <c r="AC514" s="186">
        <f t="shared" si="245"/>
        <v>3</v>
      </c>
      <c r="AD514" s="186">
        <f t="shared" si="246"/>
        <v>1</v>
      </c>
    </row>
    <row r="515" spans="1:30" x14ac:dyDescent="0.3">
      <c r="A515" s="98">
        <v>200103</v>
      </c>
      <c r="B515" s="99">
        <v>0.4375</v>
      </c>
      <c r="C515" s="98" t="s">
        <v>426</v>
      </c>
      <c r="D515" s="98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5"/>
        <v>103</v>
      </c>
      <c r="P515" s="186">
        <f t="shared" si="236"/>
        <v>109</v>
      </c>
      <c r="Q515" s="186" t="str">
        <f t="shared" si="237"/>
        <v>TT</v>
      </c>
      <c r="R515" s="186" t="str">
        <f t="shared" si="238"/>
        <v>HW</v>
      </c>
      <c r="S515" s="186" t="str">
        <f t="shared" si="239"/>
        <v>HL</v>
      </c>
      <c r="T515" s="186" t="str">
        <f t="shared" si="240"/>
        <v>HL</v>
      </c>
      <c r="U515" s="186" t="str">
        <f t="shared" si="241"/>
        <v>U</v>
      </c>
      <c r="V515" s="186" t="str">
        <f t="shared" si="242"/>
        <v>U</v>
      </c>
      <c r="W515" s="186" t="str">
        <f t="shared" si="243"/>
        <v>U</v>
      </c>
      <c r="X515" s="186" t="str">
        <f t="shared" si="244"/>
        <v>O</v>
      </c>
      <c r="Y515" s="186"/>
      <c r="Z515" s="186">
        <v>56</v>
      </c>
      <c r="AB515" s="186" t="str">
        <f t="shared" si="234"/>
        <v>SAS/OKC</v>
      </c>
      <c r="AC515" s="186">
        <f t="shared" si="245"/>
        <v>1</v>
      </c>
      <c r="AD515" s="186">
        <f t="shared" si="246"/>
        <v>3</v>
      </c>
    </row>
    <row r="516" spans="1:30" x14ac:dyDescent="0.3">
      <c r="A516" s="98">
        <v>200103</v>
      </c>
      <c r="B516" s="99">
        <v>0.5</v>
      </c>
      <c r="C516" s="98" t="s">
        <v>416</v>
      </c>
      <c r="D516" s="98" t="s">
        <v>406</v>
      </c>
      <c r="E516" s="185">
        <v>26</v>
      </c>
      <c r="F516" s="185">
        <v>37</v>
      </c>
      <c r="G516" s="185">
        <v>27</v>
      </c>
      <c r="H516" s="185">
        <v>38</v>
      </c>
      <c r="I516" s="185"/>
      <c r="J516" s="185">
        <v>42</v>
      </c>
      <c r="K516" s="185">
        <v>18</v>
      </c>
      <c r="L516" s="185">
        <v>37</v>
      </c>
      <c r="M516" s="185">
        <v>26</v>
      </c>
      <c r="N516" s="185" t="s">
        <v>427</v>
      </c>
      <c r="O516" s="186">
        <f t="shared" si="235"/>
        <v>128</v>
      </c>
      <c r="P516" s="186">
        <f t="shared" si="236"/>
        <v>123</v>
      </c>
      <c r="Q516" s="186" t="str">
        <f t="shared" si="237"/>
        <v>HL</v>
      </c>
      <c r="R516" s="186" t="str">
        <f t="shared" si="238"/>
        <v>HW</v>
      </c>
      <c r="S516" s="186" t="str">
        <f t="shared" si="239"/>
        <v>HL</v>
      </c>
      <c r="T516" s="186" t="str">
        <f t="shared" si="240"/>
        <v>HW</v>
      </c>
      <c r="U516" s="186" t="str">
        <f t="shared" si="241"/>
        <v>O</v>
      </c>
      <c r="V516" s="186" t="str">
        <f t="shared" si="242"/>
        <v>T</v>
      </c>
      <c r="W516" s="186" t="str">
        <f t="shared" si="243"/>
        <v>O</v>
      </c>
      <c r="X516" s="186" t="str">
        <f t="shared" si="244"/>
        <v>O</v>
      </c>
      <c r="Y516" s="186"/>
      <c r="Z516" s="186">
        <v>55</v>
      </c>
      <c r="AB516" s="186" t="str">
        <f t="shared" si="234"/>
        <v>SAC/MEM</v>
      </c>
      <c r="AC516" s="186">
        <f t="shared" si="245"/>
        <v>3</v>
      </c>
      <c r="AD516" s="186">
        <f t="shared" si="246"/>
        <v>0</v>
      </c>
    </row>
    <row r="517" spans="1:30" x14ac:dyDescent="0.3">
      <c r="A517" s="98">
        <v>200103</v>
      </c>
      <c r="B517" s="99">
        <v>0.52083333333333337</v>
      </c>
      <c r="C517" s="98" t="s">
        <v>415</v>
      </c>
      <c r="D517" s="98" t="s">
        <v>422</v>
      </c>
      <c r="E517" s="182">
        <v>30</v>
      </c>
      <c r="F517" s="182">
        <v>39</v>
      </c>
      <c r="G517" s="182">
        <v>37</v>
      </c>
      <c r="H517" s="182">
        <v>20</v>
      </c>
      <c r="I517" s="182"/>
      <c r="J517" s="182">
        <v>33</v>
      </c>
      <c r="K517" s="182">
        <v>30</v>
      </c>
      <c r="L517" s="182">
        <v>16</v>
      </c>
      <c r="M517" s="182">
        <v>33</v>
      </c>
      <c r="N517" s="182" t="s">
        <v>427</v>
      </c>
      <c r="O517" s="186">
        <f t="shared" si="235"/>
        <v>126</v>
      </c>
      <c r="P517" s="186">
        <f t="shared" si="236"/>
        <v>112</v>
      </c>
      <c r="Q517" s="186" t="str">
        <f t="shared" si="237"/>
        <v>HL</v>
      </c>
      <c r="R517" s="186" t="str">
        <f t="shared" si="238"/>
        <v>HW</v>
      </c>
      <c r="S517" s="186" t="str">
        <f t="shared" si="239"/>
        <v>HW</v>
      </c>
      <c r="T517" s="186" t="str">
        <f t="shared" si="240"/>
        <v>HL</v>
      </c>
      <c r="U517" s="186" t="str">
        <f t="shared" si="241"/>
        <v>O</v>
      </c>
      <c r="V517" s="186" t="str">
        <f t="shared" si="242"/>
        <v>O</v>
      </c>
      <c r="W517" s="186" t="str">
        <f t="shared" si="243"/>
        <v>U</v>
      </c>
      <c r="X517" s="186" t="str">
        <f t="shared" si="244"/>
        <v>U</v>
      </c>
      <c r="Y517" s="186"/>
      <c r="Z517" s="186">
        <v>58.5</v>
      </c>
      <c r="AB517" s="186" t="str">
        <f t="shared" si="234"/>
        <v>LAC/DET</v>
      </c>
      <c r="AC517" s="186">
        <f t="shared" si="245"/>
        <v>2</v>
      </c>
      <c r="AD517" s="186">
        <f t="shared" si="246"/>
        <v>2</v>
      </c>
    </row>
    <row r="518" spans="1:30" x14ac:dyDescent="0.3">
      <c r="A518" s="98">
        <v>200104</v>
      </c>
      <c r="B518" s="99">
        <v>0.375</v>
      </c>
      <c r="C518" s="98" t="s">
        <v>421</v>
      </c>
      <c r="D518" s="98" t="s">
        <v>410</v>
      </c>
      <c r="E518" s="192">
        <v>19</v>
      </c>
      <c r="F518" s="192">
        <v>34</v>
      </c>
      <c r="G518" s="192">
        <v>29</v>
      </c>
      <c r="H518" s="192">
        <v>27</v>
      </c>
      <c r="I518" s="192"/>
      <c r="J518" s="192">
        <v>32</v>
      </c>
      <c r="K518" s="192">
        <v>23</v>
      </c>
      <c r="L518" s="192">
        <v>25</v>
      </c>
      <c r="M518" s="192">
        <v>26</v>
      </c>
      <c r="N518" s="192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 s="186">
        <v>58</v>
      </c>
      <c r="AB518" s="186" t="str">
        <f t="shared" si="234"/>
        <v>BOS/ATL</v>
      </c>
      <c r="AC518" s="192">
        <f t="shared" ref="AC518:AC523" si="257">COUNTIF(U518:X518,"o")</f>
        <v>0</v>
      </c>
      <c r="AD518" s="192">
        <f t="shared" ref="AD518:AD523" si="258">COUNTIF(U518:X518,"u")</f>
        <v>4</v>
      </c>
    </row>
    <row r="519" spans="1:30" x14ac:dyDescent="0.3">
      <c r="A519" s="98">
        <v>200104</v>
      </c>
      <c r="B519" s="99">
        <v>0.375</v>
      </c>
      <c r="C519" s="98" t="s">
        <v>424</v>
      </c>
      <c r="D519" s="98" t="s">
        <v>411</v>
      </c>
      <c r="E519" s="192">
        <v>27</v>
      </c>
      <c r="F519" s="192">
        <v>29</v>
      </c>
      <c r="G519" s="192">
        <v>28</v>
      </c>
      <c r="H519" s="192">
        <v>21</v>
      </c>
      <c r="I519" s="192"/>
      <c r="J519" s="192">
        <v>22</v>
      </c>
      <c r="K519" s="192">
        <v>22</v>
      </c>
      <c r="L519" s="192">
        <v>35</v>
      </c>
      <c r="M519" s="192">
        <v>6</v>
      </c>
      <c r="N519" s="192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 s="186">
        <v>53</v>
      </c>
      <c r="AB519" s="186" t="str">
        <f t="shared" si="234"/>
        <v>ORL/MIA</v>
      </c>
      <c r="AC519" s="192">
        <f t="shared" si="257"/>
        <v>1</v>
      </c>
      <c r="AD519" s="192">
        <f t="shared" si="258"/>
        <v>3</v>
      </c>
    </row>
    <row r="520" spans="1:30" x14ac:dyDescent="0.3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 s="186">
        <v>60</v>
      </c>
      <c r="AB520" s="186" t="str">
        <f t="shared" si="234"/>
        <v>WAS/POR</v>
      </c>
      <c r="AC520" s="192">
        <f t="shared" si="257"/>
        <v>1</v>
      </c>
      <c r="AD520" s="192">
        <f t="shared" si="258"/>
        <v>3</v>
      </c>
    </row>
    <row r="521" spans="1:30" x14ac:dyDescent="0.3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92">
        <v>20</v>
      </c>
      <c r="F521" s="192">
        <v>40</v>
      </c>
      <c r="G521" s="192">
        <v>36</v>
      </c>
      <c r="H521" s="192">
        <v>22</v>
      </c>
      <c r="I521" s="192"/>
      <c r="J521" s="192">
        <v>27</v>
      </c>
      <c r="K521" s="192">
        <v>26</v>
      </c>
      <c r="L521" s="192">
        <v>31</v>
      </c>
      <c r="M521" s="192">
        <v>24</v>
      </c>
      <c r="N521" s="192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 s="186">
        <v>57</v>
      </c>
      <c r="AB521" s="186" t="str">
        <f t="shared" si="234"/>
        <v>HOU/PHI</v>
      </c>
      <c r="AC521" s="192">
        <f t="shared" si="257"/>
        <v>2</v>
      </c>
      <c r="AD521" s="192">
        <f t="shared" si="258"/>
        <v>2</v>
      </c>
    </row>
    <row r="522" spans="1:30" x14ac:dyDescent="0.3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2">
        <v>29</v>
      </c>
      <c r="F522" s="192">
        <v>22</v>
      </c>
      <c r="G522" s="192">
        <v>32</v>
      </c>
      <c r="H522" s="192">
        <v>37</v>
      </c>
      <c r="I522" s="192"/>
      <c r="J522" s="192">
        <v>37</v>
      </c>
      <c r="K522" s="192">
        <v>24</v>
      </c>
      <c r="L522" s="192">
        <v>26</v>
      </c>
      <c r="M522" s="192">
        <v>25</v>
      </c>
      <c r="N522" s="192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 s="186">
        <v>58</v>
      </c>
      <c r="AB522" s="186" t="str">
        <f t="shared" si="234"/>
        <v>PHO/NYK</v>
      </c>
      <c r="AC522" s="192">
        <f t="shared" si="257"/>
        <v>2</v>
      </c>
      <c r="AD522" s="192">
        <f t="shared" si="258"/>
        <v>1</v>
      </c>
    </row>
    <row r="523" spans="1:30" x14ac:dyDescent="0.3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92">
        <v>42</v>
      </c>
      <c r="F523" s="192">
        <v>32</v>
      </c>
      <c r="G523" s="192">
        <v>31</v>
      </c>
      <c r="H523" s="192">
        <v>18</v>
      </c>
      <c r="I523" s="192"/>
      <c r="J523" s="192">
        <v>30</v>
      </c>
      <c r="K523" s="192">
        <v>32</v>
      </c>
      <c r="L523" s="192">
        <v>21</v>
      </c>
      <c r="M523" s="192">
        <v>30</v>
      </c>
      <c r="N523" s="192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186">
        <v>58</v>
      </c>
      <c r="AB523" s="186" t="str">
        <f t="shared" si="234"/>
        <v>LAL/NO</v>
      </c>
      <c r="AC523" s="192">
        <f t="shared" si="257"/>
        <v>2</v>
      </c>
      <c r="AD523" s="192">
        <f t="shared" si="258"/>
        <v>2</v>
      </c>
    </row>
    <row r="524" spans="1:30" x14ac:dyDescent="0.3">
      <c r="A524" s="98">
        <v>200105</v>
      </c>
      <c r="B524" s="194">
        <v>0.22916666666666666</v>
      </c>
      <c r="C524" s="193" t="s">
        <v>415</v>
      </c>
      <c r="D524" s="193" t="s">
        <v>406</v>
      </c>
    </row>
    <row r="525" spans="1:30" x14ac:dyDescent="0.3">
      <c r="A525" s="193">
        <v>200105</v>
      </c>
      <c r="B525" s="194">
        <v>0.33333333333333331</v>
      </c>
      <c r="C525" s="193" t="s">
        <v>407</v>
      </c>
      <c r="D525" s="193" t="s">
        <v>413</v>
      </c>
    </row>
    <row r="526" spans="1:30" x14ac:dyDescent="0.3">
      <c r="A526" s="193">
        <v>200105</v>
      </c>
      <c r="B526" s="194">
        <v>0.375</v>
      </c>
      <c r="C526" s="193" t="s">
        <v>431</v>
      </c>
      <c r="D526" s="193" t="s">
        <v>405</v>
      </c>
    </row>
    <row r="527" spans="1:30" x14ac:dyDescent="0.3">
      <c r="A527" s="193">
        <v>200105</v>
      </c>
      <c r="B527" s="194">
        <v>0.39583333333333331</v>
      </c>
      <c r="C527" s="193" t="s">
        <v>410</v>
      </c>
      <c r="D527" s="193" t="s">
        <v>400</v>
      </c>
    </row>
    <row r="528" spans="1:30" x14ac:dyDescent="0.3">
      <c r="A528" s="193">
        <v>200105</v>
      </c>
      <c r="B528" s="194">
        <v>0.39583333333333331</v>
      </c>
      <c r="C528" s="193" t="s">
        <v>402</v>
      </c>
      <c r="D528" s="193" t="s">
        <v>418</v>
      </c>
    </row>
    <row r="529" spans="1:4" x14ac:dyDescent="0.3">
      <c r="A529" s="193">
        <v>200105</v>
      </c>
      <c r="B529" s="194">
        <v>0.41666666666666669</v>
      </c>
      <c r="C529" s="193" t="s">
        <v>432</v>
      </c>
      <c r="D529" s="193" t="s">
        <v>421</v>
      </c>
    </row>
    <row r="530" spans="1:4" x14ac:dyDescent="0.3">
      <c r="A530" s="193">
        <v>200105</v>
      </c>
      <c r="B530" s="194">
        <v>0.41666666666666669</v>
      </c>
      <c r="C530" s="193" t="s">
        <v>433</v>
      </c>
      <c r="D530" s="193" t="s">
        <v>408</v>
      </c>
    </row>
    <row r="531" spans="1:4" x14ac:dyDescent="0.3">
      <c r="A531" s="193">
        <v>200105</v>
      </c>
      <c r="B531" s="194">
        <v>0.4375</v>
      </c>
      <c r="C531" s="193" t="s">
        <v>434</v>
      </c>
      <c r="D531" s="193" t="s">
        <v>409</v>
      </c>
    </row>
    <row r="532" spans="1:4" x14ac:dyDescent="0.3">
      <c r="A532" s="193">
        <v>200105</v>
      </c>
      <c r="B532" s="194">
        <v>0.4375</v>
      </c>
      <c r="C532" s="193" t="s">
        <v>425</v>
      </c>
      <c r="D532" s="193" t="s">
        <v>422</v>
      </c>
    </row>
    <row r="533" spans="1:4" x14ac:dyDescent="0.3">
      <c r="A533" s="193">
        <v>200105</v>
      </c>
      <c r="B533" s="194">
        <v>0.4375</v>
      </c>
      <c r="C533" s="193" t="s">
        <v>423</v>
      </c>
      <c r="D533" s="193" t="s">
        <v>426</v>
      </c>
    </row>
    <row r="534" spans="1:4" x14ac:dyDescent="0.3">
      <c r="A534" s="193">
        <v>200105</v>
      </c>
      <c r="B534" s="194">
        <v>0.5</v>
      </c>
      <c r="C534" s="193" t="s">
        <v>416</v>
      </c>
      <c r="D534" s="193" t="s">
        <v>398</v>
      </c>
    </row>
  </sheetData>
  <autoFilter ref="AB1:AB4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94"/>
  <sheetViews>
    <sheetView zoomScale="85" zoomScaleNormal="85" workbookViewId="0">
      <pane xSplit="1" ySplit="1" topLeftCell="B50" activePane="bottomRight" state="frozen"/>
      <selection pane="topRight" activeCell="B1" sqref="B1"/>
      <selection pane="bottomLeft" activeCell="A2" sqref="A2"/>
      <selection pane="bottomRight" activeCell="I16" sqref="I16"/>
    </sheetView>
  </sheetViews>
  <sheetFormatPr defaultRowHeight="16.5" x14ac:dyDescent="0.3"/>
  <cols>
    <col min="3" max="4" width="9" style="5"/>
    <col min="5" max="8" width="4.5" bestFit="1" customWidth="1"/>
    <col min="9" max="9" width="4.125" bestFit="1" customWidth="1"/>
    <col min="10" max="13" width="4.375" bestFit="1" customWidth="1"/>
    <col min="14" max="14" width="4.125" bestFit="1" customWidth="1"/>
    <col min="27" max="27" width="10.875" bestFit="1" customWidth="1"/>
  </cols>
  <sheetData>
    <row r="1" spans="1:27" s="3" customFormat="1" x14ac:dyDescent="0.45">
      <c r="A1" s="3" t="s">
        <v>0</v>
      </c>
      <c r="B1" s="3" t="s">
        <v>55</v>
      </c>
      <c r="C1" s="5" t="s">
        <v>1</v>
      </c>
      <c r="D1" s="5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s="193" customFormat="1" x14ac:dyDescent="0.3">
      <c r="A2" s="193">
        <v>191222</v>
      </c>
      <c r="B2" s="194">
        <v>0.29166666666666669</v>
      </c>
      <c r="C2" s="5" t="s">
        <v>290</v>
      </c>
      <c r="D2" s="5" t="s">
        <v>405</v>
      </c>
      <c r="E2" s="193">
        <v>33</v>
      </c>
      <c r="F2" s="193">
        <v>31</v>
      </c>
      <c r="G2" s="193">
        <v>22</v>
      </c>
      <c r="H2" s="193">
        <v>21</v>
      </c>
      <c r="J2" s="193">
        <v>31</v>
      </c>
      <c r="K2" s="193">
        <v>25</v>
      </c>
      <c r="L2" s="193">
        <v>28</v>
      </c>
      <c r="M2" s="193">
        <v>30</v>
      </c>
      <c r="N2" s="193" t="s">
        <v>427</v>
      </c>
      <c r="O2" s="193">
        <f t="shared" ref="O2:O65" si="0">SUM(E2:I2)</f>
        <v>107</v>
      </c>
      <c r="P2" s="193">
        <f t="shared" ref="P2:P65" si="1">SUM(J2:N2)</f>
        <v>114</v>
      </c>
      <c r="Q2" s="193" t="str">
        <f t="shared" ref="Q2:T65" si="2">IF(E2=J2,"TT",IF(E2&gt;J2,"HW","HL"))</f>
        <v>HW</v>
      </c>
      <c r="R2" s="193" t="str">
        <f t="shared" si="2"/>
        <v>HW</v>
      </c>
      <c r="S2" s="193" t="str">
        <f t="shared" si="2"/>
        <v>HL</v>
      </c>
      <c r="T2" s="193" t="str">
        <f t="shared" si="2"/>
        <v>HL</v>
      </c>
      <c r="U2" s="193" t="str">
        <f t="shared" ref="U2:X65" si="3">IF(SUM(E2,J2)=$Z2,"T",IF(SUM(E2,J2)&gt;$Z2,"O","U"))</f>
        <v>O</v>
      </c>
      <c r="V2" s="193" t="str">
        <f t="shared" si="3"/>
        <v>O</v>
      </c>
      <c r="W2" s="193" t="str">
        <f t="shared" si="3"/>
        <v>U</v>
      </c>
      <c r="X2" s="193" t="str">
        <f t="shared" si="3"/>
        <v>U</v>
      </c>
      <c r="Z2" s="193">
        <v>52.5</v>
      </c>
      <c r="AA2" s="193" t="str">
        <f t="shared" ref="AA2:AA65" si="4">C2&amp;"/"&amp;D2</f>
        <v>CHA/UTA</v>
      </c>
    </row>
    <row r="3" spans="1:27" s="193" customFormat="1" x14ac:dyDescent="0.3">
      <c r="A3" s="193">
        <v>191222</v>
      </c>
      <c r="B3" s="194">
        <v>0.33333333333333331</v>
      </c>
      <c r="C3" s="5" t="s">
        <v>407</v>
      </c>
      <c r="D3" s="5" t="s">
        <v>410</v>
      </c>
      <c r="E3" s="193">
        <v>34</v>
      </c>
      <c r="F3" s="193">
        <v>26</v>
      </c>
      <c r="G3" s="193">
        <v>25</v>
      </c>
      <c r="H3" s="193">
        <v>37</v>
      </c>
      <c r="J3" s="193">
        <v>34</v>
      </c>
      <c r="K3" s="193">
        <v>39</v>
      </c>
      <c r="L3" s="193">
        <v>25</v>
      </c>
      <c r="M3" s="193">
        <v>14</v>
      </c>
      <c r="O3" s="193">
        <f t="shared" si="0"/>
        <v>122</v>
      </c>
      <c r="P3" s="193">
        <f t="shared" si="1"/>
        <v>112</v>
      </c>
      <c r="Q3" s="193" t="str">
        <f t="shared" si="2"/>
        <v>TT</v>
      </c>
      <c r="R3" s="193" t="str">
        <f t="shared" si="2"/>
        <v>HL</v>
      </c>
      <c r="S3" s="193" t="str">
        <f t="shared" si="2"/>
        <v>TT</v>
      </c>
      <c r="T3" s="193" t="str">
        <f t="shared" si="2"/>
        <v>HW</v>
      </c>
      <c r="U3" s="193" t="str">
        <f t="shared" si="3"/>
        <v>O</v>
      </c>
      <c r="V3" s="193" t="str">
        <f t="shared" si="3"/>
        <v>O</v>
      </c>
      <c r="W3" s="193" t="str">
        <f t="shared" si="3"/>
        <v>U</v>
      </c>
      <c r="X3" s="193" t="str">
        <f t="shared" si="3"/>
        <v>U</v>
      </c>
      <c r="Z3" s="193">
        <v>58</v>
      </c>
      <c r="AA3" s="193" t="str">
        <f t="shared" si="4"/>
        <v>BKN/ATL</v>
      </c>
    </row>
    <row r="4" spans="1:27" s="193" customFormat="1" x14ac:dyDescent="0.3">
      <c r="A4" s="193">
        <v>191222</v>
      </c>
      <c r="B4" s="194">
        <v>0.375</v>
      </c>
      <c r="C4" s="5" t="s">
        <v>422</v>
      </c>
      <c r="D4" s="5" t="s">
        <v>412</v>
      </c>
      <c r="E4" s="193">
        <v>28</v>
      </c>
      <c r="F4" s="193">
        <v>31</v>
      </c>
      <c r="G4" s="193">
        <v>30</v>
      </c>
      <c r="H4" s="193">
        <v>18</v>
      </c>
      <c r="J4" s="193">
        <v>25</v>
      </c>
      <c r="K4" s="193">
        <v>28</v>
      </c>
      <c r="L4" s="193">
        <v>40</v>
      </c>
      <c r="M4" s="193">
        <v>26</v>
      </c>
      <c r="N4" s="193" t="s">
        <v>427</v>
      </c>
      <c r="O4" s="193">
        <f t="shared" si="0"/>
        <v>107</v>
      </c>
      <c r="P4" s="193">
        <f t="shared" si="1"/>
        <v>119</v>
      </c>
      <c r="Q4" s="193" t="str">
        <f t="shared" si="2"/>
        <v>HW</v>
      </c>
      <c r="R4" s="193" t="str">
        <f t="shared" si="2"/>
        <v>HW</v>
      </c>
      <c r="S4" s="193" t="str">
        <f t="shared" si="2"/>
        <v>HL</v>
      </c>
      <c r="T4" s="193" t="str">
        <f t="shared" si="2"/>
        <v>HL</v>
      </c>
      <c r="U4" s="193" t="str">
        <f t="shared" si="3"/>
        <v>O</v>
      </c>
      <c r="V4" s="193" t="str">
        <f t="shared" si="3"/>
        <v>O</v>
      </c>
      <c r="W4" s="193" t="str">
        <f t="shared" si="3"/>
        <v>O</v>
      </c>
      <c r="X4" s="193" t="str">
        <f t="shared" si="3"/>
        <v>U</v>
      </c>
      <c r="Z4" s="193">
        <v>52.5</v>
      </c>
      <c r="AA4" s="193" t="str">
        <f t="shared" si="4"/>
        <v>DET/CHI</v>
      </c>
    </row>
    <row r="5" spans="1:27" s="193" customFormat="1" x14ac:dyDescent="0.3">
      <c r="A5" s="193">
        <v>191222</v>
      </c>
      <c r="B5" s="194">
        <v>0.375</v>
      </c>
      <c r="C5" s="5" t="s">
        <v>401</v>
      </c>
      <c r="D5" s="5" t="s">
        <v>414</v>
      </c>
      <c r="E5" s="193">
        <v>32</v>
      </c>
      <c r="F5" s="193">
        <v>33</v>
      </c>
      <c r="G5" s="193">
        <v>23</v>
      </c>
      <c r="H5" s="193">
        <v>37</v>
      </c>
      <c r="J5" s="193">
        <v>25</v>
      </c>
      <c r="K5" s="193">
        <v>28</v>
      </c>
      <c r="L5" s="193">
        <v>27</v>
      </c>
      <c r="M5" s="193">
        <v>28</v>
      </c>
      <c r="N5" s="193" t="s">
        <v>427</v>
      </c>
      <c r="O5" s="193">
        <f t="shared" si="0"/>
        <v>125</v>
      </c>
      <c r="P5" s="193">
        <f t="shared" si="1"/>
        <v>108</v>
      </c>
      <c r="Q5" s="193" t="str">
        <f t="shared" si="2"/>
        <v>HW</v>
      </c>
      <c r="R5" s="193" t="str">
        <f t="shared" si="2"/>
        <v>HW</v>
      </c>
      <c r="S5" s="193" t="str">
        <f t="shared" si="2"/>
        <v>HL</v>
      </c>
      <c r="T5" s="193" t="str">
        <f t="shared" si="2"/>
        <v>HW</v>
      </c>
      <c r="U5" s="193" t="str">
        <f t="shared" si="3"/>
        <v>T</v>
      </c>
      <c r="V5" s="193" t="str">
        <f t="shared" si="3"/>
        <v>O</v>
      </c>
      <c r="W5" s="193" t="str">
        <f t="shared" si="3"/>
        <v>U</v>
      </c>
      <c r="X5" s="193" t="str">
        <f t="shared" si="3"/>
        <v>O</v>
      </c>
      <c r="Z5" s="193">
        <v>57</v>
      </c>
      <c r="AA5" s="193" t="str">
        <f t="shared" si="4"/>
        <v>PHI/WAS</v>
      </c>
    </row>
    <row r="6" spans="1:27" s="193" customFormat="1" x14ac:dyDescent="0.3">
      <c r="A6" s="193">
        <v>191222</v>
      </c>
      <c r="B6" s="194">
        <v>0.39583333333333331</v>
      </c>
      <c r="C6" s="5" t="s">
        <v>47</v>
      </c>
      <c r="D6" s="5" t="s">
        <v>423</v>
      </c>
      <c r="E6" s="193">
        <v>23</v>
      </c>
      <c r="F6" s="193">
        <v>31</v>
      </c>
      <c r="G6" s="193">
        <v>16</v>
      </c>
      <c r="H6" s="193">
        <v>32</v>
      </c>
      <c r="J6" s="193">
        <v>37</v>
      </c>
      <c r="K6" s="193">
        <v>31</v>
      </c>
      <c r="L6" s="193">
        <v>27</v>
      </c>
      <c r="M6" s="193">
        <v>28</v>
      </c>
      <c r="N6" s="193" t="s">
        <v>427</v>
      </c>
      <c r="O6" s="193">
        <f t="shared" si="0"/>
        <v>102</v>
      </c>
      <c r="P6" s="193">
        <f t="shared" si="1"/>
        <v>123</v>
      </c>
      <c r="Q6" s="193" t="str">
        <f t="shared" si="2"/>
        <v>HL</v>
      </c>
      <c r="R6" s="193" t="str">
        <f t="shared" si="2"/>
        <v>TT</v>
      </c>
      <c r="S6" s="193" t="str">
        <f t="shared" si="2"/>
        <v>HL</v>
      </c>
      <c r="T6" s="193" t="str">
        <f t="shared" si="2"/>
        <v>HW</v>
      </c>
      <c r="U6" s="193" t="str">
        <f t="shared" si="3"/>
        <v>O</v>
      </c>
      <c r="V6" s="193" t="str">
        <f t="shared" si="3"/>
        <v>O</v>
      </c>
      <c r="W6" s="193" t="str">
        <f t="shared" si="3"/>
        <v>U</v>
      </c>
      <c r="X6" s="193" t="str">
        <f t="shared" si="3"/>
        <v>O</v>
      </c>
      <c r="Z6" s="193">
        <v>57</v>
      </c>
      <c r="AA6" s="193" t="str">
        <f t="shared" si="4"/>
        <v>NYK/MIL</v>
      </c>
    </row>
    <row r="7" spans="1:27" s="193" customFormat="1" x14ac:dyDescent="0.3">
      <c r="A7" s="193">
        <v>191222</v>
      </c>
      <c r="B7" s="194">
        <v>0.41666666666666669</v>
      </c>
      <c r="C7" s="5" t="s">
        <v>406</v>
      </c>
      <c r="D7" s="5" t="s">
        <v>416</v>
      </c>
      <c r="E7" s="193">
        <v>23</v>
      </c>
      <c r="F7" s="193">
        <v>37</v>
      </c>
      <c r="G7" s="193">
        <v>31</v>
      </c>
      <c r="H7" s="193">
        <v>28</v>
      </c>
      <c r="J7" s="193">
        <v>21</v>
      </c>
      <c r="K7" s="193">
        <v>29</v>
      </c>
      <c r="L7" s="193">
        <v>28</v>
      </c>
      <c r="M7" s="193">
        <v>37</v>
      </c>
      <c r="N7" s="193" t="s">
        <v>427</v>
      </c>
      <c r="O7" s="193">
        <f t="shared" si="0"/>
        <v>119</v>
      </c>
      <c r="P7" s="193">
        <f t="shared" si="1"/>
        <v>115</v>
      </c>
      <c r="Q7" s="193" t="str">
        <f t="shared" si="2"/>
        <v>HW</v>
      </c>
      <c r="R7" s="193" t="str">
        <f t="shared" si="2"/>
        <v>HW</v>
      </c>
      <c r="S7" s="193" t="str">
        <f t="shared" si="2"/>
        <v>HW</v>
      </c>
      <c r="T7" s="193" t="str">
        <f t="shared" si="2"/>
        <v>HL</v>
      </c>
      <c r="U7" s="193" t="str">
        <f t="shared" si="3"/>
        <v>U</v>
      </c>
      <c r="V7" s="193" t="str">
        <f t="shared" si="3"/>
        <v>O</v>
      </c>
      <c r="W7" s="193" t="str">
        <f t="shared" si="3"/>
        <v>O</v>
      </c>
      <c r="X7" s="193" t="str">
        <f t="shared" si="3"/>
        <v>O</v>
      </c>
      <c r="Z7" s="193">
        <v>55.5</v>
      </c>
      <c r="AA7" s="193" t="str">
        <f t="shared" si="4"/>
        <v>MEM/SAC</v>
      </c>
    </row>
    <row r="8" spans="1:27" s="193" customFormat="1" x14ac:dyDescent="0.3">
      <c r="A8" s="193">
        <v>191222</v>
      </c>
      <c r="B8" s="194">
        <v>0.4375</v>
      </c>
      <c r="C8" s="5" t="s">
        <v>426</v>
      </c>
      <c r="D8" s="5" t="s">
        <v>415</v>
      </c>
      <c r="E8" s="193">
        <v>31</v>
      </c>
      <c r="F8" s="193">
        <v>30</v>
      </c>
      <c r="G8" s="193">
        <v>22</v>
      </c>
      <c r="H8" s="193">
        <v>26</v>
      </c>
      <c r="J8" s="193">
        <v>33</v>
      </c>
      <c r="K8" s="193">
        <v>39</v>
      </c>
      <c r="L8" s="193">
        <v>38</v>
      </c>
      <c r="M8" s="193">
        <v>24</v>
      </c>
      <c r="N8" s="193" t="s">
        <v>427</v>
      </c>
      <c r="O8" s="193">
        <f t="shared" si="0"/>
        <v>109</v>
      </c>
      <c r="P8" s="193">
        <f t="shared" si="1"/>
        <v>134</v>
      </c>
      <c r="Q8" s="193" t="str">
        <f t="shared" si="2"/>
        <v>HL</v>
      </c>
      <c r="R8" s="193" t="str">
        <f t="shared" si="2"/>
        <v>HL</v>
      </c>
      <c r="S8" s="193" t="str">
        <f t="shared" si="2"/>
        <v>HL</v>
      </c>
      <c r="T8" s="193" t="str">
        <f t="shared" si="2"/>
        <v>HW</v>
      </c>
      <c r="U8" s="193" t="str">
        <f t="shared" si="3"/>
        <v>O</v>
      </c>
      <c r="V8" s="193" t="str">
        <f t="shared" si="3"/>
        <v>O</v>
      </c>
      <c r="W8" s="193" t="str">
        <f t="shared" si="3"/>
        <v>O</v>
      </c>
      <c r="X8" s="193" t="str">
        <f t="shared" si="3"/>
        <v>U</v>
      </c>
      <c r="Z8" s="193">
        <v>56.5</v>
      </c>
      <c r="AA8" s="193" t="str">
        <f t="shared" si="4"/>
        <v>SAS/LAC</v>
      </c>
    </row>
    <row r="9" spans="1:27" s="193" customFormat="1" x14ac:dyDescent="0.3">
      <c r="A9" s="193">
        <v>191222</v>
      </c>
      <c r="B9" s="194">
        <v>0.45833333333333331</v>
      </c>
      <c r="C9" s="5" t="s">
        <v>43</v>
      </c>
      <c r="D9" s="5" t="s">
        <v>403</v>
      </c>
      <c r="E9" s="193">
        <v>35</v>
      </c>
      <c r="F9" s="193">
        <v>30</v>
      </c>
      <c r="G9" s="193">
        <v>30</v>
      </c>
      <c r="H9" s="193">
        <v>30</v>
      </c>
      <c r="J9" s="193">
        <v>36</v>
      </c>
      <c r="K9" s="193">
        <v>34</v>
      </c>
      <c r="L9" s="193">
        <v>36</v>
      </c>
      <c r="M9" s="193">
        <v>33</v>
      </c>
      <c r="N9" s="193" t="s">
        <v>427</v>
      </c>
      <c r="O9" s="193">
        <f t="shared" si="0"/>
        <v>125</v>
      </c>
      <c r="P9" s="193">
        <f t="shared" si="1"/>
        <v>139</v>
      </c>
      <c r="Q9" s="193" t="str">
        <f t="shared" si="2"/>
        <v>HL</v>
      </c>
      <c r="R9" s="193" t="str">
        <f t="shared" si="2"/>
        <v>HL</v>
      </c>
      <c r="S9" s="193" t="str">
        <f t="shared" si="2"/>
        <v>HL</v>
      </c>
      <c r="T9" s="193" t="str">
        <f t="shared" si="2"/>
        <v>HL</v>
      </c>
      <c r="U9" s="193" t="str">
        <f t="shared" si="3"/>
        <v>O</v>
      </c>
      <c r="V9" s="193" t="str">
        <f t="shared" si="3"/>
        <v>O</v>
      </c>
      <c r="W9" s="193" t="str">
        <f t="shared" si="3"/>
        <v>O</v>
      </c>
      <c r="X9" s="193" t="str">
        <f t="shared" si="3"/>
        <v>O</v>
      </c>
      <c r="Z9" s="193">
        <v>59</v>
      </c>
      <c r="AA9" s="193" t="str">
        <f t="shared" si="4"/>
        <v>PHO/HOU</v>
      </c>
    </row>
    <row r="10" spans="1:27" s="193" customFormat="1" x14ac:dyDescent="0.3">
      <c r="A10" s="193">
        <v>191222</v>
      </c>
      <c r="B10" s="194">
        <v>0.5</v>
      </c>
      <c r="C10" s="5" t="s">
        <v>417</v>
      </c>
      <c r="D10" s="5" t="s">
        <v>420</v>
      </c>
      <c r="E10" s="193">
        <v>27</v>
      </c>
      <c r="F10" s="193">
        <v>34</v>
      </c>
      <c r="G10" s="193">
        <v>22</v>
      </c>
      <c r="H10" s="193">
        <v>30</v>
      </c>
      <c r="J10" s="193">
        <v>23</v>
      </c>
      <c r="K10" s="193">
        <v>29</v>
      </c>
      <c r="L10" s="193">
        <v>28</v>
      </c>
      <c r="M10" s="193">
        <v>26</v>
      </c>
      <c r="N10" s="193" t="s">
        <v>427</v>
      </c>
      <c r="O10" s="193">
        <f t="shared" si="0"/>
        <v>113</v>
      </c>
      <c r="P10" s="193">
        <f t="shared" si="1"/>
        <v>106</v>
      </c>
      <c r="Q10" s="193" t="str">
        <f t="shared" si="2"/>
        <v>HW</v>
      </c>
      <c r="R10" s="193" t="str">
        <f t="shared" si="2"/>
        <v>HW</v>
      </c>
      <c r="S10" s="193" t="str">
        <f t="shared" si="2"/>
        <v>HL</v>
      </c>
      <c r="T10" s="193" t="str">
        <f t="shared" si="2"/>
        <v>HW</v>
      </c>
      <c r="U10" s="193" t="str">
        <f t="shared" si="3"/>
        <v>U</v>
      </c>
      <c r="V10" s="193" t="str">
        <f t="shared" si="3"/>
        <v>O</v>
      </c>
      <c r="W10" s="193" t="str">
        <f t="shared" si="3"/>
        <v>U</v>
      </c>
      <c r="X10" s="193" t="str">
        <f t="shared" si="3"/>
        <v>U</v>
      </c>
      <c r="Z10" s="193">
        <v>57</v>
      </c>
      <c r="AA10" s="193" t="str">
        <f t="shared" si="4"/>
        <v>POR/MIN</v>
      </c>
    </row>
    <row r="11" spans="1:27" s="193" customFormat="1" x14ac:dyDescent="0.3">
      <c r="A11" s="193">
        <v>191223</v>
      </c>
      <c r="B11" s="194">
        <v>0.22916666666666666</v>
      </c>
      <c r="C11" s="5" t="s">
        <v>413</v>
      </c>
      <c r="D11" s="5" t="s">
        <v>397</v>
      </c>
      <c r="E11" s="193">
        <v>20</v>
      </c>
      <c r="F11" s="193">
        <v>22</v>
      </c>
      <c r="G11" s="193">
        <v>21</v>
      </c>
      <c r="H11" s="193">
        <v>47</v>
      </c>
      <c r="J11" s="193">
        <v>17</v>
      </c>
      <c r="K11" s="193">
        <v>34</v>
      </c>
      <c r="L11" s="193">
        <v>35</v>
      </c>
      <c r="M11" s="193">
        <v>21</v>
      </c>
      <c r="N11" s="193" t="s">
        <v>427</v>
      </c>
      <c r="O11" s="193">
        <f t="shared" si="0"/>
        <v>110</v>
      </c>
      <c r="P11" s="193">
        <f t="shared" si="1"/>
        <v>107</v>
      </c>
      <c r="Q11" s="193" t="str">
        <f t="shared" si="2"/>
        <v>HW</v>
      </c>
      <c r="R11" s="193" t="str">
        <f t="shared" si="2"/>
        <v>HL</v>
      </c>
      <c r="S11" s="193" t="str">
        <f t="shared" si="2"/>
        <v>HL</v>
      </c>
      <c r="T11" s="193" t="str">
        <f t="shared" si="2"/>
        <v>HW</v>
      </c>
      <c r="U11" s="193" t="str">
        <f t="shared" si="3"/>
        <v>U</v>
      </c>
      <c r="V11" s="193" t="str">
        <f t="shared" si="3"/>
        <v>O</v>
      </c>
      <c r="W11" s="193" t="str">
        <f t="shared" si="3"/>
        <v>O</v>
      </c>
      <c r="X11" s="193" t="str">
        <f t="shared" si="3"/>
        <v>O</v>
      </c>
      <c r="Z11" s="193">
        <v>55</v>
      </c>
      <c r="AA11" s="193" t="str">
        <f t="shared" si="4"/>
        <v>TOR/DAL</v>
      </c>
    </row>
    <row r="12" spans="1:27" s="193" customFormat="1" x14ac:dyDescent="0.3">
      <c r="A12" s="193">
        <v>191223</v>
      </c>
      <c r="B12" s="194">
        <v>0.33333333333333331</v>
      </c>
      <c r="C12" s="5" t="s">
        <v>421</v>
      </c>
      <c r="D12" s="5" t="s">
        <v>409</v>
      </c>
      <c r="E12" s="193">
        <v>30</v>
      </c>
      <c r="F12" s="193">
        <v>29</v>
      </c>
      <c r="G12" s="193">
        <v>25</v>
      </c>
      <c r="H12" s="193">
        <v>35</v>
      </c>
      <c r="J12" s="193">
        <v>37</v>
      </c>
      <c r="K12" s="193">
        <v>19</v>
      </c>
      <c r="L12" s="193">
        <v>21</v>
      </c>
      <c r="M12" s="193">
        <v>16</v>
      </c>
      <c r="N12" s="193" t="s">
        <v>427</v>
      </c>
      <c r="O12" s="193">
        <f t="shared" si="0"/>
        <v>119</v>
      </c>
      <c r="P12" s="193">
        <f t="shared" si="1"/>
        <v>93</v>
      </c>
      <c r="Q12" s="193" t="str">
        <f t="shared" si="2"/>
        <v>HL</v>
      </c>
      <c r="R12" s="193" t="str">
        <f t="shared" si="2"/>
        <v>HW</v>
      </c>
      <c r="S12" s="193" t="str">
        <f t="shared" si="2"/>
        <v>HW</v>
      </c>
      <c r="T12" s="193" t="str">
        <f t="shared" si="2"/>
        <v>HW</v>
      </c>
      <c r="U12" s="193" t="str">
        <f t="shared" si="3"/>
        <v>O</v>
      </c>
      <c r="V12" s="193" t="str">
        <f t="shared" si="3"/>
        <v>U</v>
      </c>
      <c r="W12" s="193" t="str">
        <f t="shared" si="3"/>
        <v>U</v>
      </c>
      <c r="X12" s="193" t="str">
        <f t="shared" si="3"/>
        <v>U</v>
      </c>
      <c r="Z12" s="193">
        <v>52.5</v>
      </c>
      <c r="AA12" s="193" t="str">
        <f t="shared" si="4"/>
        <v>BOS/CHA</v>
      </c>
    </row>
    <row r="13" spans="1:27" s="193" customFormat="1" x14ac:dyDescent="0.3">
      <c r="A13" s="193">
        <v>191223</v>
      </c>
      <c r="B13" s="194">
        <v>0.375</v>
      </c>
      <c r="C13" s="5" t="s">
        <v>423</v>
      </c>
      <c r="D13" s="5" t="s">
        <v>400</v>
      </c>
      <c r="E13" s="193">
        <v>21</v>
      </c>
      <c r="F13" s="193">
        <v>38</v>
      </c>
      <c r="G13" s="193">
        <v>24</v>
      </c>
      <c r="H13" s="193">
        <v>34</v>
      </c>
      <c r="J13" s="193">
        <v>22</v>
      </c>
      <c r="K13" s="193">
        <v>33</v>
      </c>
      <c r="L13" s="193">
        <v>18</v>
      </c>
      <c r="M13" s="193">
        <v>16</v>
      </c>
      <c r="O13" s="193">
        <f t="shared" si="0"/>
        <v>117</v>
      </c>
      <c r="P13" s="193">
        <f t="shared" si="1"/>
        <v>89</v>
      </c>
      <c r="Q13" s="193" t="str">
        <f t="shared" si="2"/>
        <v>HL</v>
      </c>
      <c r="R13" s="193" t="str">
        <f t="shared" si="2"/>
        <v>HW</v>
      </c>
      <c r="S13" s="193" t="str">
        <f t="shared" si="2"/>
        <v>HW</v>
      </c>
      <c r="T13" s="193" t="str">
        <f t="shared" si="2"/>
        <v>HW</v>
      </c>
      <c r="U13" s="193" t="str">
        <f t="shared" si="3"/>
        <v>U</v>
      </c>
      <c r="V13" s="193" t="str">
        <f t="shared" si="3"/>
        <v>O</v>
      </c>
      <c r="W13" s="193" t="str">
        <f t="shared" si="3"/>
        <v>U</v>
      </c>
      <c r="X13" s="193" t="str">
        <f t="shared" si="3"/>
        <v>U</v>
      </c>
      <c r="Z13" s="193">
        <v>55.5</v>
      </c>
      <c r="AA13" s="193" t="str">
        <f t="shared" si="4"/>
        <v>MIL/IND</v>
      </c>
    </row>
    <row r="14" spans="1:27" s="193" customFormat="1" x14ac:dyDescent="0.3">
      <c r="A14" s="193">
        <v>191223</v>
      </c>
      <c r="B14" s="194">
        <v>0.375</v>
      </c>
      <c r="C14" s="5" t="s">
        <v>418</v>
      </c>
      <c r="D14" s="5" t="s">
        <v>415</v>
      </c>
      <c r="E14" s="193">
        <v>27</v>
      </c>
      <c r="F14" s="193">
        <v>30</v>
      </c>
      <c r="G14" s="193">
        <v>29</v>
      </c>
      <c r="H14" s="193">
        <v>32</v>
      </c>
      <c r="J14" s="193">
        <v>33</v>
      </c>
      <c r="K14" s="193">
        <v>30</v>
      </c>
      <c r="L14" s="193">
        <v>26</v>
      </c>
      <c r="M14" s="193">
        <v>23</v>
      </c>
      <c r="N14" s="193" t="s">
        <v>427</v>
      </c>
      <c r="O14" s="193">
        <f t="shared" si="0"/>
        <v>118</v>
      </c>
      <c r="P14" s="193">
        <f t="shared" si="1"/>
        <v>112</v>
      </c>
      <c r="Q14" s="193" t="str">
        <f t="shared" si="2"/>
        <v>HL</v>
      </c>
      <c r="R14" s="193" t="str">
        <f t="shared" si="2"/>
        <v>TT</v>
      </c>
      <c r="S14" s="193" t="str">
        <f t="shared" si="2"/>
        <v>HW</v>
      </c>
      <c r="T14" s="193" t="str">
        <f t="shared" si="2"/>
        <v>HW</v>
      </c>
      <c r="U14" s="193" t="str">
        <f t="shared" si="3"/>
        <v>O</v>
      </c>
      <c r="V14" s="193" t="str">
        <f t="shared" si="3"/>
        <v>O</v>
      </c>
      <c r="W14" s="193" t="str">
        <f t="shared" si="3"/>
        <v>U</v>
      </c>
      <c r="X14" s="193" t="str">
        <f t="shared" si="3"/>
        <v>U</v>
      </c>
      <c r="Z14" s="193">
        <v>56</v>
      </c>
      <c r="AA14" s="193" t="str">
        <f t="shared" si="4"/>
        <v>OKC/LAC</v>
      </c>
    </row>
    <row r="15" spans="1:27" s="193" customFormat="1" x14ac:dyDescent="0.3">
      <c r="A15" s="193">
        <v>191223</v>
      </c>
      <c r="B15" s="194">
        <v>0.47916666666666669</v>
      </c>
      <c r="C15" s="5" t="s">
        <v>419</v>
      </c>
      <c r="D15" s="5" t="s">
        <v>408</v>
      </c>
      <c r="E15" s="193">
        <v>28</v>
      </c>
      <c r="F15" s="193">
        <v>25</v>
      </c>
      <c r="G15" s="193">
        <v>25</v>
      </c>
      <c r="H15" s="193">
        <v>26</v>
      </c>
      <c r="J15" s="193">
        <v>23</v>
      </c>
      <c r="K15" s="193">
        <v>32</v>
      </c>
      <c r="L15" s="193">
        <v>36</v>
      </c>
      <c r="M15" s="193">
        <v>37</v>
      </c>
      <c r="N15" s="193" t="s">
        <v>427</v>
      </c>
      <c r="O15" s="193">
        <f t="shared" si="0"/>
        <v>104</v>
      </c>
      <c r="P15" s="193">
        <f t="shared" si="1"/>
        <v>128</v>
      </c>
      <c r="Q15" s="193" t="str">
        <f t="shared" si="2"/>
        <v>HW</v>
      </c>
      <c r="R15" s="193" t="str">
        <f t="shared" si="2"/>
        <v>HL</v>
      </c>
      <c r="S15" s="193" t="str">
        <f t="shared" si="2"/>
        <v>HL</v>
      </c>
      <c r="T15" s="193" t="str">
        <f t="shared" si="2"/>
        <v>HL</v>
      </c>
      <c r="U15" s="193" t="str">
        <f t="shared" si="3"/>
        <v>U</v>
      </c>
      <c r="V15" s="193" t="str">
        <f t="shared" si="3"/>
        <v>O</v>
      </c>
      <c r="W15" s="193" t="str">
        <f t="shared" si="3"/>
        <v>O</v>
      </c>
      <c r="X15" s="193" t="str">
        <f t="shared" si="3"/>
        <v>O</v>
      </c>
      <c r="Z15" s="193">
        <v>52</v>
      </c>
      <c r="AA15" s="193" t="str">
        <f t="shared" si="4"/>
        <v>LAL/DEN</v>
      </c>
    </row>
    <row r="16" spans="1:27" s="193" customFormat="1" x14ac:dyDescent="0.3">
      <c r="A16" s="193">
        <v>191224</v>
      </c>
      <c r="B16" s="194">
        <v>0.375</v>
      </c>
      <c r="C16" s="5" t="s">
        <v>402</v>
      </c>
      <c r="D16" s="5" t="s">
        <v>410</v>
      </c>
      <c r="E16" s="193">
        <v>42</v>
      </c>
      <c r="F16" s="193">
        <v>29</v>
      </c>
      <c r="G16" s="193">
        <v>23</v>
      </c>
      <c r="H16" s="193">
        <v>27</v>
      </c>
      <c r="J16" s="193">
        <v>32</v>
      </c>
      <c r="K16" s="193">
        <v>32</v>
      </c>
      <c r="L16" s="193">
        <v>30</v>
      </c>
      <c r="M16" s="193">
        <v>24</v>
      </c>
      <c r="N16" s="193" t="s">
        <v>427</v>
      </c>
      <c r="O16" s="193">
        <f t="shared" si="0"/>
        <v>121</v>
      </c>
      <c r="P16" s="193">
        <f t="shared" si="1"/>
        <v>118</v>
      </c>
      <c r="Q16" s="193" t="str">
        <f t="shared" si="2"/>
        <v>HW</v>
      </c>
      <c r="R16" s="193" t="str">
        <f t="shared" si="2"/>
        <v>HL</v>
      </c>
      <c r="S16" s="193" t="str">
        <f t="shared" si="2"/>
        <v>HL</v>
      </c>
      <c r="T16" s="193" t="str">
        <f t="shared" si="2"/>
        <v>HW</v>
      </c>
      <c r="U16" s="193" t="str">
        <f t="shared" si="3"/>
        <v>O</v>
      </c>
      <c r="V16" s="193" t="str">
        <f t="shared" si="3"/>
        <v>O</v>
      </c>
      <c r="W16" s="193" t="str">
        <f t="shared" si="3"/>
        <v>U</v>
      </c>
      <c r="X16" s="193" t="str">
        <f t="shared" si="3"/>
        <v>U</v>
      </c>
      <c r="Z16" s="193">
        <v>57.5</v>
      </c>
      <c r="AA16" s="193" t="str">
        <f t="shared" si="4"/>
        <v>CLE/ATL</v>
      </c>
    </row>
    <row r="17" spans="1:27" s="193" customFormat="1" x14ac:dyDescent="0.3">
      <c r="A17" s="193">
        <v>191224</v>
      </c>
      <c r="B17" s="194">
        <v>0.375</v>
      </c>
      <c r="C17" s="5" t="s">
        <v>422</v>
      </c>
      <c r="D17" s="5" t="s">
        <v>401</v>
      </c>
      <c r="E17" s="193">
        <v>23</v>
      </c>
      <c r="F17" s="193">
        <v>29</v>
      </c>
      <c r="G17" s="193">
        <v>34</v>
      </c>
      <c r="H17" s="193">
        <v>23</v>
      </c>
      <c r="J17" s="193">
        <v>30</v>
      </c>
      <c r="K17" s="193">
        <v>30</v>
      </c>
      <c r="L17" s="193">
        <v>34</v>
      </c>
      <c r="M17" s="193">
        <v>31</v>
      </c>
      <c r="N17" s="193" t="s">
        <v>427</v>
      </c>
      <c r="O17" s="193">
        <f t="shared" si="0"/>
        <v>109</v>
      </c>
      <c r="P17" s="193">
        <f t="shared" si="1"/>
        <v>125</v>
      </c>
      <c r="Q17" s="193" t="str">
        <f t="shared" si="2"/>
        <v>HL</v>
      </c>
      <c r="R17" s="193" t="str">
        <f t="shared" si="2"/>
        <v>HL</v>
      </c>
      <c r="S17" s="193" t="str">
        <f t="shared" si="2"/>
        <v>TT</v>
      </c>
      <c r="T17" s="193" t="str">
        <f t="shared" si="2"/>
        <v>HL</v>
      </c>
      <c r="U17" s="193" t="str">
        <f t="shared" si="3"/>
        <v>U</v>
      </c>
      <c r="V17" s="193" t="str">
        <f t="shared" si="3"/>
        <v>O</v>
      </c>
      <c r="W17" s="193" t="str">
        <f t="shared" si="3"/>
        <v>O</v>
      </c>
      <c r="X17" s="193" t="str">
        <f t="shared" si="3"/>
        <v>T</v>
      </c>
      <c r="Z17" s="193">
        <v>54</v>
      </c>
      <c r="AA17" s="193" t="str">
        <f t="shared" si="4"/>
        <v>DET/PHI</v>
      </c>
    </row>
    <row r="18" spans="1:27" s="193" customFormat="1" x14ac:dyDescent="0.3">
      <c r="A18" s="193">
        <v>191224</v>
      </c>
      <c r="B18" s="194">
        <v>0.375</v>
      </c>
      <c r="C18" s="5" t="s">
        <v>400</v>
      </c>
      <c r="D18" s="5" t="s">
        <v>413</v>
      </c>
      <c r="E18" s="193">
        <v>30</v>
      </c>
      <c r="F18" s="193">
        <v>24</v>
      </c>
      <c r="G18" s="193">
        <v>24</v>
      </c>
      <c r="H18" s="193">
        <v>29</v>
      </c>
      <c r="I18" s="193">
        <v>13</v>
      </c>
      <c r="J18" s="193">
        <v>19</v>
      </c>
      <c r="K18" s="193">
        <v>25</v>
      </c>
      <c r="L18" s="193">
        <v>35</v>
      </c>
      <c r="M18" s="193">
        <v>28</v>
      </c>
      <c r="N18" s="193">
        <v>8</v>
      </c>
      <c r="O18" s="193">
        <f t="shared" si="0"/>
        <v>120</v>
      </c>
      <c r="P18" s="193">
        <f t="shared" si="1"/>
        <v>115</v>
      </c>
      <c r="Q18" s="193" t="str">
        <f t="shared" si="2"/>
        <v>HW</v>
      </c>
      <c r="R18" s="193" t="str">
        <f t="shared" si="2"/>
        <v>HL</v>
      </c>
      <c r="S18" s="193" t="str">
        <f t="shared" si="2"/>
        <v>HL</v>
      </c>
      <c r="T18" s="193" t="str">
        <f t="shared" si="2"/>
        <v>HW</v>
      </c>
      <c r="U18" s="193" t="str">
        <f t="shared" si="3"/>
        <v>U</v>
      </c>
      <c r="V18" s="193" t="str">
        <f t="shared" si="3"/>
        <v>U</v>
      </c>
      <c r="W18" s="193" t="str">
        <f t="shared" si="3"/>
        <v>O</v>
      </c>
      <c r="X18" s="193" t="str">
        <f t="shared" si="3"/>
        <v>O</v>
      </c>
      <c r="Z18" s="193">
        <v>52.5</v>
      </c>
      <c r="AA18" s="193" t="str">
        <f t="shared" si="4"/>
        <v>IND/TOR</v>
      </c>
    </row>
    <row r="19" spans="1:27" s="193" customFormat="1" x14ac:dyDescent="0.3">
      <c r="A19" s="193">
        <v>191224</v>
      </c>
      <c r="B19" s="194">
        <v>0.375</v>
      </c>
      <c r="C19" s="5" t="s">
        <v>399</v>
      </c>
      <c r="D19" s="5" t="s">
        <v>414</v>
      </c>
      <c r="E19" s="193">
        <v>37</v>
      </c>
      <c r="F19" s="193">
        <v>27</v>
      </c>
      <c r="G19" s="193">
        <v>27</v>
      </c>
      <c r="H19" s="193">
        <v>24</v>
      </c>
      <c r="J19" s="193">
        <v>32</v>
      </c>
      <c r="K19" s="193">
        <v>31</v>
      </c>
      <c r="L19" s="193">
        <v>31</v>
      </c>
      <c r="M19" s="193">
        <v>27</v>
      </c>
      <c r="N19" s="193" t="s">
        <v>427</v>
      </c>
      <c r="O19" s="193">
        <f t="shared" si="0"/>
        <v>115</v>
      </c>
      <c r="P19" s="193">
        <f t="shared" si="1"/>
        <v>121</v>
      </c>
      <c r="Q19" s="193" t="str">
        <f t="shared" si="2"/>
        <v>HW</v>
      </c>
      <c r="R19" s="193" t="str">
        <f t="shared" si="2"/>
        <v>HL</v>
      </c>
      <c r="S19" s="193" t="str">
        <f t="shared" si="2"/>
        <v>HL</v>
      </c>
      <c r="T19" s="193" t="str">
        <f t="shared" si="2"/>
        <v>HL</v>
      </c>
      <c r="U19" s="193" t="str">
        <f t="shared" si="3"/>
        <v>O</v>
      </c>
      <c r="V19" s="193" t="str">
        <f t="shared" si="3"/>
        <v>O</v>
      </c>
      <c r="W19" s="193" t="str">
        <f t="shared" si="3"/>
        <v>O</v>
      </c>
      <c r="X19" s="193" t="str">
        <f t="shared" si="3"/>
        <v>U</v>
      </c>
      <c r="Z19" s="193">
        <v>57</v>
      </c>
      <c r="AA19" s="193" t="str">
        <f t="shared" si="4"/>
        <v>NYK/WAS</v>
      </c>
    </row>
    <row r="20" spans="1:27" s="193" customFormat="1" x14ac:dyDescent="0.3">
      <c r="A20" s="193">
        <v>191224</v>
      </c>
      <c r="B20" s="194">
        <v>0.375</v>
      </c>
      <c r="C20" s="5" t="s">
        <v>424</v>
      </c>
      <c r="D20" s="5" t="s">
        <v>412</v>
      </c>
      <c r="E20" s="193">
        <v>28</v>
      </c>
      <c r="F20" s="193">
        <v>23</v>
      </c>
      <c r="G20" s="193">
        <v>32</v>
      </c>
      <c r="H20" s="193">
        <v>20</v>
      </c>
      <c r="J20" s="193">
        <v>28</v>
      </c>
      <c r="K20" s="193">
        <v>26</v>
      </c>
      <c r="L20" s="193">
        <v>27</v>
      </c>
      <c r="M20" s="193">
        <v>14</v>
      </c>
      <c r="N20" s="193" t="s">
        <v>427</v>
      </c>
      <c r="O20" s="193">
        <f t="shared" si="0"/>
        <v>103</v>
      </c>
      <c r="P20" s="193">
        <f t="shared" si="1"/>
        <v>95</v>
      </c>
      <c r="Q20" s="193" t="str">
        <f t="shared" si="2"/>
        <v>TT</v>
      </c>
      <c r="R20" s="193" t="str">
        <f t="shared" si="2"/>
        <v>HL</v>
      </c>
      <c r="S20" s="193" t="str">
        <f t="shared" si="2"/>
        <v>HW</v>
      </c>
      <c r="T20" s="193" t="str">
        <f t="shared" si="2"/>
        <v>HW</v>
      </c>
      <c r="U20" s="193" t="str">
        <f t="shared" si="3"/>
        <v>O</v>
      </c>
      <c r="V20" s="193" t="str">
        <f t="shared" si="3"/>
        <v>U</v>
      </c>
      <c r="W20" s="193" t="str">
        <f t="shared" si="3"/>
        <v>O</v>
      </c>
      <c r="X20" s="193" t="str">
        <f t="shared" si="3"/>
        <v>U</v>
      </c>
      <c r="Z20" s="193">
        <v>51.5</v>
      </c>
      <c r="AA20" s="193" t="str">
        <f t="shared" si="4"/>
        <v>ORL/CHI</v>
      </c>
    </row>
    <row r="21" spans="1:27" s="193" customFormat="1" x14ac:dyDescent="0.3">
      <c r="A21" s="193">
        <v>191224</v>
      </c>
      <c r="B21" s="194">
        <v>0.39583333333333331</v>
      </c>
      <c r="C21" s="5" t="s">
        <v>411</v>
      </c>
      <c r="D21" s="5" t="s">
        <v>405</v>
      </c>
      <c r="E21" s="193">
        <v>32</v>
      </c>
      <c r="F21" s="193">
        <v>21</v>
      </c>
      <c r="G21" s="193">
        <v>23</v>
      </c>
      <c r="H21" s="193">
        <v>31</v>
      </c>
      <c r="J21" s="193">
        <v>28</v>
      </c>
      <c r="K21" s="193">
        <v>24</v>
      </c>
      <c r="L21" s="193">
        <v>29</v>
      </c>
      <c r="M21" s="193">
        <v>23</v>
      </c>
      <c r="N21" s="193" t="s">
        <v>427</v>
      </c>
      <c r="O21" s="193">
        <f t="shared" si="0"/>
        <v>107</v>
      </c>
      <c r="P21" s="193">
        <f t="shared" si="1"/>
        <v>104</v>
      </c>
      <c r="Q21" s="193" t="str">
        <f t="shared" si="2"/>
        <v>HW</v>
      </c>
      <c r="R21" s="193" t="str">
        <f t="shared" si="2"/>
        <v>HL</v>
      </c>
      <c r="S21" s="193" t="str">
        <f t="shared" si="2"/>
        <v>HL</v>
      </c>
      <c r="T21" s="193" t="str">
        <f t="shared" si="2"/>
        <v>HW</v>
      </c>
      <c r="U21" s="193" t="str">
        <f t="shared" si="3"/>
        <v>O</v>
      </c>
      <c r="V21" s="193" t="str">
        <f t="shared" si="3"/>
        <v>U</v>
      </c>
      <c r="W21" s="193" t="str">
        <f t="shared" si="3"/>
        <v>U</v>
      </c>
      <c r="X21" s="193" t="str">
        <f t="shared" si="3"/>
        <v>O</v>
      </c>
      <c r="Z21" s="193">
        <v>53.5</v>
      </c>
      <c r="AA21" s="193" t="str">
        <f t="shared" si="4"/>
        <v>MIA/UTA</v>
      </c>
    </row>
    <row r="22" spans="1:27" s="193" customFormat="1" x14ac:dyDescent="0.3">
      <c r="A22" s="193">
        <v>191224</v>
      </c>
      <c r="B22" s="194">
        <v>0.41666666666666669</v>
      </c>
      <c r="C22" s="5" t="s">
        <v>406</v>
      </c>
      <c r="D22" s="5" t="s">
        <v>426</v>
      </c>
      <c r="E22" s="193">
        <v>31</v>
      </c>
      <c r="F22" s="193">
        <v>30</v>
      </c>
      <c r="G22" s="193">
        <v>28</v>
      </c>
      <c r="H22" s="193">
        <v>26</v>
      </c>
      <c r="J22" s="193">
        <v>46</v>
      </c>
      <c r="K22" s="193">
        <v>26</v>
      </c>
      <c r="L22" s="193">
        <v>36</v>
      </c>
      <c r="M22" s="193">
        <v>37</v>
      </c>
      <c r="N22" s="193" t="s">
        <v>427</v>
      </c>
      <c r="O22" s="193">
        <f t="shared" si="0"/>
        <v>115</v>
      </c>
      <c r="P22" s="193">
        <f t="shared" si="1"/>
        <v>145</v>
      </c>
      <c r="Q22" s="193" t="str">
        <f t="shared" si="2"/>
        <v>HL</v>
      </c>
      <c r="R22" s="193" t="str">
        <f t="shared" si="2"/>
        <v>HW</v>
      </c>
      <c r="S22" s="193" t="str">
        <f t="shared" si="2"/>
        <v>HL</v>
      </c>
      <c r="T22" s="193" t="str">
        <f t="shared" si="2"/>
        <v>HL</v>
      </c>
      <c r="U22" s="193" t="str">
        <f t="shared" si="3"/>
        <v>O</v>
      </c>
      <c r="V22" s="193" t="str">
        <f t="shared" si="3"/>
        <v>U</v>
      </c>
      <c r="W22" s="193" t="str">
        <f t="shared" si="3"/>
        <v>O</v>
      </c>
      <c r="X22" s="193" t="str">
        <f t="shared" si="3"/>
        <v>O</v>
      </c>
      <c r="Z22" s="193">
        <v>57</v>
      </c>
      <c r="AA22" s="193" t="str">
        <f t="shared" si="4"/>
        <v>MEM/SAS</v>
      </c>
    </row>
    <row r="23" spans="1:27" s="193" customFormat="1" x14ac:dyDescent="0.3">
      <c r="A23" s="193">
        <v>191224</v>
      </c>
      <c r="B23" s="194">
        <v>0.45833333333333331</v>
      </c>
      <c r="C23" s="5" t="s">
        <v>404</v>
      </c>
      <c r="D23" s="5" t="s">
        <v>408</v>
      </c>
      <c r="E23" s="193">
        <v>22</v>
      </c>
      <c r="F23" s="193">
        <v>27</v>
      </c>
      <c r="G23" s="193">
        <v>32</v>
      </c>
      <c r="H23" s="193">
        <v>30</v>
      </c>
      <c r="J23" s="193">
        <v>34</v>
      </c>
      <c r="K23" s="193">
        <v>22</v>
      </c>
      <c r="L23" s="193">
        <v>26</v>
      </c>
      <c r="M23" s="193">
        <v>31</v>
      </c>
      <c r="N23" s="193" t="s">
        <v>427</v>
      </c>
      <c r="O23" s="193">
        <f t="shared" si="0"/>
        <v>111</v>
      </c>
      <c r="P23" s="193">
        <f t="shared" si="1"/>
        <v>113</v>
      </c>
      <c r="Q23" s="193" t="str">
        <f t="shared" si="2"/>
        <v>HL</v>
      </c>
      <c r="R23" s="193" t="str">
        <f t="shared" si="2"/>
        <v>HW</v>
      </c>
      <c r="S23" s="193" t="str">
        <f t="shared" si="2"/>
        <v>HW</v>
      </c>
      <c r="T23" s="193" t="str">
        <f t="shared" si="2"/>
        <v>HL</v>
      </c>
      <c r="U23" s="193" t="str">
        <f t="shared" si="3"/>
        <v>O</v>
      </c>
      <c r="V23" s="193" t="str">
        <f t="shared" si="3"/>
        <v>U</v>
      </c>
      <c r="W23" s="193" t="str">
        <f t="shared" si="3"/>
        <v>O</v>
      </c>
      <c r="X23" s="193" t="str">
        <f t="shared" si="3"/>
        <v>O</v>
      </c>
      <c r="Z23" s="193">
        <v>55</v>
      </c>
      <c r="AA23" s="193" t="str">
        <f t="shared" si="4"/>
        <v>PHO/DEN</v>
      </c>
    </row>
    <row r="24" spans="1:27" s="193" customFormat="1" x14ac:dyDescent="0.3">
      <c r="A24" s="193">
        <v>191224</v>
      </c>
      <c r="B24" s="194">
        <v>0.5</v>
      </c>
      <c r="C24" s="5" t="s">
        <v>417</v>
      </c>
      <c r="D24" s="5" t="s">
        <v>398</v>
      </c>
      <c r="E24" s="193">
        <v>31</v>
      </c>
      <c r="F24" s="193">
        <v>25</v>
      </c>
      <c r="G24" s="193">
        <v>21</v>
      </c>
      <c r="H24" s="193">
        <v>17</v>
      </c>
      <c r="J24" s="193">
        <v>31</v>
      </c>
      <c r="K24" s="193">
        <v>23</v>
      </c>
      <c r="L24" s="193">
        <v>28</v>
      </c>
      <c r="M24" s="193">
        <v>20</v>
      </c>
      <c r="N24" s="193" t="s">
        <v>427</v>
      </c>
      <c r="O24" s="193">
        <f t="shared" si="0"/>
        <v>94</v>
      </c>
      <c r="P24" s="193">
        <f t="shared" si="1"/>
        <v>102</v>
      </c>
      <c r="Q24" s="193" t="str">
        <f t="shared" si="2"/>
        <v>TT</v>
      </c>
      <c r="R24" s="193" t="str">
        <f t="shared" si="2"/>
        <v>HW</v>
      </c>
      <c r="S24" s="193" t="str">
        <f t="shared" si="2"/>
        <v>HL</v>
      </c>
      <c r="T24" s="193" t="str">
        <f t="shared" si="2"/>
        <v>HL</v>
      </c>
      <c r="U24" s="193" t="str">
        <f t="shared" si="3"/>
        <v>O</v>
      </c>
      <c r="V24" s="193" t="str">
        <f t="shared" si="3"/>
        <v>U</v>
      </c>
      <c r="W24" s="193" t="str">
        <f t="shared" si="3"/>
        <v>U</v>
      </c>
      <c r="X24" s="193" t="str">
        <f t="shared" si="3"/>
        <v>U</v>
      </c>
      <c r="Z24" s="193">
        <v>57.5</v>
      </c>
      <c r="AA24" s="193" t="str">
        <f t="shared" si="4"/>
        <v>POR/NO</v>
      </c>
    </row>
    <row r="25" spans="1:27" s="193" customFormat="1" x14ac:dyDescent="0.3">
      <c r="A25" s="193">
        <v>191224</v>
      </c>
      <c r="B25" s="194">
        <v>0.5</v>
      </c>
      <c r="C25" s="5" t="s">
        <v>416</v>
      </c>
      <c r="D25" s="5" t="s">
        <v>403</v>
      </c>
      <c r="E25" s="193">
        <v>21</v>
      </c>
      <c r="F25" s="193">
        <v>36</v>
      </c>
      <c r="G25" s="193">
        <v>22</v>
      </c>
      <c r="H25" s="193">
        <v>25</v>
      </c>
      <c r="J25" s="193">
        <v>37</v>
      </c>
      <c r="K25" s="193">
        <v>28</v>
      </c>
      <c r="L25" s="193">
        <v>32</v>
      </c>
      <c r="M25" s="193">
        <v>16</v>
      </c>
      <c r="N25" s="193" t="s">
        <v>427</v>
      </c>
      <c r="O25" s="193">
        <f t="shared" si="0"/>
        <v>104</v>
      </c>
      <c r="P25" s="193">
        <f t="shared" si="1"/>
        <v>113</v>
      </c>
      <c r="Q25" s="193" t="str">
        <f t="shared" si="2"/>
        <v>HL</v>
      </c>
      <c r="R25" s="193" t="str">
        <f t="shared" si="2"/>
        <v>HW</v>
      </c>
      <c r="S25" s="193" t="str">
        <f t="shared" si="2"/>
        <v>HL</v>
      </c>
      <c r="T25" s="193" t="str">
        <f t="shared" si="2"/>
        <v>HW</v>
      </c>
      <c r="U25" s="193" t="str">
        <f t="shared" si="3"/>
        <v>O</v>
      </c>
      <c r="V25" s="193" t="str">
        <f t="shared" si="3"/>
        <v>O</v>
      </c>
      <c r="W25" s="193" t="str">
        <f t="shared" si="3"/>
        <v>U</v>
      </c>
      <c r="X25" s="193" t="str">
        <f t="shared" si="3"/>
        <v>U</v>
      </c>
      <c r="Z25" s="193">
        <v>57.5</v>
      </c>
      <c r="AA25" s="193" t="str">
        <f t="shared" si="4"/>
        <v>SAC/HOU</v>
      </c>
    </row>
    <row r="26" spans="1:27" s="193" customFormat="1" x14ac:dyDescent="0.3">
      <c r="A26" s="193">
        <v>191224</v>
      </c>
      <c r="B26" s="194">
        <v>0.52083333333333337</v>
      </c>
      <c r="C26" s="5" t="s">
        <v>425</v>
      </c>
      <c r="D26" s="5" t="s">
        <v>420</v>
      </c>
      <c r="E26" s="193">
        <v>22</v>
      </c>
      <c r="F26" s="193">
        <v>35</v>
      </c>
      <c r="G26" s="193">
        <v>27</v>
      </c>
      <c r="H26" s="193">
        <v>29</v>
      </c>
      <c r="J26" s="193">
        <v>22</v>
      </c>
      <c r="K26" s="193">
        <v>21</v>
      </c>
      <c r="L26" s="193">
        <v>24</v>
      </c>
      <c r="M26" s="193">
        <v>37</v>
      </c>
      <c r="N26" s="193" t="s">
        <v>427</v>
      </c>
      <c r="O26" s="193">
        <f t="shared" si="0"/>
        <v>113</v>
      </c>
      <c r="P26" s="193">
        <f t="shared" si="1"/>
        <v>104</v>
      </c>
      <c r="Q26" s="193" t="str">
        <f t="shared" si="2"/>
        <v>TT</v>
      </c>
      <c r="R26" s="193" t="str">
        <f t="shared" si="2"/>
        <v>HW</v>
      </c>
      <c r="S26" s="193" t="str">
        <f t="shared" si="2"/>
        <v>HW</v>
      </c>
      <c r="T26" s="193" t="str">
        <f t="shared" si="2"/>
        <v>HL</v>
      </c>
      <c r="U26" s="193" t="str">
        <f t="shared" si="3"/>
        <v>U</v>
      </c>
      <c r="V26" s="193" t="str">
        <f t="shared" si="3"/>
        <v>T</v>
      </c>
      <c r="W26" s="193" t="str">
        <f t="shared" si="3"/>
        <v>U</v>
      </c>
      <c r="X26" s="193" t="str">
        <f t="shared" si="3"/>
        <v>O</v>
      </c>
      <c r="Z26" s="193">
        <v>56</v>
      </c>
      <c r="AA26" s="193" t="str">
        <f t="shared" si="4"/>
        <v>GS/MIN</v>
      </c>
    </row>
    <row r="27" spans="1:27" s="193" customFormat="1" x14ac:dyDescent="0.3">
      <c r="A27" s="193">
        <v>191226</v>
      </c>
      <c r="B27" s="194">
        <v>8.3333333333333329E-2</v>
      </c>
      <c r="C27" s="5" t="s">
        <v>413</v>
      </c>
      <c r="D27" s="5" t="s">
        <v>421</v>
      </c>
      <c r="E27" s="193">
        <v>19</v>
      </c>
      <c r="F27" s="193">
        <v>28</v>
      </c>
      <c r="G27" s="193">
        <v>22</v>
      </c>
      <c r="H27" s="193">
        <v>33</v>
      </c>
      <c r="J27" s="193">
        <v>28</v>
      </c>
      <c r="K27" s="193">
        <v>27</v>
      </c>
      <c r="L27" s="193">
        <v>33</v>
      </c>
      <c r="M27" s="193">
        <v>30</v>
      </c>
      <c r="N27" s="193" t="s">
        <v>427</v>
      </c>
      <c r="O27" s="193">
        <f t="shared" si="0"/>
        <v>102</v>
      </c>
      <c r="P27" s="193">
        <f t="shared" si="1"/>
        <v>118</v>
      </c>
      <c r="Q27" s="193" t="str">
        <f t="shared" si="2"/>
        <v>HL</v>
      </c>
      <c r="R27" s="193" t="str">
        <f t="shared" si="2"/>
        <v>HW</v>
      </c>
      <c r="S27" s="193" t="str">
        <f t="shared" si="2"/>
        <v>HL</v>
      </c>
      <c r="T27" s="193" t="str">
        <f t="shared" si="2"/>
        <v>HW</v>
      </c>
      <c r="U27" s="193" t="str">
        <f t="shared" si="3"/>
        <v>U</v>
      </c>
      <c r="V27" s="193" t="str">
        <f t="shared" si="3"/>
        <v>O</v>
      </c>
      <c r="W27" s="193" t="str">
        <f t="shared" si="3"/>
        <v>O</v>
      </c>
      <c r="X27" s="193" t="str">
        <f t="shared" si="3"/>
        <v>O</v>
      </c>
      <c r="Z27" s="193">
        <v>53</v>
      </c>
      <c r="AA27" s="193" t="str">
        <f t="shared" si="4"/>
        <v>TOR/BOS</v>
      </c>
    </row>
    <row r="28" spans="1:27" s="193" customFormat="1" x14ac:dyDescent="0.3">
      <c r="A28" s="193">
        <v>191226</v>
      </c>
      <c r="B28" s="194">
        <v>0.1875</v>
      </c>
      <c r="C28" s="5" t="s">
        <v>401</v>
      </c>
      <c r="D28" s="5" t="s">
        <v>423</v>
      </c>
      <c r="E28" s="193">
        <v>38</v>
      </c>
      <c r="F28" s="193">
        <v>31</v>
      </c>
      <c r="G28" s="193">
        <v>31</v>
      </c>
      <c r="H28" s="193">
        <v>21</v>
      </c>
      <c r="J28" s="193">
        <v>30</v>
      </c>
      <c r="K28" s="193">
        <v>18</v>
      </c>
      <c r="L28" s="193">
        <v>25</v>
      </c>
      <c r="M28" s="193">
        <v>36</v>
      </c>
      <c r="N28" s="193" t="s">
        <v>427</v>
      </c>
      <c r="O28" s="193">
        <f t="shared" si="0"/>
        <v>121</v>
      </c>
      <c r="P28" s="193">
        <f t="shared" si="1"/>
        <v>109</v>
      </c>
      <c r="Q28" s="193" t="str">
        <f t="shared" si="2"/>
        <v>HW</v>
      </c>
      <c r="R28" s="193" t="str">
        <f t="shared" si="2"/>
        <v>HW</v>
      </c>
      <c r="S28" s="193" t="str">
        <f t="shared" si="2"/>
        <v>HW</v>
      </c>
      <c r="T28" s="193" t="str">
        <f t="shared" si="2"/>
        <v>HL</v>
      </c>
      <c r="U28" s="193" t="str">
        <f t="shared" si="3"/>
        <v>O</v>
      </c>
      <c r="V28" s="193" t="str">
        <f t="shared" si="3"/>
        <v>U</v>
      </c>
      <c r="W28" s="193" t="str">
        <f t="shared" si="3"/>
        <v>O</v>
      </c>
      <c r="X28" s="193" t="str">
        <f t="shared" si="3"/>
        <v>O</v>
      </c>
      <c r="Z28" s="193">
        <v>54.5</v>
      </c>
      <c r="AA28" s="193" t="str">
        <f t="shared" si="4"/>
        <v>PHI/MIL</v>
      </c>
    </row>
    <row r="29" spans="1:27" s="193" customFormat="1" x14ac:dyDescent="0.3">
      <c r="A29" s="193">
        <v>191226</v>
      </c>
      <c r="B29" s="194">
        <v>0.29166666666666669</v>
      </c>
      <c r="C29" s="5" t="s">
        <v>425</v>
      </c>
      <c r="D29" s="5" t="s">
        <v>403</v>
      </c>
      <c r="E29" s="193">
        <v>28</v>
      </c>
      <c r="F29" s="193">
        <v>36</v>
      </c>
      <c r="G29" s="193">
        <v>28</v>
      </c>
      <c r="H29" s="193">
        <v>24</v>
      </c>
      <c r="J29" s="193">
        <v>29</v>
      </c>
      <c r="K29" s="193">
        <v>39</v>
      </c>
      <c r="L29" s="193">
        <v>19</v>
      </c>
      <c r="M29" s="193">
        <v>17</v>
      </c>
      <c r="N29" s="193" t="s">
        <v>427</v>
      </c>
      <c r="O29" s="193">
        <f t="shared" si="0"/>
        <v>116</v>
      </c>
      <c r="P29" s="193">
        <f t="shared" si="1"/>
        <v>104</v>
      </c>
      <c r="Q29" s="193" t="str">
        <f t="shared" si="2"/>
        <v>HL</v>
      </c>
      <c r="R29" s="193" t="str">
        <f t="shared" si="2"/>
        <v>HL</v>
      </c>
      <c r="S29" s="193" t="str">
        <f t="shared" si="2"/>
        <v>HW</v>
      </c>
      <c r="T29" s="193" t="str">
        <f t="shared" si="2"/>
        <v>HW</v>
      </c>
      <c r="U29" s="193" t="str">
        <f t="shared" si="3"/>
        <v>U</v>
      </c>
      <c r="V29" s="193" t="str">
        <f t="shared" si="3"/>
        <v>O</v>
      </c>
      <c r="W29" s="193" t="str">
        <f t="shared" si="3"/>
        <v>U</v>
      </c>
      <c r="X29" s="193" t="str">
        <f t="shared" si="3"/>
        <v>U</v>
      </c>
      <c r="Z29" s="193">
        <v>59</v>
      </c>
      <c r="AA29" s="193" t="str">
        <f t="shared" si="4"/>
        <v>GS/HOU</v>
      </c>
    </row>
    <row r="30" spans="1:27" s="193" customFormat="1" x14ac:dyDescent="0.3">
      <c r="A30" s="193">
        <v>191226</v>
      </c>
      <c r="B30" s="194">
        <v>0.41666666666666669</v>
      </c>
      <c r="C30" s="5" t="s">
        <v>419</v>
      </c>
      <c r="D30" s="5" t="s">
        <v>415</v>
      </c>
      <c r="E30" s="193">
        <v>33</v>
      </c>
      <c r="F30" s="193">
        <v>30</v>
      </c>
      <c r="G30" s="193">
        <v>23</v>
      </c>
      <c r="H30" s="193">
        <v>20</v>
      </c>
      <c r="J30" s="193">
        <v>31</v>
      </c>
      <c r="K30" s="193">
        <v>20</v>
      </c>
      <c r="L30" s="193">
        <v>35</v>
      </c>
      <c r="M30" s="193">
        <v>25</v>
      </c>
      <c r="N30" s="193" t="s">
        <v>427</v>
      </c>
      <c r="O30" s="193">
        <f t="shared" si="0"/>
        <v>106</v>
      </c>
      <c r="P30" s="193">
        <f t="shared" si="1"/>
        <v>111</v>
      </c>
      <c r="Q30" s="193" t="str">
        <f t="shared" si="2"/>
        <v>HW</v>
      </c>
      <c r="R30" s="193" t="str">
        <f t="shared" si="2"/>
        <v>HW</v>
      </c>
      <c r="S30" s="193" t="str">
        <f t="shared" si="2"/>
        <v>HL</v>
      </c>
      <c r="T30" s="193" t="str">
        <f t="shared" si="2"/>
        <v>HL</v>
      </c>
      <c r="U30" s="193" t="str">
        <f t="shared" si="3"/>
        <v>O</v>
      </c>
      <c r="V30" s="193" t="str">
        <f t="shared" si="3"/>
        <v>U</v>
      </c>
      <c r="W30" s="193" t="str">
        <f t="shared" si="3"/>
        <v>T</v>
      </c>
      <c r="X30" s="193" t="str">
        <f t="shared" si="3"/>
        <v>U</v>
      </c>
      <c r="Z30" s="193">
        <v>58</v>
      </c>
      <c r="AA30" s="193" t="str">
        <f t="shared" si="4"/>
        <v>LAL/LAC</v>
      </c>
    </row>
    <row r="31" spans="1:27" s="193" customFormat="1" x14ac:dyDescent="0.3">
      <c r="A31" s="193">
        <v>191226</v>
      </c>
      <c r="B31" s="194">
        <v>0.52083333333333337</v>
      </c>
      <c r="C31" s="5" t="s">
        <v>408</v>
      </c>
      <c r="D31" s="5" t="s">
        <v>398</v>
      </c>
      <c r="E31" s="193">
        <v>26</v>
      </c>
      <c r="F31" s="193">
        <v>29</v>
      </c>
      <c r="G31" s="193">
        <v>25</v>
      </c>
      <c r="H31" s="193">
        <v>20</v>
      </c>
      <c r="J31" s="193">
        <v>29</v>
      </c>
      <c r="K31" s="193">
        <v>29</v>
      </c>
      <c r="L31" s="193">
        <v>26</v>
      </c>
      <c r="M31" s="193">
        <v>28</v>
      </c>
      <c r="N31" s="193" t="s">
        <v>427</v>
      </c>
      <c r="O31" s="193">
        <f t="shared" si="0"/>
        <v>100</v>
      </c>
      <c r="P31" s="193">
        <f t="shared" si="1"/>
        <v>112</v>
      </c>
      <c r="Q31" s="193" t="str">
        <f t="shared" si="2"/>
        <v>HL</v>
      </c>
      <c r="R31" s="193" t="str">
        <f t="shared" si="2"/>
        <v>TT</v>
      </c>
      <c r="S31" s="193" t="str">
        <f t="shared" si="2"/>
        <v>HL</v>
      </c>
      <c r="T31" s="193" t="str">
        <f t="shared" si="2"/>
        <v>HL</v>
      </c>
      <c r="U31" s="193" t="str">
        <f t="shared" si="3"/>
        <v>U</v>
      </c>
      <c r="V31" s="193" t="str">
        <f t="shared" si="3"/>
        <v>O</v>
      </c>
      <c r="W31" s="193" t="str">
        <f t="shared" si="3"/>
        <v>U</v>
      </c>
      <c r="X31" s="193" t="str">
        <f t="shared" si="3"/>
        <v>U</v>
      </c>
      <c r="Z31" s="193">
        <v>56</v>
      </c>
      <c r="AA31" s="193" t="str">
        <f t="shared" si="4"/>
        <v>DEN/NO</v>
      </c>
    </row>
    <row r="32" spans="1:27" s="193" customFormat="1" x14ac:dyDescent="0.3">
      <c r="A32" s="193">
        <v>191227</v>
      </c>
      <c r="B32" s="194">
        <v>0.375</v>
      </c>
      <c r="C32" s="5" t="s">
        <v>422</v>
      </c>
      <c r="D32" s="5" t="s">
        <v>414</v>
      </c>
      <c r="E32" s="193">
        <v>31</v>
      </c>
      <c r="F32" s="193">
        <v>37</v>
      </c>
      <c r="G32" s="193">
        <v>38</v>
      </c>
      <c r="H32" s="193">
        <v>26</v>
      </c>
      <c r="J32" s="193">
        <v>23</v>
      </c>
      <c r="K32" s="193">
        <v>25</v>
      </c>
      <c r="L32" s="193">
        <v>28</v>
      </c>
      <c r="M32" s="193">
        <v>26</v>
      </c>
      <c r="N32" s="193" t="s">
        <v>427</v>
      </c>
      <c r="O32" s="193">
        <f t="shared" si="0"/>
        <v>132</v>
      </c>
      <c r="P32" s="193">
        <f t="shared" si="1"/>
        <v>102</v>
      </c>
      <c r="Q32" s="193" t="str">
        <f t="shared" si="2"/>
        <v>HW</v>
      </c>
      <c r="R32" s="193" t="str">
        <f t="shared" si="2"/>
        <v>HW</v>
      </c>
      <c r="S32" s="193" t="str">
        <f t="shared" si="2"/>
        <v>HW</v>
      </c>
      <c r="T32" s="193" t="str">
        <f t="shared" si="2"/>
        <v>TT</v>
      </c>
      <c r="U32" s="193" t="str">
        <f t="shared" si="3"/>
        <v>U</v>
      </c>
      <c r="V32" s="193" t="str">
        <f t="shared" si="3"/>
        <v>O</v>
      </c>
      <c r="W32" s="193" t="str">
        <f t="shared" si="3"/>
        <v>O</v>
      </c>
      <c r="X32" s="193" t="str">
        <f t="shared" si="3"/>
        <v>U</v>
      </c>
      <c r="Z32" s="193">
        <v>59</v>
      </c>
      <c r="AA32" s="193" t="str">
        <f t="shared" si="4"/>
        <v>DET/WAS</v>
      </c>
    </row>
    <row r="33" spans="1:27" s="193" customFormat="1" x14ac:dyDescent="0.3">
      <c r="A33" s="193">
        <v>191227</v>
      </c>
      <c r="B33" s="194">
        <v>0.39583333333333331</v>
      </c>
      <c r="C33" s="5" t="s">
        <v>407</v>
      </c>
      <c r="D33" s="5" t="s">
        <v>399</v>
      </c>
      <c r="E33" s="193">
        <v>15</v>
      </c>
      <c r="F33" s="193">
        <v>26</v>
      </c>
      <c r="G33" s="193">
        <v>20</v>
      </c>
      <c r="H33" s="193">
        <v>21</v>
      </c>
      <c r="J33" s="193">
        <v>24</v>
      </c>
      <c r="K33" s="193">
        <v>22</v>
      </c>
      <c r="L33" s="193">
        <v>33</v>
      </c>
      <c r="M33" s="193">
        <v>15</v>
      </c>
      <c r="N33" s="193" t="s">
        <v>427</v>
      </c>
      <c r="O33" s="193">
        <f t="shared" si="0"/>
        <v>82</v>
      </c>
      <c r="P33" s="193">
        <f t="shared" si="1"/>
        <v>94</v>
      </c>
      <c r="Q33" s="193" t="str">
        <f t="shared" si="2"/>
        <v>HL</v>
      </c>
      <c r="R33" s="193" t="str">
        <f t="shared" si="2"/>
        <v>HW</v>
      </c>
      <c r="S33" s="193" t="str">
        <f t="shared" si="2"/>
        <v>HL</v>
      </c>
      <c r="T33" s="193" t="str">
        <f t="shared" si="2"/>
        <v>HW</v>
      </c>
      <c r="U33" s="193" t="str">
        <f t="shared" si="3"/>
        <v>U</v>
      </c>
      <c r="V33" s="193" t="str">
        <f t="shared" si="3"/>
        <v>U</v>
      </c>
      <c r="W33" s="193" t="str">
        <f t="shared" si="3"/>
        <v>U</v>
      </c>
      <c r="X33" s="193" t="str">
        <f t="shared" si="3"/>
        <v>U</v>
      </c>
      <c r="Z33" s="193">
        <v>58</v>
      </c>
      <c r="AA33" s="193" t="str">
        <f t="shared" si="4"/>
        <v>BKN/NYK</v>
      </c>
    </row>
    <row r="34" spans="1:27" s="193" customFormat="1" x14ac:dyDescent="0.3">
      <c r="A34" s="193">
        <v>191227</v>
      </c>
      <c r="B34" s="194">
        <v>0.41666666666666669</v>
      </c>
      <c r="C34" s="5" t="s">
        <v>397</v>
      </c>
      <c r="D34" s="5" t="s">
        <v>426</v>
      </c>
      <c r="E34" s="193">
        <v>20</v>
      </c>
      <c r="F34" s="193">
        <v>32</v>
      </c>
      <c r="G34" s="193">
        <v>27</v>
      </c>
      <c r="H34" s="193">
        <v>23</v>
      </c>
      <c r="J34" s="193">
        <v>24</v>
      </c>
      <c r="K34" s="193">
        <v>23</v>
      </c>
      <c r="L34" s="193">
        <v>27</v>
      </c>
      <c r="M34" s="193">
        <v>24</v>
      </c>
      <c r="N34" s="193" t="s">
        <v>427</v>
      </c>
      <c r="O34" s="193">
        <f t="shared" si="0"/>
        <v>102</v>
      </c>
      <c r="P34" s="193">
        <f t="shared" si="1"/>
        <v>98</v>
      </c>
      <c r="Q34" s="193" t="str">
        <f t="shared" si="2"/>
        <v>HL</v>
      </c>
      <c r="R34" s="193" t="str">
        <f t="shared" si="2"/>
        <v>HW</v>
      </c>
      <c r="S34" s="193" t="str">
        <f t="shared" si="2"/>
        <v>TT</v>
      </c>
      <c r="T34" s="193" t="str">
        <f t="shared" si="2"/>
        <v>HL</v>
      </c>
      <c r="U34" s="193" t="str">
        <f t="shared" si="3"/>
        <v>U</v>
      </c>
      <c r="V34" s="193" t="str">
        <f t="shared" si="3"/>
        <v>U</v>
      </c>
      <c r="W34" s="193" t="str">
        <f t="shared" si="3"/>
        <v>U</v>
      </c>
      <c r="X34" s="193" t="str">
        <f t="shared" si="3"/>
        <v>U</v>
      </c>
      <c r="Z34" s="193">
        <v>56</v>
      </c>
      <c r="AA34" s="193" t="str">
        <f t="shared" si="4"/>
        <v>DAL/SAS</v>
      </c>
    </row>
    <row r="35" spans="1:27" s="193" customFormat="1" x14ac:dyDescent="0.3">
      <c r="A35" s="193">
        <v>191227</v>
      </c>
      <c r="B35" s="194">
        <v>0.41666666666666669</v>
      </c>
      <c r="C35" s="5" t="s">
        <v>418</v>
      </c>
      <c r="D35" s="5" t="s">
        <v>406</v>
      </c>
      <c r="E35" s="193">
        <v>18</v>
      </c>
      <c r="F35" s="193">
        <v>29</v>
      </c>
      <c r="G35" s="193">
        <v>27</v>
      </c>
      <c r="H35" s="193">
        <v>23</v>
      </c>
      <c r="J35" s="193">
        <v>23</v>
      </c>
      <c r="K35" s="193">
        <v>26</v>
      </c>
      <c r="L35" s="193">
        <v>37</v>
      </c>
      <c r="M35" s="193">
        <v>24</v>
      </c>
      <c r="N35" s="193" t="s">
        <v>427</v>
      </c>
      <c r="O35" s="193">
        <f t="shared" si="0"/>
        <v>97</v>
      </c>
      <c r="P35" s="193">
        <f t="shared" si="1"/>
        <v>110</v>
      </c>
      <c r="Q35" s="193" t="str">
        <f t="shared" si="2"/>
        <v>HL</v>
      </c>
      <c r="R35" s="193" t="str">
        <f t="shared" si="2"/>
        <v>HW</v>
      </c>
      <c r="S35" s="193" t="str">
        <f t="shared" si="2"/>
        <v>HL</v>
      </c>
      <c r="T35" s="193" t="str">
        <f t="shared" si="2"/>
        <v>HL</v>
      </c>
      <c r="U35" s="193" t="str">
        <f t="shared" si="3"/>
        <v>U</v>
      </c>
      <c r="V35" s="193" t="str">
        <f t="shared" si="3"/>
        <v>T</v>
      </c>
      <c r="W35" s="193" t="str">
        <f t="shared" si="3"/>
        <v>O</v>
      </c>
      <c r="X35" s="193" t="str">
        <f t="shared" si="3"/>
        <v>U</v>
      </c>
      <c r="Z35" s="193">
        <v>55</v>
      </c>
      <c r="AA35" s="193" t="str">
        <f t="shared" si="4"/>
        <v>OKC/MEM</v>
      </c>
    </row>
    <row r="36" spans="1:27" s="193" customFormat="1" x14ac:dyDescent="0.3">
      <c r="A36" s="193">
        <v>191227</v>
      </c>
      <c r="B36" s="194">
        <v>0.5</v>
      </c>
      <c r="C36" s="5" t="s">
        <v>416</v>
      </c>
      <c r="D36" s="5" t="s">
        <v>420</v>
      </c>
      <c r="E36" s="193">
        <v>26</v>
      </c>
      <c r="F36" s="193">
        <v>22</v>
      </c>
      <c r="G36" s="193">
        <v>31</v>
      </c>
      <c r="H36" s="193">
        <v>11</v>
      </c>
      <c r="I36" s="193">
        <v>14</v>
      </c>
      <c r="J36" s="193">
        <v>21</v>
      </c>
      <c r="K36" s="193">
        <v>29</v>
      </c>
      <c r="L36" s="193">
        <v>21</v>
      </c>
      <c r="M36" s="193">
        <v>19</v>
      </c>
      <c r="N36" s="193">
        <v>15</v>
      </c>
      <c r="O36" s="193">
        <f t="shared" si="0"/>
        <v>104</v>
      </c>
      <c r="P36" s="193">
        <f t="shared" si="1"/>
        <v>105</v>
      </c>
      <c r="Q36" s="193" t="str">
        <f t="shared" si="2"/>
        <v>HW</v>
      </c>
      <c r="R36" s="193" t="str">
        <f t="shared" si="2"/>
        <v>HL</v>
      </c>
      <c r="S36" s="193" t="str">
        <f t="shared" si="2"/>
        <v>HW</v>
      </c>
      <c r="T36" s="193" t="str">
        <f t="shared" si="2"/>
        <v>HL</v>
      </c>
      <c r="U36" s="193" t="str">
        <f t="shared" si="3"/>
        <v>U</v>
      </c>
      <c r="V36" s="193" t="str">
        <f t="shared" si="3"/>
        <v>U</v>
      </c>
      <c r="W36" s="193" t="str">
        <f t="shared" si="3"/>
        <v>U</v>
      </c>
      <c r="X36" s="193" t="str">
        <f t="shared" si="3"/>
        <v>U</v>
      </c>
      <c r="Z36" s="193">
        <v>57</v>
      </c>
      <c r="AA36" s="193" t="str">
        <f t="shared" si="4"/>
        <v>SAC/MIN</v>
      </c>
    </row>
    <row r="37" spans="1:27" s="193" customFormat="1" x14ac:dyDescent="0.3">
      <c r="A37" s="193">
        <v>191227</v>
      </c>
      <c r="B37" s="194">
        <v>0.52083333333333337</v>
      </c>
      <c r="C37" s="5" t="s">
        <v>405</v>
      </c>
      <c r="D37" s="5" t="s">
        <v>417</v>
      </c>
      <c r="E37" s="193">
        <v>37</v>
      </c>
      <c r="F37" s="193">
        <v>25</v>
      </c>
      <c r="G37" s="193">
        <v>34</v>
      </c>
      <c r="H37" s="193">
        <v>25</v>
      </c>
      <c r="J37" s="193">
        <v>22</v>
      </c>
      <c r="K37" s="193">
        <v>30</v>
      </c>
      <c r="L37" s="193">
        <v>24</v>
      </c>
      <c r="M37" s="193">
        <v>39</v>
      </c>
      <c r="N37" s="193" t="s">
        <v>427</v>
      </c>
      <c r="O37" s="193">
        <f t="shared" si="0"/>
        <v>121</v>
      </c>
      <c r="P37" s="193">
        <f t="shared" si="1"/>
        <v>115</v>
      </c>
      <c r="Q37" s="193" t="str">
        <f t="shared" si="2"/>
        <v>HW</v>
      </c>
      <c r="R37" s="193" t="str">
        <f t="shared" si="2"/>
        <v>HL</v>
      </c>
      <c r="S37" s="193" t="str">
        <f t="shared" si="2"/>
        <v>HW</v>
      </c>
      <c r="T37" s="193" t="str">
        <f t="shared" si="2"/>
        <v>HL</v>
      </c>
      <c r="U37" s="193" t="str">
        <f t="shared" si="3"/>
        <v>O</v>
      </c>
      <c r="V37" s="193" t="str">
        <f t="shared" si="3"/>
        <v>U</v>
      </c>
      <c r="W37" s="193" t="str">
        <f t="shared" si="3"/>
        <v>O</v>
      </c>
      <c r="X37" s="193" t="str">
        <f t="shared" si="3"/>
        <v>O</v>
      </c>
      <c r="Z37" s="193">
        <v>56.5</v>
      </c>
      <c r="AA37" s="193" t="str">
        <f t="shared" si="4"/>
        <v>UTA/POR</v>
      </c>
    </row>
    <row r="38" spans="1:27" s="193" customFormat="1" x14ac:dyDescent="0.3">
      <c r="A38" s="193">
        <v>191228</v>
      </c>
      <c r="B38" s="194">
        <v>0.25</v>
      </c>
      <c r="C38" s="5" t="s">
        <v>421</v>
      </c>
      <c r="D38" s="5" t="s">
        <v>402</v>
      </c>
      <c r="E38" s="193">
        <v>33</v>
      </c>
      <c r="F38" s="193">
        <v>29</v>
      </c>
      <c r="G38" s="193">
        <v>30</v>
      </c>
      <c r="H38" s="193">
        <v>37</v>
      </c>
      <c r="J38" s="193">
        <v>22</v>
      </c>
      <c r="K38" s="193">
        <v>25</v>
      </c>
      <c r="L38" s="193">
        <v>34</v>
      </c>
      <c r="M38" s="193">
        <v>36</v>
      </c>
      <c r="N38" s="193" t="s">
        <v>427</v>
      </c>
      <c r="O38" s="193">
        <f t="shared" si="0"/>
        <v>129</v>
      </c>
      <c r="P38" s="193">
        <f t="shared" si="1"/>
        <v>117</v>
      </c>
      <c r="Q38" s="193" t="str">
        <f t="shared" si="2"/>
        <v>HW</v>
      </c>
      <c r="R38" s="193" t="str">
        <f t="shared" si="2"/>
        <v>HW</v>
      </c>
      <c r="S38" s="193" t="str">
        <f t="shared" si="2"/>
        <v>HL</v>
      </c>
      <c r="T38" s="193" t="str">
        <f t="shared" si="2"/>
        <v>HW</v>
      </c>
      <c r="U38" s="193" t="str">
        <f t="shared" si="3"/>
        <v>O</v>
      </c>
      <c r="V38" s="193" t="str">
        <f t="shared" si="3"/>
        <v>O</v>
      </c>
      <c r="W38" s="193" t="str">
        <f t="shared" si="3"/>
        <v>O</v>
      </c>
      <c r="X38" s="193" t="str">
        <f t="shared" si="3"/>
        <v>O</v>
      </c>
      <c r="Z38" s="193">
        <v>53.5</v>
      </c>
      <c r="AA38" s="193" t="str">
        <f t="shared" si="4"/>
        <v>BOS/CLE</v>
      </c>
    </row>
    <row r="39" spans="1:27" s="193" customFormat="1" x14ac:dyDescent="0.3">
      <c r="A39" s="193">
        <v>191228</v>
      </c>
      <c r="B39" s="194">
        <v>0.375</v>
      </c>
      <c r="C39" s="5" t="s">
        <v>424</v>
      </c>
      <c r="D39" s="5" t="s">
        <v>401</v>
      </c>
      <c r="E39" s="193">
        <v>19</v>
      </c>
      <c r="F39" s="193">
        <v>27</v>
      </c>
      <c r="G39" s="193">
        <v>25</v>
      </c>
      <c r="H39" s="193">
        <v>27</v>
      </c>
      <c r="J39" s="193">
        <v>21</v>
      </c>
      <c r="K39" s="193">
        <v>26</v>
      </c>
      <c r="L39" s="193">
        <v>21</v>
      </c>
      <c r="M39" s="193">
        <v>29</v>
      </c>
      <c r="N39" s="193" t="s">
        <v>427</v>
      </c>
      <c r="O39" s="193">
        <f t="shared" si="0"/>
        <v>98</v>
      </c>
      <c r="P39" s="193">
        <f t="shared" si="1"/>
        <v>97</v>
      </c>
      <c r="Q39" s="193" t="str">
        <f t="shared" si="2"/>
        <v>HL</v>
      </c>
      <c r="R39" s="193" t="str">
        <f t="shared" si="2"/>
        <v>HW</v>
      </c>
      <c r="S39" s="193" t="str">
        <f t="shared" si="2"/>
        <v>HW</v>
      </c>
      <c r="T39" s="193" t="str">
        <f t="shared" si="2"/>
        <v>HL</v>
      </c>
      <c r="U39" s="193" t="str">
        <f t="shared" si="3"/>
        <v>U</v>
      </c>
      <c r="V39" s="193" t="str">
        <f t="shared" si="3"/>
        <v>O</v>
      </c>
      <c r="W39" s="193" t="str">
        <f t="shared" si="3"/>
        <v>U</v>
      </c>
      <c r="X39" s="193" t="str">
        <f t="shared" si="3"/>
        <v>O</v>
      </c>
      <c r="Z39" s="193">
        <v>52</v>
      </c>
      <c r="AA39" s="193" t="str">
        <f t="shared" si="4"/>
        <v>ORL/PHI</v>
      </c>
    </row>
    <row r="40" spans="1:27" s="193" customFormat="1" x14ac:dyDescent="0.3">
      <c r="A40" s="193">
        <v>191228</v>
      </c>
      <c r="B40" s="194">
        <v>0.375</v>
      </c>
      <c r="C40" s="5" t="s">
        <v>409</v>
      </c>
      <c r="D40" s="5" t="s">
        <v>418</v>
      </c>
      <c r="E40" s="193">
        <v>18</v>
      </c>
      <c r="F40" s="193">
        <v>25</v>
      </c>
      <c r="G40" s="193">
        <v>22</v>
      </c>
      <c r="H40" s="193">
        <v>29</v>
      </c>
      <c r="I40" s="193">
        <v>8</v>
      </c>
      <c r="J40" s="193">
        <v>26</v>
      </c>
      <c r="K40" s="193">
        <v>27</v>
      </c>
      <c r="L40" s="193">
        <v>19</v>
      </c>
      <c r="M40" s="193">
        <v>22</v>
      </c>
      <c r="N40" s="193">
        <v>10</v>
      </c>
      <c r="O40" s="193">
        <f t="shared" si="0"/>
        <v>102</v>
      </c>
      <c r="P40" s="193">
        <f t="shared" si="1"/>
        <v>104</v>
      </c>
      <c r="Q40" s="193" t="str">
        <f t="shared" si="2"/>
        <v>HL</v>
      </c>
      <c r="R40" s="193" t="str">
        <f t="shared" si="2"/>
        <v>HL</v>
      </c>
      <c r="S40" s="193" t="str">
        <f t="shared" si="2"/>
        <v>HW</v>
      </c>
      <c r="T40" s="193" t="str">
        <f t="shared" si="2"/>
        <v>HW</v>
      </c>
      <c r="U40" s="193" t="str">
        <f t="shared" si="3"/>
        <v>U</v>
      </c>
      <c r="V40" s="193" t="str">
        <f t="shared" si="3"/>
        <v>U</v>
      </c>
      <c r="W40" s="193" t="str">
        <f t="shared" si="3"/>
        <v>U</v>
      </c>
      <c r="X40" s="193" t="str">
        <f t="shared" si="3"/>
        <v>U</v>
      </c>
      <c r="Z40" s="193">
        <v>53.5</v>
      </c>
      <c r="AA40" s="193" t="str">
        <f t="shared" si="4"/>
        <v>CHA/OKC</v>
      </c>
    </row>
    <row r="41" spans="1:27" s="193" customFormat="1" x14ac:dyDescent="0.3">
      <c r="A41" s="193">
        <v>191228</v>
      </c>
      <c r="B41" s="194">
        <v>0.39583333333333331</v>
      </c>
      <c r="C41" s="5" t="s">
        <v>410</v>
      </c>
      <c r="D41" s="5" t="s">
        <v>423</v>
      </c>
      <c r="E41" s="193">
        <v>19</v>
      </c>
      <c r="F41" s="193">
        <v>21</v>
      </c>
      <c r="G41" s="193">
        <v>23</v>
      </c>
      <c r="H41" s="193">
        <v>23</v>
      </c>
      <c r="J41" s="193">
        <v>32</v>
      </c>
      <c r="K41" s="193">
        <v>31</v>
      </c>
      <c r="L41" s="193">
        <v>21</v>
      </c>
      <c r="M41" s="193">
        <v>28</v>
      </c>
      <c r="N41" s="193" t="s">
        <v>427</v>
      </c>
      <c r="O41" s="193">
        <f t="shared" si="0"/>
        <v>86</v>
      </c>
      <c r="P41" s="193">
        <f t="shared" si="1"/>
        <v>112</v>
      </c>
      <c r="Q41" s="193" t="str">
        <f t="shared" si="2"/>
        <v>HL</v>
      </c>
      <c r="R41" s="193" t="str">
        <f t="shared" si="2"/>
        <v>HL</v>
      </c>
      <c r="S41" s="193" t="str">
        <f t="shared" si="2"/>
        <v>HW</v>
      </c>
      <c r="T41" s="193" t="str">
        <f t="shared" si="2"/>
        <v>HL</v>
      </c>
      <c r="U41" s="193" t="str">
        <f t="shared" si="3"/>
        <v>U</v>
      </c>
      <c r="V41" s="193" t="str">
        <f t="shared" si="3"/>
        <v>U</v>
      </c>
      <c r="W41" s="193" t="str">
        <f t="shared" si="3"/>
        <v>U</v>
      </c>
      <c r="X41" s="193" t="str">
        <f t="shared" si="3"/>
        <v>U</v>
      </c>
      <c r="Z41" s="193">
        <v>58</v>
      </c>
      <c r="AA41" s="193" t="str">
        <f t="shared" si="4"/>
        <v>ATL/MIL</v>
      </c>
    </row>
    <row r="42" spans="1:27" s="193" customFormat="1" x14ac:dyDescent="0.3">
      <c r="A42" s="193">
        <v>191228</v>
      </c>
      <c r="B42" s="194">
        <v>0.41666666666666669</v>
      </c>
      <c r="C42" s="5" t="s">
        <v>411</v>
      </c>
      <c r="D42" s="5" t="s">
        <v>400</v>
      </c>
      <c r="E42" s="193">
        <v>25</v>
      </c>
      <c r="F42" s="193">
        <v>33</v>
      </c>
      <c r="G42" s="193">
        <v>26</v>
      </c>
      <c r="H42" s="193">
        <v>29</v>
      </c>
      <c r="J42" s="193">
        <v>27</v>
      </c>
      <c r="K42" s="193">
        <v>28</v>
      </c>
      <c r="L42" s="193">
        <v>27</v>
      </c>
      <c r="M42" s="193">
        <v>30</v>
      </c>
      <c r="N42" s="193" t="s">
        <v>427</v>
      </c>
      <c r="O42" s="193">
        <f t="shared" si="0"/>
        <v>113</v>
      </c>
      <c r="P42" s="193">
        <f t="shared" si="1"/>
        <v>112</v>
      </c>
      <c r="Q42" s="193" t="str">
        <f t="shared" si="2"/>
        <v>HL</v>
      </c>
      <c r="R42" s="193" t="str">
        <f t="shared" si="2"/>
        <v>HW</v>
      </c>
      <c r="S42" s="193" t="str">
        <f t="shared" si="2"/>
        <v>HL</v>
      </c>
      <c r="T42" s="193" t="str">
        <f t="shared" si="2"/>
        <v>HL</v>
      </c>
      <c r="U42" s="193" t="str">
        <f t="shared" si="3"/>
        <v>U</v>
      </c>
      <c r="V42" s="193" t="str">
        <f t="shared" si="3"/>
        <v>O</v>
      </c>
      <c r="W42" s="193" t="str">
        <f t="shared" si="3"/>
        <v>U</v>
      </c>
      <c r="X42" s="193" t="str">
        <f t="shared" si="3"/>
        <v>O</v>
      </c>
      <c r="Z42" s="193">
        <v>54.5</v>
      </c>
      <c r="AA42" s="193" t="str">
        <f t="shared" si="4"/>
        <v>MIA/IND</v>
      </c>
    </row>
    <row r="43" spans="1:27" s="193" customFormat="1" x14ac:dyDescent="0.3">
      <c r="A43" s="193">
        <v>191228</v>
      </c>
      <c r="B43" s="194">
        <v>0.52083333333333337</v>
      </c>
      <c r="C43" s="5" t="s">
        <v>425</v>
      </c>
      <c r="D43" s="5" t="s">
        <v>404</v>
      </c>
      <c r="E43" s="193">
        <v>25</v>
      </c>
      <c r="F43" s="193">
        <v>18</v>
      </c>
      <c r="G43" s="193">
        <v>23</v>
      </c>
      <c r="H43" s="193">
        <v>39</v>
      </c>
      <c r="J43" s="193">
        <v>29</v>
      </c>
      <c r="K43" s="193">
        <v>22</v>
      </c>
      <c r="L43" s="193">
        <v>27</v>
      </c>
      <c r="M43" s="193">
        <v>18</v>
      </c>
      <c r="N43" s="193" t="s">
        <v>427</v>
      </c>
      <c r="O43" s="193">
        <f t="shared" si="0"/>
        <v>105</v>
      </c>
      <c r="P43" s="193">
        <f t="shared" si="1"/>
        <v>96</v>
      </c>
      <c r="Q43" s="193" t="str">
        <f t="shared" si="2"/>
        <v>HL</v>
      </c>
      <c r="R43" s="193" t="str">
        <f t="shared" si="2"/>
        <v>HL</v>
      </c>
      <c r="S43" s="193" t="str">
        <f t="shared" si="2"/>
        <v>HL</v>
      </c>
      <c r="T43" s="193" t="str">
        <f t="shared" si="2"/>
        <v>HW</v>
      </c>
      <c r="U43" s="193" t="str">
        <f t="shared" si="3"/>
        <v>U</v>
      </c>
      <c r="V43" s="193" t="str">
        <f t="shared" si="3"/>
        <v>U</v>
      </c>
      <c r="W43" s="193" t="str">
        <f t="shared" si="3"/>
        <v>U</v>
      </c>
      <c r="X43" s="193" t="str">
        <f t="shared" si="3"/>
        <v>O</v>
      </c>
      <c r="Z43" s="193">
        <v>55.5</v>
      </c>
      <c r="AA43" s="193" t="str">
        <f t="shared" si="4"/>
        <v>GS/PHO</v>
      </c>
    </row>
    <row r="44" spans="1:27" s="193" customFormat="1" x14ac:dyDescent="0.3">
      <c r="A44" s="193">
        <v>191229</v>
      </c>
      <c r="B44" s="194">
        <v>0.29166666666666669</v>
      </c>
      <c r="C44" s="5" t="s">
        <v>408</v>
      </c>
      <c r="D44" s="5" t="s">
        <v>406</v>
      </c>
      <c r="E44" s="193">
        <v>26</v>
      </c>
      <c r="F44" s="193">
        <v>24</v>
      </c>
      <c r="G44" s="193">
        <v>32</v>
      </c>
      <c r="H44" s="193">
        <v>37</v>
      </c>
      <c r="J44" s="193">
        <v>11</v>
      </c>
      <c r="K44" s="193">
        <v>28</v>
      </c>
      <c r="L44" s="193">
        <v>29</v>
      </c>
      <c r="M44" s="193">
        <v>42</v>
      </c>
      <c r="N44" s="193" t="s">
        <v>427</v>
      </c>
      <c r="O44" s="193">
        <f t="shared" si="0"/>
        <v>119</v>
      </c>
      <c r="P44" s="193">
        <f t="shared" si="1"/>
        <v>110</v>
      </c>
      <c r="Q44" s="193" t="str">
        <f t="shared" si="2"/>
        <v>HW</v>
      </c>
      <c r="R44" s="193" t="str">
        <f t="shared" si="2"/>
        <v>HL</v>
      </c>
      <c r="S44" s="193" t="str">
        <f t="shared" si="2"/>
        <v>HW</v>
      </c>
      <c r="T44" s="193" t="str">
        <f t="shared" si="2"/>
        <v>HL</v>
      </c>
      <c r="U44" s="193" t="str">
        <f t="shared" si="3"/>
        <v>U</v>
      </c>
      <c r="V44" s="193" t="str">
        <f t="shared" si="3"/>
        <v>U</v>
      </c>
      <c r="W44" s="193" t="str">
        <f t="shared" si="3"/>
        <v>O</v>
      </c>
      <c r="X44" s="193" t="str">
        <f t="shared" si="3"/>
        <v>O</v>
      </c>
      <c r="Z44" s="193">
        <v>54.5</v>
      </c>
      <c r="AA44" s="193" t="str">
        <f t="shared" si="4"/>
        <v>DEN/MEM</v>
      </c>
    </row>
    <row r="45" spans="1:27" s="193" customFormat="1" x14ac:dyDescent="0.3">
      <c r="A45" s="193">
        <v>191229</v>
      </c>
      <c r="B45" s="194">
        <v>0.375</v>
      </c>
      <c r="C45" s="5" t="s">
        <v>421</v>
      </c>
      <c r="D45" s="5" t="s">
        <v>413</v>
      </c>
      <c r="E45" s="193">
        <v>25</v>
      </c>
      <c r="F45" s="193">
        <v>29</v>
      </c>
      <c r="G45" s="193">
        <v>25</v>
      </c>
      <c r="H45" s="193">
        <v>18</v>
      </c>
      <c r="J45" s="193">
        <v>36</v>
      </c>
      <c r="K45" s="193">
        <v>23</v>
      </c>
      <c r="L45" s="193">
        <v>30</v>
      </c>
      <c r="M45" s="193">
        <v>24</v>
      </c>
      <c r="N45" s="193" t="s">
        <v>427</v>
      </c>
      <c r="O45" s="193">
        <f t="shared" si="0"/>
        <v>97</v>
      </c>
      <c r="P45" s="193">
        <f t="shared" si="1"/>
        <v>113</v>
      </c>
      <c r="Q45" s="193" t="str">
        <f t="shared" si="2"/>
        <v>HL</v>
      </c>
      <c r="R45" s="193" t="str">
        <f t="shared" si="2"/>
        <v>HW</v>
      </c>
      <c r="S45" s="193" t="str">
        <f t="shared" si="2"/>
        <v>HL</v>
      </c>
      <c r="T45" s="193" t="str">
        <f t="shared" si="2"/>
        <v>HL</v>
      </c>
      <c r="U45" s="193" t="str">
        <f t="shared" si="3"/>
        <v>O</v>
      </c>
      <c r="V45" s="193" t="str">
        <f t="shared" si="3"/>
        <v>U</v>
      </c>
      <c r="W45" s="193" t="str">
        <f t="shared" si="3"/>
        <v>U</v>
      </c>
      <c r="X45" s="193" t="str">
        <f t="shared" si="3"/>
        <v>U</v>
      </c>
      <c r="Z45" s="193">
        <v>55.5</v>
      </c>
      <c r="AA45" s="193" t="str">
        <f t="shared" si="4"/>
        <v>BOS/TOR</v>
      </c>
    </row>
    <row r="46" spans="1:27" s="193" customFormat="1" x14ac:dyDescent="0.3">
      <c r="A46" s="193">
        <v>191229</v>
      </c>
      <c r="B46" s="194">
        <v>0.375</v>
      </c>
      <c r="C46" s="5" t="s">
        <v>398</v>
      </c>
      <c r="D46" s="5" t="s">
        <v>400</v>
      </c>
      <c r="E46" s="193">
        <v>19</v>
      </c>
      <c r="F46" s="193">
        <v>29</v>
      </c>
      <c r="G46" s="193">
        <v>38</v>
      </c>
      <c r="H46" s="193">
        <v>34</v>
      </c>
      <c r="J46" s="193">
        <v>32</v>
      </c>
      <c r="K46" s="193">
        <v>13</v>
      </c>
      <c r="L46" s="193">
        <v>23</v>
      </c>
      <c r="M46" s="193">
        <v>30</v>
      </c>
      <c r="N46" s="193" t="s">
        <v>427</v>
      </c>
      <c r="O46" s="193">
        <f t="shared" si="0"/>
        <v>120</v>
      </c>
      <c r="P46" s="193">
        <f t="shared" si="1"/>
        <v>98</v>
      </c>
      <c r="Q46" s="193" t="str">
        <f t="shared" si="2"/>
        <v>HL</v>
      </c>
      <c r="R46" s="193" t="str">
        <f t="shared" si="2"/>
        <v>HW</v>
      </c>
      <c r="S46" s="193" t="str">
        <f t="shared" si="2"/>
        <v>HW</v>
      </c>
      <c r="T46" s="193" t="str">
        <f t="shared" si="2"/>
        <v>HW</v>
      </c>
      <c r="U46" s="193" t="str">
        <f t="shared" si="3"/>
        <v>U</v>
      </c>
      <c r="V46" s="193" t="str">
        <f t="shared" si="3"/>
        <v>U</v>
      </c>
      <c r="W46" s="193" t="str">
        <f t="shared" si="3"/>
        <v>O</v>
      </c>
      <c r="X46" s="193" t="str">
        <f t="shared" si="3"/>
        <v>O</v>
      </c>
      <c r="Z46" s="193">
        <v>56.5</v>
      </c>
      <c r="AA46" s="193" t="str">
        <f t="shared" si="4"/>
        <v>NO/IND</v>
      </c>
    </row>
    <row r="47" spans="1:27" s="193" customFormat="1" x14ac:dyDescent="0.3">
      <c r="A47" s="193">
        <v>191229</v>
      </c>
      <c r="B47" s="194">
        <v>0.41666666666666669</v>
      </c>
      <c r="C47" s="5" t="s">
        <v>412</v>
      </c>
      <c r="D47" s="5" t="s">
        <v>410</v>
      </c>
      <c r="E47" s="193">
        <v>35</v>
      </c>
      <c r="F47" s="193">
        <v>29</v>
      </c>
      <c r="G47" s="193">
        <v>19</v>
      </c>
      <c r="H47" s="193">
        <v>33</v>
      </c>
      <c r="J47" s="193">
        <v>19</v>
      </c>
      <c r="K47" s="193">
        <v>24</v>
      </c>
      <c r="L47" s="193">
        <v>22</v>
      </c>
      <c r="M47" s="193">
        <v>16</v>
      </c>
      <c r="N47" s="193" t="s">
        <v>427</v>
      </c>
      <c r="O47" s="193">
        <f t="shared" si="0"/>
        <v>116</v>
      </c>
      <c r="P47" s="193">
        <f t="shared" si="1"/>
        <v>81</v>
      </c>
      <c r="Q47" s="193" t="str">
        <f t="shared" si="2"/>
        <v>HW</v>
      </c>
      <c r="R47" s="193" t="str">
        <f t="shared" si="2"/>
        <v>HW</v>
      </c>
      <c r="S47" s="193" t="str">
        <f t="shared" si="2"/>
        <v>HL</v>
      </c>
      <c r="T47" s="193" t="str">
        <f t="shared" si="2"/>
        <v>HW</v>
      </c>
      <c r="U47" s="193" t="str">
        <f t="shared" si="3"/>
        <v>U</v>
      </c>
      <c r="V47" s="193" t="str">
        <f t="shared" si="3"/>
        <v>U</v>
      </c>
      <c r="W47" s="193" t="str">
        <f t="shared" si="3"/>
        <v>U</v>
      </c>
      <c r="X47" s="193" t="str">
        <f t="shared" si="3"/>
        <v>U</v>
      </c>
      <c r="Z47" s="193">
        <v>55.5</v>
      </c>
      <c r="AA47" s="193" t="str">
        <f t="shared" si="4"/>
        <v>CHI/ATL</v>
      </c>
    </row>
    <row r="48" spans="1:27" s="193" customFormat="1" x14ac:dyDescent="0.3">
      <c r="A48" s="193">
        <v>191229</v>
      </c>
      <c r="B48" s="194">
        <v>0.41666666666666669</v>
      </c>
      <c r="C48" s="5" t="s">
        <v>403</v>
      </c>
      <c r="D48" s="5" t="s">
        <v>407</v>
      </c>
      <c r="E48" s="193">
        <v>42</v>
      </c>
      <c r="F48" s="193">
        <v>21</v>
      </c>
      <c r="G48" s="193">
        <v>25</v>
      </c>
      <c r="H48" s="193">
        <v>20</v>
      </c>
      <c r="J48" s="193">
        <v>20</v>
      </c>
      <c r="K48" s="193">
        <v>34</v>
      </c>
      <c r="L48" s="193">
        <v>25</v>
      </c>
      <c r="M48" s="193">
        <v>19</v>
      </c>
      <c r="N48" s="193" t="s">
        <v>427</v>
      </c>
      <c r="O48" s="193">
        <f t="shared" si="0"/>
        <v>108</v>
      </c>
      <c r="P48" s="193">
        <f t="shared" si="1"/>
        <v>98</v>
      </c>
      <c r="Q48" s="193" t="str">
        <f t="shared" si="2"/>
        <v>HW</v>
      </c>
      <c r="R48" s="193" t="str">
        <f t="shared" si="2"/>
        <v>HL</v>
      </c>
      <c r="S48" s="193" t="str">
        <f t="shared" si="2"/>
        <v>TT</v>
      </c>
      <c r="T48" s="193" t="str">
        <f t="shared" si="2"/>
        <v>HW</v>
      </c>
      <c r="U48" s="193" t="str">
        <f t="shared" si="3"/>
        <v>O</v>
      </c>
      <c r="V48" s="193" t="str">
        <f t="shared" si="3"/>
        <v>U</v>
      </c>
      <c r="W48" s="193" t="str">
        <f t="shared" si="3"/>
        <v>U</v>
      </c>
      <c r="X48" s="193" t="str">
        <f t="shared" si="3"/>
        <v>U</v>
      </c>
      <c r="Z48" s="193">
        <v>57.5</v>
      </c>
      <c r="AA48" s="193" t="str">
        <f t="shared" si="4"/>
        <v>HOU/BKN</v>
      </c>
    </row>
    <row r="49" spans="1:27" s="193" customFormat="1" x14ac:dyDescent="0.3">
      <c r="A49" s="193">
        <v>191229</v>
      </c>
      <c r="B49" s="194">
        <v>0.41666666666666669</v>
      </c>
      <c r="C49" s="5" t="s">
        <v>411</v>
      </c>
      <c r="D49" s="5" t="s">
        <v>401</v>
      </c>
      <c r="E49" s="193">
        <v>28</v>
      </c>
      <c r="F49" s="193">
        <v>26</v>
      </c>
      <c r="G49" s="193">
        <v>31</v>
      </c>
      <c r="H49" s="193">
        <v>23</v>
      </c>
      <c r="I49" s="193">
        <v>9</v>
      </c>
      <c r="J49" s="193">
        <v>33</v>
      </c>
      <c r="K49" s="193">
        <v>26</v>
      </c>
      <c r="L49" s="193">
        <v>20</v>
      </c>
      <c r="M49" s="193">
        <v>29</v>
      </c>
      <c r="N49" s="193">
        <v>8</v>
      </c>
      <c r="O49" s="193">
        <f t="shared" si="0"/>
        <v>117</v>
      </c>
      <c r="P49" s="193">
        <f t="shared" si="1"/>
        <v>116</v>
      </c>
      <c r="Q49" s="193" t="str">
        <f t="shared" si="2"/>
        <v>HL</v>
      </c>
      <c r="R49" s="193" t="str">
        <f t="shared" si="2"/>
        <v>TT</v>
      </c>
      <c r="S49" s="193" t="str">
        <f t="shared" si="2"/>
        <v>HW</v>
      </c>
      <c r="T49" s="193" t="str">
        <f t="shared" si="2"/>
        <v>HL</v>
      </c>
      <c r="U49" s="193" t="str">
        <f t="shared" si="3"/>
        <v>O</v>
      </c>
      <c r="V49" s="193" t="str">
        <f t="shared" si="3"/>
        <v>U</v>
      </c>
      <c r="W49" s="193" t="str">
        <f t="shared" si="3"/>
        <v>U</v>
      </c>
      <c r="X49" s="193" t="str">
        <f t="shared" si="3"/>
        <v>U</v>
      </c>
      <c r="Z49" s="193">
        <v>52.5</v>
      </c>
      <c r="AA49" s="193" t="str">
        <f t="shared" si="4"/>
        <v>MIA/PHI</v>
      </c>
    </row>
    <row r="50" spans="1:27" s="193" customFormat="1" x14ac:dyDescent="0.3">
      <c r="A50" s="193">
        <v>191229</v>
      </c>
      <c r="B50" s="194">
        <v>0.41666666666666669</v>
      </c>
      <c r="C50" s="5" t="s">
        <v>420</v>
      </c>
      <c r="D50" s="5" t="s">
        <v>402</v>
      </c>
      <c r="E50" s="193">
        <v>21</v>
      </c>
      <c r="F50" s="193">
        <v>22</v>
      </c>
      <c r="G50" s="193">
        <v>17</v>
      </c>
      <c r="H50" s="193">
        <v>28</v>
      </c>
      <c r="J50" s="193">
        <v>27</v>
      </c>
      <c r="K50" s="193">
        <v>22</v>
      </c>
      <c r="L50" s="193">
        <v>18</v>
      </c>
      <c r="M50" s="193">
        <v>27</v>
      </c>
      <c r="N50" s="193" t="s">
        <v>427</v>
      </c>
      <c r="O50" s="193">
        <f t="shared" si="0"/>
        <v>88</v>
      </c>
      <c r="P50" s="193">
        <f t="shared" si="1"/>
        <v>94</v>
      </c>
      <c r="Q50" s="193" t="str">
        <f t="shared" si="2"/>
        <v>HL</v>
      </c>
      <c r="R50" s="193" t="str">
        <f t="shared" si="2"/>
        <v>TT</v>
      </c>
      <c r="S50" s="193" t="str">
        <f t="shared" si="2"/>
        <v>HL</v>
      </c>
      <c r="T50" s="193" t="str">
        <f t="shared" si="2"/>
        <v>HW</v>
      </c>
      <c r="U50" s="193" t="str">
        <f t="shared" si="3"/>
        <v>U</v>
      </c>
      <c r="V50" s="193" t="str">
        <f t="shared" si="3"/>
        <v>U</v>
      </c>
      <c r="W50" s="193" t="str">
        <f t="shared" si="3"/>
        <v>U</v>
      </c>
      <c r="X50" s="193" t="str">
        <f t="shared" si="3"/>
        <v>O</v>
      </c>
      <c r="Z50" s="193">
        <v>53.5</v>
      </c>
      <c r="AA50" s="193" t="str">
        <f t="shared" si="4"/>
        <v>MIN/CLE</v>
      </c>
    </row>
    <row r="51" spans="1:27" s="193" customFormat="1" x14ac:dyDescent="0.3">
      <c r="A51" s="193">
        <v>191229</v>
      </c>
      <c r="B51" s="194">
        <v>0.41666666666666669</v>
      </c>
      <c r="C51" s="5" t="s">
        <v>414</v>
      </c>
      <c r="D51" s="5" t="s">
        <v>399</v>
      </c>
      <c r="E51" s="193">
        <v>23</v>
      </c>
      <c r="F51" s="193">
        <v>35</v>
      </c>
      <c r="G51" s="193">
        <v>20</v>
      </c>
      <c r="H51" s="193">
        <v>22</v>
      </c>
      <c r="J51" s="193">
        <v>33</v>
      </c>
      <c r="K51" s="193">
        <v>26</v>
      </c>
      <c r="L51" s="193">
        <v>27</v>
      </c>
      <c r="M51" s="193">
        <v>21</v>
      </c>
      <c r="N51" s="193" t="s">
        <v>427</v>
      </c>
      <c r="O51" s="193">
        <f t="shared" si="0"/>
        <v>100</v>
      </c>
      <c r="P51" s="193">
        <f t="shared" si="1"/>
        <v>107</v>
      </c>
      <c r="Q51" s="193" t="str">
        <f t="shared" si="2"/>
        <v>HL</v>
      </c>
      <c r="R51" s="193" t="str">
        <f t="shared" si="2"/>
        <v>HW</v>
      </c>
      <c r="S51" s="193" t="str">
        <f t="shared" si="2"/>
        <v>HL</v>
      </c>
      <c r="T51" s="193" t="str">
        <f t="shared" si="2"/>
        <v>HW</v>
      </c>
      <c r="U51" s="193" t="str">
        <f t="shared" si="3"/>
        <v>U</v>
      </c>
      <c r="V51" s="193" t="str">
        <f t="shared" si="3"/>
        <v>O</v>
      </c>
      <c r="W51" s="193" t="str">
        <f t="shared" si="3"/>
        <v>U</v>
      </c>
      <c r="X51" s="193" t="str">
        <f t="shared" si="3"/>
        <v>U</v>
      </c>
      <c r="Z51" s="193">
        <v>58</v>
      </c>
      <c r="AA51" s="193" t="str">
        <f t="shared" si="4"/>
        <v>WAS/NYK</v>
      </c>
    </row>
    <row r="52" spans="1:27" s="193" customFormat="1" x14ac:dyDescent="0.3">
      <c r="A52" s="193">
        <v>191229</v>
      </c>
      <c r="B52" s="194">
        <v>0.4375</v>
      </c>
      <c r="C52" s="5" t="s">
        <v>425</v>
      </c>
      <c r="D52" s="5" t="s">
        <v>397</v>
      </c>
      <c r="E52" s="193">
        <v>41</v>
      </c>
      <c r="F52" s="193">
        <v>33</v>
      </c>
      <c r="G52" s="193">
        <v>24</v>
      </c>
      <c r="H52" s="193">
        <v>23</v>
      </c>
      <c r="J52" s="193">
        <v>41</v>
      </c>
      <c r="K52" s="193">
        <v>31</v>
      </c>
      <c r="L52" s="193">
        <v>45</v>
      </c>
      <c r="M52" s="193">
        <v>24</v>
      </c>
      <c r="N52" s="193" t="s">
        <v>427</v>
      </c>
      <c r="O52" s="193">
        <f t="shared" si="0"/>
        <v>121</v>
      </c>
      <c r="P52" s="193">
        <f t="shared" si="1"/>
        <v>141</v>
      </c>
      <c r="Q52" s="193" t="str">
        <f t="shared" si="2"/>
        <v>TT</v>
      </c>
      <c r="R52" s="193" t="str">
        <f t="shared" si="2"/>
        <v>HW</v>
      </c>
      <c r="S52" s="193" t="str">
        <f t="shared" si="2"/>
        <v>HL</v>
      </c>
      <c r="T52" s="193" t="str">
        <f t="shared" si="2"/>
        <v>HL</v>
      </c>
      <c r="U52" s="193" t="str">
        <f t="shared" si="3"/>
        <v>O</v>
      </c>
      <c r="V52" s="193" t="str">
        <f t="shared" si="3"/>
        <v>O</v>
      </c>
      <c r="W52" s="193" t="str">
        <f t="shared" si="3"/>
        <v>O</v>
      </c>
      <c r="X52" s="193" t="str">
        <f t="shared" si="3"/>
        <v>U</v>
      </c>
      <c r="Z52" s="193">
        <v>56</v>
      </c>
      <c r="AA52" s="193" t="str">
        <f t="shared" si="4"/>
        <v>GS/DAL</v>
      </c>
    </row>
    <row r="53" spans="1:27" s="193" customFormat="1" x14ac:dyDescent="0.3">
      <c r="A53" s="193">
        <v>191229</v>
      </c>
      <c r="B53" s="194">
        <v>0.4375</v>
      </c>
      <c r="C53" s="5" t="s">
        <v>423</v>
      </c>
      <c r="D53" s="5" t="s">
        <v>424</v>
      </c>
      <c r="E53" s="193">
        <v>37</v>
      </c>
      <c r="F53" s="193">
        <v>19</v>
      </c>
      <c r="G53" s="193">
        <v>22</v>
      </c>
      <c r="H53" s="193">
        <v>33</v>
      </c>
      <c r="J53" s="193">
        <v>25</v>
      </c>
      <c r="K53" s="193">
        <v>21</v>
      </c>
      <c r="L53" s="193">
        <v>28</v>
      </c>
      <c r="M53" s="193">
        <v>26</v>
      </c>
      <c r="N53" s="193" t="s">
        <v>427</v>
      </c>
      <c r="O53" s="193">
        <f t="shared" si="0"/>
        <v>111</v>
      </c>
      <c r="P53" s="193">
        <f t="shared" si="1"/>
        <v>100</v>
      </c>
      <c r="Q53" s="193" t="str">
        <f t="shared" si="2"/>
        <v>HW</v>
      </c>
      <c r="R53" s="193" t="str">
        <f t="shared" si="2"/>
        <v>HL</v>
      </c>
      <c r="S53" s="193" t="str">
        <f t="shared" si="2"/>
        <v>HL</v>
      </c>
      <c r="T53" s="193" t="str">
        <f t="shared" si="2"/>
        <v>HW</v>
      </c>
      <c r="U53" s="193" t="str">
        <f t="shared" si="3"/>
        <v>O</v>
      </c>
      <c r="V53" s="193" t="str">
        <f t="shared" si="3"/>
        <v>U</v>
      </c>
      <c r="W53" s="193" t="str">
        <f t="shared" si="3"/>
        <v>U</v>
      </c>
      <c r="X53" s="193" t="str">
        <f t="shared" si="3"/>
        <v>O</v>
      </c>
      <c r="Z53" s="193">
        <v>55.5</v>
      </c>
      <c r="AA53" s="193" t="str">
        <f t="shared" si="4"/>
        <v>MIL/ORL</v>
      </c>
    </row>
    <row r="54" spans="1:27" s="193" customFormat="1" x14ac:dyDescent="0.3">
      <c r="A54" s="193">
        <v>191229</v>
      </c>
      <c r="B54" s="194">
        <v>0.4375</v>
      </c>
      <c r="C54" s="5" t="s">
        <v>426</v>
      </c>
      <c r="D54" s="5" t="s">
        <v>422</v>
      </c>
      <c r="E54" s="193">
        <v>30</v>
      </c>
      <c r="F54" s="193">
        <v>29</v>
      </c>
      <c r="G54" s="193">
        <v>42</v>
      </c>
      <c r="H54" s="193">
        <v>35</v>
      </c>
      <c r="J54" s="193">
        <v>28</v>
      </c>
      <c r="K54" s="193">
        <v>27</v>
      </c>
      <c r="L54" s="193">
        <v>25</v>
      </c>
      <c r="M54" s="193">
        <v>29</v>
      </c>
      <c r="N54" s="193" t="s">
        <v>427</v>
      </c>
      <c r="O54" s="193">
        <f t="shared" si="0"/>
        <v>136</v>
      </c>
      <c r="P54" s="193">
        <f t="shared" si="1"/>
        <v>109</v>
      </c>
      <c r="Q54" s="193" t="str">
        <f t="shared" si="2"/>
        <v>HW</v>
      </c>
      <c r="R54" s="193" t="str">
        <f t="shared" si="2"/>
        <v>HW</v>
      </c>
      <c r="S54" s="193" t="str">
        <f t="shared" si="2"/>
        <v>HW</v>
      </c>
      <c r="T54" s="193" t="str">
        <f t="shared" si="2"/>
        <v>HW</v>
      </c>
      <c r="U54" s="193" t="str">
        <f t="shared" si="3"/>
        <v>O</v>
      </c>
      <c r="V54" s="193" t="str">
        <f t="shared" si="3"/>
        <v>U</v>
      </c>
      <c r="W54" s="193" t="str">
        <f t="shared" si="3"/>
        <v>O</v>
      </c>
      <c r="X54" s="193" t="str">
        <f t="shared" si="3"/>
        <v>O</v>
      </c>
      <c r="Z54" s="193">
        <v>57</v>
      </c>
      <c r="AA54" s="193" t="str">
        <f t="shared" si="4"/>
        <v>SAS/DET</v>
      </c>
    </row>
    <row r="55" spans="1:27" s="193" customFormat="1" x14ac:dyDescent="0.3">
      <c r="A55" s="193">
        <v>191229</v>
      </c>
      <c r="B55" s="194">
        <v>0.45833333333333331</v>
      </c>
      <c r="C55" s="5" t="s">
        <v>416</v>
      </c>
      <c r="D55" s="5" t="s">
        <v>404</v>
      </c>
      <c r="E55" s="193">
        <v>30</v>
      </c>
      <c r="F55" s="193">
        <v>19</v>
      </c>
      <c r="G55" s="193">
        <v>28</v>
      </c>
      <c r="H55" s="193">
        <v>33</v>
      </c>
      <c r="J55" s="193">
        <v>31</v>
      </c>
      <c r="K55" s="193">
        <v>28</v>
      </c>
      <c r="L55" s="193">
        <v>22</v>
      </c>
      <c r="M55" s="193">
        <v>31</v>
      </c>
      <c r="N55" s="193" t="s">
        <v>427</v>
      </c>
      <c r="O55" s="193">
        <f t="shared" si="0"/>
        <v>110</v>
      </c>
      <c r="P55" s="193">
        <f t="shared" si="1"/>
        <v>112</v>
      </c>
      <c r="Q55" s="193" t="str">
        <f t="shared" si="2"/>
        <v>HL</v>
      </c>
      <c r="R55" s="193" t="str">
        <f t="shared" si="2"/>
        <v>HL</v>
      </c>
      <c r="S55" s="193" t="str">
        <f t="shared" si="2"/>
        <v>HW</v>
      </c>
      <c r="T55" s="193" t="str">
        <f t="shared" si="2"/>
        <v>HW</v>
      </c>
      <c r="U55" s="193" t="str">
        <f t="shared" si="3"/>
        <v>O</v>
      </c>
      <c r="V55" s="193" t="str">
        <f t="shared" si="3"/>
        <v>U</v>
      </c>
      <c r="W55" s="193" t="str">
        <f t="shared" si="3"/>
        <v>U</v>
      </c>
      <c r="X55" s="193" t="str">
        <f t="shared" si="3"/>
        <v>O</v>
      </c>
      <c r="Z55" s="193">
        <v>53.5</v>
      </c>
      <c r="AA55" s="193" t="str">
        <f t="shared" si="4"/>
        <v>SAC/PHO</v>
      </c>
    </row>
    <row r="56" spans="1:27" s="193" customFormat="1" x14ac:dyDescent="0.3">
      <c r="A56" s="193">
        <v>191229</v>
      </c>
      <c r="B56" s="194">
        <v>0.5</v>
      </c>
      <c r="C56" s="5" t="s">
        <v>417</v>
      </c>
      <c r="D56" s="5" t="s">
        <v>419</v>
      </c>
      <c r="E56" s="193">
        <v>32</v>
      </c>
      <c r="F56" s="193">
        <v>32</v>
      </c>
      <c r="G56" s="193">
        <v>31</v>
      </c>
      <c r="H56" s="193">
        <v>25</v>
      </c>
      <c r="J56" s="193">
        <v>34</v>
      </c>
      <c r="K56" s="193">
        <v>37</v>
      </c>
      <c r="L56" s="193">
        <v>32</v>
      </c>
      <c r="M56" s="193">
        <v>25</v>
      </c>
      <c r="N56" s="193" t="s">
        <v>427</v>
      </c>
      <c r="O56" s="193">
        <f t="shared" si="0"/>
        <v>120</v>
      </c>
      <c r="P56" s="193">
        <f t="shared" si="1"/>
        <v>128</v>
      </c>
      <c r="Q56" s="193" t="str">
        <f t="shared" si="2"/>
        <v>HL</v>
      </c>
      <c r="R56" s="193" t="str">
        <f t="shared" si="2"/>
        <v>HL</v>
      </c>
      <c r="S56" s="193" t="str">
        <f t="shared" si="2"/>
        <v>HL</v>
      </c>
      <c r="T56" s="193" t="str">
        <f t="shared" si="2"/>
        <v>TT</v>
      </c>
      <c r="U56" s="193" t="str">
        <f t="shared" si="3"/>
        <v>O</v>
      </c>
      <c r="V56" s="193" t="str">
        <f t="shared" si="3"/>
        <v>O</v>
      </c>
      <c r="W56" s="193" t="str">
        <f t="shared" si="3"/>
        <v>O</v>
      </c>
      <c r="X56" s="193" t="str">
        <f t="shared" si="3"/>
        <v>U</v>
      </c>
      <c r="Z56" s="193">
        <v>57.5</v>
      </c>
      <c r="AA56" s="193" t="str">
        <f t="shared" si="4"/>
        <v>POR/LAL</v>
      </c>
    </row>
    <row r="57" spans="1:27" s="193" customFormat="1" x14ac:dyDescent="0.3">
      <c r="A57" s="193">
        <v>191229</v>
      </c>
      <c r="B57" s="194">
        <v>0.52083333333333337</v>
      </c>
      <c r="C57" s="5" t="s">
        <v>415</v>
      </c>
      <c r="D57" s="5" t="s">
        <v>405</v>
      </c>
      <c r="E57" s="193">
        <v>32</v>
      </c>
      <c r="F57" s="193">
        <v>31</v>
      </c>
      <c r="G57" s="193">
        <v>29</v>
      </c>
      <c r="H57" s="193">
        <v>15</v>
      </c>
      <c r="J57" s="193">
        <v>22</v>
      </c>
      <c r="K57" s="193">
        <v>39</v>
      </c>
      <c r="L57" s="193">
        <v>32</v>
      </c>
      <c r="M57" s="193">
        <v>27</v>
      </c>
      <c r="N57" s="193" t="s">
        <v>427</v>
      </c>
      <c r="O57" s="193">
        <f t="shared" si="0"/>
        <v>107</v>
      </c>
      <c r="P57" s="193">
        <f t="shared" si="1"/>
        <v>120</v>
      </c>
      <c r="Q57" s="193" t="str">
        <f t="shared" si="2"/>
        <v>HW</v>
      </c>
      <c r="R57" s="193" t="str">
        <f t="shared" si="2"/>
        <v>HL</v>
      </c>
      <c r="S57" s="193" t="str">
        <f t="shared" si="2"/>
        <v>HL</v>
      </c>
      <c r="T57" s="193" t="str">
        <f t="shared" si="2"/>
        <v>HL</v>
      </c>
      <c r="U57" s="193" t="str">
        <f t="shared" si="3"/>
        <v>U</v>
      </c>
      <c r="V57" s="193" t="str">
        <f t="shared" si="3"/>
        <v>O</v>
      </c>
      <c r="W57" s="193" t="str">
        <f t="shared" si="3"/>
        <v>O</v>
      </c>
      <c r="X57" s="193" t="str">
        <f t="shared" si="3"/>
        <v>U</v>
      </c>
      <c r="Z57" s="193">
        <v>55</v>
      </c>
      <c r="AA57" s="193" t="str">
        <f t="shared" si="4"/>
        <v>LAC/UTA</v>
      </c>
    </row>
    <row r="58" spans="1:27" s="193" customFormat="1" x14ac:dyDescent="0.3">
      <c r="A58" s="193">
        <v>191230</v>
      </c>
      <c r="B58" s="194">
        <v>0.33333333333333331</v>
      </c>
      <c r="C58" s="5" t="s">
        <v>413</v>
      </c>
      <c r="D58" s="5" t="s">
        <v>418</v>
      </c>
      <c r="E58" s="193">
        <v>20</v>
      </c>
      <c r="F58" s="193">
        <v>27</v>
      </c>
      <c r="G58" s="193">
        <v>33</v>
      </c>
      <c r="H58" s="193">
        <v>17</v>
      </c>
      <c r="J58" s="193">
        <v>22</v>
      </c>
      <c r="K58" s="193">
        <v>25</v>
      </c>
      <c r="L58" s="193">
        <v>29</v>
      </c>
      <c r="M58" s="193">
        <v>22</v>
      </c>
      <c r="N58" s="193" t="s">
        <v>427</v>
      </c>
      <c r="O58" s="193">
        <f t="shared" si="0"/>
        <v>97</v>
      </c>
      <c r="P58" s="193">
        <f t="shared" si="1"/>
        <v>98</v>
      </c>
      <c r="Q58" s="193" t="str">
        <f t="shared" si="2"/>
        <v>HL</v>
      </c>
      <c r="R58" s="193" t="str">
        <f t="shared" si="2"/>
        <v>HW</v>
      </c>
      <c r="S58" s="193" t="str">
        <f t="shared" si="2"/>
        <v>HW</v>
      </c>
      <c r="T58" s="193" t="str">
        <f t="shared" si="2"/>
        <v>HL</v>
      </c>
      <c r="U58" s="193" t="str">
        <f t="shared" si="3"/>
        <v>U</v>
      </c>
      <c r="V58" s="193" t="str">
        <f t="shared" si="3"/>
        <v>U</v>
      </c>
      <c r="W58" s="193" t="str">
        <f t="shared" si="3"/>
        <v>O</v>
      </c>
      <c r="X58" s="193" t="str">
        <f t="shared" si="3"/>
        <v>U</v>
      </c>
      <c r="Z58" s="193">
        <v>54</v>
      </c>
      <c r="AA58" s="193" t="str">
        <f t="shared" si="4"/>
        <v>TOR/OKC</v>
      </c>
    </row>
    <row r="59" spans="1:27" s="193" customFormat="1" x14ac:dyDescent="0.3">
      <c r="A59" s="193">
        <v>191230</v>
      </c>
      <c r="B59" s="194">
        <v>0.41666666666666669</v>
      </c>
      <c r="C59" s="5" t="s">
        <v>398</v>
      </c>
      <c r="D59" s="5" t="s">
        <v>403</v>
      </c>
      <c r="E59" s="193">
        <v>36</v>
      </c>
      <c r="F59" s="193">
        <v>28</v>
      </c>
      <c r="G59" s="193">
        <v>22</v>
      </c>
      <c r="H59" s="193">
        <v>41</v>
      </c>
      <c r="J59" s="193">
        <v>37</v>
      </c>
      <c r="K59" s="193">
        <v>27</v>
      </c>
      <c r="L59" s="193">
        <v>29</v>
      </c>
      <c r="M59" s="193">
        <v>19</v>
      </c>
      <c r="N59" s="193" t="s">
        <v>427</v>
      </c>
      <c r="O59" s="193">
        <f t="shared" si="0"/>
        <v>127</v>
      </c>
      <c r="P59" s="193">
        <f t="shared" si="1"/>
        <v>112</v>
      </c>
      <c r="Q59" s="193" t="str">
        <f t="shared" si="2"/>
        <v>HL</v>
      </c>
      <c r="R59" s="193" t="str">
        <f t="shared" si="2"/>
        <v>HW</v>
      </c>
      <c r="S59" s="193" t="str">
        <f t="shared" si="2"/>
        <v>HL</v>
      </c>
      <c r="T59" s="193" t="str">
        <f t="shared" si="2"/>
        <v>HW</v>
      </c>
      <c r="U59" s="193" t="str">
        <f t="shared" si="3"/>
        <v>O</v>
      </c>
      <c r="V59" s="193" t="str">
        <f t="shared" si="3"/>
        <v>U</v>
      </c>
      <c r="W59" s="193" t="str">
        <f t="shared" si="3"/>
        <v>U</v>
      </c>
      <c r="X59" s="193" t="str">
        <f t="shared" si="3"/>
        <v>O</v>
      </c>
      <c r="Z59" s="193">
        <v>57.5</v>
      </c>
      <c r="AA59" s="193" t="str">
        <f t="shared" si="4"/>
        <v>NO/HOU</v>
      </c>
    </row>
    <row r="60" spans="1:27" s="193" customFormat="1" x14ac:dyDescent="0.3">
      <c r="A60" s="193">
        <v>191230</v>
      </c>
      <c r="B60" s="194">
        <v>0.41666666666666669</v>
      </c>
      <c r="C60" s="5" t="s">
        <v>408</v>
      </c>
      <c r="D60" s="5" t="s">
        <v>416</v>
      </c>
      <c r="E60" s="193">
        <v>31</v>
      </c>
      <c r="F60" s="193">
        <v>31</v>
      </c>
      <c r="G60" s="193">
        <v>26</v>
      </c>
      <c r="H60" s="193">
        <v>32</v>
      </c>
      <c r="J60" s="193">
        <v>32</v>
      </c>
      <c r="K60" s="193">
        <v>25</v>
      </c>
      <c r="L60" s="193">
        <v>24</v>
      </c>
      <c r="M60" s="193">
        <v>34</v>
      </c>
      <c r="N60" s="193" t="s">
        <v>427</v>
      </c>
      <c r="O60" s="193">
        <f t="shared" si="0"/>
        <v>120</v>
      </c>
      <c r="P60" s="193">
        <f t="shared" si="1"/>
        <v>115</v>
      </c>
      <c r="Q60" s="193" t="str">
        <f t="shared" si="2"/>
        <v>HL</v>
      </c>
      <c r="R60" s="193" t="str">
        <f t="shared" si="2"/>
        <v>HW</v>
      </c>
      <c r="S60" s="193" t="str">
        <f t="shared" si="2"/>
        <v>HW</v>
      </c>
      <c r="T60" s="193" t="str">
        <f t="shared" si="2"/>
        <v>HL</v>
      </c>
      <c r="U60" s="193" t="str">
        <f t="shared" si="3"/>
        <v>O</v>
      </c>
      <c r="V60" s="193" t="str">
        <f t="shared" si="3"/>
        <v>O</v>
      </c>
      <c r="W60" s="193" t="str">
        <f t="shared" si="3"/>
        <v>U</v>
      </c>
      <c r="X60" s="193" t="str">
        <f t="shared" si="3"/>
        <v>O</v>
      </c>
      <c r="Z60" s="193">
        <v>54</v>
      </c>
      <c r="AA60" s="193" t="str">
        <f t="shared" si="4"/>
        <v>DEN/SAC</v>
      </c>
    </row>
    <row r="61" spans="1:27" s="193" customFormat="1" x14ac:dyDescent="0.3">
      <c r="A61" s="193">
        <v>191230</v>
      </c>
      <c r="B61" s="194">
        <v>0.41666666666666669</v>
      </c>
      <c r="C61" s="5" t="s">
        <v>406</v>
      </c>
      <c r="D61" s="5" t="s">
        <v>409</v>
      </c>
      <c r="E61" s="193">
        <v>31</v>
      </c>
      <c r="F61" s="193">
        <v>25</v>
      </c>
      <c r="G61" s="193">
        <v>30</v>
      </c>
      <c r="H61" s="193">
        <v>31</v>
      </c>
      <c r="J61" s="193">
        <v>20</v>
      </c>
      <c r="K61" s="193">
        <v>26</v>
      </c>
      <c r="L61" s="193">
        <v>29</v>
      </c>
      <c r="M61" s="193">
        <v>29</v>
      </c>
      <c r="N61" s="193" t="s">
        <v>427</v>
      </c>
      <c r="O61" s="193">
        <f t="shared" si="0"/>
        <v>117</v>
      </c>
      <c r="P61" s="193">
        <f t="shared" si="1"/>
        <v>104</v>
      </c>
      <c r="Q61" s="193" t="str">
        <f t="shared" si="2"/>
        <v>HW</v>
      </c>
      <c r="R61" s="193" t="str">
        <f t="shared" si="2"/>
        <v>HL</v>
      </c>
      <c r="S61" s="193" t="str">
        <f t="shared" si="2"/>
        <v>HW</v>
      </c>
      <c r="T61" s="193" t="str">
        <f t="shared" si="2"/>
        <v>HW</v>
      </c>
      <c r="U61" s="193" t="str">
        <f t="shared" si="3"/>
        <v>U</v>
      </c>
      <c r="V61" s="193" t="str">
        <f t="shared" si="3"/>
        <v>U</v>
      </c>
      <c r="W61" s="193" t="str">
        <f t="shared" si="3"/>
        <v>O</v>
      </c>
      <c r="X61" s="193" t="str">
        <f t="shared" si="3"/>
        <v>O</v>
      </c>
      <c r="Z61" s="193">
        <v>56.5</v>
      </c>
      <c r="AA61" s="193" t="str">
        <f t="shared" si="4"/>
        <v>MEM/CHA</v>
      </c>
    </row>
    <row r="62" spans="1:27" s="193" customFormat="1" x14ac:dyDescent="0.3">
      <c r="A62" s="193">
        <v>191230</v>
      </c>
      <c r="B62" s="194">
        <v>0.47916666666666669</v>
      </c>
      <c r="C62" s="5" t="s">
        <v>419</v>
      </c>
      <c r="D62" s="5" t="s">
        <v>397</v>
      </c>
      <c r="E62" s="193">
        <v>25</v>
      </c>
      <c r="F62" s="193">
        <v>29</v>
      </c>
      <c r="G62" s="193">
        <v>30</v>
      </c>
      <c r="H62" s="193">
        <v>24</v>
      </c>
      <c r="J62" s="193">
        <v>19</v>
      </c>
      <c r="K62" s="193">
        <v>24</v>
      </c>
      <c r="L62" s="193">
        <v>26</v>
      </c>
      <c r="M62" s="193">
        <v>26</v>
      </c>
      <c r="N62" s="193" t="s">
        <v>427</v>
      </c>
      <c r="O62" s="193">
        <f t="shared" si="0"/>
        <v>108</v>
      </c>
      <c r="P62" s="193">
        <f t="shared" si="1"/>
        <v>95</v>
      </c>
      <c r="Q62" s="193" t="str">
        <f t="shared" si="2"/>
        <v>HW</v>
      </c>
      <c r="R62" s="193" t="str">
        <f t="shared" si="2"/>
        <v>HW</v>
      </c>
      <c r="S62" s="193" t="str">
        <f t="shared" si="2"/>
        <v>HW</v>
      </c>
      <c r="T62" s="193" t="str">
        <f t="shared" si="2"/>
        <v>HL</v>
      </c>
      <c r="U62" s="193" t="str">
        <f t="shared" si="3"/>
        <v>U</v>
      </c>
      <c r="V62" s="193" t="str">
        <f t="shared" si="3"/>
        <v>U</v>
      </c>
      <c r="W62" s="193" t="str">
        <f t="shared" si="3"/>
        <v>U</v>
      </c>
      <c r="X62" s="193" t="str">
        <f t="shared" si="3"/>
        <v>U</v>
      </c>
      <c r="Z62" s="193">
        <v>58</v>
      </c>
      <c r="AA62" s="193" t="str">
        <f t="shared" si="4"/>
        <v>LAL/DAL</v>
      </c>
    </row>
    <row r="63" spans="1:27" s="193" customFormat="1" x14ac:dyDescent="0.3">
      <c r="A63" s="193">
        <v>191231</v>
      </c>
      <c r="B63" s="194">
        <v>0.375</v>
      </c>
      <c r="C63" s="5" t="s">
        <v>424</v>
      </c>
      <c r="D63" s="5" t="s">
        <v>410</v>
      </c>
      <c r="E63" s="193">
        <v>21</v>
      </c>
      <c r="F63" s="193">
        <v>36</v>
      </c>
      <c r="G63" s="193">
        <v>15</v>
      </c>
      <c r="H63" s="193">
        <v>21</v>
      </c>
      <c r="J63" s="193">
        <v>25</v>
      </c>
      <c r="K63" s="193">
        <v>22</v>
      </c>
      <c r="L63" s="193">
        <v>27</v>
      </c>
      <c r="M63" s="193">
        <v>27</v>
      </c>
      <c r="N63" s="193" t="s">
        <v>427</v>
      </c>
      <c r="O63" s="193">
        <f t="shared" si="0"/>
        <v>93</v>
      </c>
      <c r="P63" s="193">
        <f t="shared" si="1"/>
        <v>101</v>
      </c>
      <c r="Q63" s="193" t="str">
        <f t="shared" si="2"/>
        <v>HL</v>
      </c>
      <c r="R63" s="193" t="str">
        <f t="shared" si="2"/>
        <v>HW</v>
      </c>
      <c r="S63" s="193" t="str">
        <f t="shared" si="2"/>
        <v>HL</v>
      </c>
      <c r="T63" s="193" t="str">
        <f t="shared" si="2"/>
        <v>HL</v>
      </c>
      <c r="U63" s="193" t="str">
        <f t="shared" si="3"/>
        <v>U</v>
      </c>
      <c r="V63" s="193" t="str">
        <f t="shared" si="3"/>
        <v>O</v>
      </c>
      <c r="W63" s="193" t="str">
        <f t="shared" si="3"/>
        <v>U</v>
      </c>
      <c r="X63" s="193" t="str">
        <f t="shared" si="3"/>
        <v>U</v>
      </c>
      <c r="Z63" s="193">
        <v>54</v>
      </c>
      <c r="AA63" s="193" t="str">
        <f t="shared" si="4"/>
        <v>ORL/ATL</v>
      </c>
    </row>
    <row r="64" spans="1:27" s="193" customFormat="1" x14ac:dyDescent="0.3">
      <c r="A64" s="193">
        <v>191231</v>
      </c>
      <c r="B64" s="194">
        <v>0.375</v>
      </c>
      <c r="C64" s="5" t="s">
        <v>414</v>
      </c>
      <c r="D64" s="5" t="s">
        <v>411</v>
      </c>
      <c r="E64" s="193">
        <v>29</v>
      </c>
      <c r="F64" s="193">
        <v>42</v>
      </c>
      <c r="G64" s="193">
        <v>19</v>
      </c>
      <c r="H64" s="193">
        <v>33</v>
      </c>
      <c r="J64" s="193">
        <v>39</v>
      </c>
      <c r="K64" s="193">
        <v>24</v>
      </c>
      <c r="L64" s="193">
        <v>18</v>
      </c>
      <c r="M64" s="193">
        <v>24</v>
      </c>
      <c r="N64" s="193" t="s">
        <v>427</v>
      </c>
      <c r="O64" s="193">
        <f t="shared" si="0"/>
        <v>123</v>
      </c>
      <c r="P64" s="193">
        <f t="shared" si="1"/>
        <v>105</v>
      </c>
      <c r="Q64" s="193" t="str">
        <f t="shared" si="2"/>
        <v>HL</v>
      </c>
      <c r="R64" s="193" t="str">
        <f t="shared" si="2"/>
        <v>HW</v>
      </c>
      <c r="S64" s="193" t="str">
        <f t="shared" si="2"/>
        <v>HW</v>
      </c>
      <c r="T64" s="193" t="str">
        <f t="shared" si="2"/>
        <v>HW</v>
      </c>
      <c r="U64" s="193" t="str">
        <f t="shared" si="3"/>
        <v>O</v>
      </c>
      <c r="V64" s="193" t="str">
        <f t="shared" si="3"/>
        <v>O</v>
      </c>
      <c r="W64" s="193" t="str">
        <f t="shared" si="3"/>
        <v>U</v>
      </c>
      <c r="X64" s="193" t="str">
        <f t="shared" si="3"/>
        <v>U</v>
      </c>
      <c r="Z64" s="193">
        <v>57.5</v>
      </c>
      <c r="AA64" s="193" t="str">
        <f t="shared" si="4"/>
        <v>WAS/MIA</v>
      </c>
    </row>
    <row r="65" spans="1:27" s="193" customFormat="1" x14ac:dyDescent="0.3">
      <c r="A65" s="193">
        <v>191231</v>
      </c>
      <c r="B65" s="194">
        <v>0.41666666666666669</v>
      </c>
      <c r="C65" s="5" t="s">
        <v>412</v>
      </c>
      <c r="D65" s="5" t="s">
        <v>423</v>
      </c>
      <c r="E65" s="193">
        <v>20</v>
      </c>
      <c r="F65" s="193">
        <v>32</v>
      </c>
      <c r="G65" s="193">
        <v>25</v>
      </c>
      <c r="H65" s="193">
        <v>25</v>
      </c>
      <c r="J65" s="193">
        <v>31</v>
      </c>
      <c r="K65" s="193">
        <v>24</v>
      </c>
      <c r="L65" s="193">
        <v>40</v>
      </c>
      <c r="M65" s="193">
        <v>28</v>
      </c>
      <c r="N65" s="193" t="s">
        <v>427</v>
      </c>
      <c r="O65" s="193">
        <f t="shared" si="0"/>
        <v>102</v>
      </c>
      <c r="P65" s="193">
        <f t="shared" si="1"/>
        <v>123</v>
      </c>
      <c r="Q65" s="193" t="str">
        <f t="shared" si="2"/>
        <v>HL</v>
      </c>
      <c r="R65" s="193" t="str">
        <f t="shared" si="2"/>
        <v>HW</v>
      </c>
      <c r="S65" s="193" t="str">
        <f t="shared" si="2"/>
        <v>HL</v>
      </c>
      <c r="T65" s="193" t="str">
        <f t="shared" ref="T65:T94" si="5">IF(H65=M65,"TT",IF(H65&gt;M65,"HW","HL"))</f>
        <v>HL</v>
      </c>
      <c r="U65" s="193" t="str">
        <f t="shared" si="3"/>
        <v>U</v>
      </c>
      <c r="V65" s="193" t="str">
        <f t="shared" si="3"/>
        <v>O</v>
      </c>
      <c r="W65" s="193" t="str">
        <f t="shared" si="3"/>
        <v>O</v>
      </c>
      <c r="X65" s="193" t="str">
        <f t="shared" ref="X65:X94" si="6">IF(SUM(H65,M65)=$Z65,"T",IF(SUM(H65,M65)&gt;$Z65,"O","U"))</f>
        <v>U</v>
      </c>
      <c r="Z65" s="193">
        <v>55</v>
      </c>
      <c r="AA65" s="193" t="str">
        <f t="shared" si="4"/>
        <v>CHI/MIL</v>
      </c>
    </row>
    <row r="66" spans="1:27" s="193" customFormat="1" x14ac:dyDescent="0.3">
      <c r="A66" s="193">
        <v>191231</v>
      </c>
      <c r="B66" s="194">
        <v>0.41666666666666669</v>
      </c>
      <c r="C66" s="5" t="s">
        <v>420</v>
      </c>
      <c r="D66" s="5" t="s">
        <v>407</v>
      </c>
      <c r="E66" s="193">
        <v>27</v>
      </c>
      <c r="F66" s="193">
        <v>22</v>
      </c>
      <c r="G66" s="193">
        <v>25</v>
      </c>
      <c r="H66" s="193">
        <v>29</v>
      </c>
      <c r="I66" s="193">
        <v>19</v>
      </c>
      <c r="J66" s="193">
        <v>29</v>
      </c>
      <c r="K66" s="193">
        <v>21</v>
      </c>
      <c r="L66" s="193">
        <v>30</v>
      </c>
      <c r="M66" s="193">
        <v>23</v>
      </c>
      <c r="N66" s="193">
        <v>12</v>
      </c>
      <c r="O66" s="193">
        <f t="shared" ref="O66:O94" si="7">SUM(E66:I66)</f>
        <v>122</v>
      </c>
      <c r="P66" s="193">
        <f t="shared" ref="P66:P94" si="8">SUM(J66:N66)</f>
        <v>115</v>
      </c>
      <c r="Q66" s="193" t="str">
        <f t="shared" ref="Q66:S88" si="9">IF(E66=J66,"TT",IF(E66&gt;J66,"HW","HL"))</f>
        <v>HL</v>
      </c>
      <c r="R66" s="193" t="str">
        <f t="shared" si="9"/>
        <v>HW</v>
      </c>
      <c r="S66" s="193" t="str">
        <f t="shared" si="9"/>
        <v>HL</v>
      </c>
      <c r="T66" s="193" t="str">
        <f t="shared" si="5"/>
        <v>HW</v>
      </c>
      <c r="U66" s="193" t="str">
        <f t="shared" ref="U66:W88" si="10">IF(SUM(E66,J66)=$Z66,"T",IF(SUM(E66,J66)&gt;$Z66,"O","U"))</f>
        <v>O</v>
      </c>
      <c r="V66" s="193" t="str">
        <f t="shared" si="10"/>
        <v>U</v>
      </c>
      <c r="W66" s="193" t="str">
        <f t="shared" si="10"/>
        <v>O</v>
      </c>
      <c r="X66" s="193" t="str">
        <f t="shared" si="6"/>
        <v>U</v>
      </c>
      <c r="Z66" s="193">
        <v>53.5</v>
      </c>
      <c r="AA66" s="193" t="str">
        <f t="shared" ref="AA66:AA94" si="11">C66&amp;"/"&amp;D66</f>
        <v>MIN/BKN</v>
      </c>
    </row>
    <row r="67" spans="1:27" s="193" customFormat="1" x14ac:dyDescent="0.3">
      <c r="A67" s="193">
        <v>191231</v>
      </c>
      <c r="B67" s="194">
        <v>0.45833333333333331</v>
      </c>
      <c r="C67" s="5" t="s">
        <v>405</v>
      </c>
      <c r="D67" s="5" t="s">
        <v>422</v>
      </c>
      <c r="E67" s="193">
        <v>19</v>
      </c>
      <c r="F67" s="193">
        <v>20</v>
      </c>
      <c r="G67" s="193">
        <v>29</v>
      </c>
      <c r="H67" s="193">
        <v>36</v>
      </c>
      <c r="J67" s="193">
        <v>21</v>
      </c>
      <c r="K67" s="193">
        <v>19</v>
      </c>
      <c r="L67" s="193">
        <v>18</v>
      </c>
      <c r="M67" s="193">
        <v>23</v>
      </c>
      <c r="N67" s="193" t="s">
        <v>427</v>
      </c>
      <c r="O67" s="193">
        <f t="shared" si="7"/>
        <v>104</v>
      </c>
      <c r="P67" s="193">
        <f t="shared" si="8"/>
        <v>81</v>
      </c>
      <c r="Q67" s="193" t="str">
        <f t="shared" si="9"/>
        <v>HL</v>
      </c>
      <c r="R67" s="193" t="str">
        <f t="shared" si="9"/>
        <v>HW</v>
      </c>
      <c r="S67" s="193" t="str">
        <f t="shared" si="9"/>
        <v>HW</v>
      </c>
      <c r="T67" s="193" t="str">
        <f t="shared" si="5"/>
        <v>HW</v>
      </c>
      <c r="U67" s="193" t="str">
        <f t="shared" si="10"/>
        <v>U</v>
      </c>
      <c r="V67" s="193" t="str">
        <f t="shared" si="10"/>
        <v>U</v>
      </c>
      <c r="W67" s="193" t="str">
        <f t="shared" si="10"/>
        <v>U</v>
      </c>
      <c r="X67" s="193" t="str">
        <f t="shared" si="6"/>
        <v>O</v>
      </c>
      <c r="Z67" s="193">
        <v>56</v>
      </c>
      <c r="AA67" s="193" t="str">
        <f t="shared" si="11"/>
        <v>UTA/DET</v>
      </c>
    </row>
    <row r="68" spans="1:27" s="193" customFormat="1" x14ac:dyDescent="0.3">
      <c r="A68" s="193">
        <v>191231</v>
      </c>
      <c r="B68" s="194">
        <v>0.5</v>
      </c>
      <c r="C68" s="5" t="s">
        <v>417</v>
      </c>
      <c r="D68" s="5" t="s">
        <v>404</v>
      </c>
      <c r="E68" s="193">
        <v>38</v>
      </c>
      <c r="F68" s="193">
        <v>26</v>
      </c>
      <c r="G68" s="193">
        <v>25</v>
      </c>
      <c r="H68" s="193">
        <v>27</v>
      </c>
      <c r="J68" s="193">
        <v>19</v>
      </c>
      <c r="K68" s="193">
        <v>36</v>
      </c>
      <c r="L68" s="193">
        <v>28</v>
      </c>
      <c r="M68" s="193">
        <v>39</v>
      </c>
      <c r="N68" s="193" t="s">
        <v>427</v>
      </c>
      <c r="O68" s="193">
        <f t="shared" si="7"/>
        <v>116</v>
      </c>
      <c r="P68" s="193">
        <f t="shared" si="8"/>
        <v>122</v>
      </c>
      <c r="Q68" s="193" t="str">
        <f t="shared" si="9"/>
        <v>HW</v>
      </c>
      <c r="R68" s="193" t="str">
        <f t="shared" si="9"/>
        <v>HL</v>
      </c>
      <c r="S68" s="193" t="str">
        <f t="shared" si="9"/>
        <v>HL</v>
      </c>
      <c r="T68" s="193" t="str">
        <f t="shared" si="5"/>
        <v>HL</v>
      </c>
      <c r="U68" s="193" t="str">
        <f t="shared" si="10"/>
        <v>O</v>
      </c>
      <c r="V68" s="193" t="str">
        <f t="shared" si="10"/>
        <v>O</v>
      </c>
      <c r="W68" s="193" t="str">
        <f t="shared" si="10"/>
        <v>U</v>
      </c>
      <c r="X68" s="193" t="str">
        <f t="shared" si="6"/>
        <v>O</v>
      </c>
      <c r="Z68" s="193">
        <v>56.5</v>
      </c>
      <c r="AA68" s="193" t="str">
        <f t="shared" si="11"/>
        <v>POR/PHO</v>
      </c>
    </row>
    <row r="69" spans="1:27" s="193" customFormat="1" x14ac:dyDescent="0.3">
      <c r="A69" s="193">
        <v>200101</v>
      </c>
      <c r="B69" s="194">
        <v>0.20833333333333334</v>
      </c>
      <c r="C69" s="5" t="s">
        <v>400</v>
      </c>
      <c r="D69" s="5" t="s">
        <v>401</v>
      </c>
      <c r="E69" s="193">
        <v>29</v>
      </c>
      <c r="F69" s="193">
        <v>38</v>
      </c>
      <c r="G69" s="193">
        <v>29</v>
      </c>
      <c r="H69" s="193">
        <v>19</v>
      </c>
      <c r="J69" s="193">
        <v>27</v>
      </c>
      <c r="K69" s="193">
        <v>16</v>
      </c>
      <c r="L69" s="193">
        <v>23</v>
      </c>
      <c r="M69" s="193">
        <v>31</v>
      </c>
      <c r="N69" s="193" t="s">
        <v>427</v>
      </c>
      <c r="O69" s="193">
        <f t="shared" si="7"/>
        <v>115</v>
      </c>
      <c r="P69" s="193">
        <f t="shared" si="8"/>
        <v>97</v>
      </c>
      <c r="Q69" s="193" t="str">
        <f t="shared" si="9"/>
        <v>HW</v>
      </c>
      <c r="R69" s="193" t="str">
        <f t="shared" si="9"/>
        <v>HW</v>
      </c>
      <c r="S69" s="193" t="str">
        <f t="shared" si="9"/>
        <v>HW</v>
      </c>
      <c r="T69" s="193" t="str">
        <f t="shared" si="5"/>
        <v>HL</v>
      </c>
      <c r="U69" s="193" t="str">
        <f t="shared" si="10"/>
        <v>O</v>
      </c>
      <c r="V69" s="193" t="str">
        <f t="shared" si="10"/>
        <v>O</v>
      </c>
      <c r="W69" s="193" t="str">
        <f t="shared" si="10"/>
        <v>U</v>
      </c>
      <c r="X69" s="193" t="str">
        <f t="shared" si="6"/>
        <v>U</v>
      </c>
      <c r="Z69" s="193">
        <v>53</v>
      </c>
      <c r="AA69" s="193" t="str">
        <f t="shared" si="11"/>
        <v>IND/PHI</v>
      </c>
    </row>
    <row r="70" spans="1:27" s="193" customFormat="1" x14ac:dyDescent="0.3">
      <c r="A70" s="193">
        <v>200101</v>
      </c>
      <c r="B70" s="194">
        <v>0.20833333333333334</v>
      </c>
      <c r="C70" s="5" t="s">
        <v>409</v>
      </c>
      <c r="D70" s="5" t="s">
        <v>421</v>
      </c>
      <c r="E70" s="193">
        <v>18</v>
      </c>
      <c r="F70" s="193">
        <v>25</v>
      </c>
      <c r="G70" s="193">
        <v>30</v>
      </c>
      <c r="H70" s="193">
        <v>19</v>
      </c>
      <c r="J70" s="193">
        <v>24</v>
      </c>
      <c r="K70" s="193">
        <v>26</v>
      </c>
      <c r="L70" s="193">
        <v>30</v>
      </c>
      <c r="M70" s="193">
        <v>29</v>
      </c>
      <c r="N70" s="193" t="s">
        <v>427</v>
      </c>
      <c r="O70" s="193">
        <f t="shared" si="7"/>
        <v>92</v>
      </c>
      <c r="P70" s="193">
        <f t="shared" si="8"/>
        <v>109</v>
      </c>
      <c r="Q70" s="193" t="str">
        <f t="shared" si="9"/>
        <v>HL</v>
      </c>
      <c r="R70" s="193" t="str">
        <f t="shared" si="9"/>
        <v>HL</v>
      </c>
      <c r="S70" s="193" t="str">
        <f t="shared" si="9"/>
        <v>TT</v>
      </c>
      <c r="T70" s="193" t="str">
        <f t="shared" si="5"/>
        <v>HL</v>
      </c>
      <c r="U70" s="193" t="str">
        <f t="shared" si="10"/>
        <v>U</v>
      </c>
      <c r="V70" s="193" t="str">
        <f t="shared" si="10"/>
        <v>U</v>
      </c>
      <c r="W70" s="193" t="str">
        <f t="shared" si="10"/>
        <v>O</v>
      </c>
      <c r="X70" s="193" t="str">
        <f t="shared" si="6"/>
        <v>U</v>
      </c>
      <c r="Z70" s="193">
        <v>52.5</v>
      </c>
      <c r="AA70" s="193" t="str">
        <f t="shared" si="11"/>
        <v>CHA/BOS</v>
      </c>
    </row>
    <row r="71" spans="1:27" s="193" customFormat="1" x14ac:dyDescent="0.3">
      <c r="A71" s="193">
        <v>200101</v>
      </c>
      <c r="B71" s="194">
        <v>0.29166666666666669</v>
      </c>
      <c r="C71" s="5" t="s">
        <v>416</v>
      </c>
      <c r="D71" s="5" t="s">
        <v>415</v>
      </c>
      <c r="E71" s="193">
        <v>23</v>
      </c>
      <c r="F71" s="193">
        <v>17</v>
      </c>
      <c r="G71" s="193">
        <v>33</v>
      </c>
      <c r="H71" s="193">
        <v>14</v>
      </c>
      <c r="J71" s="193">
        <v>28</v>
      </c>
      <c r="K71" s="193">
        <v>29</v>
      </c>
      <c r="L71" s="193">
        <v>31</v>
      </c>
      <c r="M71" s="193">
        <v>17</v>
      </c>
      <c r="N71" s="193" t="s">
        <v>427</v>
      </c>
      <c r="O71" s="193">
        <f t="shared" si="7"/>
        <v>87</v>
      </c>
      <c r="P71" s="193">
        <f t="shared" si="8"/>
        <v>105</v>
      </c>
      <c r="Q71" s="193" t="str">
        <f t="shared" si="9"/>
        <v>HL</v>
      </c>
      <c r="R71" s="193" t="str">
        <f t="shared" si="9"/>
        <v>HL</v>
      </c>
      <c r="S71" s="193" t="str">
        <f t="shared" si="9"/>
        <v>HW</v>
      </c>
      <c r="T71" s="193" t="str">
        <f t="shared" si="5"/>
        <v>HL</v>
      </c>
      <c r="U71" s="193" t="str">
        <f t="shared" si="10"/>
        <v>U</v>
      </c>
      <c r="V71" s="193" t="str">
        <f t="shared" si="10"/>
        <v>U</v>
      </c>
      <c r="W71" s="193" t="str">
        <f t="shared" si="10"/>
        <v>O</v>
      </c>
      <c r="X71" s="193" t="str">
        <f t="shared" si="6"/>
        <v>U</v>
      </c>
      <c r="Z71" s="193">
        <v>57</v>
      </c>
      <c r="AA71" s="193" t="str">
        <f t="shared" si="11"/>
        <v>SAC/LAC</v>
      </c>
    </row>
    <row r="72" spans="1:27" s="193" customFormat="1" x14ac:dyDescent="0.3">
      <c r="A72" s="193">
        <v>200101</v>
      </c>
      <c r="B72" s="194">
        <v>0.375</v>
      </c>
      <c r="C72" s="5" t="s">
        <v>403</v>
      </c>
      <c r="D72" s="5" t="s">
        <v>408</v>
      </c>
      <c r="E72" s="193">
        <v>38</v>
      </c>
      <c r="F72" s="193">
        <v>31</v>
      </c>
      <c r="G72" s="193">
        <v>23</v>
      </c>
      <c r="H72" s="193">
        <v>38</v>
      </c>
      <c r="J72" s="193">
        <v>26</v>
      </c>
      <c r="K72" s="193">
        <v>26</v>
      </c>
      <c r="L72" s="193">
        <v>37</v>
      </c>
      <c r="M72" s="193">
        <v>15</v>
      </c>
      <c r="N72" s="193" t="s">
        <v>427</v>
      </c>
      <c r="O72" s="193">
        <f t="shared" si="7"/>
        <v>130</v>
      </c>
      <c r="P72" s="193">
        <f t="shared" si="8"/>
        <v>104</v>
      </c>
      <c r="Q72" s="193" t="str">
        <f t="shared" si="9"/>
        <v>HW</v>
      </c>
      <c r="R72" s="193" t="str">
        <f t="shared" si="9"/>
        <v>HW</v>
      </c>
      <c r="S72" s="193" t="str">
        <f t="shared" si="9"/>
        <v>HL</v>
      </c>
      <c r="T72" s="193" t="str">
        <f t="shared" si="5"/>
        <v>HW</v>
      </c>
      <c r="U72" s="193" t="str">
        <f t="shared" si="10"/>
        <v>O</v>
      </c>
      <c r="V72" s="193" t="str">
        <f t="shared" si="10"/>
        <v>U</v>
      </c>
      <c r="W72" s="193" t="str">
        <f t="shared" si="10"/>
        <v>O</v>
      </c>
      <c r="X72" s="193" t="str">
        <f t="shared" si="6"/>
        <v>U</v>
      </c>
      <c r="Z72" s="193">
        <v>58</v>
      </c>
      <c r="AA72" s="193" t="str">
        <f t="shared" si="11"/>
        <v>HOU/DEN</v>
      </c>
    </row>
    <row r="73" spans="1:27" s="193" customFormat="1" x14ac:dyDescent="0.3">
      <c r="A73" s="193">
        <v>200101</v>
      </c>
      <c r="B73" s="194">
        <v>0.375</v>
      </c>
      <c r="C73" s="5" t="s">
        <v>426</v>
      </c>
      <c r="D73" s="5" t="s">
        <v>425</v>
      </c>
      <c r="E73" s="193">
        <v>25</v>
      </c>
      <c r="F73" s="193">
        <v>28</v>
      </c>
      <c r="G73" s="193">
        <v>24</v>
      </c>
      <c r="H73" s="193">
        <v>23</v>
      </c>
      <c r="I73" s="193">
        <v>17</v>
      </c>
      <c r="J73" s="193">
        <v>32</v>
      </c>
      <c r="K73" s="193">
        <v>23</v>
      </c>
      <c r="L73" s="193">
        <v>20</v>
      </c>
      <c r="M73" s="193">
        <v>25</v>
      </c>
      <c r="N73" s="193">
        <v>13</v>
      </c>
      <c r="O73" s="193">
        <f t="shared" si="7"/>
        <v>117</v>
      </c>
      <c r="P73" s="193">
        <f t="shared" si="8"/>
        <v>113</v>
      </c>
      <c r="Q73" s="193" t="str">
        <f t="shared" si="9"/>
        <v>HL</v>
      </c>
      <c r="R73" s="193" t="str">
        <f t="shared" si="9"/>
        <v>HW</v>
      </c>
      <c r="S73" s="193" t="str">
        <f t="shared" si="9"/>
        <v>HW</v>
      </c>
      <c r="T73" s="193" t="str">
        <f t="shared" si="5"/>
        <v>HL</v>
      </c>
      <c r="U73" s="193" t="str">
        <f t="shared" si="10"/>
        <v>O</v>
      </c>
      <c r="V73" s="193" t="str">
        <f t="shared" si="10"/>
        <v>U</v>
      </c>
      <c r="W73" s="193" t="str">
        <f t="shared" si="10"/>
        <v>U</v>
      </c>
      <c r="X73" s="193" t="str">
        <f t="shared" si="6"/>
        <v>U</v>
      </c>
      <c r="Z73" s="193">
        <v>56</v>
      </c>
      <c r="AA73" s="193" t="str">
        <f t="shared" si="11"/>
        <v>SAS/GS</v>
      </c>
    </row>
    <row r="74" spans="1:27" s="193" customFormat="1" x14ac:dyDescent="0.3">
      <c r="A74" s="193">
        <v>200101</v>
      </c>
      <c r="B74" s="194">
        <v>0.375</v>
      </c>
      <c r="C74" s="5" t="s">
        <v>413</v>
      </c>
      <c r="D74" s="5" t="s">
        <v>402</v>
      </c>
      <c r="E74" s="193">
        <v>27</v>
      </c>
      <c r="F74" s="193">
        <v>32</v>
      </c>
      <c r="G74" s="193">
        <v>27</v>
      </c>
      <c r="H74" s="193">
        <v>31</v>
      </c>
      <c r="J74" s="193">
        <v>25</v>
      </c>
      <c r="K74" s="193">
        <v>18</v>
      </c>
      <c r="L74" s="193">
        <v>26</v>
      </c>
      <c r="M74" s="193">
        <v>28</v>
      </c>
      <c r="N74" s="193" t="s">
        <v>427</v>
      </c>
      <c r="O74" s="193">
        <f t="shared" si="7"/>
        <v>117</v>
      </c>
      <c r="P74" s="193">
        <f t="shared" si="8"/>
        <v>97</v>
      </c>
      <c r="Q74" s="193" t="str">
        <f t="shared" si="9"/>
        <v>HW</v>
      </c>
      <c r="R74" s="193" t="str">
        <f t="shared" si="9"/>
        <v>HW</v>
      </c>
      <c r="S74" s="193" t="str">
        <f t="shared" si="9"/>
        <v>HW</v>
      </c>
      <c r="T74" s="193" t="str">
        <f t="shared" si="5"/>
        <v>HW</v>
      </c>
      <c r="U74" s="193" t="str">
        <f t="shared" si="10"/>
        <v>U</v>
      </c>
      <c r="V74" s="193" t="str">
        <f t="shared" si="10"/>
        <v>U</v>
      </c>
      <c r="W74" s="193" t="str">
        <f t="shared" si="10"/>
        <v>U</v>
      </c>
      <c r="X74" s="193" t="str">
        <f t="shared" si="6"/>
        <v>O</v>
      </c>
      <c r="Z74" s="193">
        <v>53.5</v>
      </c>
      <c r="AA74" s="193" t="str">
        <f t="shared" si="11"/>
        <v>TOR/CLE</v>
      </c>
    </row>
    <row r="75" spans="1:27" s="193" customFormat="1" x14ac:dyDescent="0.3">
      <c r="A75" s="193">
        <v>200101</v>
      </c>
      <c r="B75" s="194">
        <v>0.41666666666666669</v>
      </c>
      <c r="C75" s="5" t="s">
        <v>418</v>
      </c>
      <c r="D75" s="5" t="s">
        <v>397</v>
      </c>
      <c r="E75" s="193">
        <v>20</v>
      </c>
      <c r="F75" s="193">
        <v>30</v>
      </c>
      <c r="G75" s="193">
        <v>27</v>
      </c>
      <c r="H75" s="193">
        <v>29</v>
      </c>
      <c r="J75" s="193">
        <v>32</v>
      </c>
      <c r="K75" s="193">
        <v>19</v>
      </c>
      <c r="L75" s="193">
        <v>27</v>
      </c>
      <c r="M75" s="193">
        <v>23</v>
      </c>
      <c r="N75" s="193" t="s">
        <v>427</v>
      </c>
      <c r="O75" s="193">
        <f t="shared" si="7"/>
        <v>106</v>
      </c>
      <c r="P75" s="193">
        <f t="shared" si="8"/>
        <v>101</v>
      </c>
      <c r="Q75" s="193" t="str">
        <f t="shared" si="9"/>
        <v>HL</v>
      </c>
      <c r="R75" s="193" t="str">
        <f t="shared" si="9"/>
        <v>HW</v>
      </c>
      <c r="S75" s="193" t="str">
        <f t="shared" si="9"/>
        <v>TT</v>
      </c>
      <c r="T75" s="193" t="str">
        <f t="shared" si="5"/>
        <v>HW</v>
      </c>
      <c r="U75" s="193" t="str">
        <f t="shared" si="10"/>
        <v>U</v>
      </c>
      <c r="V75" s="193" t="str">
        <f t="shared" si="10"/>
        <v>U</v>
      </c>
      <c r="W75" s="193" t="str">
        <f t="shared" si="10"/>
        <v>U</v>
      </c>
      <c r="X75" s="193" t="str">
        <f t="shared" si="6"/>
        <v>U</v>
      </c>
      <c r="Z75" s="193">
        <v>56.5</v>
      </c>
      <c r="AA75" s="193" t="str">
        <f t="shared" si="11"/>
        <v>OKC/DAL</v>
      </c>
    </row>
    <row r="76" spans="1:27" s="193" customFormat="1" x14ac:dyDescent="0.3">
      <c r="A76" s="193">
        <v>200102</v>
      </c>
      <c r="B76" s="194">
        <v>0.33333333333333331</v>
      </c>
      <c r="C76" s="5" t="s">
        <v>414</v>
      </c>
      <c r="D76" s="5" t="s">
        <v>424</v>
      </c>
      <c r="E76" s="193">
        <v>29</v>
      </c>
      <c r="F76" s="193">
        <v>29</v>
      </c>
      <c r="G76" s="193">
        <v>25</v>
      </c>
      <c r="H76" s="193">
        <v>18</v>
      </c>
      <c r="J76" s="193">
        <v>31</v>
      </c>
      <c r="K76" s="193">
        <v>31</v>
      </c>
      <c r="L76" s="193">
        <v>32</v>
      </c>
      <c r="M76" s="193">
        <v>28</v>
      </c>
      <c r="N76" s="193" t="s">
        <v>427</v>
      </c>
      <c r="O76" s="193">
        <f t="shared" si="7"/>
        <v>101</v>
      </c>
      <c r="P76" s="193">
        <f t="shared" si="8"/>
        <v>122</v>
      </c>
      <c r="Q76" s="193" t="str">
        <f t="shared" si="9"/>
        <v>HL</v>
      </c>
      <c r="R76" s="193" t="str">
        <f t="shared" si="9"/>
        <v>HL</v>
      </c>
      <c r="S76" s="193" t="str">
        <f t="shared" si="9"/>
        <v>HL</v>
      </c>
      <c r="T76" s="193" t="str">
        <f t="shared" si="5"/>
        <v>HL</v>
      </c>
      <c r="U76" s="193" t="str">
        <f t="shared" si="10"/>
        <v>O</v>
      </c>
      <c r="V76" s="193" t="str">
        <f t="shared" si="10"/>
        <v>O</v>
      </c>
      <c r="W76" s="193" t="str">
        <f t="shared" si="10"/>
        <v>T</v>
      </c>
      <c r="X76" s="193" t="str">
        <f t="shared" si="6"/>
        <v>U</v>
      </c>
      <c r="Z76" s="193">
        <v>57</v>
      </c>
      <c r="AA76" s="193" t="str">
        <f t="shared" si="11"/>
        <v>WAS/ORL</v>
      </c>
    </row>
    <row r="77" spans="1:27" s="193" customFormat="1" x14ac:dyDescent="0.3">
      <c r="A77" s="193">
        <v>200102</v>
      </c>
      <c r="B77" s="194">
        <v>0.39583333333333331</v>
      </c>
      <c r="C77" s="5" t="s">
        <v>399</v>
      </c>
      <c r="D77" s="5" t="s">
        <v>417</v>
      </c>
      <c r="E77" s="193">
        <v>25</v>
      </c>
      <c r="F77" s="193">
        <v>26</v>
      </c>
      <c r="G77" s="193">
        <v>32</v>
      </c>
      <c r="H77" s="193">
        <v>34</v>
      </c>
      <c r="J77" s="193">
        <v>27</v>
      </c>
      <c r="K77" s="193">
        <v>21</v>
      </c>
      <c r="L77" s="193">
        <v>29</v>
      </c>
      <c r="M77" s="193">
        <v>16</v>
      </c>
      <c r="N77" s="193" t="s">
        <v>427</v>
      </c>
      <c r="O77" s="193">
        <f t="shared" si="7"/>
        <v>117</v>
      </c>
      <c r="P77" s="193">
        <f t="shared" si="8"/>
        <v>93</v>
      </c>
      <c r="Q77" s="193" t="str">
        <f t="shared" si="9"/>
        <v>HL</v>
      </c>
      <c r="R77" s="193" t="str">
        <f t="shared" si="9"/>
        <v>HW</v>
      </c>
      <c r="S77" s="193" t="str">
        <f t="shared" si="9"/>
        <v>HW</v>
      </c>
      <c r="T77" s="193" t="str">
        <f t="shared" si="5"/>
        <v>HW</v>
      </c>
      <c r="U77" s="193" t="str">
        <f t="shared" si="10"/>
        <v>U</v>
      </c>
      <c r="V77" s="193" t="str">
        <f t="shared" si="10"/>
        <v>U</v>
      </c>
      <c r="W77" s="193" t="str">
        <f t="shared" si="10"/>
        <v>O</v>
      </c>
      <c r="X77" s="193" t="str">
        <f t="shared" si="6"/>
        <v>U</v>
      </c>
      <c r="Z77" s="193">
        <v>57.5</v>
      </c>
      <c r="AA77" s="193" t="str">
        <f t="shared" si="11"/>
        <v>NYK/POR</v>
      </c>
    </row>
    <row r="78" spans="1:27" s="193" customFormat="1" x14ac:dyDescent="0.3">
      <c r="A78" s="193">
        <v>200102</v>
      </c>
      <c r="B78" s="194">
        <v>0.41666666666666669</v>
      </c>
      <c r="C78" s="5" t="s">
        <v>423</v>
      </c>
      <c r="D78" s="5" t="s">
        <v>420</v>
      </c>
      <c r="E78" s="193">
        <v>19</v>
      </c>
      <c r="F78" s="193">
        <v>33</v>
      </c>
      <c r="G78" s="193">
        <v>25</v>
      </c>
      <c r="H78" s="193">
        <v>29</v>
      </c>
      <c r="J78" s="193">
        <v>23</v>
      </c>
      <c r="K78" s="193">
        <v>28</v>
      </c>
      <c r="L78" s="193">
        <v>20</v>
      </c>
      <c r="M78" s="193">
        <v>33</v>
      </c>
      <c r="N78" s="193" t="s">
        <v>427</v>
      </c>
      <c r="O78" s="193">
        <f t="shared" si="7"/>
        <v>106</v>
      </c>
      <c r="P78" s="193">
        <f t="shared" si="8"/>
        <v>104</v>
      </c>
      <c r="Q78" s="193" t="str">
        <f t="shared" si="9"/>
        <v>HL</v>
      </c>
      <c r="R78" s="193" t="str">
        <f t="shared" si="9"/>
        <v>HW</v>
      </c>
      <c r="S78" s="193" t="str">
        <f t="shared" si="9"/>
        <v>HW</v>
      </c>
      <c r="T78" s="193" t="str">
        <f t="shared" si="5"/>
        <v>HL</v>
      </c>
      <c r="U78" s="193" t="str">
        <f t="shared" si="10"/>
        <v>U</v>
      </c>
      <c r="V78" s="193" t="str">
        <f t="shared" si="10"/>
        <v>O</v>
      </c>
      <c r="W78" s="193" t="str">
        <f t="shared" si="10"/>
        <v>U</v>
      </c>
      <c r="X78" s="193" t="str">
        <f t="shared" si="6"/>
        <v>O</v>
      </c>
      <c r="Z78" s="193">
        <v>57</v>
      </c>
      <c r="AA78" s="193" t="str">
        <f t="shared" si="11"/>
        <v>MIL/MIN</v>
      </c>
    </row>
    <row r="79" spans="1:27" s="193" customFormat="1" x14ac:dyDescent="0.3">
      <c r="A79" s="193">
        <v>200102</v>
      </c>
      <c r="B79" s="194">
        <v>0.52083333333333337</v>
      </c>
      <c r="C79" s="5" t="s">
        <v>419</v>
      </c>
      <c r="D79" s="5" t="s">
        <v>404</v>
      </c>
      <c r="E79" s="193">
        <v>43</v>
      </c>
      <c r="F79" s="193">
        <v>31</v>
      </c>
      <c r="G79" s="193">
        <v>27</v>
      </c>
      <c r="H79" s="193">
        <v>16</v>
      </c>
      <c r="J79" s="193">
        <v>17</v>
      </c>
      <c r="K79" s="193">
        <v>24</v>
      </c>
      <c r="L79" s="193">
        <v>38</v>
      </c>
      <c r="M79" s="193">
        <v>28</v>
      </c>
      <c r="N79" s="193" t="s">
        <v>427</v>
      </c>
      <c r="O79" s="193">
        <f t="shared" si="7"/>
        <v>117</v>
      </c>
      <c r="P79" s="193">
        <f t="shared" si="8"/>
        <v>107</v>
      </c>
      <c r="Q79" s="193" t="str">
        <f t="shared" si="9"/>
        <v>HW</v>
      </c>
      <c r="R79" s="193" t="str">
        <f t="shared" si="9"/>
        <v>HW</v>
      </c>
      <c r="S79" s="193" t="str">
        <f t="shared" si="9"/>
        <v>HL</v>
      </c>
      <c r="T79" s="193" t="str">
        <f t="shared" si="5"/>
        <v>HL</v>
      </c>
      <c r="U79" s="193" t="str">
        <f t="shared" si="10"/>
        <v>O</v>
      </c>
      <c r="V79" s="193" t="str">
        <f t="shared" si="10"/>
        <v>U</v>
      </c>
      <c r="W79" s="193" t="str">
        <f t="shared" si="10"/>
        <v>O</v>
      </c>
      <c r="X79" s="193" t="str">
        <f t="shared" si="6"/>
        <v>U</v>
      </c>
      <c r="Z79" s="193">
        <v>56</v>
      </c>
      <c r="AA79" s="193" t="str">
        <f t="shared" si="11"/>
        <v>LAL/PHO</v>
      </c>
    </row>
    <row r="80" spans="1:27" s="193" customFormat="1" x14ac:dyDescent="0.3">
      <c r="A80" s="193">
        <v>200103</v>
      </c>
      <c r="B80" s="194">
        <v>0.375</v>
      </c>
      <c r="C80" s="5" t="s">
        <v>402</v>
      </c>
      <c r="D80" s="5" t="s">
        <v>409</v>
      </c>
      <c r="E80" s="193">
        <v>29</v>
      </c>
      <c r="F80" s="193">
        <v>30</v>
      </c>
      <c r="G80" s="193">
        <v>26</v>
      </c>
      <c r="H80" s="193">
        <v>21</v>
      </c>
      <c r="J80" s="193">
        <v>31</v>
      </c>
      <c r="K80" s="193">
        <v>21</v>
      </c>
      <c r="L80" s="193">
        <v>30</v>
      </c>
      <c r="M80" s="193">
        <v>27</v>
      </c>
      <c r="N80" s="193" t="s">
        <v>427</v>
      </c>
      <c r="O80" s="193">
        <f t="shared" si="7"/>
        <v>106</v>
      </c>
      <c r="P80" s="193">
        <f t="shared" si="8"/>
        <v>109</v>
      </c>
      <c r="Q80" s="193" t="str">
        <f t="shared" si="9"/>
        <v>HL</v>
      </c>
      <c r="R80" s="193" t="str">
        <f t="shared" si="9"/>
        <v>HW</v>
      </c>
      <c r="S80" s="193" t="str">
        <f t="shared" si="9"/>
        <v>HL</v>
      </c>
      <c r="T80" s="193" t="str">
        <f t="shared" si="5"/>
        <v>HL</v>
      </c>
      <c r="U80" s="193" t="str">
        <f t="shared" si="10"/>
        <v>O</v>
      </c>
      <c r="V80" s="193" t="str">
        <f t="shared" si="10"/>
        <v>U</v>
      </c>
      <c r="W80" s="193" t="str">
        <f t="shared" si="10"/>
        <v>O</v>
      </c>
      <c r="X80" s="193" t="str">
        <f t="shared" si="6"/>
        <v>U</v>
      </c>
      <c r="Z80" s="193">
        <v>54.5</v>
      </c>
      <c r="AA80" s="193" t="str">
        <f t="shared" si="11"/>
        <v>CLE/CHA</v>
      </c>
    </row>
    <row r="81" spans="1:27" s="193" customFormat="1" x14ac:dyDescent="0.3">
      <c r="A81" s="193">
        <v>200103</v>
      </c>
      <c r="B81" s="194">
        <v>0.375</v>
      </c>
      <c r="C81" s="5" t="s">
        <v>400</v>
      </c>
      <c r="D81" s="5" t="s">
        <v>408</v>
      </c>
      <c r="E81" s="193">
        <v>37</v>
      </c>
      <c r="F81" s="193">
        <v>27</v>
      </c>
      <c r="G81" s="193">
        <v>24</v>
      </c>
      <c r="H81" s="193">
        <v>28</v>
      </c>
      <c r="J81" s="193">
        <v>27</v>
      </c>
      <c r="K81" s="193">
        <v>35</v>
      </c>
      <c r="L81" s="193">
        <v>30</v>
      </c>
      <c r="M81" s="193">
        <v>32</v>
      </c>
      <c r="N81" s="193" t="s">
        <v>427</v>
      </c>
      <c r="O81" s="193">
        <f t="shared" si="7"/>
        <v>116</v>
      </c>
      <c r="P81" s="193">
        <f t="shared" si="8"/>
        <v>124</v>
      </c>
      <c r="Q81" s="193" t="str">
        <f t="shared" si="9"/>
        <v>HW</v>
      </c>
      <c r="R81" s="193" t="str">
        <f t="shared" si="9"/>
        <v>HL</v>
      </c>
      <c r="S81" s="193" t="str">
        <f t="shared" si="9"/>
        <v>HL</v>
      </c>
      <c r="T81" s="193" t="str">
        <f t="shared" si="5"/>
        <v>HL</v>
      </c>
      <c r="U81" s="193" t="str">
        <f t="shared" si="10"/>
        <v>O</v>
      </c>
      <c r="V81" s="193" t="str">
        <f t="shared" si="10"/>
        <v>O</v>
      </c>
      <c r="W81" s="193" t="str">
        <f t="shared" si="10"/>
        <v>O</v>
      </c>
      <c r="X81" s="193" t="str">
        <f t="shared" si="6"/>
        <v>O</v>
      </c>
      <c r="Z81" s="193">
        <v>53.5</v>
      </c>
      <c r="AA81" s="193" t="str">
        <f t="shared" si="11"/>
        <v>IND/DEN</v>
      </c>
    </row>
    <row r="82" spans="1:27" s="193" customFormat="1" x14ac:dyDescent="0.3">
      <c r="A82" s="193">
        <v>200103</v>
      </c>
      <c r="B82" s="194">
        <v>0.39583333333333331</v>
      </c>
      <c r="C82" s="5" t="s">
        <v>411</v>
      </c>
      <c r="D82" s="5" t="s">
        <v>413</v>
      </c>
      <c r="E82" s="193">
        <v>18</v>
      </c>
      <c r="F82" s="193">
        <v>24</v>
      </c>
      <c r="G82" s="193">
        <v>21</v>
      </c>
      <c r="H82" s="193">
        <v>21</v>
      </c>
      <c r="J82" s="193">
        <v>20</v>
      </c>
      <c r="K82" s="193">
        <v>19</v>
      </c>
      <c r="L82" s="193">
        <v>21</v>
      </c>
      <c r="M82" s="193">
        <v>16</v>
      </c>
      <c r="N82" s="193" t="s">
        <v>427</v>
      </c>
      <c r="O82" s="193">
        <f t="shared" si="7"/>
        <v>84</v>
      </c>
      <c r="P82" s="193">
        <f t="shared" si="8"/>
        <v>76</v>
      </c>
      <c r="Q82" s="193" t="str">
        <f t="shared" si="9"/>
        <v>HL</v>
      </c>
      <c r="R82" s="193" t="str">
        <f t="shared" si="9"/>
        <v>HW</v>
      </c>
      <c r="S82" s="193" t="str">
        <f t="shared" si="9"/>
        <v>TT</v>
      </c>
      <c r="T82" s="193" t="str">
        <f t="shared" si="5"/>
        <v>HW</v>
      </c>
      <c r="U82" s="193" t="str">
        <f t="shared" si="10"/>
        <v>U</v>
      </c>
      <c r="V82" s="193" t="str">
        <f t="shared" si="10"/>
        <v>U</v>
      </c>
      <c r="W82" s="193" t="str">
        <f t="shared" si="10"/>
        <v>U</v>
      </c>
      <c r="X82" s="193" t="str">
        <f t="shared" si="6"/>
        <v>U</v>
      </c>
      <c r="Z82" s="193">
        <v>55.5</v>
      </c>
      <c r="AA82" s="193" t="str">
        <f t="shared" si="11"/>
        <v>MIA/TOR</v>
      </c>
    </row>
    <row r="83" spans="1:27" s="193" customFormat="1" x14ac:dyDescent="0.3">
      <c r="A83" s="193">
        <v>200103</v>
      </c>
      <c r="B83" s="194">
        <v>0.41666666666666669</v>
      </c>
      <c r="C83" s="5" t="s">
        <v>412</v>
      </c>
      <c r="D83" s="5" t="s">
        <v>405</v>
      </c>
      <c r="E83" s="193">
        <v>22</v>
      </c>
      <c r="F83" s="193">
        <v>29</v>
      </c>
      <c r="G83" s="193">
        <v>19</v>
      </c>
      <c r="H83" s="193">
        <v>28</v>
      </c>
      <c r="J83" s="193">
        <v>25</v>
      </c>
      <c r="K83" s="193">
        <v>22</v>
      </c>
      <c r="L83" s="193">
        <v>29</v>
      </c>
      <c r="M83" s="193">
        <v>26</v>
      </c>
      <c r="N83" s="193" t="s">
        <v>427</v>
      </c>
      <c r="O83" s="193">
        <f t="shared" si="7"/>
        <v>98</v>
      </c>
      <c r="P83" s="193">
        <f t="shared" si="8"/>
        <v>102</v>
      </c>
      <c r="Q83" s="193" t="str">
        <f t="shared" si="9"/>
        <v>HL</v>
      </c>
      <c r="R83" s="193" t="str">
        <f t="shared" si="9"/>
        <v>HW</v>
      </c>
      <c r="S83" s="193" t="str">
        <f t="shared" si="9"/>
        <v>HL</v>
      </c>
      <c r="T83" s="193" t="str">
        <f t="shared" si="5"/>
        <v>HW</v>
      </c>
      <c r="U83" s="193" t="str">
        <f t="shared" si="10"/>
        <v>U</v>
      </c>
      <c r="V83" s="193" t="str">
        <f t="shared" si="10"/>
        <v>U</v>
      </c>
      <c r="W83" s="193" t="str">
        <f t="shared" si="10"/>
        <v>U</v>
      </c>
      <c r="X83" s="193" t="str">
        <f t="shared" si="6"/>
        <v>O</v>
      </c>
      <c r="Z83" s="193">
        <v>51.5</v>
      </c>
      <c r="AA83" s="193" t="str">
        <f t="shared" si="11"/>
        <v>CHI/UTA</v>
      </c>
    </row>
    <row r="84" spans="1:27" s="193" customFormat="1" x14ac:dyDescent="0.3">
      <c r="A84" s="193">
        <v>200103</v>
      </c>
      <c r="B84" s="194">
        <v>0.41666666666666669</v>
      </c>
      <c r="C84" s="5" t="s">
        <v>420</v>
      </c>
      <c r="D84" s="5" t="s">
        <v>425</v>
      </c>
      <c r="E84" s="193">
        <v>34</v>
      </c>
      <c r="F84" s="193">
        <v>24</v>
      </c>
      <c r="G84" s="193">
        <v>23</v>
      </c>
      <c r="H84" s="193">
        <v>18</v>
      </c>
      <c r="J84" s="193">
        <v>19</v>
      </c>
      <c r="K84" s="193">
        <v>22</v>
      </c>
      <c r="L84" s="193">
        <v>26</v>
      </c>
      <c r="M84" s="193">
        <v>17</v>
      </c>
      <c r="N84" s="193" t="s">
        <v>427</v>
      </c>
      <c r="O84" s="193">
        <f t="shared" si="7"/>
        <v>99</v>
      </c>
      <c r="P84" s="193">
        <f t="shared" si="8"/>
        <v>84</v>
      </c>
      <c r="Q84" s="193" t="str">
        <f t="shared" si="9"/>
        <v>HW</v>
      </c>
      <c r="R84" s="193" t="str">
        <f t="shared" si="9"/>
        <v>HW</v>
      </c>
      <c r="S84" s="193" t="str">
        <f t="shared" si="9"/>
        <v>HL</v>
      </c>
      <c r="T84" s="193" t="str">
        <f t="shared" si="5"/>
        <v>HW</v>
      </c>
      <c r="U84" s="193" t="str">
        <f t="shared" si="10"/>
        <v>U</v>
      </c>
      <c r="V84" s="193" t="str">
        <f t="shared" si="10"/>
        <v>U</v>
      </c>
      <c r="W84" s="193" t="str">
        <f t="shared" si="10"/>
        <v>U</v>
      </c>
      <c r="X84" s="193" t="str">
        <f t="shared" si="6"/>
        <v>U</v>
      </c>
      <c r="Z84" s="193">
        <v>54.5</v>
      </c>
      <c r="AA84" s="193" t="str">
        <f t="shared" si="11"/>
        <v>MIN/GS</v>
      </c>
    </row>
    <row r="85" spans="1:27" s="193" customFormat="1" x14ac:dyDescent="0.3">
      <c r="A85" s="193">
        <v>200103</v>
      </c>
      <c r="B85" s="194">
        <v>0.4375</v>
      </c>
      <c r="C85" s="5" t="s">
        <v>397</v>
      </c>
      <c r="D85" s="5" t="s">
        <v>407</v>
      </c>
      <c r="E85" s="193">
        <v>31</v>
      </c>
      <c r="F85" s="193">
        <v>29</v>
      </c>
      <c r="G85" s="193">
        <v>33</v>
      </c>
      <c r="H85" s="193">
        <v>30</v>
      </c>
      <c r="J85" s="193">
        <v>30</v>
      </c>
      <c r="K85" s="193">
        <v>35</v>
      </c>
      <c r="L85" s="193">
        <v>28</v>
      </c>
      <c r="M85" s="193">
        <v>18</v>
      </c>
      <c r="N85" s="193" t="s">
        <v>427</v>
      </c>
      <c r="O85" s="193">
        <f t="shared" si="7"/>
        <v>123</v>
      </c>
      <c r="P85" s="193">
        <f t="shared" si="8"/>
        <v>111</v>
      </c>
      <c r="Q85" s="193" t="str">
        <f t="shared" si="9"/>
        <v>HW</v>
      </c>
      <c r="R85" s="193" t="str">
        <f t="shared" si="9"/>
        <v>HL</v>
      </c>
      <c r="S85" s="193" t="str">
        <f t="shared" si="9"/>
        <v>HW</v>
      </c>
      <c r="T85" s="193" t="str">
        <f t="shared" si="5"/>
        <v>HW</v>
      </c>
      <c r="U85" s="193" t="str">
        <f t="shared" si="10"/>
        <v>O</v>
      </c>
      <c r="V85" s="193" t="str">
        <f t="shared" si="10"/>
        <v>O</v>
      </c>
      <c r="W85" s="193" t="str">
        <f t="shared" si="10"/>
        <v>O</v>
      </c>
      <c r="X85" s="193" t="str">
        <f t="shared" si="6"/>
        <v>U</v>
      </c>
      <c r="Z85" s="193">
        <v>54.5</v>
      </c>
      <c r="AA85" s="193" t="str">
        <f t="shared" si="11"/>
        <v>DAL/BKN</v>
      </c>
    </row>
    <row r="86" spans="1:27" s="193" customFormat="1" x14ac:dyDescent="0.3">
      <c r="A86" s="193">
        <v>200103</v>
      </c>
      <c r="B86" s="194">
        <v>0.4375</v>
      </c>
      <c r="C86" s="5" t="s">
        <v>426</v>
      </c>
      <c r="D86" s="5" t="s">
        <v>418</v>
      </c>
      <c r="E86" s="193">
        <v>27</v>
      </c>
      <c r="F86" s="193">
        <v>28</v>
      </c>
      <c r="G86" s="193">
        <v>21</v>
      </c>
      <c r="H86" s="193">
        <v>27</v>
      </c>
      <c r="J86" s="193">
        <v>27</v>
      </c>
      <c r="K86" s="193">
        <v>19</v>
      </c>
      <c r="L86" s="193">
        <v>28</v>
      </c>
      <c r="M86" s="193">
        <v>35</v>
      </c>
      <c r="N86" s="193" t="s">
        <v>427</v>
      </c>
      <c r="O86" s="193">
        <f t="shared" si="7"/>
        <v>103</v>
      </c>
      <c r="P86" s="193">
        <f t="shared" si="8"/>
        <v>109</v>
      </c>
      <c r="Q86" s="193" t="str">
        <f t="shared" si="9"/>
        <v>TT</v>
      </c>
      <c r="R86" s="193" t="str">
        <f t="shared" si="9"/>
        <v>HW</v>
      </c>
      <c r="S86" s="193" t="str">
        <f t="shared" si="9"/>
        <v>HL</v>
      </c>
      <c r="T86" s="193" t="str">
        <f t="shared" si="5"/>
        <v>HL</v>
      </c>
      <c r="U86" s="193" t="str">
        <f t="shared" si="10"/>
        <v>U</v>
      </c>
      <c r="V86" s="193" t="str">
        <f t="shared" si="10"/>
        <v>U</v>
      </c>
      <c r="W86" s="193" t="str">
        <f t="shared" si="10"/>
        <v>U</v>
      </c>
      <c r="X86" s="193" t="str">
        <f t="shared" si="6"/>
        <v>O</v>
      </c>
      <c r="Z86" s="193">
        <v>56</v>
      </c>
      <c r="AA86" s="193" t="str">
        <f t="shared" si="11"/>
        <v>SAS/OKC</v>
      </c>
    </row>
    <row r="87" spans="1:27" s="193" customFormat="1" x14ac:dyDescent="0.3">
      <c r="A87" s="193">
        <v>200103</v>
      </c>
      <c r="B87" s="194">
        <v>0.5</v>
      </c>
      <c r="C87" s="5" t="s">
        <v>416</v>
      </c>
      <c r="D87" s="5" t="s">
        <v>406</v>
      </c>
      <c r="E87" s="193">
        <v>26</v>
      </c>
      <c r="F87" s="193">
        <v>37</v>
      </c>
      <c r="G87" s="193">
        <v>27</v>
      </c>
      <c r="H87" s="193">
        <v>38</v>
      </c>
      <c r="J87" s="193">
        <v>42</v>
      </c>
      <c r="K87" s="193">
        <v>18</v>
      </c>
      <c r="L87" s="193">
        <v>37</v>
      </c>
      <c r="M87" s="193">
        <v>26</v>
      </c>
      <c r="N87" s="193" t="s">
        <v>427</v>
      </c>
      <c r="O87" s="193">
        <f t="shared" si="7"/>
        <v>128</v>
      </c>
      <c r="P87" s="193">
        <f t="shared" si="8"/>
        <v>123</v>
      </c>
      <c r="Q87" s="193" t="str">
        <f t="shared" si="9"/>
        <v>HL</v>
      </c>
      <c r="R87" s="193" t="str">
        <f t="shared" si="9"/>
        <v>HW</v>
      </c>
      <c r="S87" s="193" t="str">
        <f t="shared" si="9"/>
        <v>HL</v>
      </c>
      <c r="T87" s="193" t="str">
        <f t="shared" si="5"/>
        <v>HW</v>
      </c>
      <c r="U87" s="193" t="str">
        <f t="shared" si="10"/>
        <v>O</v>
      </c>
      <c r="V87" s="193" t="str">
        <f t="shared" si="10"/>
        <v>T</v>
      </c>
      <c r="W87" s="193" t="str">
        <f t="shared" si="10"/>
        <v>O</v>
      </c>
      <c r="X87" s="193" t="str">
        <f t="shared" si="6"/>
        <v>O</v>
      </c>
      <c r="Z87" s="193">
        <v>55</v>
      </c>
      <c r="AA87" s="193" t="str">
        <f t="shared" si="11"/>
        <v>SAC/MEM</v>
      </c>
    </row>
    <row r="88" spans="1:27" s="193" customFormat="1" x14ac:dyDescent="0.3">
      <c r="A88" s="193">
        <v>200103</v>
      </c>
      <c r="B88" s="194">
        <v>0.52083333333333337</v>
      </c>
      <c r="C88" s="5" t="s">
        <v>415</v>
      </c>
      <c r="D88" s="5" t="s">
        <v>422</v>
      </c>
      <c r="E88" s="193">
        <v>30</v>
      </c>
      <c r="F88" s="193">
        <v>39</v>
      </c>
      <c r="G88" s="193">
        <v>37</v>
      </c>
      <c r="H88" s="193">
        <v>20</v>
      </c>
      <c r="J88" s="193">
        <v>33</v>
      </c>
      <c r="K88" s="193">
        <v>30</v>
      </c>
      <c r="L88" s="193">
        <v>16</v>
      </c>
      <c r="M88" s="193">
        <v>33</v>
      </c>
      <c r="N88" s="193" t="s">
        <v>427</v>
      </c>
      <c r="O88" s="193">
        <f t="shared" si="7"/>
        <v>126</v>
      </c>
      <c r="P88" s="193">
        <f t="shared" si="8"/>
        <v>112</v>
      </c>
      <c r="Q88" s="193" t="str">
        <f t="shared" si="9"/>
        <v>HL</v>
      </c>
      <c r="R88" s="193" t="str">
        <f t="shared" si="9"/>
        <v>HW</v>
      </c>
      <c r="S88" s="193" t="str">
        <f t="shared" si="9"/>
        <v>HW</v>
      </c>
      <c r="T88" s="193" t="str">
        <f t="shared" si="5"/>
        <v>HL</v>
      </c>
      <c r="U88" s="193" t="str">
        <f t="shared" si="10"/>
        <v>O</v>
      </c>
      <c r="V88" s="193" t="str">
        <f t="shared" si="10"/>
        <v>O</v>
      </c>
      <c r="W88" s="193" t="str">
        <f t="shared" si="10"/>
        <v>U</v>
      </c>
      <c r="X88" s="193" t="str">
        <f t="shared" si="6"/>
        <v>U</v>
      </c>
      <c r="Z88" s="193">
        <v>58.5</v>
      </c>
      <c r="AA88" s="193" t="str">
        <f t="shared" si="11"/>
        <v>LAC/DET</v>
      </c>
    </row>
    <row r="89" spans="1:27" s="193" customFormat="1" x14ac:dyDescent="0.3">
      <c r="A89" s="193">
        <v>200104</v>
      </c>
      <c r="B89" s="194">
        <v>0.375</v>
      </c>
      <c r="C89" s="5" t="s">
        <v>421</v>
      </c>
      <c r="D89" s="5" t="s">
        <v>410</v>
      </c>
      <c r="E89" s="193">
        <v>19</v>
      </c>
      <c r="F89" s="193">
        <v>34</v>
      </c>
      <c r="G89" s="193">
        <v>29</v>
      </c>
      <c r="H89" s="193">
        <v>27</v>
      </c>
      <c r="J89" s="193">
        <v>32</v>
      </c>
      <c r="K89" s="193">
        <v>23</v>
      </c>
      <c r="L89" s="193">
        <v>25</v>
      </c>
      <c r="M89" s="193">
        <v>26</v>
      </c>
      <c r="N89" s="193" t="s">
        <v>427</v>
      </c>
      <c r="O89" s="193">
        <f t="shared" si="7"/>
        <v>109</v>
      </c>
      <c r="P89" s="193">
        <f t="shared" si="8"/>
        <v>106</v>
      </c>
      <c r="Q89" s="193" t="str">
        <f t="shared" ref="Q89:S94" si="12">IF(E89=J89,"TT",IF(E89&gt;J89,"HW","HL"))</f>
        <v>HL</v>
      </c>
      <c r="R89" s="193" t="str">
        <f t="shared" si="12"/>
        <v>HW</v>
      </c>
      <c r="S89" s="193" t="str">
        <f t="shared" si="12"/>
        <v>HW</v>
      </c>
      <c r="T89" s="193" t="str">
        <f t="shared" si="5"/>
        <v>HW</v>
      </c>
      <c r="U89" s="193" t="str">
        <f t="shared" ref="U89:W94" si="13">IF(SUM(E89,J89)=$Z89,"T",IF(SUM(E89,J89)&gt;$Z89,"O","U"))</f>
        <v>U</v>
      </c>
      <c r="V89" s="193" t="str">
        <f t="shared" si="13"/>
        <v>U</v>
      </c>
      <c r="W89" s="193" t="str">
        <f t="shared" si="13"/>
        <v>U</v>
      </c>
      <c r="X89" s="193" t="str">
        <f t="shared" si="6"/>
        <v>U</v>
      </c>
      <c r="Z89" s="193">
        <v>58</v>
      </c>
      <c r="AA89" s="193" t="str">
        <f t="shared" si="11"/>
        <v>BOS/ATL</v>
      </c>
    </row>
    <row r="90" spans="1:27" s="193" customFormat="1" x14ac:dyDescent="0.3">
      <c r="A90" s="193">
        <v>200104</v>
      </c>
      <c r="B90" s="194">
        <v>0.375</v>
      </c>
      <c r="C90" s="5" t="s">
        <v>424</v>
      </c>
      <c r="D90" s="5" t="s">
        <v>411</v>
      </c>
      <c r="E90" s="193">
        <v>27</v>
      </c>
      <c r="F90" s="193">
        <v>29</v>
      </c>
      <c r="G90" s="193">
        <v>28</v>
      </c>
      <c r="H90" s="193">
        <v>21</v>
      </c>
      <c r="J90" s="193">
        <v>22</v>
      </c>
      <c r="K90" s="193">
        <v>22</v>
      </c>
      <c r="L90" s="193">
        <v>35</v>
      </c>
      <c r="M90" s="193">
        <v>6</v>
      </c>
      <c r="N90" s="193" t="s">
        <v>427</v>
      </c>
      <c r="O90" s="193">
        <f t="shared" si="7"/>
        <v>105</v>
      </c>
      <c r="P90" s="193">
        <f t="shared" si="8"/>
        <v>85</v>
      </c>
      <c r="Q90" s="193" t="str">
        <f t="shared" si="12"/>
        <v>HW</v>
      </c>
      <c r="R90" s="193" t="str">
        <f t="shared" si="12"/>
        <v>HW</v>
      </c>
      <c r="S90" s="193" t="str">
        <f t="shared" si="12"/>
        <v>HL</v>
      </c>
      <c r="T90" s="193" t="str">
        <f t="shared" si="5"/>
        <v>HW</v>
      </c>
      <c r="U90" s="193" t="str">
        <f t="shared" si="13"/>
        <v>U</v>
      </c>
      <c r="V90" s="193" t="str">
        <f t="shared" si="13"/>
        <v>U</v>
      </c>
      <c r="W90" s="193" t="str">
        <f t="shared" si="13"/>
        <v>O</v>
      </c>
      <c r="X90" s="193" t="str">
        <f t="shared" si="6"/>
        <v>U</v>
      </c>
      <c r="Z90" s="193">
        <v>53</v>
      </c>
      <c r="AA90" s="193" t="str">
        <f t="shared" si="11"/>
        <v>ORL/MIA</v>
      </c>
    </row>
    <row r="91" spans="1:27" s="193" customFormat="1" x14ac:dyDescent="0.3">
      <c r="A91" s="193">
        <v>200104</v>
      </c>
      <c r="B91" s="194">
        <v>0.375</v>
      </c>
      <c r="C91" s="5" t="s">
        <v>414</v>
      </c>
      <c r="D91" s="5" t="s">
        <v>417</v>
      </c>
      <c r="E91" s="193">
        <v>31</v>
      </c>
      <c r="F91" s="193">
        <v>27</v>
      </c>
      <c r="G91" s="193">
        <v>20</v>
      </c>
      <c r="H91" s="193">
        <v>25</v>
      </c>
      <c r="J91" s="193">
        <v>27</v>
      </c>
      <c r="K91" s="193">
        <v>39</v>
      </c>
      <c r="L91" s="193">
        <v>25</v>
      </c>
      <c r="M91" s="193">
        <v>31</v>
      </c>
      <c r="N91" s="193" t="s">
        <v>427</v>
      </c>
      <c r="O91" s="193">
        <f t="shared" si="7"/>
        <v>103</v>
      </c>
      <c r="P91" s="193">
        <f t="shared" si="8"/>
        <v>122</v>
      </c>
      <c r="Q91" s="193" t="str">
        <f t="shared" si="12"/>
        <v>HW</v>
      </c>
      <c r="R91" s="193" t="str">
        <f t="shared" si="12"/>
        <v>HL</v>
      </c>
      <c r="S91" s="193" t="str">
        <f t="shared" si="12"/>
        <v>HL</v>
      </c>
      <c r="T91" s="193" t="str">
        <f t="shared" si="5"/>
        <v>HL</v>
      </c>
      <c r="U91" s="193" t="str">
        <f t="shared" si="13"/>
        <v>U</v>
      </c>
      <c r="V91" s="193" t="str">
        <f t="shared" si="13"/>
        <v>O</v>
      </c>
      <c r="W91" s="193" t="str">
        <f t="shared" si="13"/>
        <v>U</v>
      </c>
      <c r="X91" s="193" t="str">
        <f t="shared" si="6"/>
        <v>U</v>
      </c>
      <c r="Z91" s="193">
        <v>60</v>
      </c>
      <c r="AA91" s="193" t="str">
        <f t="shared" si="11"/>
        <v>WAS/POR</v>
      </c>
    </row>
    <row r="92" spans="1:27" s="193" customFormat="1" x14ac:dyDescent="0.3">
      <c r="A92" s="193">
        <v>200104</v>
      </c>
      <c r="B92" s="194">
        <v>0.41666666666666669</v>
      </c>
      <c r="C92" s="5" t="s">
        <v>403</v>
      </c>
      <c r="D92" s="5" t="s">
        <v>401</v>
      </c>
      <c r="E92" s="193">
        <v>20</v>
      </c>
      <c r="F92" s="193">
        <v>40</v>
      </c>
      <c r="G92" s="193">
        <v>36</v>
      </c>
      <c r="H92" s="193">
        <v>22</v>
      </c>
      <c r="J92" s="193">
        <v>27</v>
      </c>
      <c r="K92" s="193">
        <v>26</v>
      </c>
      <c r="L92" s="193">
        <v>31</v>
      </c>
      <c r="M92" s="193">
        <v>24</v>
      </c>
      <c r="N92" s="193" t="s">
        <v>427</v>
      </c>
      <c r="O92" s="193">
        <f t="shared" si="7"/>
        <v>118</v>
      </c>
      <c r="P92" s="193">
        <f t="shared" si="8"/>
        <v>108</v>
      </c>
      <c r="Q92" s="193" t="str">
        <f t="shared" si="12"/>
        <v>HL</v>
      </c>
      <c r="R92" s="193" t="str">
        <f t="shared" si="12"/>
        <v>HW</v>
      </c>
      <c r="S92" s="193" t="str">
        <f t="shared" si="12"/>
        <v>HW</v>
      </c>
      <c r="T92" s="193" t="str">
        <f t="shared" si="5"/>
        <v>HL</v>
      </c>
      <c r="U92" s="193" t="str">
        <f t="shared" si="13"/>
        <v>U</v>
      </c>
      <c r="V92" s="193" t="str">
        <f t="shared" si="13"/>
        <v>O</v>
      </c>
      <c r="W92" s="193" t="str">
        <f t="shared" si="13"/>
        <v>O</v>
      </c>
      <c r="X92" s="193" t="str">
        <f t="shared" si="6"/>
        <v>U</v>
      </c>
      <c r="Z92" s="193">
        <v>57</v>
      </c>
      <c r="AA92" s="193" t="str">
        <f t="shared" si="11"/>
        <v>HOU/PHI</v>
      </c>
    </row>
    <row r="93" spans="1:27" s="193" customFormat="1" x14ac:dyDescent="0.3">
      <c r="A93" s="193">
        <v>200104</v>
      </c>
      <c r="B93" s="194">
        <v>0.45833333333333331</v>
      </c>
      <c r="C93" s="5" t="s">
        <v>404</v>
      </c>
      <c r="D93" s="5" t="s">
        <v>399</v>
      </c>
      <c r="E93" s="193">
        <v>29</v>
      </c>
      <c r="F93" s="193">
        <v>22</v>
      </c>
      <c r="G93" s="193">
        <v>32</v>
      </c>
      <c r="H93" s="193">
        <v>37</v>
      </c>
      <c r="J93" s="193">
        <v>37</v>
      </c>
      <c r="K93" s="193">
        <v>24</v>
      </c>
      <c r="L93" s="193">
        <v>26</v>
      </c>
      <c r="M93" s="193">
        <v>25</v>
      </c>
      <c r="N93" s="193" t="s">
        <v>427</v>
      </c>
      <c r="O93" s="193">
        <f t="shared" si="7"/>
        <v>120</v>
      </c>
      <c r="P93" s="193">
        <f t="shared" si="8"/>
        <v>112</v>
      </c>
      <c r="Q93" s="193" t="str">
        <f t="shared" si="12"/>
        <v>HL</v>
      </c>
      <c r="R93" s="193" t="str">
        <f t="shared" si="12"/>
        <v>HL</v>
      </c>
      <c r="S93" s="193" t="str">
        <f t="shared" si="12"/>
        <v>HW</v>
      </c>
      <c r="T93" s="193" t="str">
        <f t="shared" si="5"/>
        <v>HW</v>
      </c>
      <c r="U93" s="193" t="str">
        <f t="shared" si="13"/>
        <v>O</v>
      </c>
      <c r="V93" s="193" t="str">
        <f t="shared" si="13"/>
        <v>U</v>
      </c>
      <c r="W93" s="193" t="str">
        <f t="shared" si="13"/>
        <v>T</v>
      </c>
      <c r="X93" s="193" t="str">
        <f t="shared" si="6"/>
        <v>O</v>
      </c>
      <c r="Z93" s="193">
        <v>58</v>
      </c>
      <c r="AA93" s="193" t="str">
        <f t="shared" si="11"/>
        <v>PHO/NYK</v>
      </c>
    </row>
    <row r="94" spans="1:27" s="193" customFormat="1" x14ac:dyDescent="0.3">
      <c r="A94" s="193">
        <v>200104</v>
      </c>
      <c r="B94" s="194">
        <v>0.52083333333333337</v>
      </c>
      <c r="C94" s="5" t="s">
        <v>419</v>
      </c>
      <c r="D94" s="5" t="s">
        <v>398</v>
      </c>
      <c r="E94" s="193">
        <v>42</v>
      </c>
      <c r="F94" s="193">
        <v>32</v>
      </c>
      <c r="G94" s="193">
        <v>31</v>
      </c>
      <c r="H94" s="193">
        <v>18</v>
      </c>
      <c r="J94" s="193">
        <v>30</v>
      </c>
      <c r="K94" s="193">
        <v>32</v>
      </c>
      <c r="L94" s="193">
        <v>21</v>
      </c>
      <c r="M94" s="193">
        <v>30</v>
      </c>
      <c r="N94" s="193" t="s">
        <v>427</v>
      </c>
      <c r="O94" s="193">
        <f t="shared" si="7"/>
        <v>123</v>
      </c>
      <c r="P94" s="193">
        <f t="shared" si="8"/>
        <v>113</v>
      </c>
      <c r="Q94" s="193" t="str">
        <f t="shared" si="12"/>
        <v>HW</v>
      </c>
      <c r="R94" s="193" t="str">
        <f t="shared" si="12"/>
        <v>TT</v>
      </c>
      <c r="S94" s="193" t="str">
        <f t="shared" si="12"/>
        <v>HW</v>
      </c>
      <c r="T94" s="193" t="str">
        <f t="shared" si="5"/>
        <v>HL</v>
      </c>
      <c r="U94" s="193" t="str">
        <f t="shared" si="13"/>
        <v>O</v>
      </c>
      <c r="V94" s="193" t="str">
        <f t="shared" si="13"/>
        <v>O</v>
      </c>
      <c r="W94" s="193" t="str">
        <f t="shared" si="13"/>
        <v>U</v>
      </c>
      <c r="X94" s="193" t="str">
        <f t="shared" si="6"/>
        <v>U</v>
      </c>
      <c r="Z94" s="193">
        <v>58</v>
      </c>
      <c r="AA94" s="193" t="str">
        <f t="shared" si="11"/>
        <v>LAL/NO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2019-10-26T09:51:06Z</dcterms:created>
  <dcterms:modified xsi:type="dcterms:W3CDTF">2020-01-04T16:24:23Z</dcterms:modified>
</cp:coreProperties>
</file>