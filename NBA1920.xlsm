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rche\Desktop\2020!!\NBA1920\1203\"/>
    </mc:Choice>
  </mc:AlternateContent>
  <xr:revisionPtr revIDLastSave="0" documentId="13_ncr:1_{F5D6A3DD-977F-444F-805C-1931F1C62696}" xr6:coauthVersionLast="45" xr6:coauthVersionMax="45" xr10:uidLastSave="{00000000-0000-0000-0000-000000000000}"/>
  <bookViews>
    <workbookView xWindow="17775" yWindow="270" windowWidth="19185" windowHeight="10185" activeTab="1" xr2:uid="{00000000-000D-0000-FFFF-FFFF00000000}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12" i="3" l="1"/>
  <c r="AA413" i="3"/>
  <c r="AA414" i="3"/>
  <c r="AA415" i="3"/>
  <c r="AA416" i="3"/>
  <c r="AA408" i="3"/>
  <c r="AA409" i="3"/>
  <c r="AA410" i="3"/>
  <c r="AA411" i="3"/>
  <c r="AA102" i="4" l="1"/>
  <c r="X102" i="4"/>
  <c r="W102" i="4"/>
  <c r="V102" i="4"/>
  <c r="U102" i="4"/>
  <c r="T102" i="4"/>
  <c r="S102" i="4"/>
  <c r="R102" i="4"/>
  <c r="Q102" i="4"/>
  <c r="P102" i="4"/>
  <c r="O102" i="4"/>
  <c r="AA101" i="4"/>
  <c r="X101" i="4"/>
  <c r="W101" i="4"/>
  <c r="V101" i="4"/>
  <c r="U101" i="4"/>
  <c r="T101" i="4"/>
  <c r="S101" i="4"/>
  <c r="R101" i="4"/>
  <c r="Q101" i="4"/>
  <c r="P101" i="4"/>
  <c r="O101" i="4"/>
  <c r="AA100" i="4"/>
  <c r="X100" i="4"/>
  <c r="W100" i="4"/>
  <c r="V100" i="4"/>
  <c r="U100" i="4"/>
  <c r="T100" i="4"/>
  <c r="S100" i="4"/>
  <c r="R100" i="4"/>
  <c r="Q100" i="4"/>
  <c r="P100" i="4"/>
  <c r="O100" i="4"/>
  <c r="AA99" i="4"/>
  <c r="X99" i="4"/>
  <c r="W99" i="4"/>
  <c r="V99" i="4"/>
  <c r="U99" i="4"/>
  <c r="T99" i="4"/>
  <c r="S99" i="4"/>
  <c r="R99" i="4"/>
  <c r="Q99" i="4"/>
  <c r="P99" i="4"/>
  <c r="O99" i="4"/>
  <c r="AA98" i="4"/>
  <c r="X98" i="4"/>
  <c r="W98" i="4"/>
  <c r="V98" i="4"/>
  <c r="U98" i="4"/>
  <c r="T98" i="4"/>
  <c r="S98" i="4"/>
  <c r="R98" i="4"/>
  <c r="Q98" i="4"/>
  <c r="P98" i="4"/>
  <c r="O98" i="4"/>
  <c r="AA97" i="4"/>
  <c r="X97" i="4"/>
  <c r="W97" i="4"/>
  <c r="V97" i="4"/>
  <c r="U97" i="4"/>
  <c r="T97" i="4"/>
  <c r="S97" i="4"/>
  <c r="R97" i="4"/>
  <c r="Q97" i="4"/>
  <c r="P97" i="4"/>
  <c r="O97" i="4"/>
  <c r="AA96" i="4"/>
  <c r="X96" i="4"/>
  <c r="W96" i="4"/>
  <c r="V96" i="4"/>
  <c r="U96" i="4"/>
  <c r="T96" i="4"/>
  <c r="S96" i="4"/>
  <c r="R96" i="4"/>
  <c r="Q96" i="4"/>
  <c r="P96" i="4"/>
  <c r="O96" i="4"/>
  <c r="AA95" i="4"/>
  <c r="X95" i="4"/>
  <c r="W95" i="4"/>
  <c r="V95" i="4"/>
  <c r="U95" i="4"/>
  <c r="T95" i="4"/>
  <c r="S95" i="4"/>
  <c r="R95" i="4"/>
  <c r="Q95" i="4"/>
  <c r="P95" i="4"/>
  <c r="O95" i="4"/>
  <c r="AA94" i="4"/>
  <c r="X94" i="4"/>
  <c r="W94" i="4"/>
  <c r="V94" i="4"/>
  <c r="U94" i="4"/>
  <c r="T94" i="4"/>
  <c r="S94" i="4"/>
  <c r="R94" i="4"/>
  <c r="Q94" i="4"/>
  <c r="P94" i="4"/>
  <c r="O94" i="4"/>
  <c r="AA93" i="4"/>
  <c r="X93" i="4"/>
  <c r="W93" i="4"/>
  <c r="V93" i="4"/>
  <c r="U93" i="4"/>
  <c r="T93" i="4"/>
  <c r="S93" i="4"/>
  <c r="R93" i="4"/>
  <c r="Q93" i="4"/>
  <c r="P93" i="4"/>
  <c r="O93" i="4"/>
  <c r="AA92" i="4"/>
  <c r="X92" i="4"/>
  <c r="W92" i="4"/>
  <c r="V92" i="4"/>
  <c r="U92" i="4"/>
  <c r="T92" i="4"/>
  <c r="S92" i="4"/>
  <c r="R92" i="4"/>
  <c r="Q92" i="4"/>
  <c r="P92" i="4"/>
  <c r="O92" i="4"/>
  <c r="AA91" i="4"/>
  <c r="X91" i="4"/>
  <c r="W91" i="4"/>
  <c r="V91" i="4"/>
  <c r="U91" i="4"/>
  <c r="T91" i="4"/>
  <c r="S91" i="4"/>
  <c r="R91" i="4"/>
  <c r="Q91" i="4"/>
  <c r="P91" i="4"/>
  <c r="O91" i="4"/>
  <c r="AA90" i="4"/>
  <c r="X90" i="4"/>
  <c r="W90" i="4"/>
  <c r="V90" i="4"/>
  <c r="U90" i="4"/>
  <c r="T90" i="4"/>
  <c r="S90" i="4"/>
  <c r="R90" i="4"/>
  <c r="Q90" i="4"/>
  <c r="P90" i="4"/>
  <c r="O90" i="4"/>
  <c r="AA89" i="4"/>
  <c r="X89" i="4"/>
  <c r="W89" i="4"/>
  <c r="V89" i="4"/>
  <c r="U89" i="4"/>
  <c r="T89" i="4"/>
  <c r="S89" i="4"/>
  <c r="R89" i="4"/>
  <c r="Q89" i="4"/>
  <c r="P89" i="4"/>
  <c r="O89" i="4"/>
  <c r="AA88" i="4"/>
  <c r="X88" i="4"/>
  <c r="W88" i="4"/>
  <c r="V88" i="4"/>
  <c r="U88" i="4"/>
  <c r="T88" i="4"/>
  <c r="S88" i="4"/>
  <c r="R88" i="4"/>
  <c r="Q88" i="4"/>
  <c r="P88" i="4"/>
  <c r="O88" i="4"/>
  <c r="AA87" i="4"/>
  <c r="X87" i="4"/>
  <c r="W87" i="4"/>
  <c r="V87" i="4"/>
  <c r="U87" i="4"/>
  <c r="T87" i="4"/>
  <c r="S87" i="4"/>
  <c r="R87" i="4"/>
  <c r="Q87" i="4"/>
  <c r="P87" i="4"/>
  <c r="O87" i="4"/>
  <c r="AA86" i="4"/>
  <c r="X86" i="4"/>
  <c r="W86" i="4"/>
  <c r="V86" i="4"/>
  <c r="U86" i="4"/>
  <c r="T86" i="4"/>
  <c r="S86" i="4"/>
  <c r="R86" i="4"/>
  <c r="Q86" i="4"/>
  <c r="P86" i="4"/>
  <c r="O86" i="4"/>
  <c r="AA85" i="4"/>
  <c r="X85" i="4"/>
  <c r="W85" i="4"/>
  <c r="V85" i="4"/>
  <c r="U85" i="4"/>
  <c r="T85" i="4"/>
  <c r="S85" i="4"/>
  <c r="R85" i="4"/>
  <c r="Q85" i="4"/>
  <c r="P85" i="4"/>
  <c r="O85" i="4"/>
  <c r="AA84" i="4"/>
  <c r="X84" i="4"/>
  <c r="W84" i="4"/>
  <c r="V84" i="4"/>
  <c r="U84" i="4"/>
  <c r="T84" i="4"/>
  <c r="S84" i="4"/>
  <c r="R84" i="4"/>
  <c r="Q84" i="4"/>
  <c r="P84" i="4"/>
  <c r="O84" i="4"/>
  <c r="AA83" i="4"/>
  <c r="X83" i="4"/>
  <c r="W83" i="4"/>
  <c r="V83" i="4"/>
  <c r="U83" i="4"/>
  <c r="T83" i="4"/>
  <c r="S83" i="4"/>
  <c r="R83" i="4"/>
  <c r="Q83" i="4"/>
  <c r="P83" i="4"/>
  <c r="O83" i="4"/>
  <c r="AA82" i="4"/>
  <c r="X82" i="4"/>
  <c r="W82" i="4"/>
  <c r="V82" i="4"/>
  <c r="U82" i="4"/>
  <c r="T82" i="4"/>
  <c r="S82" i="4"/>
  <c r="R82" i="4"/>
  <c r="Q82" i="4"/>
  <c r="P82" i="4"/>
  <c r="O82" i="4"/>
  <c r="AA81" i="4"/>
  <c r="X81" i="4"/>
  <c r="W81" i="4"/>
  <c r="V81" i="4"/>
  <c r="U81" i="4"/>
  <c r="T81" i="4"/>
  <c r="S81" i="4"/>
  <c r="R81" i="4"/>
  <c r="Q81" i="4"/>
  <c r="P81" i="4"/>
  <c r="O81" i="4"/>
  <c r="AA80" i="4"/>
  <c r="X80" i="4"/>
  <c r="W80" i="4"/>
  <c r="V80" i="4"/>
  <c r="U80" i="4"/>
  <c r="T80" i="4"/>
  <c r="S80" i="4"/>
  <c r="R80" i="4"/>
  <c r="Q80" i="4"/>
  <c r="P80" i="4"/>
  <c r="O80" i="4"/>
  <c r="AA79" i="4"/>
  <c r="X79" i="4"/>
  <c r="W79" i="4"/>
  <c r="V79" i="4"/>
  <c r="U79" i="4"/>
  <c r="T79" i="4"/>
  <c r="S79" i="4"/>
  <c r="R79" i="4"/>
  <c r="Q79" i="4"/>
  <c r="P79" i="4"/>
  <c r="O79" i="4"/>
  <c r="AA78" i="4"/>
  <c r="X78" i="4"/>
  <c r="W78" i="4"/>
  <c r="V78" i="4"/>
  <c r="U78" i="4"/>
  <c r="T78" i="4"/>
  <c r="S78" i="4"/>
  <c r="R78" i="4"/>
  <c r="Q78" i="4"/>
  <c r="P78" i="4"/>
  <c r="O78" i="4"/>
  <c r="AA77" i="4"/>
  <c r="X77" i="4"/>
  <c r="W77" i="4"/>
  <c r="V77" i="4"/>
  <c r="U77" i="4"/>
  <c r="T77" i="4"/>
  <c r="S77" i="4"/>
  <c r="R77" i="4"/>
  <c r="Q77" i="4"/>
  <c r="P77" i="4"/>
  <c r="O77" i="4"/>
  <c r="AA76" i="4"/>
  <c r="X76" i="4"/>
  <c r="W76" i="4"/>
  <c r="V76" i="4"/>
  <c r="U76" i="4"/>
  <c r="T76" i="4"/>
  <c r="S76" i="4"/>
  <c r="R76" i="4"/>
  <c r="Q76" i="4"/>
  <c r="P76" i="4"/>
  <c r="O76" i="4"/>
  <c r="AA75" i="4"/>
  <c r="X75" i="4"/>
  <c r="W75" i="4"/>
  <c r="V75" i="4"/>
  <c r="U75" i="4"/>
  <c r="T75" i="4"/>
  <c r="S75" i="4"/>
  <c r="R75" i="4"/>
  <c r="Q75" i="4"/>
  <c r="P75" i="4"/>
  <c r="O75" i="4"/>
  <c r="AA74" i="4"/>
  <c r="X74" i="4"/>
  <c r="W74" i="4"/>
  <c r="V74" i="4"/>
  <c r="U74" i="4"/>
  <c r="T74" i="4"/>
  <c r="S74" i="4"/>
  <c r="R74" i="4"/>
  <c r="Q74" i="4"/>
  <c r="P74" i="4"/>
  <c r="O74" i="4"/>
  <c r="AA73" i="4"/>
  <c r="X73" i="4"/>
  <c r="W73" i="4"/>
  <c r="V73" i="4"/>
  <c r="U73" i="4"/>
  <c r="T73" i="4"/>
  <c r="S73" i="4"/>
  <c r="R73" i="4"/>
  <c r="Q73" i="4"/>
  <c r="P73" i="4"/>
  <c r="O73" i="4"/>
  <c r="AA72" i="4"/>
  <c r="X72" i="4"/>
  <c r="W72" i="4"/>
  <c r="V72" i="4"/>
  <c r="U72" i="4"/>
  <c r="T72" i="4"/>
  <c r="S72" i="4"/>
  <c r="R72" i="4"/>
  <c r="Q72" i="4"/>
  <c r="P72" i="4"/>
  <c r="O72" i="4"/>
  <c r="AA71" i="4"/>
  <c r="X71" i="4"/>
  <c r="W71" i="4"/>
  <c r="V71" i="4"/>
  <c r="U71" i="4"/>
  <c r="T71" i="4"/>
  <c r="S71" i="4"/>
  <c r="R71" i="4"/>
  <c r="Q71" i="4"/>
  <c r="P71" i="4"/>
  <c r="O71" i="4"/>
  <c r="AA70" i="4"/>
  <c r="X70" i="4"/>
  <c r="W70" i="4"/>
  <c r="V70" i="4"/>
  <c r="U70" i="4"/>
  <c r="T70" i="4"/>
  <c r="S70" i="4"/>
  <c r="R70" i="4"/>
  <c r="Q70" i="4"/>
  <c r="P70" i="4"/>
  <c r="O70" i="4"/>
  <c r="AA69" i="4"/>
  <c r="X69" i="4"/>
  <c r="W69" i="4"/>
  <c r="V69" i="4"/>
  <c r="U69" i="4"/>
  <c r="T69" i="4"/>
  <c r="S69" i="4"/>
  <c r="R69" i="4"/>
  <c r="Q69" i="4"/>
  <c r="P69" i="4"/>
  <c r="O69" i="4"/>
  <c r="AA68" i="4"/>
  <c r="X68" i="4"/>
  <c r="W68" i="4"/>
  <c r="V68" i="4"/>
  <c r="U68" i="4"/>
  <c r="T68" i="4"/>
  <c r="S68" i="4"/>
  <c r="R68" i="4"/>
  <c r="Q68" i="4"/>
  <c r="P68" i="4"/>
  <c r="O68" i="4"/>
  <c r="AA67" i="4"/>
  <c r="X67" i="4"/>
  <c r="W67" i="4"/>
  <c r="V67" i="4"/>
  <c r="U67" i="4"/>
  <c r="T67" i="4"/>
  <c r="S67" i="4"/>
  <c r="R67" i="4"/>
  <c r="Q67" i="4"/>
  <c r="P67" i="4"/>
  <c r="O67" i="4"/>
  <c r="AA66" i="4"/>
  <c r="X66" i="4"/>
  <c r="W66" i="4"/>
  <c r="V66" i="4"/>
  <c r="U66" i="4"/>
  <c r="T66" i="4"/>
  <c r="S66" i="4"/>
  <c r="R66" i="4"/>
  <c r="Q66" i="4"/>
  <c r="P66" i="4"/>
  <c r="O66" i="4"/>
  <c r="AA65" i="4"/>
  <c r="X65" i="4"/>
  <c r="W65" i="4"/>
  <c r="V65" i="4"/>
  <c r="U65" i="4"/>
  <c r="T65" i="4"/>
  <c r="S65" i="4"/>
  <c r="R65" i="4"/>
  <c r="Q65" i="4"/>
  <c r="P65" i="4"/>
  <c r="O65" i="4"/>
  <c r="AA64" i="4"/>
  <c r="X64" i="4"/>
  <c r="W64" i="4"/>
  <c r="V64" i="4"/>
  <c r="U64" i="4"/>
  <c r="T64" i="4"/>
  <c r="S64" i="4"/>
  <c r="R64" i="4"/>
  <c r="Q64" i="4"/>
  <c r="P64" i="4"/>
  <c r="O64" i="4"/>
  <c r="AA63" i="4"/>
  <c r="X63" i="4"/>
  <c r="W63" i="4"/>
  <c r="V63" i="4"/>
  <c r="U63" i="4"/>
  <c r="T63" i="4"/>
  <c r="S63" i="4"/>
  <c r="R63" i="4"/>
  <c r="Q63" i="4"/>
  <c r="P63" i="4"/>
  <c r="O63" i="4"/>
  <c r="AA62" i="4"/>
  <c r="X62" i="4"/>
  <c r="W62" i="4"/>
  <c r="V62" i="4"/>
  <c r="U62" i="4"/>
  <c r="T62" i="4"/>
  <c r="S62" i="4"/>
  <c r="R62" i="4"/>
  <c r="Q62" i="4"/>
  <c r="P62" i="4"/>
  <c r="O62" i="4"/>
  <c r="AA61" i="4"/>
  <c r="X61" i="4"/>
  <c r="W61" i="4"/>
  <c r="V61" i="4"/>
  <c r="U61" i="4"/>
  <c r="T61" i="4"/>
  <c r="S61" i="4"/>
  <c r="R61" i="4"/>
  <c r="Q61" i="4"/>
  <c r="P61" i="4"/>
  <c r="O61" i="4"/>
  <c r="AA60" i="4"/>
  <c r="X60" i="4"/>
  <c r="W60" i="4"/>
  <c r="V60" i="4"/>
  <c r="U60" i="4"/>
  <c r="T60" i="4"/>
  <c r="S60" i="4"/>
  <c r="R60" i="4"/>
  <c r="Q60" i="4"/>
  <c r="P60" i="4"/>
  <c r="O60" i="4"/>
  <c r="AA59" i="4"/>
  <c r="X59" i="4"/>
  <c r="W59" i="4"/>
  <c r="V59" i="4"/>
  <c r="U59" i="4"/>
  <c r="T59" i="4"/>
  <c r="S59" i="4"/>
  <c r="R59" i="4"/>
  <c r="Q59" i="4"/>
  <c r="P59" i="4"/>
  <c r="O59" i="4"/>
  <c r="AA58" i="4"/>
  <c r="X58" i="4"/>
  <c r="W58" i="4"/>
  <c r="V58" i="4"/>
  <c r="U58" i="4"/>
  <c r="T58" i="4"/>
  <c r="S58" i="4"/>
  <c r="R58" i="4"/>
  <c r="Q58" i="4"/>
  <c r="P58" i="4"/>
  <c r="O58" i="4"/>
  <c r="AA57" i="4"/>
  <c r="X57" i="4"/>
  <c r="W57" i="4"/>
  <c r="V57" i="4"/>
  <c r="U57" i="4"/>
  <c r="T57" i="4"/>
  <c r="S57" i="4"/>
  <c r="R57" i="4"/>
  <c r="Q57" i="4"/>
  <c r="P57" i="4"/>
  <c r="O57" i="4"/>
  <c r="AA56" i="4"/>
  <c r="X56" i="4"/>
  <c r="W56" i="4"/>
  <c r="V56" i="4"/>
  <c r="U56" i="4"/>
  <c r="T56" i="4"/>
  <c r="S56" i="4"/>
  <c r="R56" i="4"/>
  <c r="Q56" i="4"/>
  <c r="P56" i="4"/>
  <c r="O56" i="4"/>
  <c r="AA55" i="4"/>
  <c r="X55" i="4"/>
  <c r="W55" i="4"/>
  <c r="V55" i="4"/>
  <c r="U55" i="4"/>
  <c r="T55" i="4"/>
  <c r="S55" i="4"/>
  <c r="R55" i="4"/>
  <c r="Q55" i="4"/>
  <c r="P55" i="4"/>
  <c r="O55" i="4"/>
  <c r="AA54" i="4"/>
  <c r="X54" i="4"/>
  <c r="W54" i="4"/>
  <c r="V54" i="4"/>
  <c r="U54" i="4"/>
  <c r="T54" i="4"/>
  <c r="S54" i="4"/>
  <c r="R54" i="4"/>
  <c r="Q54" i="4"/>
  <c r="P54" i="4"/>
  <c r="O54" i="4"/>
  <c r="AA53" i="4"/>
  <c r="X53" i="4"/>
  <c r="W53" i="4"/>
  <c r="V53" i="4"/>
  <c r="U53" i="4"/>
  <c r="T53" i="4"/>
  <c r="S53" i="4"/>
  <c r="R53" i="4"/>
  <c r="Q53" i="4"/>
  <c r="P53" i="4"/>
  <c r="O53" i="4"/>
  <c r="AA52" i="4"/>
  <c r="X52" i="4"/>
  <c r="W52" i="4"/>
  <c r="V52" i="4"/>
  <c r="U52" i="4"/>
  <c r="T52" i="4"/>
  <c r="S52" i="4"/>
  <c r="R52" i="4"/>
  <c r="Q52" i="4"/>
  <c r="P52" i="4"/>
  <c r="O52" i="4"/>
  <c r="AA51" i="4"/>
  <c r="X51" i="4"/>
  <c r="W51" i="4"/>
  <c r="V51" i="4"/>
  <c r="U51" i="4"/>
  <c r="T51" i="4"/>
  <c r="S51" i="4"/>
  <c r="R51" i="4"/>
  <c r="Q51" i="4"/>
  <c r="P51" i="4"/>
  <c r="O51" i="4"/>
  <c r="AA50" i="4"/>
  <c r="X50" i="4"/>
  <c r="W50" i="4"/>
  <c r="V50" i="4"/>
  <c r="U50" i="4"/>
  <c r="T50" i="4"/>
  <c r="S50" i="4"/>
  <c r="R50" i="4"/>
  <c r="Q50" i="4"/>
  <c r="P50" i="4"/>
  <c r="O50" i="4"/>
  <c r="AA49" i="4"/>
  <c r="X49" i="4"/>
  <c r="W49" i="4"/>
  <c r="V49" i="4"/>
  <c r="U49" i="4"/>
  <c r="T49" i="4"/>
  <c r="S49" i="4"/>
  <c r="R49" i="4"/>
  <c r="Q49" i="4"/>
  <c r="P49" i="4"/>
  <c r="O49" i="4"/>
  <c r="AA48" i="4"/>
  <c r="X48" i="4"/>
  <c r="W48" i="4"/>
  <c r="V48" i="4"/>
  <c r="U48" i="4"/>
  <c r="T48" i="4"/>
  <c r="S48" i="4"/>
  <c r="R48" i="4"/>
  <c r="Q48" i="4"/>
  <c r="P48" i="4"/>
  <c r="O48" i="4"/>
  <c r="AA47" i="4"/>
  <c r="X47" i="4"/>
  <c r="W47" i="4"/>
  <c r="V47" i="4"/>
  <c r="U47" i="4"/>
  <c r="T47" i="4"/>
  <c r="S47" i="4"/>
  <c r="R47" i="4"/>
  <c r="Q47" i="4"/>
  <c r="P47" i="4"/>
  <c r="O47" i="4"/>
  <c r="AA46" i="4"/>
  <c r="X46" i="4"/>
  <c r="W46" i="4"/>
  <c r="V46" i="4"/>
  <c r="U46" i="4"/>
  <c r="T46" i="4"/>
  <c r="S46" i="4"/>
  <c r="R46" i="4"/>
  <c r="Q46" i="4"/>
  <c r="P46" i="4"/>
  <c r="O46" i="4"/>
  <c r="AA45" i="4"/>
  <c r="X45" i="4"/>
  <c r="W45" i="4"/>
  <c r="V45" i="4"/>
  <c r="U45" i="4"/>
  <c r="T45" i="4"/>
  <c r="S45" i="4"/>
  <c r="R45" i="4"/>
  <c r="Q45" i="4"/>
  <c r="P45" i="4"/>
  <c r="O45" i="4"/>
  <c r="AA44" i="4"/>
  <c r="X44" i="4"/>
  <c r="W44" i="4"/>
  <c r="V44" i="4"/>
  <c r="U44" i="4"/>
  <c r="T44" i="4"/>
  <c r="S44" i="4"/>
  <c r="R44" i="4"/>
  <c r="Q44" i="4"/>
  <c r="P44" i="4"/>
  <c r="O44" i="4"/>
  <c r="AA43" i="4"/>
  <c r="X43" i="4"/>
  <c r="W43" i="4"/>
  <c r="V43" i="4"/>
  <c r="U43" i="4"/>
  <c r="T43" i="4"/>
  <c r="S43" i="4"/>
  <c r="R43" i="4"/>
  <c r="Q43" i="4"/>
  <c r="P43" i="4"/>
  <c r="O43" i="4"/>
  <c r="AA42" i="4"/>
  <c r="X42" i="4"/>
  <c r="W42" i="4"/>
  <c r="V42" i="4"/>
  <c r="U42" i="4"/>
  <c r="T42" i="4"/>
  <c r="S42" i="4"/>
  <c r="R42" i="4"/>
  <c r="Q42" i="4"/>
  <c r="P42" i="4"/>
  <c r="O42" i="4"/>
  <c r="AA41" i="4"/>
  <c r="X41" i="4"/>
  <c r="W41" i="4"/>
  <c r="V41" i="4"/>
  <c r="U41" i="4"/>
  <c r="T41" i="4"/>
  <c r="S41" i="4"/>
  <c r="R41" i="4"/>
  <c r="Q41" i="4"/>
  <c r="P41" i="4"/>
  <c r="O41" i="4"/>
  <c r="AA40" i="4"/>
  <c r="X40" i="4"/>
  <c r="W40" i="4"/>
  <c r="V40" i="4"/>
  <c r="U40" i="4"/>
  <c r="T40" i="4"/>
  <c r="S40" i="4"/>
  <c r="R40" i="4"/>
  <c r="Q40" i="4"/>
  <c r="P40" i="4"/>
  <c r="O40" i="4"/>
  <c r="AA39" i="4"/>
  <c r="X39" i="4"/>
  <c r="W39" i="4"/>
  <c r="V39" i="4"/>
  <c r="U39" i="4"/>
  <c r="T39" i="4"/>
  <c r="S39" i="4"/>
  <c r="R39" i="4"/>
  <c r="Q39" i="4"/>
  <c r="P39" i="4"/>
  <c r="O39" i="4"/>
  <c r="AA38" i="4"/>
  <c r="X38" i="4"/>
  <c r="W38" i="4"/>
  <c r="V38" i="4"/>
  <c r="U38" i="4"/>
  <c r="T38" i="4"/>
  <c r="S38" i="4"/>
  <c r="R38" i="4"/>
  <c r="Q38" i="4"/>
  <c r="P38" i="4"/>
  <c r="O38" i="4"/>
  <c r="AA37" i="4"/>
  <c r="X37" i="4"/>
  <c r="W37" i="4"/>
  <c r="V37" i="4"/>
  <c r="U37" i="4"/>
  <c r="T37" i="4"/>
  <c r="S37" i="4"/>
  <c r="R37" i="4"/>
  <c r="Q37" i="4"/>
  <c r="P37" i="4"/>
  <c r="O37" i="4"/>
  <c r="AA36" i="4"/>
  <c r="X36" i="4"/>
  <c r="W36" i="4"/>
  <c r="V36" i="4"/>
  <c r="U36" i="4"/>
  <c r="T36" i="4"/>
  <c r="S36" i="4"/>
  <c r="R36" i="4"/>
  <c r="Q36" i="4"/>
  <c r="P36" i="4"/>
  <c r="O36" i="4"/>
  <c r="AA35" i="4"/>
  <c r="X35" i="4"/>
  <c r="W35" i="4"/>
  <c r="V35" i="4"/>
  <c r="U35" i="4"/>
  <c r="T35" i="4"/>
  <c r="S35" i="4"/>
  <c r="R35" i="4"/>
  <c r="Q35" i="4"/>
  <c r="P35" i="4"/>
  <c r="O35" i="4"/>
  <c r="AA34" i="4"/>
  <c r="X34" i="4"/>
  <c r="W34" i="4"/>
  <c r="V34" i="4"/>
  <c r="U34" i="4"/>
  <c r="T34" i="4"/>
  <c r="S34" i="4"/>
  <c r="R34" i="4"/>
  <c r="Q34" i="4"/>
  <c r="P34" i="4"/>
  <c r="O34" i="4"/>
  <c r="AA33" i="4"/>
  <c r="X33" i="4"/>
  <c r="W33" i="4"/>
  <c r="V33" i="4"/>
  <c r="U33" i="4"/>
  <c r="T33" i="4"/>
  <c r="S33" i="4"/>
  <c r="R33" i="4"/>
  <c r="Q33" i="4"/>
  <c r="P33" i="4"/>
  <c r="O33" i="4"/>
  <c r="AA32" i="4"/>
  <c r="X32" i="4"/>
  <c r="W32" i="4"/>
  <c r="V32" i="4"/>
  <c r="U32" i="4"/>
  <c r="T32" i="4"/>
  <c r="S32" i="4"/>
  <c r="R32" i="4"/>
  <c r="Q32" i="4"/>
  <c r="P32" i="4"/>
  <c r="O32" i="4"/>
  <c r="AA31" i="4"/>
  <c r="X31" i="4"/>
  <c r="W31" i="4"/>
  <c r="V31" i="4"/>
  <c r="U31" i="4"/>
  <c r="T31" i="4"/>
  <c r="S31" i="4"/>
  <c r="R31" i="4"/>
  <c r="Q31" i="4"/>
  <c r="P31" i="4"/>
  <c r="O31" i="4"/>
  <c r="AA30" i="4"/>
  <c r="X30" i="4"/>
  <c r="W30" i="4"/>
  <c r="V30" i="4"/>
  <c r="U30" i="4"/>
  <c r="T30" i="4"/>
  <c r="S30" i="4"/>
  <c r="R30" i="4"/>
  <c r="Q30" i="4"/>
  <c r="P30" i="4"/>
  <c r="O30" i="4"/>
  <c r="AA29" i="4"/>
  <c r="X29" i="4"/>
  <c r="W29" i="4"/>
  <c r="V29" i="4"/>
  <c r="U29" i="4"/>
  <c r="T29" i="4"/>
  <c r="S29" i="4"/>
  <c r="R29" i="4"/>
  <c r="Q29" i="4"/>
  <c r="P29" i="4"/>
  <c r="O29" i="4"/>
  <c r="AA28" i="4"/>
  <c r="X28" i="4"/>
  <c r="W28" i="4"/>
  <c r="V28" i="4"/>
  <c r="U28" i="4"/>
  <c r="T28" i="4"/>
  <c r="S28" i="4"/>
  <c r="R28" i="4"/>
  <c r="Q28" i="4"/>
  <c r="P28" i="4"/>
  <c r="O28" i="4"/>
  <c r="AA27" i="4"/>
  <c r="X27" i="4"/>
  <c r="W27" i="4"/>
  <c r="V27" i="4"/>
  <c r="U27" i="4"/>
  <c r="T27" i="4"/>
  <c r="S27" i="4"/>
  <c r="R27" i="4"/>
  <c r="Q27" i="4"/>
  <c r="P27" i="4"/>
  <c r="O27" i="4"/>
  <c r="AA26" i="4"/>
  <c r="X26" i="4"/>
  <c r="W26" i="4"/>
  <c r="V26" i="4"/>
  <c r="U26" i="4"/>
  <c r="T26" i="4"/>
  <c r="S26" i="4"/>
  <c r="R26" i="4"/>
  <c r="Q26" i="4"/>
  <c r="P26" i="4"/>
  <c r="O26" i="4"/>
  <c r="AA25" i="4"/>
  <c r="X25" i="4"/>
  <c r="W25" i="4"/>
  <c r="V25" i="4"/>
  <c r="U25" i="4"/>
  <c r="T25" i="4"/>
  <c r="S25" i="4"/>
  <c r="R25" i="4"/>
  <c r="Q25" i="4"/>
  <c r="P25" i="4"/>
  <c r="O25" i="4"/>
  <c r="AA24" i="4"/>
  <c r="X24" i="4"/>
  <c r="W24" i="4"/>
  <c r="V24" i="4"/>
  <c r="U24" i="4"/>
  <c r="T24" i="4"/>
  <c r="S24" i="4"/>
  <c r="R24" i="4"/>
  <c r="Q24" i="4"/>
  <c r="P24" i="4"/>
  <c r="O24" i="4"/>
  <c r="AA23" i="4"/>
  <c r="X23" i="4"/>
  <c r="W23" i="4"/>
  <c r="V23" i="4"/>
  <c r="U23" i="4"/>
  <c r="T23" i="4"/>
  <c r="S23" i="4"/>
  <c r="R23" i="4"/>
  <c r="Q23" i="4"/>
  <c r="P23" i="4"/>
  <c r="O23" i="4"/>
  <c r="AA22" i="4"/>
  <c r="X22" i="4"/>
  <c r="W22" i="4"/>
  <c r="V22" i="4"/>
  <c r="U22" i="4"/>
  <c r="T22" i="4"/>
  <c r="S22" i="4"/>
  <c r="R22" i="4"/>
  <c r="Q22" i="4"/>
  <c r="P22" i="4"/>
  <c r="O22" i="4"/>
  <c r="AA21" i="4"/>
  <c r="X21" i="4"/>
  <c r="W21" i="4"/>
  <c r="V21" i="4"/>
  <c r="U21" i="4"/>
  <c r="T21" i="4"/>
  <c r="S21" i="4"/>
  <c r="R21" i="4"/>
  <c r="Q21" i="4"/>
  <c r="P21" i="4"/>
  <c r="O21" i="4"/>
  <c r="AA20" i="4"/>
  <c r="X20" i="4"/>
  <c r="W20" i="4"/>
  <c r="V20" i="4"/>
  <c r="U20" i="4"/>
  <c r="T20" i="4"/>
  <c r="S20" i="4"/>
  <c r="R20" i="4"/>
  <c r="Q20" i="4"/>
  <c r="P20" i="4"/>
  <c r="O20" i="4"/>
  <c r="AA19" i="4"/>
  <c r="X19" i="4"/>
  <c r="W19" i="4"/>
  <c r="V19" i="4"/>
  <c r="U19" i="4"/>
  <c r="T19" i="4"/>
  <c r="S19" i="4"/>
  <c r="R19" i="4"/>
  <c r="Q19" i="4"/>
  <c r="P19" i="4"/>
  <c r="O19" i="4"/>
  <c r="AA18" i="4"/>
  <c r="X18" i="4"/>
  <c r="W18" i="4"/>
  <c r="V18" i="4"/>
  <c r="U18" i="4"/>
  <c r="T18" i="4"/>
  <c r="S18" i="4"/>
  <c r="R18" i="4"/>
  <c r="Q18" i="4"/>
  <c r="P18" i="4"/>
  <c r="O18" i="4"/>
  <c r="AA17" i="4"/>
  <c r="X17" i="4"/>
  <c r="W17" i="4"/>
  <c r="V17" i="4"/>
  <c r="U17" i="4"/>
  <c r="T17" i="4"/>
  <c r="S17" i="4"/>
  <c r="R17" i="4"/>
  <c r="Q17" i="4"/>
  <c r="P17" i="4"/>
  <c r="O17" i="4"/>
  <c r="AA16" i="4"/>
  <c r="X16" i="4"/>
  <c r="W16" i="4"/>
  <c r="V16" i="4"/>
  <c r="U16" i="4"/>
  <c r="T16" i="4"/>
  <c r="S16" i="4"/>
  <c r="R16" i="4"/>
  <c r="Q16" i="4"/>
  <c r="P16" i="4"/>
  <c r="O16" i="4"/>
  <c r="AA15" i="4"/>
  <c r="X15" i="4"/>
  <c r="W15" i="4"/>
  <c r="V15" i="4"/>
  <c r="U15" i="4"/>
  <c r="T15" i="4"/>
  <c r="S15" i="4"/>
  <c r="R15" i="4"/>
  <c r="Q15" i="4"/>
  <c r="P15" i="4"/>
  <c r="O15" i="4"/>
  <c r="AA14" i="4"/>
  <c r="X14" i="4"/>
  <c r="W14" i="4"/>
  <c r="V14" i="4"/>
  <c r="U14" i="4"/>
  <c r="T14" i="4"/>
  <c r="S14" i="4"/>
  <c r="R14" i="4"/>
  <c r="Q14" i="4"/>
  <c r="P14" i="4"/>
  <c r="O14" i="4"/>
  <c r="AA13" i="4"/>
  <c r="X13" i="4"/>
  <c r="W13" i="4"/>
  <c r="V13" i="4"/>
  <c r="U13" i="4"/>
  <c r="T13" i="4"/>
  <c r="S13" i="4"/>
  <c r="R13" i="4"/>
  <c r="Q13" i="4"/>
  <c r="P13" i="4"/>
  <c r="O13" i="4"/>
  <c r="AA12" i="4"/>
  <c r="X12" i="4"/>
  <c r="W12" i="4"/>
  <c r="V12" i="4"/>
  <c r="U12" i="4"/>
  <c r="T12" i="4"/>
  <c r="S12" i="4"/>
  <c r="R12" i="4"/>
  <c r="Q12" i="4"/>
  <c r="P12" i="4"/>
  <c r="O12" i="4"/>
  <c r="AA11" i="4"/>
  <c r="X11" i="4"/>
  <c r="W11" i="4"/>
  <c r="V11" i="4"/>
  <c r="U11" i="4"/>
  <c r="T11" i="4"/>
  <c r="S11" i="4"/>
  <c r="R11" i="4"/>
  <c r="Q11" i="4"/>
  <c r="P11" i="4"/>
  <c r="O11" i="4"/>
  <c r="AA10" i="4"/>
  <c r="X10" i="4"/>
  <c r="W10" i="4"/>
  <c r="V10" i="4"/>
  <c r="U10" i="4"/>
  <c r="T10" i="4"/>
  <c r="S10" i="4"/>
  <c r="R10" i="4"/>
  <c r="Q10" i="4"/>
  <c r="P10" i="4"/>
  <c r="O10" i="4"/>
  <c r="AA9" i="4"/>
  <c r="X9" i="4"/>
  <c r="W9" i="4"/>
  <c r="V9" i="4"/>
  <c r="U9" i="4"/>
  <c r="T9" i="4"/>
  <c r="S9" i="4"/>
  <c r="R9" i="4"/>
  <c r="Q9" i="4"/>
  <c r="P9" i="4"/>
  <c r="O9" i="4"/>
  <c r="AA8" i="4"/>
  <c r="X8" i="4"/>
  <c r="W8" i="4"/>
  <c r="V8" i="4"/>
  <c r="U8" i="4"/>
  <c r="T8" i="4"/>
  <c r="S8" i="4"/>
  <c r="R8" i="4"/>
  <c r="Q8" i="4"/>
  <c r="P8" i="4"/>
  <c r="O8" i="4"/>
  <c r="AA7" i="4"/>
  <c r="X7" i="4"/>
  <c r="W7" i="4"/>
  <c r="V7" i="4"/>
  <c r="U7" i="4"/>
  <c r="T7" i="4"/>
  <c r="S7" i="4"/>
  <c r="R7" i="4"/>
  <c r="Q7" i="4"/>
  <c r="P7" i="4"/>
  <c r="O7" i="4"/>
  <c r="AA6" i="4"/>
  <c r="X6" i="4"/>
  <c r="W6" i="4"/>
  <c r="V6" i="4"/>
  <c r="U6" i="4"/>
  <c r="T6" i="4"/>
  <c r="S6" i="4"/>
  <c r="R6" i="4"/>
  <c r="Q6" i="4"/>
  <c r="P6" i="4"/>
  <c r="O6" i="4"/>
  <c r="AA5" i="4"/>
  <c r="X5" i="4"/>
  <c r="W5" i="4"/>
  <c r="V5" i="4"/>
  <c r="U5" i="4"/>
  <c r="T5" i="4"/>
  <c r="S5" i="4"/>
  <c r="R5" i="4"/>
  <c r="Q5" i="4"/>
  <c r="P5" i="4"/>
  <c r="O5" i="4"/>
  <c r="AA4" i="4"/>
  <c r="X4" i="4"/>
  <c r="W4" i="4"/>
  <c r="V4" i="4"/>
  <c r="U4" i="4"/>
  <c r="T4" i="4"/>
  <c r="S4" i="4"/>
  <c r="R4" i="4"/>
  <c r="Q4" i="4"/>
  <c r="P4" i="4"/>
  <c r="O4" i="4"/>
  <c r="AA3" i="4"/>
  <c r="X3" i="4"/>
  <c r="W3" i="4"/>
  <c r="V3" i="4"/>
  <c r="U3" i="4"/>
  <c r="T3" i="4"/>
  <c r="S3" i="4"/>
  <c r="R3" i="4"/>
  <c r="Q3" i="4"/>
  <c r="P3" i="4"/>
  <c r="O3" i="4"/>
  <c r="AA2" i="4"/>
  <c r="X2" i="4"/>
  <c r="W2" i="4"/>
  <c r="V2" i="4"/>
  <c r="U2" i="4"/>
  <c r="T2" i="4"/>
  <c r="S2" i="4"/>
  <c r="R2" i="4"/>
  <c r="Q2" i="4"/>
  <c r="P2" i="4"/>
  <c r="O2" i="4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AC321" i="5" s="1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AC324" i="5" s="1"/>
  <c r="V324" i="5"/>
  <c r="W324" i="5"/>
  <c r="X324" i="5"/>
  <c r="O325" i="5"/>
  <c r="P325" i="5"/>
  <c r="Q325" i="5"/>
  <c r="R325" i="5"/>
  <c r="S325" i="5"/>
  <c r="T325" i="5"/>
  <c r="U325" i="5"/>
  <c r="AD325" i="5" s="1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AC328" i="5" s="1"/>
  <c r="V328" i="5"/>
  <c r="W328" i="5"/>
  <c r="X328" i="5"/>
  <c r="O329" i="5"/>
  <c r="P329" i="5"/>
  <c r="Q329" i="5"/>
  <c r="R329" i="5"/>
  <c r="S329" i="5"/>
  <c r="T329" i="5"/>
  <c r="U329" i="5"/>
  <c r="AD329" i="5" s="1"/>
  <c r="V329" i="5"/>
  <c r="AC329" i="5" s="1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AD333" i="5" s="1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AD337" i="5" s="1"/>
  <c r="V337" i="5"/>
  <c r="AC337" i="5" s="1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AD341" i="5" s="1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AD345" i="5" s="1"/>
  <c r="V345" i="5"/>
  <c r="AC345" i="5" s="1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AD349" i="5" s="1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AD353" i="5" s="1"/>
  <c r="V353" i="5"/>
  <c r="AC353" i="5" s="1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AD357" i="5" s="1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AC359" i="5" s="1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AD361" i="5" s="1"/>
  <c r="V361" i="5"/>
  <c r="AC361" i="5" s="1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AD363" i="5" s="1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AD365" i="5" s="1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AC367" i="5" s="1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AD369" i="5" s="1"/>
  <c r="V369" i="5"/>
  <c r="AC369" i="5" s="1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AD371" i="5" s="1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AD373" i="5" s="1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AC375" i="5" s="1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AD377" i="5" s="1"/>
  <c r="V377" i="5"/>
  <c r="AC377" i="5" s="1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AD379" i="5" s="1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AD381" i="5" s="1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AC383" i="5" s="1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AD385" i="5" s="1"/>
  <c r="V385" i="5"/>
  <c r="AC385" i="5" s="1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AD387" i="5" s="1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AD389" i="5" s="1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AC391" i="5" s="1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AD393" i="5" s="1"/>
  <c r="V393" i="5"/>
  <c r="AC393" i="5" s="1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AD395" i="5" s="1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AD397" i="5" s="1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AC399" i="5" s="1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AC401" i="5" s="1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AD403" i="5" s="1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AD405" i="5" s="1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AC407" i="5" s="1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D394" i="5" l="1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C308" i="5"/>
  <c r="AB309" i="5"/>
  <c r="AB310" i="5"/>
  <c r="AB311" i="5"/>
  <c r="AB312" i="5"/>
  <c r="AB313" i="5"/>
  <c r="AD313" i="5"/>
  <c r="AB314" i="5"/>
  <c r="AB315" i="5"/>
  <c r="AB316" i="5"/>
  <c r="AC316" i="5"/>
  <c r="AB317" i="5"/>
  <c r="AB318" i="5"/>
  <c r="AB319" i="5"/>
  <c r="AB320" i="5"/>
  <c r="AC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AD310" i="5" s="1"/>
  <c r="V310" i="5"/>
  <c r="W310" i="5"/>
  <c r="X310" i="5"/>
  <c r="O311" i="5"/>
  <c r="P311" i="5"/>
  <c r="Q311" i="5"/>
  <c r="R311" i="5"/>
  <c r="S311" i="5"/>
  <c r="T311" i="5"/>
  <c r="U311" i="5"/>
  <c r="AC311" i="5" s="1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V313" i="5"/>
  <c r="W313" i="5"/>
  <c r="AC313" i="5" s="1"/>
  <c r="X313" i="5"/>
  <c r="O314" i="5"/>
  <c r="P314" i="5"/>
  <c r="Q314" i="5"/>
  <c r="R314" i="5"/>
  <c r="S314" i="5"/>
  <c r="T314" i="5"/>
  <c r="U314" i="5"/>
  <c r="AD314" i="5" s="1"/>
  <c r="V314" i="5"/>
  <c r="W314" i="5"/>
  <c r="X314" i="5"/>
  <c r="O315" i="5"/>
  <c r="P315" i="5"/>
  <c r="Q315" i="5"/>
  <c r="R315" i="5"/>
  <c r="S315" i="5"/>
  <c r="T315" i="5"/>
  <c r="U315" i="5"/>
  <c r="AC315" i="5" s="1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AD318" i="5" s="1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C314" i="5" l="1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D301" i="5"/>
  <c r="AB302" i="5"/>
  <c r="AB303" i="5"/>
  <c r="AB304" i="5"/>
  <c r="AB305" i="5"/>
  <c r="AC305" i="5"/>
  <c r="AD305" i="5"/>
  <c r="AB306" i="5"/>
  <c r="AC306" i="5"/>
  <c r="O300" i="5"/>
  <c r="P300" i="5"/>
  <c r="Q300" i="5"/>
  <c r="R300" i="5"/>
  <c r="S300" i="5"/>
  <c r="T300" i="5"/>
  <c r="U300" i="5"/>
  <c r="AD300" i="5" s="1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AC302" i="5" s="1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AC303" i="5" s="1"/>
  <c r="W303" i="5"/>
  <c r="X303" i="5"/>
  <c r="O304" i="5"/>
  <c r="P304" i="5"/>
  <c r="Q304" i="5"/>
  <c r="R304" i="5"/>
  <c r="S304" i="5"/>
  <c r="T304" i="5"/>
  <c r="U304" i="5"/>
  <c r="AC304" i="5" s="1"/>
  <c r="V304" i="5"/>
  <c r="W304" i="5"/>
  <c r="X304" i="5"/>
  <c r="O305" i="5"/>
  <c r="P305" i="5"/>
  <c r="Q305" i="5"/>
  <c r="R305" i="5"/>
  <c r="S305" i="5"/>
  <c r="T305" i="5"/>
  <c r="U305" i="5"/>
  <c r="V305" i="5"/>
  <c r="W305" i="5"/>
  <c r="X305" i="5"/>
  <c r="O306" i="5"/>
  <c r="P306" i="5"/>
  <c r="Q306" i="5"/>
  <c r="R306" i="5"/>
  <c r="S306" i="5"/>
  <c r="T306" i="5"/>
  <c r="U306" i="5"/>
  <c r="AD306" i="5" s="1"/>
  <c r="V306" i="5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C300" i="5" l="1"/>
  <c r="AD302" i="5"/>
  <c r="AD304" i="5"/>
  <c r="AA306" i="3"/>
  <c r="AA305" i="3"/>
  <c r="AA304" i="3"/>
  <c r="AA303" i="3"/>
  <c r="AA302" i="3"/>
  <c r="AA301" i="3"/>
  <c r="AA300" i="3"/>
  <c r="AB282" i="5"/>
  <c r="AC282" i="5"/>
  <c r="AD282" i="5"/>
  <c r="AB283" i="5"/>
  <c r="AC283" i="5"/>
  <c r="AD283" i="5"/>
  <c r="AB284" i="5"/>
  <c r="AC284" i="5"/>
  <c r="AD284" i="5"/>
  <c r="AB285" i="5"/>
  <c r="AC285" i="5"/>
  <c r="AD285" i="5"/>
  <c r="AB286" i="5"/>
  <c r="AC286" i="5"/>
  <c r="AD286" i="5"/>
  <c r="AB287" i="5"/>
  <c r="AC287" i="5"/>
  <c r="AD287" i="5"/>
  <c r="AB288" i="5"/>
  <c r="AC288" i="5"/>
  <c r="AD288" i="5"/>
  <c r="AB289" i="5"/>
  <c r="AC289" i="5"/>
  <c r="AD289" i="5"/>
  <c r="AB290" i="5"/>
  <c r="AC290" i="5"/>
  <c r="AD290" i="5"/>
  <c r="AB291" i="5"/>
  <c r="AC291" i="5"/>
  <c r="AD291" i="5"/>
  <c r="AB292" i="5"/>
  <c r="AC292" i="5"/>
  <c r="AD292" i="5"/>
  <c r="AB293" i="5"/>
  <c r="AC293" i="5"/>
  <c r="AD293" i="5"/>
  <c r="AB294" i="5"/>
  <c r="AC294" i="5"/>
  <c r="AD294" i="5"/>
  <c r="AB295" i="5"/>
  <c r="AC295" i="5"/>
  <c r="AD295" i="5"/>
  <c r="AB296" i="5"/>
  <c r="AC296" i="5"/>
  <c r="AD296" i="5"/>
  <c r="AB297" i="5"/>
  <c r="AC297" i="5"/>
  <c r="AD297" i="5"/>
  <c r="AB298" i="5"/>
  <c r="AC298" i="5"/>
  <c r="AD298" i="5"/>
  <c r="AB299" i="5"/>
  <c r="AC299" i="5"/>
  <c r="AD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V282" i="5"/>
  <c r="W282" i="5"/>
  <c r="X282" i="5"/>
  <c r="O283" i="5"/>
  <c r="P283" i="5"/>
  <c r="Q283" i="5"/>
  <c r="R283" i="5"/>
  <c r="S283" i="5"/>
  <c r="T283" i="5"/>
  <c r="U283" i="5"/>
  <c r="V283" i="5"/>
  <c r="W283" i="5"/>
  <c r="X283" i="5"/>
  <c r="O284" i="5"/>
  <c r="P284" i="5"/>
  <c r="Q284" i="5"/>
  <c r="R284" i="5"/>
  <c r="S284" i="5"/>
  <c r="T284" i="5"/>
  <c r="U284" i="5"/>
  <c r="V284" i="5"/>
  <c r="W284" i="5"/>
  <c r="X284" i="5"/>
  <c r="O285" i="5"/>
  <c r="P285" i="5"/>
  <c r="Q285" i="5"/>
  <c r="R285" i="5"/>
  <c r="S285" i="5"/>
  <c r="T285" i="5"/>
  <c r="U285" i="5"/>
  <c r="V285" i="5"/>
  <c r="W285" i="5"/>
  <c r="X285" i="5"/>
  <c r="O286" i="5"/>
  <c r="P286" i="5"/>
  <c r="Q286" i="5"/>
  <c r="R286" i="5"/>
  <c r="S286" i="5"/>
  <c r="T286" i="5"/>
  <c r="U286" i="5"/>
  <c r="V286" i="5"/>
  <c r="W286" i="5"/>
  <c r="X286" i="5"/>
  <c r="O287" i="5"/>
  <c r="P287" i="5"/>
  <c r="Q287" i="5"/>
  <c r="R287" i="5"/>
  <c r="S287" i="5"/>
  <c r="T287" i="5"/>
  <c r="U287" i="5"/>
  <c r="V287" i="5"/>
  <c r="W287" i="5"/>
  <c r="X287" i="5"/>
  <c r="O288" i="5"/>
  <c r="P288" i="5"/>
  <c r="Q288" i="5"/>
  <c r="R288" i="5"/>
  <c r="S288" i="5"/>
  <c r="T288" i="5"/>
  <c r="U288" i="5"/>
  <c r="V288" i="5"/>
  <c r="W288" i="5"/>
  <c r="X288" i="5"/>
  <c r="O289" i="5"/>
  <c r="P289" i="5"/>
  <c r="Q289" i="5"/>
  <c r="R289" i="5"/>
  <c r="S289" i="5"/>
  <c r="T289" i="5"/>
  <c r="U289" i="5"/>
  <c r="V289" i="5"/>
  <c r="W289" i="5"/>
  <c r="X289" i="5"/>
  <c r="O290" i="5"/>
  <c r="P290" i="5"/>
  <c r="Q290" i="5"/>
  <c r="R290" i="5"/>
  <c r="S290" i="5"/>
  <c r="T290" i="5"/>
  <c r="U290" i="5"/>
  <c r="V290" i="5"/>
  <c r="W290" i="5"/>
  <c r="X290" i="5"/>
  <c r="O291" i="5"/>
  <c r="P291" i="5"/>
  <c r="Q291" i="5"/>
  <c r="R291" i="5"/>
  <c r="S291" i="5"/>
  <c r="T291" i="5"/>
  <c r="U291" i="5"/>
  <c r="V291" i="5"/>
  <c r="W291" i="5"/>
  <c r="X291" i="5"/>
  <c r="O292" i="5"/>
  <c r="P292" i="5"/>
  <c r="Q292" i="5"/>
  <c r="R292" i="5"/>
  <c r="S292" i="5"/>
  <c r="T292" i="5"/>
  <c r="U292" i="5"/>
  <c r="V292" i="5"/>
  <c r="W292" i="5"/>
  <c r="X292" i="5"/>
  <c r="O293" i="5"/>
  <c r="P293" i="5"/>
  <c r="Q293" i="5"/>
  <c r="R293" i="5"/>
  <c r="S293" i="5"/>
  <c r="T293" i="5"/>
  <c r="U293" i="5"/>
  <c r="V293" i="5"/>
  <c r="W293" i="5"/>
  <c r="X293" i="5"/>
  <c r="O294" i="5"/>
  <c r="P294" i="5"/>
  <c r="Q294" i="5"/>
  <c r="R294" i="5"/>
  <c r="S294" i="5"/>
  <c r="T294" i="5"/>
  <c r="U294" i="5"/>
  <c r="V294" i="5"/>
  <c r="W294" i="5"/>
  <c r="X294" i="5"/>
  <c r="O295" i="5"/>
  <c r="P295" i="5"/>
  <c r="Q295" i="5"/>
  <c r="R295" i="5"/>
  <c r="S295" i="5"/>
  <c r="T295" i="5"/>
  <c r="U295" i="5"/>
  <c r="V295" i="5"/>
  <c r="W295" i="5"/>
  <c r="X295" i="5"/>
  <c r="O296" i="5"/>
  <c r="P296" i="5"/>
  <c r="Q296" i="5"/>
  <c r="R296" i="5"/>
  <c r="S296" i="5"/>
  <c r="T296" i="5"/>
  <c r="U296" i="5"/>
  <c r="V296" i="5"/>
  <c r="W296" i="5"/>
  <c r="X296" i="5"/>
  <c r="O297" i="5"/>
  <c r="P297" i="5"/>
  <c r="Q297" i="5"/>
  <c r="R297" i="5"/>
  <c r="S297" i="5"/>
  <c r="T297" i="5"/>
  <c r="U297" i="5"/>
  <c r="V297" i="5"/>
  <c r="W297" i="5"/>
  <c r="X297" i="5"/>
  <c r="O298" i="5"/>
  <c r="P298" i="5"/>
  <c r="Q298" i="5"/>
  <c r="R298" i="5"/>
  <c r="S298" i="5"/>
  <c r="T298" i="5"/>
  <c r="U298" i="5"/>
  <c r="V298" i="5"/>
  <c r="W298" i="5"/>
  <c r="X298" i="5"/>
  <c r="O299" i="5"/>
  <c r="P299" i="5"/>
  <c r="Q299" i="5"/>
  <c r="R299" i="5"/>
  <c r="S299" i="5"/>
  <c r="T299" i="5"/>
  <c r="U299" i="5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B281" i="5" l="1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C266" i="5" s="1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2" i="5" l="1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AC215" i="5" s="1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AC219" i="5" s="1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AD221" i="5" s="1"/>
  <c r="V221" i="5"/>
  <c r="W221" i="5"/>
  <c r="X221" i="5"/>
  <c r="O222" i="5"/>
  <c r="P222" i="5"/>
  <c r="Q222" i="5"/>
  <c r="R222" i="5"/>
  <c r="S222" i="5"/>
  <c r="T222" i="5"/>
  <c r="U222" i="5"/>
  <c r="AC222" i="5" s="1"/>
  <c r="V222" i="5"/>
  <c r="W222" i="5"/>
  <c r="X222" i="5"/>
  <c r="O223" i="5"/>
  <c r="P223" i="5"/>
  <c r="Q223" i="5"/>
  <c r="R223" i="5"/>
  <c r="S223" i="5"/>
  <c r="T223" i="5"/>
  <c r="U223" i="5"/>
  <c r="AC223" i="5" s="1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AC225" i="5" s="1"/>
  <c r="V225" i="5"/>
  <c r="W225" i="5"/>
  <c r="X225" i="5"/>
  <c r="O226" i="5"/>
  <c r="P226" i="5"/>
  <c r="Q226" i="5"/>
  <c r="R226" i="5"/>
  <c r="S226" i="5"/>
  <c r="T226" i="5"/>
  <c r="U226" i="5"/>
  <c r="AC226" i="5" s="1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AC229" i="5" s="1"/>
  <c r="V229" i="5"/>
  <c r="W229" i="5"/>
  <c r="X229" i="5"/>
  <c r="O230" i="5"/>
  <c r="P230" i="5"/>
  <c r="Q230" i="5"/>
  <c r="R230" i="5"/>
  <c r="S230" i="5"/>
  <c r="T230" i="5"/>
  <c r="U230" i="5"/>
  <c r="AC230" i="5" s="1"/>
  <c r="V230" i="5"/>
  <c r="AD230" i="5" s="1"/>
  <c r="W230" i="5"/>
  <c r="X230" i="5"/>
  <c r="O231" i="5"/>
  <c r="P231" i="5"/>
  <c r="Q231" i="5"/>
  <c r="R231" i="5"/>
  <c r="S231" i="5"/>
  <c r="T231" i="5"/>
  <c r="U231" i="5"/>
  <c r="AD231" i="5" s="1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AC233" i="5" s="1"/>
  <c r="V233" i="5"/>
  <c r="W233" i="5"/>
  <c r="X233" i="5"/>
  <c r="O234" i="5"/>
  <c r="P234" i="5"/>
  <c r="Q234" i="5"/>
  <c r="R234" i="5"/>
  <c r="S234" i="5"/>
  <c r="T234" i="5"/>
  <c r="U234" i="5"/>
  <c r="AD234" i="5" s="1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AC237" i="5" s="1"/>
  <c r="V237" i="5"/>
  <c r="W237" i="5"/>
  <c r="X237" i="5"/>
  <c r="O238" i="5"/>
  <c r="P238" i="5"/>
  <c r="Q238" i="5"/>
  <c r="R238" i="5"/>
  <c r="S238" i="5"/>
  <c r="T238" i="5"/>
  <c r="U238" i="5"/>
  <c r="AC238" i="5" s="1"/>
  <c r="V238" i="5"/>
  <c r="W238" i="5"/>
  <c r="X238" i="5"/>
  <c r="O239" i="5"/>
  <c r="P239" i="5"/>
  <c r="Q239" i="5"/>
  <c r="R239" i="5"/>
  <c r="S239" i="5"/>
  <c r="T239" i="5"/>
  <c r="U239" i="5"/>
  <c r="AD239" i="5" s="1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AC241" i="5" s="1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AC246" i="5" s="1"/>
  <c r="V246" i="5"/>
  <c r="W246" i="5"/>
  <c r="X246" i="5"/>
  <c r="O247" i="5"/>
  <c r="P247" i="5"/>
  <c r="Q247" i="5"/>
  <c r="R247" i="5"/>
  <c r="S247" i="5"/>
  <c r="T247" i="5"/>
  <c r="U247" i="5"/>
  <c r="AC247" i="5" s="1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AD251" i="5" s="1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35" i="5" l="1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11" i="5" l="1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56" i="5" l="1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<sst xmlns="http://schemas.openxmlformats.org/spreadsheetml/2006/main" count="2181" uniqueCount="430">
  <si>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</si>
  <si>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</si>
  <si>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</si>
  <si>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</si>
  <si>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</si>
  <si>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</si>
  <si>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</si>
  <si>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</si>
  <si>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</si>
  <si>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</si>
  <si>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</si>
  <si>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</si>
  <si>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</si>
  <si>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</si>
  <si>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</si>
  <si>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</si>
  <si>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</si>
  <si>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</si>
  <si>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</si>
  <si>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</si>
  <si>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</si>
  <si>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</si>
  <si>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</si>
  <si>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</si>
  <si>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</si>
  <si>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</si>
  <si>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</si>
  <si>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</si>
  <si>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</si>
  <si>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</si>
  <si>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</si>
  <si>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</si>
  <si>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</si>
  <si>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</si>
  <si>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</si>
  <si>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</si>
  <si>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</si>
  <si>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</si>
  <si>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</si>
  <si>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</si>
  <si>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</si>
  <si>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</si>
  <si>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</si>
  <si>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</si>
  <si>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</si>
  <si>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</si>
  <si>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</si>
  <si>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</si>
  <si>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</si>
  <si>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</si>
  <si>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</si>
  <si>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</si>
  <si>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</si>
  <si>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</si>
  <si>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</si>
  <si>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</si>
  <si>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</si>
  <si>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</si>
  <si>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</si>
  <si>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</si>
  <si>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</si>
  <si>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</si>
  <si>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</si>
  <si>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</si>
  <si>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</si>
  <si>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</si>
  <si>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</si>
  <si>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</si>
  <si>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</si>
  <si>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</si>
  <si>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</si>
  <si>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</si>
  <si>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</si>
  <si>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</si>
  <si>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</si>
  <si>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</si>
  <si>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</si>
  <si>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</si>
  <si>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</si>
  <si>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</si>
  <si>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</si>
  <si>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</si>
  <si>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</si>
  <si>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</si>
  <si>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</si>
  <si>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</si>
  <si>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</si>
  <si>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</si>
  <si>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</si>
  <si>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</si>
  <si>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</si>
  <si>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</si>
  <si>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</si>
  <si>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</si>
  <si>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</si>
  <si>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</si>
  <si>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</si>
  <si>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</si>
  <si>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</si>
  <si>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</si>
  <si>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</si>
  <si>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</si>
  <si>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</si>
  <si>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</si>
  <si>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</si>
  <si>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</si>
  <si>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</si>
  <si>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</si>
  <si>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</si>
  <si>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</si>
  <si>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</si>
  <si>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</si>
  <si>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</si>
  <si>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</si>
  <si>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</si>
  <si>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</si>
  <si>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</si>
  <si>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</si>
  <si>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</si>
  <si>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</si>
  <si>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</si>
  <si>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</si>
  <si>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</si>
  <si>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</si>
  <si>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</si>
  <si>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</si>
  <si>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</si>
  <si>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</si>
  <si>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</si>
  <si>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</si>
  <si>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</si>
  <si>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</si>
  <si>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</si>
  <si>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</si>
  <si>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</si>
  <si>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</si>
  <si>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</si>
  <si>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</si>
  <si>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</si>
  <si>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</si>
  <si>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</si>
  <si>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</si>
  <si>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</si>
  <si>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</si>
  <si>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</si>
  <si>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</si>
  <si>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</si>
  <si>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</si>
  <si>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</si>
  <si>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</si>
  <si>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</si>
  <si>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</si>
  <si>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</si>
  <si>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</si>
  <si>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</si>
  <si>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</si>
  <si>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</si>
  <si>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</si>
  <si>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</si>
  <si>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</si>
  <si>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</si>
  <si>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</si>
  <si>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</si>
  <si>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</si>
  <si>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</si>
  <si>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</si>
  <si>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</si>
  <si>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</si>
  <si>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</si>
  <si>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</si>
  <si>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</si>
  <si>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</si>
  <si>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</si>
  <si>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</si>
  <si>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</si>
  <si>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</si>
  <si>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</si>
  <si>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</si>
  <si>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</si>
  <si>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</si>
  <si>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</si>
  <si>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</si>
  <si>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</si>
  <si>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</si>
  <si>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</si>
  <si>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</si>
  <si>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</si>
  <si>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</si>
  <si>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</si>
  <si>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</si>
  <si>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</si>
  <si>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</si>
  <si>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</si>
  <si>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</si>
  <si>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</si>
  <si>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</si>
  <si>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</si>
  <si>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</si>
  <si>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</si>
  <si>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</si>
  <si>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</si>
  <si>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</si>
  <si>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</si>
  <si>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</si>
  <si>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</si>
  <si>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</si>
  <si>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</si>
  <si>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</si>
  <si>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</si>
  <si>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</si>
  <si>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</si>
  <si>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</si>
  <si>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</si>
  <si>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</si>
  <si>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</si>
  <si>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</si>
  <si>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</si>
  <si>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</si>
  <si>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</si>
  <si>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</si>
  <si>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</si>
  <si>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</si>
  <si>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</si>
  <si>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</si>
  <si>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</si>
  <si>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</si>
  <si>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</si>
  <si>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</si>
  <si>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</si>
  <si>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</si>
  <si>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</si>
  <si>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</si>
  <si>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</si>
  <si>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</si>
  <si>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</si>
  <si>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</si>
  <si>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</si>
  <si>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</si>
  <si>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</si>
  <si>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</si>
  <si>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</si>
  <si>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</si>
  <si>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</si>
  <si>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</si>
  <si>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</si>
  <si>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</si>
  <si>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</si>
  <si>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</si>
  <si>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</si>
  <si>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</si>
  <si>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</si>
  <si>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</si>
  <si>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</si>
  <si>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</si>
  <si>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</si>
  <si>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</si>
  <si>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</si>
  <si>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</si>
  <si>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</si>
  <si>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</si>
  <si>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</si>
  <si>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</si>
  <si>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</si>
  <si>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</si>
  <si>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</si>
  <si>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</si>
  <si>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</si>
  <si>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</si>
  <si>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</si>
  <si>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</si>
  <si>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</si>
  <si>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</si>
  <si>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</si>
  <si>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</si>
  <si>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</si>
  <si>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</si>
  <si>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</si>
  <si>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</si>
  <si>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</si>
  <si>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</si>
  <si>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</si>
  <si>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</si>
  <si>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</si>
  <si>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</si>
  <si>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</si>
  <si>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</si>
  <si>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</si>
  <si>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</si>
  <si>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</si>
  <si>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</si>
  <si>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</si>
  <si>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</si>
  <si>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</si>
  <si>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</si>
  <si>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</si>
  <si>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</si>
  <si>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</si>
  <si>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</si>
  <si>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</si>
  <si>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</si>
  <si>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</si>
  <si>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</si>
  <si>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</si>
  <si>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</si>
  <si>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</si>
  <si>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</si>
  <si>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</si>
  <si>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</si>
  <si>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</si>
  <si>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</si>
  <si>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</si>
  <si>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</si>
  <si>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</si>
  <si>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</si>
  <si>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</si>
  <si>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</si>
  <si>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</si>
  <si>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</si>
  <si>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</si>
  <si>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</si>
  <si>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</si>
  <si>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</si>
  <si>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</si>
  <si>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</si>
  <si>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</si>
  <si>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</si>
  <si>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</si>
  <si>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</si>
  <si>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</si>
  <si>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</si>
  <si>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</si>
  <si>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</si>
  <si>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</si>
  <si>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</si>
  <si>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</si>
  <si>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</si>
  <si>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</si>
  <si>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</si>
  <si>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</si>
  <si>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</si>
  <si>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</si>
  <si>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</si>
  <si>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</si>
  <si>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</si>
  <si>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</si>
  <si>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</si>
  <si>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</si>
  <si>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</si>
  <si>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</si>
  <si>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</si>
  <si>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</si>
  <si>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</si>
  <si>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</si>
  <si>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</si>
  <si>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</si>
  <si>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</si>
  <si>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</si>
  <si>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</si>
  <si>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</si>
  <si>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</si>
  <si>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</si>
  <si>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</si>
  <si>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</si>
  <si>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</si>
  <si>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</si>
  <si>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</si>
  <si>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</si>
  <si>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</si>
  <si>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</si>
  <si>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</si>
  <si>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</si>
  <si>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</si>
  <si>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</si>
  <si>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</si>
  <si>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</si>
  <si>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</si>
  <si>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</si>
  <si>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</si>
  <si>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</si>
  <si>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</si>
  <si>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</si>
  <si>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</si>
  <si>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</si>
  <si>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</si>
  <si>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</si>
  <si>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</si>
  <si>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</si>
  <si>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</si>
  <si>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</si>
  <si>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</si>
  <si>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</si>
  <si>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</si>
  <si>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</si>
  <si>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</si>
  <si>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</si>
  <si>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</si>
  <si>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</si>
  <si>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</si>
  <si>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</si>
  <si>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</si>
  <si>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</si>
  <si>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</si>
  <si>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</si>
  <si>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</si>
  <si>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</si>
  <si>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</si>
  <si>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</si>
  <si>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</si>
  <si>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</si>
  <si>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</si>
  <si>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</si>
  <si>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</si>
  <si>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</si>
  <si>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</si>
  <si>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</si>
  <si>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</si>
  <si>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</si>
  <si>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</si>
  <si>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</si>
  <si>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</si>
  <si>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</si>
  <si>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</si>
  <si>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</si>
  <si>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</si>
  <si>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</si>
  <si>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</si>
  <si>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</si>
  <si>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</si>
  <si>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DEN</t>
    <phoneticPr fontId="1" type="noConversion"/>
  </si>
  <si>
    <t>DAL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</si>
</sst>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416"/>
  <sheetViews>
    <sheetView zoomScale="85" zoomScaleNormal="85" workbookViewId="0">
      <pane xSplit="1" ySplit="1" topLeftCell="B402" activePane="bottomRight" state="frozen"/>
      <selection pane="topRight" activeCell="B1" sqref="B1"/>
      <selection pane="bottomLeft" activeCell="A2" sqref="A2"/>
      <selection pane="bottomRight" activeCell="Z414" sqref="Z414"/>
    </sheetView>
  </sheetViews>
  <sheetFormatPr defaultRowHeight="17" x14ac:dyDescent="0.45"/>
  <cols>
    <col min="1" max="1" width="7.5" bestFit="1" customWidth="1"/>
    <col min="2" max="2" width="10" style="3" bestFit="1" customWidth="1"/>
    <col min="3" max="3" width="6.33203125" bestFit="1" customWidth="1"/>
    <col min="4" max="4" width="5.75" bestFit="1" customWidth="1"/>
    <col min="5" max="8" width="4.75" bestFit="1" customWidth="1"/>
    <col min="9" max="9" width="4.33203125" bestFit="1" customWidth="1"/>
    <col min="10" max="13" width="4.58203125" bestFit="1" customWidth="1"/>
    <col min="14" max="14" width="4.58203125" style="2" customWidth="1"/>
    <col min="15" max="15" width="5" bestFit="1" customWidth="1"/>
    <col min="16" max="16" width="4.83203125" bestFit="1" customWidth="1"/>
    <col min="17" max="20" width="5.5" bestFit="1" customWidth="1"/>
    <col min="21" max="24" width="5.83203125" bestFit="1" customWidth="1"/>
    <col min="25" max="25" width="6.75" customWidth="1"/>
    <col min="26" max="26" width="8.25" customWidth="1"/>
    <col min="27" max="27" width="13.5" bestFit="1" customWidth="1"/>
  </cols>
  <sheetData>
    <row r="1" spans="1:30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16" si="215">C396&amp;"/"&amp;D396</f>
        <v>TOR/CLE</v>
      </c>
    </row>
    <row r="397" spans="1:27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x14ac:dyDescent="0.45">
      <c r="A408" s="42">
        <v>191219</v>
      </c>
      <c r="B408" s="44">
        <v>0.375</v>
      </c>
      <c r="C408" s="42" t="s">
        <v>402</v>
      </c>
      <c r="D408" s="42" t="s">
        <v>409</v>
      </c>
      <c r="Z408">
        <v>54.5</v>
      </c>
      <c r="AA408" s="42" t="str">
        <f t="shared" si="215"/>
        <v>CLE/CHA</v>
      </c>
    </row>
    <row r="409" spans="1:27" x14ac:dyDescent="0.45">
      <c r="A409" s="42">
        <v>191219</v>
      </c>
      <c r="B409" s="44">
        <v>0.375</v>
      </c>
      <c r="C409" s="15" t="s">
        <v>422</v>
      </c>
      <c r="D409" s="15" t="s">
        <v>413</v>
      </c>
      <c r="Z409">
        <v>56</v>
      </c>
      <c r="AA409" s="42" t="str">
        <f t="shared" si="215"/>
        <v>DET/TOR</v>
      </c>
    </row>
    <row r="410" spans="1:27" x14ac:dyDescent="0.45">
      <c r="A410" s="42">
        <v>191219</v>
      </c>
      <c r="B410" s="44">
        <v>0.375</v>
      </c>
      <c r="C410" s="15" t="s">
        <v>401</v>
      </c>
      <c r="D410" s="15" t="s">
        <v>411</v>
      </c>
      <c r="Z410">
        <v>54.5</v>
      </c>
      <c r="AA410" s="42" t="str">
        <f t="shared" si="215"/>
        <v>PHI/MIA</v>
      </c>
    </row>
    <row r="411" spans="1:27" x14ac:dyDescent="0.45">
      <c r="A411" s="42">
        <v>191219</v>
      </c>
      <c r="B411" s="44">
        <v>0.375</v>
      </c>
      <c r="C411" s="42" t="s">
        <v>414</v>
      </c>
      <c r="D411" s="42" t="s">
        <v>412</v>
      </c>
      <c r="Z411">
        <v>59</v>
      </c>
      <c r="AA411" s="42" t="str">
        <f t="shared" si="215"/>
        <v>WAS/CHI</v>
      </c>
    </row>
    <row r="412" spans="1:27" x14ac:dyDescent="0.45">
      <c r="A412" s="42">
        <v>191219</v>
      </c>
      <c r="B412" s="44">
        <v>0.41666666666666669</v>
      </c>
      <c r="C412" s="15" t="s">
        <v>420</v>
      </c>
      <c r="D412" s="13" t="s">
        <v>398</v>
      </c>
      <c r="AA412" s="42" t="str">
        <f t="shared" si="215"/>
        <v>MIN/NO</v>
      </c>
    </row>
    <row r="413" spans="1:27" x14ac:dyDescent="0.45">
      <c r="A413" s="42">
        <v>191219</v>
      </c>
      <c r="B413" s="44">
        <v>0.41666666666666669</v>
      </c>
      <c r="C413" s="5" t="s">
        <v>418</v>
      </c>
      <c r="D413" s="5" t="s">
        <v>406</v>
      </c>
      <c r="AA413" s="42" t="str">
        <f t="shared" si="215"/>
        <v>OKC/MEM</v>
      </c>
    </row>
    <row r="414" spans="1:27" x14ac:dyDescent="0.45">
      <c r="A414" s="42">
        <v>191219</v>
      </c>
      <c r="B414" s="44">
        <v>0.45833333333333331</v>
      </c>
      <c r="C414" s="13" t="s">
        <v>428</v>
      </c>
      <c r="D414" s="15" t="s">
        <v>424</v>
      </c>
      <c r="Z414">
        <v>52.5</v>
      </c>
      <c r="AA414" s="42" t="str">
        <f t="shared" si="215"/>
        <v>DEN/ORL</v>
      </c>
    </row>
    <row r="415" spans="1:27" x14ac:dyDescent="0.45">
      <c r="A415" s="42">
        <v>191219</v>
      </c>
      <c r="B415" s="44">
        <v>0.47916666666666669</v>
      </c>
      <c r="C415" s="15" t="s">
        <v>429</v>
      </c>
      <c r="D415" s="48" t="s">
        <v>421</v>
      </c>
      <c r="Z415">
        <v>52.5</v>
      </c>
      <c r="AA415" s="42" t="str">
        <f t="shared" si="215"/>
        <v>DAL/BOS</v>
      </c>
    </row>
    <row r="416" spans="1:27" x14ac:dyDescent="0.45">
      <c r="A416" s="42">
        <v>191219</v>
      </c>
      <c r="B416" s="44">
        <v>0.5</v>
      </c>
      <c r="C416" s="42" t="s">
        <v>417</v>
      </c>
      <c r="D416" s="42" t="s">
        <v>425</v>
      </c>
      <c r="Z416">
        <v>56.5</v>
      </c>
      <c r="AA416" s="42" t="str">
        <f t="shared" si="215"/>
        <v>POR/GS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416"/>
  <sheetViews>
    <sheetView tabSelected="1" zoomScale="85" zoomScaleNormal="85" workbookViewId="0">
      <pane ySplit="1" topLeftCell="A402" activePane="bottomLeft" state="frozen"/>
      <selection pane="bottomLeft" activeCell="A408" sqref="A408:D416"/>
    </sheetView>
  </sheetViews>
  <sheetFormatPr defaultColWidth="9" defaultRowHeight="17" x14ac:dyDescent="0.45"/>
  <cols>
    <col min="1" max="1" width="7.5" style="3" bestFit="1" customWidth="1"/>
    <col min="2" max="2" width="8.75" style="44" customWidth="1"/>
    <col min="3" max="3" width="6.33203125" style="3" bestFit="1" customWidth="1"/>
    <col min="4" max="4" width="5.75" style="3" bestFit="1" customWidth="1"/>
    <col min="5" max="8" width="4.75" style="3" bestFit="1" customWidth="1"/>
    <col min="9" max="9" width="4.33203125" style="3" bestFit="1" customWidth="1"/>
    <col min="10" max="13" width="4.58203125" style="3" bestFit="1" customWidth="1"/>
    <col min="14" max="14" width="4.58203125" style="3" customWidth="1"/>
    <col min="15" max="15" width="5" style="3" bestFit="1" customWidth="1"/>
    <col min="16" max="16" width="4.83203125" style="3" bestFit="1" customWidth="1"/>
    <col min="17" max="20" width="5.5" style="3" bestFit="1" customWidth="1"/>
    <col min="21" max="24" width="5.83203125" style="3" bestFit="1" customWidth="1"/>
    <col min="25" max="25" width="6.75" style="3" customWidth="1"/>
    <col min="26" max="26" width="8.25" style="3" customWidth="1"/>
    <col min="27" max="27" width="9" style="3"/>
    <col min="28" max="28" width="9.33203125" style="3" customWidth="1"/>
    <col min="29" max="29" width="4.83203125" style="3" customWidth="1"/>
    <col min="30" max="30" width="5" style="3" customWidth="1"/>
    <col min="31" max="31" width="5.75" style="3" customWidth="1"/>
    <col min="32" max="33" width="5.08203125" style="3" bestFit="1" customWidth="1"/>
    <col min="34" max="16384" width="9" style="3"/>
  </cols>
  <sheetData>
    <row r="1" spans="1:33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x14ac:dyDescent="0.45">
      <c r="A408" s="42">
        <v>191219</v>
      </c>
      <c r="B408" s="44">
        <v>0.375</v>
      </c>
      <c r="C408" s="3" t="s">
        <v>402</v>
      </c>
      <c r="D408" s="3" t="s">
        <v>409</v>
      </c>
    </row>
    <row r="409" spans="1:30" x14ac:dyDescent="0.45">
      <c r="A409" s="42">
        <v>191219</v>
      </c>
      <c r="B409" s="44">
        <v>0.375</v>
      </c>
      <c r="C409" s="15" t="s">
        <v>422</v>
      </c>
      <c r="D409" s="15" t="s">
        <v>413</v>
      </c>
    </row>
    <row r="410" spans="1:30" x14ac:dyDescent="0.45">
      <c r="A410" s="42">
        <v>191219</v>
      </c>
      <c r="B410" s="44">
        <v>0.375</v>
      </c>
      <c r="C410" s="15" t="s">
        <v>401</v>
      </c>
      <c r="D410" s="15" t="s">
        <v>411</v>
      </c>
    </row>
    <row r="411" spans="1:30" x14ac:dyDescent="0.45">
      <c r="A411" s="42">
        <v>191219</v>
      </c>
      <c r="B411" s="44">
        <v>0.375</v>
      </c>
      <c r="C411" s="3" t="s">
        <v>414</v>
      </c>
      <c r="D411" s="3" t="s">
        <v>412</v>
      </c>
      <c r="AC411" s="42"/>
    </row>
    <row r="412" spans="1:30" x14ac:dyDescent="0.45">
      <c r="A412" s="42">
        <v>191219</v>
      </c>
      <c r="B412" s="44">
        <v>0.41666666666666669</v>
      </c>
      <c r="C412" s="15" t="s">
        <v>420</v>
      </c>
      <c r="D412" s="13" t="s">
        <v>398</v>
      </c>
    </row>
    <row r="413" spans="1:30" x14ac:dyDescent="0.45">
      <c r="A413" s="42">
        <v>191219</v>
      </c>
      <c r="B413" s="44">
        <v>0.41666666666666669</v>
      </c>
      <c r="C413" s="5" t="s">
        <v>418</v>
      </c>
      <c r="D413" s="5" t="s">
        <v>406</v>
      </c>
    </row>
    <row r="414" spans="1:30" x14ac:dyDescent="0.45">
      <c r="A414" s="42">
        <v>191219</v>
      </c>
      <c r="B414" s="44">
        <v>0.45833333333333331</v>
      </c>
      <c r="C414" s="13" t="s">
        <v>428</v>
      </c>
      <c r="D414" s="15" t="s">
        <v>424</v>
      </c>
    </row>
    <row r="415" spans="1:30" x14ac:dyDescent="0.45">
      <c r="A415" s="42">
        <v>191219</v>
      </c>
      <c r="B415" s="44">
        <v>0.47916666666666669</v>
      </c>
      <c r="C415" s="15" t="s">
        <v>429</v>
      </c>
      <c r="D415" s="48" t="s">
        <v>421</v>
      </c>
    </row>
    <row r="416" spans="1:30" x14ac:dyDescent="0.45">
      <c r="A416" s="42">
        <v>191219</v>
      </c>
      <c r="B416" s="44">
        <v>0.5</v>
      </c>
      <c r="C416" s="3" t="s">
        <v>417</v>
      </c>
      <c r="D416" s="3" t="s">
        <v>425</v>
      </c>
    </row>
  </sheetData>
  <autoFilter ref="AB1:AB41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A102"/>
  <sheetViews>
    <sheetView zoomScale="85" zoomScaleNormal="85" workbookViewId="0">
      <pane xSplit="1" ySplit="1" topLeftCell="B80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RowHeight="17" x14ac:dyDescent="0.45"/>
  <cols>
    <col min="5" max="8" width="4.5" bestFit="1" customWidth="1"/>
    <col min="9" max="9" width="4.1640625" bestFit="1" customWidth="1"/>
    <col min="10" max="13" width="4.4140625" bestFit="1" customWidth="1"/>
    <col min="14" max="14" width="4.08203125" bestFit="1" customWidth="1"/>
    <col min="27" max="27" width="10.83203125" bestFit="1" customWidth="1"/>
  </cols>
  <sheetData>
    <row r="1" spans="1:27" s="3" customFormat="1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45">
      <c r="A2" s="42">
        <v>191205</v>
      </c>
      <c r="B2" s="1">
        <v>0.375</v>
      </c>
      <c r="C2" s="14" t="s">
        <v>36</v>
      </c>
      <c r="D2" s="43" t="s">
        <v>53</v>
      </c>
      <c r="E2" s="42">
        <v>24</v>
      </c>
      <c r="F2" s="42">
        <v>24</v>
      </c>
      <c r="G2" s="42">
        <v>24</v>
      </c>
      <c r="H2" s="42">
        <v>31</v>
      </c>
      <c r="I2" s="42"/>
      <c r="J2" s="42">
        <v>22</v>
      </c>
      <c r="K2" s="42">
        <v>37</v>
      </c>
      <c r="L2" s="42">
        <v>33</v>
      </c>
      <c r="M2" s="42">
        <v>35</v>
      </c>
      <c r="N2" s="42"/>
      <c r="O2" s="42">
        <f t="shared" ref="O2:O65" si="0">SUM(E2:I2)</f>
        <v>103</v>
      </c>
      <c r="P2" s="42">
        <f t="shared" ref="P2:P58" si="1">SUM(J2:N2)</f>
        <v>127</v>
      </c>
      <c r="Q2" s="42" t="str">
        <f t="shared" ref="Q2:Q58" si="2">IF(E2=J2,"TT",IF(E2&gt;J2,"HW","HL"))</f>
        <v>HW</v>
      </c>
      <c r="R2" s="42" t="str">
        <f t="shared" ref="R2:R58" si="3">IF(F2=K2,"TT",IF(F2&gt;K2,"HW","HL"))</f>
        <v>HL</v>
      </c>
      <c r="S2" s="42" t="str">
        <f t="shared" ref="S2:S58" si="4">IF(G2=L2,"TT",IF(G2&gt;L2,"HW","HL"))</f>
        <v>HL</v>
      </c>
      <c r="T2" s="42" t="str">
        <f t="shared" ref="T2:T58" si="5">IF(H2=M2,"TT",IF(H2&gt;M2,"HW","HL"))</f>
        <v>HL</v>
      </c>
      <c r="U2" s="42" t="str">
        <f t="shared" ref="U2:U58" si="6">IF(SUM(E2,J2)=$Z2,"T",IF(SUM(E2,J2)&gt;$Z2,"O","U"))</f>
        <v>U</v>
      </c>
      <c r="V2" s="42" t="str">
        <f t="shared" ref="V2:V58" si="7">IF(SUM(F2,K2)=$Z2,"T",IF(SUM(F2,K2)&gt;$Z2,"O","U"))</f>
        <v>O</v>
      </c>
      <c r="W2" s="42" t="str">
        <f t="shared" ref="W2:W58" si="8">IF(SUM(G2,L2)=$Z2,"T",IF(SUM(G2,L2)&gt;$Z2,"O","U"))</f>
        <v>O</v>
      </c>
      <c r="X2" s="42" t="str">
        <f t="shared" ref="X2:X58" si="9">IF(SUM(H2,M2)=$Z2,"T",IF(SUM(H2,M2)&gt;$Z2,"O","U"))</f>
        <v>O</v>
      </c>
      <c r="Y2" s="42"/>
      <c r="Z2" s="42">
        <v>54.5</v>
      </c>
      <c r="AA2" s="42" t="str">
        <f t="shared" ref="AA2:AA58" si="10">C2&amp;"/"&amp;D2</f>
        <v>DET/MIL</v>
      </c>
    </row>
    <row r="3" spans="1:27" x14ac:dyDescent="0.45">
      <c r="A3" s="42">
        <v>191205</v>
      </c>
      <c r="B3" s="1">
        <v>0.375</v>
      </c>
      <c r="C3" s="11" t="s">
        <v>39</v>
      </c>
      <c r="D3" s="5" t="s">
        <v>43</v>
      </c>
      <c r="E3" s="42">
        <v>31</v>
      </c>
      <c r="F3" s="42">
        <v>34</v>
      </c>
      <c r="G3" s="42">
        <v>38</v>
      </c>
      <c r="H3" s="42">
        <v>25</v>
      </c>
      <c r="I3" s="42"/>
      <c r="J3" s="42">
        <v>37</v>
      </c>
      <c r="K3" s="42">
        <v>21</v>
      </c>
      <c r="L3" s="42">
        <v>28</v>
      </c>
      <c r="M3" s="42">
        <v>28</v>
      </c>
      <c r="N3" s="42"/>
      <c r="O3" s="42">
        <f t="shared" si="0"/>
        <v>128</v>
      </c>
      <c r="P3" s="42">
        <f t="shared" si="1"/>
        <v>114</v>
      </c>
      <c r="Q3" s="42" t="str">
        <f t="shared" si="2"/>
        <v>HL</v>
      </c>
      <c r="R3" s="42" t="str">
        <f t="shared" si="3"/>
        <v>HW</v>
      </c>
      <c r="S3" s="42" t="str">
        <f t="shared" si="4"/>
        <v>HW</v>
      </c>
      <c r="T3" s="42" t="str">
        <f t="shared" si="5"/>
        <v>HL</v>
      </c>
      <c r="U3" s="42" t="str">
        <f t="shared" si="6"/>
        <v>O</v>
      </c>
      <c r="V3" s="42" t="str">
        <f t="shared" si="7"/>
        <v>O</v>
      </c>
      <c r="W3" s="42" t="str">
        <f t="shared" si="8"/>
        <v>O</v>
      </c>
      <c r="X3" s="42" t="str">
        <f t="shared" si="9"/>
        <v>O</v>
      </c>
      <c r="Y3" s="42"/>
      <c r="Z3" s="42">
        <v>52</v>
      </c>
      <c r="AA3" s="42" t="str">
        <f t="shared" si="10"/>
        <v>ORL/PHO</v>
      </c>
    </row>
    <row r="4" spans="1:27" x14ac:dyDescent="0.45">
      <c r="A4" s="42">
        <v>191205</v>
      </c>
      <c r="B4" s="1">
        <v>0.375</v>
      </c>
      <c r="C4" s="13" t="s">
        <v>31</v>
      </c>
      <c r="D4" s="13" t="s">
        <v>51</v>
      </c>
      <c r="E4" s="42">
        <v>28</v>
      </c>
      <c r="F4" s="42">
        <v>30</v>
      </c>
      <c r="G4" s="42">
        <v>28</v>
      </c>
      <c r="H4" s="42">
        <v>20</v>
      </c>
      <c r="I4" s="42"/>
      <c r="J4" s="42">
        <v>20</v>
      </c>
      <c r="K4" s="42">
        <v>34</v>
      </c>
      <c r="L4" s="42">
        <v>22</v>
      </c>
      <c r="M4" s="42">
        <v>15</v>
      </c>
      <c r="N4" s="42"/>
      <c r="O4" s="42">
        <f t="shared" si="0"/>
        <v>106</v>
      </c>
      <c r="P4" s="42">
        <f t="shared" si="1"/>
        <v>91</v>
      </c>
      <c r="Q4" s="42" t="str">
        <f t="shared" si="2"/>
        <v>HW</v>
      </c>
      <c r="R4" s="42" t="str">
        <f t="shared" si="3"/>
        <v>HL</v>
      </c>
      <c r="S4" s="42" t="str">
        <f t="shared" si="4"/>
        <v>HW</v>
      </c>
      <c r="T4" s="42" t="str">
        <f t="shared" si="5"/>
        <v>HW</v>
      </c>
      <c r="U4" s="42" t="str">
        <f t="shared" si="6"/>
        <v>U</v>
      </c>
      <c r="V4" s="42" t="str">
        <f t="shared" si="7"/>
        <v>O</v>
      </c>
      <c r="W4" s="42" t="str">
        <f t="shared" si="8"/>
        <v>U</v>
      </c>
      <c r="X4" s="42" t="str">
        <f t="shared" si="9"/>
        <v>U</v>
      </c>
      <c r="Y4" s="42"/>
      <c r="Z4" s="42">
        <v>55</v>
      </c>
      <c r="AA4" s="42" t="str">
        <f t="shared" si="10"/>
        <v>CHA/GS</v>
      </c>
    </row>
    <row r="5" spans="1:27" x14ac:dyDescent="0.45">
      <c r="A5" s="42">
        <v>191205</v>
      </c>
      <c r="B5" s="1">
        <v>0.39583333333333331</v>
      </c>
      <c r="C5" s="11" t="s">
        <v>50</v>
      </c>
      <c r="D5" s="11" t="s">
        <v>30</v>
      </c>
      <c r="E5" s="42">
        <v>26</v>
      </c>
      <c r="F5" s="42">
        <v>21</v>
      </c>
      <c r="G5" s="42">
        <v>35</v>
      </c>
      <c r="H5" s="42">
        <v>36</v>
      </c>
      <c r="I5" s="42"/>
      <c r="J5" s="42">
        <v>22</v>
      </c>
      <c r="K5" s="42">
        <v>34</v>
      </c>
      <c r="L5" s="42">
        <v>35</v>
      </c>
      <c r="M5" s="42">
        <v>39</v>
      </c>
      <c r="N5" s="42"/>
      <c r="O5" s="42">
        <f t="shared" si="0"/>
        <v>118</v>
      </c>
      <c r="P5" s="42">
        <f t="shared" si="1"/>
        <v>130</v>
      </c>
      <c r="Q5" s="42" t="str">
        <f t="shared" si="2"/>
        <v>HW</v>
      </c>
      <c r="R5" s="42" t="str">
        <f t="shared" si="3"/>
        <v>HL</v>
      </c>
      <c r="S5" s="42" t="str">
        <f t="shared" si="4"/>
        <v>TT</v>
      </c>
      <c r="T5" s="42" t="str">
        <f t="shared" si="5"/>
        <v>HL</v>
      </c>
      <c r="U5" s="42" t="str">
        <f t="shared" si="6"/>
        <v>U</v>
      </c>
      <c r="V5" s="42" t="str">
        <f t="shared" si="7"/>
        <v>U</v>
      </c>
      <c r="W5" s="42" t="str">
        <f t="shared" si="8"/>
        <v>O</v>
      </c>
      <c r="X5" s="42" t="str">
        <f t="shared" si="9"/>
        <v>O</v>
      </c>
      <c r="Y5" s="42"/>
      <c r="Z5" s="42">
        <v>55.5</v>
      </c>
      <c r="AA5" s="42" t="str">
        <f t="shared" si="10"/>
        <v>ATL/BKN</v>
      </c>
    </row>
    <row r="6" spans="1:27" x14ac:dyDescent="0.45">
      <c r="A6" s="42">
        <v>191205</v>
      </c>
      <c r="B6" s="1">
        <v>0.39583333333333331</v>
      </c>
      <c r="C6" s="42" t="s">
        <v>42</v>
      </c>
      <c r="D6" s="5" t="s">
        <v>37</v>
      </c>
      <c r="E6" s="42">
        <v>20</v>
      </c>
      <c r="F6" s="42">
        <v>32</v>
      </c>
      <c r="G6" s="42">
        <v>30</v>
      </c>
      <c r="H6" s="42">
        <v>30</v>
      </c>
      <c r="I6" s="42"/>
      <c r="J6" s="42">
        <v>28</v>
      </c>
      <c r="K6" s="42">
        <v>16</v>
      </c>
      <c r="L6" s="42">
        <v>25</v>
      </c>
      <c r="M6" s="42">
        <v>24</v>
      </c>
      <c r="N6" s="42"/>
      <c r="O6" s="42">
        <f t="shared" si="0"/>
        <v>112</v>
      </c>
      <c r="P6" s="42">
        <f t="shared" si="1"/>
        <v>93</v>
      </c>
      <c r="Q6" s="42" t="str">
        <f t="shared" si="2"/>
        <v>HL</v>
      </c>
      <c r="R6" s="42" t="str">
        <f t="shared" si="3"/>
        <v>HW</v>
      </c>
      <c r="S6" s="42" t="str">
        <f t="shared" si="4"/>
        <v>HW</v>
      </c>
      <c r="T6" s="42" t="str">
        <f t="shared" si="5"/>
        <v>HW</v>
      </c>
      <c r="U6" s="42" t="str">
        <f t="shared" si="6"/>
        <v>U</v>
      </c>
      <c r="V6" s="42" t="str">
        <f t="shared" si="7"/>
        <v>U</v>
      </c>
      <c r="W6" s="42" t="str">
        <f t="shared" si="8"/>
        <v>O</v>
      </c>
      <c r="X6" s="42" t="str">
        <f t="shared" si="9"/>
        <v>T</v>
      </c>
      <c r="Y6" s="42"/>
      <c r="Z6" s="42">
        <v>54</v>
      </c>
      <c r="AA6" s="42" t="str">
        <f t="shared" si="10"/>
        <v>BOS/MIA</v>
      </c>
    </row>
    <row r="7" spans="1:27" x14ac:dyDescent="0.45">
      <c r="A7" s="42">
        <v>191205</v>
      </c>
      <c r="B7" s="1">
        <v>0.41666666666666669</v>
      </c>
      <c r="C7" s="5" t="s">
        <v>32</v>
      </c>
      <c r="D7" s="5" t="s">
        <v>38</v>
      </c>
      <c r="E7" s="42">
        <v>27</v>
      </c>
      <c r="F7" s="42">
        <v>23</v>
      </c>
      <c r="G7" s="42">
        <v>28</v>
      </c>
      <c r="H7" s="42">
        <v>28</v>
      </c>
      <c r="I7" s="42"/>
      <c r="J7" s="42">
        <v>20</v>
      </c>
      <c r="K7" s="42">
        <v>15</v>
      </c>
      <c r="L7" s="42">
        <v>29</v>
      </c>
      <c r="M7" s="42">
        <v>35</v>
      </c>
      <c r="N7" s="42"/>
      <c r="O7" s="42">
        <f t="shared" si="0"/>
        <v>106</v>
      </c>
      <c r="P7" s="42">
        <f t="shared" si="1"/>
        <v>99</v>
      </c>
      <c r="Q7" s="42" t="str">
        <f t="shared" si="2"/>
        <v>HW</v>
      </c>
      <c r="R7" s="42" t="str">
        <f t="shared" si="3"/>
        <v>HW</v>
      </c>
      <c r="S7" s="42" t="str">
        <f t="shared" si="4"/>
        <v>HL</v>
      </c>
      <c r="T7" s="42" t="str">
        <f t="shared" si="5"/>
        <v>HL</v>
      </c>
      <c r="U7" s="42" t="str">
        <f t="shared" si="6"/>
        <v>U</v>
      </c>
      <c r="V7" s="42" t="str">
        <f t="shared" si="7"/>
        <v>U</v>
      </c>
      <c r="W7" s="42" t="str">
        <f t="shared" si="8"/>
        <v>O</v>
      </c>
      <c r="X7" s="42" t="str">
        <f t="shared" si="9"/>
        <v>O</v>
      </c>
      <c r="Y7" s="42"/>
      <c r="Z7" s="42">
        <v>54</v>
      </c>
      <c r="AA7" s="42" t="str">
        <f t="shared" si="10"/>
        <v>CHI/MEM</v>
      </c>
    </row>
    <row r="8" spans="1:27" x14ac:dyDescent="0.45">
      <c r="A8" s="42">
        <v>191205</v>
      </c>
      <c r="B8" s="1">
        <v>0.41666666666666669</v>
      </c>
      <c r="C8" s="11" t="s">
        <v>49</v>
      </c>
      <c r="D8" s="13" t="s">
        <v>35</v>
      </c>
      <c r="E8" s="42">
        <v>29</v>
      </c>
      <c r="F8" s="42">
        <v>21</v>
      </c>
      <c r="G8" s="42">
        <v>28</v>
      </c>
      <c r="H8" s="42">
        <v>22</v>
      </c>
      <c r="I8" s="42"/>
      <c r="J8" s="42">
        <v>26</v>
      </c>
      <c r="K8" s="42">
        <v>23</v>
      </c>
      <c r="L8" s="42">
        <v>30</v>
      </c>
      <c r="M8" s="42">
        <v>28</v>
      </c>
      <c r="N8" s="42"/>
      <c r="O8" s="42">
        <f t="shared" si="0"/>
        <v>100</v>
      </c>
      <c r="P8" s="42">
        <f t="shared" si="1"/>
        <v>107</v>
      </c>
      <c r="Q8" s="42" t="str">
        <f t="shared" si="2"/>
        <v>HW</v>
      </c>
      <c r="R8" s="42" t="str">
        <f t="shared" si="3"/>
        <v>HL</v>
      </c>
      <c r="S8" s="42" t="str">
        <f t="shared" si="4"/>
        <v>HL</v>
      </c>
      <c r="T8" s="42" t="str">
        <f t="shared" si="5"/>
        <v>HL</v>
      </c>
      <c r="U8" s="42" t="str">
        <f t="shared" si="6"/>
        <v>O</v>
      </c>
      <c r="V8" s="42" t="str">
        <f t="shared" si="7"/>
        <v>U</v>
      </c>
      <c r="W8" s="42" t="str">
        <f t="shared" si="8"/>
        <v>O</v>
      </c>
      <c r="X8" s="42" t="str">
        <f t="shared" si="9"/>
        <v>U</v>
      </c>
      <c r="Y8" s="42"/>
      <c r="Z8" s="42">
        <v>54</v>
      </c>
      <c r="AA8" s="42" t="str">
        <f t="shared" si="10"/>
        <v>OKC/IND</v>
      </c>
    </row>
    <row r="9" spans="1:27" x14ac:dyDescent="0.45">
      <c r="A9" s="42">
        <v>191205</v>
      </c>
      <c r="B9" s="1">
        <v>0.4375</v>
      </c>
      <c r="C9" s="42" t="s">
        <v>33</v>
      </c>
      <c r="D9" s="5" t="s">
        <v>29</v>
      </c>
      <c r="E9" s="42">
        <v>30</v>
      </c>
      <c r="F9" s="42">
        <v>23</v>
      </c>
      <c r="G9" s="42">
        <v>27</v>
      </c>
      <c r="H9" s="42">
        <v>41</v>
      </c>
      <c r="I9" s="42"/>
      <c r="J9" s="42">
        <v>25</v>
      </c>
      <c r="K9" s="42">
        <v>31</v>
      </c>
      <c r="L9" s="42">
        <v>28</v>
      </c>
      <c r="M9" s="42">
        <v>30</v>
      </c>
      <c r="N9" s="42"/>
      <c r="O9" s="42">
        <f t="shared" si="0"/>
        <v>121</v>
      </c>
      <c r="P9" s="42">
        <f t="shared" si="1"/>
        <v>114</v>
      </c>
      <c r="Q9" s="42" t="str">
        <f t="shared" si="2"/>
        <v>HW</v>
      </c>
      <c r="R9" s="42" t="str">
        <f t="shared" si="3"/>
        <v>HL</v>
      </c>
      <c r="S9" s="42" t="str">
        <f t="shared" si="4"/>
        <v>HL</v>
      </c>
      <c r="T9" s="42" t="str">
        <f t="shared" si="5"/>
        <v>HW</v>
      </c>
      <c r="U9" s="42" t="str">
        <f t="shared" si="6"/>
        <v>U</v>
      </c>
      <c r="V9" s="42" t="str">
        <f t="shared" si="7"/>
        <v>U</v>
      </c>
      <c r="W9" s="42" t="str">
        <f t="shared" si="8"/>
        <v>U</v>
      </c>
      <c r="X9" s="42" t="str">
        <f t="shared" si="9"/>
        <v>O</v>
      </c>
      <c r="Y9" s="42"/>
      <c r="Z9" s="42">
        <v>59</v>
      </c>
      <c r="AA9" s="42" t="str">
        <f t="shared" si="10"/>
        <v>DAL/MIN</v>
      </c>
    </row>
    <row r="10" spans="1:27" x14ac:dyDescent="0.45">
      <c r="A10" s="42">
        <v>191205</v>
      </c>
      <c r="B10" s="1">
        <v>0.45833333333333331</v>
      </c>
      <c r="C10" s="42" t="s">
        <v>48</v>
      </c>
      <c r="D10" s="5" t="s">
        <v>26</v>
      </c>
      <c r="E10" s="42">
        <v>26</v>
      </c>
      <c r="F10" s="42">
        <v>21</v>
      </c>
      <c r="G10" s="42">
        <v>28</v>
      </c>
      <c r="H10" s="42">
        <v>21</v>
      </c>
      <c r="I10" s="42"/>
      <c r="J10" s="42">
        <v>34</v>
      </c>
      <c r="K10" s="42">
        <v>31</v>
      </c>
      <c r="L10" s="42">
        <v>29</v>
      </c>
      <c r="M10" s="42">
        <v>27</v>
      </c>
      <c r="N10" s="42"/>
      <c r="O10" s="42">
        <f t="shared" si="0"/>
        <v>96</v>
      </c>
      <c r="P10" s="42">
        <f t="shared" si="1"/>
        <v>121</v>
      </c>
      <c r="Q10" s="42" t="str">
        <f t="shared" si="2"/>
        <v>HL</v>
      </c>
      <c r="R10" s="42" t="str">
        <f t="shared" si="3"/>
        <v>HL</v>
      </c>
      <c r="S10" s="42" t="str">
        <f t="shared" si="4"/>
        <v>HL</v>
      </c>
      <c r="T10" s="42" t="str">
        <f t="shared" si="5"/>
        <v>HL</v>
      </c>
      <c r="U10" s="42" t="str">
        <f t="shared" si="6"/>
        <v>O</v>
      </c>
      <c r="V10" s="42" t="str">
        <f t="shared" si="7"/>
        <v>U</v>
      </c>
      <c r="W10" s="42" t="str">
        <f t="shared" si="8"/>
        <v>O</v>
      </c>
      <c r="X10" s="42" t="str">
        <f t="shared" si="9"/>
        <v>U</v>
      </c>
      <c r="Y10" s="42"/>
      <c r="Z10" s="42">
        <v>54.5</v>
      </c>
      <c r="AA10" s="42" t="str">
        <f t="shared" si="10"/>
        <v>UTA/LAL</v>
      </c>
    </row>
    <row r="11" spans="1:27" x14ac:dyDescent="0.45">
      <c r="A11" s="42">
        <v>191205</v>
      </c>
      <c r="B11" s="1">
        <v>0.5</v>
      </c>
      <c r="C11" s="42" t="s">
        <v>45</v>
      </c>
      <c r="D11" s="5" t="s">
        <v>44</v>
      </c>
      <c r="E11" s="42">
        <v>30</v>
      </c>
      <c r="F11" s="42">
        <v>36</v>
      </c>
      <c r="G11" s="42">
        <v>34</v>
      </c>
      <c r="H11" s="42">
        <v>27</v>
      </c>
      <c r="I11" s="42"/>
      <c r="J11" s="42">
        <v>35</v>
      </c>
      <c r="K11" s="42">
        <v>29</v>
      </c>
      <c r="L11" s="42">
        <v>31</v>
      </c>
      <c r="M11" s="42">
        <v>21</v>
      </c>
      <c r="N11" s="42"/>
      <c r="O11" s="42">
        <f t="shared" si="0"/>
        <v>127</v>
      </c>
      <c r="P11" s="42">
        <f t="shared" si="1"/>
        <v>116</v>
      </c>
      <c r="Q11" s="42" t="str">
        <f t="shared" si="2"/>
        <v>HL</v>
      </c>
      <c r="R11" s="42" t="str">
        <f t="shared" si="3"/>
        <v>HW</v>
      </c>
      <c r="S11" s="42" t="str">
        <f t="shared" si="4"/>
        <v>HW</v>
      </c>
      <c r="T11" s="42" t="str">
        <f t="shared" si="5"/>
        <v>HW</v>
      </c>
      <c r="U11" s="42" t="str">
        <f t="shared" si="6"/>
        <v>O</v>
      </c>
      <c r="V11" s="42" t="str">
        <f t="shared" si="7"/>
        <v>O</v>
      </c>
      <c r="W11" s="42" t="str">
        <f t="shared" si="8"/>
        <v>O</v>
      </c>
      <c r="X11" s="42" t="str">
        <f t="shared" si="9"/>
        <v>U</v>
      </c>
      <c r="Y11" s="42"/>
      <c r="Z11" s="42">
        <v>55.5</v>
      </c>
      <c r="AA11" s="42" t="str">
        <f t="shared" si="10"/>
        <v>POR/SAC</v>
      </c>
    </row>
    <row r="12" spans="1:27" x14ac:dyDescent="0.45">
      <c r="A12" s="42">
        <v>191206</v>
      </c>
      <c r="B12" s="1">
        <v>0.375</v>
      </c>
      <c r="C12" s="42" t="s">
        <v>34</v>
      </c>
      <c r="D12" s="5" t="s">
        <v>41</v>
      </c>
      <c r="E12" s="42">
        <v>25</v>
      </c>
      <c r="F12" s="42">
        <v>40</v>
      </c>
      <c r="G12" s="42">
        <v>26</v>
      </c>
      <c r="H12" s="42">
        <v>28</v>
      </c>
      <c r="I12" s="42"/>
      <c r="J12" s="42">
        <v>33</v>
      </c>
      <c r="K12" s="42">
        <v>22</v>
      </c>
      <c r="L12" s="42">
        <v>26</v>
      </c>
      <c r="M12" s="42">
        <v>32</v>
      </c>
      <c r="N12" s="42"/>
      <c r="O12" s="42">
        <f t="shared" si="0"/>
        <v>119</v>
      </c>
      <c r="P12" s="42">
        <f t="shared" si="1"/>
        <v>113</v>
      </c>
      <c r="Q12" s="42" t="str">
        <f t="shared" si="2"/>
        <v>HL</v>
      </c>
      <c r="R12" s="42" t="str">
        <f t="shared" si="3"/>
        <v>HW</v>
      </c>
      <c r="S12" s="42" t="str">
        <f t="shared" si="4"/>
        <v>TT</v>
      </c>
      <c r="T12" s="42" t="str">
        <f t="shared" si="5"/>
        <v>HL</v>
      </c>
      <c r="U12" s="42" t="str">
        <f t="shared" si="6"/>
        <v>O</v>
      </c>
      <c r="V12" s="42" t="str">
        <f t="shared" si="7"/>
        <v>O</v>
      </c>
      <c r="W12" s="42" t="str">
        <f t="shared" si="8"/>
        <v>U</v>
      </c>
      <c r="X12" s="42" t="str">
        <f t="shared" si="9"/>
        <v>O</v>
      </c>
      <c r="Y12" s="42"/>
      <c r="Z12" s="42">
        <v>57.5</v>
      </c>
      <c r="AA12" s="42" t="str">
        <f t="shared" si="10"/>
        <v>WAS/PHI</v>
      </c>
    </row>
    <row r="13" spans="1:27" x14ac:dyDescent="0.45">
      <c r="A13" s="42">
        <v>191206</v>
      </c>
      <c r="B13" s="1">
        <v>0.39583333333333331</v>
      </c>
      <c r="C13" s="42" t="s">
        <v>47</v>
      </c>
      <c r="D13" s="5" t="s">
        <v>46</v>
      </c>
      <c r="E13" s="42">
        <v>27</v>
      </c>
      <c r="F13" s="42">
        <v>18</v>
      </c>
      <c r="G13" s="42">
        <v>30</v>
      </c>
      <c r="H13" s="42">
        <v>17</v>
      </c>
      <c r="I13" s="42"/>
      <c r="J13" s="42">
        <v>33</v>
      </c>
      <c r="K13" s="42">
        <v>34</v>
      </c>
      <c r="L13" s="42">
        <v>31</v>
      </c>
      <c r="M13" s="42">
        <v>31</v>
      </c>
      <c r="N13" s="42"/>
      <c r="O13" s="42">
        <f t="shared" si="0"/>
        <v>92</v>
      </c>
      <c r="P13" s="42">
        <f t="shared" si="1"/>
        <v>129</v>
      </c>
      <c r="Q13" s="42" t="str">
        <f t="shared" si="2"/>
        <v>HL</v>
      </c>
      <c r="R13" s="42" t="str">
        <f t="shared" si="3"/>
        <v>HL</v>
      </c>
      <c r="S13" s="42" t="str">
        <f t="shared" si="4"/>
        <v>HL</v>
      </c>
      <c r="T13" s="42" t="str">
        <f t="shared" si="5"/>
        <v>HL</v>
      </c>
      <c r="U13" s="42" t="str">
        <f t="shared" si="6"/>
        <v>O</v>
      </c>
      <c r="V13" s="42" t="str">
        <f t="shared" si="7"/>
        <v>U</v>
      </c>
      <c r="W13" s="42" t="str">
        <f t="shared" si="8"/>
        <v>O</v>
      </c>
      <c r="X13" s="42" t="str">
        <f t="shared" si="9"/>
        <v>U</v>
      </c>
      <c r="Y13" s="42"/>
      <c r="Z13" s="42">
        <v>52.5</v>
      </c>
      <c r="AA13" s="42" t="str">
        <f t="shared" si="10"/>
        <v>NYK/DEN</v>
      </c>
    </row>
    <row r="14" spans="1:27" x14ac:dyDescent="0.45">
      <c r="A14" s="42">
        <v>191206</v>
      </c>
      <c r="B14" s="1">
        <v>0.39583333333333331</v>
      </c>
      <c r="C14" s="42" t="s">
        <v>28</v>
      </c>
      <c r="D14" s="5" t="s">
        <v>52</v>
      </c>
      <c r="E14" s="42">
        <v>28</v>
      </c>
      <c r="F14" s="42">
        <v>27</v>
      </c>
      <c r="G14" s="42">
        <v>33</v>
      </c>
      <c r="H14" s="42">
        <v>21</v>
      </c>
      <c r="I14" s="42"/>
      <c r="J14" s="42">
        <v>34</v>
      </c>
      <c r="K14" s="42">
        <v>29</v>
      </c>
      <c r="L14" s="42">
        <v>31</v>
      </c>
      <c r="M14" s="42">
        <v>25</v>
      </c>
      <c r="N14" s="42"/>
      <c r="O14" s="42">
        <f t="shared" si="0"/>
        <v>109</v>
      </c>
      <c r="P14" s="42">
        <f t="shared" si="1"/>
        <v>119</v>
      </c>
      <c r="Q14" s="42" t="str">
        <f t="shared" si="2"/>
        <v>HL</v>
      </c>
      <c r="R14" s="42" t="str">
        <f t="shared" si="3"/>
        <v>HL</v>
      </c>
      <c r="S14" s="42" t="str">
        <f t="shared" si="4"/>
        <v>HW</v>
      </c>
      <c r="T14" s="42" t="str">
        <f t="shared" si="5"/>
        <v>HL</v>
      </c>
      <c r="U14" s="42" t="str">
        <f t="shared" si="6"/>
        <v>O</v>
      </c>
      <c r="V14" s="42" t="str">
        <f t="shared" si="7"/>
        <v>U</v>
      </c>
      <c r="W14" s="42" t="str">
        <f t="shared" si="8"/>
        <v>O</v>
      </c>
      <c r="X14" s="42" t="str">
        <f t="shared" si="9"/>
        <v>U</v>
      </c>
      <c r="Y14" s="42"/>
      <c r="Z14" s="42">
        <v>59</v>
      </c>
      <c r="AA14" s="42" t="str">
        <f t="shared" si="10"/>
        <v>TOR/HOU</v>
      </c>
    </row>
    <row r="15" spans="1:27" x14ac:dyDescent="0.45">
      <c r="A15" s="42">
        <v>191206</v>
      </c>
      <c r="B15" s="1">
        <v>0.41666666666666669</v>
      </c>
      <c r="C15" s="42" t="s">
        <v>27</v>
      </c>
      <c r="D15" s="5" t="s">
        <v>43</v>
      </c>
      <c r="E15" s="42">
        <v>40</v>
      </c>
      <c r="F15" s="42">
        <v>30</v>
      </c>
      <c r="G15" s="42">
        <v>21</v>
      </c>
      <c r="H15" s="42">
        <v>34</v>
      </c>
      <c r="I15" s="42">
        <v>7</v>
      </c>
      <c r="J15" s="42">
        <v>38</v>
      </c>
      <c r="K15" s="42">
        <v>36</v>
      </c>
      <c r="L15" s="42">
        <v>33</v>
      </c>
      <c r="M15" s="42">
        <v>18</v>
      </c>
      <c r="N15" s="42">
        <v>14</v>
      </c>
      <c r="O15" s="42">
        <f t="shared" si="0"/>
        <v>132</v>
      </c>
      <c r="P15" s="42">
        <f t="shared" si="1"/>
        <v>139</v>
      </c>
      <c r="Q15" s="42" t="str">
        <f t="shared" si="2"/>
        <v>HW</v>
      </c>
      <c r="R15" s="42" t="str">
        <f t="shared" si="3"/>
        <v>HL</v>
      </c>
      <c r="S15" s="42" t="str">
        <f t="shared" si="4"/>
        <v>HL</v>
      </c>
      <c r="T15" s="42" t="str">
        <f t="shared" si="5"/>
        <v>HW</v>
      </c>
      <c r="U15" s="42" t="str">
        <f t="shared" si="6"/>
        <v>O</v>
      </c>
      <c r="V15" s="42" t="str">
        <f t="shared" si="7"/>
        <v>O</v>
      </c>
      <c r="W15" s="42" t="str">
        <f t="shared" si="8"/>
        <v>U</v>
      </c>
      <c r="X15" s="42" t="str">
        <f t="shared" si="9"/>
        <v>U</v>
      </c>
      <c r="Y15" s="42"/>
      <c r="Z15" s="42">
        <v>57.5</v>
      </c>
      <c r="AA15" s="42" t="str">
        <f t="shared" si="10"/>
        <v>NO/PHO</v>
      </c>
    </row>
    <row r="16" spans="1:27" x14ac:dyDescent="0.45">
      <c r="A16" s="42">
        <v>191207</v>
      </c>
      <c r="B16" s="1">
        <v>0.375</v>
      </c>
      <c r="C16" s="42" t="s">
        <v>40</v>
      </c>
      <c r="D16" s="5" t="s">
        <v>39</v>
      </c>
      <c r="E16" s="42">
        <v>25</v>
      </c>
      <c r="F16" s="42">
        <v>22</v>
      </c>
      <c r="G16" s="42">
        <v>23</v>
      </c>
      <c r="H16" s="42">
        <v>17</v>
      </c>
      <c r="I16" s="42"/>
      <c r="J16" s="42">
        <v>24</v>
      </c>
      <c r="K16" s="42">
        <v>28</v>
      </c>
      <c r="L16" s="42">
        <v>16</v>
      </c>
      <c r="M16" s="42">
        <v>25</v>
      </c>
      <c r="N16" s="42" t="s">
        <v>427</v>
      </c>
      <c r="O16" s="42">
        <f t="shared" si="0"/>
        <v>87</v>
      </c>
      <c r="P16" s="42">
        <f t="shared" si="1"/>
        <v>93</v>
      </c>
      <c r="Q16" s="42" t="str">
        <f t="shared" si="2"/>
        <v>HW</v>
      </c>
      <c r="R16" s="42" t="str">
        <f t="shared" si="3"/>
        <v>HL</v>
      </c>
      <c r="S16" s="42" t="str">
        <f t="shared" si="4"/>
        <v>HW</v>
      </c>
      <c r="T16" s="42" t="str">
        <f t="shared" si="5"/>
        <v>HL</v>
      </c>
      <c r="U16" s="42" t="str">
        <f t="shared" si="6"/>
        <v>U</v>
      </c>
      <c r="V16" s="42" t="str">
        <f t="shared" si="7"/>
        <v>U</v>
      </c>
      <c r="W16" s="42" t="str">
        <f t="shared" si="8"/>
        <v>U</v>
      </c>
      <c r="X16" s="42" t="str">
        <f t="shared" si="9"/>
        <v>U</v>
      </c>
      <c r="Y16" s="42"/>
      <c r="Z16" s="42">
        <v>54</v>
      </c>
      <c r="AA16" s="42" t="str">
        <f t="shared" si="10"/>
        <v>CLE/ORL</v>
      </c>
    </row>
    <row r="17" spans="1:27" x14ac:dyDescent="0.45">
      <c r="A17" s="42">
        <v>191207</v>
      </c>
      <c r="B17" s="1">
        <v>0.375</v>
      </c>
      <c r="C17" s="42" t="s">
        <v>36</v>
      </c>
      <c r="D17" s="5" t="s">
        <v>35</v>
      </c>
      <c r="E17" s="42">
        <v>32</v>
      </c>
      <c r="F17" s="42">
        <v>23</v>
      </c>
      <c r="G17" s="42">
        <v>16</v>
      </c>
      <c r="H17" s="42">
        <v>37</v>
      </c>
      <c r="I17" s="42"/>
      <c r="J17" s="42">
        <v>19</v>
      </c>
      <c r="K17" s="42">
        <v>25</v>
      </c>
      <c r="L17" s="42">
        <v>31</v>
      </c>
      <c r="M17" s="42">
        <v>26</v>
      </c>
      <c r="N17" s="42" t="s">
        <v>427</v>
      </c>
      <c r="O17" s="42">
        <f t="shared" si="0"/>
        <v>108</v>
      </c>
      <c r="P17" s="42">
        <f t="shared" si="1"/>
        <v>101</v>
      </c>
      <c r="Q17" s="42" t="str">
        <f t="shared" si="2"/>
        <v>HW</v>
      </c>
      <c r="R17" s="42" t="str">
        <f t="shared" si="3"/>
        <v>HL</v>
      </c>
      <c r="S17" s="42" t="str">
        <f t="shared" si="4"/>
        <v>HL</v>
      </c>
      <c r="T17" s="42" t="str">
        <f t="shared" si="5"/>
        <v>HW</v>
      </c>
      <c r="U17" s="42" t="str">
        <f t="shared" si="6"/>
        <v>U</v>
      </c>
      <c r="V17" s="42" t="str">
        <f t="shared" si="7"/>
        <v>U</v>
      </c>
      <c r="W17" s="42" t="str">
        <f t="shared" si="8"/>
        <v>U</v>
      </c>
      <c r="X17" s="42" t="str">
        <f t="shared" si="9"/>
        <v>O</v>
      </c>
      <c r="Y17" s="42"/>
      <c r="Z17" s="42">
        <v>54.5</v>
      </c>
      <c r="AA17" s="42" t="str">
        <f t="shared" si="10"/>
        <v>DET/IND</v>
      </c>
    </row>
    <row r="18" spans="1:27" x14ac:dyDescent="0.45">
      <c r="A18" s="42">
        <v>191207</v>
      </c>
      <c r="B18" s="1">
        <v>0.375</v>
      </c>
      <c r="C18" s="42" t="s">
        <v>31</v>
      </c>
      <c r="D18" s="5" t="s">
        <v>30</v>
      </c>
      <c r="E18" s="42">
        <v>32</v>
      </c>
      <c r="F18" s="42">
        <v>25</v>
      </c>
      <c r="G18" s="42">
        <v>27</v>
      </c>
      <c r="H18" s="42">
        <v>20</v>
      </c>
      <c r="I18" s="42"/>
      <c r="J18" s="42">
        <v>29</v>
      </c>
      <c r="K18" s="42">
        <v>26</v>
      </c>
      <c r="L18" s="42">
        <v>31</v>
      </c>
      <c r="M18" s="42">
        <v>25</v>
      </c>
      <c r="N18" s="42" t="s">
        <v>427</v>
      </c>
      <c r="O18" s="42">
        <f t="shared" si="0"/>
        <v>104</v>
      </c>
      <c r="P18" s="42">
        <f t="shared" si="1"/>
        <v>111</v>
      </c>
      <c r="Q18" s="42" t="str">
        <f t="shared" si="2"/>
        <v>HW</v>
      </c>
      <c r="R18" s="42" t="str">
        <f t="shared" si="3"/>
        <v>HL</v>
      </c>
      <c r="S18" s="42" t="str">
        <f t="shared" si="4"/>
        <v>HL</v>
      </c>
      <c r="T18" s="42" t="str">
        <f t="shared" si="5"/>
        <v>HL</v>
      </c>
      <c r="U18" s="42" t="str">
        <f t="shared" si="6"/>
        <v>O</v>
      </c>
      <c r="V18" s="42" t="str">
        <f t="shared" si="7"/>
        <v>U</v>
      </c>
      <c r="W18" s="42" t="str">
        <f t="shared" si="8"/>
        <v>O</v>
      </c>
      <c r="X18" s="42" t="str">
        <f t="shared" si="9"/>
        <v>U</v>
      </c>
      <c r="Y18" s="42"/>
      <c r="Z18" s="42">
        <v>53.5</v>
      </c>
      <c r="AA18" s="42" t="str">
        <f t="shared" si="10"/>
        <v>CHA/BKN</v>
      </c>
    </row>
    <row r="19" spans="1:27" x14ac:dyDescent="0.45">
      <c r="A19" s="42">
        <v>191207</v>
      </c>
      <c r="B19" s="1">
        <v>0.41666666666666669</v>
      </c>
      <c r="C19" s="42" t="s">
        <v>42</v>
      </c>
      <c r="D19" s="5" t="s">
        <v>46</v>
      </c>
      <c r="E19" s="42">
        <v>33</v>
      </c>
      <c r="F19" s="42">
        <v>20</v>
      </c>
      <c r="G19" s="42">
        <v>32</v>
      </c>
      <c r="H19" s="42">
        <v>23</v>
      </c>
      <c r="I19" s="42"/>
      <c r="J19" s="42">
        <v>26</v>
      </c>
      <c r="K19" s="42">
        <v>19</v>
      </c>
      <c r="L19" s="42">
        <v>19</v>
      </c>
      <c r="M19" s="42">
        <v>31</v>
      </c>
      <c r="N19" s="42" t="s">
        <v>427</v>
      </c>
      <c r="O19" s="42">
        <f t="shared" si="0"/>
        <v>108</v>
      </c>
      <c r="P19" s="42">
        <f t="shared" si="1"/>
        <v>95</v>
      </c>
      <c r="Q19" s="42" t="str">
        <f t="shared" si="2"/>
        <v>HW</v>
      </c>
      <c r="R19" s="42" t="str">
        <f t="shared" si="3"/>
        <v>HW</v>
      </c>
      <c r="S19" s="42" t="str">
        <f t="shared" si="4"/>
        <v>HW</v>
      </c>
      <c r="T19" s="42" t="str">
        <f t="shared" si="5"/>
        <v>HL</v>
      </c>
      <c r="U19" s="42" t="str">
        <f t="shared" si="6"/>
        <v>O</v>
      </c>
      <c r="V19" s="42" t="str">
        <f t="shared" si="7"/>
        <v>U</v>
      </c>
      <c r="W19" s="42" t="str">
        <f t="shared" si="8"/>
        <v>U</v>
      </c>
      <c r="X19" s="42" t="str">
        <f t="shared" si="9"/>
        <v>O</v>
      </c>
      <c r="Y19" s="42"/>
      <c r="Z19" s="42">
        <v>52.5</v>
      </c>
      <c r="AA19" s="42" t="str">
        <f t="shared" si="10"/>
        <v>BOS/DEN</v>
      </c>
    </row>
    <row r="20" spans="1:27" x14ac:dyDescent="0.45">
      <c r="A20" s="42">
        <v>191207</v>
      </c>
      <c r="B20" s="1">
        <v>0.41666666666666669</v>
      </c>
      <c r="C20" s="42" t="s">
        <v>32</v>
      </c>
      <c r="D20" s="5" t="s">
        <v>51</v>
      </c>
      <c r="E20" s="42">
        <v>28</v>
      </c>
      <c r="F20" s="42">
        <v>23</v>
      </c>
      <c r="G20" s="42">
        <v>32</v>
      </c>
      <c r="H20" s="42">
        <v>15</v>
      </c>
      <c r="I20" s="42"/>
      <c r="J20" s="42">
        <v>23</v>
      </c>
      <c r="K20" s="42">
        <v>27</v>
      </c>
      <c r="L20" s="42">
        <v>27</v>
      </c>
      <c r="M20" s="42">
        <v>23</v>
      </c>
      <c r="N20" s="42" t="s">
        <v>427</v>
      </c>
      <c r="O20" s="42">
        <f t="shared" si="0"/>
        <v>98</v>
      </c>
      <c r="P20" s="42">
        <f t="shared" si="1"/>
        <v>100</v>
      </c>
      <c r="Q20" s="42" t="str">
        <f t="shared" si="2"/>
        <v>HW</v>
      </c>
      <c r="R20" s="42" t="str">
        <f t="shared" si="3"/>
        <v>HL</v>
      </c>
      <c r="S20" s="42" t="str">
        <f t="shared" si="4"/>
        <v>HW</v>
      </c>
      <c r="T20" s="42" t="str">
        <f t="shared" si="5"/>
        <v>HL</v>
      </c>
      <c r="U20" s="42" t="str">
        <f t="shared" si="6"/>
        <v>U</v>
      </c>
      <c r="V20" s="42" t="str">
        <f t="shared" si="7"/>
        <v>U</v>
      </c>
      <c r="W20" s="42" t="str">
        <f t="shared" si="8"/>
        <v>O</v>
      </c>
      <c r="X20" s="42" t="str">
        <f t="shared" si="9"/>
        <v>U</v>
      </c>
      <c r="Y20" s="42"/>
      <c r="Z20" s="42">
        <v>54.5</v>
      </c>
      <c r="AA20" s="42" t="str">
        <f t="shared" si="10"/>
        <v>CHI/GS</v>
      </c>
    </row>
    <row r="21" spans="1:27" x14ac:dyDescent="0.45">
      <c r="A21" s="42">
        <v>191207</v>
      </c>
      <c r="B21" s="1">
        <v>0.41666666666666669</v>
      </c>
      <c r="C21" s="42" t="s">
        <v>37</v>
      </c>
      <c r="D21" s="5" t="s">
        <v>34</v>
      </c>
      <c r="E21" s="42">
        <v>27</v>
      </c>
      <c r="F21" s="42">
        <v>34</v>
      </c>
      <c r="G21" s="42">
        <v>25</v>
      </c>
      <c r="H21" s="42">
        <v>26</v>
      </c>
      <c r="I21" s="42"/>
      <c r="J21" s="42">
        <v>28</v>
      </c>
      <c r="K21" s="42">
        <v>37</v>
      </c>
      <c r="L21" s="42">
        <v>20</v>
      </c>
      <c r="M21" s="42">
        <v>18</v>
      </c>
      <c r="N21" s="42" t="s">
        <v>427</v>
      </c>
      <c r="O21" s="42">
        <f t="shared" si="0"/>
        <v>112</v>
      </c>
      <c r="P21" s="42">
        <f t="shared" si="1"/>
        <v>103</v>
      </c>
      <c r="Q21" s="42" t="str">
        <f t="shared" si="2"/>
        <v>HL</v>
      </c>
      <c r="R21" s="42" t="str">
        <f t="shared" si="3"/>
        <v>HL</v>
      </c>
      <c r="S21" s="42" t="str">
        <f t="shared" si="4"/>
        <v>HW</v>
      </c>
      <c r="T21" s="42" t="str">
        <f t="shared" si="5"/>
        <v>HW</v>
      </c>
      <c r="U21" s="42" t="str">
        <f t="shared" si="6"/>
        <v>U</v>
      </c>
      <c r="V21" s="42" t="str">
        <f t="shared" si="7"/>
        <v>O</v>
      </c>
      <c r="W21" s="42" t="str">
        <f t="shared" si="8"/>
        <v>U</v>
      </c>
      <c r="X21" s="42" t="str">
        <f t="shared" si="9"/>
        <v>U</v>
      </c>
      <c r="Y21" s="42"/>
      <c r="Z21" s="42">
        <v>59.5</v>
      </c>
      <c r="AA21" s="42" t="str">
        <f t="shared" si="10"/>
        <v>MIA/WAS</v>
      </c>
    </row>
    <row r="22" spans="1:27" x14ac:dyDescent="0.45">
      <c r="A22" s="42">
        <v>191207</v>
      </c>
      <c r="B22" s="1">
        <v>0.41666666666666669</v>
      </c>
      <c r="C22" s="42" t="s">
        <v>49</v>
      </c>
      <c r="D22" s="5" t="s">
        <v>29</v>
      </c>
      <c r="E22" s="42">
        <v>30</v>
      </c>
      <c r="F22" s="42">
        <v>23</v>
      </c>
      <c r="G22" s="42">
        <v>41</v>
      </c>
      <c r="H22" s="42">
        <v>28</v>
      </c>
      <c r="I22" s="42">
        <v>17</v>
      </c>
      <c r="J22" s="42">
        <v>27</v>
      </c>
      <c r="K22" s="42">
        <v>31</v>
      </c>
      <c r="L22" s="42">
        <v>39</v>
      </c>
      <c r="M22" s="42">
        <v>25</v>
      </c>
      <c r="N22" s="42">
        <v>5</v>
      </c>
      <c r="O22" s="42">
        <f t="shared" si="0"/>
        <v>139</v>
      </c>
      <c r="P22" s="42">
        <f t="shared" si="1"/>
        <v>127</v>
      </c>
      <c r="Q22" s="42" t="str">
        <f t="shared" si="2"/>
        <v>HW</v>
      </c>
      <c r="R22" s="42" t="str">
        <f t="shared" si="3"/>
        <v>HL</v>
      </c>
      <c r="S22" s="42" t="str">
        <f t="shared" si="4"/>
        <v>HW</v>
      </c>
      <c r="T22" s="42" t="str">
        <f t="shared" si="5"/>
        <v>HW</v>
      </c>
      <c r="U22" s="42" t="str">
        <f t="shared" si="6"/>
        <v>O</v>
      </c>
      <c r="V22" s="42" t="str">
        <f t="shared" si="7"/>
        <v>U</v>
      </c>
      <c r="W22" s="42" t="str">
        <f t="shared" si="8"/>
        <v>O</v>
      </c>
      <c r="X22" s="42" t="str">
        <f t="shared" si="9"/>
        <v>U</v>
      </c>
      <c r="Y22" s="42"/>
      <c r="Z22" s="42">
        <v>56.5</v>
      </c>
      <c r="AA22" s="42" t="str">
        <f t="shared" si="10"/>
        <v>OKC/MIN</v>
      </c>
    </row>
    <row r="23" spans="1:27" x14ac:dyDescent="0.45">
      <c r="A23" s="42">
        <v>191207</v>
      </c>
      <c r="B23" s="1">
        <v>0.4375</v>
      </c>
      <c r="C23" s="42" t="s">
        <v>53</v>
      </c>
      <c r="D23" s="5" t="s">
        <v>25</v>
      </c>
      <c r="E23" s="42">
        <v>30</v>
      </c>
      <c r="F23" s="42">
        <v>22</v>
      </c>
      <c r="G23" s="42">
        <v>35</v>
      </c>
      <c r="H23" s="42">
        <v>32</v>
      </c>
      <c r="I23" s="42"/>
      <c r="J23" s="42">
        <v>15</v>
      </c>
      <c r="K23" s="42">
        <v>28</v>
      </c>
      <c r="L23" s="42">
        <v>19</v>
      </c>
      <c r="M23" s="42">
        <v>29</v>
      </c>
      <c r="N23" s="42" t="s">
        <v>427</v>
      </c>
      <c r="O23" s="42">
        <f t="shared" si="0"/>
        <v>119</v>
      </c>
      <c r="P23" s="42">
        <f t="shared" si="1"/>
        <v>91</v>
      </c>
      <c r="Q23" s="42" t="str">
        <f t="shared" si="2"/>
        <v>HW</v>
      </c>
      <c r="R23" s="42" t="str">
        <f t="shared" si="3"/>
        <v>HL</v>
      </c>
      <c r="S23" s="42" t="str">
        <f t="shared" si="4"/>
        <v>HW</v>
      </c>
      <c r="T23" s="42" t="str">
        <f t="shared" si="5"/>
        <v>HW</v>
      </c>
      <c r="U23" s="42" t="str">
        <f t="shared" si="6"/>
        <v>U</v>
      </c>
      <c r="V23" s="42" t="str">
        <f t="shared" si="7"/>
        <v>U</v>
      </c>
      <c r="W23" s="42" t="str">
        <f t="shared" si="8"/>
        <v>U</v>
      </c>
      <c r="X23" s="42" t="str">
        <f t="shared" si="9"/>
        <v>O</v>
      </c>
      <c r="Y23" s="42"/>
      <c r="Z23" s="42">
        <v>60</v>
      </c>
      <c r="AA23" s="42" t="str">
        <f t="shared" si="10"/>
        <v>MIL/LAC</v>
      </c>
    </row>
    <row r="24" spans="1:27" x14ac:dyDescent="0.45">
      <c r="A24" s="42">
        <v>191207</v>
      </c>
      <c r="B24" s="1">
        <v>0.4375</v>
      </c>
      <c r="C24" s="42" t="s">
        <v>56</v>
      </c>
      <c r="D24" s="5" t="s">
        <v>44</v>
      </c>
      <c r="E24" s="42">
        <v>21</v>
      </c>
      <c r="F24" s="42">
        <v>31</v>
      </c>
      <c r="G24" s="42">
        <v>17</v>
      </c>
      <c r="H24" s="42">
        <v>31</v>
      </c>
      <c r="I24" s="42">
        <v>5</v>
      </c>
      <c r="J24" s="42">
        <v>17</v>
      </c>
      <c r="K24" s="42">
        <v>25</v>
      </c>
      <c r="L24" s="42">
        <v>30</v>
      </c>
      <c r="M24" s="42">
        <v>28</v>
      </c>
      <c r="N24" s="42">
        <v>4</v>
      </c>
      <c r="O24" s="42">
        <f t="shared" si="0"/>
        <v>105</v>
      </c>
      <c r="P24" s="42">
        <f t="shared" si="1"/>
        <v>104</v>
      </c>
      <c r="Q24" s="42" t="str">
        <f t="shared" si="2"/>
        <v>HW</v>
      </c>
      <c r="R24" s="42" t="str">
        <f t="shared" si="3"/>
        <v>HW</v>
      </c>
      <c r="S24" s="42" t="str">
        <f t="shared" si="4"/>
        <v>HL</v>
      </c>
      <c r="T24" s="42" t="str">
        <f t="shared" si="5"/>
        <v>HW</v>
      </c>
      <c r="U24" s="42" t="str">
        <f t="shared" si="6"/>
        <v>U</v>
      </c>
      <c r="V24" s="42" t="str">
        <f t="shared" si="7"/>
        <v>O</v>
      </c>
      <c r="W24" s="42" t="str">
        <f t="shared" si="8"/>
        <v>U</v>
      </c>
      <c r="X24" s="42" t="str">
        <f t="shared" si="9"/>
        <v>O</v>
      </c>
      <c r="Y24" s="42"/>
      <c r="Z24" s="42">
        <v>55.5</v>
      </c>
      <c r="AA24" s="42" t="str">
        <f t="shared" si="10"/>
        <v>SAS/SAC</v>
      </c>
    </row>
    <row r="25" spans="1:27" x14ac:dyDescent="0.45">
      <c r="A25" s="42">
        <v>191207</v>
      </c>
      <c r="B25" s="1">
        <v>0.52083333333333337</v>
      </c>
      <c r="C25" s="42" t="s">
        <v>45</v>
      </c>
      <c r="D25" s="5" t="s">
        <v>26</v>
      </c>
      <c r="E25" s="42">
        <v>34</v>
      </c>
      <c r="F25" s="42">
        <v>28</v>
      </c>
      <c r="G25" s="42">
        <v>31</v>
      </c>
      <c r="H25" s="42">
        <v>20</v>
      </c>
      <c r="I25" s="42"/>
      <c r="J25" s="42">
        <v>39</v>
      </c>
      <c r="K25" s="42">
        <v>38</v>
      </c>
      <c r="L25" s="42">
        <v>33</v>
      </c>
      <c r="M25" s="42">
        <v>26</v>
      </c>
      <c r="N25" s="42" t="s">
        <v>427</v>
      </c>
      <c r="O25" s="42">
        <f t="shared" si="0"/>
        <v>113</v>
      </c>
      <c r="P25" s="42">
        <f t="shared" si="1"/>
        <v>136</v>
      </c>
      <c r="Q25" s="42" t="str">
        <f t="shared" si="2"/>
        <v>HL</v>
      </c>
      <c r="R25" s="42" t="str">
        <f t="shared" si="3"/>
        <v>HL</v>
      </c>
      <c r="S25" s="42" t="str">
        <f t="shared" si="4"/>
        <v>HL</v>
      </c>
      <c r="T25" s="42" t="str">
        <f t="shared" si="5"/>
        <v>HL</v>
      </c>
      <c r="U25" s="42" t="str">
        <f t="shared" si="6"/>
        <v>O</v>
      </c>
      <c r="V25" s="42" t="str">
        <f t="shared" si="7"/>
        <v>O</v>
      </c>
      <c r="W25" s="42" t="str">
        <f t="shared" si="8"/>
        <v>O</v>
      </c>
      <c r="X25" s="42" t="str">
        <f t="shared" si="9"/>
        <v>U</v>
      </c>
      <c r="Y25" s="42"/>
      <c r="Z25" s="42">
        <v>58</v>
      </c>
      <c r="AA25" s="42" t="str">
        <f t="shared" si="10"/>
        <v>POR/LAL</v>
      </c>
    </row>
    <row r="26" spans="1:27" x14ac:dyDescent="0.45">
      <c r="A26" s="42">
        <v>191208</v>
      </c>
      <c r="B26" s="44">
        <v>0.16666666666666666</v>
      </c>
      <c r="C26" s="42" t="s">
        <v>397</v>
      </c>
      <c r="D26" s="42" t="s">
        <v>398</v>
      </c>
      <c r="E26" s="42">
        <v>31</v>
      </c>
      <c r="F26" s="42">
        <v>33</v>
      </c>
      <c r="G26" s="42">
        <v>40</v>
      </c>
      <c r="H26" s="42">
        <v>26</v>
      </c>
      <c r="I26" s="42"/>
      <c r="J26" s="42">
        <v>28</v>
      </c>
      <c r="K26" s="42">
        <v>24</v>
      </c>
      <c r="L26" s="42">
        <v>14</v>
      </c>
      <c r="M26" s="42">
        <v>18</v>
      </c>
      <c r="N26" s="42" t="s">
        <v>427</v>
      </c>
      <c r="O26" s="42">
        <f t="shared" si="0"/>
        <v>130</v>
      </c>
      <c r="P26" s="42">
        <f t="shared" si="1"/>
        <v>84</v>
      </c>
      <c r="Q26" s="42" t="str">
        <f t="shared" si="2"/>
        <v>HW</v>
      </c>
      <c r="R26" s="42" t="str">
        <f t="shared" si="3"/>
        <v>HW</v>
      </c>
      <c r="S26" s="42" t="str">
        <f t="shared" si="4"/>
        <v>HW</v>
      </c>
      <c r="T26" s="42" t="str">
        <f t="shared" si="5"/>
        <v>HW</v>
      </c>
      <c r="U26" s="42" t="str">
        <f t="shared" si="6"/>
        <v>U</v>
      </c>
      <c r="V26" s="42" t="str">
        <f t="shared" si="7"/>
        <v>U</v>
      </c>
      <c r="W26" s="42" t="str">
        <f t="shared" si="8"/>
        <v>U</v>
      </c>
      <c r="X26" s="42" t="str">
        <f t="shared" si="9"/>
        <v>U</v>
      </c>
      <c r="Y26" s="42"/>
      <c r="Z26" s="42">
        <v>59.5</v>
      </c>
      <c r="AA26" s="42" t="str">
        <f t="shared" si="10"/>
        <v>DAL/NO</v>
      </c>
    </row>
    <row r="27" spans="1:27" x14ac:dyDescent="0.45">
      <c r="A27" s="42">
        <v>191208</v>
      </c>
      <c r="B27" s="44">
        <v>0.39583333333333331</v>
      </c>
      <c r="C27" s="42" t="s">
        <v>399</v>
      </c>
      <c r="D27" s="42" t="s">
        <v>400</v>
      </c>
      <c r="E27" s="42">
        <v>27</v>
      </c>
      <c r="F27" s="42">
        <v>33</v>
      </c>
      <c r="G27" s="42">
        <v>21</v>
      </c>
      <c r="H27" s="42">
        <v>22</v>
      </c>
      <c r="I27" s="42"/>
      <c r="J27" s="42">
        <v>32</v>
      </c>
      <c r="K27" s="42">
        <v>34</v>
      </c>
      <c r="L27" s="42">
        <v>23</v>
      </c>
      <c r="M27" s="42">
        <v>15</v>
      </c>
      <c r="N27" s="42" t="s">
        <v>427</v>
      </c>
      <c r="O27" s="42">
        <f t="shared" si="0"/>
        <v>103</v>
      </c>
      <c r="P27" s="42">
        <f t="shared" si="1"/>
        <v>104</v>
      </c>
      <c r="Q27" s="42" t="str">
        <f t="shared" si="2"/>
        <v>HL</v>
      </c>
      <c r="R27" s="42" t="str">
        <f t="shared" si="3"/>
        <v>HL</v>
      </c>
      <c r="S27" s="42" t="str">
        <f t="shared" si="4"/>
        <v>HL</v>
      </c>
      <c r="T27" s="42" t="str">
        <f t="shared" si="5"/>
        <v>HW</v>
      </c>
      <c r="U27" s="42" t="str">
        <f t="shared" si="6"/>
        <v>O</v>
      </c>
      <c r="V27" s="42" t="str">
        <f t="shared" si="7"/>
        <v>O</v>
      </c>
      <c r="W27" s="42" t="str">
        <f t="shared" si="8"/>
        <v>U</v>
      </c>
      <c r="X27" s="42" t="str">
        <f t="shared" si="9"/>
        <v>U</v>
      </c>
      <c r="Y27" s="42"/>
      <c r="Z27" s="42">
        <v>54</v>
      </c>
      <c r="AA27" s="42" t="str">
        <f t="shared" si="10"/>
        <v>NYK/IND</v>
      </c>
    </row>
    <row r="28" spans="1:27" x14ac:dyDescent="0.45">
      <c r="A28" s="42">
        <v>191208</v>
      </c>
      <c r="B28" s="44">
        <v>0.39583333333333331</v>
      </c>
      <c r="C28" s="42" t="s">
        <v>401</v>
      </c>
      <c r="D28" s="42" t="s">
        <v>402</v>
      </c>
      <c r="E28" s="42">
        <v>36</v>
      </c>
      <c r="F28" s="42">
        <v>41</v>
      </c>
      <c r="G28" s="42">
        <v>31</v>
      </c>
      <c r="H28" s="42">
        <v>33</v>
      </c>
      <c r="I28" s="42"/>
      <c r="J28" s="42">
        <v>18</v>
      </c>
      <c r="K28" s="42">
        <v>18</v>
      </c>
      <c r="L28" s="42">
        <v>26</v>
      </c>
      <c r="M28" s="42">
        <v>32</v>
      </c>
      <c r="N28" s="42" t="s">
        <v>427</v>
      </c>
      <c r="O28" s="42">
        <f t="shared" si="0"/>
        <v>141</v>
      </c>
      <c r="P28" s="42">
        <f t="shared" si="1"/>
        <v>94</v>
      </c>
      <c r="Q28" s="42" t="str">
        <f t="shared" si="2"/>
        <v>HW</v>
      </c>
      <c r="R28" s="42" t="str">
        <f t="shared" si="3"/>
        <v>HW</v>
      </c>
      <c r="S28" s="42" t="str">
        <f t="shared" si="4"/>
        <v>HW</v>
      </c>
      <c r="T28" s="42" t="str">
        <f t="shared" si="5"/>
        <v>HW</v>
      </c>
      <c r="U28" s="42" t="str">
        <f t="shared" si="6"/>
        <v>O</v>
      </c>
      <c r="V28" s="42" t="str">
        <f t="shared" si="7"/>
        <v>O</v>
      </c>
      <c r="W28" s="42" t="str">
        <f t="shared" si="8"/>
        <v>O</v>
      </c>
      <c r="X28" s="42" t="str">
        <f t="shared" si="9"/>
        <v>O</v>
      </c>
      <c r="Y28" s="42"/>
      <c r="Z28" s="42">
        <v>53</v>
      </c>
      <c r="AA28" s="42" t="str">
        <f t="shared" si="10"/>
        <v>PHI/CLE</v>
      </c>
    </row>
    <row r="29" spans="1:27" x14ac:dyDescent="0.45">
      <c r="A29" s="42">
        <v>191208</v>
      </c>
      <c r="B29" s="44">
        <v>0.41666666666666669</v>
      </c>
      <c r="C29" s="42" t="s">
        <v>403</v>
      </c>
      <c r="D29" s="42" t="s">
        <v>404</v>
      </c>
      <c r="E29" s="42">
        <v>23</v>
      </c>
      <c r="F29" s="42">
        <v>37</v>
      </c>
      <c r="G29" s="42">
        <v>23</v>
      </c>
      <c r="H29" s="42">
        <v>32</v>
      </c>
      <c r="I29" s="42"/>
      <c r="J29" s="42">
        <v>31</v>
      </c>
      <c r="K29" s="42">
        <v>21</v>
      </c>
      <c r="L29" s="42">
        <v>26</v>
      </c>
      <c r="M29" s="42">
        <v>31</v>
      </c>
      <c r="N29" s="42" t="s">
        <v>427</v>
      </c>
      <c r="O29" s="42">
        <f t="shared" si="0"/>
        <v>115</v>
      </c>
      <c r="P29" s="42">
        <f t="shared" si="1"/>
        <v>109</v>
      </c>
      <c r="Q29" s="42" t="str">
        <f t="shared" si="2"/>
        <v>HL</v>
      </c>
      <c r="R29" s="42" t="str">
        <f t="shared" si="3"/>
        <v>HW</v>
      </c>
      <c r="S29" s="42" t="str">
        <f t="shared" si="4"/>
        <v>HL</v>
      </c>
      <c r="T29" s="42" t="str">
        <f t="shared" si="5"/>
        <v>HW</v>
      </c>
      <c r="U29" s="42" t="str">
        <f t="shared" si="6"/>
        <v>U</v>
      </c>
      <c r="V29" s="42" t="str">
        <f t="shared" si="7"/>
        <v>U</v>
      </c>
      <c r="W29" s="42" t="str">
        <f t="shared" si="8"/>
        <v>U</v>
      </c>
      <c r="X29" s="42" t="str">
        <f t="shared" si="9"/>
        <v>O</v>
      </c>
      <c r="Y29" s="42"/>
      <c r="Z29" s="42">
        <v>58.5</v>
      </c>
      <c r="AA29" s="42" t="str">
        <f t="shared" si="10"/>
        <v>HOU/PHO</v>
      </c>
    </row>
    <row r="30" spans="1:27" x14ac:dyDescent="0.45">
      <c r="A30" s="42">
        <v>191208</v>
      </c>
      <c r="B30" s="44">
        <v>0.5</v>
      </c>
      <c r="C30" s="42" t="s">
        <v>405</v>
      </c>
      <c r="D30" s="42" t="s">
        <v>406</v>
      </c>
      <c r="E30" s="42">
        <v>32</v>
      </c>
      <c r="F30" s="42">
        <v>37</v>
      </c>
      <c r="G30" s="42">
        <v>28</v>
      </c>
      <c r="H30" s="42">
        <v>29</v>
      </c>
      <c r="I30" s="42"/>
      <c r="J30" s="42">
        <v>36</v>
      </c>
      <c r="K30" s="42">
        <v>18</v>
      </c>
      <c r="L30" s="42">
        <v>30</v>
      </c>
      <c r="M30" s="42">
        <v>28</v>
      </c>
      <c r="N30" s="42" t="s">
        <v>427</v>
      </c>
      <c r="O30" s="42">
        <f t="shared" si="0"/>
        <v>126</v>
      </c>
      <c r="P30" s="42">
        <f t="shared" si="1"/>
        <v>112</v>
      </c>
      <c r="Q30" s="42" t="str">
        <f t="shared" si="2"/>
        <v>HL</v>
      </c>
      <c r="R30" s="42" t="str">
        <f t="shared" si="3"/>
        <v>HW</v>
      </c>
      <c r="S30" s="42" t="str">
        <f t="shared" si="4"/>
        <v>HL</v>
      </c>
      <c r="T30" s="42" t="str">
        <f t="shared" si="5"/>
        <v>HW</v>
      </c>
      <c r="U30" s="42" t="str">
        <f t="shared" si="6"/>
        <v>O</v>
      </c>
      <c r="V30" s="42" t="str">
        <f t="shared" si="7"/>
        <v>O</v>
      </c>
      <c r="W30" s="42" t="str">
        <f t="shared" si="8"/>
        <v>O</v>
      </c>
      <c r="X30" s="42" t="str">
        <f t="shared" si="9"/>
        <v>O</v>
      </c>
      <c r="Y30" s="42"/>
      <c r="Z30" s="42">
        <v>53</v>
      </c>
      <c r="AA30" s="42" t="str">
        <f t="shared" si="10"/>
        <v>UTA/MEM</v>
      </c>
    </row>
    <row r="31" spans="1:27" x14ac:dyDescent="0.45">
      <c r="A31" s="42">
        <v>191209</v>
      </c>
      <c r="B31" s="44">
        <v>0.20833333333333334</v>
      </c>
      <c r="C31" s="42" t="s">
        <v>407</v>
      </c>
      <c r="D31" s="42" t="s">
        <v>408</v>
      </c>
      <c r="E31" s="42">
        <v>25</v>
      </c>
      <c r="F31" s="42">
        <v>28</v>
      </c>
      <c r="G31" s="42">
        <v>29</v>
      </c>
      <c r="H31" s="42">
        <v>23</v>
      </c>
      <c r="I31" s="42"/>
      <c r="J31" s="42">
        <v>21</v>
      </c>
      <c r="K31" s="42">
        <v>33</v>
      </c>
      <c r="L31" s="42">
        <v>23</v>
      </c>
      <c r="M31" s="42">
        <v>25</v>
      </c>
      <c r="N31" s="42" t="s">
        <v>427</v>
      </c>
      <c r="O31" s="42">
        <f t="shared" si="0"/>
        <v>105</v>
      </c>
      <c r="P31" s="42">
        <f t="shared" si="1"/>
        <v>102</v>
      </c>
      <c r="Q31" s="42" t="str">
        <f t="shared" si="2"/>
        <v>HW</v>
      </c>
      <c r="R31" s="42" t="str">
        <f t="shared" si="3"/>
        <v>HL</v>
      </c>
      <c r="S31" s="42" t="str">
        <f t="shared" si="4"/>
        <v>HW</v>
      </c>
      <c r="T31" s="42" t="str">
        <f t="shared" si="5"/>
        <v>HL</v>
      </c>
      <c r="U31" s="42" t="str">
        <f t="shared" si="6"/>
        <v>U</v>
      </c>
      <c r="V31" s="42" t="str">
        <f t="shared" si="7"/>
        <v>O</v>
      </c>
      <c r="W31" s="42" t="str">
        <f t="shared" si="8"/>
        <v>U</v>
      </c>
      <c r="X31" s="42" t="str">
        <f t="shared" si="9"/>
        <v>U</v>
      </c>
      <c r="Y31" s="42"/>
      <c r="Z31" s="42">
        <v>54.5</v>
      </c>
      <c r="AA31" s="42" t="str">
        <f t="shared" si="10"/>
        <v>BKN/DEN</v>
      </c>
    </row>
    <row r="32" spans="1:27" x14ac:dyDescent="0.45">
      <c r="A32" s="42">
        <v>191209</v>
      </c>
      <c r="B32" s="44">
        <v>0.29166666666666669</v>
      </c>
      <c r="C32" s="42" t="s">
        <v>409</v>
      </c>
      <c r="D32" s="42" t="s">
        <v>410</v>
      </c>
      <c r="E32" s="42">
        <v>27</v>
      </c>
      <c r="F32" s="42">
        <v>26</v>
      </c>
      <c r="G32" s="42">
        <v>30</v>
      </c>
      <c r="H32" s="42">
        <v>24</v>
      </c>
      <c r="I32" s="42"/>
      <c r="J32" s="42">
        <v>24</v>
      </c>
      <c r="K32" s="42">
        <v>27</v>
      </c>
      <c r="L32" s="42">
        <v>37</v>
      </c>
      <c r="M32" s="42">
        <v>34</v>
      </c>
      <c r="N32" s="42" t="s">
        <v>427</v>
      </c>
      <c r="O32" s="42">
        <f t="shared" si="0"/>
        <v>107</v>
      </c>
      <c r="P32" s="42">
        <f t="shared" si="1"/>
        <v>122</v>
      </c>
      <c r="Q32" s="42" t="str">
        <f t="shared" si="2"/>
        <v>HW</v>
      </c>
      <c r="R32" s="42" t="str">
        <f t="shared" si="3"/>
        <v>HL</v>
      </c>
      <c r="S32" s="42" t="str">
        <f t="shared" si="4"/>
        <v>HL</v>
      </c>
      <c r="T32" s="42" t="str">
        <f t="shared" si="5"/>
        <v>HL</v>
      </c>
      <c r="U32" s="42" t="str">
        <f t="shared" si="6"/>
        <v>U</v>
      </c>
      <c r="V32" s="42" t="str">
        <f t="shared" si="7"/>
        <v>U</v>
      </c>
      <c r="W32" s="42" t="str">
        <f t="shared" si="8"/>
        <v>O</v>
      </c>
      <c r="X32" s="42" t="str">
        <f t="shared" si="9"/>
        <v>O</v>
      </c>
      <c r="Y32" s="42"/>
      <c r="Z32" s="42">
        <v>57</v>
      </c>
      <c r="AA32" s="42" t="str">
        <f t="shared" si="10"/>
        <v>CHA/ATL</v>
      </c>
    </row>
    <row r="33" spans="1:27" x14ac:dyDescent="0.45">
      <c r="A33" s="42">
        <v>191209</v>
      </c>
      <c r="B33" s="44">
        <v>0.33333333333333331</v>
      </c>
      <c r="C33" s="42" t="s">
        <v>411</v>
      </c>
      <c r="D33" s="42" t="s">
        <v>412</v>
      </c>
      <c r="E33" s="42">
        <v>16</v>
      </c>
      <c r="F33" s="42">
        <v>31</v>
      </c>
      <c r="G33" s="42">
        <v>27</v>
      </c>
      <c r="H33" s="42">
        <v>23</v>
      </c>
      <c r="I33" s="42">
        <v>13</v>
      </c>
      <c r="J33" s="42">
        <v>25</v>
      </c>
      <c r="K33" s="42">
        <v>24</v>
      </c>
      <c r="L33" s="42">
        <v>24</v>
      </c>
      <c r="M33" s="42">
        <v>24</v>
      </c>
      <c r="N33" s="42">
        <v>8</v>
      </c>
      <c r="O33" s="42">
        <f t="shared" si="0"/>
        <v>110</v>
      </c>
      <c r="P33" s="42">
        <f t="shared" si="1"/>
        <v>105</v>
      </c>
      <c r="Q33" s="42" t="str">
        <f t="shared" si="2"/>
        <v>HL</v>
      </c>
      <c r="R33" s="42" t="str">
        <f t="shared" si="3"/>
        <v>HW</v>
      </c>
      <c r="S33" s="42" t="str">
        <f t="shared" si="4"/>
        <v>HW</v>
      </c>
      <c r="T33" s="42" t="str">
        <f t="shared" si="5"/>
        <v>HL</v>
      </c>
      <c r="U33" s="42" t="str">
        <f t="shared" si="6"/>
        <v>U</v>
      </c>
      <c r="V33" s="42" t="str">
        <f t="shared" si="7"/>
        <v>O</v>
      </c>
      <c r="W33" s="42" t="str">
        <f t="shared" si="8"/>
        <v>U</v>
      </c>
      <c r="X33" s="42" t="str">
        <f t="shared" si="9"/>
        <v>U</v>
      </c>
      <c r="Y33" s="42"/>
      <c r="Z33" s="42">
        <v>54</v>
      </c>
      <c r="AA33" s="42" t="str">
        <f t="shared" si="10"/>
        <v>MIA/CHI</v>
      </c>
    </row>
    <row r="34" spans="1:27" x14ac:dyDescent="0.45">
      <c r="A34" s="42">
        <v>191209</v>
      </c>
      <c r="B34" s="44">
        <v>0.33333333333333331</v>
      </c>
      <c r="C34" s="42" t="s">
        <v>401</v>
      </c>
      <c r="D34" s="42" t="s">
        <v>413</v>
      </c>
      <c r="E34" s="42">
        <v>27</v>
      </c>
      <c r="F34" s="42">
        <v>30</v>
      </c>
      <c r="G34" s="42">
        <v>29</v>
      </c>
      <c r="H34" s="42">
        <v>24</v>
      </c>
      <c r="I34" s="42"/>
      <c r="J34" s="42">
        <v>22</v>
      </c>
      <c r="K34" s="42">
        <v>20</v>
      </c>
      <c r="L34" s="42">
        <v>26</v>
      </c>
      <c r="M34" s="42">
        <v>36</v>
      </c>
      <c r="N34" s="42" t="s">
        <v>427</v>
      </c>
      <c r="O34" s="42">
        <f t="shared" si="0"/>
        <v>110</v>
      </c>
      <c r="P34" s="42">
        <f t="shared" si="1"/>
        <v>104</v>
      </c>
      <c r="Q34" s="42" t="str">
        <f t="shared" si="2"/>
        <v>HW</v>
      </c>
      <c r="R34" s="42" t="str">
        <f t="shared" si="3"/>
        <v>HW</v>
      </c>
      <c r="S34" s="42" t="str">
        <f t="shared" si="4"/>
        <v>HW</v>
      </c>
      <c r="T34" s="42" t="str">
        <f t="shared" si="5"/>
        <v>HL</v>
      </c>
      <c r="U34" s="42" t="str">
        <f t="shared" si="6"/>
        <v>U</v>
      </c>
      <c r="V34" s="42" t="str">
        <f t="shared" si="7"/>
        <v>U</v>
      </c>
      <c r="W34" s="42" t="str">
        <f t="shared" si="8"/>
        <v>O</v>
      </c>
      <c r="X34" s="42" t="str">
        <f t="shared" si="9"/>
        <v>O</v>
      </c>
      <c r="Y34" s="42"/>
      <c r="Z34" s="42">
        <v>54.5</v>
      </c>
      <c r="AA34" s="42" t="str">
        <f t="shared" si="10"/>
        <v>PHI/TOR</v>
      </c>
    </row>
    <row r="35" spans="1:27" x14ac:dyDescent="0.45">
      <c r="A35" s="42">
        <v>191209</v>
      </c>
      <c r="B35" s="44">
        <v>0.33333333333333331</v>
      </c>
      <c r="C35" s="42" t="s">
        <v>414</v>
      </c>
      <c r="D35" s="42" t="s">
        <v>415</v>
      </c>
      <c r="E35" s="42">
        <v>25</v>
      </c>
      <c r="F35" s="42">
        <v>39</v>
      </c>
      <c r="G35" s="42">
        <v>29</v>
      </c>
      <c r="H35" s="42">
        <v>26</v>
      </c>
      <c r="I35" s="42"/>
      <c r="J35" s="42">
        <v>35</v>
      </c>
      <c r="K35" s="42">
        <v>30</v>
      </c>
      <c r="L35" s="42">
        <v>35</v>
      </c>
      <c r="M35" s="42">
        <v>35</v>
      </c>
      <c r="N35" s="42" t="s">
        <v>427</v>
      </c>
      <c r="O35" s="42">
        <f t="shared" si="0"/>
        <v>119</v>
      </c>
      <c r="P35" s="42">
        <f t="shared" si="1"/>
        <v>135</v>
      </c>
      <c r="Q35" s="42" t="str">
        <f t="shared" si="2"/>
        <v>HL</v>
      </c>
      <c r="R35" s="42" t="str">
        <f t="shared" si="3"/>
        <v>HW</v>
      </c>
      <c r="S35" s="42" t="str">
        <f t="shared" si="4"/>
        <v>HL</v>
      </c>
      <c r="T35" s="42" t="str">
        <f t="shared" si="5"/>
        <v>HL</v>
      </c>
      <c r="U35" s="42" t="str">
        <f t="shared" si="6"/>
        <v>U</v>
      </c>
      <c r="V35" s="42" t="str">
        <f t="shared" si="7"/>
        <v>O</v>
      </c>
      <c r="W35" s="42" t="str">
        <f t="shared" si="8"/>
        <v>O</v>
      </c>
      <c r="X35" s="42" t="str">
        <f t="shared" si="9"/>
        <v>O</v>
      </c>
      <c r="Y35" s="42"/>
      <c r="Z35" s="42">
        <v>60.5</v>
      </c>
      <c r="AA35" s="42" t="str">
        <f t="shared" si="10"/>
        <v>WAS/LAC</v>
      </c>
    </row>
    <row r="36" spans="1:27" x14ac:dyDescent="0.45">
      <c r="A36" s="42">
        <v>191209</v>
      </c>
      <c r="B36" s="44">
        <v>0.375</v>
      </c>
      <c r="C36" s="42" t="s">
        <v>397</v>
      </c>
      <c r="D36" s="42" t="s">
        <v>416</v>
      </c>
      <c r="E36" s="42">
        <v>27</v>
      </c>
      <c r="F36" s="42">
        <v>19</v>
      </c>
      <c r="G36" s="42">
        <v>32</v>
      </c>
      <c r="H36" s="42">
        <v>28</v>
      </c>
      <c r="I36" s="42"/>
      <c r="J36" s="42">
        <v>36</v>
      </c>
      <c r="K36" s="42">
        <v>30</v>
      </c>
      <c r="L36" s="42">
        <v>26</v>
      </c>
      <c r="M36" s="42">
        <v>18</v>
      </c>
      <c r="N36" s="42" t="s">
        <v>427</v>
      </c>
      <c r="O36" s="42">
        <f t="shared" si="0"/>
        <v>106</v>
      </c>
      <c r="P36" s="42">
        <f t="shared" si="1"/>
        <v>110</v>
      </c>
      <c r="Q36" s="42" t="str">
        <f t="shared" si="2"/>
        <v>HL</v>
      </c>
      <c r="R36" s="42" t="str">
        <f t="shared" si="3"/>
        <v>HL</v>
      </c>
      <c r="S36" s="42" t="str">
        <f t="shared" si="4"/>
        <v>HW</v>
      </c>
      <c r="T36" s="42" t="str">
        <f t="shared" si="5"/>
        <v>HW</v>
      </c>
      <c r="U36" s="42" t="str">
        <f t="shared" si="6"/>
        <v>O</v>
      </c>
      <c r="V36" s="42" t="str">
        <f t="shared" si="7"/>
        <v>U</v>
      </c>
      <c r="W36" s="42" t="str">
        <f t="shared" si="8"/>
        <v>O</v>
      </c>
      <c r="X36" s="42" t="str">
        <f t="shared" si="9"/>
        <v>U</v>
      </c>
      <c r="Y36" s="42"/>
      <c r="Z36" s="42">
        <v>55.5</v>
      </c>
      <c r="AA36" s="42" t="str">
        <f t="shared" si="10"/>
        <v>DAL/SAC</v>
      </c>
    </row>
    <row r="37" spans="1:27" x14ac:dyDescent="0.45">
      <c r="A37" s="42">
        <v>191209</v>
      </c>
      <c r="B37" s="44">
        <v>0.45833333333333331</v>
      </c>
      <c r="C37" s="42" t="s">
        <v>417</v>
      </c>
      <c r="D37" s="42" t="s">
        <v>418</v>
      </c>
      <c r="E37" s="42">
        <v>20</v>
      </c>
      <c r="F37" s="42">
        <v>27</v>
      </c>
      <c r="G37" s="42">
        <v>31</v>
      </c>
      <c r="H37" s="42">
        <v>18</v>
      </c>
      <c r="I37" s="42"/>
      <c r="J37" s="42">
        <v>21</v>
      </c>
      <c r="K37" s="42">
        <v>34</v>
      </c>
      <c r="L37" s="42">
        <v>27</v>
      </c>
      <c r="M37" s="42">
        <v>26</v>
      </c>
      <c r="N37" s="42" t="s">
        <v>427</v>
      </c>
      <c r="O37" s="42">
        <f t="shared" si="0"/>
        <v>96</v>
      </c>
      <c r="P37" s="42">
        <f t="shared" si="1"/>
        <v>108</v>
      </c>
      <c r="Q37" s="42" t="str">
        <f t="shared" si="2"/>
        <v>HL</v>
      </c>
      <c r="R37" s="42" t="str">
        <f t="shared" si="3"/>
        <v>HL</v>
      </c>
      <c r="S37" s="42" t="str">
        <f t="shared" si="4"/>
        <v>HW</v>
      </c>
      <c r="T37" s="42" t="str">
        <f t="shared" si="5"/>
        <v>HL</v>
      </c>
      <c r="U37" s="42" t="str">
        <f t="shared" si="6"/>
        <v>U</v>
      </c>
      <c r="V37" s="42" t="str">
        <f t="shared" si="7"/>
        <v>O</v>
      </c>
      <c r="W37" s="42" t="str">
        <f t="shared" si="8"/>
        <v>O</v>
      </c>
      <c r="X37" s="42" t="str">
        <f t="shared" si="9"/>
        <v>U</v>
      </c>
      <c r="Y37" s="42"/>
      <c r="Z37" s="42">
        <v>57.5</v>
      </c>
      <c r="AA37" s="42" t="str">
        <f t="shared" si="10"/>
        <v>POR/OKC</v>
      </c>
    </row>
    <row r="38" spans="1:27" x14ac:dyDescent="0.45">
      <c r="A38" s="42">
        <v>191209</v>
      </c>
      <c r="B38" s="44">
        <v>0.47916666666666669</v>
      </c>
      <c r="C38" s="42" t="s">
        <v>419</v>
      </c>
      <c r="D38" s="42" t="s">
        <v>420</v>
      </c>
      <c r="E38" s="42">
        <v>39</v>
      </c>
      <c r="F38" s="42">
        <v>34</v>
      </c>
      <c r="G38" s="42">
        <v>37</v>
      </c>
      <c r="H38" s="42">
        <v>32</v>
      </c>
      <c r="I38" s="42"/>
      <c r="J38" s="42">
        <v>31</v>
      </c>
      <c r="K38" s="42">
        <v>34</v>
      </c>
      <c r="L38" s="42">
        <v>38</v>
      </c>
      <c r="M38" s="42">
        <v>22</v>
      </c>
      <c r="N38" s="42" t="s">
        <v>427</v>
      </c>
      <c r="O38" s="42">
        <f t="shared" si="0"/>
        <v>142</v>
      </c>
      <c r="P38" s="42">
        <f t="shared" si="1"/>
        <v>125</v>
      </c>
      <c r="Q38" s="42" t="str">
        <f t="shared" si="2"/>
        <v>HW</v>
      </c>
      <c r="R38" s="42" t="str">
        <f t="shared" si="3"/>
        <v>TT</v>
      </c>
      <c r="S38" s="42" t="str">
        <f t="shared" si="4"/>
        <v>HL</v>
      </c>
      <c r="T38" s="42" t="str">
        <f t="shared" si="5"/>
        <v>HW</v>
      </c>
      <c r="U38" s="42" t="str">
        <f t="shared" si="6"/>
        <v>O</v>
      </c>
      <c r="V38" s="42" t="str">
        <f t="shared" si="7"/>
        <v>O</v>
      </c>
      <c r="W38" s="42" t="str">
        <f t="shared" si="8"/>
        <v>O</v>
      </c>
      <c r="X38" s="42" t="str">
        <f t="shared" si="9"/>
        <v>U</v>
      </c>
      <c r="Y38" s="42"/>
      <c r="Z38" s="42">
        <v>58.5</v>
      </c>
      <c r="AA38" s="42" t="str">
        <f t="shared" si="10"/>
        <v>LAL/MIN</v>
      </c>
    </row>
    <row r="39" spans="1:27" x14ac:dyDescent="0.45">
      <c r="A39" s="42">
        <v>191210</v>
      </c>
      <c r="B39" s="44">
        <v>0.375</v>
      </c>
      <c r="C39" s="42" t="s">
        <v>400</v>
      </c>
      <c r="D39" s="42" t="s">
        <v>415</v>
      </c>
      <c r="E39" s="42">
        <v>19</v>
      </c>
      <c r="F39" s="42">
        <v>29</v>
      </c>
      <c r="G39" s="42">
        <v>25</v>
      </c>
      <c r="H39" s="42">
        <v>26</v>
      </c>
      <c r="I39" s="42"/>
      <c r="J39" s="42">
        <v>24</v>
      </c>
      <c r="K39" s="42">
        <v>36</v>
      </c>
      <c r="L39" s="42">
        <v>31</v>
      </c>
      <c r="M39" s="42">
        <v>19</v>
      </c>
      <c r="N39" s="42" t="s">
        <v>427</v>
      </c>
      <c r="O39" s="42">
        <f t="shared" si="0"/>
        <v>99</v>
      </c>
      <c r="P39" s="42">
        <f t="shared" si="1"/>
        <v>110</v>
      </c>
      <c r="Q39" s="42" t="str">
        <f t="shared" si="2"/>
        <v>HL</v>
      </c>
      <c r="R39" s="42" t="str">
        <f t="shared" si="3"/>
        <v>HL</v>
      </c>
      <c r="S39" s="42" t="str">
        <f t="shared" si="4"/>
        <v>HL</v>
      </c>
      <c r="T39" s="42" t="str">
        <f t="shared" si="5"/>
        <v>HW</v>
      </c>
      <c r="U39" s="42" t="str">
        <f t="shared" si="6"/>
        <v>U</v>
      </c>
      <c r="V39" s="42" t="str">
        <f t="shared" si="7"/>
        <v>O</v>
      </c>
      <c r="W39" s="42" t="str">
        <f t="shared" si="8"/>
        <v>T</v>
      </c>
      <c r="X39" s="42" t="str">
        <f t="shared" si="9"/>
        <v>U</v>
      </c>
      <c r="Y39" s="42"/>
      <c r="Z39" s="42">
        <v>56</v>
      </c>
      <c r="AA39" s="42" t="str">
        <f t="shared" si="10"/>
        <v>IND/LAC</v>
      </c>
    </row>
    <row r="40" spans="1:27" x14ac:dyDescent="0.45">
      <c r="A40" s="42">
        <v>191210</v>
      </c>
      <c r="B40" s="44">
        <v>0.39583333333333331</v>
      </c>
      <c r="C40" s="42" t="s">
        <v>421</v>
      </c>
      <c r="D40" s="42" t="s">
        <v>402</v>
      </c>
      <c r="E40" s="42">
        <v>29</v>
      </c>
      <c r="F40" s="42">
        <v>24</v>
      </c>
      <c r="G40" s="42">
        <v>30</v>
      </c>
      <c r="H40" s="42">
        <v>27</v>
      </c>
      <c r="I40" s="42"/>
      <c r="J40" s="42">
        <v>18</v>
      </c>
      <c r="K40" s="42">
        <v>22</v>
      </c>
      <c r="L40" s="42">
        <v>26</v>
      </c>
      <c r="M40" s="42">
        <v>22</v>
      </c>
      <c r="N40" s="42" t="s">
        <v>427</v>
      </c>
      <c r="O40" s="42">
        <f t="shared" si="0"/>
        <v>110</v>
      </c>
      <c r="P40" s="42">
        <f t="shared" si="1"/>
        <v>88</v>
      </c>
      <c r="Q40" s="42" t="str">
        <f t="shared" si="2"/>
        <v>HW</v>
      </c>
      <c r="R40" s="42" t="str">
        <f t="shared" si="3"/>
        <v>HW</v>
      </c>
      <c r="S40" s="42" t="str">
        <f t="shared" si="4"/>
        <v>HW</v>
      </c>
      <c r="T40" s="42" t="str">
        <f t="shared" si="5"/>
        <v>HW</v>
      </c>
      <c r="U40" s="42" t="str">
        <f t="shared" si="6"/>
        <v>U</v>
      </c>
      <c r="V40" s="42" t="str">
        <f t="shared" si="7"/>
        <v>U</v>
      </c>
      <c r="W40" s="42" t="str">
        <f t="shared" si="8"/>
        <v>O</v>
      </c>
      <c r="X40" s="42" t="str">
        <f t="shared" si="9"/>
        <v>U</v>
      </c>
      <c r="Y40" s="42"/>
      <c r="Z40" s="42">
        <v>52.5</v>
      </c>
      <c r="AA40" s="42" t="str">
        <f t="shared" si="10"/>
        <v>BOS/CLE</v>
      </c>
    </row>
    <row r="41" spans="1:27" x14ac:dyDescent="0.45">
      <c r="A41" s="42">
        <v>191210</v>
      </c>
      <c r="B41" s="44">
        <v>0.41666666666666669</v>
      </c>
      <c r="C41" s="42" t="s">
        <v>398</v>
      </c>
      <c r="D41" s="42" t="s">
        <v>422</v>
      </c>
      <c r="E41" s="42">
        <v>29</v>
      </c>
      <c r="F41" s="42">
        <v>24</v>
      </c>
      <c r="G41" s="42">
        <v>21</v>
      </c>
      <c r="H41" s="42">
        <v>29</v>
      </c>
      <c r="I41" s="42"/>
      <c r="J41" s="42">
        <v>25</v>
      </c>
      <c r="K41" s="42">
        <v>22</v>
      </c>
      <c r="L41" s="42">
        <v>34</v>
      </c>
      <c r="M41" s="42">
        <v>24</v>
      </c>
      <c r="N41" s="42" t="s">
        <v>427</v>
      </c>
      <c r="O41" s="42">
        <f t="shared" si="0"/>
        <v>103</v>
      </c>
      <c r="P41" s="42">
        <f t="shared" si="1"/>
        <v>105</v>
      </c>
      <c r="Q41" s="42" t="str">
        <f t="shared" si="2"/>
        <v>HW</v>
      </c>
      <c r="R41" s="42" t="str">
        <f t="shared" si="3"/>
        <v>HW</v>
      </c>
      <c r="S41" s="42" t="str">
        <f t="shared" si="4"/>
        <v>HL</v>
      </c>
      <c r="T41" s="42" t="str">
        <f t="shared" si="5"/>
        <v>HW</v>
      </c>
      <c r="U41" s="42" t="str">
        <f t="shared" si="6"/>
        <v>U</v>
      </c>
      <c r="V41" s="42" t="str">
        <f t="shared" si="7"/>
        <v>U</v>
      </c>
      <c r="W41" s="42" t="str">
        <f t="shared" si="8"/>
        <v>U</v>
      </c>
      <c r="X41" s="42" t="str">
        <f t="shared" si="9"/>
        <v>U</v>
      </c>
      <c r="Y41" s="42"/>
      <c r="Z41" s="42">
        <v>58</v>
      </c>
      <c r="AA41" s="42" t="str">
        <f t="shared" si="10"/>
        <v>NO/DET</v>
      </c>
    </row>
    <row r="42" spans="1:27" x14ac:dyDescent="0.45">
      <c r="A42" s="42">
        <v>191210</v>
      </c>
      <c r="B42" s="44">
        <v>0.41666666666666669</v>
      </c>
      <c r="C42" s="42" t="s">
        <v>412</v>
      </c>
      <c r="D42" s="42" t="s">
        <v>413</v>
      </c>
      <c r="E42" s="42">
        <v>30</v>
      </c>
      <c r="F42" s="42">
        <v>21</v>
      </c>
      <c r="G42" s="42">
        <v>20</v>
      </c>
      <c r="H42" s="42">
        <v>21</v>
      </c>
      <c r="I42" s="42"/>
      <c r="J42" s="42">
        <v>30</v>
      </c>
      <c r="K42" s="42">
        <v>19</v>
      </c>
      <c r="L42" s="42">
        <v>22</v>
      </c>
      <c r="M42" s="42">
        <v>22</v>
      </c>
      <c r="N42" s="42" t="s">
        <v>427</v>
      </c>
      <c r="O42" s="42">
        <f t="shared" si="0"/>
        <v>92</v>
      </c>
      <c r="P42" s="42">
        <f t="shared" si="1"/>
        <v>93</v>
      </c>
      <c r="Q42" s="42" t="str">
        <f t="shared" si="2"/>
        <v>TT</v>
      </c>
      <c r="R42" s="42" t="str">
        <f t="shared" si="3"/>
        <v>HW</v>
      </c>
      <c r="S42" s="42" t="str">
        <f t="shared" si="4"/>
        <v>HL</v>
      </c>
      <c r="T42" s="42" t="str">
        <f t="shared" si="5"/>
        <v>HL</v>
      </c>
      <c r="U42" s="42" t="str">
        <f t="shared" si="6"/>
        <v>O</v>
      </c>
      <c r="V42" s="42" t="str">
        <f t="shared" si="7"/>
        <v>U</v>
      </c>
      <c r="W42" s="42" t="str">
        <f t="shared" si="8"/>
        <v>U</v>
      </c>
      <c r="X42" s="42" t="str">
        <f t="shared" si="9"/>
        <v>U</v>
      </c>
      <c r="Y42" s="42"/>
      <c r="Z42" s="42">
        <v>55</v>
      </c>
      <c r="AA42" s="42" t="str">
        <f t="shared" si="10"/>
        <v>CHI/TOR</v>
      </c>
    </row>
    <row r="43" spans="1:27" x14ac:dyDescent="0.45">
      <c r="A43" s="42">
        <v>191210</v>
      </c>
      <c r="B43" s="44">
        <v>0.41666666666666669</v>
      </c>
      <c r="C43" s="42" t="s">
        <v>403</v>
      </c>
      <c r="D43" s="42" t="s">
        <v>416</v>
      </c>
      <c r="E43" s="42">
        <v>28</v>
      </c>
      <c r="F43" s="42">
        <v>36</v>
      </c>
      <c r="G43" s="42">
        <v>29</v>
      </c>
      <c r="H43" s="42">
        <v>25</v>
      </c>
      <c r="I43" s="42"/>
      <c r="J43" s="42">
        <v>32</v>
      </c>
      <c r="K43" s="42">
        <v>27</v>
      </c>
      <c r="L43" s="42">
        <v>35</v>
      </c>
      <c r="M43" s="42">
        <v>25</v>
      </c>
      <c r="N43" s="42" t="s">
        <v>427</v>
      </c>
      <c r="O43" s="42">
        <f t="shared" si="0"/>
        <v>118</v>
      </c>
      <c r="P43" s="42">
        <f t="shared" si="1"/>
        <v>119</v>
      </c>
      <c r="Q43" s="42" t="str">
        <f t="shared" si="2"/>
        <v>HL</v>
      </c>
      <c r="R43" s="42" t="str">
        <f t="shared" si="3"/>
        <v>HW</v>
      </c>
      <c r="S43" s="42" t="str">
        <f t="shared" si="4"/>
        <v>HL</v>
      </c>
      <c r="T43" s="42" t="str">
        <f t="shared" si="5"/>
        <v>TT</v>
      </c>
      <c r="U43" s="42" t="str">
        <f t="shared" si="6"/>
        <v>O</v>
      </c>
      <c r="V43" s="42" t="str">
        <f t="shared" si="7"/>
        <v>O</v>
      </c>
      <c r="W43" s="42" t="str">
        <f t="shared" si="8"/>
        <v>O</v>
      </c>
      <c r="X43" s="42" t="str">
        <f t="shared" si="9"/>
        <v>U</v>
      </c>
      <c r="Y43" s="42"/>
      <c r="Z43" s="42">
        <v>58</v>
      </c>
      <c r="AA43" s="42" t="str">
        <f t="shared" si="10"/>
        <v>HOU/SAC</v>
      </c>
    </row>
    <row r="44" spans="1:27" x14ac:dyDescent="0.45">
      <c r="A44" s="42">
        <v>191210</v>
      </c>
      <c r="B44" s="44">
        <v>0.41666666666666669</v>
      </c>
      <c r="C44" s="42" t="s">
        <v>423</v>
      </c>
      <c r="D44" s="42" t="s">
        <v>424</v>
      </c>
      <c r="E44" s="42">
        <v>31</v>
      </c>
      <c r="F44" s="42">
        <v>21</v>
      </c>
      <c r="G44" s="42">
        <v>28</v>
      </c>
      <c r="H44" s="42">
        <v>30</v>
      </c>
      <c r="I44" s="42"/>
      <c r="J44" s="42">
        <v>20</v>
      </c>
      <c r="K44" s="42">
        <v>20</v>
      </c>
      <c r="L44" s="42">
        <v>33</v>
      </c>
      <c r="M44" s="42">
        <v>28</v>
      </c>
      <c r="N44" s="42" t="s">
        <v>427</v>
      </c>
      <c r="O44" s="42">
        <f t="shared" si="0"/>
        <v>110</v>
      </c>
      <c r="P44" s="42">
        <f t="shared" si="1"/>
        <v>101</v>
      </c>
      <c r="Q44" s="42" t="str">
        <f t="shared" si="2"/>
        <v>HW</v>
      </c>
      <c r="R44" s="42" t="str">
        <f t="shared" si="3"/>
        <v>HW</v>
      </c>
      <c r="S44" s="42" t="str">
        <f t="shared" si="4"/>
        <v>HL</v>
      </c>
      <c r="T44" s="42" t="str">
        <f t="shared" si="5"/>
        <v>HW</v>
      </c>
      <c r="U44" s="42" t="str">
        <f t="shared" si="6"/>
        <v>U</v>
      </c>
      <c r="V44" s="42" t="str">
        <f t="shared" si="7"/>
        <v>U</v>
      </c>
      <c r="W44" s="42" t="str">
        <f t="shared" si="8"/>
        <v>O</v>
      </c>
      <c r="X44" s="42" t="str">
        <f t="shared" si="9"/>
        <v>O</v>
      </c>
      <c r="Y44" s="42"/>
      <c r="Z44" s="42">
        <v>56.5</v>
      </c>
      <c r="AA44" s="42" t="str">
        <f t="shared" si="10"/>
        <v>MIL/ORL</v>
      </c>
    </row>
    <row r="45" spans="1:27" x14ac:dyDescent="0.45">
      <c r="A45" s="42">
        <v>191210</v>
      </c>
      <c r="B45" s="44">
        <v>0.45833333333333331</v>
      </c>
      <c r="C45" s="42" t="s">
        <v>404</v>
      </c>
      <c r="D45" s="42" t="s">
        <v>420</v>
      </c>
      <c r="E45" s="42">
        <v>33</v>
      </c>
      <c r="F45" s="42">
        <v>28</v>
      </c>
      <c r="G45" s="42">
        <v>33</v>
      </c>
      <c r="H45" s="42">
        <v>31</v>
      </c>
      <c r="I45" s="42"/>
      <c r="J45" s="42">
        <v>31</v>
      </c>
      <c r="K45" s="42">
        <v>33</v>
      </c>
      <c r="L45" s="42">
        <v>21</v>
      </c>
      <c r="M45" s="42">
        <v>24</v>
      </c>
      <c r="N45" s="42" t="s">
        <v>427</v>
      </c>
      <c r="O45" s="42">
        <f t="shared" si="0"/>
        <v>125</v>
      </c>
      <c r="P45" s="42">
        <f t="shared" si="1"/>
        <v>109</v>
      </c>
      <c r="Q45" s="42" t="str">
        <f t="shared" si="2"/>
        <v>HW</v>
      </c>
      <c r="R45" s="42" t="str">
        <f t="shared" si="3"/>
        <v>HL</v>
      </c>
      <c r="S45" s="42" t="str">
        <f t="shared" si="4"/>
        <v>HW</v>
      </c>
      <c r="T45" s="42" t="str">
        <f t="shared" si="5"/>
        <v>HW</v>
      </c>
      <c r="U45" s="42" t="str">
        <f t="shared" si="6"/>
        <v>O</v>
      </c>
      <c r="V45" s="42" t="str">
        <f t="shared" si="7"/>
        <v>O</v>
      </c>
      <c r="W45" s="42" t="str">
        <f t="shared" si="8"/>
        <v>U</v>
      </c>
      <c r="X45" s="42" t="str">
        <f t="shared" si="9"/>
        <v>U</v>
      </c>
      <c r="Y45" s="42"/>
      <c r="Z45" s="42">
        <v>60</v>
      </c>
      <c r="AA45" s="42" t="str">
        <f t="shared" si="10"/>
        <v>PHO/MIN</v>
      </c>
    </row>
    <row r="46" spans="1:27" x14ac:dyDescent="0.45">
      <c r="A46" s="42">
        <v>191210</v>
      </c>
      <c r="B46" s="44">
        <v>0.45833333333333331</v>
      </c>
      <c r="C46" s="42" t="s">
        <v>405</v>
      </c>
      <c r="D46" s="42" t="s">
        <v>418</v>
      </c>
      <c r="E46" s="42">
        <v>24</v>
      </c>
      <c r="F46" s="42">
        <v>23</v>
      </c>
      <c r="G46" s="42">
        <v>21</v>
      </c>
      <c r="H46" s="42">
        <v>22</v>
      </c>
      <c r="I46" s="42"/>
      <c r="J46" s="42">
        <v>25</v>
      </c>
      <c r="K46" s="42">
        <v>26</v>
      </c>
      <c r="L46" s="42">
        <v>34</v>
      </c>
      <c r="M46" s="42">
        <v>19</v>
      </c>
      <c r="N46" s="42" t="s">
        <v>427</v>
      </c>
      <c r="O46" s="42">
        <f t="shared" si="0"/>
        <v>90</v>
      </c>
      <c r="P46" s="42">
        <f t="shared" si="1"/>
        <v>104</v>
      </c>
      <c r="Q46" s="42" t="str">
        <f t="shared" si="2"/>
        <v>HL</v>
      </c>
      <c r="R46" s="42" t="str">
        <f t="shared" si="3"/>
        <v>HL</v>
      </c>
      <c r="S46" s="42" t="str">
        <f t="shared" si="4"/>
        <v>HL</v>
      </c>
      <c r="T46" s="42" t="str">
        <f t="shared" si="5"/>
        <v>HW</v>
      </c>
      <c r="U46" s="42" t="str">
        <f t="shared" si="6"/>
        <v>U</v>
      </c>
      <c r="V46" s="42" t="str">
        <f t="shared" si="7"/>
        <v>U</v>
      </c>
      <c r="W46" s="42" t="str">
        <f t="shared" si="8"/>
        <v>O</v>
      </c>
      <c r="X46" s="42" t="str">
        <f t="shared" si="9"/>
        <v>U</v>
      </c>
      <c r="Y46" s="42"/>
      <c r="Z46" s="42">
        <v>53.5</v>
      </c>
      <c r="AA46" s="42" t="str">
        <f t="shared" si="10"/>
        <v>UTA/OKC</v>
      </c>
    </row>
    <row r="47" spans="1:27" x14ac:dyDescent="0.45">
      <c r="A47" s="42">
        <v>191210</v>
      </c>
      <c r="B47" s="44">
        <v>0.52083333333333337</v>
      </c>
      <c r="C47" s="42" t="s">
        <v>425</v>
      </c>
      <c r="D47" s="42" t="s">
        <v>406</v>
      </c>
      <c r="E47" s="42">
        <v>20</v>
      </c>
      <c r="F47" s="42">
        <v>27</v>
      </c>
      <c r="G47" s="42">
        <v>32</v>
      </c>
      <c r="H47" s="42">
        <v>23</v>
      </c>
      <c r="I47" s="42"/>
      <c r="J47" s="42">
        <v>29</v>
      </c>
      <c r="K47" s="42">
        <v>25</v>
      </c>
      <c r="L47" s="42">
        <v>34</v>
      </c>
      <c r="M47" s="42">
        <v>22</v>
      </c>
      <c r="N47" s="42" t="s">
        <v>427</v>
      </c>
      <c r="O47" s="42">
        <f t="shared" si="0"/>
        <v>102</v>
      </c>
      <c r="P47" s="42">
        <f t="shared" si="1"/>
        <v>110</v>
      </c>
      <c r="Q47" s="42" t="str">
        <f t="shared" si="2"/>
        <v>HL</v>
      </c>
      <c r="R47" s="42" t="str">
        <f t="shared" si="3"/>
        <v>HW</v>
      </c>
      <c r="S47" s="42" t="str">
        <f t="shared" si="4"/>
        <v>HL</v>
      </c>
      <c r="T47" s="42" t="str">
        <f t="shared" si="5"/>
        <v>HW</v>
      </c>
      <c r="U47" s="42" t="str">
        <f t="shared" si="6"/>
        <v>U</v>
      </c>
      <c r="V47" s="42" t="str">
        <f t="shared" si="7"/>
        <v>U</v>
      </c>
      <c r="W47" s="42" t="str">
        <f t="shared" si="8"/>
        <v>O</v>
      </c>
      <c r="X47" s="42" t="str">
        <f t="shared" si="9"/>
        <v>U</v>
      </c>
      <c r="Y47" s="42"/>
      <c r="Z47" s="42">
        <v>54</v>
      </c>
      <c r="AA47" s="42" t="str">
        <f t="shared" si="10"/>
        <v>GS/MEM</v>
      </c>
    </row>
    <row r="48" spans="1:27" x14ac:dyDescent="0.45">
      <c r="A48" s="42">
        <v>191211</v>
      </c>
      <c r="B48" s="44">
        <v>0.375</v>
      </c>
      <c r="C48" s="42" t="s">
        <v>409</v>
      </c>
      <c r="D48" s="42" t="s">
        <v>414</v>
      </c>
      <c r="E48" s="42">
        <v>28</v>
      </c>
      <c r="F48" s="42">
        <v>25</v>
      </c>
      <c r="G48" s="42">
        <v>29</v>
      </c>
      <c r="H48" s="42">
        <v>32</v>
      </c>
      <c r="I48" s="42"/>
      <c r="J48" s="42">
        <v>20</v>
      </c>
      <c r="K48" s="42">
        <v>28</v>
      </c>
      <c r="L48" s="42">
        <v>27</v>
      </c>
      <c r="M48" s="42">
        <v>32</v>
      </c>
      <c r="N48" s="42" t="s">
        <v>427</v>
      </c>
      <c r="O48" s="42">
        <f t="shared" si="0"/>
        <v>114</v>
      </c>
      <c r="P48" s="42">
        <f t="shared" si="1"/>
        <v>107</v>
      </c>
      <c r="Q48" s="42" t="str">
        <f t="shared" si="2"/>
        <v>HW</v>
      </c>
      <c r="R48" s="42" t="str">
        <f t="shared" si="3"/>
        <v>HL</v>
      </c>
      <c r="S48" s="42" t="str">
        <f t="shared" si="4"/>
        <v>HW</v>
      </c>
      <c r="T48" s="42" t="str">
        <f t="shared" si="5"/>
        <v>TT</v>
      </c>
      <c r="U48" s="42" t="str">
        <f t="shared" si="6"/>
        <v>U</v>
      </c>
      <c r="V48" s="42" t="str">
        <f t="shared" si="7"/>
        <v>U</v>
      </c>
      <c r="W48" s="42" t="str">
        <f t="shared" si="8"/>
        <v>U</v>
      </c>
      <c r="X48" s="42" t="str">
        <f t="shared" si="9"/>
        <v>O</v>
      </c>
      <c r="Y48" s="42"/>
      <c r="Z48" s="42">
        <v>59</v>
      </c>
      <c r="AA48" s="42" t="str">
        <f t="shared" si="10"/>
        <v>CHA/WAS</v>
      </c>
    </row>
    <row r="49" spans="1:27" x14ac:dyDescent="0.45">
      <c r="A49" s="42">
        <v>191211</v>
      </c>
      <c r="B49" s="44">
        <v>0.41666666666666669</v>
      </c>
      <c r="C49" s="42" t="s">
        <v>411</v>
      </c>
      <c r="D49" s="42" t="s">
        <v>410</v>
      </c>
      <c r="E49" s="42">
        <v>36</v>
      </c>
      <c r="F49" s="42">
        <v>30</v>
      </c>
      <c r="G49" s="42">
        <v>27</v>
      </c>
      <c r="H49" s="42">
        <v>24</v>
      </c>
      <c r="I49" s="42">
        <v>18</v>
      </c>
      <c r="J49" s="42">
        <v>30</v>
      </c>
      <c r="K49" s="42">
        <v>34</v>
      </c>
      <c r="L49" s="42">
        <v>32</v>
      </c>
      <c r="M49" s="42">
        <v>21</v>
      </c>
      <c r="N49" s="42">
        <v>4</v>
      </c>
      <c r="O49" s="42">
        <f t="shared" si="0"/>
        <v>135</v>
      </c>
      <c r="P49" s="42">
        <f t="shared" si="1"/>
        <v>121</v>
      </c>
      <c r="Q49" s="42" t="str">
        <f t="shared" si="2"/>
        <v>HW</v>
      </c>
      <c r="R49" s="42" t="str">
        <f t="shared" si="3"/>
        <v>HL</v>
      </c>
      <c r="S49" s="42" t="str">
        <f t="shared" si="4"/>
        <v>HL</v>
      </c>
      <c r="T49" s="42" t="str">
        <f t="shared" si="5"/>
        <v>HW</v>
      </c>
      <c r="U49" s="42" t="str">
        <f t="shared" si="6"/>
        <v>O</v>
      </c>
      <c r="V49" s="42" t="str">
        <f t="shared" si="7"/>
        <v>O</v>
      </c>
      <c r="W49" s="42" t="str">
        <f t="shared" si="8"/>
        <v>O</v>
      </c>
      <c r="X49" s="42" t="str">
        <f t="shared" si="9"/>
        <v>U</v>
      </c>
      <c r="Y49" s="42"/>
      <c r="Z49" s="42">
        <v>56.5</v>
      </c>
      <c r="AA49" s="42" t="str">
        <f t="shared" si="10"/>
        <v>MIA/ATL</v>
      </c>
    </row>
    <row r="50" spans="1:27" x14ac:dyDescent="0.45">
      <c r="A50" s="42">
        <v>191211</v>
      </c>
      <c r="B50" s="44">
        <v>0.41666666666666669</v>
      </c>
      <c r="C50" s="42" t="s">
        <v>401</v>
      </c>
      <c r="D50" s="42" t="s">
        <v>408</v>
      </c>
      <c r="E50" s="42">
        <v>26</v>
      </c>
      <c r="F50" s="42">
        <v>29</v>
      </c>
      <c r="G50" s="42">
        <v>28</v>
      </c>
      <c r="H50" s="42">
        <v>14</v>
      </c>
      <c r="I50" s="42"/>
      <c r="J50" s="42">
        <v>27</v>
      </c>
      <c r="K50" s="42">
        <v>23</v>
      </c>
      <c r="L50" s="42">
        <v>26</v>
      </c>
      <c r="M50" s="42">
        <v>16</v>
      </c>
      <c r="N50" s="42" t="s">
        <v>427</v>
      </c>
      <c r="O50" s="42">
        <f t="shared" si="0"/>
        <v>97</v>
      </c>
      <c r="P50" s="42">
        <f t="shared" si="1"/>
        <v>92</v>
      </c>
      <c r="Q50" s="42" t="str">
        <f t="shared" si="2"/>
        <v>HL</v>
      </c>
      <c r="R50" s="42" t="str">
        <f t="shared" si="3"/>
        <v>HW</v>
      </c>
      <c r="S50" s="42" t="str">
        <f t="shared" si="4"/>
        <v>HW</v>
      </c>
      <c r="T50" s="42" t="str">
        <f t="shared" si="5"/>
        <v>HL</v>
      </c>
      <c r="U50" s="42" t="str">
        <f t="shared" si="6"/>
        <v>U</v>
      </c>
      <c r="V50" s="42" t="str">
        <f t="shared" si="7"/>
        <v>U</v>
      </c>
      <c r="W50" s="42" t="str">
        <f t="shared" si="8"/>
        <v>O</v>
      </c>
      <c r="X50" s="42" t="str">
        <f t="shared" si="9"/>
        <v>U</v>
      </c>
      <c r="Y50" s="42"/>
      <c r="Z50" s="42">
        <v>53.5</v>
      </c>
      <c r="AA50" s="42" t="str">
        <f t="shared" si="10"/>
        <v>PHI/DEN</v>
      </c>
    </row>
    <row r="51" spans="1:27" x14ac:dyDescent="0.45">
      <c r="A51" s="42">
        <v>191211</v>
      </c>
      <c r="B51" s="44">
        <v>0.5</v>
      </c>
      <c r="C51" s="42" t="s">
        <v>417</v>
      </c>
      <c r="D51" s="42" t="s">
        <v>399</v>
      </c>
      <c r="E51" s="42">
        <v>32</v>
      </c>
      <c r="F51" s="42">
        <v>28</v>
      </c>
      <c r="G51" s="42">
        <v>26</v>
      </c>
      <c r="H51" s="42">
        <v>29</v>
      </c>
      <c r="I51" s="42"/>
      <c r="J51" s="42">
        <v>22</v>
      </c>
      <c r="K51" s="42">
        <v>19</v>
      </c>
      <c r="L51" s="42">
        <v>18</v>
      </c>
      <c r="M51" s="42">
        <v>28</v>
      </c>
      <c r="N51" s="42" t="s">
        <v>427</v>
      </c>
      <c r="O51" s="42">
        <f t="shared" si="0"/>
        <v>115</v>
      </c>
      <c r="P51" s="42">
        <f t="shared" si="1"/>
        <v>87</v>
      </c>
      <c r="Q51" s="42" t="str">
        <f t="shared" si="2"/>
        <v>HW</v>
      </c>
      <c r="R51" s="42" t="str">
        <f t="shared" si="3"/>
        <v>HW</v>
      </c>
      <c r="S51" s="42" t="str">
        <f t="shared" si="4"/>
        <v>HW</v>
      </c>
      <c r="T51" s="42" t="str">
        <f t="shared" si="5"/>
        <v>HW</v>
      </c>
      <c r="U51" s="42" t="str">
        <f t="shared" si="6"/>
        <v>U</v>
      </c>
      <c r="V51" s="42" t="str">
        <f t="shared" si="7"/>
        <v>U</v>
      </c>
      <c r="W51" s="42" t="str">
        <f t="shared" si="8"/>
        <v>U</v>
      </c>
      <c r="X51" s="42" t="str">
        <f t="shared" si="9"/>
        <v>T</v>
      </c>
      <c r="Y51" s="42"/>
      <c r="Z51" s="42">
        <v>57</v>
      </c>
      <c r="AA51" s="42" t="str">
        <f t="shared" si="10"/>
        <v>POR/NYK</v>
      </c>
    </row>
    <row r="52" spans="1:27" x14ac:dyDescent="0.45">
      <c r="A52" s="42">
        <v>191212</v>
      </c>
      <c r="B52" s="44">
        <v>0.375</v>
      </c>
      <c r="C52" s="42" t="s">
        <v>402</v>
      </c>
      <c r="D52" s="42" t="s">
        <v>403</v>
      </c>
      <c r="E52" s="42">
        <v>29</v>
      </c>
      <c r="F52" s="42">
        <v>28</v>
      </c>
      <c r="G52" s="42">
        <v>25</v>
      </c>
      <c r="H52" s="42">
        <v>28</v>
      </c>
      <c r="I52" s="42"/>
      <c r="J52" s="42">
        <v>35</v>
      </c>
      <c r="K52" s="42">
        <v>29</v>
      </c>
      <c r="L52" s="42">
        <v>24</v>
      </c>
      <c r="M52" s="42">
        <v>28</v>
      </c>
      <c r="N52" s="42" t="s">
        <v>427</v>
      </c>
      <c r="O52" s="42">
        <f t="shared" si="0"/>
        <v>110</v>
      </c>
      <c r="P52" s="42">
        <f t="shared" si="1"/>
        <v>116</v>
      </c>
      <c r="Q52" s="42" t="str">
        <f t="shared" si="2"/>
        <v>HL</v>
      </c>
      <c r="R52" s="42" t="str">
        <f t="shared" si="3"/>
        <v>HL</v>
      </c>
      <c r="S52" s="42" t="str">
        <f t="shared" si="4"/>
        <v>HW</v>
      </c>
      <c r="T52" s="42" t="str">
        <f t="shared" si="5"/>
        <v>TT</v>
      </c>
      <c r="U52" s="42" t="str">
        <f t="shared" si="6"/>
        <v>O</v>
      </c>
      <c r="V52" s="42" t="str">
        <f t="shared" si="7"/>
        <v>U</v>
      </c>
      <c r="W52" s="42" t="str">
        <f t="shared" si="8"/>
        <v>U</v>
      </c>
      <c r="X52" s="42" t="str">
        <f t="shared" si="9"/>
        <v>U</v>
      </c>
      <c r="Y52" s="42"/>
      <c r="Z52" s="42">
        <v>59</v>
      </c>
      <c r="AA52" s="42" t="str">
        <f t="shared" si="10"/>
        <v>CLE/HOU</v>
      </c>
    </row>
    <row r="53" spans="1:27" x14ac:dyDescent="0.45">
      <c r="A53" s="42">
        <v>191212</v>
      </c>
      <c r="B53" s="44">
        <v>0.375</v>
      </c>
      <c r="C53" s="42" t="s">
        <v>400</v>
      </c>
      <c r="D53" s="42" t="s">
        <v>421</v>
      </c>
      <c r="E53" s="42">
        <v>30</v>
      </c>
      <c r="F53" s="42">
        <v>31</v>
      </c>
      <c r="G53" s="42">
        <v>23</v>
      </c>
      <c r="H53" s="42">
        <v>38</v>
      </c>
      <c r="I53" s="42"/>
      <c r="J53" s="42">
        <v>32</v>
      </c>
      <c r="K53" s="42">
        <v>25</v>
      </c>
      <c r="L53" s="42">
        <v>37</v>
      </c>
      <c r="M53" s="42">
        <v>23</v>
      </c>
      <c r="N53" s="42" t="s">
        <v>427</v>
      </c>
      <c r="O53" s="42">
        <f t="shared" si="0"/>
        <v>122</v>
      </c>
      <c r="P53" s="42">
        <f t="shared" si="1"/>
        <v>117</v>
      </c>
      <c r="Q53" s="42" t="str">
        <f t="shared" si="2"/>
        <v>HL</v>
      </c>
      <c r="R53" s="42" t="str">
        <f t="shared" si="3"/>
        <v>HW</v>
      </c>
      <c r="S53" s="42" t="str">
        <f t="shared" si="4"/>
        <v>HL</v>
      </c>
      <c r="T53" s="42" t="str">
        <f t="shared" si="5"/>
        <v>HW</v>
      </c>
      <c r="U53" s="42" t="str">
        <f t="shared" si="6"/>
        <v>O</v>
      </c>
      <c r="V53" s="42" t="str">
        <f t="shared" si="7"/>
        <v>O</v>
      </c>
      <c r="W53" s="42" t="str">
        <f t="shared" si="8"/>
        <v>O</v>
      </c>
      <c r="X53" s="42" t="str">
        <f t="shared" si="9"/>
        <v>O</v>
      </c>
      <c r="Y53" s="42"/>
      <c r="Z53" s="42">
        <v>51.5</v>
      </c>
      <c r="AA53" s="42" t="str">
        <f t="shared" si="10"/>
        <v>IND/BOS</v>
      </c>
    </row>
    <row r="54" spans="1:27" x14ac:dyDescent="0.45">
      <c r="A54" s="42">
        <v>191212</v>
      </c>
      <c r="B54" s="44">
        <v>0.375</v>
      </c>
      <c r="C54" s="42" t="s">
        <v>424</v>
      </c>
      <c r="D54" s="42" t="s">
        <v>419</v>
      </c>
      <c r="E54" s="42">
        <v>9</v>
      </c>
      <c r="F54" s="42">
        <v>29</v>
      </c>
      <c r="G54" s="42">
        <v>27</v>
      </c>
      <c r="H54" s="42">
        <v>22</v>
      </c>
      <c r="I54" s="42"/>
      <c r="J54" s="42">
        <v>26</v>
      </c>
      <c r="K54" s="42">
        <v>25</v>
      </c>
      <c r="L54" s="42">
        <v>18</v>
      </c>
      <c r="M54" s="42">
        <v>27</v>
      </c>
      <c r="N54" s="42" t="s">
        <v>427</v>
      </c>
      <c r="O54" s="42">
        <f t="shared" si="0"/>
        <v>87</v>
      </c>
      <c r="P54" s="42">
        <f t="shared" si="1"/>
        <v>96</v>
      </c>
      <c r="Q54" s="42" t="str">
        <f t="shared" si="2"/>
        <v>HL</v>
      </c>
      <c r="R54" s="42" t="str">
        <f t="shared" si="3"/>
        <v>HW</v>
      </c>
      <c r="S54" s="42" t="str">
        <f t="shared" si="4"/>
        <v>HW</v>
      </c>
      <c r="T54" s="42" t="str">
        <f t="shared" si="5"/>
        <v>HL</v>
      </c>
      <c r="U54" s="42" t="str">
        <f t="shared" si="6"/>
        <v>U</v>
      </c>
      <c r="V54" s="42" t="str">
        <f t="shared" si="7"/>
        <v>U</v>
      </c>
      <c r="W54" s="42" t="str">
        <f t="shared" si="8"/>
        <v>U</v>
      </c>
      <c r="X54" s="42" t="str">
        <f t="shared" si="9"/>
        <v>U</v>
      </c>
      <c r="Y54" s="42"/>
      <c r="Z54" s="42">
        <v>55</v>
      </c>
      <c r="AA54" s="42" t="str">
        <f t="shared" si="10"/>
        <v>ORL/LAL</v>
      </c>
    </row>
    <row r="55" spans="1:27" x14ac:dyDescent="0.45">
      <c r="A55" s="42">
        <v>191212</v>
      </c>
      <c r="B55" s="44">
        <v>0.375</v>
      </c>
      <c r="C55" s="42" t="s">
        <v>413</v>
      </c>
      <c r="D55" s="42" t="s">
        <v>415</v>
      </c>
      <c r="E55" s="42">
        <v>32</v>
      </c>
      <c r="F55" s="42">
        <v>14</v>
      </c>
      <c r="G55" s="42">
        <v>25</v>
      </c>
      <c r="H55" s="42">
        <v>21</v>
      </c>
      <c r="I55" s="42"/>
      <c r="J55" s="42">
        <v>27</v>
      </c>
      <c r="K55" s="42">
        <v>37</v>
      </c>
      <c r="L55" s="42">
        <v>24</v>
      </c>
      <c r="M55" s="42">
        <v>24</v>
      </c>
      <c r="N55" s="42" t="s">
        <v>427</v>
      </c>
      <c r="O55" s="42">
        <f t="shared" si="0"/>
        <v>92</v>
      </c>
      <c r="P55" s="42">
        <f t="shared" si="1"/>
        <v>112</v>
      </c>
      <c r="Q55" s="42" t="str">
        <f t="shared" si="2"/>
        <v>HW</v>
      </c>
      <c r="R55" s="42" t="str">
        <f t="shared" si="3"/>
        <v>HL</v>
      </c>
      <c r="S55" s="42" t="str">
        <f t="shared" si="4"/>
        <v>HW</v>
      </c>
      <c r="T55" s="42" t="str">
        <f t="shared" si="5"/>
        <v>HL</v>
      </c>
      <c r="U55" s="42" t="str">
        <f t="shared" si="6"/>
        <v>O</v>
      </c>
      <c r="V55" s="42" t="str">
        <f t="shared" si="7"/>
        <v>U</v>
      </c>
      <c r="W55" s="42" t="str">
        <f t="shared" si="8"/>
        <v>U</v>
      </c>
      <c r="X55" s="42" t="str">
        <f t="shared" si="9"/>
        <v>U</v>
      </c>
      <c r="Y55" s="42"/>
      <c r="Z55" s="42">
        <v>57</v>
      </c>
      <c r="AA55" s="42" t="str">
        <f t="shared" si="10"/>
        <v>TOR/LAC</v>
      </c>
    </row>
    <row r="56" spans="1:27" x14ac:dyDescent="0.45">
      <c r="A56" s="42">
        <v>191212</v>
      </c>
      <c r="B56" s="44">
        <v>0.39583333333333331</v>
      </c>
      <c r="C56" s="42" t="s">
        <v>407</v>
      </c>
      <c r="D56" s="42" t="s">
        <v>409</v>
      </c>
      <c r="E56" s="42">
        <v>34</v>
      </c>
      <c r="F56" s="42">
        <v>30</v>
      </c>
      <c r="G56" s="42">
        <v>22</v>
      </c>
      <c r="H56" s="42">
        <v>22</v>
      </c>
      <c r="I56" s="42"/>
      <c r="J56" s="42">
        <v>26</v>
      </c>
      <c r="K56" s="42">
        <v>27</v>
      </c>
      <c r="L56" s="42">
        <v>31</v>
      </c>
      <c r="M56" s="42">
        <v>29</v>
      </c>
      <c r="N56" s="42" t="s">
        <v>427</v>
      </c>
      <c r="O56" s="42">
        <f t="shared" si="0"/>
        <v>108</v>
      </c>
      <c r="P56" s="42">
        <f t="shared" si="1"/>
        <v>113</v>
      </c>
      <c r="Q56" s="42" t="str">
        <f t="shared" si="2"/>
        <v>HW</v>
      </c>
      <c r="R56" s="42" t="str">
        <f t="shared" si="3"/>
        <v>HW</v>
      </c>
      <c r="S56" s="42" t="str">
        <f t="shared" si="4"/>
        <v>HL</v>
      </c>
      <c r="T56" s="42" t="str">
        <f t="shared" si="5"/>
        <v>HL</v>
      </c>
      <c r="U56" s="42" t="str">
        <f t="shared" si="6"/>
        <v>O</v>
      </c>
      <c r="V56" s="42" t="str">
        <f t="shared" si="7"/>
        <v>O</v>
      </c>
      <c r="W56" s="42" t="str">
        <f t="shared" si="8"/>
        <v>U</v>
      </c>
      <c r="X56" s="42" t="str">
        <f t="shared" si="9"/>
        <v>U</v>
      </c>
      <c r="Y56" s="42"/>
      <c r="Z56" s="42">
        <v>55.5</v>
      </c>
      <c r="AA56" s="42" t="str">
        <f t="shared" si="10"/>
        <v>BKN/CHA</v>
      </c>
    </row>
    <row r="57" spans="1:27" x14ac:dyDescent="0.45">
      <c r="A57" s="42">
        <v>191212</v>
      </c>
      <c r="B57" s="44">
        <v>0.41666666666666669</v>
      </c>
      <c r="C57" s="42" t="s">
        <v>412</v>
      </c>
      <c r="D57" s="42" t="s">
        <v>410</v>
      </c>
      <c r="E57" s="42">
        <v>37</v>
      </c>
      <c r="F57" s="42">
        <v>29</v>
      </c>
      <c r="G57" s="42">
        <v>40</v>
      </c>
      <c r="H57" s="42">
        <v>30</v>
      </c>
      <c r="I57" s="42"/>
      <c r="J57" s="42">
        <v>33</v>
      </c>
      <c r="K57" s="42">
        <v>19</v>
      </c>
      <c r="L57" s="42">
        <v>35</v>
      </c>
      <c r="M57" s="42">
        <v>15</v>
      </c>
      <c r="N57" s="42" t="s">
        <v>427</v>
      </c>
      <c r="O57" s="42">
        <f t="shared" si="0"/>
        <v>136</v>
      </c>
      <c r="P57" s="42">
        <f t="shared" si="1"/>
        <v>102</v>
      </c>
      <c r="Q57" s="42" t="str">
        <f t="shared" si="2"/>
        <v>HW</v>
      </c>
      <c r="R57" s="42" t="str">
        <f t="shared" si="3"/>
        <v>HW</v>
      </c>
      <c r="S57" s="42" t="str">
        <f t="shared" si="4"/>
        <v>HW</v>
      </c>
      <c r="T57" s="42" t="str">
        <f t="shared" si="5"/>
        <v>HW</v>
      </c>
      <c r="U57" s="42" t="str">
        <f t="shared" si="6"/>
        <v>O</v>
      </c>
      <c r="V57" s="42" t="str">
        <f t="shared" si="7"/>
        <v>U</v>
      </c>
      <c r="W57" s="42" t="str">
        <f t="shared" si="8"/>
        <v>O</v>
      </c>
      <c r="X57" s="42" t="str">
        <f t="shared" si="9"/>
        <v>U</v>
      </c>
      <c r="Y57" s="42"/>
      <c r="Z57" s="42">
        <v>57</v>
      </c>
      <c r="AA57" s="42" t="str">
        <f t="shared" si="10"/>
        <v>CHI/ATL</v>
      </c>
    </row>
    <row r="58" spans="1:27" x14ac:dyDescent="0.45">
      <c r="A58" s="42">
        <v>191212</v>
      </c>
      <c r="B58" s="44">
        <v>0.41666666666666669</v>
      </c>
      <c r="C58" s="42" t="s">
        <v>420</v>
      </c>
      <c r="D58" s="42" t="s">
        <v>405</v>
      </c>
      <c r="E58" s="42">
        <v>23</v>
      </c>
      <c r="F58" s="42">
        <v>36</v>
      </c>
      <c r="G58" s="42">
        <v>24</v>
      </c>
      <c r="H58" s="42">
        <v>33</v>
      </c>
      <c r="I58" s="42"/>
      <c r="J58" s="42">
        <v>25</v>
      </c>
      <c r="K58" s="42">
        <v>34</v>
      </c>
      <c r="L58" s="42">
        <v>38</v>
      </c>
      <c r="M58" s="42">
        <v>30</v>
      </c>
      <c r="N58" s="42" t="s">
        <v>427</v>
      </c>
      <c r="O58" s="42">
        <f t="shared" si="0"/>
        <v>116</v>
      </c>
      <c r="P58" s="42">
        <f t="shared" si="1"/>
        <v>127</v>
      </c>
      <c r="Q58" s="42" t="str">
        <f t="shared" si="2"/>
        <v>HL</v>
      </c>
      <c r="R58" s="42" t="str">
        <f t="shared" si="3"/>
        <v>HW</v>
      </c>
      <c r="S58" s="42" t="str">
        <f t="shared" si="4"/>
        <v>HL</v>
      </c>
      <c r="T58" s="42" t="str">
        <f t="shared" si="5"/>
        <v>HW</v>
      </c>
      <c r="U58" s="42" t="str">
        <f t="shared" si="6"/>
        <v>U</v>
      </c>
      <c r="V58" s="42" t="str">
        <f t="shared" si="7"/>
        <v>O</v>
      </c>
      <c r="W58" s="42" t="str">
        <f t="shared" si="8"/>
        <v>O</v>
      </c>
      <c r="X58" s="42" t="str">
        <f t="shared" si="9"/>
        <v>O</v>
      </c>
      <c r="Y58" s="42"/>
      <c r="Z58" s="42">
        <v>54</v>
      </c>
      <c r="AA58" s="42" t="str">
        <f t="shared" si="10"/>
        <v>MIN/UTA</v>
      </c>
    </row>
    <row r="59" spans="1:27" x14ac:dyDescent="0.45">
      <c r="A59" s="42">
        <v>191212</v>
      </c>
      <c r="B59" s="44">
        <v>0.45833333333333331</v>
      </c>
      <c r="C59" s="42" t="s">
        <v>404</v>
      </c>
      <c r="D59" s="42" t="s">
        <v>406</v>
      </c>
      <c r="E59" s="42">
        <v>19</v>
      </c>
      <c r="F59" s="42">
        <v>32</v>
      </c>
      <c r="G59" s="42">
        <v>28</v>
      </c>
      <c r="H59" s="42">
        <v>29</v>
      </c>
      <c r="I59" s="42"/>
      <c r="J59" s="42">
        <v>27</v>
      </c>
      <c r="K59" s="42">
        <v>24</v>
      </c>
      <c r="L59" s="42">
        <v>33</v>
      </c>
      <c r="M59" s="42">
        <v>31</v>
      </c>
      <c r="N59" s="42" t="s">
        <v>427</v>
      </c>
      <c r="O59" s="42">
        <f t="shared" si="0"/>
        <v>108</v>
      </c>
      <c r="P59" s="42">
        <f t="shared" ref="P59:P102" si="11">SUM(J59:N59)</f>
        <v>115</v>
      </c>
      <c r="Q59" s="42" t="str">
        <f t="shared" ref="Q59:T102" si="12">IF(E59=J59,"TT",IF(E59&gt;J59,"HW","HL"))</f>
        <v>HL</v>
      </c>
      <c r="R59" s="42" t="str">
        <f t="shared" si="12"/>
        <v>HW</v>
      </c>
      <c r="S59" s="42" t="str">
        <f t="shared" si="12"/>
        <v>HL</v>
      </c>
      <c r="T59" s="42" t="str">
        <f t="shared" si="12"/>
        <v>HL</v>
      </c>
      <c r="U59" s="42" t="str">
        <f t="shared" ref="U59:X102" si="13">IF(SUM(E59,J59)=$Z59,"T",IF(SUM(E59,J59)&gt;$Z59,"O","U"))</f>
        <v>U</v>
      </c>
      <c r="V59" s="42" t="str">
        <f t="shared" si="13"/>
        <v>U</v>
      </c>
      <c r="W59" s="42" t="str">
        <f t="shared" si="13"/>
        <v>O</v>
      </c>
      <c r="X59" s="42" t="str">
        <f t="shared" si="13"/>
        <v>O</v>
      </c>
      <c r="Y59" s="42"/>
      <c r="Z59" s="42">
        <v>57</v>
      </c>
      <c r="AA59" s="42" t="str">
        <f t="shared" ref="AA59:AA102" si="14">C59&amp;"/"&amp;D59</f>
        <v>PHO/MEM</v>
      </c>
    </row>
    <row r="60" spans="1:27" x14ac:dyDescent="0.45">
      <c r="A60" s="42">
        <v>191212</v>
      </c>
      <c r="B60" s="44">
        <v>0.47916666666666669</v>
      </c>
      <c r="C60" s="42" t="s">
        <v>423</v>
      </c>
      <c r="D60" s="42" t="s">
        <v>398</v>
      </c>
      <c r="E60" s="42">
        <v>35</v>
      </c>
      <c r="F60" s="42">
        <v>34</v>
      </c>
      <c r="G60" s="42">
        <v>36</v>
      </c>
      <c r="H60" s="42">
        <v>22</v>
      </c>
      <c r="I60" s="42"/>
      <c r="J60" s="42">
        <v>20</v>
      </c>
      <c r="K60" s="42">
        <v>26</v>
      </c>
      <c r="L60" s="42">
        <v>40</v>
      </c>
      <c r="M60" s="42">
        <v>26</v>
      </c>
      <c r="N60" s="42" t="s">
        <v>427</v>
      </c>
      <c r="O60" s="42">
        <f t="shared" si="0"/>
        <v>127</v>
      </c>
      <c r="P60" s="42">
        <f t="shared" si="11"/>
        <v>112</v>
      </c>
      <c r="Q60" s="42" t="str">
        <f t="shared" si="12"/>
        <v>HW</v>
      </c>
      <c r="R60" s="42" t="str">
        <f t="shared" si="12"/>
        <v>HW</v>
      </c>
      <c r="S60" s="42" t="str">
        <f t="shared" si="12"/>
        <v>HL</v>
      </c>
      <c r="T60" s="42" t="str">
        <f t="shared" si="12"/>
        <v>HL</v>
      </c>
      <c r="U60" s="42" t="str">
        <f t="shared" si="13"/>
        <v>U</v>
      </c>
      <c r="V60" s="42" t="str">
        <f t="shared" si="13"/>
        <v>T</v>
      </c>
      <c r="W60" s="42" t="str">
        <f t="shared" si="13"/>
        <v>O</v>
      </c>
      <c r="X60" s="42" t="str">
        <f t="shared" si="13"/>
        <v>U</v>
      </c>
      <c r="Y60" s="42"/>
      <c r="Z60" s="42">
        <v>60</v>
      </c>
      <c r="AA60" s="42" t="str">
        <f t="shared" si="14"/>
        <v>MIL/NO</v>
      </c>
    </row>
    <row r="61" spans="1:27" x14ac:dyDescent="0.45">
      <c r="A61" s="42">
        <v>191212</v>
      </c>
      <c r="B61" s="44">
        <v>0.5</v>
      </c>
      <c r="C61" s="42" t="s">
        <v>416</v>
      </c>
      <c r="D61" s="42" t="s">
        <v>418</v>
      </c>
      <c r="E61" s="42">
        <v>23</v>
      </c>
      <c r="F61" s="42">
        <v>15</v>
      </c>
      <c r="G61" s="42">
        <v>31</v>
      </c>
      <c r="H61" s="42">
        <v>25</v>
      </c>
      <c r="I61" s="42"/>
      <c r="J61" s="42">
        <v>18</v>
      </c>
      <c r="K61" s="42">
        <v>29</v>
      </c>
      <c r="L61" s="42">
        <v>24</v>
      </c>
      <c r="M61" s="42">
        <v>22</v>
      </c>
      <c r="N61" s="42" t="s">
        <v>427</v>
      </c>
      <c r="O61" s="42">
        <f t="shared" si="0"/>
        <v>94</v>
      </c>
      <c r="P61" s="42">
        <f t="shared" si="11"/>
        <v>93</v>
      </c>
      <c r="Q61" s="42" t="str">
        <f t="shared" si="12"/>
        <v>HW</v>
      </c>
      <c r="R61" s="42" t="str">
        <f t="shared" si="12"/>
        <v>HL</v>
      </c>
      <c r="S61" s="42" t="str">
        <f t="shared" si="12"/>
        <v>HW</v>
      </c>
      <c r="T61" s="42" t="str">
        <f t="shared" si="12"/>
        <v>HW</v>
      </c>
      <c r="U61" s="42" t="str">
        <f t="shared" si="13"/>
        <v>U</v>
      </c>
      <c r="V61" s="42" t="str">
        <f t="shared" si="13"/>
        <v>U</v>
      </c>
      <c r="W61" s="42" t="str">
        <f t="shared" si="13"/>
        <v>O</v>
      </c>
      <c r="X61" s="42" t="str">
        <f t="shared" si="13"/>
        <v>U</v>
      </c>
      <c r="Y61" s="42"/>
      <c r="Z61" s="42">
        <v>53.5</v>
      </c>
      <c r="AA61" s="42" t="str">
        <f t="shared" si="14"/>
        <v>SAC/OKC</v>
      </c>
    </row>
    <row r="62" spans="1:27" x14ac:dyDescent="0.45">
      <c r="A62" s="42">
        <v>191212</v>
      </c>
      <c r="B62" s="44">
        <v>0.52083333333333337</v>
      </c>
      <c r="C62" s="42" t="s">
        <v>425</v>
      </c>
      <c r="D62" s="42" t="s">
        <v>399</v>
      </c>
      <c r="E62" s="42">
        <v>20</v>
      </c>
      <c r="F62" s="42">
        <v>30</v>
      </c>
      <c r="G62" s="42">
        <v>30</v>
      </c>
      <c r="H62" s="42">
        <v>32</v>
      </c>
      <c r="I62" s="42">
        <v>10</v>
      </c>
      <c r="J62" s="42">
        <v>30</v>
      </c>
      <c r="K62" s="42">
        <v>38</v>
      </c>
      <c r="L62" s="42">
        <v>19</v>
      </c>
      <c r="M62" s="42">
        <v>25</v>
      </c>
      <c r="N62" s="42">
        <v>12</v>
      </c>
      <c r="O62" s="42">
        <f t="shared" si="0"/>
        <v>122</v>
      </c>
      <c r="P62" s="42">
        <f t="shared" si="11"/>
        <v>124</v>
      </c>
      <c r="Q62" s="42" t="str">
        <f t="shared" si="12"/>
        <v>HL</v>
      </c>
      <c r="R62" s="42" t="str">
        <f t="shared" si="12"/>
        <v>HL</v>
      </c>
      <c r="S62" s="42" t="str">
        <f t="shared" si="12"/>
        <v>HW</v>
      </c>
      <c r="T62" s="42" t="str">
        <f t="shared" si="12"/>
        <v>HW</v>
      </c>
      <c r="U62" s="42" t="str">
        <f t="shared" si="13"/>
        <v>U</v>
      </c>
      <c r="V62" s="42" t="str">
        <f t="shared" si="13"/>
        <v>O</v>
      </c>
      <c r="W62" s="42" t="str">
        <f t="shared" si="13"/>
        <v>U</v>
      </c>
      <c r="X62" s="42" t="str">
        <f t="shared" si="13"/>
        <v>O</v>
      </c>
      <c r="Y62" s="42"/>
      <c r="Z62" s="42">
        <v>54</v>
      </c>
      <c r="AA62" s="42" t="str">
        <f t="shared" si="14"/>
        <v>GS/NYK</v>
      </c>
    </row>
    <row r="63" spans="1:27" x14ac:dyDescent="0.45">
      <c r="A63" s="42">
        <v>191213</v>
      </c>
      <c r="B63" s="44">
        <v>0.41666666666666669</v>
      </c>
      <c r="C63" s="42" t="s">
        <v>421</v>
      </c>
      <c r="D63" s="42" t="s">
        <v>401</v>
      </c>
      <c r="E63" s="42">
        <v>34</v>
      </c>
      <c r="F63" s="42">
        <v>25</v>
      </c>
      <c r="G63" s="42">
        <v>21</v>
      </c>
      <c r="H63" s="42">
        <v>29</v>
      </c>
      <c r="I63" s="42"/>
      <c r="J63" s="42">
        <v>28</v>
      </c>
      <c r="K63" s="42">
        <v>28</v>
      </c>
      <c r="L63" s="42">
        <v>25</v>
      </c>
      <c r="M63" s="42">
        <v>34</v>
      </c>
      <c r="N63" s="42" t="s">
        <v>427</v>
      </c>
      <c r="O63" s="42">
        <f t="shared" si="0"/>
        <v>109</v>
      </c>
      <c r="P63" s="42">
        <f t="shared" si="11"/>
        <v>115</v>
      </c>
      <c r="Q63" s="42" t="str">
        <f t="shared" si="12"/>
        <v>HW</v>
      </c>
      <c r="R63" s="42" t="str">
        <f t="shared" si="12"/>
        <v>HL</v>
      </c>
      <c r="S63" s="42" t="str">
        <f t="shared" si="12"/>
        <v>HL</v>
      </c>
      <c r="T63" s="42" t="str">
        <f t="shared" si="12"/>
        <v>HL</v>
      </c>
      <c r="U63" s="42" t="str">
        <f t="shared" si="13"/>
        <v>O</v>
      </c>
      <c r="V63" s="42" t="str">
        <f t="shared" si="13"/>
        <v>O</v>
      </c>
      <c r="W63" s="42" t="str">
        <f t="shared" si="13"/>
        <v>U</v>
      </c>
      <c r="X63" s="42" t="str">
        <f t="shared" si="13"/>
        <v>O</v>
      </c>
      <c r="Y63" s="42"/>
      <c r="Z63" s="42">
        <v>52</v>
      </c>
      <c r="AA63" s="42" t="str">
        <f t="shared" si="14"/>
        <v>BOS/PHI</v>
      </c>
    </row>
    <row r="64" spans="1:27" x14ac:dyDescent="0.45">
      <c r="A64" s="42">
        <v>191213</v>
      </c>
      <c r="B64" s="44">
        <v>0.4375</v>
      </c>
      <c r="C64" s="42" t="s">
        <v>426</v>
      </c>
      <c r="D64" s="42" t="s">
        <v>402</v>
      </c>
      <c r="E64" s="42">
        <v>19</v>
      </c>
      <c r="F64" s="42">
        <v>24</v>
      </c>
      <c r="G64" s="42">
        <v>25</v>
      </c>
      <c r="H64" s="42">
        <v>35</v>
      </c>
      <c r="I64" s="42">
        <v>6</v>
      </c>
      <c r="J64" s="42">
        <v>28</v>
      </c>
      <c r="K64" s="42">
        <v>25</v>
      </c>
      <c r="L64" s="42">
        <v>25</v>
      </c>
      <c r="M64" s="42">
        <v>25</v>
      </c>
      <c r="N64" s="42">
        <v>14</v>
      </c>
      <c r="O64" s="42">
        <f t="shared" si="0"/>
        <v>109</v>
      </c>
      <c r="P64" s="42">
        <f t="shared" si="11"/>
        <v>117</v>
      </c>
      <c r="Q64" s="42" t="str">
        <f t="shared" si="12"/>
        <v>HL</v>
      </c>
      <c r="R64" s="42" t="str">
        <f t="shared" si="12"/>
        <v>HL</v>
      </c>
      <c r="S64" s="42" t="str">
        <f t="shared" si="12"/>
        <v>TT</v>
      </c>
      <c r="T64" s="42" t="str">
        <f t="shared" si="12"/>
        <v>HW</v>
      </c>
      <c r="U64" s="42" t="str">
        <f t="shared" si="13"/>
        <v>U</v>
      </c>
      <c r="V64" s="42" t="str">
        <f t="shared" si="13"/>
        <v>U</v>
      </c>
      <c r="W64" s="42" t="str">
        <f t="shared" si="13"/>
        <v>U</v>
      </c>
      <c r="X64" s="42" t="str">
        <f t="shared" si="13"/>
        <v>O</v>
      </c>
      <c r="Y64" s="42"/>
      <c r="Z64" s="42">
        <v>54</v>
      </c>
      <c r="AA64" s="42" t="str">
        <f t="shared" si="14"/>
        <v>SAS/CLE</v>
      </c>
    </row>
    <row r="65" spans="1:27" x14ac:dyDescent="0.45">
      <c r="A65" s="42">
        <v>191213</v>
      </c>
      <c r="B65" s="44">
        <v>0.45833333333333331</v>
      </c>
      <c r="C65" s="42" t="s">
        <v>422</v>
      </c>
      <c r="D65" s="42" t="s">
        <v>397</v>
      </c>
      <c r="E65" s="42">
        <v>29</v>
      </c>
      <c r="F65" s="42">
        <v>29</v>
      </c>
      <c r="G65" s="42">
        <v>27</v>
      </c>
      <c r="H65" s="42">
        <v>26</v>
      </c>
      <c r="I65" s="42"/>
      <c r="J65" s="42">
        <v>34</v>
      </c>
      <c r="K65" s="42">
        <v>31</v>
      </c>
      <c r="L65" s="42">
        <v>30</v>
      </c>
      <c r="M65" s="42">
        <v>27</v>
      </c>
      <c r="N65" s="42" t="s">
        <v>427</v>
      </c>
      <c r="O65" s="42">
        <f t="shared" si="0"/>
        <v>111</v>
      </c>
      <c r="P65" s="42">
        <f t="shared" si="11"/>
        <v>122</v>
      </c>
      <c r="Q65" s="42" t="str">
        <f t="shared" si="12"/>
        <v>HL</v>
      </c>
      <c r="R65" s="42" t="str">
        <f t="shared" si="12"/>
        <v>HL</v>
      </c>
      <c r="S65" s="42" t="str">
        <f t="shared" si="12"/>
        <v>HL</v>
      </c>
      <c r="T65" s="42" t="str">
        <f t="shared" si="12"/>
        <v>HL</v>
      </c>
      <c r="U65" s="42" t="str">
        <f t="shared" si="13"/>
        <v>O</v>
      </c>
      <c r="V65" s="42" t="str">
        <f t="shared" si="13"/>
        <v>O</v>
      </c>
      <c r="W65" s="42" t="str">
        <f t="shared" si="13"/>
        <v>O</v>
      </c>
      <c r="X65" s="42" t="str">
        <f t="shared" si="13"/>
        <v>U</v>
      </c>
      <c r="Y65" s="42"/>
      <c r="Z65" s="42">
        <v>56.5</v>
      </c>
      <c r="AA65" s="42" t="str">
        <f t="shared" si="14"/>
        <v>DET/DAL</v>
      </c>
    </row>
    <row r="66" spans="1:27" x14ac:dyDescent="0.45">
      <c r="A66" s="42">
        <v>191213</v>
      </c>
      <c r="B66" s="44">
        <v>0.52083333333333337</v>
      </c>
      <c r="C66" s="42" t="s">
        <v>408</v>
      </c>
      <c r="D66" s="42" t="s">
        <v>417</v>
      </c>
      <c r="E66" s="42">
        <v>33</v>
      </c>
      <c r="F66" s="42">
        <v>29</v>
      </c>
      <c r="G66" s="42">
        <v>27</v>
      </c>
      <c r="H66" s="42">
        <v>25</v>
      </c>
      <c r="I66" s="42"/>
      <c r="J66" s="42">
        <v>26</v>
      </c>
      <c r="K66" s="42">
        <v>27</v>
      </c>
      <c r="L66" s="42">
        <v>25</v>
      </c>
      <c r="M66" s="42">
        <v>21</v>
      </c>
      <c r="N66" s="42" t="s">
        <v>427</v>
      </c>
      <c r="O66" s="42">
        <f t="shared" ref="O66:O102" si="15">SUM(E66:I66)</f>
        <v>114</v>
      </c>
      <c r="P66" s="42">
        <f t="shared" si="11"/>
        <v>99</v>
      </c>
      <c r="Q66" s="42" t="str">
        <f t="shared" si="12"/>
        <v>HW</v>
      </c>
      <c r="R66" s="42" t="str">
        <f t="shared" si="12"/>
        <v>HW</v>
      </c>
      <c r="S66" s="42" t="str">
        <f t="shared" si="12"/>
        <v>HW</v>
      </c>
      <c r="T66" s="42" t="str">
        <f t="shared" si="12"/>
        <v>HW</v>
      </c>
      <c r="U66" s="42" t="str">
        <f t="shared" si="13"/>
        <v>O</v>
      </c>
      <c r="V66" s="42" t="str">
        <f t="shared" si="13"/>
        <v>O</v>
      </c>
      <c r="W66" s="42" t="str">
        <f t="shared" si="13"/>
        <v>U</v>
      </c>
      <c r="X66" s="42" t="str">
        <f t="shared" si="13"/>
        <v>U</v>
      </c>
      <c r="Y66" s="42"/>
      <c r="Z66" s="42">
        <v>54.5</v>
      </c>
      <c r="AA66" s="42" t="str">
        <f t="shared" si="14"/>
        <v>DEN/POR</v>
      </c>
    </row>
    <row r="67" spans="1:27" x14ac:dyDescent="0.45">
      <c r="A67" s="42">
        <v>191214</v>
      </c>
      <c r="B67" s="44">
        <v>0.375</v>
      </c>
      <c r="C67" s="42" t="s">
        <v>411</v>
      </c>
      <c r="D67" s="42" t="s">
        <v>419</v>
      </c>
      <c r="E67" s="42">
        <v>29</v>
      </c>
      <c r="F67" s="42">
        <v>30</v>
      </c>
      <c r="G67" s="42">
        <v>26</v>
      </c>
      <c r="H67" s="42">
        <v>25</v>
      </c>
      <c r="I67" s="42"/>
      <c r="J67" s="42">
        <v>30</v>
      </c>
      <c r="K67" s="42">
        <v>21</v>
      </c>
      <c r="L67" s="42">
        <v>37</v>
      </c>
      <c r="M67" s="42">
        <v>25</v>
      </c>
      <c r="N67" s="42" t="s">
        <v>427</v>
      </c>
      <c r="O67" s="42">
        <f t="shared" si="15"/>
        <v>110</v>
      </c>
      <c r="P67" s="42">
        <f t="shared" si="11"/>
        <v>113</v>
      </c>
      <c r="Q67" s="42" t="str">
        <f t="shared" si="12"/>
        <v>HL</v>
      </c>
      <c r="R67" s="42" t="str">
        <f t="shared" si="12"/>
        <v>HW</v>
      </c>
      <c r="S67" s="42" t="str">
        <f t="shared" si="12"/>
        <v>HL</v>
      </c>
      <c r="T67" s="42" t="str">
        <f t="shared" si="12"/>
        <v>TT</v>
      </c>
      <c r="U67" s="42" t="str">
        <f t="shared" si="13"/>
        <v>O</v>
      </c>
      <c r="V67" s="42" t="str">
        <f t="shared" si="13"/>
        <v>U</v>
      </c>
      <c r="W67" s="42" t="str">
        <f t="shared" si="13"/>
        <v>O</v>
      </c>
      <c r="X67" s="42" t="str">
        <f t="shared" si="13"/>
        <v>U</v>
      </c>
      <c r="Y67" s="42"/>
      <c r="Z67" s="42">
        <v>55</v>
      </c>
      <c r="AA67" s="42" t="str">
        <f t="shared" si="14"/>
        <v>MIA/LAL</v>
      </c>
    </row>
    <row r="68" spans="1:27" x14ac:dyDescent="0.45">
      <c r="A68" s="42">
        <v>191214</v>
      </c>
      <c r="B68" s="44">
        <v>0.375</v>
      </c>
      <c r="C68" s="42" t="s">
        <v>424</v>
      </c>
      <c r="D68" s="42" t="s">
        <v>403</v>
      </c>
      <c r="E68" s="42">
        <v>22</v>
      </c>
      <c r="F68" s="42">
        <v>33</v>
      </c>
      <c r="G68" s="42">
        <v>23</v>
      </c>
      <c r="H68" s="42">
        <v>29</v>
      </c>
      <c r="I68" s="42"/>
      <c r="J68" s="42">
        <v>28</v>
      </c>
      <c r="K68" s="42">
        <v>34</v>
      </c>
      <c r="L68" s="42">
        <v>34</v>
      </c>
      <c r="M68" s="42">
        <v>34</v>
      </c>
      <c r="N68" s="42" t="s">
        <v>427</v>
      </c>
      <c r="O68" s="42">
        <f t="shared" si="15"/>
        <v>107</v>
      </c>
      <c r="P68" s="42">
        <f t="shared" si="11"/>
        <v>130</v>
      </c>
      <c r="Q68" s="42" t="str">
        <f t="shared" si="12"/>
        <v>HL</v>
      </c>
      <c r="R68" s="42" t="str">
        <f t="shared" si="12"/>
        <v>HL</v>
      </c>
      <c r="S68" s="42" t="str">
        <f t="shared" si="12"/>
        <v>HL</v>
      </c>
      <c r="T68" s="42" t="str">
        <f t="shared" si="12"/>
        <v>HL</v>
      </c>
      <c r="U68" s="42" t="str">
        <f t="shared" si="13"/>
        <v>U</v>
      </c>
      <c r="V68" s="42" t="str">
        <f t="shared" si="13"/>
        <v>O</v>
      </c>
      <c r="W68" s="42" t="str">
        <f t="shared" si="13"/>
        <v>T</v>
      </c>
      <c r="X68" s="42" t="str">
        <f t="shared" si="13"/>
        <v>O</v>
      </c>
      <c r="Y68" s="42"/>
      <c r="Z68" s="42">
        <v>57</v>
      </c>
      <c r="AA68" s="42" t="str">
        <f t="shared" si="14"/>
        <v>ORL/HOU</v>
      </c>
    </row>
    <row r="69" spans="1:27" x14ac:dyDescent="0.45">
      <c r="A69" s="42">
        <v>191214</v>
      </c>
      <c r="B69" s="44">
        <v>0.375</v>
      </c>
      <c r="C69" s="42" t="s">
        <v>401</v>
      </c>
      <c r="D69" s="42" t="s">
        <v>398</v>
      </c>
      <c r="E69" s="42">
        <v>39</v>
      </c>
      <c r="F69" s="42">
        <v>23</v>
      </c>
      <c r="G69" s="42">
        <v>30</v>
      </c>
      <c r="H69" s="42">
        <v>24</v>
      </c>
      <c r="I69" s="42"/>
      <c r="J69" s="42">
        <v>25</v>
      </c>
      <c r="K69" s="42">
        <v>32</v>
      </c>
      <c r="L69" s="42">
        <v>25</v>
      </c>
      <c r="M69" s="42">
        <v>27</v>
      </c>
      <c r="N69" s="42" t="s">
        <v>427</v>
      </c>
      <c r="O69" s="42">
        <f t="shared" si="15"/>
        <v>116</v>
      </c>
      <c r="P69" s="42">
        <f t="shared" si="11"/>
        <v>109</v>
      </c>
      <c r="Q69" s="42" t="str">
        <f t="shared" si="12"/>
        <v>HW</v>
      </c>
      <c r="R69" s="42" t="str">
        <f t="shared" si="12"/>
        <v>HL</v>
      </c>
      <c r="S69" s="42" t="str">
        <f t="shared" si="12"/>
        <v>HW</v>
      </c>
      <c r="T69" s="42" t="str">
        <f t="shared" si="12"/>
        <v>HL</v>
      </c>
      <c r="U69" s="42" t="str">
        <f t="shared" si="13"/>
        <v>O</v>
      </c>
      <c r="V69" s="42" t="str">
        <f t="shared" si="13"/>
        <v>U</v>
      </c>
      <c r="W69" s="42" t="str">
        <f t="shared" si="13"/>
        <v>U</v>
      </c>
      <c r="X69" s="42" t="str">
        <f t="shared" si="13"/>
        <v>U</v>
      </c>
      <c r="Y69" s="42"/>
      <c r="Z69" s="42">
        <v>57.5</v>
      </c>
      <c r="AA69" s="42" t="str">
        <f t="shared" si="14"/>
        <v>PHI/NO</v>
      </c>
    </row>
    <row r="70" spans="1:27" x14ac:dyDescent="0.45">
      <c r="A70" s="42">
        <v>191214</v>
      </c>
      <c r="B70" s="44">
        <v>0.39583333333333331</v>
      </c>
      <c r="C70" s="42" t="s">
        <v>410</v>
      </c>
      <c r="D70" s="42" t="s">
        <v>400</v>
      </c>
      <c r="E70" s="42">
        <v>22</v>
      </c>
      <c r="F70" s="42">
        <v>26</v>
      </c>
      <c r="G70" s="42">
        <v>35</v>
      </c>
      <c r="H70" s="42">
        <v>17</v>
      </c>
      <c r="I70" s="42"/>
      <c r="J70" s="42">
        <v>29</v>
      </c>
      <c r="K70" s="42">
        <v>34</v>
      </c>
      <c r="L70" s="42">
        <v>23</v>
      </c>
      <c r="M70" s="42">
        <v>24</v>
      </c>
      <c r="N70" s="42" t="s">
        <v>427</v>
      </c>
      <c r="O70" s="42">
        <f t="shared" si="15"/>
        <v>100</v>
      </c>
      <c r="P70" s="42">
        <f t="shared" si="11"/>
        <v>110</v>
      </c>
      <c r="Q70" s="42" t="str">
        <f t="shared" si="12"/>
        <v>HL</v>
      </c>
      <c r="R70" s="42" t="str">
        <f t="shared" si="12"/>
        <v>HL</v>
      </c>
      <c r="S70" s="42" t="str">
        <f t="shared" si="12"/>
        <v>HW</v>
      </c>
      <c r="T70" s="42" t="str">
        <f t="shared" si="12"/>
        <v>HL</v>
      </c>
      <c r="U70" s="42" t="str">
        <f t="shared" si="13"/>
        <v>U</v>
      </c>
      <c r="V70" s="42" t="str">
        <f t="shared" si="13"/>
        <v>O</v>
      </c>
      <c r="W70" s="42" t="str">
        <f t="shared" si="13"/>
        <v>O</v>
      </c>
      <c r="X70" s="42" t="str">
        <f t="shared" si="13"/>
        <v>U</v>
      </c>
      <c r="Y70" s="42"/>
      <c r="Z70" s="42">
        <v>57.5</v>
      </c>
      <c r="AA70" s="42" t="str">
        <f t="shared" si="14"/>
        <v>ATL/IND</v>
      </c>
    </row>
    <row r="71" spans="1:27" x14ac:dyDescent="0.45">
      <c r="A71" s="42">
        <v>191214</v>
      </c>
      <c r="B71" s="44">
        <v>0.41666666666666669</v>
      </c>
      <c r="C71" s="42" t="s">
        <v>412</v>
      </c>
      <c r="D71" s="42" t="s">
        <v>409</v>
      </c>
      <c r="E71" s="42">
        <v>15</v>
      </c>
      <c r="F71" s="42">
        <v>25</v>
      </c>
      <c r="G71" s="42">
        <v>10</v>
      </c>
      <c r="H71" s="42">
        <v>23</v>
      </c>
      <c r="I71" s="42"/>
      <c r="J71" s="42">
        <v>24</v>
      </c>
      <c r="K71" s="42">
        <v>20</v>
      </c>
      <c r="L71" s="42">
        <v>15</v>
      </c>
      <c r="M71" s="42">
        <v>24</v>
      </c>
      <c r="N71" s="42" t="s">
        <v>427</v>
      </c>
      <c r="O71" s="42">
        <f t="shared" si="15"/>
        <v>73</v>
      </c>
      <c r="P71" s="42">
        <f t="shared" si="11"/>
        <v>83</v>
      </c>
      <c r="Q71" s="42" t="str">
        <f t="shared" si="12"/>
        <v>HL</v>
      </c>
      <c r="R71" s="42" t="str">
        <f t="shared" si="12"/>
        <v>HW</v>
      </c>
      <c r="S71" s="42" t="str">
        <f t="shared" si="12"/>
        <v>HL</v>
      </c>
      <c r="T71" s="42" t="str">
        <f t="shared" si="12"/>
        <v>HL</v>
      </c>
      <c r="U71" s="42" t="str">
        <f t="shared" si="13"/>
        <v>U</v>
      </c>
      <c r="V71" s="42" t="str">
        <f t="shared" si="13"/>
        <v>U</v>
      </c>
      <c r="W71" s="42" t="str">
        <f t="shared" si="13"/>
        <v>U</v>
      </c>
      <c r="X71" s="42" t="str">
        <f t="shared" si="13"/>
        <v>U</v>
      </c>
      <c r="Y71" s="42"/>
      <c r="Z71" s="42">
        <v>55</v>
      </c>
      <c r="AA71" s="42" t="str">
        <f t="shared" si="14"/>
        <v>CHI/CHA</v>
      </c>
    </row>
    <row r="72" spans="1:27" x14ac:dyDescent="0.45">
      <c r="A72" s="42">
        <v>191214</v>
      </c>
      <c r="B72" s="44">
        <v>0.41666666666666669</v>
      </c>
      <c r="C72" s="42" t="s">
        <v>406</v>
      </c>
      <c r="D72" s="42" t="s">
        <v>423</v>
      </c>
      <c r="E72" s="42">
        <v>29</v>
      </c>
      <c r="F72" s="42">
        <v>33</v>
      </c>
      <c r="G72" s="42">
        <v>33</v>
      </c>
      <c r="H72" s="42">
        <v>19</v>
      </c>
      <c r="I72" s="42"/>
      <c r="J72" s="42">
        <v>35</v>
      </c>
      <c r="K72" s="42">
        <v>29</v>
      </c>
      <c r="L72" s="42">
        <v>26</v>
      </c>
      <c r="M72" s="42">
        <v>37</v>
      </c>
      <c r="N72" s="42" t="s">
        <v>427</v>
      </c>
      <c r="O72" s="42">
        <f t="shared" si="15"/>
        <v>114</v>
      </c>
      <c r="P72" s="42">
        <f t="shared" si="11"/>
        <v>127</v>
      </c>
      <c r="Q72" s="42" t="str">
        <f t="shared" si="12"/>
        <v>HL</v>
      </c>
      <c r="R72" s="42" t="str">
        <f t="shared" si="12"/>
        <v>HW</v>
      </c>
      <c r="S72" s="42" t="str">
        <f t="shared" si="12"/>
        <v>HW</v>
      </c>
      <c r="T72" s="42" t="str">
        <f t="shared" si="12"/>
        <v>HL</v>
      </c>
      <c r="U72" s="42" t="str">
        <f t="shared" si="13"/>
        <v>O</v>
      </c>
      <c r="V72" s="42" t="str">
        <f t="shared" si="13"/>
        <v>O</v>
      </c>
      <c r="W72" s="42" t="str">
        <f t="shared" si="13"/>
        <v>O</v>
      </c>
      <c r="X72" s="42" t="str">
        <f t="shared" si="13"/>
        <v>U</v>
      </c>
      <c r="Y72" s="42"/>
      <c r="Z72" s="42">
        <v>56.5</v>
      </c>
      <c r="AA72" s="42" t="str">
        <f t="shared" si="14"/>
        <v>MEM/MIL</v>
      </c>
    </row>
    <row r="73" spans="1:27" x14ac:dyDescent="0.45">
      <c r="A73" s="42">
        <v>191214</v>
      </c>
      <c r="B73" s="44">
        <v>0.45833333333333331</v>
      </c>
      <c r="C73" s="42" t="s">
        <v>405</v>
      </c>
      <c r="D73" s="42" t="s">
        <v>425</v>
      </c>
      <c r="E73" s="42">
        <v>22</v>
      </c>
      <c r="F73" s="42">
        <v>27</v>
      </c>
      <c r="G73" s="42">
        <v>37</v>
      </c>
      <c r="H73" s="42">
        <v>28</v>
      </c>
      <c r="I73" s="42"/>
      <c r="J73" s="42">
        <v>29</v>
      </c>
      <c r="K73" s="42">
        <v>27</v>
      </c>
      <c r="L73" s="42">
        <v>28</v>
      </c>
      <c r="M73" s="42">
        <v>22</v>
      </c>
      <c r="N73" s="42" t="s">
        <v>427</v>
      </c>
      <c r="O73" s="42">
        <f t="shared" si="15"/>
        <v>114</v>
      </c>
      <c r="P73" s="42">
        <f t="shared" si="11"/>
        <v>106</v>
      </c>
      <c r="Q73" s="42" t="str">
        <f t="shared" si="12"/>
        <v>HL</v>
      </c>
      <c r="R73" s="42" t="str">
        <f t="shared" si="12"/>
        <v>TT</v>
      </c>
      <c r="S73" s="42" t="str">
        <f t="shared" si="12"/>
        <v>HW</v>
      </c>
      <c r="T73" s="42" t="str">
        <f t="shared" si="12"/>
        <v>HW</v>
      </c>
      <c r="U73" s="42" t="str">
        <f t="shared" si="13"/>
        <v>U</v>
      </c>
      <c r="V73" s="42" t="str">
        <f t="shared" si="13"/>
        <v>U</v>
      </c>
      <c r="W73" s="42" t="str">
        <f t="shared" si="13"/>
        <v>O</v>
      </c>
      <c r="X73" s="42" t="str">
        <f t="shared" si="13"/>
        <v>U</v>
      </c>
      <c r="Y73" s="42"/>
      <c r="Z73" s="42">
        <v>54.5</v>
      </c>
      <c r="AA73" s="42" t="str">
        <f t="shared" si="14"/>
        <v>UTA/GS</v>
      </c>
    </row>
    <row r="74" spans="1:27" x14ac:dyDescent="0.45">
      <c r="A74" s="42">
        <v>191214</v>
      </c>
      <c r="B74" s="44">
        <v>0.47916666666666669</v>
      </c>
      <c r="C74" s="42" t="s">
        <v>420</v>
      </c>
      <c r="D74" s="42" t="s">
        <v>415</v>
      </c>
      <c r="E74" s="42">
        <v>29</v>
      </c>
      <c r="F74" s="42">
        <v>29</v>
      </c>
      <c r="G74" s="42">
        <v>23</v>
      </c>
      <c r="H74" s="42">
        <v>36</v>
      </c>
      <c r="I74" s="42"/>
      <c r="J74" s="42">
        <v>33</v>
      </c>
      <c r="K74" s="42">
        <v>32</v>
      </c>
      <c r="L74" s="42">
        <v>37</v>
      </c>
      <c r="M74" s="42">
        <v>22</v>
      </c>
      <c r="N74" s="42" t="s">
        <v>427</v>
      </c>
      <c r="O74" s="42">
        <f t="shared" si="15"/>
        <v>117</v>
      </c>
      <c r="P74" s="42">
        <f t="shared" si="11"/>
        <v>124</v>
      </c>
      <c r="Q74" s="42" t="str">
        <f t="shared" si="12"/>
        <v>HL</v>
      </c>
      <c r="R74" s="42" t="str">
        <f t="shared" si="12"/>
        <v>HL</v>
      </c>
      <c r="S74" s="42" t="str">
        <f t="shared" si="12"/>
        <v>HL</v>
      </c>
      <c r="T74" s="42" t="str">
        <f t="shared" si="12"/>
        <v>HW</v>
      </c>
      <c r="U74" s="42" t="str">
        <f t="shared" si="13"/>
        <v>O</v>
      </c>
      <c r="V74" s="42" t="str">
        <f t="shared" si="13"/>
        <v>O</v>
      </c>
      <c r="W74" s="42" t="str">
        <f t="shared" si="13"/>
        <v>O</v>
      </c>
      <c r="X74" s="42" t="str">
        <f t="shared" si="13"/>
        <v>U</v>
      </c>
      <c r="Y74" s="42"/>
      <c r="Z74" s="42">
        <v>59</v>
      </c>
      <c r="AA74" s="42" t="str">
        <f t="shared" si="14"/>
        <v>MIN/LAC</v>
      </c>
    </row>
    <row r="75" spans="1:27" x14ac:dyDescent="0.45">
      <c r="A75" s="42">
        <v>191214</v>
      </c>
      <c r="B75" s="44">
        <v>0.5</v>
      </c>
      <c r="C75" s="42" t="s">
        <v>416</v>
      </c>
      <c r="D75" s="42" t="s">
        <v>399</v>
      </c>
      <c r="E75" s="42">
        <v>32</v>
      </c>
      <c r="F75" s="42">
        <v>22</v>
      </c>
      <c r="G75" s="42">
        <v>26</v>
      </c>
      <c r="H75" s="42">
        <v>21</v>
      </c>
      <c r="I75" s="42"/>
      <c r="J75" s="42">
        <v>20</v>
      </c>
      <c r="K75" s="42">
        <v>25</v>
      </c>
      <c r="L75" s="42">
        <v>27</v>
      </c>
      <c r="M75" s="42">
        <v>31</v>
      </c>
      <c r="N75" s="42" t="s">
        <v>427</v>
      </c>
      <c r="O75" s="42">
        <f t="shared" si="15"/>
        <v>101</v>
      </c>
      <c r="P75" s="42">
        <f t="shared" si="11"/>
        <v>103</v>
      </c>
      <c r="Q75" s="42" t="str">
        <f t="shared" si="12"/>
        <v>HW</v>
      </c>
      <c r="R75" s="42" t="str">
        <f t="shared" si="12"/>
        <v>HL</v>
      </c>
      <c r="S75" s="42" t="str">
        <f t="shared" si="12"/>
        <v>HL</v>
      </c>
      <c r="T75" s="42" t="str">
        <f t="shared" si="12"/>
        <v>HL</v>
      </c>
      <c r="U75" s="42" t="str">
        <f t="shared" si="13"/>
        <v>U</v>
      </c>
      <c r="V75" s="42" t="str">
        <f t="shared" si="13"/>
        <v>U</v>
      </c>
      <c r="W75" s="42" t="str">
        <f t="shared" si="13"/>
        <v>U</v>
      </c>
      <c r="X75" s="42" t="str">
        <f t="shared" si="13"/>
        <v>U</v>
      </c>
      <c r="Y75" s="42"/>
      <c r="Z75" s="42">
        <v>54</v>
      </c>
      <c r="AA75" s="42" t="str">
        <f t="shared" si="14"/>
        <v>SAC/NYK</v>
      </c>
    </row>
    <row r="76" spans="1:27" x14ac:dyDescent="0.45">
      <c r="A76" s="42">
        <v>191215</v>
      </c>
      <c r="B76" s="44">
        <v>0.29166666666666669</v>
      </c>
      <c r="C76" s="42" t="s">
        <v>404</v>
      </c>
      <c r="D76" s="42" t="s">
        <v>426</v>
      </c>
      <c r="E76" s="42">
        <v>18</v>
      </c>
      <c r="F76" s="42">
        <v>30</v>
      </c>
      <c r="G76" s="42">
        <v>32</v>
      </c>
      <c r="H76" s="42">
        <v>29</v>
      </c>
      <c r="I76" s="42">
        <v>10</v>
      </c>
      <c r="J76" s="42">
        <v>28</v>
      </c>
      <c r="K76" s="42">
        <v>16</v>
      </c>
      <c r="L76" s="42">
        <v>34</v>
      </c>
      <c r="M76" s="42">
        <v>31</v>
      </c>
      <c r="N76" s="42">
        <v>12</v>
      </c>
      <c r="O76" s="42">
        <f t="shared" si="15"/>
        <v>119</v>
      </c>
      <c r="P76" s="42">
        <f t="shared" si="11"/>
        <v>121</v>
      </c>
      <c r="Q76" s="42" t="str">
        <f t="shared" si="12"/>
        <v>HL</v>
      </c>
      <c r="R76" s="42" t="str">
        <f t="shared" si="12"/>
        <v>HW</v>
      </c>
      <c r="S76" s="42" t="str">
        <f t="shared" si="12"/>
        <v>HL</v>
      </c>
      <c r="T76" s="42" t="str">
        <f t="shared" si="12"/>
        <v>HL</v>
      </c>
      <c r="U76" s="42" t="str">
        <f t="shared" si="13"/>
        <v>U</v>
      </c>
      <c r="V76" s="42" t="str">
        <f t="shared" si="13"/>
        <v>U</v>
      </c>
      <c r="W76" s="42" t="str">
        <f t="shared" si="13"/>
        <v>O</v>
      </c>
      <c r="X76" s="42" t="str">
        <f t="shared" si="13"/>
        <v>O</v>
      </c>
      <c r="Y76" s="42"/>
      <c r="Z76" s="42">
        <v>53.5</v>
      </c>
      <c r="AA76" s="42" t="str">
        <f t="shared" si="14"/>
        <v>PHO/SAS</v>
      </c>
    </row>
    <row r="77" spans="1:27" x14ac:dyDescent="0.45">
      <c r="A77" s="42">
        <v>191215</v>
      </c>
      <c r="B77" s="44">
        <v>0.39583333333333331</v>
      </c>
      <c r="C77" s="42" t="s">
        <v>413</v>
      </c>
      <c r="D77" s="42" t="s">
        <v>407</v>
      </c>
      <c r="E77" s="42">
        <v>38</v>
      </c>
      <c r="F77" s="42">
        <v>27</v>
      </c>
      <c r="G77" s="42">
        <v>25</v>
      </c>
      <c r="H77" s="42">
        <v>20</v>
      </c>
      <c r="I77" s="42"/>
      <c r="J77" s="42">
        <v>31</v>
      </c>
      <c r="K77" s="42">
        <v>29</v>
      </c>
      <c r="L77" s="42">
        <v>23</v>
      </c>
      <c r="M77" s="42">
        <v>19</v>
      </c>
      <c r="N77" s="42" t="s">
        <v>427</v>
      </c>
      <c r="O77" s="42">
        <f t="shared" si="15"/>
        <v>110</v>
      </c>
      <c r="P77" s="42">
        <f t="shared" si="11"/>
        <v>102</v>
      </c>
      <c r="Q77" s="42" t="str">
        <f t="shared" si="12"/>
        <v>HW</v>
      </c>
      <c r="R77" s="42" t="str">
        <f t="shared" si="12"/>
        <v>HL</v>
      </c>
      <c r="S77" s="42" t="str">
        <f t="shared" si="12"/>
        <v>HW</v>
      </c>
      <c r="T77" s="42" t="str">
        <f t="shared" si="12"/>
        <v>HW</v>
      </c>
      <c r="U77" s="42" t="str">
        <f t="shared" si="13"/>
        <v>O</v>
      </c>
      <c r="V77" s="42" t="str">
        <f t="shared" si="13"/>
        <v>O</v>
      </c>
      <c r="W77" s="42" t="str">
        <f t="shared" si="13"/>
        <v>U</v>
      </c>
      <c r="X77" s="42" t="str">
        <f t="shared" si="13"/>
        <v>U</v>
      </c>
      <c r="Y77" s="42"/>
      <c r="Z77" s="42">
        <v>53.5</v>
      </c>
      <c r="AA77" s="42" t="str">
        <f t="shared" si="14"/>
        <v>TOR/BKN</v>
      </c>
    </row>
    <row r="78" spans="1:27" x14ac:dyDescent="0.45">
      <c r="A78" s="42">
        <v>191215</v>
      </c>
      <c r="B78" s="44">
        <v>0.41666666666666669</v>
      </c>
      <c r="C78" s="42" t="s">
        <v>412</v>
      </c>
      <c r="D78" s="42" t="s">
        <v>415</v>
      </c>
      <c r="E78" s="42">
        <v>24</v>
      </c>
      <c r="F78" s="42">
        <v>31</v>
      </c>
      <c r="G78" s="42">
        <v>29</v>
      </c>
      <c r="H78" s="42">
        <v>25</v>
      </c>
      <c r="I78" s="42"/>
      <c r="J78" s="42">
        <v>29</v>
      </c>
      <c r="K78" s="42">
        <v>28</v>
      </c>
      <c r="L78" s="42">
        <v>22</v>
      </c>
      <c r="M78" s="42">
        <v>27</v>
      </c>
      <c r="N78" s="42" t="s">
        <v>427</v>
      </c>
      <c r="O78" s="42">
        <f t="shared" si="15"/>
        <v>109</v>
      </c>
      <c r="P78" s="42">
        <f t="shared" si="11"/>
        <v>106</v>
      </c>
      <c r="Q78" s="42" t="str">
        <f t="shared" si="12"/>
        <v>HL</v>
      </c>
      <c r="R78" s="42" t="str">
        <f t="shared" si="12"/>
        <v>HW</v>
      </c>
      <c r="S78" s="42" t="str">
        <f t="shared" si="12"/>
        <v>HW</v>
      </c>
      <c r="T78" s="42" t="str">
        <f t="shared" si="12"/>
        <v>HL</v>
      </c>
      <c r="U78" s="42" t="str">
        <f t="shared" si="13"/>
        <v>U</v>
      </c>
      <c r="V78" s="42" t="str">
        <f t="shared" si="13"/>
        <v>O</v>
      </c>
      <c r="W78" s="42" t="str">
        <f t="shared" si="13"/>
        <v>U</v>
      </c>
      <c r="X78" s="42" t="str">
        <f t="shared" si="13"/>
        <v>U</v>
      </c>
      <c r="Y78" s="42"/>
      <c r="Z78" s="42">
        <v>55</v>
      </c>
      <c r="AA78" s="42" t="str">
        <f t="shared" si="14"/>
        <v>CHI/LAC</v>
      </c>
    </row>
    <row r="79" spans="1:27" x14ac:dyDescent="0.45">
      <c r="A79" s="42">
        <v>191215</v>
      </c>
      <c r="B79" s="44">
        <v>0.41666666666666669</v>
      </c>
      <c r="C79" s="42" t="s">
        <v>406</v>
      </c>
      <c r="D79" s="42" t="s">
        <v>414</v>
      </c>
      <c r="E79" s="42">
        <v>35</v>
      </c>
      <c r="F79" s="42">
        <v>34</v>
      </c>
      <c r="G79" s="42">
        <v>35</v>
      </c>
      <c r="H79" s="42">
        <v>24</v>
      </c>
      <c r="I79" s="42"/>
      <c r="J79" s="42">
        <v>30</v>
      </c>
      <c r="K79" s="42">
        <v>24</v>
      </c>
      <c r="L79" s="42">
        <v>30</v>
      </c>
      <c r="M79" s="42">
        <v>27</v>
      </c>
      <c r="N79" s="42" t="s">
        <v>427</v>
      </c>
      <c r="O79" s="42">
        <f t="shared" si="15"/>
        <v>128</v>
      </c>
      <c r="P79" s="42">
        <f t="shared" si="11"/>
        <v>111</v>
      </c>
      <c r="Q79" s="42" t="str">
        <f t="shared" si="12"/>
        <v>HW</v>
      </c>
      <c r="R79" s="42" t="str">
        <f t="shared" si="12"/>
        <v>HW</v>
      </c>
      <c r="S79" s="42" t="str">
        <f t="shared" si="12"/>
        <v>HW</v>
      </c>
      <c r="T79" s="42" t="str">
        <f t="shared" si="12"/>
        <v>HL</v>
      </c>
      <c r="U79" s="42" t="str">
        <f t="shared" si="13"/>
        <v>O</v>
      </c>
      <c r="V79" s="42" t="str">
        <f t="shared" si="13"/>
        <v>U</v>
      </c>
      <c r="W79" s="42" t="str">
        <f t="shared" si="13"/>
        <v>O</v>
      </c>
      <c r="X79" s="42" t="str">
        <f t="shared" si="13"/>
        <v>U</v>
      </c>
      <c r="Y79" s="42"/>
      <c r="Z79" s="42">
        <v>60.5</v>
      </c>
      <c r="AA79" s="42" t="str">
        <f t="shared" si="14"/>
        <v>MEM/WAS</v>
      </c>
    </row>
    <row r="80" spans="1:27" x14ac:dyDescent="0.45">
      <c r="A80" s="42">
        <v>191215</v>
      </c>
      <c r="B80" s="44">
        <v>0.4375</v>
      </c>
      <c r="C80" s="42" t="s">
        <v>397</v>
      </c>
      <c r="D80" s="42" t="s">
        <v>411</v>
      </c>
      <c r="E80" s="42">
        <v>23</v>
      </c>
      <c r="F80" s="42">
        <v>27</v>
      </c>
      <c r="G80" s="42">
        <v>31</v>
      </c>
      <c r="H80" s="42">
        <v>31</v>
      </c>
      <c r="I80" s="42">
        <v>6</v>
      </c>
      <c r="J80" s="42">
        <v>37</v>
      </c>
      <c r="K80" s="42">
        <v>36</v>
      </c>
      <c r="L80" s="42">
        <v>18</v>
      </c>
      <c r="M80" s="42">
        <v>21</v>
      </c>
      <c r="N80" s="42">
        <v>10</v>
      </c>
      <c r="O80" s="42">
        <f t="shared" si="15"/>
        <v>118</v>
      </c>
      <c r="P80" s="42">
        <f t="shared" si="11"/>
        <v>122</v>
      </c>
      <c r="Q80" s="42" t="str">
        <f t="shared" si="12"/>
        <v>HL</v>
      </c>
      <c r="R80" s="42" t="str">
        <f t="shared" si="12"/>
        <v>HL</v>
      </c>
      <c r="S80" s="42" t="str">
        <f t="shared" si="12"/>
        <v>HW</v>
      </c>
      <c r="T80" s="42" t="str">
        <f t="shared" si="12"/>
        <v>HW</v>
      </c>
      <c r="U80" s="42" t="str">
        <f t="shared" si="13"/>
        <v>O</v>
      </c>
      <c r="V80" s="42" t="str">
        <f t="shared" si="13"/>
        <v>O</v>
      </c>
      <c r="W80" s="42" t="str">
        <f t="shared" si="13"/>
        <v>U</v>
      </c>
      <c r="X80" s="42" t="str">
        <f t="shared" si="13"/>
        <v>U</v>
      </c>
      <c r="Y80" s="42"/>
      <c r="Z80" s="42">
        <v>56</v>
      </c>
      <c r="AA80" s="42" t="str">
        <f t="shared" si="14"/>
        <v>DAL/MIA</v>
      </c>
    </row>
    <row r="81" spans="1:27" x14ac:dyDescent="0.45">
      <c r="A81" s="42">
        <v>191215</v>
      </c>
      <c r="B81" s="44">
        <v>0.4375</v>
      </c>
      <c r="C81" s="42" t="s">
        <v>423</v>
      </c>
      <c r="D81" s="42" t="s">
        <v>402</v>
      </c>
      <c r="E81" s="42">
        <v>26</v>
      </c>
      <c r="F81" s="42">
        <v>43</v>
      </c>
      <c r="G81" s="42">
        <v>33</v>
      </c>
      <c r="H81" s="42">
        <v>23</v>
      </c>
      <c r="I81" s="42"/>
      <c r="J81" s="42">
        <v>20</v>
      </c>
      <c r="K81" s="42">
        <v>31</v>
      </c>
      <c r="L81" s="42">
        <v>28</v>
      </c>
      <c r="M81" s="42">
        <v>29</v>
      </c>
      <c r="N81" s="42" t="s">
        <v>427</v>
      </c>
      <c r="O81" s="42">
        <f t="shared" si="15"/>
        <v>125</v>
      </c>
      <c r="P81" s="42">
        <f t="shared" si="11"/>
        <v>108</v>
      </c>
      <c r="Q81" s="42" t="str">
        <f t="shared" si="12"/>
        <v>HW</v>
      </c>
      <c r="R81" s="42" t="str">
        <f t="shared" si="12"/>
        <v>HW</v>
      </c>
      <c r="S81" s="42" t="str">
        <f t="shared" si="12"/>
        <v>HW</v>
      </c>
      <c r="T81" s="42" t="str">
        <f t="shared" si="12"/>
        <v>HL</v>
      </c>
      <c r="U81" s="42" t="str">
        <f t="shared" si="13"/>
        <v>U</v>
      </c>
      <c r="V81" s="42" t="str">
        <f t="shared" si="13"/>
        <v>O</v>
      </c>
      <c r="W81" s="42" t="str">
        <f t="shared" si="13"/>
        <v>O</v>
      </c>
      <c r="X81" s="42" t="str">
        <f t="shared" si="13"/>
        <v>U</v>
      </c>
      <c r="Y81" s="42"/>
      <c r="Z81" s="42">
        <v>54.5</v>
      </c>
      <c r="AA81" s="42" t="str">
        <f t="shared" si="14"/>
        <v>MIL/CLE</v>
      </c>
    </row>
    <row r="82" spans="1:27" x14ac:dyDescent="0.45">
      <c r="A82" s="42">
        <v>191215</v>
      </c>
      <c r="B82" s="44">
        <v>0.45833333333333331</v>
      </c>
      <c r="C82" s="42" t="s">
        <v>408</v>
      </c>
      <c r="D82" s="42" t="s">
        <v>418</v>
      </c>
      <c r="E82" s="42">
        <v>27</v>
      </c>
      <c r="F82" s="42">
        <v>25</v>
      </c>
      <c r="G82" s="42">
        <v>30</v>
      </c>
      <c r="H82" s="42">
        <v>28</v>
      </c>
      <c r="I82" s="42"/>
      <c r="J82" s="42">
        <v>20</v>
      </c>
      <c r="K82" s="42">
        <v>29</v>
      </c>
      <c r="L82" s="42">
        <v>19</v>
      </c>
      <c r="M82" s="42">
        <v>34</v>
      </c>
      <c r="N82" s="42" t="s">
        <v>427</v>
      </c>
      <c r="O82" s="42">
        <f t="shared" si="15"/>
        <v>110</v>
      </c>
      <c r="P82" s="42">
        <f t="shared" si="11"/>
        <v>102</v>
      </c>
      <c r="Q82" s="42" t="str">
        <f t="shared" si="12"/>
        <v>HW</v>
      </c>
      <c r="R82" s="42" t="str">
        <f t="shared" si="12"/>
        <v>HL</v>
      </c>
      <c r="S82" s="42" t="str">
        <f t="shared" si="12"/>
        <v>HW</v>
      </c>
      <c r="T82" s="42" t="str">
        <f t="shared" si="12"/>
        <v>HL</v>
      </c>
      <c r="U82" s="42" t="str">
        <f t="shared" si="13"/>
        <v>U</v>
      </c>
      <c r="V82" s="42" t="str">
        <f t="shared" si="13"/>
        <v>O</v>
      </c>
      <c r="W82" s="42" t="str">
        <f t="shared" si="13"/>
        <v>U</v>
      </c>
      <c r="X82" s="42" t="str">
        <f t="shared" si="13"/>
        <v>O</v>
      </c>
      <c r="Y82" s="42"/>
      <c r="Z82" s="42">
        <v>53</v>
      </c>
      <c r="AA82" s="42" t="str">
        <f t="shared" si="14"/>
        <v>DEN/OKC</v>
      </c>
    </row>
    <row r="83" spans="1:27" x14ac:dyDescent="0.45">
      <c r="A83" s="42">
        <v>191215</v>
      </c>
      <c r="B83" s="44">
        <v>0.45833333333333331</v>
      </c>
      <c r="C83" s="42" t="s">
        <v>403</v>
      </c>
      <c r="D83" s="42" t="s">
        <v>422</v>
      </c>
      <c r="E83" s="42">
        <v>32</v>
      </c>
      <c r="F83" s="42">
        <v>20</v>
      </c>
      <c r="G83" s="42">
        <v>23</v>
      </c>
      <c r="H83" s="42">
        <v>32</v>
      </c>
      <c r="I83" s="42"/>
      <c r="J83" s="42">
        <v>30</v>
      </c>
      <c r="K83" s="42">
        <v>32</v>
      </c>
      <c r="L83" s="42">
        <v>26</v>
      </c>
      <c r="M83" s="42">
        <v>27</v>
      </c>
      <c r="N83" s="42" t="s">
        <v>427</v>
      </c>
      <c r="O83" s="42">
        <f t="shared" si="15"/>
        <v>107</v>
      </c>
      <c r="P83" s="42">
        <f t="shared" si="11"/>
        <v>115</v>
      </c>
      <c r="Q83" s="42" t="str">
        <f t="shared" si="12"/>
        <v>HW</v>
      </c>
      <c r="R83" s="42" t="str">
        <f t="shared" si="12"/>
        <v>HL</v>
      </c>
      <c r="S83" s="42" t="str">
        <f t="shared" si="12"/>
        <v>HL</v>
      </c>
      <c r="T83" s="42" t="str">
        <f t="shared" si="12"/>
        <v>HW</v>
      </c>
      <c r="U83" s="42" t="str">
        <f t="shared" si="13"/>
        <v>O</v>
      </c>
      <c r="V83" s="42" t="str">
        <f t="shared" si="13"/>
        <v>U</v>
      </c>
      <c r="W83" s="42" t="str">
        <f t="shared" si="13"/>
        <v>U</v>
      </c>
      <c r="X83" s="42" t="str">
        <f t="shared" si="13"/>
        <v>O</v>
      </c>
      <c r="Y83" s="42"/>
      <c r="Z83" s="42">
        <v>58.5</v>
      </c>
      <c r="AA83" s="42" t="str">
        <f t="shared" si="14"/>
        <v>HOU/DET</v>
      </c>
    </row>
    <row r="84" spans="1:27" x14ac:dyDescent="0.45">
      <c r="A84" s="42">
        <v>191216</v>
      </c>
      <c r="B84" s="44">
        <v>0.22916666666666666</v>
      </c>
      <c r="C84" s="42" t="s">
        <v>398</v>
      </c>
      <c r="D84" s="42" t="s">
        <v>424</v>
      </c>
      <c r="E84" s="42">
        <v>30</v>
      </c>
      <c r="F84" s="42">
        <v>27</v>
      </c>
      <c r="G84" s="42">
        <v>27</v>
      </c>
      <c r="H84" s="42">
        <v>35</v>
      </c>
      <c r="I84" s="42"/>
      <c r="J84" s="42">
        <v>24</v>
      </c>
      <c r="K84" s="42">
        <v>34</v>
      </c>
      <c r="L84" s="42">
        <v>41</v>
      </c>
      <c r="M84" s="42">
        <v>31</v>
      </c>
      <c r="N84" s="42" t="s">
        <v>427</v>
      </c>
      <c r="O84" s="42">
        <f t="shared" si="15"/>
        <v>119</v>
      </c>
      <c r="P84" s="42">
        <f t="shared" si="11"/>
        <v>130</v>
      </c>
      <c r="Q84" s="42" t="str">
        <f t="shared" si="12"/>
        <v>HW</v>
      </c>
      <c r="R84" s="42" t="str">
        <f t="shared" si="12"/>
        <v>HL</v>
      </c>
      <c r="S84" s="42" t="str">
        <f t="shared" si="12"/>
        <v>HL</v>
      </c>
      <c r="T84" s="42" t="str">
        <f t="shared" si="12"/>
        <v>HW</v>
      </c>
      <c r="U84" s="42" t="str">
        <f t="shared" si="13"/>
        <v>U</v>
      </c>
      <c r="V84" s="42" t="str">
        <f t="shared" si="13"/>
        <v>O</v>
      </c>
      <c r="W84" s="42" t="str">
        <f t="shared" si="13"/>
        <v>O</v>
      </c>
      <c r="X84" s="42" t="str">
        <f t="shared" si="13"/>
        <v>O</v>
      </c>
      <c r="Y84" s="42"/>
      <c r="Z84" s="42">
        <v>56</v>
      </c>
      <c r="AA84" s="42" t="str">
        <f t="shared" si="14"/>
        <v>NO/ORL</v>
      </c>
    </row>
    <row r="85" spans="1:27" x14ac:dyDescent="0.45">
      <c r="A85" s="42">
        <v>191216</v>
      </c>
      <c r="B85" s="44">
        <v>0.29166666666666669</v>
      </c>
      <c r="C85" s="42" t="s">
        <v>400</v>
      </c>
      <c r="D85" s="42" t="s">
        <v>409</v>
      </c>
      <c r="E85" s="42">
        <v>33</v>
      </c>
      <c r="F85" s="42">
        <v>26</v>
      </c>
      <c r="G85" s="42">
        <v>13</v>
      </c>
      <c r="H85" s="42">
        <v>35</v>
      </c>
      <c r="I85" s="42"/>
      <c r="J85" s="42">
        <v>20</v>
      </c>
      <c r="K85" s="42">
        <v>24</v>
      </c>
      <c r="L85" s="42">
        <v>22</v>
      </c>
      <c r="M85" s="42">
        <v>19</v>
      </c>
      <c r="N85" s="42" t="s">
        <v>427</v>
      </c>
      <c r="O85" s="42">
        <f t="shared" si="15"/>
        <v>107</v>
      </c>
      <c r="P85" s="42">
        <f t="shared" si="11"/>
        <v>85</v>
      </c>
      <c r="Q85" s="42" t="str">
        <f t="shared" si="12"/>
        <v>HW</v>
      </c>
      <c r="R85" s="42" t="str">
        <f t="shared" si="12"/>
        <v>HW</v>
      </c>
      <c r="S85" s="42" t="str">
        <f t="shared" si="12"/>
        <v>HL</v>
      </c>
      <c r="T85" s="42" t="str">
        <f t="shared" si="12"/>
        <v>HW</v>
      </c>
      <c r="U85" s="42" t="str">
        <f t="shared" si="13"/>
        <v>U</v>
      </c>
      <c r="V85" s="42" t="str">
        <f t="shared" si="13"/>
        <v>U</v>
      </c>
      <c r="W85" s="42" t="str">
        <f t="shared" si="13"/>
        <v>U</v>
      </c>
      <c r="X85" s="42" t="str">
        <f t="shared" si="13"/>
        <v>U</v>
      </c>
      <c r="Y85" s="42"/>
      <c r="Z85" s="42">
        <v>54.5</v>
      </c>
      <c r="AA85" s="42" t="str">
        <f t="shared" si="14"/>
        <v>IND/CHA</v>
      </c>
    </row>
    <row r="86" spans="1:27" x14ac:dyDescent="0.45">
      <c r="A86" s="42">
        <v>191216</v>
      </c>
      <c r="B86" s="44">
        <v>0.33333333333333331</v>
      </c>
      <c r="C86" s="42" t="s">
        <v>410</v>
      </c>
      <c r="D86" s="42" t="s">
        <v>419</v>
      </c>
      <c r="E86" s="42">
        <v>25</v>
      </c>
      <c r="F86" s="42">
        <v>23</v>
      </c>
      <c r="G86" s="42">
        <v>30</v>
      </c>
      <c r="H86" s="42">
        <v>18</v>
      </c>
      <c r="I86" s="42"/>
      <c r="J86" s="42">
        <v>24</v>
      </c>
      <c r="K86" s="42">
        <v>31</v>
      </c>
      <c r="L86" s="42">
        <v>27</v>
      </c>
      <c r="M86" s="42">
        <v>19</v>
      </c>
      <c r="N86" s="42" t="s">
        <v>427</v>
      </c>
      <c r="O86" s="42">
        <f t="shared" si="15"/>
        <v>96</v>
      </c>
      <c r="P86" s="42">
        <f t="shared" si="11"/>
        <v>101</v>
      </c>
      <c r="Q86" s="42" t="str">
        <f t="shared" si="12"/>
        <v>HW</v>
      </c>
      <c r="R86" s="42" t="str">
        <f t="shared" si="12"/>
        <v>HL</v>
      </c>
      <c r="S86" s="42" t="str">
        <f t="shared" si="12"/>
        <v>HW</v>
      </c>
      <c r="T86" s="42" t="str">
        <f t="shared" si="12"/>
        <v>HL</v>
      </c>
      <c r="U86" s="42" t="str">
        <f t="shared" si="13"/>
        <v>U</v>
      </c>
      <c r="V86" s="42" t="str">
        <f t="shared" si="13"/>
        <v>U</v>
      </c>
      <c r="W86" s="42" t="str">
        <f t="shared" si="13"/>
        <v>U</v>
      </c>
      <c r="X86" s="42" t="str">
        <f t="shared" si="13"/>
        <v>U</v>
      </c>
      <c r="Y86" s="42"/>
      <c r="Z86" s="42">
        <v>59</v>
      </c>
      <c r="AA86" s="42" t="str">
        <f t="shared" si="14"/>
        <v>ATL/LAL</v>
      </c>
    </row>
    <row r="87" spans="1:27" x14ac:dyDescent="0.45">
      <c r="A87" s="42">
        <v>191216</v>
      </c>
      <c r="B87" s="44">
        <v>0.33333333333333331</v>
      </c>
      <c r="C87" s="42" t="s">
        <v>407</v>
      </c>
      <c r="D87" s="42" t="s">
        <v>401</v>
      </c>
      <c r="E87" s="42">
        <v>28</v>
      </c>
      <c r="F87" s="42">
        <v>29</v>
      </c>
      <c r="G87" s="42">
        <v>26</v>
      </c>
      <c r="H87" s="42">
        <v>26</v>
      </c>
      <c r="I87" s="42"/>
      <c r="J87" s="42">
        <v>23</v>
      </c>
      <c r="K87" s="42">
        <v>20</v>
      </c>
      <c r="L87" s="42">
        <v>23</v>
      </c>
      <c r="M87" s="42">
        <v>23</v>
      </c>
      <c r="N87" s="42" t="s">
        <v>427</v>
      </c>
      <c r="O87" s="42">
        <f t="shared" si="15"/>
        <v>109</v>
      </c>
      <c r="P87" s="42">
        <f t="shared" si="11"/>
        <v>89</v>
      </c>
      <c r="Q87" s="42" t="str">
        <f t="shared" si="12"/>
        <v>HW</v>
      </c>
      <c r="R87" s="42" t="str">
        <f t="shared" si="12"/>
        <v>HW</v>
      </c>
      <c r="S87" s="42" t="str">
        <f t="shared" si="12"/>
        <v>HW</v>
      </c>
      <c r="T87" s="42" t="str">
        <f t="shared" si="12"/>
        <v>HW</v>
      </c>
      <c r="U87" s="42" t="str">
        <f t="shared" si="13"/>
        <v>U</v>
      </c>
      <c r="V87" s="42" t="str">
        <f t="shared" si="13"/>
        <v>U</v>
      </c>
      <c r="W87" s="42" t="str">
        <f t="shared" si="13"/>
        <v>U</v>
      </c>
      <c r="X87" s="42" t="str">
        <f t="shared" si="13"/>
        <v>U</v>
      </c>
      <c r="Y87" s="42"/>
      <c r="Z87" s="42">
        <v>53.5</v>
      </c>
      <c r="AA87" s="42" t="str">
        <f t="shared" si="14"/>
        <v>BKN/PHI</v>
      </c>
    </row>
    <row r="88" spans="1:27" x14ac:dyDescent="0.45">
      <c r="A88" s="42">
        <v>191216</v>
      </c>
      <c r="B88" s="44">
        <v>0.41666666666666669</v>
      </c>
      <c r="C88" s="42" t="s">
        <v>408</v>
      </c>
      <c r="D88" s="42" t="s">
        <v>399</v>
      </c>
      <c r="E88" s="42">
        <v>33</v>
      </c>
      <c r="F88" s="42">
        <v>34</v>
      </c>
      <c r="G88" s="42">
        <v>20</v>
      </c>
      <c r="H88" s="42">
        <v>24</v>
      </c>
      <c r="I88" s="42"/>
      <c r="J88" s="42">
        <v>22</v>
      </c>
      <c r="K88" s="42">
        <v>29</v>
      </c>
      <c r="L88" s="42">
        <v>33</v>
      </c>
      <c r="M88" s="42">
        <v>21</v>
      </c>
      <c r="N88" s="42" t="s">
        <v>427</v>
      </c>
      <c r="O88" s="42">
        <f t="shared" si="15"/>
        <v>111</v>
      </c>
      <c r="P88" s="42">
        <f t="shared" si="11"/>
        <v>105</v>
      </c>
      <c r="Q88" s="42" t="str">
        <f t="shared" si="12"/>
        <v>HW</v>
      </c>
      <c r="R88" s="42" t="str">
        <f t="shared" si="12"/>
        <v>HW</v>
      </c>
      <c r="S88" s="42" t="str">
        <f t="shared" si="12"/>
        <v>HL</v>
      </c>
      <c r="T88" s="42" t="str">
        <f t="shared" si="12"/>
        <v>HW</v>
      </c>
      <c r="U88" s="42" t="str">
        <f t="shared" si="13"/>
        <v>O</v>
      </c>
      <c r="V88" s="42" t="str">
        <f t="shared" si="13"/>
        <v>O</v>
      </c>
      <c r="W88" s="42" t="str">
        <f t="shared" si="13"/>
        <v>U</v>
      </c>
      <c r="X88" s="42" t="str">
        <f t="shared" si="13"/>
        <v>U</v>
      </c>
      <c r="Y88" s="42"/>
      <c r="Z88" s="42">
        <v>53.5</v>
      </c>
      <c r="AA88" s="42" t="str">
        <f t="shared" si="14"/>
        <v>DEN/NYK</v>
      </c>
    </row>
    <row r="89" spans="1:27" x14ac:dyDescent="0.45">
      <c r="A89" s="42">
        <v>191216</v>
      </c>
      <c r="B89" s="44">
        <v>0.4375</v>
      </c>
      <c r="C89" s="42" t="s">
        <v>425</v>
      </c>
      <c r="D89" s="42" t="s">
        <v>416</v>
      </c>
      <c r="E89" s="42">
        <v>18</v>
      </c>
      <c r="F89" s="42">
        <v>24</v>
      </c>
      <c r="G89" s="42">
        <v>17</v>
      </c>
      <c r="H89" s="42">
        <v>20</v>
      </c>
      <c r="I89" s="42"/>
      <c r="J89" s="42">
        <v>26</v>
      </c>
      <c r="K89" s="42">
        <v>25</v>
      </c>
      <c r="L89" s="42">
        <v>28</v>
      </c>
      <c r="M89" s="42">
        <v>21</v>
      </c>
      <c r="N89" s="42" t="s">
        <v>427</v>
      </c>
      <c r="O89" s="42">
        <f t="shared" si="15"/>
        <v>79</v>
      </c>
      <c r="P89" s="42">
        <f t="shared" si="11"/>
        <v>100</v>
      </c>
      <c r="Q89" s="42" t="str">
        <f t="shared" si="12"/>
        <v>HL</v>
      </c>
      <c r="R89" s="42" t="str">
        <f t="shared" si="12"/>
        <v>HL</v>
      </c>
      <c r="S89" s="42" t="str">
        <f t="shared" si="12"/>
        <v>HL</v>
      </c>
      <c r="T89" s="42" t="str">
        <f t="shared" si="12"/>
        <v>HL</v>
      </c>
      <c r="U89" s="42" t="str">
        <f t="shared" si="13"/>
        <v>U</v>
      </c>
      <c r="V89" s="42" t="str">
        <f t="shared" si="13"/>
        <v>U</v>
      </c>
      <c r="W89" s="42" t="str">
        <f t="shared" si="13"/>
        <v>U</v>
      </c>
      <c r="X89" s="42" t="str">
        <f t="shared" si="13"/>
        <v>U</v>
      </c>
      <c r="Y89" s="42"/>
      <c r="Z89" s="42">
        <v>54</v>
      </c>
      <c r="AA89" s="42" t="str">
        <f t="shared" si="14"/>
        <v>GS/SAC</v>
      </c>
    </row>
    <row r="90" spans="1:27" x14ac:dyDescent="0.45">
      <c r="A90" s="42">
        <v>191217</v>
      </c>
      <c r="B90" s="44">
        <v>0.375</v>
      </c>
      <c r="C90" s="42" t="s">
        <v>422</v>
      </c>
      <c r="D90" s="42" t="s">
        <v>414</v>
      </c>
      <c r="E90" s="42">
        <v>31</v>
      </c>
      <c r="F90" s="42">
        <v>30</v>
      </c>
      <c r="G90" s="42">
        <v>30</v>
      </c>
      <c r="H90" s="42">
        <v>28</v>
      </c>
      <c r="I90" s="42"/>
      <c r="J90" s="42">
        <v>43</v>
      </c>
      <c r="K90" s="42">
        <v>24</v>
      </c>
      <c r="L90" s="42">
        <v>29</v>
      </c>
      <c r="M90" s="42">
        <v>37</v>
      </c>
      <c r="N90" s="42" t="s">
        <v>427</v>
      </c>
      <c r="O90" s="42">
        <f t="shared" si="15"/>
        <v>119</v>
      </c>
      <c r="P90" s="42">
        <f t="shared" si="11"/>
        <v>133</v>
      </c>
      <c r="Q90" s="42" t="str">
        <f t="shared" si="12"/>
        <v>HL</v>
      </c>
      <c r="R90" s="42" t="str">
        <f t="shared" si="12"/>
        <v>HW</v>
      </c>
      <c r="S90" s="42" t="str">
        <f t="shared" si="12"/>
        <v>HW</v>
      </c>
      <c r="T90" s="42" t="str">
        <f t="shared" si="12"/>
        <v>HL</v>
      </c>
      <c r="U90" s="42" t="str">
        <f t="shared" si="13"/>
        <v>O</v>
      </c>
      <c r="V90" s="42" t="str">
        <f t="shared" si="13"/>
        <v>U</v>
      </c>
      <c r="W90" s="42" t="str">
        <f t="shared" si="13"/>
        <v>U</v>
      </c>
      <c r="X90" s="42" t="str">
        <f t="shared" si="13"/>
        <v>O</v>
      </c>
      <c r="Y90" s="42"/>
      <c r="Z90" s="42">
        <v>59.5</v>
      </c>
      <c r="AA90" s="42" t="str">
        <f t="shared" si="14"/>
        <v>DET/WAS</v>
      </c>
    </row>
    <row r="91" spans="1:27" x14ac:dyDescent="0.45">
      <c r="A91" s="42">
        <v>191217</v>
      </c>
      <c r="B91" s="44">
        <v>0.39583333333333331</v>
      </c>
      <c r="C91" s="42" t="s">
        <v>413</v>
      </c>
      <c r="D91" s="42" t="s">
        <v>402</v>
      </c>
      <c r="E91" s="42">
        <v>37</v>
      </c>
      <c r="F91" s="42">
        <v>29</v>
      </c>
      <c r="G91" s="42">
        <v>38</v>
      </c>
      <c r="H91" s="42">
        <v>29</v>
      </c>
      <c r="I91" s="42"/>
      <c r="J91" s="42">
        <v>29</v>
      </c>
      <c r="K91" s="42">
        <v>25</v>
      </c>
      <c r="L91" s="42">
        <v>30</v>
      </c>
      <c r="M91" s="42">
        <v>29</v>
      </c>
      <c r="N91" s="42" t="s">
        <v>427</v>
      </c>
      <c r="O91" s="42">
        <f t="shared" si="15"/>
        <v>133</v>
      </c>
      <c r="P91" s="42">
        <f t="shared" si="11"/>
        <v>113</v>
      </c>
      <c r="Q91" s="42" t="str">
        <f t="shared" si="12"/>
        <v>HW</v>
      </c>
      <c r="R91" s="42" t="str">
        <f t="shared" si="12"/>
        <v>HW</v>
      </c>
      <c r="S91" s="42" t="str">
        <f t="shared" si="12"/>
        <v>HW</v>
      </c>
      <c r="T91" s="42" t="str">
        <f t="shared" si="12"/>
        <v>TT</v>
      </c>
      <c r="U91" s="42" t="str">
        <f t="shared" si="13"/>
        <v>O</v>
      </c>
      <c r="V91" s="42" t="str">
        <f t="shared" si="13"/>
        <v>O</v>
      </c>
      <c r="W91" s="42" t="str">
        <f t="shared" si="13"/>
        <v>O</v>
      </c>
      <c r="X91" s="42" t="str">
        <f t="shared" si="13"/>
        <v>O</v>
      </c>
      <c r="Y91" s="42"/>
      <c r="Z91" s="42">
        <v>53.5</v>
      </c>
      <c r="AA91" s="42" t="str">
        <f t="shared" si="14"/>
        <v>TOR/CLE</v>
      </c>
    </row>
    <row r="92" spans="1:27" x14ac:dyDescent="0.45">
      <c r="A92" s="42">
        <v>191217</v>
      </c>
      <c r="B92" s="44">
        <v>0.41666666666666669</v>
      </c>
      <c r="C92" s="42" t="s">
        <v>403</v>
      </c>
      <c r="D92" s="42" t="s">
        <v>426</v>
      </c>
      <c r="E92" s="42">
        <v>21</v>
      </c>
      <c r="F92" s="42">
        <v>32</v>
      </c>
      <c r="G92" s="42">
        <v>30</v>
      </c>
      <c r="H92" s="42">
        <v>26</v>
      </c>
      <c r="I92" s="42"/>
      <c r="J92" s="42">
        <v>35</v>
      </c>
      <c r="K92" s="42">
        <v>37</v>
      </c>
      <c r="L92" s="42">
        <v>17</v>
      </c>
      <c r="M92" s="42">
        <v>18</v>
      </c>
      <c r="N92" s="42" t="s">
        <v>427</v>
      </c>
      <c r="O92" s="42">
        <f t="shared" si="15"/>
        <v>109</v>
      </c>
      <c r="P92" s="42">
        <f t="shared" si="11"/>
        <v>107</v>
      </c>
      <c r="Q92" s="42" t="str">
        <f t="shared" si="12"/>
        <v>HL</v>
      </c>
      <c r="R92" s="42" t="str">
        <f t="shared" si="12"/>
        <v>HL</v>
      </c>
      <c r="S92" s="42" t="str">
        <f t="shared" si="12"/>
        <v>HW</v>
      </c>
      <c r="T92" s="42" t="str">
        <f t="shared" si="12"/>
        <v>HW</v>
      </c>
      <c r="U92" s="42" t="str">
        <f t="shared" si="13"/>
        <v>U</v>
      </c>
      <c r="V92" s="42" t="str">
        <f t="shared" si="13"/>
        <v>O</v>
      </c>
      <c r="W92" s="42" t="str">
        <f t="shared" si="13"/>
        <v>U</v>
      </c>
      <c r="X92" s="42" t="str">
        <f t="shared" si="13"/>
        <v>U</v>
      </c>
      <c r="Y92" s="42"/>
      <c r="Z92" s="42">
        <v>57</v>
      </c>
      <c r="AA92" s="42" t="str">
        <f t="shared" si="14"/>
        <v>HOU/SAS</v>
      </c>
    </row>
    <row r="93" spans="1:27" x14ac:dyDescent="0.45">
      <c r="A93" s="42">
        <v>191217</v>
      </c>
      <c r="B93" s="44">
        <v>0.41666666666666669</v>
      </c>
      <c r="C93" s="42" t="s">
        <v>423</v>
      </c>
      <c r="D93" s="42" t="s">
        <v>397</v>
      </c>
      <c r="E93" s="42">
        <v>22</v>
      </c>
      <c r="F93" s="42">
        <v>34</v>
      </c>
      <c r="G93" s="42">
        <v>20</v>
      </c>
      <c r="H93" s="42">
        <v>40</v>
      </c>
      <c r="I93" s="42"/>
      <c r="J93" s="42">
        <v>36</v>
      </c>
      <c r="K93" s="42">
        <v>23</v>
      </c>
      <c r="L93" s="42">
        <v>27</v>
      </c>
      <c r="M93" s="42">
        <v>34</v>
      </c>
      <c r="N93" s="42" t="s">
        <v>427</v>
      </c>
      <c r="O93" s="42">
        <f t="shared" si="15"/>
        <v>116</v>
      </c>
      <c r="P93" s="42">
        <f t="shared" si="11"/>
        <v>120</v>
      </c>
      <c r="Q93" s="42" t="str">
        <f t="shared" si="12"/>
        <v>HL</v>
      </c>
      <c r="R93" s="42" t="str">
        <f t="shared" si="12"/>
        <v>HW</v>
      </c>
      <c r="S93" s="42" t="str">
        <f t="shared" si="12"/>
        <v>HL</v>
      </c>
      <c r="T93" s="42" t="str">
        <f t="shared" si="12"/>
        <v>HW</v>
      </c>
      <c r="U93" s="42" t="str">
        <f t="shared" si="13"/>
        <v>U</v>
      </c>
      <c r="V93" s="42" t="str">
        <f t="shared" si="13"/>
        <v>U</v>
      </c>
      <c r="W93" s="42" t="str">
        <f t="shared" si="13"/>
        <v>U</v>
      </c>
      <c r="X93" s="42" t="str">
        <f t="shared" si="13"/>
        <v>O</v>
      </c>
      <c r="Y93" s="42"/>
      <c r="Z93" s="42">
        <v>58.5</v>
      </c>
      <c r="AA93" s="42" t="str">
        <f t="shared" si="14"/>
        <v>MIL/DAL</v>
      </c>
    </row>
    <row r="94" spans="1:27" x14ac:dyDescent="0.45">
      <c r="A94" s="42">
        <v>191217</v>
      </c>
      <c r="B94" s="44">
        <v>0.41666666666666669</v>
      </c>
      <c r="C94" s="42" t="s">
        <v>418</v>
      </c>
      <c r="D94" s="42" t="s">
        <v>412</v>
      </c>
      <c r="E94" s="42">
        <v>16</v>
      </c>
      <c r="F94" s="42">
        <v>33</v>
      </c>
      <c r="G94" s="42">
        <v>33</v>
      </c>
      <c r="H94" s="42">
        <v>27</v>
      </c>
      <c r="I94" s="42"/>
      <c r="J94" s="42">
        <v>37</v>
      </c>
      <c r="K94" s="42">
        <v>31</v>
      </c>
      <c r="L94" s="42">
        <v>22</v>
      </c>
      <c r="M94" s="42">
        <v>16</v>
      </c>
      <c r="N94" s="42" t="s">
        <v>427</v>
      </c>
      <c r="O94" s="42">
        <f t="shared" si="15"/>
        <v>109</v>
      </c>
      <c r="P94" s="42">
        <f t="shared" si="11"/>
        <v>106</v>
      </c>
      <c r="Q94" s="42" t="str">
        <f t="shared" si="12"/>
        <v>HL</v>
      </c>
      <c r="R94" s="42" t="str">
        <f t="shared" si="12"/>
        <v>HW</v>
      </c>
      <c r="S94" s="42" t="str">
        <f t="shared" si="12"/>
        <v>HW</v>
      </c>
      <c r="T94" s="42" t="str">
        <f t="shared" si="12"/>
        <v>HW</v>
      </c>
      <c r="U94" s="42" t="str">
        <f t="shared" si="13"/>
        <v>U</v>
      </c>
      <c r="V94" s="42" t="str">
        <f t="shared" si="13"/>
        <v>O</v>
      </c>
      <c r="W94" s="42" t="str">
        <f t="shared" si="13"/>
        <v>O</v>
      </c>
      <c r="X94" s="42" t="str">
        <f t="shared" si="13"/>
        <v>U</v>
      </c>
      <c r="Y94" s="42"/>
      <c r="Z94" s="42">
        <v>53.5</v>
      </c>
      <c r="AA94" s="42" t="str">
        <f t="shared" si="14"/>
        <v>OKC/CHI</v>
      </c>
    </row>
    <row r="95" spans="1:27" x14ac:dyDescent="0.45">
      <c r="A95" s="42">
        <v>191217</v>
      </c>
      <c r="B95" s="44">
        <v>0.41666666666666669</v>
      </c>
      <c r="C95" s="42" t="s">
        <v>406</v>
      </c>
      <c r="D95" s="42" t="s">
        <v>411</v>
      </c>
      <c r="E95" s="42">
        <v>36</v>
      </c>
      <c r="F95" s="42">
        <v>37</v>
      </c>
      <c r="G95" s="42">
        <v>22</v>
      </c>
      <c r="H95" s="42">
        <v>23</v>
      </c>
      <c r="I95" s="42"/>
      <c r="J95" s="42">
        <v>32</v>
      </c>
      <c r="K95" s="42">
        <v>26</v>
      </c>
      <c r="L95" s="42">
        <v>28</v>
      </c>
      <c r="M95" s="42">
        <v>25</v>
      </c>
      <c r="N95" s="42" t="s">
        <v>427</v>
      </c>
      <c r="O95" s="42">
        <f t="shared" si="15"/>
        <v>118</v>
      </c>
      <c r="P95" s="42">
        <f t="shared" si="11"/>
        <v>111</v>
      </c>
      <c r="Q95" s="42" t="str">
        <f t="shared" si="12"/>
        <v>HW</v>
      </c>
      <c r="R95" s="42" t="str">
        <f t="shared" si="12"/>
        <v>HW</v>
      </c>
      <c r="S95" s="42" t="str">
        <f t="shared" si="12"/>
        <v>HL</v>
      </c>
      <c r="T95" s="42" t="str">
        <f t="shared" si="12"/>
        <v>HL</v>
      </c>
      <c r="U95" s="42" t="str">
        <f t="shared" si="13"/>
        <v>O</v>
      </c>
      <c r="V95" s="42" t="str">
        <f t="shared" si="13"/>
        <v>O</v>
      </c>
      <c r="W95" s="42" t="str">
        <f t="shared" si="13"/>
        <v>U</v>
      </c>
      <c r="X95" s="42" t="str">
        <f t="shared" si="13"/>
        <v>U</v>
      </c>
      <c r="Y95" s="42"/>
      <c r="Z95" s="42">
        <v>56</v>
      </c>
      <c r="AA95" s="42" t="str">
        <f t="shared" si="14"/>
        <v>MEM/MIA</v>
      </c>
    </row>
    <row r="96" spans="1:27" x14ac:dyDescent="0.45">
      <c r="A96" s="42">
        <v>191217</v>
      </c>
      <c r="B96" s="44">
        <v>0.45833333333333331</v>
      </c>
      <c r="C96" s="42" t="s">
        <v>404</v>
      </c>
      <c r="D96" s="42" t="s">
        <v>417</v>
      </c>
      <c r="E96" s="42">
        <v>33</v>
      </c>
      <c r="F96" s="42">
        <v>34</v>
      </c>
      <c r="G96" s="42">
        <v>21</v>
      </c>
      <c r="H96" s="42">
        <v>22</v>
      </c>
      <c r="I96" s="42"/>
      <c r="J96" s="42">
        <v>25</v>
      </c>
      <c r="K96" s="42">
        <v>34</v>
      </c>
      <c r="L96" s="42">
        <v>31</v>
      </c>
      <c r="M96" s="42">
        <v>21</v>
      </c>
      <c r="N96" s="42" t="s">
        <v>427</v>
      </c>
      <c r="O96" s="42">
        <f t="shared" si="15"/>
        <v>110</v>
      </c>
      <c r="P96" s="42">
        <f t="shared" si="11"/>
        <v>111</v>
      </c>
      <c r="Q96" s="42" t="str">
        <f t="shared" si="12"/>
        <v>HW</v>
      </c>
      <c r="R96" s="42" t="str">
        <f t="shared" si="12"/>
        <v>TT</v>
      </c>
      <c r="S96" s="42" t="str">
        <f t="shared" si="12"/>
        <v>HL</v>
      </c>
      <c r="T96" s="42" t="str">
        <f t="shared" si="12"/>
        <v>HW</v>
      </c>
      <c r="U96" s="42" t="str">
        <f t="shared" si="13"/>
        <v>T</v>
      </c>
      <c r="V96" s="42" t="str">
        <f t="shared" si="13"/>
        <v>O</v>
      </c>
      <c r="W96" s="42" t="str">
        <f t="shared" si="13"/>
        <v>U</v>
      </c>
      <c r="X96" s="42" t="str">
        <f t="shared" si="13"/>
        <v>U</v>
      </c>
      <c r="Y96" s="42"/>
      <c r="Z96" s="42">
        <v>58</v>
      </c>
      <c r="AA96" s="42" t="str">
        <f t="shared" si="14"/>
        <v>PHO/POR</v>
      </c>
    </row>
    <row r="97" spans="1:27" x14ac:dyDescent="0.45">
      <c r="A97" s="42">
        <v>191218</v>
      </c>
      <c r="B97" s="44">
        <v>0.375</v>
      </c>
      <c r="C97" s="42" t="s">
        <v>400</v>
      </c>
      <c r="D97" s="42" t="s">
        <v>419</v>
      </c>
      <c r="E97" s="42">
        <v>24</v>
      </c>
      <c r="F97" s="42">
        <v>26</v>
      </c>
      <c r="G97" s="42">
        <v>28</v>
      </c>
      <c r="H97" s="42">
        <v>27</v>
      </c>
      <c r="I97" s="42"/>
      <c r="J97" s="42">
        <v>28</v>
      </c>
      <c r="K97" s="42">
        <v>24</v>
      </c>
      <c r="L97" s="42">
        <v>24</v>
      </c>
      <c r="M97" s="42">
        <v>26</v>
      </c>
      <c r="N97" s="42" t="s">
        <v>427</v>
      </c>
      <c r="O97" s="42">
        <f t="shared" si="15"/>
        <v>105</v>
      </c>
      <c r="P97" s="42">
        <f t="shared" si="11"/>
        <v>102</v>
      </c>
      <c r="Q97" s="42" t="str">
        <f t="shared" si="12"/>
        <v>HL</v>
      </c>
      <c r="R97" s="42" t="str">
        <f t="shared" si="12"/>
        <v>HW</v>
      </c>
      <c r="S97" s="42" t="str">
        <f t="shared" si="12"/>
        <v>HW</v>
      </c>
      <c r="T97" s="42" t="str">
        <f t="shared" si="12"/>
        <v>HW</v>
      </c>
      <c r="U97" s="42" t="str">
        <f t="shared" si="13"/>
        <v>U</v>
      </c>
      <c r="V97" s="42" t="str">
        <f t="shared" si="13"/>
        <v>U</v>
      </c>
      <c r="W97" s="42" t="str">
        <f t="shared" si="13"/>
        <v>U</v>
      </c>
      <c r="X97" s="42" t="str">
        <f t="shared" si="13"/>
        <v>U</v>
      </c>
      <c r="Y97" s="42"/>
      <c r="Z97" s="42">
        <v>54.5</v>
      </c>
      <c r="AA97" s="42" t="str">
        <f t="shared" si="14"/>
        <v>IND/LAL</v>
      </c>
    </row>
    <row r="98" spans="1:27" x14ac:dyDescent="0.45">
      <c r="A98" s="42">
        <v>191218</v>
      </c>
      <c r="B98" s="44">
        <v>0.375</v>
      </c>
      <c r="C98" s="42" t="s">
        <v>409</v>
      </c>
      <c r="D98" s="42" t="s">
        <v>416</v>
      </c>
      <c r="E98" s="42">
        <v>26</v>
      </c>
      <c r="F98" s="42">
        <v>27</v>
      </c>
      <c r="G98" s="42">
        <v>27</v>
      </c>
      <c r="H98" s="42">
        <v>30</v>
      </c>
      <c r="I98" s="42"/>
      <c r="J98" s="42">
        <v>21</v>
      </c>
      <c r="K98" s="42">
        <v>26</v>
      </c>
      <c r="L98" s="42">
        <v>32</v>
      </c>
      <c r="M98" s="42">
        <v>23</v>
      </c>
      <c r="N98" s="42" t="s">
        <v>427</v>
      </c>
      <c r="O98" s="42">
        <f t="shared" si="15"/>
        <v>110</v>
      </c>
      <c r="P98" s="42">
        <f t="shared" si="11"/>
        <v>102</v>
      </c>
      <c r="Q98" s="42" t="str">
        <f t="shared" si="12"/>
        <v>HW</v>
      </c>
      <c r="R98" s="42" t="str">
        <f t="shared" si="12"/>
        <v>HW</v>
      </c>
      <c r="S98" s="42" t="str">
        <f t="shared" si="12"/>
        <v>HL</v>
      </c>
      <c r="T98" s="42" t="str">
        <f t="shared" si="12"/>
        <v>HW</v>
      </c>
      <c r="U98" s="42" t="str">
        <f t="shared" si="13"/>
        <v>U</v>
      </c>
      <c r="V98" s="42" t="str">
        <f t="shared" si="13"/>
        <v>U</v>
      </c>
      <c r="W98" s="42" t="str">
        <f t="shared" si="13"/>
        <v>O</v>
      </c>
      <c r="X98" s="42" t="str">
        <f t="shared" si="13"/>
        <v>U</v>
      </c>
      <c r="Y98" s="42"/>
      <c r="Z98" s="42">
        <v>54</v>
      </c>
      <c r="AA98" s="42" t="str">
        <f t="shared" si="14"/>
        <v>CHA/SAC</v>
      </c>
    </row>
    <row r="99" spans="1:27" x14ac:dyDescent="0.45">
      <c r="A99" s="42">
        <v>191218</v>
      </c>
      <c r="B99" s="44">
        <v>0.39583333333333331</v>
      </c>
      <c r="C99" s="42" t="s">
        <v>399</v>
      </c>
      <c r="D99" s="42" t="s">
        <v>410</v>
      </c>
      <c r="E99" s="42">
        <v>41</v>
      </c>
      <c r="F99" s="42">
        <v>36</v>
      </c>
      <c r="G99" s="42">
        <v>32</v>
      </c>
      <c r="H99" s="42">
        <v>34</v>
      </c>
      <c r="I99" s="42"/>
      <c r="J99" s="42">
        <v>27</v>
      </c>
      <c r="K99" s="42">
        <v>26</v>
      </c>
      <c r="L99" s="42">
        <v>31</v>
      </c>
      <c r="M99" s="42">
        <v>36</v>
      </c>
      <c r="N99" s="42" t="s">
        <v>427</v>
      </c>
      <c r="O99" s="42">
        <f t="shared" si="15"/>
        <v>143</v>
      </c>
      <c r="P99" s="42">
        <f t="shared" si="11"/>
        <v>120</v>
      </c>
      <c r="Q99" s="42" t="str">
        <f t="shared" si="12"/>
        <v>HW</v>
      </c>
      <c r="R99" s="42" t="str">
        <f t="shared" si="12"/>
        <v>HW</v>
      </c>
      <c r="S99" s="42" t="str">
        <f t="shared" si="12"/>
        <v>HW</v>
      </c>
      <c r="T99" s="42" t="str">
        <f t="shared" si="12"/>
        <v>HL</v>
      </c>
      <c r="U99" s="42" t="str">
        <f t="shared" si="13"/>
        <v>O</v>
      </c>
      <c r="V99" s="42" t="str">
        <f t="shared" si="13"/>
        <v>O</v>
      </c>
      <c r="W99" s="42" t="str">
        <f t="shared" si="13"/>
        <v>O</v>
      </c>
      <c r="X99" s="42" t="str">
        <f t="shared" si="13"/>
        <v>O</v>
      </c>
      <c r="Y99" s="42"/>
      <c r="Z99" s="42">
        <v>58</v>
      </c>
      <c r="AA99" s="42" t="str">
        <f t="shared" si="14"/>
        <v>NYK/ATL</v>
      </c>
    </row>
    <row r="100" spans="1:27" x14ac:dyDescent="0.45">
      <c r="A100" s="42">
        <v>191218</v>
      </c>
      <c r="B100" s="44">
        <v>0.41666666666666669</v>
      </c>
      <c r="C100" s="42" t="s">
        <v>398</v>
      </c>
      <c r="D100" s="42" t="s">
        <v>407</v>
      </c>
      <c r="E100" s="42">
        <v>21</v>
      </c>
      <c r="F100" s="42">
        <v>14</v>
      </c>
      <c r="G100" s="42">
        <v>29</v>
      </c>
      <c r="H100" s="42">
        <v>29</v>
      </c>
      <c r="I100" s="42">
        <v>8</v>
      </c>
      <c r="J100" s="42">
        <v>21</v>
      </c>
      <c r="K100" s="42">
        <v>21</v>
      </c>
      <c r="L100" s="42">
        <v>19</v>
      </c>
      <c r="M100" s="42">
        <v>32</v>
      </c>
      <c r="N100" s="42">
        <v>15</v>
      </c>
      <c r="O100" s="42">
        <f t="shared" si="15"/>
        <v>101</v>
      </c>
      <c r="P100" s="42">
        <f t="shared" si="11"/>
        <v>108</v>
      </c>
      <c r="Q100" s="42" t="str">
        <f t="shared" si="12"/>
        <v>TT</v>
      </c>
      <c r="R100" s="42" t="str">
        <f t="shared" si="12"/>
        <v>HL</v>
      </c>
      <c r="S100" s="42" t="str">
        <f t="shared" si="12"/>
        <v>HW</v>
      </c>
      <c r="T100" s="42" t="str">
        <f t="shared" si="12"/>
        <v>HL</v>
      </c>
      <c r="U100" s="42" t="str">
        <f t="shared" si="13"/>
        <v>U</v>
      </c>
      <c r="V100" s="42" t="str">
        <f t="shared" si="13"/>
        <v>U</v>
      </c>
      <c r="W100" s="42" t="str">
        <f t="shared" si="13"/>
        <v>U</v>
      </c>
      <c r="X100" s="42" t="str">
        <f t="shared" si="13"/>
        <v>O</v>
      </c>
      <c r="Y100" s="42"/>
      <c r="Z100" s="42">
        <v>56</v>
      </c>
      <c r="AA100" s="42" t="str">
        <f t="shared" si="14"/>
        <v>NO/BKN</v>
      </c>
    </row>
    <row r="101" spans="1:27" x14ac:dyDescent="0.45">
      <c r="A101" s="42">
        <v>191218</v>
      </c>
      <c r="B101" s="44">
        <v>0.45833333333333331</v>
      </c>
      <c r="C101" s="42" t="s">
        <v>405</v>
      </c>
      <c r="D101" s="42" t="s">
        <v>424</v>
      </c>
      <c r="E101" s="42">
        <v>26</v>
      </c>
      <c r="F101" s="42">
        <v>32</v>
      </c>
      <c r="G101" s="42">
        <v>24</v>
      </c>
      <c r="H101" s="42">
        <v>27</v>
      </c>
      <c r="I101" s="42"/>
      <c r="J101" s="42">
        <v>20</v>
      </c>
      <c r="K101" s="42">
        <v>27</v>
      </c>
      <c r="L101" s="42">
        <v>24</v>
      </c>
      <c r="M101" s="42">
        <v>31</v>
      </c>
      <c r="N101" s="42" t="s">
        <v>427</v>
      </c>
      <c r="O101" s="42">
        <f t="shared" si="15"/>
        <v>109</v>
      </c>
      <c r="P101" s="42">
        <f t="shared" si="11"/>
        <v>102</v>
      </c>
      <c r="Q101" s="42" t="str">
        <f t="shared" si="12"/>
        <v>HW</v>
      </c>
      <c r="R101" s="42" t="str">
        <f t="shared" si="12"/>
        <v>HW</v>
      </c>
      <c r="S101" s="42" t="str">
        <f t="shared" si="12"/>
        <v>TT</v>
      </c>
      <c r="T101" s="42" t="str">
        <f t="shared" si="12"/>
        <v>HL</v>
      </c>
      <c r="U101" s="42" t="str">
        <f t="shared" si="13"/>
        <v>U</v>
      </c>
      <c r="V101" s="42" t="str">
        <f t="shared" si="13"/>
        <v>O</v>
      </c>
      <c r="W101" s="42" t="str">
        <f t="shared" si="13"/>
        <v>U</v>
      </c>
      <c r="X101" s="42" t="str">
        <f t="shared" si="13"/>
        <v>O</v>
      </c>
      <c r="Y101" s="42"/>
      <c r="Z101" s="42">
        <v>53.5</v>
      </c>
      <c r="AA101" s="42" t="str">
        <f t="shared" si="14"/>
        <v>UTA/ORL</v>
      </c>
    </row>
    <row r="102" spans="1:27" x14ac:dyDescent="0.45">
      <c r="A102" s="42">
        <v>191218</v>
      </c>
      <c r="B102" s="44">
        <v>0.52083333333333337</v>
      </c>
      <c r="C102" s="42" t="s">
        <v>415</v>
      </c>
      <c r="D102" s="42" t="s">
        <v>404</v>
      </c>
      <c r="E102" s="42">
        <v>31</v>
      </c>
      <c r="F102" s="42">
        <v>23</v>
      </c>
      <c r="G102" s="42">
        <v>36</v>
      </c>
      <c r="H102" s="42">
        <v>30</v>
      </c>
      <c r="I102" s="42"/>
      <c r="J102" s="42">
        <v>23</v>
      </c>
      <c r="K102" s="42">
        <v>21</v>
      </c>
      <c r="L102" s="42">
        <v>25</v>
      </c>
      <c r="M102" s="42">
        <v>30</v>
      </c>
      <c r="N102" s="42" t="s">
        <v>427</v>
      </c>
      <c r="O102" s="42">
        <f t="shared" si="15"/>
        <v>120</v>
      </c>
      <c r="P102" s="42">
        <f t="shared" si="11"/>
        <v>99</v>
      </c>
      <c r="Q102" s="42" t="str">
        <f t="shared" si="12"/>
        <v>HW</v>
      </c>
      <c r="R102" s="42" t="str">
        <f t="shared" si="12"/>
        <v>HW</v>
      </c>
      <c r="S102" s="42" t="str">
        <f t="shared" si="12"/>
        <v>HW</v>
      </c>
      <c r="T102" s="42" t="str">
        <f t="shared" si="12"/>
        <v>TT</v>
      </c>
      <c r="U102" s="42" t="str">
        <f t="shared" si="13"/>
        <v>U</v>
      </c>
      <c r="V102" s="42" t="str">
        <f t="shared" si="13"/>
        <v>U</v>
      </c>
      <c r="W102" s="42" t="str">
        <f t="shared" si="13"/>
        <v>O</v>
      </c>
      <c r="X102" s="42" t="str">
        <f t="shared" si="13"/>
        <v>O</v>
      </c>
      <c r="Y102" s="42"/>
      <c r="Z102" s="42">
        <v>55.5</v>
      </c>
      <c r="AA102" s="42" t="str">
        <f t="shared" si="14"/>
        <v>LAC/PHO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TJ Kim</cp:lastModifiedBy>
  <dcterms:created xsi:type="dcterms:W3CDTF">2019-10-26T09:51:06Z</dcterms:created>
  <dcterms:modified xsi:type="dcterms:W3CDTF">2019-12-19T01:17:44Z</dcterms:modified>
</cp:coreProperties>
</file>