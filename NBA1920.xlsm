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05" yWindow="-105" windowWidth="19425" windowHeight="10425"/>
  </bookViews>
  <sheets>
    <sheet name="T" sheetId="3" r:id="rId1"/>
    <sheet name="T (2)" sheetId="5" r:id="rId2"/>
    <sheet name="Sheet4" sheetId="4" r:id="rId3"/>
  </sheets>
  <definedNames>
    <definedName name="_xlnm._FilterDatabase" localSheetId="0" hidden="1">T!$AA$1:$AA$36</definedName>
    <definedName name="_xlnm._FilterDatabase" localSheetId="1" hidden="1">'T (2)'!$AB$1:$AB$41</definedName>
  </definedNames>
  <calcPr calcId="144525"/>
</workbook>
</file>

<file path=xl/calcChain.xml><?xml version="1.0" encoding="utf-8"?>
<calcChain xmlns="http://schemas.openxmlformats.org/spreadsheetml/2006/main">
  <c r="AA168" i="3" l="1"/>
  <c r="AA169" i="3"/>
  <c r="AA170" i="3"/>
  <c r="AA171" i="3"/>
  <c r="AA172" i="3"/>
  <c r="AA173" i="3"/>
  <c r="AA174" i="3"/>
  <c r="AA175" i="3"/>
  <c r="O168" i="3"/>
  <c r="P168" i="3"/>
  <c r="Q168" i="3"/>
  <c r="R168" i="3"/>
  <c r="S168" i="3"/>
  <c r="T168" i="3"/>
  <c r="U168" i="3"/>
  <c r="V168" i="3"/>
  <c r="W168" i="3"/>
  <c r="X168" i="3"/>
  <c r="O169" i="3"/>
  <c r="P169" i="3"/>
  <c r="Q169" i="3"/>
  <c r="R169" i="3"/>
  <c r="S169" i="3"/>
  <c r="T169" i="3"/>
  <c r="U169" i="3"/>
  <c r="V169" i="3"/>
  <c r="W169" i="3"/>
  <c r="X169" i="3"/>
  <c r="O170" i="3"/>
  <c r="P170" i="3"/>
  <c r="Q170" i="3"/>
  <c r="R170" i="3"/>
  <c r="S170" i="3"/>
  <c r="T170" i="3"/>
  <c r="U170" i="3"/>
  <c r="V170" i="3"/>
  <c r="W170" i="3"/>
  <c r="X170" i="3"/>
  <c r="O171" i="3"/>
  <c r="P171" i="3"/>
  <c r="Q171" i="3"/>
  <c r="R171" i="3"/>
  <c r="S171" i="3"/>
  <c r="T171" i="3"/>
  <c r="U171" i="3"/>
  <c r="V171" i="3"/>
  <c r="W171" i="3"/>
  <c r="X171" i="3"/>
  <c r="O172" i="3"/>
  <c r="P172" i="3"/>
  <c r="Q172" i="3"/>
  <c r="R172" i="3"/>
  <c r="S172" i="3"/>
  <c r="T172" i="3"/>
  <c r="U172" i="3"/>
  <c r="V172" i="3"/>
  <c r="W172" i="3"/>
  <c r="X172" i="3"/>
  <c r="O173" i="3"/>
  <c r="P173" i="3"/>
  <c r="Q173" i="3"/>
  <c r="R173" i="3"/>
  <c r="S173" i="3"/>
  <c r="T173" i="3"/>
  <c r="U173" i="3"/>
  <c r="V173" i="3"/>
  <c r="W173" i="3"/>
  <c r="X173" i="3"/>
  <c r="O174" i="3"/>
  <c r="P174" i="3"/>
  <c r="Q174" i="3"/>
  <c r="R174" i="3"/>
  <c r="S174" i="3"/>
  <c r="T174" i="3"/>
  <c r="U174" i="3"/>
  <c r="V174" i="3"/>
  <c r="W174" i="3"/>
  <c r="X174" i="3"/>
  <c r="O175" i="3"/>
  <c r="P175" i="3"/>
  <c r="Q175" i="3"/>
  <c r="R175" i="3"/>
  <c r="S175" i="3"/>
  <c r="T175" i="3"/>
  <c r="U175" i="3"/>
  <c r="V175" i="3"/>
  <c r="W175" i="3"/>
  <c r="X175" i="3"/>
  <c r="O162" i="5"/>
  <c r="P162" i="5"/>
  <c r="Q162" i="5"/>
  <c r="R162" i="5"/>
  <c r="S162" i="5"/>
  <c r="T162" i="5"/>
  <c r="U162" i="5"/>
  <c r="V162" i="5"/>
  <c r="AD162" i="5" s="1"/>
  <c r="W162" i="5"/>
  <c r="X162" i="5"/>
  <c r="AB162" i="5"/>
  <c r="O163" i="5"/>
  <c r="P163" i="5"/>
  <c r="Q163" i="5"/>
  <c r="R163" i="5"/>
  <c r="S163" i="5"/>
  <c r="T163" i="5"/>
  <c r="U163" i="5"/>
  <c r="V163" i="5"/>
  <c r="W163" i="5"/>
  <c r="X163" i="5"/>
  <c r="AB163" i="5"/>
  <c r="O164" i="5"/>
  <c r="P164" i="5"/>
  <c r="Q164" i="5"/>
  <c r="R164" i="5"/>
  <c r="S164" i="5"/>
  <c r="T164" i="5"/>
  <c r="U164" i="5"/>
  <c r="V164" i="5"/>
  <c r="W164" i="5"/>
  <c r="X164" i="5"/>
  <c r="AB164" i="5"/>
  <c r="O165" i="5"/>
  <c r="P165" i="5"/>
  <c r="Q165" i="5"/>
  <c r="R165" i="5"/>
  <c r="S165" i="5"/>
  <c r="T165" i="5"/>
  <c r="U165" i="5"/>
  <c r="V165" i="5"/>
  <c r="W165" i="5"/>
  <c r="X165" i="5"/>
  <c r="AB165" i="5"/>
  <c r="O166" i="5"/>
  <c r="P166" i="5"/>
  <c r="Q166" i="5"/>
  <c r="R166" i="5"/>
  <c r="S166" i="5"/>
  <c r="T166" i="5"/>
  <c r="U166" i="5"/>
  <c r="V166" i="5"/>
  <c r="W166" i="5"/>
  <c r="X166" i="5"/>
  <c r="AB166" i="5"/>
  <c r="O167" i="5"/>
  <c r="P167" i="5"/>
  <c r="Q167" i="5"/>
  <c r="R167" i="5"/>
  <c r="S167" i="5"/>
  <c r="T167" i="5"/>
  <c r="U167" i="5"/>
  <c r="V167" i="5"/>
  <c r="W167" i="5"/>
  <c r="X167" i="5"/>
  <c r="AB167" i="5"/>
  <c r="O168" i="5"/>
  <c r="P168" i="5"/>
  <c r="Q168" i="5"/>
  <c r="R168" i="5"/>
  <c r="S168" i="5"/>
  <c r="T168" i="5"/>
  <c r="U168" i="5"/>
  <c r="V168" i="5"/>
  <c r="W168" i="5"/>
  <c r="X168" i="5"/>
  <c r="AB168" i="5"/>
  <c r="O169" i="5"/>
  <c r="P169" i="5"/>
  <c r="Q169" i="5"/>
  <c r="R169" i="5"/>
  <c r="S169" i="5"/>
  <c r="T169" i="5"/>
  <c r="U169" i="5"/>
  <c r="V169" i="5"/>
  <c r="W169" i="5"/>
  <c r="X169" i="5"/>
  <c r="AB169" i="5"/>
  <c r="O170" i="5"/>
  <c r="P170" i="5"/>
  <c r="Q170" i="5"/>
  <c r="R170" i="5"/>
  <c r="S170" i="5"/>
  <c r="T170" i="5"/>
  <c r="U170" i="5"/>
  <c r="V170" i="5"/>
  <c r="W170" i="5"/>
  <c r="X170" i="5"/>
  <c r="AB170" i="5"/>
  <c r="O171" i="5"/>
  <c r="P171" i="5"/>
  <c r="Q171" i="5"/>
  <c r="R171" i="5"/>
  <c r="S171" i="5"/>
  <c r="T171" i="5"/>
  <c r="U171" i="5"/>
  <c r="V171" i="5"/>
  <c r="W171" i="5"/>
  <c r="X171" i="5"/>
  <c r="AB171" i="5"/>
  <c r="O172" i="5"/>
  <c r="P172" i="5"/>
  <c r="Q172" i="5"/>
  <c r="R172" i="5"/>
  <c r="S172" i="5"/>
  <c r="T172" i="5"/>
  <c r="U172" i="5"/>
  <c r="V172" i="5"/>
  <c r="W172" i="5"/>
  <c r="X172" i="5"/>
  <c r="AB172" i="5"/>
  <c r="O173" i="5"/>
  <c r="P173" i="5"/>
  <c r="Q173" i="5"/>
  <c r="R173" i="5"/>
  <c r="S173" i="5"/>
  <c r="T173" i="5"/>
  <c r="U173" i="5"/>
  <c r="AD173" i="5" s="1"/>
  <c r="V173" i="5"/>
  <c r="W173" i="5"/>
  <c r="X173" i="5"/>
  <c r="AB173" i="5"/>
  <c r="O174" i="5"/>
  <c r="P174" i="5"/>
  <c r="Q174" i="5"/>
  <c r="R174" i="5"/>
  <c r="S174" i="5"/>
  <c r="T174" i="5"/>
  <c r="U174" i="5"/>
  <c r="AC174" i="5" s="1"/>
  <c r="V174" i="5"/>
  <c r="W174" i="5"/>
  <c r="X174" i="5"/>
  <c r="AB174" i="5"/>
  <c r="O175" i="5"/>
  <c r="P175" i="5"/>
  <c r="Q175" i="5"/>
  <c r="R175" i="5"/>
  <c r="S175" i="5"/>
  <c r="T175" i="5"/>
  <c r="U175" i="5"/>
  <c r="AC175" i="5" s="1"/>
  <c r="V175" i="5"/>
  <c r="W175" i="5"/>
  <c r="X175" i="5"/>
  <c r="AB175" i="5"/>
  <c r="O2" i="4"/>
  <c r="P2" i="4"/>
  <c r="Q2" i="4"/>
  <c r="R2" i="4"/>
  <c r="S2" i="4"/>
  <c r="T2" i="4"/>
  <c r="U2" i="4"/>
  <c r="V2" i="4"/>
  <c r="W2" i="4"/>
  <c r="X2" i="4"/>
  <c r="O3" i="4"/>
  <c r="P3" i="4"/>
  <c r="Q3" i="4"/>
  <c r="R3" i="4"/>
  <c r="S3" i="4"/>
  <c r="T3" i="4"/>
  <c r="U3" i="4"/>
  <c r="V3" i="4"/>
  <c r="W3" i="4"/>
  <c r="X3" i="4"/>
  <c r="O4" i="4"/>
  <c r="P4" i="4"/>
  <c r="Q4" i="4"/>
  <c r="R4" i="4"/>
  <c r="S4" i="4"/>
  <c r="T4" i="4"/>
  <c r="U4" i="4"/>
  <c r="V4" i="4"/>
  <c r="W4" i="4"/>
  <c r="X4" i="4"/>
  <c r="O5" i="4"/>
  <c r="P5" i="4"/>
  <c r="Q5" i="4"/>
  <c r="R5" i="4"/>
  <c r="S5" i="4"/>
  <c r="T5" i="4"/>
  <c r="U5" i="4"/>
  <c r="V5" i="4"/>
  <c r="W5" i="4"/>
  <c r="X5" i="4"/>
  <c r="O6" i="4"/>
  <c r="P6" i="4"/>
  <c r="Q6" i="4"/>
  <c r="R6" i="4"/>
  <c r="S6" i="4"/>
  <c r="T6" i="4"/>
  <c r="U6" i="4"/>
  <c r="V6" i="4"/>
  <c r="W6" i="4"/>
  <c r="X6" i="4"/>
  <c r="O7" i="4"/>
  <c r="P7" i="4"/>
  <c r="Q7" i="4"/>
  <c r="R7" i="4"/>
  <c r="S7" i="4"/>
  <c r="T7" i="4"/>
  <c r="U7" i="4"/>
  <c r="V7" i="4"/>
  <c r="W7" i="4"/>
  <c r="X7" i="4"/>
  <c r="O8" i="4"/>
  <c r="P8" i="4"/>
  <c r="Q8" i="4"/>
  <c r="R8" i="4"/>
  <c r="S8" i="4"/>
  <c r="T8" i="4"/>
  <c r="U8" i="4"/>
  <c r="V8" i="4"/>
  <c r="W8" i="4"/>
  <c r="X8" i="4"/>
  <c r="O9" i="4"/>
  <c r="P9" i="4"/>
  <c r="Q9" i="4"/>
  <c r="R9" i="4"/>
  <c r="S9" i="4"/>
  <c r="T9" i="4"/>
  <c r="U9" i="4"/>
  <c r="V9" i="4"/>
  <c r="W9" i="4"/>
  <c r="X9" i="4"/>
  <c r="O10" i="4"/>
  <c r="P10" i="4"/>
  <c r="Q10" i="4"/>
  <c r="R10" i="4"/>
  <c r="S10" i="4"/>
  <c r="T10" i="4"/>
  <c r="U10" i="4"/>
  <c r="V10" i="4"/>
  <c r="W10" i="4"/>
  <c r="X10" i="4"/>
  <c r="O11" i="4"/>
  <c r="P11" i="4"/>
  <c r="Q11" i="4"/>
  <c r="R11" i="4"/>
  <c r="S11" i="4"/>
  <c r="T11" i="4"/>
  <c r="U11" i="4"/>
  <c r="V11" i="4"/>
  <c r="W11" i="4"/>
  <c r="X11" i="4"/>
  <c r="O12" i="4"/>
  <c r="P12" i="4"/>
  <c r="Q12" i="4"/>
  <c r="R12" i="4"/>
  <c r="S12" i="4"/>
  <c r="T12" i="4"/>
  <c r="U12" i="4"/>
  <c r="V12" i="4"/>
  <c r="W12" i="4"/>
  <c r="X12" i="4"/>
  <c r="O13" i="4"/>
  <c r="P13" i="4"/>
  <c r="Q13" i="4"/>
  <c r="R13" i="4"/>
  <c r="S13" i="4"/>
  <c r="T13" i="4"/>
  <c r="U13" i="4"/>
  <c r="V13" i="4"/>
  <c r="W13" i="4"/>
  <c r="X13" i="4"/>
  <c r="O14" i="4"/>
  <c r="P14" i="4"/>
  <c r="Q14" i="4"/>
  <c r="R14" i="4"/>
  <c r="S14" i="4"/>
  <c r="T14" i="4"/>
  <c r="U14" i="4"/>
  <c r="V14" i="4"/>
  <c r="W14" i="4"/>
  <c r="X14" i="4"/>
  <c r="O15" i="4"/>
  <c r="P15" i="4"/>
  <c r="Q15" i="4"/>
  <c r="R15" i="4"/>
  <c r="S15" i="4"/>
  <c r="T15" i="4"/>
  <c r="U15" i="4"/>
  <c r="V15" i="4"/>
  <c r="W15" i="4"/>
  <c r="X15" i="4"/>
  <c r="AA23" i="4"/>
  <c r="AA22" i="4"/>
  <c r="AA21" i="4"/>
  <c r="AA20" i="4"/>
  <c r="AA19" i="4"/>
  <c r="AA18" i="4"/>
  <c r="AA17" i="4"/>
  <c r="AA16" i="4"/>
  <c r="AA15" i="4"/>
  <c r="AA14" i="4"/>
  <c r="AA13" i="4"/>
  <c r="AA12" i="4"/>
  <c r="AA11" i="4"/>
  <c r="AA10" i="4"/>
  <c r="AA9" i="4"/>
  <c r="AA8" i="4"/>
  <c r="AD164" i="5" l="1"/>
  <c r="AD165" i="5"/>
  <c r="AC172" i="5"/>
  <c r="AC166" i="5"/>
  <c r="AC162" i="5"/>
  <c r="AD169" i="5"/>
  <c r="AC170" i="5"/>
  <c r="AC163" i="5"/>
  <c r="AD174" i="5"/>
  <c r="AD172" i="5"/>
  <c r="AC169" i="5"/>
  <c r="AC167" i="5"/>
  <c r="AD166" i="5"/>
  <c r="AC164" i="5"/>
  <c r="AC168" i="5"/>
  <c r="AC173" i="5"/>
  <c r="AC171" i="5"/>
  <c r="AD170" i="5"/>
  <c r="AD168" i="5"/>
  <c r="AC165" i="5"/>
  <c r="AD175" i="5"/>
  <c r="AD171" i="5"/>
  <c r="AD167" i="5"/>
  <c r="AD163" i="5"/>
  <c r="O147" i="3"/>
  <c r="P147" i="3"/>
  <c r="Q147" i="3"/>
  <c r="R147" i="3"/>
  <c r="S147" i="3"/>
  <c r="T147" i="3"/>
  <c r="U147" i="3"/>
  <c r="V147" i="3"/>
  <c r="W147" i="3"/>
  <c r="X147" i="3"/>
  <c r="AA147" i="3"/>
  <c r="O148" i="3"/>
  <c r="P148" i="3"/>
  <c r="Q148" i="3"/>
  <c r="R148" i="3"/>
  <c r="S148" i="3"/>
  <c r="T148" i="3"/>
  <c r="U148" i="3"/>
  <c r="V148" i="3"/>
  <c r="W148" i="3"/>
  <c r="X148" i="3"/>
  <c r="AA148" i="3"/>
  <c r="O149" i="3"/>
  <c r="P149" i="3"/>
  <c r="Q149" i="3"/>
  <c r="R149" i="3"/>
  <c r="S149" i="3"/>
  <c r="T149" i="3"/>
  <c r="U149" i="3"/>
  <c r="V149" i="3"/>
  <c r="W149" i="3"/>
  <c r="X149" i="3"/>
  <c r="AA149" i="3"/>
  <c r="O150" i="3"/>
  <c r="P150" i="3"/>
  <c r="Q150" i="3"/>
  <c r="R150" i="3"/>
  <c r="S150" i="3"/>
  <c r="T150" i="3"/>
  <c r="U150" i="3"/>
  <c r="V150" i="3"/>
  <c r="W150" i="3"/>
  <c r="X150" i="3"/>
  <c r="AA150" i="3"/>
  <c r="O151" i="3"/>
  <c r="P151" i="3"/>
  <c r="Q151" i="3"/>
  <c r="R151" i="3"/>
  <c r="S151" i="3"/>
  <c r="T151" i="3"/>
  <c r="U151" i="3"/>
  <c r="V151" i="3"/>
  <c r="W151" i="3"/>
  <c r="X151" i="3"/>
  <c r="AA151" i="3"/>
  <c r="O152" i="3"/>
  <c r="P152" i="3"/>
  <c r="Q152" i="3"/>
  <c r="R152" i="3"/>
  <c r="S152" i="3"/>
  <c r="T152" i="3"/>
  <c r="U152" i="3"/>
  <c r="V152" i="3"/>
  <c r="W152" i="3"/>
  <c r="X152" i="3"/>
  <c r="AA152" i="3"/>
  <c r="O153" i="3"/>
  <c r="P153" i="3"/>
  <c r="Q153" i="3"/>
  <c r="R153" i="3"/>
  <c r="S153" i="3"/>
  <c r="T153" i="3"/>
  <c r="U153" i="3"/>
  <c r="V153" i="3"/>
  <c r="W153" i="3"/>
  <c r="X153" i="3"/>
  <c r="AA153" i="3"/>
  <c r="O154" i="3"/>
  <c r="P154" i="3"/>
  <c r="Q154" i="3"/>
  <c r="R154" i="3"/>
  <c r="S154" i="3"/>
  <c r="T154" i="3"/>
  <c r="U154" i="3"/>
  <c r="V154" i="3"/>
  <c r="W154" i="3"/>
  <c r="X154" i="3"/>
  <c r="AA154" i="3"/>
  <c r="O155" i="3"/>
  <c r="P155" i="3"/>
  <c r="Q155" i="3"/>
  <c r="R155" i="3"/>
  <c r="S155" i="3"/>
  <c r="T155" i="3"/>
  <c r="U155" i="3"/>
  <c r="V155" i="3"/>
  <c r="W155" i="3"/>
  <c r="X155" i="3"/>
  <c r="AA155" i="3"/>
  <c r="O156" i="3"/>
  <c r="P156" i="3"/>
  <c r="Q156" i="3"/>
  <c r="R156" i="3"/>
  <c r="S156" i="3"/>
  <c r="T156" i="3"/>
  <c r="U156" i="3"/>
  <c r="V156" i="3"/>
  <c r="W156" i="3"/>
  <c r="X156" i="3"/>
  <c r="AA156" i="3"/>
  <c r="O157" i="3"/>
  <c r="P157" i="3"/>
  <c r="Q157" i="3"/>
  <c r="R157" i="3"/>
  <c r="S157" i="3"/>
  <c r="T157" i="3"/>
  <c r="U157" i="3"/>
  <c r="V157" i="3"/>
  <c r="W157" i="3"/>
  <c r="X157" i="3"/>
  <c r="AA157" i="3"/>
  <c r="O158" i="3"/>
  <c r="P158" i="3"/>
  <c r="Q158" i="3"/>
  <c r="R158" i="3"/>
  <c r="S158" i="3"/>
  <c r="T158" i="3"/>
  <c r="U158" i="3"/>
  <c r="V158" i="3"/>
  <c r="W158" i="3"/>
  <c r="X158" i="3"/>
  <c r="AA158" i="3"/>
  <c r="O159" i="3"/>
  <c r="P159" i="3"/>
  <c r="Q159" i="3"/>
  <c r="R159" i="3"/>
  <c r="S159" i="3"/>
  <c r="T159" i="3"/>
  <c r="U159" i="3"/>
  <c r="V159" i="3"/>
  <c r="W159" i="3"/>
  <c r="X159" i="3"/>
  <c r="AA159" i="3"/>
  <c r="O160" i="3"/>
  <c r="P160" i="3"/>
  <c r="Q160" i="3"/>
  <c r="R160" i="3"/>
  <c r="S160" i="3"/>
  <c r="T160" i="3"/>
  <c r="U160" i="3"/>
  <c r="V160" i="3"/>
  <c r="W160" i="3"/>
  <c r="X160" i="3"/>
  <c r="AA160" i="3"/>
  <c r="O161" i="3"/>
  <c r="P161" i="3"/>
  <c r="Q161" i="3"/>
  <c r="R161" i="3"/>
  <c r="S161" i="3"/>
  <c r="T161" i="3"/>
  <c r="U161" i="3"/>
  <c r="V161" i="3"/>
  <c r="W161" i="3"/>
  <c r="X161" i="3"/>
  <c r="AA161" i="3"/>
  <c r="O162" i="3"/>
  <c r="P162" i="3"/>
  <c r="Q162" i="3"/>
  <c r="R162" i="3"/>
  <c r="S162" i="3"/>
  <c r="T162" i="3"/>
  <c r="U162" i="3"/>
  <c r="V162" i="3"/>
  <c r="W162" i="3"/>
  <c r="X162" i="3"/>
  <c r="AA162" i="3"/>
  <c r="O163" i="3"/>
  <c r="P163" i="3"/>
  <c r="Q163" i="3"/>
  <c r="R163" i="3"/>
  <c r="S163" i="3"/>
  <c r="T163" i="3"/>
  <c r="U163" i="3"/>
  <c r="V163" i="3"/>
  <c r="W163" i="3"/>
  <c r="X163" i="3"/>
  <c r="AA163" i="3"/>
  <c r="O164" i="3"/>
  <c r="P164" i="3"/>
  <c r="Q164" i="3"/>
  <c r="R164" i="3"/>
  <c r="S164" i="3"/>
  <c r="T164" i="3"/>
  <c r="U164" i="3"/>
  <c r="V164" i="3"/>
  <c r="W164" i="3"/>
  <c r="X164" i="3"/>
  <c r="AA164" i="3"/>
  <c r="O165" i="3"/>
  <c r="P165" i="3"/>
  <c r="Q165" i="3"/>
  <c r="R165" i="3"/>
  <c r="S165" i="3"/>
  <c r="T165" i="3"/>
  <c r="U165" i="3"/>
  <c r="V165" i="3"/>
  <c r="W165" i="3"/>
  <c r="X165" i="3"/>
  <c r="AA165" i="3"/>
  <c r="O166" i="3"/>
  <c r="P166" i="3"/>
  <c r="Q166" i="3"/>
  <c r="R166" i="3"/>
  <c r="S166" i="3"/>
  <c r="T166" i="3"/>
  <c r="U166" i="3"/>
  <c r="V166" i="3"/>
  <c r="W166" i="3"/>
  <c r="X166" i="3"/>
  <c r="AA166" i="3"/>
  <c r="O167" i="3"/>
  <c r="P167" i="3"/>
  <c r="Q167" i="3"/>
  <c r="R167" i="3"/>
  <c r="S167" i="3"/>
  <c r="T167" i="3"/>
  <c r="U167" i="3"/>
  <c r="V167" i="3"/>
  <c r="W167" i="3"/>
  <c r="X167" i="3"/>
  <c r="AA167" i="3"/>
  <c r="AB147" i="5"/>
  <c r="AC147" i="5"/>
  <c r="AD147" i="5"/>
  <c r="AB148" i="5"/>
  <c r="AC148" i="5"/>
  <c r="AD148" i="5"/>
  <c r="AB149" i="5"/>
  <c r="AC149" i="5"/>
  <c r="AD149" i="5"/>
  <c r="AB150" i="5"/>
  <c r="AC150" i="5"/>
  <c r="AD150" i="5"/>
  <c r="AB151" i="5"/>
  <c r="AC151" i="5"/>
  <c r="AD151" i="5"/>
  <c r="AB152" i="5"/>
  <c r="AC152" i="5"/>
  <c r="AD152" i="5"/>
  <c r="AB153" i="5"/>
  <c r="AC153" i="5"/>
  <c r="AD153" i="5"/>
  <c r="AB154" i="5"/>
  <c r="AC154" i="5"/>
  <c r="AD154" i="5"/>
  <c r="AB155" i="5"/>
  <c r="AC155" i="5"/>
  <c r="AD155" i="5"/>
  <c r="AB156" i="5"/>
  <c r="AC156" i="5"/>
  <c r="AD156" i="5"/>
  <c r="AB157" i="5"/>
  <c r="AC157" i="5"/>
  <c r="AD157" i="5"/>
  <c r="AB158" i="5"/>
  <c r="AC158" i="5"/>
  <c r="AD158" i="5"/>
  <c r="AB159" i="5"/>
  <c r="AC159" i="5"/>
  <c r="AD159" i="5"/>
  <c r="AB160" i="5"/>
  <c r="AC160" i="5"/>
  <c r="AD160" i="5"/>
  <c r="AB161" i="5"/>
  <c r="X161" i="5"/>
  <c r="W161" i="5"/>
  <c r="V161" i="5"/>
  <c r="U161" i="5"/>
  <c r="T161" i="5"/>
  <c r="S161" i="5"/>
  <c r="R161" i="5"/>
  <c r="Q161" i="5"/>
  <c r="P161" i="5"/>
  <c r="O161" i="5"/>
  <c r="X160" i="5"/>
  <c r="W160" i="5"/>
  <c r="V160" i="5"/>
  <c r="U160" i="5"/>
  <c r="T160" i="5"/>
  <c r="S160" i="5"/>
  <c r="R160" i="5"/>
  <c r="Q160" i="5"/>
  <c r="P160" i="5"/>
  <c r="O160" i="5"/>
  <c r="X159" i="5"/>
  <c r="W159" i="5"/>
  <c r="V159" i="5"/>
  <c r="U159" i="5"/>
  <c r="T159" i="5"/>
  <c r="S159" i="5"/>
  <c r="R159" i="5"/>
  <c r="Q159" i="5"/>
  <c r="P159" i="5"/>
  <c r="O159" i="5"/>
  <c r="X158" i="5"/>
  <c r="W158" i="5"/>
  <c r="V158" i="5"/>
  <c r="U158" i="5"/>
  <c r="T158" i="5"/>
  <c r="S158" i="5"/>
  <c r="R158" i="5"/>
  <c r="Q158" i="5"/>
  <c r="P158" i="5"/>
  <c r="O158" i="5"/>
  <c r="X157" i="5"/>
  <c r="W157" i="5"/>
  <c r="V157" i="5"/>
  <c r="U157" i="5"/>
  <c r="T157" i="5"/>
  <c r="S157" i="5"/>
  <c r="R157" i="5"/>
  <c r="Q157" i="5"/>
  <c r="P157" i="5"/>
  <c r="O157" i="5"/>
  <c r="X156" i="5"/>
  <c r="W156" i="5"/>
  <c r="V156" i="5"/>
  <c r="U156" i="5"/>
  <c r="T156" i="5"/>
  <c r="S156" i="5"/>
  <c r="R156" i="5"/>
  <c r="Q156" i="5"/>
  <c r="P156" i="5"/>
  <c r="O156" i="5"/>
  <c r="X155" i="5"/>
  <c r="W155" i="5"/>
  <c r="V155" i="5"/>
  <c r="U155" i="5"/>
  <c r="T155" i="5"/>
  <c r="S155" i="5"/>
  <c r="R155" i="5"/>
  <c r="Q155" i="5"/>
  <c r="P155" i="5"/>
  <c r="O155" i="5"/>
  <c r="X154" i="5"/>
  <c r="W154" i="5"/>
  <c r="V154" i="5"/>
  <c r="U154" i="5"/>
  <c r="T154" i="5"/>
  <c r="S154" i="5"/>
  <c r="R154" i="5"/>
  <c r="Q154" i="5"/>
  <c r="P154" i="5"/>
  <c r="O154" i="5"/>
  <c r="X153" i="5"/>
  <c r="W153" i="5"/>
  <c r="V153" i="5"/>
  <c r="U153" i="5"/>
  <c r="T153" i="5"/>
  <c r="S153" i="5"/>
  <c r="R153" i="5"/>
  <c r="Q153" i="5"/>
  <c r="P153" i="5"/>
  <c r="O153" i="5"/>
  <c r="X152" i="5"/>
  <c r="W152" i="5"/>
  <c r="V152" i="5"/>
  <c r="U152" i="5"/>
  <c r="T152" i="5"/>
  <c r="S152" i="5"/>
  <c r="R152" i="5"/>
  <c r="Q152" i="5"/>
  <c r="P152" i="5"/>
  <c r="O152" i="5"/>
  <c r="X151" i="5"/>
  <c r="W151" i="5"/>
  <c r="V151" i="5"/>
  <c r="U151" i="5"/>
  <c r="T151" i="5"/>
  <c r="S151" i="5"/>
  <c r="R151" i="5"/>
  <c r="Q151" i="5"/>
  <c r="P151" i="5"/>
  <c r="O151" i="5"/>
  <c r="X150" i="5"/>
  <c r="W150" i="5"/>
  <c r="V150" i="5"/>
  <c r="U150" i="5"/>
  <c r="T150" i="5"/>
  <c r="S150" i="5"/>
  <c r="R150" i="5"/>
  <c r="Q150" i="5"/>
  <c r="P150" i="5"/>
  <c r="O150" i="5"/>
  <c r="X149" i="5"/>
  <c r="W149" i="5"/>
  <c r="V149" i="5"/>
  <c r="U149" i="5"/>
  <c r="T149" i="5"/>
  <c r="S149" i="5"/>
  <c r="R149" i="5"/>
  <c r="Q149" i="5"/>
  <c r="P149" i="5"/>
  <c r="O149" i="5"/>
  <c r="X148" i="5"/>
  <c r="W148" i="5"/>
  <c r="V148" i="5"/>
  <c r="U148" i="5"/>
  <c r="T148" i="5"/>
  <c r="S148" i="5"/>
  <c r="R148" i="5"/>
  <c r="Q148" i="5"/>
  <c r="P148" i="5"/>
  <c r="O148" i="5"/>
  <c r="X147" i="5"/>
  <c r="W147" i="5"/>
  <c r="V147" i="5"/>
  <c r="U147" i="5"/>
  <c r="T147" i="5"/>
  <c r="S147" i="5"/>
  <c r="R147" i="5"/>
  <c r="Q147" i="5"/>
  <c r="P147" i="5"/>
  <c r="O147" i="5"/>
  <c r="AA7" i="4"/>
  <c r="AA6" i="4"/>
  <c r="AA5" i="4"/>
  <c r="AA4" i="4"/>
  <c r="AA3" i="4"/>
  <c r="AA2" i="4"/>
  <c r="AD161" i="5" l="1"/>
  <c r="AC161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O117" i="3"/>
  <c r="P117" i="3"/>
  <c r="Q117" i="3"/>
  <c r="R117" i="3"/>
  <c r="S117" i="3"/>
  <c r="T117" i="3"/>
  <c r="U117" i="3"/>
  <c r="V117" i="3"/>
  <c r="W117" i="3"/>
  <c r="X117" i="3"/>
  <c r="O118" i="3"/>
  <c r="P118" i="3"/>
  <c r="Q118" i="3"/>
  <c r="R118" i="3"/>
  <c r="S118" i="3"/>
  <c r="T118" i="3"/>
  <c r="U118" i="3"/>
  <c r="V118" i="3"/>
  <c r="W118" i="3"/>
  <c r="X118" i="3"/>
  <c r="O119" i="3"/>
  <c r="P119" i="3"/>
  <c r="Q119" i="3"/>
  <c r="R119" i="3"/>
  <c r="S119" i="3"/>
  <c r="T119" i="3"/>
  <c r="U119" i="3"/>
  <c r="V119" i="3"/>
  <c r="W119" i="3"/>
  <c r="X119" i="3"/>
  <c r="O120" i="3"/>
  <c r="P120" i="3"/>
  <c r="Q120" i="3"/>
  <c r="R120" i="3"/>
  <c r="S120" i="3"/>
  <c r="T120" i="3"/>
  <c r="U120" i="3"/>
  <c r="V120" i="3"/>
  <c r="W120" i="3"/>
  <c r="X120" i="3"/>
  <c r="O121" i="3"/>
  <c r="P121" i="3"/>
  <c r="Q121" i="3"/>
  <c r="R121" i="3"/>
  <c r="S121" i="3"/>
  <c r="T121" i="3"/>
  <c r="U121" i="3"/>
  <c r="V121" i="3"/>
  <c r="W121" i="3"/>
  <c r="X121" i="3"/>
  <c r="O122" i="3"/>
  <c r="P122" i="3"/>
  <c r="Q122" i="3"/>
  <c r="R122" i="3"/>
  <c r="S122" i="3"/>
  <c r="T122" i="3"/>
  <c r="U122" i="3"/>
  <c r="V122" i="3"/>
  <c r="W122" i="3"/>
  <c r="X122" i="3"/>
  <c r="O123" i="3"/>
  <c r="P123" i="3"/>
  <c r="Q123" i="3"/>
  <c r="R123" i="3"/>
  <c r="S123" i="3"/>
  <c r="T123" i="3"/>
  <c r="U123" i="3"/>
  <c r="V123" i="3"/>
  <c r="W123" i="3"/>
  <c r="X123" i="3"/>
  <c r="O124" i="3"/>
  <c r="P124" i="3"/>
  <c r="Q124" i="3"/>
  <c r="R124" i="3"/>
  <c r="S124" i="3"/>
  <c r="T124" i="3"/>
  <c r="U124" i="3"/>
  <c r="V124" i="3"/>
  <c r="W124" i="3"/>
  <c r="X124" i="3"/>
  <c r="O125" i="3"/>
  <c r="P125" i="3"/>
  <c r="Q125" i="3"/>
  <c r="R125" i="3"/>
  <c r="S125" i="3"/>
  <c r="T125" i="3"/>
  <c r="U125" i="3"/>
  <c r="V125" i="3"/>
  <c r="W125" i="3"/>
  <c r="X125" i="3"/>
  <c r="O126" i="3"/>
  <c r="P126" i="3"/>
  <c r="Q126" i="3"/>
  <c r="R126" i="3"/>
  <c r="S126" i="3"/>
  <c r="T126" i="3"/>
  <c r="U126" i="3"/>
  <c r="V126" i="3"/>
  <c r="W126" i="3"/>
  <c r="X126" i="3"/>
  <c r="O127" i="3"/>
  <c r="P127" i="3"/>
  <c r="Q127" i="3"/>
  <c r="R127" i="3"/>
  <c r="S127" i="3"/>
  <c r="T127" i="3"/>
  <c r="U127" i="3"/>
  <c r="V127" i="3"/>
  <c r="W127" i="3"/>
  <c r="X127" i="3"/>
  <c r="O128" i="3"/>
  <c r="P128" i="3"/>
  <c r="Q128" i="3"/>
  <c r="R128" i="3"/>
  <c r="S128" i="3"/>
  <c r="T128" i="3"/>
  <c r="U128" i="3"/>
  <c r="V128" i="3"/>
  <c r="W128" i="3"/>
  <c r="X128" i="3"/>
  <c r="O129" i="3"/>
  <c r="P129" i="3"/>
  <c r="Q129" i="3"/>
  <c r="R129" i="3"/>
  <c r="S129" i="3"/>
  <c r="T129" i="3"/>
  <c r="U129" i="3"/>
  <c r="V129" i="3"/>
  <c r="W129" i="3"/>
  <c r="X129" i="3"/>
  <c r="O130" i="3"/>
  <c r="P130" i="3"/>
  <c r="Q130" i="3"/>
  <c r="R130" i="3"/>
  <c r="S130" i="3"/>
  <c r="T130" i="3"/>
  <c r="U130" i="3"/>
  <c r="V130" i="3"/>
  <c r="W130" i="3"/>
  <c r="X130" i="3"/>
  <c r="O131" i="3"/>
  <c r="P131" i="3"/>
  <c r="Q131" i="3"/>
  <c r="R131" i="3"/>
  <c r="S131" i="3"/>
  <c r="T131" i="3"/>
  <c r="U131" i="3"/>
  <c r="V131" i="3"/>
  <c r="W131" i="3"/>
  <c r="X131" i="3"/>
  <c r="O132" i="3"/>
  <c r="P132" i="3"/>
  <c r="Q132" i="3"/>
  <c r="R132" i="3"/>
  <c r="S132" i="3"/>
  <c r="T132" i="3"/>
  <c r="U132" i="3"/>
  <c r="V132" i="3"/>
  <c r="W132" i="3"/>
  <c r="X132" i="3"/>
  <c r="O133" i="3"/>
  <c r="P133" i="3"/>
  <c r="Q133" i="3"/>
  <c r="R133" i="3"/>
  <c r="S133" i="3"/>
  <c r="T133" i="3"/>
  <c r="U133" i="3"/>
  <c r="V133" i="3"/>
  <c r="W133" i="3"/>
  <c r="X133" i="3"/>
  <c r="O134" i="3"/>
  <c r="P134" i="3"/>
  <c r="Q134" i="3"/>
  <c r="R134" i="3"/>
  <c r="S134" i="3"/>
  <c r="T134" i="3"/>
  <c r="U134" i="3"/>
  <c r="V134" i="3"/>
  <c r="W134" i="3"/>
  <c r="X134" i="3"/>
  <c r="O135" i="3"/>
  <c r="P135" i="3"/>
  <c r="Q135" i="3"/>
  <c r="R135" i="3"/>
  <c r="S135" i="3"/>
  <c r="T135" i="3"/>
  <c r="U135" i="3"/>
  <c r="V135" i="3"/>
  <c r="W135" i="3"/>
  <c r="X135" i="3"/>
  <c r="O136" i="3"/>
  <c r="P136" i="3"/>
  <c r="Q136" i="3"/>
  <c r="R136" i="3"/>
  <c r="S136" i="3"/>
  <c r="T136" i="3"/>
  <c r="U136" i="3"/>
  <c r="V136" i="3"/>
  <c r="W136" i="3"/>
  <c r="X136" i="3"/>
  <c r="O137" i="3"/>
  <c r="P137" i="3"/>
  <c r="Q137" i="3"/>
  <c r="R137" i="3"/>
  <c r="S137" i="3"/>
  <c r="T137" i="3"/>
  <c r="U137" i="3"/>
  <c r="V137" i="3"/>
  <c r="W137" i="3"/>
  <c r="X137" i="3"/>
  <c r="O138" i="3"/>
  <c r="P138" i="3"/>
  <c r="Q138" i="3"/>
  <c r="R138" i="3"/>
  <c r="S138" i="3"/>
  <c r="T138" i="3"/>
  <c r="U138" i="3"/>
  <c r="V138" i="3"/>
  <c r="W138" i="3"/>
  <c r="X138" i="3"/>
  <c r="O139" i="3"/>
  <c r="P139" i="3"/>
  <c r="Q139" i="3"/>
  <c r="R139" i="3"/>
  <c r="S139" i="3"/>
  <c r="T139" i="3"/>
  <c r="U139" i="3"/>
  <c r="V139" i="3"/>
  <c r="W139" i="3"/>
  <c r="X139" i="3"/>
  <c r="O140" i="3"/>
  <c r="P140" i="3"/>
  <c r="Q140" i="3"/>
  <c r="R140" i="3"/>
  <c r="S140" i="3"/>
  <c r="T140" i="3"/>
  <c r="U140" i="3"/>
  <c r="V140" i="3"/>
  <c r="W140" i="3"/>
  <c r="X140" i="3"/>
  <c r="O141" i="3"/>
  <c r="P141" i="3"/>
  <c r="Q141" i="3"/>
  <c r="R141" i="3"/>
  <c r="S141" i="3"/>
  <c r="T141" i="3"/>
  <c r="U141" i="3"/>
  <c r="V141" i="3"/>
  <c r="W141" i="3"/>
  <c r="X141" i="3"/>
  <c r="O142" i="3"/>
  <c r="P142" i="3"/>
  <c r="Q142" i="3"/>
  <c r="R142" i="3"/>
  <c r="S142" i="3"/>
  <c r="T142" i="3"/>
  <c r="U142" i="3"/>
  <c r="V142" i="3"/>
  <c r="W142" i="3"/>
  <c r="X142" i="3"/>
  <c r="O143" i="3"/>
  <c r="P143" i="3"/>
  <c r="Q143" i="3"/>
  <c r="R143" i="3"/>
  <c r="S143" i="3"/>
  <c r="T143" i="3"/>
  <c r="U143" i="3"/>
  <c r="V143" i="3"/>
  <c r="W143" i="3"/>
  <c r="X143" i="3"/>
  <c r="O144" i="3"/>
  <c r="P144" i="3"/>
  <c r="Q144" i="3"/>
  <c r="R144" i="3"/>
  <c r="S144" i="3"/>
  <c r="T144" i="3"/>
  <c r="U144" i="3"/>
  <c r="V144" i="3"/>
  <c r="W144" i="3"/>
  <c r="X144" i="3"/>
  <c r="O145" i="3"/>
  <c r="P145" i="3"/>
  <c r="Q145" i="3"/>
  <c r="R145" i="3"/>
  <c r="S145" i="3"/>
  <c r="T145" i="3"/>
  <c r="U145" i="3"/>
  <c r="V145" i="3"/>
  <c r="W145" i="3"/>
  <c r="X145" i="3"/>
  <c r="O146" i="3"/>
  <c r="P146" i="3"/>
  <c r="Q146" i="3"/>
  <c r="R146" i="3"/>
  <c r="S146" i="3"/>
  <c r="T146" i="3"/>
  <c r="U146" i="3"/>
  <c r="V146" i="3"/>
  <c r="W146" i="3"/>
  <c r="X146" i="3"/>
  <c r="O117" i="5"/>
  <c r="P117" i="5"/>
  <c r="Q117" i="5"/>
  <c r="R117" i="5"/>
  <c r="S117" i="5"/>
  <c r="T117" i="5"/>
  <c r="U117" i="5"/>
  <c r="V117" i="5"/>
  <c r="W117" i="5"/>
  <c r="X117" i="5"/>
  <c r="O118" i="5"/>
  <c r="P118" i="5"/>
  <c r="Q118" i="5"/>
  <c r="R118" i="5"/>
  <c r="S118" i="5"/>
  <c r="T118" i="5"/>
  <c r="U118" i="5"/>
  <c r="V118" i="5"/>
  <c r="W118" i="5"/>
  <c r="X118" i="5"/>
  <c r="O119" i="5"/>
  <c r="P119" i="5"/>
  <c r="Q119" i="5"/>
  <c r="R119" i="5"/>
  <c r="S119" i="5"/>
  <c r="T119" i="5"/>
  <c r="U119" i="5"/>
  <c r="V119" i="5"/>
  <c r="W119" i="5"/>
  <c r="X119" i="5"/>
  <c r="O120" i="5"/>
  <c r="P120" i="5"/>
  <c r="Q120" i="5"/>
  <c r="R120" i="5"/>
  <c r="S120" i="5"/>
  <c r="T120" i="5"/>
  <c r="U120" i="5"/>
  <c r="V120" i="5"/>
  <c r="W120" i="5"/>
  <c r="X120" i="5"/>
  <c r="O121" i="5"/>
  <c r="P121" i="5"/>
  <c r="Q121" i="5"/>
  <c r="R121" i="5"/>
  <c r="S121" i="5"/>
  <c r="T121" i="5"/>
  <c r="U121" i="5"/>
  <c r="V121" i="5"/>
  <c r="W121" i="5"/>
  <c r="X121" i="5"/>
  <c r="O122" i="5"/>
  <c r="P122" i="5"/>
  <c r="Q122" i="5"/>
  <c r="R122" i="5"/>
  <c r="S122" i="5"/>
  <c r="T122" i="5"/>
  <c r="U122" i="5"/>
  <c r="V122" i="5"/>
  <c r="W122" i="5"/>
  <c r="X122" i="5"/>
  <c r="O123" i="5"/>
  <c r="P123" i="5"/>
  <c r="Q123" i="5"/>
  <c r="R123" i="5"/>
  <c r="S123" i="5"/>
  <c r="T123" i="5"/>
  <c r="U123" i="5"/>
  <c r="V123" i="5"/>
  <c r="W123" i="5"/>
  <c r="X123" i="5"/>
  <c r="O124" i="5"/>
  <c r="P124" i="5"/>
  <c r="Q124" i="5"/>
  <c r="R124" i="5"/>
  <c r="S124" i="5"/>
  <c r="T124" i="5"/>
  <c r="U124" i="5"/>
  <c r="V124" i="5"/>
  <c r="W124" i="5"/>
  <c r="X124" i="5"/>
  <c r="O125" i="5"/>
  <c r="P125" i="5"/>
  <c r="Q125" i="5"/>
  <c r="R125" i="5"/>
  <c r="S125" i="5"/>
  <c r="T125" i="5"/>
  <c r="U125" i="5"/>
  <c r="V125" i="5"/>
  <c r="W125" i="5"/>
  <c r="X125" i="5"/>
  <c r="O126" i="5"/>
  <c r="P126" i="5"/>
  <c r="Q126" i="5"/>
  <c r="R126" i="5"/>
  <c r="S126" i="5"/>
  <c r="T126" i="5"/>
  <c r="U126" i="5"/>
  <c r="V126" i="5"/>
  <c r="W126" i="5"/>
  <c r="X126" i="5"/>
  <c r="O127" i="5"/>
  <c r="P127" i="5"/>
  <c r="Q127" i="5"/>
  <c r="R127" i="5"/>
  <c r="S127" i="5"/>
  <c r="T127" i="5"/>
  <c r="U127" i="5"/>
  <c r="V127" i="5"/>
  <c r="W127" i="5"/>
  <c r="X127" i="5"/>
  <c r="O128" i="5"/>
  <c r="P128" i="5"/>
  <c r="Q128" i="5"/>
  <c r="R128" i="5"/>
  <c r="S128" i="5"/>
  <c r="T128" i="5"/>
  <c r="U128" i="5"/>
  <c r="V128" i="5"/>
  <c r="W128" i="5"/>
  <c r="X128" i="5"/>
  <c r="O129" i="5"/>
  <c r="P129" i="5"/>
  <c r="Q129" i="5"/>
  <c r="R129" i="5"/>
  <c r="S129" i="5"/>
  <c r="T129" i="5"/>
  <c r="U129" i="5"/>
  <c r="V129" i="5"/>
  <c r="W129" i="5"/>
  <c r="X129" i="5"/>
  <c r="O130" i="5"/>
  <c r="P130" i="5"/>
  <c r="Q130" i="5"/>
  <c r="R130" i="5"/>
  <c r="S130" i="5"/>
  <c r="T130" i="5"/>
  <c r="U130" i="5"/>
  <c r="V130" i="5"/>
  <c r="W130" i="5"/>
  <c r="X130" i="5"/>
  <c r="O131" i="5"/>
  <c r="P131" i="5"/>
  <c r="Q131" i="5"/>
  <c r="R131" i="5"/>
  <c r="S131" i="5"/>
  <c r="T131" i="5"/>
  <c r="U131" i="5"/>
  <c r="V131" i="5"/>
  <c r="W131" i="5"/>
  <c r="X131" i="5"/>
  <c r="O132" i="5"/>
  <c r="P132" i="5"/>
  <c r="Q132" i="5"/>
  <c r="R132" i="5"/>
  <c r="S132" i="5"/>
  <c r="T132" i="5"/>
  <c r="U132" i="5"/>
  <c r="V132" i="5"/>
  <c r="W132" i="5"/>
  <c r="X132" i="5"/>
  <c r="O133" i="5"/>
  <c r="P133" i="5"/>
  <c r="Q133" i="5"/>
  <c r="R133" i="5"/>
  <c r="S133" i="5"/>
  <c r="T133" i="5"/>
  <c r="U133" i="5"/>
  <c r="V133" i="5"/>
  <c r="W133" i="5"/>
  <c r="X133" i="5"/>
  <c r="O134" i="5"/>
  <c r="P134" i="5"/>
  <c r="Q134" i="5"/>
  <c r="R134" i="5"/>
  <c r="S134" i="5"/>
  <c r="T134" i="5"/>
  <c r="U134" i="5"/>
  <c r="V134" i="5"/>
  <c r="W134" i="5"/>
  <c r="X134" i="5"/>
  <c r="O135" i="5"/>
  <c r="P135" i="5"/>
  <c r="Q135" i="5"/>
  <c r="R135" i="5"/>
  <c r="S135" i="5"/>
  <c r="T135" i="5"/>
  <c r="U135" i="5"/>
  <c r="V135" i="5"/>
  <c r="W135" i="5"/>
  <c r="X135" i="5"/>
  <c r="O136" i="5"/>
  <c r="P136" i="5"/>
  <c r="Q136" i="5"/>
  <c r="R136" i="5"/>
  <c r="S136" i="5"/>
  <c r="T136" i="5"/>
  <c r="U136" i="5"/>
  <c r="AD136" i="5" s="1"/>
  <c r="V136" i="5"/>
  <c r="W136" i="5"/>
  <c r="X136" i="5"/>
  <c r="O137" i="5"/>
  <c r="P137" i="5"/>
  <c r="Q137" i="5"/>
  <c r="R137" i="5"/>
  <c r="S137" i="5"/>
  <c r="T137" i="5"/>
  <c r="U137" i="5"/>
  <c r="V137" i="5"/>
  <c r="W137" i="5"/>
  <c r="X137" i="5"/>
  <c r="O138" i="5"/>
  <c r="P138" i="5"/>
  <c r="Q138" i="5"/>
  <c r="R138" i="5"/>
  <c r="S138" i="5"/>
  <c r="T138" i="5"/>
  <c r="U138" i="5"/>
  <c r="V138" i="5"/>
  <c r="W138" i="5"/>
  <c r="X138" i="5"/>
  <c r="O139" i="5"/>
  <c r="P139" i="5"/>
  <c r="Q139" i="5"/>
  <c r="R139" i="5"/>
  <c r="S139" i="5"/>
  <c r="T139" i="5"/>
  <c r="U139" i="5"/>
  <c r="V139" i="5"/>
  <c r="W139" i="5"/>
  <c r="X139" i="5"/>
  <c r="O140" i="5"/>
  <c r="P140" i="5"/>
  <c r="Q140" i="5"/>
  <c r="R140" i="5"/>
  <c r="S140" i="5"/>
  <c r="T140" i="5"/>
  <c r="U140" i="5"/>
  <c r="V140" i="5"/>
  <c r="W140" i="5"/>
  <c r="X140" i="5"/>
  <c r="O141" i="5"/>
  <c r="P141" i="5"/>
  <c r="Q141" i="5"/>
  <c r="R141" i="5"/>
  <c r="S141" i="5"/>
  <c r="T141" i="5"/>
  <c r="U141" i="5"/>
  <c r="V141" i="5"/>
  <c r="W141" i="5"/>
  <c r="X141" i="5"/>
  <c r="O142" i="5"/>
  <c r="P142" i="5"/>
  <c r="Q142" i="5"/>
  <c r="R142" i="5"/>
  <c r="S142" i="5"/>
  <c r="T142" i="5"/>
  <c r="U142" i="5"/>
  <c r="V142" i="5"/>
  <c r="W142" i="5"/>
  <c r="X142" i="5"/>
  <c r="O143" i="5"/>
  <c r="P143" i="5"/>
  <c r="Q143" i="5"/>
  <c r="R143" i="5"/>
  <c r="S143" i="5"/>
  <c r="T143" i="5"/>
  <c r="U143" i="5"/>
  <c r="V143" i="5"/>
  <c r="W143" i="5"/>
  <c r="X143" i="5"/>
  <c r="O144" i="5"/>
  <c r="P144" i="5"/>
  <c r="Q144" i="5"/>
  <c r="R144" i="5"/>
  <c r="S144" i="5"/>
  <c r="T144" i="5"/>
  <c r="U144" i="5"/>
  <c r="V144" i="5"/>
  <c r="W144" i="5"/>
  <c r="AD144" i="5" s="1"/>
  <c r="X144" i="5"/>
  <c r="O145" i="5"/>
  <c r="P145" i="5"/>
  <c r="Q145" i="5"/>
  <c r="R145" i="5"/>
  <c r="S145" i="5"/>
  <c r="T145" i="5"/>
  <c r="U145" i="5"/>
  <c r="V145" i="5"/>
  <c r="W145" i="5"/>
  <c r="X145" i="5"/>
  <c r="O146" i="5"/>
  <c r="P146" i="5"/>
  <c r="Q146" i="5"/>
  <c r="R146" i="5"/>
  <c r="S146" i="5"/>
  <c r="T146" i="5"/>
  <c r="U146" i="5"/>
  <c r="V146" i="5"/>
  <c r="W146" i="5"/>
  <c r="X146" i="5"/>
  <c r="AC145" i="5" l="1"/>
  <c r="AC141" i="5"/>
  <c r="AC133" i="5"/>
  <c r="AC125" i="5"/>
  <c r="AC117" i="5"/>
  <c r="AC137" i="5"/>
  <c r="AC129" i="5"/>
  <c r="AC121" i="5"/>
  <c r="AC144" i="5"/>
  <c r="AC140" i="5"/>
  <c r="AC136" i="5"/>
  <c r="AC132" i="5"/>
  <c r="AC128" i="5"/>
  <c r="AC124" i="5"/>
  <c r="AC120" i="5"/>
  <c r="AD128" i="5"/>
  <c r="AC139" i="5"/>
  <c r="AD131" i="5"/>
  <c r="AD123" i="5"/>
  <c r="AD143" i="5"/>
  <c r="AD135" i="5"/>
  <c r="AD127" i="5"/>
  <c r="AD119" i="5"/>
  <c r="AC146" i="5"/>
  <c r="AC142" i="5"/>
  <c r="AC138" i="5"/>
  <c r="AC134" i="5"/>
  <c r="AC130" i="5"/>
  <c r="AC126" i="5"/>
  <c r="AC122" i="5"/>
  <c r="AC118" i="5"/>
  <c r="AC143" i="5"/>
  <c r="AD140" i="5"/>
  <c r="AC135" i="5"/>
  <c r="AD132" i="5"/>
  <c r="AC127" i="5"/>
  <c r="AD124" i="5"/>
  <c r="AC119" i="5"/>
  <c r="AC131" i="5"/>
  <c r="AD145" i="5"/>
  <c r="AD137" i="5"/>
  <c r="AD129" i="5"/>
  <c r="AD121" i="5"/>
  <c r="AC123" i="5"/>
  <c r="AD142" i="5"/>
  <c r="AD134" i="5"/>
  <c r="AD126" i="5"/>
  <c r="AD118" i="5"/>
  <c r="AD139" i="5"/>
  <c r="AD120" i="5"/>
  <c r="AD141" i="5"/>
  <c r="AD133" i="5"/>
  <c r="AD125" i="5"/>
  <c r="AD117" i="5"/>
  <c r="AD146" i="5"/>
  <c r="AD138" i="5"/>
  <c r="AD130" i="5"/>
  <c r="AD12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O53" i="5"/>
  <c r="P53" i="5"/>
  <c r="Q53" i="5"/>
  <c r="R53" i="5"/>
  <c r="S53" i="5"/>
  <c r="T53" i="5"/>
  <c r="U53" i="5"/>
  <c r="AD53" i="5" s="1"/>
  <c r="V53" i="5"/>
  <c r="W53" i="5"/>
  <c r="AC53" i="5" s="1"/>
  <c r="X53" i="5"/>
  <c r="O54" i="5"/>
  <c r="P54" i="5"/>
  <c r="Q54" i="5"/>
  <c r="R54" i="5"/>
  <c r="S54" i="5"/>
  <c r="T54" i="5"/>
  <c r="U54" i="5"/>
  <c r="V54" i="5"/>
  <c r="W54" i="5"/>
  <c r="AC54" i="5" s="1"/>
  <c r="X54" i="5"/>
  <c r="AD54" i="5" s="1"/>
  <c r="O55" i="5"/>
  <c r="P55" i="5"/>
  <c r="Q55" i="5"/>
  <c r="R55" i="5"/>
  <c r="S55" i="5"/>
  <c r="T55" i="5"/>
  <c r="U55" i="5"/>
  <c r="AD55" i="5" s="1"/>
  <c r="V55" i="5"/>
  <c r="W55" i="5"/>
  <c r="AC55" i="5" s="1"/>
  <c r="X55" i="5"/>
  <c r="O56" i="5"/>
  <c r="P56" i="5"/>
  <c r="Q56" i="5"/>
  <c r="R56" i="5"/>
  <c r="S56" i="5"/>
  <c r="T56" i="5"/>
  <c r="U56" i="5"/>
  <c r="AC56" i="5" s="1"/>
  <c r="V56" i="5"/>
  <c r="W56" i="5"/>
  <c r="X56" i="5"/>
  <c r="O57" i="5"/>
  <c r="P57" i="5"/>
  <c r="Q57" i="5"/>
  <c r="R57" i="5"/>
  <c r="S57" i="5"/>
  <c r="T57" i="5"/>
  <c r="U57" i="5"/>
  <c r="AD57" i="5" s="1"/>
  <c r="V57" i="5"/>
  <c r="W57" i="5"/>
  <c r="AC57" i="5" s="1"/>
  <c r="X57" i="5"/>
  <c r="O58" i="5"/>
  <c r="P58" i="5"/>
  <c r="Q58" i="5"/>
  <c r="R58" i="5"/>
  <c r="S58" i="5"/>
  <c r="T58" i="5"/>
  <c r="U58" i="5"/>
  <c r="V58" i="5"/>
  <c r="W58" i="5"/>
  <c r="AC58" i="5" s="1"/>
  <c r="X58" i="5"/>
  <c r="AD58" i="5" s="1"/>
  <c r="O59" i="5"/>
  <c r="P59" i="5"/>
  <c r="Q59" i="5"/>
  <c r="R59" i="5"/>
  <c r="S59" i="5"/>
  <c r="T59" i="5"/>
  <c r="U59" i="5"/>
  <c r="AD59" i="5" s="1"/>
  <c r="V59" i="5"/>
  <c r="W59" i="5"/>
  <c r="AC59" i="5" s="1"/>
  <c r="X59" i="5"/>
  <c r="O60" i="5"/>
  <c r="P60" i="5"/>
  <c r="Q60" i="5"/>
  <c r="R60" i="5"/>
  <c r="S60" i="5"/>
  <c r="T60" i="5"/>
  <c r="U60" i="5"/>
  <c r="AC60" i="5" s="1"/>
  <c r="V60" i="5"/>
  <c r="W60" i="5"/>
  <c r="X60" i="5"/>
  <c r="O61" i="5"/>
  <c r="P61" i="5"/>
  <c r="Q61" i="5"/>
  <c r="R61" i="5"/>
  <c r="S61" i="5"/>
  <c r="T61" i="5"/>
  <c r="U61" i="5"/>
  <c r="AD61" i="5" s="1"/>
  <c r="V61" i="5"/>
  <c r="W61" i="5"/>
  <c r="AC61" i="5" s="1"/>
  <c r="X61" i="5"/>
  <c r="O62" i="5"/>
  <c r="P62" i="5"/>
  <c r="Q62" i="5"/>
  <c r="R62" i="5"/>
  <c r="S62" i="5"/>
  <c r="T62" i="5"/>
  <c r="U62" i="5"/>
  <c r="V62" i="5"/>
  <c r="W62" i="5"/>
  <c r="AC62" i="5" s="1"/>
  <c r="X62" i="5"/>
  <c r="AD62" i="5" s="1"/>
  <c r="O63" i="5"/>
  <c r="P63" i="5"/>
  <c r="Q63" i="5"/>
  <c r="R63" i="5"/>
  <c r="S63" i="5"/>
  <c r="T63" i="5"/>
  <c r="U63" i="5"/>
  <c r="AD63" i="5" s="1"/>
  <c r="V63" i="5"/>
  <c r="W63" i="5"/>
  <c r="AC63" i="5" s="1"/>
  <c r="X63" i="5"/>
  <c r="O64" i="5"/>
  <c r="P64" i="5"/>
  <c r="Q64" i="5"/>
  <c r="R64" i="5"/>
  <c r="S64" i="5"/>
  <c r="T64" i="5"/>
  <c r="U64" i="5"/>
  <c r="AC64" i="5" s="1"/>
  <c r="V64" i="5"/>
  <c r="W64" i="5"/>
  <c r="X64" i="5"/>
  <c r="O65" i="5"/>
  <c r="P65" i="5"/>
  <c r="Q65" i="5"/>
  <c r="R65" i="5"/>
  <c r="S65" i="5"/>
  <c r="T65" i="5"/>
  <c r="U65" i="5"/>
  <c r="AD65" i="5" s="1"/>
  <c r="V65" i="5"/>
  <c r="W65" i="5"/>
  <c r="AC65" i="5" s="1"/>
  <c r="X65" i="5"/>
  <c r="O66" i="5"/>
  <c r="P66" i="5"/>
  <c r="Q66" i="5"/>
  <c r="R66" i="5"/>
  <c r="S66" i="5"/>
  <c r="T66" i="5"/>
  <c r="U66" i="5"/>
  <c r="V66" i="5"/>
  <c r="W66" i="5"/>
  <c r="AC66" i="5" s="1"/>
  <c r="X66" i="5"/>
  <c r="AD66" i="5" s="1"/>
  <c r="O67" i="5"/>
  <c r="P67" i="5"/>
  <c r="Q67" i="5"/>
  <c r="R67" i="5"/>
  <c r="S67" i="5"/>
  <c r="T67" i="5"/>
  <c r="U67" i="5"/>
  <c r="AD67" i="5" s="1"/>
  <c r="V67" i="5"/>
  <c r="W67" i="5"/>
  <c r="AC67" i="5" s="1"/>
  <c r="X67" i="5"/>
  <c r="O68" i="5"/>
  <c r="P68" i="5"/>
  <c r="Q68" i="5"/>
  <c r="R68" i="5"/>
  <c r="S68" i="5"/>
  <c r="T68" i="5"/>
  <c r="U68" i="5"/>
  <c r="AC68" i="5" s="1"/>
  <c r="V68" i="5"/>
  <c r="W68" i="5"/>
  <c r="X68" i="5"/>
  <c r="O69" i="5"/>
  <c r="P69" i="5"/>
  <c r="Q69" i="5"/>
  <c r="R69" i="5"/>
  <c r="S69" i="5"/>
  <c r="T69" i="5"/>
  <c r="U69" i="5"/>
  <c r="AD69" i="5" s="1"/>
  <c r="V69" i="5"/>
  <c r="W69" i="5"/>
  <c r="AC69" i="5" s="1"/>
  <c r="X69" i="5"/>
  <c r="O70" i="5"/>
  <c r="P70" i="5"/>
  <c r="Q70" i="5"/>
  <c r="R70" i="5"/>
  <c r="S70" i="5"/>
  <c r="T70" i="5"/>
  <c r="U70" i="5"/>
  <c r="V70" i="5"/>
  <c r="W70" i="5"/>
  <c r="AC70" i="5" s="1"/>
  <c r="X70" i="5"/>
  <c r="AD70" i="5" s="1"/>
  <c r="O71" i="5"/>
  <c r="P71" i="5"/>
  <c r="Q71" i="5"/>
  <c r="R71" i="5"/>
  <c r="S71" i="5"/>
  <c r="T71" i="5"/>
  <c r="U71" i="5"/>
  <c r="AD71" i="5" s="1"/>
  <c r="V71" i="5"/>
  <c r="W71" i="5"/>
  <c r="AC71" i="5" s="1"/>
  <c r="X71" i="5"/>
  <c r="O72" i="5"/>
  <c r="P72" i="5"/>
  <c r="Q72" i="5"/>
  <c r="R72" i="5"/>
  <c r="S72" i="5"/>
  <c r="T72" i="5"/>
  <c r="U72" i="5"/>
  <c r="AC72" i="5" s="1"/>
  <c r="V72" i="5"/>
  <c r="W72" i="5"/>
  <c r="X72" i="5"/>
  <c r="O73" i="5"/>
  <c r="P73" i="5"/>
  <c r="Q73" i="5"/>
  <c r="R73" i="5"/>
  <c r="S73" i="5"/>
  <c r="T73" i="5"/>
  <c r="U73" i="5"/>
  <c r="AD73" i="5" s="1"/>
  <c r="V73" i="5"/>
  <c r="W73" i="5"/>
  <c r="AC73" i="5" s="1"/>
  <c r="X73" i="5"/>
  <c r="O74" i="5"/>
  <c r="P74" i="5"/>
  <c r="Q74" i="5"/>
  <c r="R74" i="5"/>
  <c r="S74" i="5"/>
  <c r="T74" i="5"/>
  <c r="U74" i="5"/>
  <c r="V74" i="5"/>
  <c r="W74" i="5"/>
  <c r="AC74" i="5" s="1"/>
  <c r="X74" i="5"/>
  <c r="AD74" i="5" s="1"/>
  <c r="O75" i="5"/>
  <c r="P75" i="5"/>
  <c r="Q75" i="5"/>
  <c r="R75" i="5"/>
  <c r="S75" i="5"/>
  <c r="T75" i="5"/>
  <c r="U75" i="5"/>
  <c r="AD75" i="5" s="1"/>
  <c r="V75" i="5"/>
  <c r="W75" i="5"/>
  <c r="AC75" i="5" s="1"/>
  <c r="X75" i="5"/>
  <c r="O76" i="5"/>
  <c r="P76" i="5"/>
  <c r="Q76" i="5"/>
  <c r="R76" i="5"/>
  <c r="S76" i="5"/>
  <c r="T76" i="5"/>
  <c r="U76" i="5"/>
  <c r="AC76" i="5" s="1"/>
  <c r="V76" i="5"/>
  <c r="W76" i="5"/>
  <c r="X76" i="5"/>
  <c r="O77" i="5"/>
  <c r="P77" i="5"/>
  <c r="Q77" i="5"/>
  <c r="R77" i="5"/>
  <c r="S77" i="5"/>
  <c r="T77" i="5"/>
  <c r="U77" i="5"/>
  <c r="AD77" i="5" s="1"/>
  <c r="V77" i="5"/>
  <c r="W77" i="5"/>
  <c r="AC77" i="5" s="1"/>
  <c r="X77" i="5"/>
  <c r="O78" i="5"/>
  <c r="P78" i="5"/>
  <c r="Q78" i="5"/>
  <c r="R78" i="5"/>
  <c r="S78" i="5"/>
  <c r="T78" i="5"/>
  <c r="U78" i="5"/>
  <c r="V78" i="5"/>
  <c r="W78" i="5"/>
  <c r="AC78" i="5" s="1"/>
  <c r="X78" i="5"/>
  <c r="AD78" i="5" s="1"/>
  <c r="O79" i="5"/>
  <c r="P79" i="5"/>
  <c r="Q79" i="5"/>
  <c r="R79" i="5"/>
  <c r="S79" i="5"/>
  <c r="T79" i="5"/>
  <c r="U79" i="5"/>
  <c r="AD79" i="5" s="1"/>
  <c r="V79" i="5"/>
  <c r="W79" i="5"/>
  <c r="AC79" i="5" s="1"/>
  <c r="X79" i="5"/>
  <c r="O80" i="5"/>
  <c r="P80" i="5"/>
  <c r="Q80" i="5"/>
  <c r="R80" i="5"/>
  <c r="S80" i="5"/>
  <c r="T80" i="5"/>
  <c r="U80" i="5"/>
  <c r="AC80" i="5" s="1"/>
  <c r="V80" i="5"/>
  <c r="W80" i="5"/>
  <c r="X80" i="5"/>
  <c r="O81" i="5"/>
  <c r="P81" i="5"/>
  <c r="Q81" i="5"/>
  <c r="R81" i="5"/>
  <c r="S81" i="5"/>
  <c r="T81" i="5"/>
  <c r="U81" i="5"/>
  <c r="AD81" i="5" s="1"/>
  <c r="V81" i="5"/>
  <c r="W81" i="5"/>
  <c r="AC81" i="5" s="1"/>
  <c r="X81" i="5"/>
  <c r="O82" i="5"/>
  <c r="P82" i="5"/>
  <c r="Q82" i="5"/>
  <c r="R82" i="5"/>
  <c r="S82" i="5"/>
  <c r="T82" i="5"/>
  <c r="U82" i="5"/>
  <c r="V82" i="5"/>
  <c r="W82" i="5"/>
  <c r="AC82" i="5" s="1"/>
  <c r="X82" i="5"/>
  <c r="AD82" i="5" s="1"/>
  <c r="O83" i="5"/>
  <c r="P83" i="5"/>
  <c r="Q83" i="5"/>
  <c r="R83" i="5"/>
  <c r="S83" i="5"/>
  <c r="T83" i="5"/>
  <c r="U83" i="5"/>
  <c r="AD83" i="5" s="1"/>
  <c r="V83" i="5"/>
  <c r="W83" i="5"/>
  <c r="AC83" i="5" s="1"/>
  <c r="X83" i="5"/>
  <c r="O84" i="5"/>
  <c r="P84" i="5"/>
  <c r="Q84" i="5"/>
  <c r="R84" i="5"/>
  <c r="S84" i="5"/>
  <c r="T84" i="5"/>
  <c r="U84" i="5"/>
  <c r="AC84" i="5" s="1"/>
  <c r="V84" i="5"/>
  <c r="W84" i="5"/>
  <c r="X84" i="5"/>
  <c r="O85" i="5"/>
  <c r="P85" i="5"/>
  <c r="Q85" i="5"/>
  <c r="R85" i="5"/>
  <c r="S85" i="5"/>
  <c r="T85" i="5"/>
  <c r="U85" i="5"/>
  <c r="AD85" i="5" s="1"/>
  <c r="V85" i="5"/>
  <c r="W85" i="5"/>
  <c r="AC85" i="5" s="1"/>
  <c r="X85" i="5"/>
  <c r="O86" i="5"/>
  <c r="P86" i="5"/>
  <c r="Q86" i="5"/>
  <c r="R86" i="5"/>
  <c r="S86" i="5"/>
  <c r="T86" i="5"/>
  <c r="U86" i="5"/>
  <c r="V86" i="5"/>
  <c r="W86" i="5"/>
  <c r="AC86" i="5" s="1"/>
  <c r="X86" i="5"/>
  <c r="AD86" i="5" s="1"/>
  <c r="O87" i="5"/>
  <c r="P87" i="5"/>
  <c r="Q87" i="5"/>
  <c r="R87" i="5"/>
  <c r="S87" i="5"/>
  <c r="T87" i="5"/>
  <c r="U87" i="5"/>
  <c r="AD87" i="5" s="1"/>
  <c r="V87" i="5"/>
  <c r="W87" i="5"/>
  <c r="AC87" i="5" s="1"/>
  <c r="X87" i="5"/>
  <c r="O88" i="5"/>
  <c r="P88" i="5"/>
  <c r="Q88" i="5"/>
  <c r="R88" i="5"/>
  <c r="S88" i="5"/>
  <c r="T88" i="5"/>
  <c r="U88" i="5"/>
  <c r="AC88" i="5" s="1"/>
  <c r="V88" i="5"/>
  <c r="W88" i="5"/>
  <c r="X88" i="5"/>
  <c r="O89" i="5"/>
  <c r="P89" i="5"/>
  <c r="Q89" i="5"/>
  <c r="R89" i="5"/>
  <c r="S89" i="5"/>
  <c r="T89" i="5"/>
  <c r="U89" i="5"/>
  <c r="AD89" i="5" s="1"/>
  <c r="V89" i="5"/>
  <c r="W89" i="5"/>
  <c r="AC89" i="5" s="1"/>
  <c r="X89" i="5"/>
  <c r="O90" i="5"/>
  <c r="P90" i="5"/>
  <c r="Q90" i="5"/>
  <c r="R90" i="5"/>
  <c r="S90" i="5"/>
  <c r="T90" i="5"/>
  <c r="U90" i="5"/>
  <c r="V90" i="5"/>
  <c r="W90" i="5"/>
  <c r="AC90" i="5" s="1"/>
  <c r="X90" i="5"/>
  <c r="AD90" i="5" s="1"/>
  <c r="O91" i="5"/>
  <c r="P91" i="5"/>
  <c r="Q91" i="5"/>
  <c r="R91" i="5"/>
  <c r="S91" i="5"/>
  <c r="T91" i="5"/>
  <c r="U91" i="5"/>
  <c r="AD91" i="5" s="1"/>
  <c r="V91" i="5"/>
  <c r="W91" i="5"/>
  <c r="AC91" i="5" s="1"/>
  <c r="X91" i="5"/>
  <c r="O92" i="5"/>
  <c r="P92" i="5"/>
  <c r="Q92" i="5"/>
  <c r="R92" i="5"/>
  <c r="S92" i="5"/>
  <c r="T92" i="5"/>
  <c r="U92" i="5"/>
  <c r="AC92" i="5" s="1"/>
  <c r="V92" i="5"/>
  <c r="W92" i="5"/>
  <c r="X92" i="5"/>
  <c r="O93" i="5"/>
  <c r="P93" i="5"/>
  <c r="Q93" i="5"/>
  <c r="R93" i="5"/>
  <c r="S93" i="5"/>
  <c r="T93" i="5"/>
  <c r="U93" i="5"/>
  <c r="AD93" i="5" s="1"/>
  <c r="V93" i="5"/>
  <c r="W93" i="5"/>
  <c r="AC93" i="5" s="1"/>
  <c r="X93" i="5"/>
  <c r="O94" i="5"/>
  <c r="P94" i="5"/>
  <c r="Q94" i="5"/>
  <c r="R94" i="5"/>
  <c r="S94" i="5"/>
  <c r="T94" i="5"/>
  <c r="U94" i="5"/>
  <c r="V94" i="5"/>
  <c r="W94" i="5"/>
  <c r="AC94" i="5" s="1"/>
  <c r="X94" i="5"/>
  <c r="AD94" i="5" s="1"/>
  <c r="O95" i="5"/>
  <c r="P95" i="5"/>
  <c r="Q95" i="5"/>
  <c r="R95" i="5"/>
  <c r="S95" i="5"/>
  <c r="T95" i="5"/>
  <c r="U95" i="5"/>
  <c r="AD95" i="5" s="1"/>
  <c r="V95" i="5"/>
  <c r="W95" i="5"/>
  <c r="AC95" i="5" s="1"/>
  <c r="X95" i="5"/>
  <c r="O96" i="5"/>
  <c r="P96" i="5"/>
  <c r="Q96" i="5"/>
  <c r="R96" i="5"/>
  <c r="S96" i="5"/>
  <c r="T96" i="5"/>
  <c r="U96" i="5"/>
  <c r="AC96" i="5" s="1"/>
  <c r="V96" i="5"/>
  <c r="W96" i="5"/>
  <c r="X96" i="5"/>
  <c r="O97" i="5"/>
  <c r="P97" i="5"/>
  <c r="Q97" i="5"/>
  <c r="R97" i="5"/>
  <c r="S97" i="5"/>
  <c r="T97" i="5"/>
  <c r="U97" i="5"/>
  <c r="AD97" i="5" s="1"/>
  <c r="V97" i="5"/>
  <c r="W97" i="5"/>
  <c r="AC97" i="5" s="1"/>
  <c r="X97" i="5"/>
  <c r="O98" i="5"/>
  <c r="P98" i="5"/>
  <c r="Q98" i="5"/>
  <c r="R98" i="5"/>
  <c r="S98" i="5"/>
  <c r="T98" i="5"/>
  <c r="U98" i="5"/>
  <c r="V98" i="5"/>
  <c r="W98" i="5"/>
  <c r="AC98" i="5" s="1"/>
  <c r="X98" i="5"/>
  <c r="AD98" i="5" s="1"/>
  <c r="O99" i="5"/>
  <c r="P99" i="5"/>
  <c r="Q99" i="5"/>
  <c r="R99" i="5"/>
  <c r="S99" i="5"/>
  <c r="T99" i="5"/>
  <c r="U99" i="5"/>
  <c r="AD99" i="5" s="1"/>
  <c r="V99" i="5"/>
  <c r="W99" i="5"/>
  <c r="AC99" i="5" s="1"/>
  <c r="X99" i="5"/>
  <c r="O100" i="5"/>
  <c r="P100" i="5"/>
  <c r="Q100" i="5"/>
  <c r="R100" i="5"/>
  <c r="S100" i="5"/>
  <c r="T100" i="5"/>
  <c r="U100" i="5"/>
  <c r="AC100" i="5" s="1"/>
  <c r="V100" i="5"/>
  <c r="W100" i="5"/>
  <c r="X100" i="5"/>
  <c r="O101" i="5"/>
  <c r="P101" i="5"/>
  <c r="Q101" i="5"/>
  <c r="R101" i="5"/>
  <c r="S101" i="5"/>
  <c r="T101" i="5"/>
  <c r="U101" i="5"/>
  <c r="AD101" i="5" s="1"/>
  <c r="V101" i="5"/>
  <c r="W101" i="5"/>
  <c r="AC101" i="5" s="1"/>
  <c r="X101" i="5"/>
  <c r="O102" i="5"/>
  <c r="P102" i="5"/>
  <c r="Q102" i="5"/>
  <c r="R102" i="5"/>
  <c r="S102" i="5"/>
  <c r="T102" i="5"/>
  <c r="U102" i="5"/>
  <c r="V102" i="5"/>
  <c r="W102" i="5"/>
  <c r="AC102" i="5" s="1"/>
  <c r="X102" i="5"/>
  <c r="AD102" i="5" s="1"/>
  <c r="O103" i="5"/>
  <c r="P103" i="5"/>
  <c r="Q103" i="5"/>
  <c r="R103" i="5"/>
  <c r="S103" i="5"/>
  <c r="T103" i="5"/>
  <c r="U103" i="5"/>
  <c r="AD103" i="5" s="1"/>
  <c r="V103" i="5"/>
  <c r="W103" i="5"/>
  <c r="AC103" i="5" s="1"/>
  <c r="X103" i="5"/>
  <c r="O104" i="5"/>
  <c r="P104" i="5"/>
  <c r="Q104" i="5"/>
  <c r="R104" i="5"/>
  <c r="S104" i="5"/>
  <c r="T104" i="5"/>
  <c r="U104" i="5"/>
  <c r="AC104" i="5" s="1"/>
  <c r="V104" i="5"/>
  <c r="W104" i="5"/>
  <c r="X104" i="5"/>
  <c r="O105" i="5"/>
  <c r="P105" i="5"/>
  <c r="Q105" i="5"/>
  <c r="R105" i="5"/>
  <c r="S105" i="5"/>
  <c r="T105" i="5"/>
  <c r="U105" i="5"/>
  <c r="AD105" i="5" s="1"/>
  <c r="V105" i="5"/>
  <c r="W105" i="5"/>
  <c r="AC105" i="5" s="1"/>
  <c r="X105" i="5"/>
  <c r="O106" i="5"/>
  <c r="P106" i="5"/>
  <c r="Q106" i="5"/>
  <c r="R106" i="5"/>
  <c r="S106" i="5"/>
  <c r="T106" i="5"/>
  <c r="U106" i="5"/>
  <c r="V106" i="5"/>
  <c r="W106" i="5"/>
  <c r="AC106" i="5" s="1"/>
  <c r="X106" i="5"/>
  <c r="AD106" i="5" s="1"/>
  <c r="O107" i="5"/>
  <c r="P107" i="5"/>
  <c r="Q107" i="5"/>
  <c r="R107" i="5"/>
  <c r="S107" i="5"/>
  <c r="T107" i="5"/>
  <c r="U107" i="5"/>
  <c r="AD107" i="5" s="1"/>
  <c r="V107" i="5"/>
  <c r="W107" i="5"/>
  <c r="AC107" i="5" s="1"/>
  <c r="X107" i="5"/>
  <c r="O108" i="5"/>
  <c r="P108" i="5"/>
  <c r="Q108" i="5"/>
  <c r="R108" i="5"/>
  <c r="S108" i="5"/>
  <c r="T108" i="5"/>
  <c r="U108" i="5"/>
  <c r="AC108" i="5" s="1"/>
  <c r="V108" i="5"/>
  <c r="W108" i="5"/>
  <c r="X108" i="5"/>
  <c r="O109" i="5"/>
  <c r="P109" i="5"/>
  <c r="Q109" i="5"/>
  <c r="R109" i="5"/>
  <c r="S109" i="5"/>
  <c r="T109" i="5"/>
  <c r="U109" i="5"/>
  <c r="AD109" i="5" s="1"/>
  <c r="V109" i="5"/>
  <c r="W109" i="5"/>
  <c r="AC109" i="5" s="1"/>
  <c r="X109" i="5"/>
  <c r="O110" i="5"/>
  <c r="P110" i="5"/>
  <c r="Q110" i="5"/>
  <c r="R110" i="5"/>
  <c r="S110" i="5"/>
  <c r="T110" i="5"/>
  <c r="U110" i="5"/>
  <c r="V110" i="5"/>
  <c r="W110" i="5"/>
  <c r="AC110" i="5" s="1"/>
  <c r="X110" i="5"/>
  <c r="AD110" i="5" s="1"/>
  <c r="O111" i="5"/>
  <c r="P111" i="5"/>
  <c r="Q111" i="5"/>
  <c r="R111" i="5"/>
  <c r="S111" i="5"/>
  <c r="T111" i="5"/>
  <c r="U111" i="5"/>
  <c r="AD111" i="5" s="1"/>
  <c r="V111" i="5"/>
  <c r="W111" i="5"/>
  <c r="AC111" i="5" s="1"/>
  <c r="X111" i="5"/>
  <c r="O112" i="5"/>
  <c r="P112" i="5"/>
  <c r="Q112" i="5"/>
  <c r="R112" i="5"/>
  <c r="S112" i="5"/>
  <c r="T112" i="5"/>
  <c r="U112" i="5"/>
  <c r="AC112" i="5" s="1"/>
  <c r="V112" i="5"/>
  <c r="W112" i="5"/>
  <c r="X112" i="5"/>
  <c r="O113" i="5"/>
  <c r="P113" i="5"/>
  <c r="Q113" i="5"/>
  <c r="R113" i="5"/>
  <c r="S113" i="5"/>
  <c r="T113" i="5"/>
  <c r="U113" i="5"/>
  <c r="AD113" i="5" s="1"/>
  <c r="V113" i="5"/>
  <c r="W113" i="5"/>
  <c r="AC113" i="5" s="1"/>
  <c r="X113" i="5"/>
  <c r="O114" i="5"/>
  <c r="P114" i="5"/>
  <c r="Q114" i="5"/>
  <c r="R114" i="5"/>
  <c r="S114" i="5"/>
  <c r="T114" i="5"/>
  <c r="U114" i="5"/>
  <c r="V114" i="5"/>
  <c r="W114" i="5"/>
  <c r="AC114" i="5" s="1"/>
  <c r="X114" i="5"/>
  <c r="AD114" i="5" s="1"/>
  <c r="O115" i="5"/>
  <c r="P115" i="5"/>
  <c r="Q115" i="5"/>
  <c r="R115" i="5"/>
  <c r="S115" i="5"/>
  <c r="T115" i="5"/>
  <c r="U115" i="5"/>
  <c r="AD115" i="5" s="1"/>
  <c r="V115" i="5"/>
  <c r="W115" i="5"/>
  <c r="AC115" i="5" s="1"/>
  <c r="X115" i="5"/>
  <c r="O116" i="5"/>
  <c r="P116" i="5"/>
  <c r="Q116" i="5"/>
  <c r="R116" i="5"/>
  <c r="S116" i="5"/>
  <c r="T116" i="5"/>
  <c r="U116" i="5"/>
  <c r="AC116" i="5" s="1"/>
  <c r="V116" i="5"/>
  <c r="W116" i="5"/>
  <c r="X116" i="5"/>
  <c r="AA127" i="3"/>
  <c r="AA126" i="3"/>
  <c r="AA125" i="3"/>
  <c r="AA124" i="3"/>
  <c r="AA123" i="3"/>
  <c r="AA122" i="3"/>
  <c r="AA121" i="3"/>
  <c r="AA120" i="3"/>
  <c r="AA119" i="3"/>
  <c r="AA118" i="3"/>
  <c r="AA117" i="3"/>
  <c r="O98" i="3"/>
  <c r="P98" i="3"/>
  <c r="Q98" i="3"/>
  <c r="R98" i="3"/>
  <c r="S98" i="3"/>
  <c r="T98" i="3"/>
  <c r="U98" i="3"/>
  <c r="V98" i="3"/>
  <c r="W98" i="3"/>
  <c r="X98" i="3"/>
  <c r="O99" i="3"/>
  <c r="P99" i="3"/>
  <c r="Q99" i="3"/>
  <c r="R99" i="3"/>
  <c r="S99" i="3"/>
  <c r="T99" i="3"/>
  <c r="U99" i="3"/>
  <c r="V99" i="3"/>
  <c r="W99" i="3"/>
  <c r="X99" i="3"/>
  <c r="O100" i="3"/>
  <c r="P100" i="3"/>
  <c r="Q100" i="3"/>
  <c r="R100" i="3"/>
  <c r="S100" i="3"/>
  <c r="T100" i="3"/>
  <c r="U100" i="3"/>
  <c r="V100" i="3"/>
  <c r="W100" i="3"/>
  <c r="X100" i="3"/>
  <c r="O101" i="3"/>
  <c r="P101" i="3"/>
  <c r="Q101" i="3"/>
  <c r="R101" i="3"/>
  <c r="S101" i="3"/>
  <c r="T101" i="3"/>
  <c r="U101" i="3"/>
  <c r="V101" i="3"/>
  <c r="W101" i="3"/>
  <c r="X101" i="3"/>
  <c r="O102" i="3"/>
  <c r="P102" i="3"/>
  <c r="Q102" i="3"/>
  <c r="R102" i="3"/>
  <c r="S102" i="3"/>
  <c r="T102" i="3"/>
  <c r="U102" i="3"/>
  <c r="V102" i="3"/>
  <c r="W102" i="3"/>
  <c r="X102" i="3"/>
  <c r="O103" i="3"/>
  <c r="P103" i="3"/>
  <c r="Q103" i="3"/>
  <c r="R103" i="3"/>
  <c r="S103" i="3"/>
  <c r="T103" i="3"/>
  <c r="U103" i="3"/>
  <c r="V103" i="3"/>
  <c r="W103" i="3"/>
  <c r="X103" i="3"/>
  <c r="O104" i="3"/>
  <c r="P104" i="3"/>
  <c r="Q104" i="3"/>
  <c r="R104" i="3"/>
  <c r="S104" i="3"/>
  <c r="T104" i="3"/>
  <c r="U104" i="3"/>
  <c r="V104" i="3"/>
  <c r="W104" i="3"/>
  <c r="X104" i="3"/>
  <c r="O105" i="3"/>
  <c r="P105" i="3"/>
  <c r="Q105" i="3"/>
  <c r="R105" i="3"/>
  <c r="S105" i="3"/>
  <c r="T105" i="3"/>
  <c r="U105" i="3"/>
  <c r="V105" i="3"/>
  <c r="W105" i="3"/>
  <c r="X105" i="3"/>
  <c r="O106" i="3"/>
  <c r="P106" i="3"/>
  <c r="Q106" i="3"/>
  <c r="R106" i="3"/>
  <c r="S106" i="3"/>
  <c r="T106" i="3"/>
  <c r="U106" i="3"/>
  <c r="V106" i="3"/>
  <c r="W106" i="3"/>
  <c r="X106" i="3"/>
  <c r="O107" i="3"/>
  <c r="P107" i="3"/>
  <c r="Q107" i="3"/>
  <c r="R107" i="3"/>
  <c r="S107" i="3"/>
  <c r="T107" i="3"/>
  <c r="U107" i="3"/>
  <c r="V107" i="3"/>
  <c r="W107" i="3"/>
  <c r="X107" i="3"/>
  <c r="O108" i="3"/>
  <c r="P108" i="3"/>
  <c r="Q108" i="3"/>
  <c r="R108" i="3"/>
  <c r="S108" i="3"/>
  <c r="T108" i="3"/>
  <c r="U108" i="3"/>
  <c r="V108" i="3"/>
  <c r="W108" i="3"/>
  <c r="X108" i="3"/>
  <c r="O109" i="3"/>
  <c r="P109" i="3"/>
  <c r="Q109" i="3"/>
  <c r="R109" i="3"/>
  <c r="S109" i="3"/>
  <c r="T109" i="3"/>
  <c r="U109" i="3"/>
  <c r="V109" i="3"/>
  <c r="W109" i="3"/>
  <c r="X109" i="3"/>
  <c r="O110" i="3"/>
  <c r="P110" i="3"/>
  <c r="Q110" i="3"/>
  <c r="R110" i="3"/>
  <c r="S110" i="3"/>
  <c r="T110" i="3"/>
  <c r="U110" i="3"/>
  <c r="V110" i="3"/>
  <c r="W110" i="3"/>
  <c r="X110" i="3"/>
  <c r="O111" i="3"/>
  <c r="P111" i="3"/>
  <c r="Q111" i="3"/>
  <c r="R111" i="3"/>
  <c r="S111" i="3"/>
  <c r="T111" i="3"/>
  <c r="U111" i="3"/>
  <c r="V111" i="3"/>
  <c r="W111" i="3"/>
  <c r="X111" i="3"/>
  <c r="O112" i="3"/>
  <c r="P112" i="3"/>
  <c r="Q112" i="3"/>
  <c r="R112" i="3"/>
  <c r="S112" i="3"/>
  <c r="T112" i="3"/>
  <c r="U112" i="3"/>
  <c r="V112" i="3"/>
  <c r="W112" i="3"/>
  <c r="X112" i="3"/>
  <c r="O113" i="3"/>
  <c r="P113" i="3"/>
  <c r="Q113" i="3"/>
  <c r="R113" i="3"/>
  <c r="S113" i="3"/>
  <c r="T113" i="3"/>
  <c r="U113" i="3"/>
  <c r="V113" i="3"/>
  <c r="W113" i="3"/>
  <c r="X113" i="3"/>
  <c r="O114" i="3"/>
  <c r="P114" i="3"/>
  <c r="Q114" i="3"/>
  <c r="R114" i="3"/>
  <c r="S114" i="3"/>
  <c r="T114" i="3"/>
  <c r="U114" i="3"/>
  <c r="V114" i="3"/>
  <c r="W114" i="3"/>
  <c r="X114" i="3"/>
  <c r="O115" i="3"/>
  <c r="P115" i="3"/>
  <c r="Q115" i="3"/>
  <c r="R115" i="3"/>
  <c r="S115" i="3"/>
  <c r="T115" i="3"/>
  <c r="U115" i="3"/>
  <c r="V115" i="3"/>
  <c r="W115" i="3"/>
  <c r="X115" i="3"/>
  <c r="O116" i="3"/>
  <c r="P116" i="3"/>
  <c r="Q116" i="3"/>
  <c r="R116" i="3"/>
  <c r="S116" i="3"/>
  <c r="T116" i="3"/>
  <c r="U116" i="3"/>
  <c r="V116" i="3"/>
  <c r="W116" i="3"/>
  <c r="X116" i="3"/>
  <c r="O56" i="3"/>
  <c r="P56" i="3"/>
  <c r="Q56" i="3"/>
  <c r="R56" i="3"/>
  <c r="S56" i="3"/>
  <c r="T56" i="3"/>
  <c r="U56" i="3"/>
  <c r="V56" i="3"/>
  <c r="W56" i="3"/>
  <c r="X56" i="3"/>
  <c r="O57" i="3"/>
  <c r="P57" i="3"/>
  <c r="Q57" i="3"/>
  <c r="R57" i="3"/>
  <c r="S57" i="3"/>
  <c r="T57" i="3"/>
  <c r="U57" i="3"/>
  <c r="V57" i="3"/>
  <c r="W57" i="3"/>
  <c r="X57" i="3"/>
  <c r="O58" i="3"/>
  <c r="P58" i="3"/>
  <c r="Q58" i="3"/>
  <c r="R58" i="3"/>
  <c r="S58" i="3"/>
  <c r="T58" i="3"/>
  <c r="U58" i="3"/>
  <c r="V58" i="3"/>
  <c r="W58" i="3"/>
  <c r="X58" i="3"/>
  <c r="O59" i="3"/>
  <c r="P59" i="3"/>
  <c r="Q59" i="3"/>
  <c r="R59" i="3"/>
  <c r="S59" i="3"/>
  <c r="T59" i="3"/>
  <c r="U59" i="3"/>
  <c r="V59" i="3"/>
  <c r="W59" i="3"/>
  <c r="X59" i="3"/>
  <c r="O60" i="3"/>
  <c r="P60" i="3"/>
  <c r="Q60" i="3"/>
  <c r="R60" i="3"/>
  <c r="S60" i="3"/>
  <c r="T60" i="3"/>
  <c r="U60" i="3"/>
  <c r="V60" i="3"/>
  <c r="W60" i="3"/>
  <c r="X60" i="3"/>
  <c r="O61" i="3"/>
  <c r="P61" i="3"/>
  <c r="Q61" i="3"/>
  <c r="R61" i="3"/>
  <c r="S61" i="3"/>
  <c r="T61" i="3"/>
  <c r="U61" i="3"/>
  <c r="V61" i="3"/>
  <c r="W61" i="3"/>
  <c r="X61" i="3"/>
  <c r="O62" i="3"/>
  <c r="P62" i="3"/>
  <c r="Q62" i="3"/>
  <c r="R62" i="3"/>
  <c r="S62" i="3"/>
  <c r="T62" i="3"/>
  <c r="U62" i="3"/>
  <c r="V62" i="3"/>
  <c r="W62" i="3"/>
  <c r="X62" i="3"/>
  <c r="O63" i="3"/>
  <c r="P63" i="3"/>
  <c r="Q63" i="3"/>
  <c r="R63" i="3"/>
  <c r="S63" i="3"/>
  <c r="T63" i="3"/>
  <c r="U63" i="3"/>
  <c r="V63" i="3"/>
  <c r="W63" i="3"/>
  <c r="X63" i="3"/>
  <c r="O64" i="3"/>
  <c r="P64" i="3"/>
  <c r="Q64" i="3"/>
  <c r="R64" i="3"/>
  <c r="S64" i="3"/>
  <c r="T64" i="3"/>
  <c r="U64" i="3"/>
  <c r="V64" i="3"/>
  <c r="W64" i="3"/>
  <c r="X64" i="3"/>
  <c r="O65" i="3"/>
  <c r="P65" i="3"/>
  <c r="Q65" i="3"/>
  <c r="R65" i="3"/>
  <c r="S65" i="3"/>
  <c r="T65" i="3"/>
  <c r="U65" i="3"/>
  <c r="V65" i="3"/>
  <c r="W65" i="3"/>
  <c r="X65" i="3"/>
  <c r="O66" i="3"/>
  <c r="P66" i="3"/>
  <c r="Q66" i="3"/>
  <c r="R66" i="3"/>
  <c r="S66" i="3"/>
  <c r="T66" i="3"/>
  <c r="U66" i="3"/>
  <c r="V66" i="3"/>
  <c r="W66" i="3"/>
  <c r="X66" i="3"/>
  <c r="O67" i="3"/>
  <c r="P67" i="3"/>
  <c r="Q67" i="3"/>
  <c r="R67" i="3"/>
  <c r="S67" i="3"/>
  <c r="T67" i="3"/>
  <c r="U67" i="3"/>
  <c r="V67" i="3"/>
  <c r="W67" i="3"/>
  <c r="X67" i="3"/>
  <c r="O68" i="3"/>
  <c r="P68" i="3"/>
  <c r="Q68" i="3"/>
  <c r="R68" i="3"/>
  <c r="S68" i="3"/>
  <c r="T68" i="3"/>
  <c r="U68" i="3"/>
  <c r="V68" i="3"/>
  <c r="W68" i="3"/>
  <c r="X68" i="3"/>
  <c r="O69" i="3"/>
  <c r="P69" i="3"/>
  <c r="Q69" i="3"/>
  <c r="R69" i="3"/>
  <c r="S69" i="3"/>
  <c r="T69" i="3"/>
  <c r="U69" i="3"/>
  <c r="V69" i="3"/>
  <c r="W69" i="3"/>
  <c r="X69" i="3"/>
  <c r="O70" i="3"/>
  <c r="P70" i="3"/>
  <c r="Q70" i="3"/>
  <c r="R70" i="3"/>
  <c r="S70" i="3"/>
  <c r="T70" i="3"/>
  <c r="U70" i="3"/>
  <c r="V70" i="3"/>
  <c r="W70" i="3"/>
  <c r="X70" i="3"/>
  <c r="O71" i="3"/>
  <c r="P71" i="3"/>
  <c r="Q71" i="3"/>
  <c r="R71" i="3"/>
  <c r="S71" i="3"/>
  <c r="T71" i="3"/>
  <c r="U71" i="3"/>
  <c r="V71" i="3"/>
  <c r="W71" i="3"/>
  <c r="X71" i="3"/>
  <c r="O72" i="3"/>
  <c r="P72" i="3"/>
  <c r="Q72" i="3"/>
  <c r="R72" i="3"/>
  <c r="S72" i="3"/>
  <c r="T72" i="3"/>
  <c r="U72" i="3"/>
  <c r="V72" i="3"/>
  <c r="W72" i="3"/>
  <c r="X72" i="3"/>
  <c r="O73" i="3"/>
  <c r="P73" i="3"/>
  <c r="Q73" i="3"/>
  <c r="R73" i="3"/>
  <c r="S73" i="3"/>
  <c r="T73" i="3"/>
  <c r="U73" i="3"/>
  <c r="V73" i="3"/>
  <c r="W73" i="3"/>
  <c r="X73" i="3"/>
  <c r="O74" i="3"/>
  <c r="P74" i="3"/>
  <c r="Q74" i="3"/>
  <c r="R74" i="3"/>
  <c r="S74" i="3"/>
  <c r="T74" i="3"/>
  <c r="U74" i="3"/>
  <c r="V74" i="3"/>
  <c r="W74" i="3"/>
  <c r="X74" i="3"/>
  <c r="O75" i="3"/>
  <c r="P75" i="3"/>
  <c r="Q75" i="3"/>
  <c r="R75" i="3"/>
  <c r="S75" i="3"/>
  <c r="T75" i="3"/>
  <c r="U75" i="3"/>
  <c r="V75" i="3"/>
  <c r="W75" i="3"/>
  <c r="X75" i="3"/>
  <c r="O76" i="3"/>
  <c r="P76" i="3"/>
  <c r="Q76" i="3"/>
  <c r="R76" i="3"/>
  <c r="S76" i="3"/>
  <c r="T76" i="3"/>
  <c r="U76" i="3"/>
  <c r="V76" i="3"/>
  <c r="W76" i="3"/>
  <c r="X76" i="3"/>
  <c r="O77" i="3"/>
  <c r="P77" i="3"/>
  <c r="Q77" i="3"/>
  <c r="R77" i="3"/>
  <c r="S77" i="3"/>
  <c r="T77" i="3"/>
  <c r="U77" i="3"/>
  <c r="V77" i="3"/>
  <c r="W77" i="3"/>
  <c r="X77" i="3"/>
  <c r="O78" i="3"/>
  <c r="P78" i="3"/>
  <c r="Q78" i="3"/>
  <c r="R78" i="3"/>
  <c r="S78" i="3"/>
  <c r="T78" i="3"/>
  <c r="U78" i="3"/>
  <c r="V78" i="3"/>
  <c r="W78" i="3"/>
  <c r="X78" i="3"/>
  <c r="O79" i="3"/>
  <c r="P79" i="3"/>
  <c r="Q79" i="3"/>
  <c r="R79" i="3"/>
  <c r="S79" i="3"/>
  <c r="T79" i="3"/>
  <c r="U79" i="3"/>
  <c r="V79" i="3"/>
  <c r="W79" i="3"/>
  <c r="X79" i="3"/>
  <c r="O80" i="3"/>
  <c r="P80" i="3"/>
  <c r="Q80" i="3"/>
  <c r="R80" i="3"/>
  <c r="S80" i="3"/>
  <c r="T80" i="3"/>
  <c r="U80" i="3"/>
  <c r="V80" i="3"/>
  <c r="W80" i="3"/>
  <c r="X80" i="3"/>
  <c r="O81" i="3"/>
  <c r="P81" i="3"/>
  <c r="Q81" i="3"/>
  <c r="R81" i="3"/>
  <c r="S81" i="3"/>
  <c r="T81" i="3"/>
  <c r="U81" i="3"/>
  <c r="V81" i="3"/>
  <c r="W81" i="3"/>
  <c r="X81" i="3"/>
  <c r="O82" i="3"/>
  <c r="P82" i="3"/>
  <c r="Q82" i="3"/>
  <c r="R82" i="3"/>
  <c r="S82" i="3"/>
  <c r="T82" i="3"/>
  <c r="U82" i="3"/>
  <c r="V82" i="3"/>
  <c r="W82" i="3"/>
  <c r="X82" i="3"/>
  <c r="O83" i="3"/>
  <c r="P83" i="3"/>
  <c r="Q83" i="3"/>
  <c r="R83" i="3"/>
  <c r="S83" i="3"/>
  <c r="T83" i="3"/>
  <c r="U83" i="3"/>
  <c r="V83" i="3"/>
  <c r="W83" i="3"/>
  <c r="X83" i="3"/>
  <c r="O84" i="3"/>
  <c r="P84" i="3"/>
  <c r="Q84" i="3"/>
  <c r="R84" i="3"/>
  <c r="S84" i="3"/>
  <c r="T84" i="3"/>
  <c r="U84" i="3"/>
  <c r="V84" i="3"/>
  <c r="W84" i="3"/>
  <c r="X84" i="3"/>
  <c r="O85" i="3"/>
  <c r="P85" i="3"/>
  <c r="Q85" i="3"/>
  <c r="R85" i="3"/>
  <c r="S85" i="3"/>
  <c r="T85" i="3"/>
  <c r="U85" i="3"/>
  <c r="V85" i="3"/>
  <c r="W85" i="3"/>
  <c r="X85" i="3"/>
  <c r="O86" i="3"/>
  <c r="P86" i="3"/>
  <c r="Q86" i="3"/>
  <c r="R86" i="3"/>
  <c r="S86" i="3"/>
  <c r="T86" i="3"/>
  <c r="U86" i="3"/>
  <c r="V86" i="3"/>
  <c r="W86" i="3"/>
  <c r="X86" i="3"/>
  <c r="O87" i="3"/>
  <c r="P87" i="3"/>
  <c r="Q87" i="3"/>
  <c r="R87" i="3"/>
  <c r="S87" i="3"/>
  <c r="T87" i="3"/>
  <c r="U87" i="3"/>
  <c r="V87" i="3"/>
  <c r="W87" i="3"/>
  <c r="X87" i="3"/>
  <c r="O88" i="3"/>
  <c r="P88" i="3"/>
  <c r="Q88" i="3"/>
  <c r="R88" i="3"/>
  <c r="S88" i="3"/>
  <c r="T88" i="3"/>
  <c r="U88" i="3"/>
  <c r="V88" i="3"/>
  <c r="W88" i="3"/>
  <c r="X88" i="3"/>
  <c r="O89" i="3"/>
  <c r="P89" i="3"/>
  <c r="Q89" i="3"/>
  <c r="R89" i="3"/>
  <c r="S89" i="3"/>
  <c r="T89" i="3"/>
  <c r="U89" i="3"/>
  <c r="V89" i="3"/>
  <c r="W89" i="3"/>
  <c r="X89" i="3"/>
  <c r="O90" i="3"/>
  <c r="P90" i="3"/>
  <c r="Q90" i="3"/>
  <c r="R90" i="3"/>
  <c r="S90" i="3"/>
  <c r="T90" i="3"/>
  <c r="U90" i="3"/>
  <c r="V90" i="3"/>
  <c r="W90" i="3"/>
  <c r="X90" i="3"/>
  <c r="O91" i="3"/>
  <c r="P91" i="3"/>
  <c r="Q91" i="3"/>
  <c r="R91" i="3"/>
  <c r="S91" i="3"/>
  <c r="T91" i="3"/>
  <c r="U91" i="3"/>
  <c r="V91" i="3"/>
  <c r="W91" i="3"/>
  <c r="X91" i="3"/>
  <c r="O92" i="3"/>
  <c r="P92" i="3"/>
  <c r="Q92" i="3"/>
  <c r="R92" i="3"/>
  <c r="S92" i="3"/>
  <c r="T92" i="3"/>
  <c r="U92" i="3"/>
  <c r="V92" i="3"/>
  <c r="W92" i="3"/>
  <c r="X92" i="3"/>
  <c r="O93" i="3"/>
  <c r="P93" i="3"/>
  <c r="Q93" i="3"/>
  <c r="R93" i="3"/>
  <c r="S93" i="3"/>
  <c r="T93" i="3"/>
  <c r="U93" i="3"/>
  <c r="V93" i="3"/>
  <c r="W93" i="3"/>
  <c r="X93" i="3"/>
  <c r="O94" i="3"/>
  <c r="P94" i="3"/>
  <c r="Q94" i="3"/>
  <c r="R94" i="3"/>
  <c r="S94" i="3"/>
  <c r="T94" i="3"/>
  <c r="U94" i="3"/>
  <c r="V94" i="3"/>
  <c r="W94" i="3"/>
  <c r="X94" i="3"/>
  <c r="O95" i="3"/>
  <c r="P95" i="3"/>
  <c r="Q95" i="3"/>
  <c r="R95" i="3"/>
  <c r="S95" i="3"/>
  <c r="T95" i="3"/>
  <c r="U95" i="3"/>
  <c r="V95" i="3"/>
  <c r="W95" i="3"/>
  <c r="X95" i="3"/>
  <c r="O96" i="3"/>
  <c r="P96" i="3"/>
  <c r="Q96" i="3"/>
  <c r="R96" i="3"/>
  <c r="S96" i="3"/>
  <c r="T96" i="3"/>
  <c r="U96" i="3"/>
  <c r="V96" i="3"/>
  <c r="W96" i="3"/>
  <c r="X96" i="3"/>
  <c r="O97" i="3"/>
  <c r="P97" i="3"/>
  <c r="Q97" i="3"/>
  <c r="R97" i="3"/>
  <c r="S97" i="3"/>
  <c r="T97" i="3"/>
  <c r="U97" i="3"/>
  <c r="V97" i="3"/>
  <c r="W97" i="3"/>
  <c r="X97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97" i="3"/>
  <c r="AA102" i="3"/>
  <c r="AA101" i="3"/>
  <c r="AA100" i="3"/>
  <c r="AA99" i="3"/>
  <c r="AA98" i="3"/>
  <c r="AA96" i="3"/>
  <c r="AA95" i="3"/>
  <c r="AA94" i="3"/>
  <c r="AA93" i="3"/>
  <c r="AA92" i="3"/>
  <c r="AA91" i="3"/>
  <c r="AA90" i="3"/>
  <c r="AA89" i="3"/>
  <c r="AA88" i="3"/>
  <c r="AA87" i="3"/>
  <c r="AA86" i="3"/>
  <c r="AA85" i="3"/>
  <c r="AA84" i="3"/>
  <c r="AA83" i="3"/>
  <c r="AA82" i="3"/>
  <c r="AA81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D116" i="5" l="1"/>
  <c r="AD112" i="5"/>
  <c r="AD108" i="5"/>
  <c r="AD104" i="5"/>
  <c r="AD100" i="5"/>
  <c r="AD96" i="5"/>
  <c r="AD92" i="5"/>
  <c r="AD88" i="5"/>
  <c r="AD84" i="5"/>
  <c r="AD80" i="5"/>
  <c r="AD76" i="5"/>
  <c r="AD72" i="5"/>
  <c r="AD68" i="5"/>
  <c r="AD64" i="5"/>
  <c r="AD60" i="5"/>
  <c r="AD56" i="5"/>
  <c r="AA66" i="3"/>
  <c r="AA65" i="3"/>
  <c r="AA64" i="3"/>
  <c r="AA63" i="3"/>
  <c r="AA62" i="3"/>
  <c r="AA61" i="3"/>
  <c r="AA60" i="3"/>
  <c r="AA59" i="3"/>
  <c r="AA58" i="3"/>
  <c r="AA57" i="3"/>
  <c r="AA56" i="3"/>
  <c r="O53" i="3"/>
  <c r="P53" i="3"/>
  <c r="Q53" i="3"/>
  <c r="R53" i="3"/>
  <c r="S53" i="3"/>
  <c r="T53" i="3"/>
  <c r="U53" i="3"/>
  <c r="V53" i="3"/>
  <c r="W53" i="3"/>
  <c r="X53" i="3"/>
  <c r="O54" i="3"/>
  <c r="P54" i="3"/>
  <c r="Q54" i="3"/>
  <c r="R54" i="3"/>
  <c r="S54" i="3"/>
  <c r="T54" i="3"/>
  <c r="U54" i="3"/>
  <c r="V54" i="3"/>
  <c r="W54" i="3"/>
  <c r="X54" i="3"/>
  <c r="O55" i="3"/>
  <c r="P55" i="3"/>
  <c r="Q55" i="3"/>
  <c r="R55" i="3"/>
  <c r="S55" i="3"/>
  <c r="T55" i="3"/>
  <c r="U55" i="3"/>
  <c r="V55" i="3"/>
  <c r="W55" i="3"/>
  <c r="X55" i="3"/>
  <c r="AA53" i="3"/>
  <c r="AA55" i="3"/>
  <c r="AA54" i="3"/>
  <c r="AA52" i="3" l="1"/>
  <c r="X52" i="3"/>
  <c r="W52" i="3"/>
  <c r="V52" i="3"/>
  <c r="U52" i="3"/>
  <c r="T52" i="3"/>
  <c r="S52" i="3"/>
  <c r="R52" i="3"/>
  <c r="Q52" i="3"/>
  <c r="P52" i="3"/>
  <c r="O52" i="3"/>
  <c r="AA51" i="3"/>
  <c r="X51" i="3"/>
  <c r="W51" i="3"/>
  <c r="V51" i="3"/>
  <c r="U51" i="3"/>
  <c r="T51" i="3"/>
  <c r="S51" i="3"/>
  <c r="R51" i="3"/>
  <c r="Q51" i="3"/>
  <c r="P51" i="3"/>
  <c r="O51" i="3"/>
  <c r="AA50" i="3"/>
  <c r="X50" i="3"/>
  <c r="W50" i="3"/>
  <c r="V50" i="3"/>
  <c r="U50" i="3"/>
  <c r="T50" i="3"/>
  <c r="S50" i="3"/>
  <c r="R50" i="3"/>
  <c r="Q50" i="3"/>
  <c r="P50" i="3"/>
  <c r="O50" i="3"/>
  <c r="AA49" i="3"/>
  <c r="X49" i="3"/>
  <c r="W49" i="3"/>
  <c r="V49" i="3"/>
  <c r="U49" i="3"/>
  <c r="T49" i="3"/>
  <c r="S49" i="3"/>
  <c r="R49" i="3"/>
  <c r="Q49" i="3"/>
  <c r="P49" i="3"/>
  <c r="O49" i="3"/>
  <c r="AA48" i="3"/>
  <c r="X48" i="3"/>
  <c r="W48" i="3"/>
  <c r="V48" i="3"/>
  <c r="U48" i="3"/>
  <c r="T48" i="3"/>
  <c r="S48" i="3"/>
  <c r="R48" i="3"/>
  <c r="Q48" i="3"/>
  <c r="P48" i="3"/>
  <c r="O48" i="3"/>
  <c r="AA47" i="3"/>
  <c r="X47" i="3"/>
  <c r="W47" i="3"/>
  <c r="V47" i="3"/>
  <c r="U47" i="3"/>
  <c r="T47" i="3"/>
  <c r="S47" i="3"/>
  <c r="R47" i="3"/>
  <c r="Q47" i="3"/>
  <c r="P47" i="3"/>
  <c r="O47" i="3"/>
  <c r="AA46" i="3"/>
  <c r="X46" i="3"/>
  <c r="W46" i="3"/>
  <c r="V46" i="3"/>
  <c r="U46" i="3"/>
  <c r="T46" i="3"/>
  <c r="S46" i="3"/>
  <c r="R46" i="3"/>
  <c r="Q46" i="3"/>
  <c r="P46" i="3"/>
  <c r="O46" i="3"/>
  <c r="AA45" i="3"/>
  <c r="X45" i="3"/>
  <c r="W45" i="3"/>
  <c r="V45" i="3"/>
  <c r="U45" i="3"/>
  <c r="T45" i="3"/>
  <c r="S45" i="3"/>
  <c r="R45" i="3"/>
  <c r="Q45" i="3"/>
  <c r="P45" i="3"/>
  <c r="O45" i="3"/>
  <c r="AA44" i="3"/>
  <c r="X44" i="3"/>
  <c r="W44" i="3"/>
  <c r="V44" i="3"/>
  <c r="U44" i="3"/>
  <c r="T44" i="3"/>
  <c r="S44" i="3"/>
  <c r="R44" i="3"/>
  <c r="Q44" i="3"/>
  <c r="P44" i="3"/>
  <c r="O44" i="3"/>
  <c r="AA43" i="3"/>
  <c r="X43" i="3"/>
  <c r="W43" i="3"/>
  <c r="V43" i="3"/>
  <c r="U43" i="3"/>
  <c r="T43" i="3"/>
  <c r="S43" i="3"/>
  <c r="R43" i="3"/>
  <c r="Q43" i="3"/>
  <c r="P43" i="3"/>
  <c r="O43" i="3"/>
  <c r="AA42" i="3"/>
  <c r="X42" i="3"/>
  <c r="W42" i="3"/>
  <c r="V42" i="3"/>
  <c r="U42" i="3"/>
  <c r="T42" i="3"/>
  <c r="S42" i="3"/>
  <c r="R42" i="3"/>
  <c r="Q42" i="3"/>
  <c r="P42" i="3"/>
  <c r="O42" i="3"/>
  <c r="O42" i="5"/>
  <c r="P42" i="5"/>
  <c r="Q42" i="5"/>
  <c r="R42" i="5"/>
  <c r="S42" i="5"/>
  <c r="T42" i="5"/>
  <c r="U42" i="5"/>
  <c r="V42" i="5"/>
  <c r="W42" i="5"/>
  <c r="X42" i="5"/>
  <c r="O43" i="5"/>
  <c r="P43" i="5"/>
  <c r="Q43" i="5"/>
  <c r="R43" i="5"/>
  <c r="S43" i="5"/>
  <c r="T43" i="5"/>
  <c r="U43" i="5"/>
  <c r="V43" i="5"/>
  <c r="W43" i="5"/>
  <c r="X43" i="5"/>
  <c r="O44" i="5"/>
  <c r="P44" i="5"/>
  <c r="Q44" i="5"/>
  <c r="R44" i="5"/>
  <c r="S44" i="5"/>
  <c r="T44" i="5"/>
  <c r="U44" i="5"/>
  <c r="V44" i="5"/>
  <c r="W44" i="5"/>
  <c r="X44" i="5"/>
  <c r="O45" i="5"/>
  <c r="P45" i="5"/>
  <c r="Q45" i="5"/>
  <c r="R45" i="5"/>
  <c r="S45" i="5"/>
  <c r="T45" i="5"/>
  <c r="U45" i="5"/>
  <c r="V45" i="5"/>
  <c r="W45" i="5"/>
  <c r="X45" i="5"/>
  <c r="O46" i="5"/>
  <c r="P46" i="5"/>
  <c r="Q46" i="5"/>
  <c r="R46" i="5"/>
  <c r="S46" i="5"/>
  <c r="T46" i="5"/>
  <c r="U46" i="5"/>
  <c r="V46" i="5"/>
  <c r="W46" i="5"/>
  <c r="X46" i="5"/>
  <c r="O47" i="5"/>
  <c r="P47" i="5"/>
  <c r="Q47" i="5"/>
  <c r="R47" i="5"/>
  <c r="S47" i="5"/>
  <c r="T47" i="5"/>
  <c r="U47" i="5"/>
  <c r="V47" i="5"/>
  <c r="W47" i="5"/>
  <c r="X47" i="5"/>
  <c r="O48" i="5"/>
  <c r="P48" i="5"/>
  <c r="Q48" i="5"/>
  <c r="R48" i="5"/>
  <c r="S48" i="5"/>
  <c r="T48" i="5"/>
  <c r="U48" i="5"/>
  <c r="V48" i="5"/>
  <c r="W48" i="5"/>
  <c r="X48" i="5"/>
  <c r="O49" i="5"/>
  <c r="P49" i="5"/>
  <c r="Q49" i="5"/>
  <c r="R49" i="5"/>
  <c r="S49" i="5"/>
  <c r="T49" i="5"/>
  <c r="U49" i="5"/>
  <c r="V49" i="5"/>
  <c r="W49" i="5"/>
  <c r="X49" i="5"/>
  <c r="O50" i="5"/>
  <c r="P50" i="5"/>
  <c r="Q50" i="5"/>
  <c r="R50" i="5"/>
  <c r="S50" i="5"/>
  <c r="T50" i="5"/>
  <c r="U50" i="5"/>
  <c r="V50" i="5"/>
  <c r="W50" i="5"/>
  <c r="X50" i="5"/>
  <c r="O51" i="5"/>
  <c r="P51" i="5"/>
  <c r="Q51" i="5"/>
  <c r="R51" i="5"/>
  <c r="S51" i="5"/>
  <c r="T51" i="5"/>
  <c r="U51" i="5"/>
  <c r="V51" i="5"/>
  <c r="W51" i="5"/>
  <c r="X51" i="5"/>
  <c r="O52" i="5"/>
  <c r="P52" i="5"/>
  <c r="Q52" i="5"/>
  <c r="R52" i="5"/>
  <c r="S52" i="5"/>
  <c r="T52" i="5"/>
  <c r="U52" i="5"/>
  <c r="V52" i="5"/>
  <c r="W52" i="5"/>
  <c r="X52" i="5"/>
  <c r="AD46" i="5" l="1"/>
  <c r="AC46" i="5"/>
  <c r="AC45" i="5"/>
  <c r="AD45" i="5"/>
  <c r="AD50" i="5"/>
  <c r="AC50" i="5"/>
  <c r="AD42" i="5"/>
  <c r="AC42" i="5"/>
  <c r="AC48" i="5"/>
  <c r="AD48" i="5"/>
  <c r="AC44" i="5"/>
  <c r="AD44" i="5"/>
  <c r="AC52" i="5"/>
  <c r="AD52" i="5"/>
  <c r="AC49" i="5"/>
  <c r="AD49" i="5"/>
  <c r="AD51" i="5"/>
  <c r="AC51" i="5"/>
  <c r="AD47" i="5"/>
  <c r="AC47" i="5"/>
  <c r="AD43" i="5"/>
  <c r="AC43" i="5"/>
  <c r="X41" i="3"/>
  <c r="W41" i="3"/>
  <c r="V41" i="3"/>
  <c r="U41" i="3"/>
  <c r="T41" i="3"/>
  <c r="S41" i="3"/>
  <c r="R41" i="3"/>
  <c r="Q41" i="3"/>
  <c r="P41" i="3"/>
  <c r="O41" i="3"/>
  <c r="X40" i="3"/>
  <c r="W40" i="3"/>
  <c r="V40" i="3"/>
  <c r="U40" i="3"/>
  <c r="T40" i="3"/>
  <c r="S40" i="3"/>
  <c r="R40" i="3"/>
  <c r="Q40" i="3"/>
  <c r="P40" i="3"/>
  <c r="O40" i="3"/>
  <c r="X39" i="3"/>
  <c r="W39" i="3"/>
  <c r="V39" i="3"/>
  <c r="U39" i="3"/>
  <c r="T39" i="3"/>
  <c r="S39" i="3"/>
  <c r="R39" i="3"/>
  <c r="Q39" i="3"/>
  <c r="P39" i="3"/>
  <c r="O39" i="3"/>
  <c r="X38" i="3"/>
  <c r="W38" i="3"/>
  <c r="V38" i="3"/>
  <c r="U38" i="3"/>
  <c r="T38" i="3"/>
  <c r="S38" i="3"/>
  <c r="R38" i="3"/>
  <c r="Q38" i="3"/>
  <c r="P38" i="3"/>
  <c r="O38" i="3"/>
  <c r="X37" i="3"/>
  <c r="W37" i="3"/>
  <c r="V37" i="3"/>
  <c r="U37" i="3"/>
  <c r="T37" i="3"/>
  <c r="S37" i="3"/>
  <c r="R37" i="3"/>
  <c r="Q37" i="3"/>
  <c r="P37" i="3"/>
  <c r="O37" i="3"/>
  <c r="AB52" i="5"/>
  <c r="AB51" i="5"/>
  <c r="AB50" i="5"/>
  <c r="AB49" i="5"/>
  <c r="AB48" i="5"/>
  <c r="AB47" i="5"/>
  <c r="AB46" i="5"/>
  <c r="AB45" i="5"/>
  <c r="AB44" i="5"/>
  <c r="AB43" i="5"/>
  <c r="AB42" i="5"/>
  <c r="O37" i="5"/>
  <c r="P37" i="5"/>
  <c r="Q37" i="5"/>
  <c r="R37" i="5"/>
  <c r="S37" i="5"/>
  <c r="T37" i="5"/>
  <c r="U37" i="5"/>
  <c r="V37" i="5"/>
  <c r="W37" i="5"/>
  <c r="X37" i="5"/>
  <c r="O38" i="5"/>
  <c r="P38" i="5"/>
  <c r="Q38" i="5"/>
  <c r="R38" i="5"/>
  <c r="S38" i="5"/>
  <c r="T38" i="5"/>
  <c r="U38" i="5"/>
  <c r="V38" i="5"/>
  <c r="W38" i="5"/>
  <c r="X38" i="5"/>
  <c r="O39" i="5"/>
  <c r="P39" i="5"/>
  <c r="Q39" i="5"/>
  <c r="R39" i="5"/>
  <c r="S39" i="5"/>
  <c r="T39" i="5"/>
  <c r="U39" i="5"/>
  <c r="V39" i="5"/>
  <c r="W39" i="5"/>
  <c r="X39" i="5"/>
  <c r="O40" i="5"/>
  <c r="P40" i="5"/>
  <c r="Q40" i="5"/>
  <c r="R40" i="5"/>
  <c r="S40" i="5"/>
  <c r="T40" i="5"/>
  <c r="U40" i="5"/>
  <c r="V40" i="5"/>
  <c r="W40" i="5"/>
  <c r="X40" i="5"/>
  <c r="O41" i="5"/>
  <c r="P41" i="5"/>
  <c r="Q41" i="5"/>
  <c r="R41" i="5"/>
  <c r="S41" i="5"/>
  <c r="T41" i="5"/>
  <c r="U41" i="5"/>
  <c r="V41" i="5"/>
  <c r="W41" i="5"/>
  <c r="X41" i="5"/>
  <c r="AC37" i="5" l="1"/>
  <c r="AD37" i="5"/>
  <c r="AC38" i="5"/>
  <c r="AD38" i="5"/>
  <c r="AC39" i="5"/>
  <c r="AD39" i="5"/>
  <c r="AC40" i="5"/>
  <c r="AD40" i="5"/>
  <c r="AC41" i="5"/>
  <c r="AD41" i="5"/>
  <c r="AB41" i="5" l="1"/>
  <c r="AB40" i="5"/>
  <c r="AB39" i="5"/>
  <c r="AB38" i="5"/>
  <c r="AB37" i="5"/>
  <c r="AB36" i="5"/>
  <c r="X36" i="5"/>
  <c r="W36" i="5"/>
  <c r="V36" i="5"/>
  <c r="U36" i="5"/>
  <c r="T36" i="5"/>
  <c r="S36" i="5"/>
  <c r="R36" i="5"/>
  <c r="Q36" i="5"/>
  <c r="P36" i="5"/>
  <c r="O36" i="5"/>
  <c r="AB35" i="5"/>
  <c r="X35" i="5"/>
  <c r="W35" i="5"/>
  <c r="V35" i="5"/>
  <c r="U35" i="5"/>
  <c r="T35" i="5"/>
  <c r="S35" i="5"/>
  <c r="R35" i="5"/>
  <c r="Q35" i="5"/>
  <c r="P35" i="5"/>
  <c r="O35" i="5"/>
  <c r="AB34" i="5"/>
  <c r="X34" i="5"/>
  <c r="W34" i="5"/>
  <c r="V34" i="5"/>
  <c r="U34" i="5"/>
  <c r="T34" i="5"/>
  <c r="S34" i="5"/>
  <c r="R34" i="5"/>
  <c r="Q34" i="5"/>
  <c r="P34" i="5"/>
  <c r="O34" i="5"/>
  <c r="AB33" i="5"/>
  <c r="X33" i="5"/>
  <c r="W33" i="5"/>
  <c r="V33" i="5"/>
  <c r="U33" i="5"/>
  <c r="T33" i="5"/>
  <c r="S33" i="5"/>
  <c r="R33" i="5"/>
  <c r="Q33" i="5"/>
  <c r="P33" i="5"/>
  <c r="O33" i="5"/>
  <c r="AB32" i="5"/>
  <c r="X32" i="5"/>
  <c r="W32" i="5"/>
  <c r="V32" i="5"/>
  <c r="U32" i="5"/>
  <c r="T32" i="5"/>
  <c r="S32" i="5"/>
  <c r="R32" i="5"/>
  <c r="Q32" i="5"/>
  <c r="P32" i="5"/>
  <c r="O32" i="5"/>
  <c r="AB31" i="5"/>
  <c r="X31" i="5"/>
  <c r="W31" i="5"/>
  <c r="V31" i="5"/>
  <c r="U31" i="5"/>
  <c r="T31" i="5"/>
  <c r="S31" i="5"/>
  <c r="R31" i="5"/>
  <c r="Q31" i="5"/>
  <c r="P31" i="5"/>
  <c r="O31" i="5"/>
  <c r="AB30" i="5"/>
  <c r="X30" i="5"/>
  <c r="W30" i="5"/>
  <c r="V30" i="5"/>
  <c r="U30" i="5"/>
  <c r="T30" i="5"/>
  <c r="S30" i="5"/>
  <c r="R30" i="5"/>
  <c r="Q30" i="5"/>
  <c r="P30" i="5"/>
  <c r="O30" i="5"/>
  <c r="AB29" i="5"/>
  <c r="X29" i="5"/>
  <c r="W29" i="5"/>
  <c r="V29" i="5"/>
  <c r="U29" i="5"/>
  <c r="T29" i="5"/>
  <c r="S29" i="5"/>
  <c r="R29" i="5"/>
  <c r="Q29" i="5"/>
  <c r="P29" i="5"/>
  <c r="O29" i="5"/>
  <c r="AB28" i="5"/>
  <c r="X28" i="5"/>
  <c r="W28" i="5"/>
  <c r="V28" i="5"/>
  <c r="U28" i="5"/>
  <c r="T28" i="5"/>
  <c r="S28" i="5"/>
  <c r="R28" i="5"/>
  <c r="Q28" i="5"/>
  <c r="P28" i="5"/>
  <c r="O28" i="5"/>
  <c r="AB27" i="5"/>
  <c r="X27" i="5"/>
  <c r="W27" i="5"/>
  <c r="V27" i="5"/>
  <c r="U27" i="5"/>
  <c r="T27" i="5"/>
  <c r="S27" i="5"/>
  <c r="R27" i="5"/>
  <c r="Q27" i="5"/>
  <c r="P27" i="5"/>
  <c r="O27" i="5"/>
  <c r="AB26" i="5"/>
  <c r="X26" i="5"/>
  <c r="W26" i="5"/>
  <c r="V26" i="5"/>
  <c r="U26" i="5"/>
  <c r="T26" i="5"/>
  <c r="S26" i="5"/>
  <c r="R26" i="5"/>
  <c r="Q26" i="5"/>
  <c r="P26" i="5"/>
  <c r="O26" i="5"/>
  <c r="AB25" i="5"/>
  <c r="X25" i="5"/>
  <c r="W25" i="5"/>
  <c r="V25" i="5"/>
  <c r="U25" i="5"/>
  <c r="T25" i="5"/>
  <c r="S25" i="5"/>
  <c r="R25" i="5"/>
  <c r="Q25" i="5"/>
  <c r="P25" i="5"/>
  <c r="O25" i="5"/>
  <c r="AB24" i="5"/>
  <c r="X24" i="5"/>
  <c r="W24" i="5"/>
  <c r="V24" i="5"/>
  <c r="U24" i="5"/>
  <c r="T24" i="5"/>
  <c r="S24" i="5"/>
  <c r="R24" i="5"/>
  <c r="Q24" i="5"/>
  <c r="P24" i="5"/>
  <c r="O24" i="5"/>
  <c r="AB23" i="5"/>
  <c r="X23" i="5"/>
  <c r="W23" i="5"/>
  <c r="V23" i="5"/>
  <c r="U23" i="5"/>
  <c r="T23" i="5"/>
  <c r="S23" i="5"/>
  <c r="R23" i="5"/>
  <c r="Q23" i="5"/>
  <c r="P23" i="5"/>
  <c r="O23" i="5"/>
  <c r="AB22" i="5"/>
  <c r="X22" i="5"/>
  <c r="W22" i="5"/>
  <c r="V22" i="5"/>
  <c r="U22" i="5"/>
  <c r="T22" i="5"/>
  <c r="S22" i="5"/>
  <c r="R22" i="5"/>
  <c r="Q22" i="5"/>
  <c r="P22" i="5"/>
  <c r="O22" i="5"/>
  <c r="AB21" i="5"/>
  <c r="X21" i="5"/>
  <c r="W21" i="5"/>
  <c r="V21" i="5"/>
  <c r="U21" i="5"/>
  <c r="T21" i="5"/>
  <c r="S21" i="5"/>
  <c r="R21" i="5"/>
  <c r="Q21" i="5"/>
  <c r="P21" i="5"/>
  <c r="O21" i="5"/>
  <c r="AB20" i="5"/>
  <c r="X20" i="5"/>
  <c r="W20" i="5"/>
  <c r="V20" i="5"/>
  <c r="U20" i="5"/>
  <c r="T20" i="5"/>
  <c r="S20" i="5"/>
  <c r="R20" i="5"/>
  <c r="Q20" i="5"/>
  <c r="P20" i="5"/>
  <c r="O20" i="5"/>
  <c r="AB19" i="5"/>
  <c r="X19" i="5"/>
  <c r="W19" i="5"/>
  <c r="V19" i="5"/>
  <c r="U19" i="5"/>
  <c r="T19" i="5"/>
  <c r="S19" i="5"/>
  <c r="R19" i="5"/>
  <c r="Q19" i="5"/>
  <c r="P19" i="5"/>
  <c r="O19" i="5"/>
  <c r="AB18" i="5"/>
  <c r="X18" i="5"/>
  <c r="W18" i="5"/>
  <c r="V18" i="5"/>
  <c r="U18" i="5"/>
  <c r="T18" i="5"/>
  <c r="S18" i="5"/>
  <c r="R18" i="5"/>
  <c r="Q18" i="5"/>
  <c r="P18" i="5"/>
  <c r="O18" i="5"/>
  <c r="AB17" i="5"/>
  <c r="X17" i="5"/>
  <c r="W17" i="5"/>
  <c r="V17" i="5"/>
  <c r="U17" i="5"/>
  <c r="T17" i="5"/>
  <c r="S17" i="5"/>
  <c r="R17" i="5"/>
  <c r="Q17" i="5"/>
  <c r="P17" i="5"/>
  <c r="O17" i="5"/>
  <c r="AB16" i="5"/>
  <c r="X16" i="5"/>
  <c r="W16" i="5"/>
  <c r="V16" i="5"/>
  <c r="U16" i="5"/>
  <c r="T16" i="5"/>
  <c r="S16" i="5"/>
  <c r="R16" i="5"/>
  <c r="Q16" i="5"/>
  <c r="P16" i="5"/>
  <c r="O16" i="5"/>
  <c r="AB15" i="5"/>
  <c r="X15" i="5"/>
  <c r="W15" i="5"/>
  <c r="V15" i="5"/>
  <c r="U15" i="5"/>
  <c r="T15" i="5"/>
  <c r="S15" i="5"/>
  <c r="R15" i="5"/>
  <c r="Q15" i="5"/>
  <c r="P15" i="5"/>
  <c r="O15" i="5"/>
  <c r="AB14" i="5"/>
  <c r="X14" i="5"/>
  <c r="W14" i="5"/>
  <c r="V14" i="5"/>
  <c r="U14" i="5"/>
  <c r="T14" i="5"/>
  <c r="S14" i="5"/>
  <c r="R14" i="5"/>
  <c r="Q14" i="5"/>
  <c r="P14" i="5"/>
  <c r="O14" i="5"/>
  <c r="AB13" i="5"/>
  <c r="X13" i="5"/>
  <c r="W13" i="5"/>
  <c r="V13" i="5"/>
  <c r="U13" i="5"/>
  <c r="T13" i="5"/>
  <c r="S13" i="5"/>
  <c r="R13" i="5"/>
  <c r="Q13" i="5"/>
  <c r="P13" i="5"/>
  <c r="O13" i="5"/>
  <c r="AB12" i="5"/>
  <c r="X12" i="5"/>
  <c r="W12" i="5"/>
  <c r="V12" i="5"/>
  <c r="U12" i="5"/>
  <c r="T12" i="5"/>
  <c r="S12" i="5"/>
  <c r="R12" i="5"/>
  <c r="Q12" i="5"/>
  <c r="P12" i="5"/>
  <c r="O12" i="5"/>
  <c r="AB11" i="5"/>
  <c r="X11" i="5"/>
  <c r="W11" i="5"/>
  <c r="V11" i="5"/>
  <c r="U11" i="5"/>
  <c r="T11" i="5"/>
  <c r="S11" i="5"/>
  <c r="R11" i="5"/>
  <c r="Q11" i="5"/>
  <c r="P11" i="5"/>
  <c r="O11" i="5"/>
  <c r="AB10" i="5"/>
  <c r="X10" i="5"/>
  <c r="W10" i="5"/>
  <c r="V10" i="5"/>
  <c r="U10" i="5"/>
  <c r="T10" i="5"/>
  <c r="S10" i="5"/>
  <c r="R10" i="5"/>
  <c r="Q10" i="5"/>
  <c r="P10" i="5"/>
  <c r="O10" i="5"/>
  <c r="AB9" i="5"/>
  <c r="X9" i="5"/>
  <c r="W9" i="5"/>
  <c r="V9" i="5"/>
  <c r="U9" i="5"/>
  <c r="T9" i="5"/>
  <c r="S9" i="5"/>
  <c r="R9" i="5"/>
  <c r="Q9" i="5"/>
  <c r="P9" i="5"/>
  <c r="O9" i="5"/>
  <c r="AB8" i="5"/>
  <c r="X8" i="5"/>
  <c r="W8" i="5"/>
  <c r="V8" i="5"/>
  <c r="U8" i="5"/>
  <c r="T8" i="5"/>
  <c r="S8" i="5"/>
  <c r="R8" i="5"/>
  <c r="Q8" i="5"/>
  <c r="P8" i="5"/>
  <c r="O8" i="5"/>
  <c r="AB7" i="5"/>
  <c r="X7" i="5"/>
  <c r="W7" i="5"/>
  <c r="V7" i="5"/>
  <c r="U7" i="5"/>
  <c r="T7" i="5"/>
  <c r="S7" i="5"/>
  <c r="R7" i="5"/>
  <c r="Q7" i="5"/>
  <c r="P7" i="5"/>
  <c r="O7" i="5"/>
  <c r="AB6" i="5"/>
  <c r="X6" i="5"/>
  <c r="W6" i="5"/>
  <c r="V6" i="5"/>
  <c r="U6" i="5"/>
  <c r="T6" i="5"/>
  <c r="S6" i="5"/>
  <c r="R6" i="5"/>
  <c r="Q6" i="5"/>
  <c r="P6" i="5"/>
  <c r="O6" i="5"/>
  <c r="AB5" i="5"/>
  <c r="X5" i="5"/>
  <c r="W5" i="5"/>
  <c r="V5" i="5"/>
  <c r="U5" i="5"/>
  <c r="T5" i="5"/>
  <c r="S5" i="5"/>
  <c r="R5" i="5"/>
  <c r="Q5" i="5"/>
  <c r="P5" i="5"/>
  <c r="O5" i="5"/>
  <c r="AB4" i="5"/>
  <c r="X4" i="5"/>
  <c r="W4" i="5"/>
  <c r="V4" i="5"/>
  <c r="U4" i="5"/>
  <c r="T4" i="5"/>
  <c r="S4" i="5"/>
  <c r="R4" i="5"/>
  <c r="Q4" i="5"/>
  <c r="P4" i="5"/>
  <c r="O4" i="5"/>
  <c r="AB3" i="5"/>
  <c r="X3" i="5"/>
  <c r="W3" i="5"/>
  <c r="V3" i="5"/>
  <c r="U3" i="5"/>
  <c r="T3" i="5"/>
  <c r="S3" i="5"/>
  <c r="R3" i="5"/>
  <c r="Q3" i="5"/>
  <c r="P3" i="5"/>
  <c r="O3" i="5"/>
  <c r="AB2" i="5"/>
  <c r="X2" i="5"/>
  <c r="W2" i="5"/>
  <c r="V2" i="5"/>
  <c r="U2" i="5"/>
  <c r="T2" i="5"/>
  <c r="S2" i="5"/>
  <c r="R2" i="5"/>
  <c r="Q2" i="5"/>
  <c r="P2" i="5"/>
  <c r="O2" i="5"/>
  <c r="AC4" i="5" l="1"/>
  <c r="AD4" i="5"/>
  <c r="AD2" i="5"/>
  <c r="AC2" i="5"/>
  <c r="AC6" i="5"/>
  <c r="AD6" i="5"/>
  <c r="AC14" i="5"/>
  <c r="AD14" i="5"/>
  <c r="AC18" i="5"/>
  <c r="AD18" i="5"/>
  <c r="AC22" i="5"/>
  <c r="AD22" i="5"/>
  <c r="AC26" i="5"/>
  <c r="AD26" i="5"/>
  <c r="AC30" i="5"/>
  <c r="AD30" i="5"/>
  <c r="AC34" i="5"/>
  <c r="AD34" i="5"/>
  <c r="AC8" i="5"/>
  <c r="AD8" i="5"/>
  <c r="AC10" i="5"/>
  <c r="AD10" i="5"/>
  <c r="AC5" i="5"/>
  <c r="AD5" i="5"/>
  <c r="AC9" i="5"/>
  <c r="AD9" i="5"/>
  <c r="AC13" i="5"/>
  <c r="AD13" i="5"/>
  <c r="AC17" i="5"/>
  <c r="AD17" i="5"/>
  <c r="AC21" i="5"/>
  <c r="AD21" i="5"/>
  <c r="AC25" i="5"/>
  <c r="AD25" i="5"/>
  <c r="AC29" i="5"/>
  <c r="AD29" i="5"/>
  <c r="AC33" i="5"/>
  <c r="AD33" i="5"/>
  <c r="AC20" i="5"/>
  <c r="AD20" i="5"/>
  <c r="AC24" i="5"/>
  <c r="AD24" i="5"/>
  <c r="AC28" i="5"/>
  <c r="AD28" i="5"/>
  <c r="AC32" i="5"/>
  <c r="AD32" i="5"/>
  <c r="AC36" i="5"/>
  <c r="AD36" i="5"/>
  <c r="AC12" i="5"/>
  <c r="AD12" i="5"/>
  <c r="AC16" i="5"/>
  <c r="AD16" i="5"/>
  <c r="AC3" i="5"/>
  <c r="AD3" i="5"/>
  <c r="AC7" i="5"/>
  <c r="AD7" i="5"/>
  <c r="AC11" i="5"/>
  <c r="AD11" i="5"/>
  <c r="AC15" i="5"/>
  <c r="AD15" i="5"/>
  <c r="AC19" i="5"/>
  <c r="AD19" i="5"/>
  <c r="AC23" i="5"/>
  <c r="AD23" i="5"/>
  <c r="AC27" i="5"/>
  <c r="AD27" i="5"/>
  <c r="AC31" i="5"/>
  <c r="AD31" i="5"/>
  <c r="AC35" i="5"/>
  <c r="AD35" i="5"/>
  <c r="O27" i="3"/>
  <c r="P27" i="3"/>
  <c r="Q27" i="3"/>
  <c r="R27" i="3"/>
  <c r="S27" i="3"/>
  <c r="T27" i="3"/>
  <c r="U27" i="3"/>
  <c r="V27" i="3"/>
  <c r="W27" i="3"/>
  <c r="X27" i="3"/>
  <c r="O28" i="3"/>
  <c r="P28" i="3"/>
  <c r="Q28" i="3"/>
  <c r="R28" i="3"/>
  <c r="S28" i="3"/>
  <c r="T28" i="3"/>
  <c r="U28" i="3"/>
  <c r="V28" i="3"/>
  <c r="W28" i="3"/>
  <c r="X28" i="3"/>
  <c r="O29" i="3"/>
  <c r="P29" i="3"/>
  <c r="Q29" i="3"/>
  <c r="R29" i="3"/>
  <c r="S29" i="3"/>
  <c r="T29" i="3"/>
  <c r="U29" i="3"/>
  <c r="V29" i="3"/>
  <c r="W29" i="3"/>
  <c r="X29" i="3"/>
  <c r="O30" i="3"/>
  <c r="P30" i="3"/>
  <c r="Q30" i="3"/>
  <c r="R30" i="3"/>
  <c r="S30" i="3"/>
  <c r="T30" i="3"/>
  <c r="U30" i="3"/>
  <c r="V30" i="3"/>
  <c r="W30" i="3"/>
  <c r="X30" i="3"/>
  <c r="O31" i="3"/>
  <c r="P31" i="3"/>
  <c r="Q31" i="3"/>
  <c r="R31" i="3"/>
  <c r="S31" i="3"/>
  <c r="T31" i="3"/>
  <c r="U31" i="3"/>
  <c r="V31" i="3"/>
  <c r="W31" i="3"/>
  <c r="X31" i="3"/>
  <c r="O32" i="3"/>
  <c r="P32" i="3"/>
  <c r="Q32" i="3"/>
  <c r="R32" i="3"/>
  <c r="S32" i="3"/>
  <c r="T32" i="3"/>
  <c r="U32" i="3"/>
  <c r="V32" i="3"/>
  <c r="W32" i="3"/>
  <c r="X32" i="3"/>
  <c r="O33" i="3"/>
  <c r="P33" i="3"/>
  <c r="Q33" i="3"/>
  <c r="R33" i="3"/>
  <c r="S33" i="3"/>
  <c r="T33" i="3"/>
  <c r="U33" i="3"/>
  <c r="V33" i="3"/>
  <c r="W33" i="3"/>
  <c r="X33" i="3"/>
  <c r="O34" i="3"/>
  <c r="P34" i="3"/>
  <c r="Q34" i="3"/>
  <c r="R34" i="3"/>
  <c r="S34" i="3"/>
  <c r="T34" i="3"/>
  <c r="U34" i="3"/>
  <c r="V34" i="3"/>
  <c r="W34" i="3"/>
  <c r="X34" i="3"/>
  <c r="O35" i="3"/>
  <c r="P35" i="3"/>
  <c r="Q35" i="3"/>
  <c r="R35" i="3"/>
  <c r="S35" i="3"/>
  <c r="T35" i="3"/>
  <c r="U35" i="3"/>
  <c r="V35" i="3"/>
  <c r="W35" i="3"/>
  <c r="X35" i="3"/>
  <c r="O36" i="3"/>
  <c r="P36" i="3"/>
  <c r="Q36" i="3"/>
  <c r="R36" i="3"/>
  <c r="S36" i="3"/>
  <c r="T36" i="3"/>
  <c r="U36" i="3"/>
  <c r="V36" i="3"/>
  <c r="W36" i="3"/>
  <c r="X36" i="3"/>
  <c r="AD1" i="5" l="1"/>
  <c r="AC1" i="5"/>
  <c r="AA36" i="3"/>
  <c r="AA35" i="3"/>
  <c r="AA34" i="3"/>
  <c r="AA33" i="3"/>
  <c r="AA32" i="3"/>
  <c r="AA31" i="3"/>
  <c r="AA30" i="3"/>
  <c r="AA29" i="3"/>
  <c r="AA28" i="3"/>
  <c r="AA27" i="3"/>
  <c r="O18" i="3"/>
  <c r="P18" i="3"/>
  <c r="Q18" i="3"/>
  <c r="R18" i="3"/>
  <c r="S18" i="3"/>
  <c r="T18" i="3"/>
  <c r="U18" i="3"/>
  <c r="V18" i="3"/>
  <c r="W18" i="3"/>
  <c r="X18" i="3"/>
  <c r="O19" i="3"/>
  <c r="P19" i="3"/>
  <c r="Q19" i="3"/>
  <c r="R19" i="3"/>
  <c r="S19" i="3"/>
  <c r="T19" i="3"/>
  <c r="U19" i="3"/>
  <c r="V19" i="3"/>
  <c r="W19" i="3"/>
  <c r="X19" i="3"/>
  <c r="O20" i="3"/>
  <c r="P20" i="3"/>
  <c r="Q20" i="3"/>
  <c r="R20" i="3"/>
  <c r="S20" i="3"/>
  <c r="T20" i="3"/>
  <c r="U20" i="3"/>
  <c r="V20" i="3"/>
  <c r="W20" i="3"/>
  <c r="X20" i="3"/>
  <c r="O21" i="3"/>
  <c r="P21" i="3"/>
  <c r="Q21" i="3"/>
  <c r="R21" i="3"/>
  <c r="S21" i="3"/>
  <c r="T21" i="3"/>
  <c r="U21" i="3"/>
  <c r="V21" i="3"/>
  <c r="W21" i="3"/>
  <c r="X21" i="3"/>
  <c r="O22" i="3"/>
  <c r="P22" i="3"/>
  <c r="Q22" i="3"/>
  <c r="R22" i="3"/>
  <c r="S22" i="3"/>
  <c r="T22" i="3"/>
  <c r="U22" i="3"/>
  <c r="V22" i="3"/>
  <c r="W22" i="3"/>
  <c r="X22" i="3"/>
  <c r="O23" i="3"/>
  <c r="P23" i="3"/>
  <c r="Q23" i="3"/>
  <c r="R23" i="3"/>
  <c r="S23" i="3"/>
  <c r="T23" i="3"/>
  <c r="U23" i="3"/>
  <c r="V23" i="3"/>
  <c r="W23" i="3"/>
  <c r="X23" i="3"/>
  <c r="O24" i="3"/>
  <c r="P24" i="3"/>
  <c r="Q24" i="3"/>
  <c r="R24" i="3"/>
  <c r="S24" i="3"/>
  <c r="T24" i="3"/>
  <c r="U24" i="3"/>
  <c r="V24" i="3"/>
  <c r="W24" i="3"/>
  <c r="X24" i="3"/>
  <c r="O25" i="3"/>
  <c r="P25" i="3"/>
  <c r="Q25" i="3"/>
  <c r="R25" i="3"/>
  <c r="S25" i="3"/>
  <c r="T25" i="3"/>
  <c r="U25" i="3"/>
  <c r="V25" i="3"/>
  <c r="W25" i="3"/>
  <c r="X25" i="3"/>
  <c r="O26" i="3"/>
  <c r="P26" i="3"/>
  <c r="Q26" i="3"/>
  <c r="R26" i="3"/>
  <c r="S26" i="3"/>
  <c r="T26" i="3"/>
  <c r="U26" i="3"/>
  <c r="V26" i="3"/>
  <c r="W26" i="3"/>
  <c r="X26" i="3"/>
  <c r="AA26" i="3"/>
  <c r="O15" i="3"/>
  <c r="P15" i="3"/>
  <c r="Q15" i="3"/>
  <c r="R15" i="3"/>
  <c r="S15" i="3"/>
  <c r="T15" i="3"/>
  <c r="U15" i="3"/>
  <c r="V15" i="3"/>
  <c r="W15" i="3"/>
  <c r="X15" i="3"/>
  <c r="O16" i="3"/>
  <c r="P16" i="3"/>
  <c r="Q16" i="3"/>
  <c r="R16" i="3"/>
  <c r="S16" i="3"/>
  <c r="T16" i="3"/>
  <c r="U16" i="3"/>
  <c r="V16" i="3"/>
  <c r="W16" i="3"/>
  <c r="X16" i="3"/>
  <c r="O17" i="3"/>
  <c r="P17" i="3"/>
  <c r="Q17" i="3"/>
  <c r="R17" i="3"/>
  <c r="S17" i="3"/>
  <c r="T17" i="3"/>
  <c r="U17" i="3"/>
  <c r="V17" i="3"/>
  <c r="W17" i="3"/>
  <c r="X17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X14" i="3"/>
  <c r="W14" i="3"/>
  <c r="V14" i="3"/>
  <c r="U14" i="3"/>
  <c r="T14" i="3"/>
  <c r="S14" i="3"/>
  <c r="R14" i="3"/>
  <c r="Q14" i="3"/>
  <c r="Q4" i="3"/>
  <c r="R4" i="3"/>
  <c r="S4" i="3"/>
  <c r="T4" i="3"/>
  <c r="U4" i="3"/>
  <c r="V4" i="3"/>
  <c r="W4" i="3"/>
  <c r="X4" i="3"/>
  <c r="Q5" i="3"/>
  <c r="R5" i="3"/>
  <c r="S5" i="3"/>
  <c r="T5" i="3"/>
  <c r="U5" i="3"/>
  <c r="V5" i="3"/>
  <c r="W5" i="3"/>
  <c r="X5" i="3"/>
  <c r="Q6" i="3"/>
  <c r="R6" i="3"/>
  <c r="S6" i="3"/>
  <c r="T6" i="3"/>
  <c r="U6" i="3"/>
  <c r="V6" i="3"/>
  <c r="W6" i="3"/>
  <c r="X6" i="3"/>
  <c r="Q7" i="3"/>
  <c r="R7" i="3"/>
  <c r="S7" i="3"/>
  <c r="T7" i="3"/>
  <c r="U7" i="3"/>
  <c r="V7" i="3"/>
  <c r="W7" i="3"/>
  <c r="X7" i="3"/>
  <c r="Q8" i="3"/>
  <c r="R8" i="3"/>
  <c r="S8" i="3"/>
  <c r="T8" i="3"/>
  <c r="U8" i="3"/>
  <c r="V8" i="3"/>
  <c r="W8" i="3"/>
  <c r="X8" i="3"/>
  <c r="Q9" i="3"/>
  <c r="R9" i="3"/>
  <c r="S9" i="3"/>
  <c r="T9" i="3"/>
  <c r="U9" i="3"/>
  <c r="V9" i="3"/>
  <c r="W9" i="3"/>
  <c r="X9" i="3"/>
  <c r="Q10" i="3"/>
  <c r="R10" i="3"/>
  <c r="S10" i="3"/>
  <c r="T10" i="3"/>
  <c r="U10" i="3"/>
  <c r="V10" i="3"/>
  <c r="W10" i="3"/>
  <c r="X10" i="3"/>
  <c r="Q11" i="3"/>
  <c r="R11" i="3"/>
  <c r="S11" i="3"/>
  <c r="T11" i="3"/>
  <c r="U11" i="3"/>
  <c r="V11" i="3"/>
  <c r="W11" i="3"/>
  <c r="X11" i="3"/>
  <c r="Q12" i="3"/>
  <c r="R12" i="3"/>
  <c r="S12" i="3"/>
  <c r="T12" i="3"/>
  <c r="U12" i="3"/>
  <c r="V12" i="3"/>
  <c r="W12" i="3"/>
  <c r="X12" i="3"/>
  <c r="Q13" i="3"/>
  <c r="R13" i="3"/>
  <c r="S13" i="3"/>
  <c r="T13" i="3"/>
  <c r="U13" i="3"/>
  <c r="V13" i="3"/>
  <c r="W13" i="3"/>
  <c r="X13" i="3"/>
  <c r="O7" i="3"/>
  <c r="P7" i="3"/>
  <c r="O8" i="3"/>
  <c r="P8" i="3"/>
  <c r="O9" i="3"/>
  <c r="P9" i="3"/>
  <c r="O10" i="3"/>
  <c r="P10" i="3"/>
  <c r="O11" i="3"/>
  <c r="P11" i="3"/>
  <c r="O12" i="3"/>
  <c r="P12" i="3"/>
  <c r="O13" i="3"/>
  <c r="P13" i="3"/>
  <c r="O14" i="3"/>
  <c r="P14" i="3"/>
  <c r="AA3" i="3"/>
  <c r="U3" i="3"/>
  <c r="V3" i="3"/>
  <c r="W3" i="3"/>
  <c r="X3" i="3"/>
  <c r="V2" i="3"/>
  <c r="W2" i="3"/>
  <c r="X2" i="3"/>
  <c r="U2" i="3"/>
  <c r="Q3" i="3"/>
  <c r="R3" i="3"/>
  <c r="S3" i="3"/>
  <c r="T3" i="3"/>
  <c r="AA2" i="3"/>
  <c r="R2" i="3"/>
  <c r="S2" i="3"/>
  <c r="T2" i="3"/>
  <c r="Q2" i="3"/>
  <c r="O3" i="3"/>
  <c r="P3" i="3"/>
  <c r="O4" i="3"/>
  <c r="P4" i="3"/>
  <c r="O5" i="3"/>
  <c r="P5" i="3"/>
  <c r="O6" i="3"/>
  <c r="P6" i="3"/>
  <c r="P2" i="3"/>
  <c r="O2" i="3"/>
  <c r="AF1" i="5" l="1"/>
  <c r="AG1" i="5"/>
</calcChain>
</file>

<file path=xl/sharedStrings.xml><?xml version="1.0" encoding="utf-8"?>
<sst xmlns="http://schemas.openxmlformats.org/spreadsheetml/2006/main" count="857" uniqueCount="231">
  <si>
    <t>date</t>
  </si>
  <si>
    <t>home</t>
  </si>
  <si>
    <t>away</t>
  </si>
  <si>
    <t>h1q</t>
  </si>
  <si>
    <t>h2q</t>
  </si>
  <si>
    <t>h3q</t>
  </si>
  <si>
    <t>h4q</t>
  </si>
  <si>
    <t>hot</t>
  </si>
  <si>
    <t>a1q</t>
  </si>
  <si>
    <t>a2q</t>
  </si>
  <si>
    <t>a3q</t>
  </si>
  <si>
    <t>a4q</t>
  </si>
  <si>
    <t>htot</t>
  </si>
  <si>
    <t>atot</t>
  </si>
  <si>
    <t>1qwl</t>
  </si>
  <si>
    <t>2qwl</t>
  </si>
  <si>
    <t>3qwl</t>
  </si>
  <si>
    <t>4qwl</t>
  </si>
  <si>
    <t>1qou</t>
  </si>
  <si>
    <t>2qou</t>
  </si>
  <si>
    <t>3qou</t>
  </si>
  <si>
    <t>4qou</t>
  </si>
  <si>
    <t>ou</t>
  </si>
  <si>
    <t>1qline</t>
  </si>
  <si>
    <t>aot</t>
    <phoneticPr fontId="1" type="noConversion"/>
  </si>
  <si>
    <t>LAC</t>
    <phoneticPr fontId="1" type="noConversion"/>
  </si>
  <si>
    <t>LAL</t>
    <phoneticPr fontId="1" type="noConversion"/>
  </si>
  <si>
    <t>NO</t>
    <phoneticPr fontId="1" type="noConversion"/>
  </si>
  <si>
    <t>TOR</t>
    <phoneticPr fontId="1" type="noConversion"/>
  </si>
  <si>
    <t>MIN</t>
    <phoneticPr fontId="1" type="noConversion"/>
  </si>
  <si>
    <t>BKN</t>
    <phoneticPr fontId="1" type="noConversion"/>
  </si>
  <si>
    <t>CHA</t>
    <phoneticPr fontId="1" type="noConversion"/>
  </si>
  <si>
    <t>CHI</t>
    <phoneticPr fontId="1" type="noConversion"/>
  </si>
  <si>
    <t>DAL</t>
    <phoneticPr fontId="1" type="noConversion"/>
  </si>
  <si>
    <t>WAS</t>
    <phoneticPr fontId="1" type="noConversion"/>
  </si>
  <si>
    <t>IND</t>
    <phoneticPr fontId="1" type="noConversion"/>
  </si>
  <si>
    <t>DET</t>
    <phoneticPr fontId="1" type="noConversion"/>
  </si>
  <si>
    <t>MIA</t>
    <phoneticPr fontId="1" type="noConversion"/>
  </si>
  <si>
    <t>MEM</t>
    <phoneticPr fontId="1" type="noConversion"/>
  </si>
  <si>
    <t>ORL</t>
    <phoneticPr fontId="1" type="noConversion"/>
  </si>
  <si>
    <t>CLE</t>
    <phoneticPr fontId="1" type="noConversion"/>
  </si>
  <si>
    <t>PHI</t>
    <phoneticPr fontId="1" type="noConversion"/>
  </si>
  <si>
    <t>BOS</t>
    <phoneticPr fontId="1" type="noConversion"/>
  </si>
  <si>
    <t>PHO</t>
    <phoneticPr fontId="1" type="noConversion"/>
  </si>
  <si>
    <t>SAC</t>
    <phoneticPr fontId="1" type="noConversion"/>
  </si>
  <si>
    <t>POR</t>
    <phoneticPr fontId="1" type="noConversion"/>
  </si>
  <si>
    <t>DEN</t>
    <phoneticPr fontId="1" type="noConversion"/>
  </si>
  <si>
    <t>NYK</t>
    <phoneticPr fontId="1" type="noConversion"/>
  </si>
  <si>
    <t>UTA</t>
    <phoneticPr fontId="1" type="noConversion"/>
  </si>
  <si>
    <t>OKC</t>
    <phoneticPr fontId="1" type="noConversion"/>
  </si>
  <si>
    <t>ATL</t>
    <phoneticPr fontId="1" type="noConversion"/>
  </si>
  <si>
    <t>GS</t>
    <phoneticPr fontId="1" type="noConversion"/>
  </si>
  <si>
    <t>HOU</t>
    <phoneticPr fontId="1" type="noConversion"/>
  </si>
  <si>
    <t>MIL</t>
    <phoneticPr fontId="1" type="noConversion"/>
  </si>
  <si>
    <t>NY</t>
    <phoneticPr fontId="1" type="noConversion"/>
  </si>
  <si>
    <t>gametime</t>
    <phoneticPr fontId="1" type="noConversion"/>
  </si>
  <si>
    <t>SAS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</si>
  <si>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</si>
  <si>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</si>
  <si>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</si>
  <si>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BKN</t>
    <phoneticPr fontId="1" type="noConversion"/>
  </si>
  <si>
    <t>DAL</t>
    <phoneticPr fontId="1" type="noConversion"/>
  </si>
  <si>
    <t>POR</t>
    <phoneticPr fontId="1" type="noConversion"/>
  </si>
  <si>
    <t>MIN</t>
    <phoneticPr fontId="1" type="noConversion"/>
  </si>
  <si>
    <t>MIA</t>
    <phoneticPr fontId="1" type="noConversion"/>
  </si>
  <si>
    <t>LAL</t>
    <phoneticPr fontId="1" type="noConversion"/>
  </si>
  <si>
    <t>CHA</t>
    <phoneticPr fontId="1" type="noConversion"/>
  </si>
  <si>
    <t>home/away</t>
    <phoneticPr fontId="1" type="noConversion"/>
  </si>
  <si>
    <t>DET</t>
    <phoneticPr fontId="1" type="noConversion"/>
  </si>
  <si>
    <t>IND</t>
    <phoneticPr fontId="1" type="noConversion"/>
  </si>
  <si>
    <t>NY</t>
    <phoneticPr fontId="1" type="noConversion"/>
  </si>
  <si>
    <t>CHI</t>
    <phoneticPr fontId="1" type="noConversion"/>
  </si>
  <si>
    <t>PHI</t>
    <phoneticPr fontId="1" type="noConversion"/>
  </si>
  <si>
    <t>ATL</t>
    <phoneticPr fontId="1" type="noConversion"/>
  </si>
  <si>
    <t>TOR</t>
    <phoneticPr fontId="1" type="noConversion"/>
  </si>
  <si>
    <t>ORL</t>
    <phoneticPr fontId="1" type="noConversion"/>
  </si>
  <si>
    <t>NO</t>
    <phoneticPr fontId="1" type="noConversion"/>
  </si>
  <si>
    <t>GS</t>
    <phoneticPr fontId="1" type="noConversion"/>
  </si>
  <si>
    <t>HOU</t>
    <phoneticPr fontId="1" type="noConversion"/>
  </si>
  <si>
    <t>OKC</t>
    <phoneticPr fontId="1" type="noConversion"/>
  </si>
  <si>
    <t>MIL</t>
    <phoneticPr fontId="1" type="noConversion"/>
  </si>
  <si>
    <t>CLE</t>
    <phoneticPr fontId="1" type="noConversion"/>
  </si>
  <si>
    <t>SAS</t>
    <phoneticPr fontId="1" type="noConversion"/>
  </si>
  <si>
    <t>POR</t>
    <phoneticPr fontId="1" type="noConversion"/>
  </si>
  <si>
    <t>PHO</t>
    <phoneticPr fontId="1" type="noConversion"/>
  </si>
  <si>
    <t>UTA</t>
    <phoneticPr fontId="1" type="noConversion"/>
  </si>
  <si>
    <t>SAC</t>
    <phoneticPr fontId="1" type="noConversion"/>
  </si>
  <si>
    <t>DEN</t>
    <phoneticPr fontId="1" type="noConversion"/>
  </si>
  <si>
    <t>LAC</t>
    <phoneticPr fontId="1" type="noConversion"/>
  </si>
  <si>
    <t>CHA</t>
    <phoneticPr fontId="1" type="noConversion"/>
  </si>
  <si>
    <t>OKC/GS</t>
  </si>
  <si>
    <t>MEM/BKN</t>
  </si>
  <si>
    <t>DAL/POR</t>
  </si>
  <si>
    <t>MIN/MIA</t>
  </si>
  <si>
    <t>LAL/CHA</t>
  </si>
  <si>
    <t>MIA</t>
    <phoneticPr fontId="1" type="noConversion"/>
  </si>
  <si>
    <t>ATL</t>
    <phoneticPr fontId="1" type="noConversion"/>
  </si>
  <si>
    <t>DEN</t>
    <phoneticPr fontId="1" type="noConversion"/>
  </si>
  <si>
    <t>DAL</t>
    <phoneticPr fontId="1" type="noConversion"/>
  </si>
  <si>
    <t>LAL</t>
    <phoneticPr fontId="1" type="noConversion"/>
  </si>
  <si>
    <t>MEM</t>
    <phoneticPr fontId="1" type="noConversion"/>
  </si>
  <si>
    <t>CHI</t>
    <phoneticPr fontId="1" type="noConversion"/>
  </si>
  <si>
    <t>ORL</t>
    <phoneticPr fontId="1" type="noConversion"/>
  </si>
  <si>
    <t>NYK</t>
    <phoneticPr fontId="1" type="noConversion"/>
  </si>
  <si>
    <t>PHI</t>
    <phoneticPr fontId="1" type="noConversion"/>
  </si>
  <si>
    <t>MIN</t>
    <phoneticPr fontId="1" type="noConversion"/>
  </si>
  <si>
    <t>BOS</t>
    <phoneticPr fontId="1" type="noConversion"/>
  </si>
  <si>
    <t>MIL</t>
    <phoneticPr fontId="1" type="noConversion"/>
  </si>
  <si>
    <t>BKN</t>
    <phoneticPr fontId="1" type="noConversion"/>
  </si>
  <si>
    <t>IND</t>
    <phoneticPr fontId="1" type="noConversion"/>
  </si>
  <si>
    <t>TOR</t>
    <phoneticPr fontId="1" type="noConversion"/>
  </si>
  <si>
    <t>DET</t>
    <phoneticPr fontId="1" type="noConversion"/>
  </si>
  <si>
    <t>OKC</t>
    <phoneticPr fontId="1" type="noConversion"/>
  </si>
  <si>
    <t>POR</t>
    <phoneticPr fontId="1" type="noConversion"/>
  </si>
  <si>
    <t>WAS</t>
    <phoneticPr fontId="1" type="noConversion"/>
  </si>
  <si>
    <t>HOU</t>
    <phoneticPr fontId="1" type="noConversion"/>
  </si>
  <si>
    <t>SAC</t>
    <phoneticPr fontId="1" type="noConversion"/>
  </si>
  <si>
    <t>CHA</t>
    <phoneticPr fontId="1" type="noConversion"/>
  </si>
  <si>
    <t>UTA</t>
    <phoneticPr fontId="1" type="noConversion"/>
  </si>
  <si>
    <t>LAC</t>
    <phoneticPr fontId="1" type="noConversion"/>
  </si>
  <si>
    <t>GS</t>
    <phoneticPr fontId="1" type="noConversion"/>
  </si>
  <si>
    <t>PHO</t>
    <phoneticPr fontId="1" type="noConversion"/>
  </si>
  <si>
    <t>ATL</t>
    <phoneticPr fontId="1" type="noConversion"/>
  </si>
  <si>
    <t>MIA</t>
    <phoneticPr fontId="1" type="noConversion"/>
  </si>
  <si>
    <t>NO</t>
    <phoneticPr fontId="1" type="noConversion"/>
  </si>
  <si>
    <t>DEN</t>
    <phoneticPr fontId="1" type="noConversion"/>
  </si>
  <si>
    <t>LAC</t>
    <phoneticPr fontId="1" type="noConversion"/>
  </si>
  <si>
    <t>SAS</t>
    <phoneticPr fontId="1" type="noConversion"/>
  </si>
  <si>
    <t>IND</t>
    <phoneticPr fontId="1" type="noConversion"/>
  </si>
  <si>
    <t>CLE</t>
    <phoneticPr fontId="1" type="noConversion"/>
  </si>
  <si>
    <t>ORL</t>
    <phoneticPr fontId="1" type="noConversion"/>
  </si>
  <si>
    <t>MIL</t>
    <phoneticPr fontId="1" type="noConversion"/>
  </si>
  <si>
    <t>BOS</t>
    <phoneticPr fontId="1" type="noConversion"/>
  </si>
  <si>
    <t>NYK</t>
    <phoneticPr fontId="1" type="noConversion"/>
  </si>
  <si>
    <t>CHI</t>
    <phoneticPr fontId="1" type="noConversion"/>
  </si>
  <si>
    <t>DET</t>
    <phoneticPr fontId="1" type="noConversion"/>
  </si>
  <si>
    <t>DAL</t>
    <phoneticPr fontId="1" type="noConversion"/>
  </si>
  <si>
    <t>LAL</t>
    <phoneticPr fontId="1" type="noConversion"/>
  </si>
  <si>
    <t>SAC</t>
    <phoneticPr fontId="1" type="noConversion"/>
  </si>
  <si>
    <t>UTA</t>
    <phoneticPr fontId="1" type="noConversion"/>
  </si>
  <si>
    <t>GS</t>
    <phoneticPr fontId="1" type="noConversion"/>
  </si>
  <si>
    <t>OKC</t>
    <phoneticPr fontId="1" type="noConversion"/>
  </si>
  <si>
    <t>BKN</t>
    <phoneticPr fontId="1" type="noConversion"/>
  </si>
  <si>
    <t>TOR</t>
    <phoneticPr fontId="1" type="noConversion"/>
  </si>
  <si>
    <t>WAS</t>
    <phoneticPr fontId="1" type="noConversion"/>
  </si>
  <si>
    <t>MIN</t>
    <phoneticPr fontId="1" type="noConversion"/>
  </si>
  <si>
    <t>MEM</t>
    <phoneticPr fontId="1" type="noConversion"/>
  </si>
  <si>
    <t>PHO</t>
    <phoneticPr fontId="1" type="noConversion"/>
  </si>
  <si>
    <t>CHA</t>
    <phoneticPr fontId="1" type="noConversion"/>
  </si>
  <si>
    <t>POR</t>
    <phoneticPr fontId="1" type="noConversion"/>
  </si>
  <si>
    <t>PHI</t>
    <phoneticPr fontId="1" type="noConversion"/>
  </si>
  <si>
    <t>HOU</t>
    <phoneticPr fontId="1" type="noConversion"/>
  </si>
  <si>
    <t>home/away</t>
    <phoneticPr fontId="1" type="noConversion"/>
  </si>
  <si>
    <t>SAS</t>
    <phoneticPr fontId="1" type="noConversion"/>
  </si>
  <si>
    <t>BOS</t>
    <phoneticPr fontId="1" type="noConversion"/>
  </si>
  <si>
    <t>CHA</t>
    <phoneticPr fontId="1" type="noConversion"/>
  </si>
  <si>
    <t>NO</t>
    <phoneticPr fontId="1" type="noConversion"/>
  </si>
  <si>
    <t>CHI</t>
    <phoneticPr fontId="1" type="noConversion"/>
  </si>
  <si>
    <t>HOU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</si>
  <si>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</si>
  <si>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</si>
  <si>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</si>
  <si>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DAL</t>
    <phoneticPr fontId="1" type="noConversion"/>
  </si>
  <si>
    <t>MIN</t>
    <phoneticPr fontId="1" type="noConversion"/>
  </si>
  <si>
    <t>DEN</t>
    <phoneticPr fontId="1" type="noConversion"/>
  </si>
  <si>
    <t>ORL</t>
    <phoneticPr fontId="1" type="noConversion"/>
  </si>
  <si>
    <t>IND</t>
    <phoneticPr fontId="1" type="noConversion"/>
  </si>
  <si>
    <t>PHI</t>
    <phoneticPr fontId="1" type="noConversion"/>
  </si>
  <si>
    <t>MIL</t>
    <phoneticPr fontId="1" type="noConversion"/>
  </si>
  <si>
    <t>CLE</t>
    <phoneticPr fontId="1" type="noConversion"/>
  </si>
  <si>
    <t>PHO</t>
    <phoneticPr fontId="1" type="noConversion"/>
  </si>
  <si>
    <t>BKN</t>
    <phoneticPr fontId="1" type="noConversion"/>
  </si>
  <si>
    <t>POR</t>
    <phoneticPr fontId="1" type="noConversion"/>
  </si>
  <si>
    <t>ATL</t>
    <phoneticPr fontId="1" type="noConversion"/>
  </si>
  <si>
    <t>LAL</t>
    <phoneticPr fontId="1" type="noConversion"/>
  </si>
  <si>
    <t>TOR</t>
    <phoneticPr fontId="1" type="noConversion"/>
  </si>
  <si>
    <t>DET</t>
    <phoneticPr fontId="1" type="noConversion"/>
  </si>
  <si>
    <t>UTA</t>
    <phoneticPr fontId="1" type="noConversion"/>
  </si>
  <si>
    <t>LAC</t>
    <phoneticPr fontId="1" type="noConversion"/>
  </si>
  <si>
    <t>ORL</t>
    <phoneticPr fontId="1" type="noConversion"/>
  </si>
  <si>
    <t>PHI</t>
    <phoneticPr fontId="1" type="noConversion"/>
  </si>
  <si>
    <t>CHA</t>
    <phoneticPr fontId="1" type="noConversion"/>
  </si>
  <si>
    <t>MEM</t>
    <phoneticPr fontId="1" type="noConversion"/>
  </si>
  <si>
    <t>BOS</t>
    <phoneticPr fontId="1" type="noConversion"/>
  </si>
  <si>
    <t>WAS</t>
    <phoneticPr fontId="1" type="noConversion"/>
  </si>
  <si>
    <t>HOU</t>
    <phoneticPr fontId="1" type="noConversion"/>
  </si>
  <si>
    <t>LAC</t>
    <phoneticPr fontId="1" type="noConversion"/>
  </si>
  <si>
    <t>MIN</t>
    <phoneticPr fontId="1" type="noConversion"/>
  </si>
  <si>
    <t>SAS</t>
    <phoneticPr fontId="1" type="noConversion"/>
  </si>
  <si>
    <t>LAL</t>
    <phoneticPr fontId="1" type="noConversion"/>
  </si>
  <si>
    <t>GS</t>
    <phoneticPr fontId="1" type="noConversion"/>
  </si>
  <si>
    <t>POR</t>
    <phoneticPr fontId="1" type="noConversion"/>
  </si>
  <si>
    <t>TOR</t>
    <phoneticPr fontId="1" type="noConversion"/>
  </si>
  <si>
    <t>CLE</t>
    <phoneticPr fontId="1" type="noConversion"/>
  </si>
  <si>
    <t>MIA</t>
    <phoneticPr fontId="1" type="noConversion"/>
  </si>
  <si>
    <t>NO</t>
    <phoneticPr fontId="1" type="noConversion"/>
  </si>
  <si>
    <t>MIL</t>
    <phoneticPr fontId="1" type="noConversion"/>
  </si>
  <si>
    <t>CHI</t>
    <phoneticPr fontId="1" type="noConversion"/>
  </si>
  <si>
    <t>NYK</t>
    <phoneticPr fontId="1" type="noConversion"/>
  </si>
  <si>
    <t>DAL</t>
    <phoneticPr fontId="1" type="noConversion"/>
  </si>
  <si>
    <t>PHO</t>
    <phoneticPr fontId="1" type="noConversion"/>
  </si>
  <si>
    <t>ATL</t>
    <phoneticPr fontId="1" type="noConversion"/>
  </si>
  <si>
    <t>DEN</t>
    <phoneticPr fontId="1" type="noConversion"/>
  </si>
  <si>
    <t>BKN</t>
    <phoneticPr fontId="1" type="noConversion"/>
  </si>
  <si>
    <t>ORL</t>
    <phoneticPr fontId="1" type="noConversion"/>
  </si>
  <si>
    <t>SAS</t>
    <phoneticPr fontId="1" type="noConversion"/>
  </si>
  <si>
    <t>CHA</t>
    <phoneticPr fontId="1" type="noConversion"/>
  </si>
  <si>
    <t>DET</t>
    <phoneticPr fontId="1" type="noConversion"/>
  </si>
  <si>
    <t>HOU</t>
    <phoneticPr fontId="1" type="noConversion"/>
  </si>
  <si>
    <t>IND</t>
    <phoneticPr fontId="1" type="noConversion"/>
  </si>
  <si>
    <t>MIN</t>
    <phoneticPr fontId="1" type="noConversion"/>
  </si>
  <si>
    <t>WAS</t>
    <phoneticPr fontId="1" type="noConversion"/>
  </si>
  <si>
    <t>OKC</t>
    <phoneticPr fontId="1" type="noConversion"/>
  </si>
  <si>
    <t>PHI</t>
    <phoneticPr fontId="1" type="noConversion"/>
  </si>
  <si>
    <t>MEM</t>
    <phoneticPr fontId="1" type="noConversion"/>
  </si>
  <si>
    <t>UTA</t>
    <phoneticPr fontId="1" type="noConversion"/>
  </si>
  <si>
    <t>GS</t>
    <phoneticPr fontId="1" type="noConversion"/>
  </si>
  <si>
    <t>BOS</t>
    <phoneticPr fontId="1" type="noConversion"/>
  </si>
  <si>
    <t>LAL</t>
    <phoneticPr fontId="1" type="noConversion"/>
  </si>
  <si>
    <t>SAC</t>
    <phoneticPr fontId="1" type="noConversion"/>
  </si>
  <si>
    <t>CHI</t>
    <phoneticPr fontId="1" type="noConversion"/>
  </si>
  <si>
    <t>BKN</t>
    <phoneticPr fontId="1" type="noConversion"/>
  </si>
  <si>
    <t>MIL</t>
    <phoneticPr fontId="1" type="noConversion"/>
  </si>
  <si>
    <t>NYK</t>
    <phoneticPr fontId="1" type="noConversion"/>
  </si>
  <si>
    <t>MIA</t>
    <phoneticPr fontId="1" type="noConversion"/>
  </si>
  <si>
    <t>NO</t>
    <phoneticPr fontId="1" type="noConversion"/>
  </si>
  <si>
    <t>DAL</t>
    <phoneticPr fontId="1" type="noConversion"/>
  </si>
  <si>
    <t>TOR</t>
    <phoneticPr fontId="1" type="noConversion"/>
  </si>
  <si>
    <t>POR</t>
    <phoneticPr fontId="1" type="noConversion"/>
  </si>
  <si>
    <t>LAC</t>
    <phoneticPr fontId="1" type="noConversion"/>
  </si>
  <si>
    <t>ATL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</si>
</sst>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2" borderId="0" xfId="0" applyNumberFormat="1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20" fontId="0" fillId="4" borderId="0" xfId="0" applyNumberFormat="1" applyFill="1">
      <alignment vertical="center"/>
    </xf>
    <xf numFmtId="9" fontId="0" fillId="5" borderId="0" xfId="1" applyFont="1" applyFill="1">
      <alignment vertical="center"/>
    </xf>
    <xf numFmtId="9" fontId="0" fillId="2" borderId="0" xfId="1" applyFont="1" applyFill="1">
      <alignment vertical="center"/>
    </xf>
    <xf numFmtId="20" fontId="0" fillId="6" borderId="0" xfId="0" applyNumberFormat="1" applyFill="1">
      <alignment vertical="center"/>
    </xf>
    <xf numFmtId="0" fontId="0" fillId="2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83"/>
  <sheetViews>
    <sheetView tabSelected="1" zoomScale="85" zoomScaleNormal="85" workbookViewId="0">
      <pane ySplit="1" topLeftCell="A166" activePane="bottomLeft" state="frozen"/>
      <selection pane="bottomLeft" activeCell="D180" activeCellId="1" sqref="C179 D180"/>
    </sheetView>
  </sheetViews>
  <sheetFormatPr defaultRowHeight="16.5" x14ac:dyDescent="0.3"/>
  <cols>
    <col min="1" max="1" width="7.5" bestFit="1" customWidth="1"/>
    <col min="2" max="2" width="10" style="3" bestFit="1" customWidth="1"/>
    <col min="3" max="3" width="6.375" bestFit="1" customWidth="1"/>
    <col min="4" max="4" width="5.75" bestFit="1" customWidth="1"/>
    <col min="5" max="8" width="4.75" bestFit="1" customWidth="1"/>
    <col min="9" max="9" width="4.375" bestFit="1" customWidth="1"/>
    <col min="10" max="13" width="4.625" bestFit="1" customWidth="1"/>
    <col min="14" max="14" width="4.625" style="2" customWidth="1"/>
    <col min="15" max="15" width="5" bestFit="1" customWidth="1"/>
    <col min="16" max="16" width="4.875" bestFit="1" customWidth="1"/>
    <col min="17" max="20" width="5.5" bestFit="1" customWidth="1"/>
    <col min="21" max="24" width="5.875" bestFit="1" customWidth="1"/>
    <col min="25" max="25" width="6.75" customWidth="1"/>
    <col min="26" max="26" width="8.25" customWidth="1"/>
    <col min="27" max="27" width="13.5" bestFit="1" customWidth="1"/>
  </cols>
  <sheetData>
    <row r="1" spans="1:30" x14ac:dyDescent="0.45">
      <c r="A1" s="2" t="s">
        <v>0</v>
      </c>
      <c r="B1" s="3" t="s">
        <v>55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24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2" t="s">
        <v>22</v>
      </c>
      <c r="Z1" s="2" t="s">
        <v>23</v>
      </c>
      <c r="AA1" t="s">
        <v>67</v>
      </c>
    </row>
    <row r="2" spans="1:30" x14ac:dyDescent="0.45">
      <c r="A2">
        <v>191023</v>
      </c>
      <c r="B2" s="1">
        <v>0.375</v>
      </c>
      <c r="C2" t="s">
        <v>28</v>
      </c>
      <c r="D2" t="s">
        <v>27</v>
      </c>
      <c r="E2">
        <v>27</v>
      </c>
      <c r="F2">
        <v>29</v>
      </c>
      <c r="G2">
        <v>32</v>
      </c>
      <c r="H2">
        <v>29</v>
      </c>
      <c r="I2">
        <v>13</v>
      </c>
      <c r="J2">
        <v>30</v>
      </c>
      <c r="K2">
        <v>31</v>
      </c>
      <c r="L2">
        <v>25</v>
      </c>
      <c r="M2">
        <v>31</v>
      </c>
      <c r="N2" s="2">
        <v>5</v>
      </c>
      <c r="O2">
        <f>SUM(E2:I2)</f>
        <v>130</v>
      </c>
      <c r="P2">
        <f>SUM(J2:N2)</f>
        <v>122</v>
      </c>
      <c r="Q2" s="3" t="str">
        <f>IF(E2=J2,"TT",IF(E2&gt;J2,"HW","HL"))</f>
        <v>HL</v>
      </c>
      <c r="R2" s="3" t="str">
        <f t="shared" ref="R2:T2" si="0">IF(F2=K2,"TT",IF(F2&gt;K2,"HW","HL"))</f>
        <v>HL</v>
      </c>
      <c r="S2" s="3" t="str">
        <f t="shared" si="0"/>
        <v>HW</v>
      </c>
      <c r="T2" s="3" t="str">
        <f t="shared" si="0"/>
        <v>HL</v>
      </c>
      <c r="U2" t="str">
        <f>IF(SUM(E2,J2)=$Z2,"T",IF(SUM(E2,J2)&gt;$Z2,"O","U"))</f>
        <v>U</v>
      </c>
      <c r="V2" s="3" t="str">
        <f t="shared" ref="V2:X2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>
        <v>59</v>
      </c>
      <c r="AA2" t="str">
        <f t="shared" ref="AA2:AA36" si="2">C2&amp;"/"&amp;D2</f>
        <v>TOR/NO</v>
      </c>
      <c r="AD2" s="3"/>
    </row>
    <row r="3" spans="1:30" x14ac:dyDescent="0.45">
      <c r="A3" s="2">
        <v>191023</v>
      </c>
      <c r="B3" s="1">
        <v>0.47916666666666669</v>
      </c>
      <c r="C3" t="s">
        <v>25</v>
      </c>
      <c r="D3" t="s">
        <v>26</v>
      </c>
      <c r="E3">
        <v>22</v>
      </c>
      <c r="F3">
        <v>40</v>
      </c>
      <c r="G3">
        <v>23</v>
      </c>
      <c r="H3">
        <v>27</v>
      </c>
      <c r="J3">
        <v>25</v>
      </c>
      <c r="K3">
        <v>29</v>
      </c>
      <c r="L3">
        <v>31</v>
      </c>
      <c r="M3">
        <v>17</v>
      </c>
      <c r="O3" s="2">
        <f t="shared" ref="O3:O6" si="3">SUM(E3:I3)</f>
        <v>112</v>
      </c>
      <c r="P3" s="2">
        <f t="shared" ref="P3:P6" si="4">SUM(J3:N3)</f>
        <v>102</v>
      </c>
      <c r="Q3" s="3" t="str">
        <f>IF(E3=J3,"TT",IF(E3&gt;J3,"HW","HL"))</f>
        <v>HL</v>
      </c>
      <c r="R3" s="3" t="str">
        <f t="shared" ref="R3" si="5">IF(F3=K3,"TT",IF(F3&gt;K3,"HW","HL"))</f>
        <v>HW</v>
      </c>
      <c r="S3" s="3" t="str">
        <f t="shared" ref="S3" si="6">IF(G3=L3,"TT",IF(G3&gt;L3,"HW","HL"))</f>
        <v>HL</v>
      </c>
      <c r="T3" s="3" t="str">
        <f t="shared" ref="T3" si="7">IF(H3=M3,"TT",IF(H3&gt;M3,"HW","HL"))</f>
        <v>HW</v>
      </c>
      <c r="U3" s="3" t="str">
        <f>IF(SUM(E3,J3)=$Z3,"T",IF(SUM(E3,J3)&gt;$Z3,"O","U"))</f>
        <v>U</v>
      </c>
      <c r="V3" s="3" t="str">
        <f t="shared" ref="V3" si="8">IF(SUM(F3,K3)=$Z3,"T",IF(SUM(F3,K3)&gt;$Z3,"O","U"))</f>
        <v>O</v>
      </c>
      <c r="W3" s="3" t="str">
        <f t="shared" ref="W3" si="9">IF(SUM(G3,L3)=$Z3,"T",IF(SUM(G3,L3)&gt;$Z3,"O","U"))</f>
        <v>U</v>
      </c>
      <c r="X3" s="3" t="str">
        <f t="shared" ref="X3" si="10">IF(SUM(H3,M3)=$Z3,"T",IF(SUM(H3,M3)&gt;$Z3,"O","U"))</f>
        <v>U</v>
      </c>
      <c r="Z3">
        <v>57.5</v>
      </c>
      <c r="AA3" s="3" t="str">
        <f t="shared" si="2"/>
        <v>LAC/LAL</v>
      </c>
    </row>
    <row r="4" spans="1:30" x14ac:dyDescent="0.45">
      <c r="A4">
        <v>191024</v>
      </c>
      <c r="B4" s="1">
        <v>0.33333333333333331</v>
      </c>
      <c r="C4" t="s">
        <v>30</v>
      </c>
      <c r="D4" t="s">
        <v>29</v>
      </c>
      <c r="E4">
        <v>22</v>
      </c>
      <c r="F4">
        <v>34</v>
      </c>
      <c r="G4">
        <v>37</v>
      </c>
      <c r="H4">
        <v>22</v>
      </c>
      <c r="I4">
        <v>11</v>
      </c>
      <c r="J4">
        <v>33</v>
      </c>
      <c r="K4">
        <v>35</v>
      </c>
      <c r="L4">
        <v>20</v>
      </c>
      <c r="M4">
        <v>27</v>
      </c>
      <c r="N4" s="2">
        <v>12</v>
      </c>
      <c r="O4" s="2">
        <f t="shared" si="3"/>
        <v>126</v>
      </c>
      <c r="P4" s="2">
        <f t="shared" si="4"/>
        <v>127</v>
      </c>
      <c r="Q4" s="3" t="str">
        <f t="shared" ref="Q4:Q13" si="11">IF(E4=J4,"TT",IF(E4&gt;J4,"HW","HL"))</f>
        <v>HL</v>
      </c>
      <c r="R4" s="3" t="str">
        <f t="shared" ref="R4:R13" si="12">IF(F4=K4,"TT",IF(F4&gt;K4,"HW","HL"))</f>
        <v>HL</v>
      </c>
      <c r="S4" s="3" t="str">
        <f t="shared" ref="S4:S13" si="13">IF(G4=L4,"TT",IF(G4&gt;L4,"HW","HL"))</f>
        <v>HW</v>
      </c>
      <c r="T4" s="3" t="str">
        <f t="shared" ref="T4:T13" si="14">IF(H4=M4,"TT",IF(H4&gt;M4,"HW","HL"))</f>
        <v>HL</v>
      </c>
      <c r="U4" s="3" t="str">
        <f t="shared" ref="U4:U13" si="15">IF(SUM(E4,J4)=$Z4,"T",IF(SUM(E4,J4)&gt;$Z4,"O","U"))</f>
        <v>U</v>
      </c>
      <c r="V4" s="3" t="str">
        <f t="shared" ref="V4:V13" si="16">IF(SUM(F4,K4)=$Z4,"T",IF(SUM(F4,K4)&gt;$Z4,"O","U"))</f>
        <v>O</v>
      </c>
      <c r="W4" s="3" t="str">
        <f t="shared" ref="W4:W13" si="17">IF(SUM(G4,L4)=$Z4,"T",IF(SUM(G4,L4)&gt;$Z4,"O","U"))</f>
        <v>U</v>
      </c>
      <c r="X4" s="3" t="str">
        <f t="shared" ref="X4:X13" si="18">IF(SUM(H4,M4)=$Z4,"T",IF(SUM(H4,M4)&gt;$Z4,"O","U"))</f>
        <v>U</v>
      </c>
      <c r="Z4">
        <v>58.5</v>
      </c>
      <c r="AA4" s="3" t="str">
        <f t="shared" si="2"/>
        <v>BKN/MIN</v>
      </c>
    </row>
    <row r="5" spans="1:30" x14ac:dyDescent="0.45">
      <c r="A5" s="3">
        <v>191024</v>
      </c>
      <c r="C5" t="s">
        <v>31</v>
      </c>
      <c r="D5" t="s">
        <v>32</v>
      </c>
      <c r="E5">
        <v>37</v>
      </c>
      <c r="F5">
        <v>26</v>
      </c>
      <c r="G5">
        <v>33</v>
      </c>
      <c r="H5">
        <v>30</v>
      </c>
      <c r="J5">
        <v>28</v>
      </c>
      <c r="K5">
        <v>27</v>
      </c>
      <c r="L5">
        <v>40</v>
      </c>
      <c r="M5">
        <v>30</v>
      </c>
      <c r="O5" s="2">
        <f t="shared" si="3"/>
        <v>126</v>
      </c>
      <c r="P5" s="2">
        <f t="shared" si="4"/>
        <v>125</v>
      </c>
      <c r="Q5" s="3" t="str">
        <f t="shared" si="11"/>
        <v>HW</v>
      </c>
      <c r="R5" s="3" t="str">
        <f t="shared" si="12"/>
        <v>HL</v>
      </c>
      <c r="S5" s="3" t="str">
        <f t="shared" si="13"/>
        <v>HL</v>
      </c>
      <c r="T5" s="3" t="str">
        <f t="shared" si="14"/>
        <v>TT</v>
      </c>
      <c r="U5" s="3" t="str">
        <f t="shared" si="15"/>
        <v>O</v>
      </c>
      <c r="V5" s="3" t="str">
        <f t="shared" si="16"/>
        <v>T</v>
      </c>
      <c r="W5" s="3" t="str">
        <f t="shared" si="17"/>
        <v>O</v>
      </c>
      <c r="X5" s="3" t="str">
        <f t="shared" si="18"/>
        <v>O</v>
      </c>
      <c r="Z5">
        <v>53</v>
      </c>
      <c r="AA5" s="3" t="str">
        <f t="shared" si="2"/>
        <v>CHA/CHI</v>
      </c>
    </row>
    <row r="6" spans="1:30" x14ac:dyDescent="0.45">
      <c r="A6" s="3">
        <v>191024</v>
      </c>
      <c r="C6" t="s">
        <v>33</v>
      </c>
      <c r="D6" t="s">
        <v>34</v>
      </c>
      <c r="E6">
        <v>24</v>
      </c>
      <c r="F6">
        <v>38</v>
      </c>
      <c r="G6">
        <v>29</v>
      </c>
      <c r="H6">
        <v>17</v>
      </c>
      <c r="J6">
        <v>25</v>
      </c>
      <c r="K6">
        <v>23</v>
      </c>
      <c r="L6">
        <v>20</v>
      </c>
      <c r="M6">
        <v>32</v>
      </c>
      <c r="O6" s="2">
        <f t="shared" si="3"/>
        <v>108</v>
      </c>
      <c r="P6" s="2">
        <f t="shared" si="4"/>
        <v>100</v>
      </c>
      <c r="Q6" s="3" t="str">
        <f t="shared" si="11"/>
        <v>HL</v>
      </c>
      <c r="R6" s="3" t="str">
        <f t="shared" si="12"/>
        <v>HW</v>
      </c>
      <c r="S6" s="3" t="str">
        <f t="shared" si="13"/>
        <v>HW</v>
      </c>
      <c r="T6" s="3" t="str">
        <f t="shared" si="14"/>
        <v>HL</v>
      </c>
      <c r="U6" s="3" t="str">
        <f t="shared" si="15"/>
        <v>U</v>
      </c>
      <c r="V6" s="3" t="str">
        <f t="shared" si="16"/>
        <v>O</v>
      </c>
      <c r="W6" s="3" t="str">
        <f t="shared" si="17"/>
        <v>U</v>
      </c>
      <c r="X6" s="3" t="str">
        <f t="shared" si="18"/>
        <v>U</v>
      </c>
      <c r="Z6">
        <v>57.5</v>
      </c>
      <c r="AA6" s="3" t="str">
        <f t="shared" si="2"/>
        <v>DAL/WAS</v>
      </c>
    </row>
    <row r="7" spans="1:30" x14ac:dyDescent="0.45">
      <c r="A7" s="3">
        <v>191024</v>
      </c>
      <c r="B7" s="1">
        <v>0.33333333333333331</v>
      </c>
      <c r="C7" t="s">
        <v>35</v>
      </c>
      <c r="D7" t="s">
        <v>36</v>
      </c>
      <c r="E7">
        <v>24</v>
      </c>
      <c r="F7">
        <v>31</v>
      </c>
      <c r="G7">
        <v>31</v>
      </c>
      <c r="H7">
        <v>24</v>
      </c>
      <c r="J7">
        <v>27</v>
      </c>
      <c r="K7">
        <v>27</v>
      </c>
      <c r="L7">
        <v>29</v>
      </c>
      <c r="M7">
        <v>36</v>
      </c>
      <c r="O7" s="3">
        <f t="shared" ref="O7:O14" si="19">SUM(E7:I7)</f>
        <v>110</v>
      </c>
      <c r="P7" s="3">
        <f t="shared" ref="P7:P14" si="20">SUM(J7:N7)</f>
        <v>119</v>
      </c>
      <c r="Q7" s="3" t="str">
        <f t="shared" si="11"/>
        <v>HL</v>
      </c>
      <c r="R7" s="3" t="str">
        <f t="shared" si="12"/>
        <v>HW</v>
      </c>
      <c r="S7" s="3" t="str">
        <f t="shared" si="13"/>
        <v>HW</v>
      </c>
      <c r="T7" s="3" t="str">
        <f t="shared" si="14"/>
        <v>HL</v>
      </c>
      <c r="U7" s="3" t="str">
        <f t="shared" si="15"/>
        <v>U</v>
      </c>
      <c r="V7" s="3" t="str">
        <f t="shared" si="16"/>
        <v>O</v>
      </c>
      <c r="W7" s="3" t="str">
        <f t="shared" si="17"/>
        <v>O</v>
      </c>
      <c r="X7" s="3" t="str">
        <f t="shared" si="18"/>
        <v>O</v>
      </c>
      <c r="Z7">
        <v>54</v>
      </c>
      <c r="AA7" s="3" t="str">
        <f t="shared" si="2"/>
        <v>IND/DET</v>
      </c>
    </row>
    <row r="8" spans="1:30" x14ac:dyDescent="0.45">
      <c r="A8" s="3">
        <v>191024</v>
      </c>
      <c r="B8" s="1"/>
      <c r="C8" t="s">
        <v>37</v>
      </c>
      <c r="D8" t="s">
        <v>38</v>
      </c>
      <c r="E8">
        <v>24</v>
      </c>
      <c r="F8">
        <v>30</v>
      </c>
      <c r="G8">
        <v>29</v>
      </c>
      <c r="H8">
        <v>37</v>
      </c>
      <c r="J8">
        <v>32</v>
      </c>
      <c r="K8">
        <v>28</v>
      </c>
      <c r="L8">
        <v>24</v>
      </c>
      <c r="M8">
        <v>17</v>
      </c>
      <c r="O8" s="3">
        <f t="shared" si="19"/>
        <v>120</v>
      </c>
      <c r="P8" s="3">
        <f t="shared" si="20"/>
        <v>101</v>
      </c>
      <c r="Q8" s="3" t="str">
        <f t="shared" si="11"/>
        <v>HL</v>
      </c>
      <c r="R8" s="3" t="str">
        <f t="shared" si="12"/>
        <v>HW</v>
      </c>
      <c r="S8" s="3" t="str">
        <f t="shared" si="13"/>
        <v>HW</v>
      </c>
      <c r="T8" s="3" t="str">
        <f t="shared" si="14"/>
        <v>HW</v>
      </c>
      <c r="U8" s="3" t="str">
        <f t="shared" si="15"/>
        <v>O</v>
      </c>
      <c r="V8" s="3" t="str">
        <f t="shared" si="16"/>
        <v>O</v>
      </c>
      <c r="W8" s="3" t="str">
        <f t="shared" si="17"/>
        <v>U</v>
      </c>
      <c r="X8" s="3" t="str">
        <f t="shared" si="18"/>
        <v>U</v>
      </c>
      <c r="Z8">
        <v>54.5</v>
      </c>
      <c r="AA8" s="3" t="str">
        <f t="shared" si="2"/>
        <v>MIA/MEM</v>
      </c>
    </row>
    <row r="9" spans="1:30" x14ac:dyDescent="0.45">
      <c r="A9" s="3">
        <v>191024</v>
      </c>
      <c r="B9" s="1"/>
      <c r="C9" t="s">
        <v>39</v>
      </c>
      <c r="D9" t="s">
        <v>40</v>
      </c>
      <c r="E9">
        <v>28</v>
      </c>
      <c r="F9">
        <v>27</v>
      </c>
      <c r="G9">
        <v>16</v>
      </c>
      <c r="H9">
        <v>23</v>
      </c>
      <c r="J9">
        <v>24</v>
      </c>
      <c r="K9">
        <v>17</v>
      </c>
      <c r="L9">
        <v>24</v>
      </c>
      <c r="M9">
        <v>20</v>
      </c>
      <c r="O9" s="3">
        <f t="shared" si="19"/>
        <v>94</v>
      </c>
      <c r="P9" s="3">
        <f t="shared" si="20"/>
        <v>85</v>
      </c>
      <c r="Q9" s="3" t="str">
        <f t="shared" si="11"/>
        <v>HW</v>
      </c>
      <c r="R9" s="3" t="str">
        <f t="shared" si="12"/>
        <v>HW</v>
      </c>
      <c r="S9" s="3" t="str">
        <f t="shared" si="13"/>
        <v>HL</v>
      </c>
      <c r="T9" s="3" t="str">
        <f t="shared" si="14"/>
        <v>HW</v>
      </c>
      <c r="U9" s="3" t="str">
        <f t="shared" si="15"/>
        <v>U</v>
      </c>
      <c r="V9" s="3" t="str">
        <f t="shared" si="16"/>
        <v>U</v>
      </c>
      <c r="W9" s="3" t="str">
        <f t="shared" si="17"/>
        <v>U</v>
      </c>
      <c r="X9" s="3" t="str">
        <f t="shared" si="18"/>
        <v>U</v>
      </c>
      <c r="Z9">
        <v>53</v>
      </c>
      <c r="AA9" s="3" t="str">
        <f t="shared" si="2"/>
        <v>ORL/CLE</v>
      </c>
    </row>
    <row r="10" spans="1:30" x14ac:dyDescent="0.45">
      <c r="A10" s="3">
        <v>191024</v>
      </c>
      <c r="B10" s="1"/>
      <c r="C10" t="s">
        <v>41</v>
      </c>
      <c r="D10" t="s">
        <v>42</v>
      </c>
      <c r="E10">
        <v>20</v>
      </c>
      <c r="F10">
        <v>29</v>
      </c>
      <c r="G10">
        <v>28</v>
      </c>
      <c r="H10">
        <v>30</v>
      </c>
      <c r="J10">
        <v>25</v>
      </c>
      <c r="K10">
        <v>23</v>
      </c>
      <c r="L10">
        <v>20</v>
      </c>
      <c r="M10">
        <v>25</v>
      </c>
      <c r="O10" s="3">
        <f t="shared" si="19"/>
        <v>107</v>
      </c>
      <c r="P10" s="3">
        <f t="shared" si="20"/>
        <v>93</v>
      </c>
      <c r="Q10" s="3" t="str">
        <f t="shared" si="11"/>
        <v>HL</v>
      </c>
      <c r="R10" s="3" t="str">
        <f t="shared" si="12"/>
        <v>HW</v>
      </c>
      <c r="S10" s="3" t="str">
        <f t="shared" si="13"/>
        <v>HW</v>
      </c>
      <c r="T10" s="3" t="str">
        <f t="shared" si="14"/>
        <v>HW</v>
      </c>
      <c r="U10" s="3" t="str">
        <f t="shared" si="15"/>
        <v>U</v>
      </c>
      <c r="V10" s="3" t="str">
        <f t="shared" si="16"/>
        <v>T</v>
      </c>
      <c r="W10" s="3" t="str">
        <f t="shared" si="17"/>
        <v>U</v>
      </c>
      <c r="X10" s="3" t="str">
        <f t="shared" si="18"/>
        <v>O</v>
      </c>
      <c r="Z10">
        <v>52</v>
      </c>
      <c r="AA10" s="3" t="str">
        <f t="shared" si="2"/>
        <v>PHI/BOS</v>
      </c>
    </row>
    <row r="11" spans="1:30" x14ac:dyDescent="0.45">
      <c r="A11" s="3">
        <v>191024</v>
      </c>
      <c r="C11" t="s">
        <v>43</v>
      </c>
      <c r="D11" t="s">
        <v>44</v>
      </c>
      <c r="E11">
        <v>25</v>
      </c>
      <c r="F11">
        <v>29</v>
      </c>
      <c r="G11">
        <v>32</v>
      </c>
      <c r="H11">
        <v>38</v>
      </c>
      <c r="J11">
        <v>29</v>
      </c>
      <c r="K11">
        <v>30</v>
      </c>
      <c r="L11">
        <v>17</v>
      </c>
      <c r="M11">
        <v>19</v>
      </c>
      <c r="O11" s="3">
        <f t="shared" si="19"/>
        <v>124</v>
      </c>
      <c r="P11" s="3">
        <f t="shared" si="20"/>
        <v>95</v>
      </c>
      <c r="Q11" s="3" t="str">
        <f t="shared" si="11"/>
        <v>HL</v>
      </c>
      <c r="R11" s="3" t="str">
        <f t="shared" si="12"/>
        <v>HL</v>
      </c>
      <c r="S11" s="3" t="str">
        <f t="shared" si="13"/>
        <v>HW</v>
      </c>
      <c r="T11" s="3" t="str">
        <f t="shared" si="14"/>
        <v>HW</v>
      </c>
      <c r="U11" s="3" t="str">
        <f t="shared" si="15"/>
        <v>U</v>
      </c>
      <c r="V11" s="3" t="str">
        <f t="shared" si="16"/>
        <v>U</v>
      </c>
      <c r="W11" s="3" t="str">
        <f t="shared" si="17"/>
        <v>U</v>
      </c>
      <c r="X11" s="3" t="str">
        <f t="shared" si="18"/>
        <v>U</v>
      </c>
      <c r="Z11">
        <v>59.5</v>
      </c>
      <c r="AA11" s="3" t="str">
        <f t="shared" si="2"/>
        <v>PHO/SAC</v>
      </c>
    </row>
    <row r="12" spans="1:30" x14ac:dyDescent="0.45">
      <c r="A12" s="3">
        <v>191024</v>
      </c>
      <c r="C12" t="s">
        <v>45</v>
      </c>
      <c r="D12" t="s">
        <v>46</v>
      </c>
      <c r="E12">
        <v>27</v>
      </c>
      <c r="F12">
        <v>23</v>
      </c>
      <c r="G12">
        <v>24</v>
      </c>
      <c r="H12">
        <v>26</v>
      </c>
      <c r="J12">
        <v>24</v>
      </c>
      <c r="K12">
        <v>30</v>
      </c>
      <c r="L12">
        <v>19</v>
      </c>
      <c r="M12">
        <v>35</v>
      </c>
      <c r="O12" s="3">
        <f t="shared" si="19"/>
        <v>100</v>
      </c>
      <c r="P12" s="3">
        <f t="shared" si="20"/>
        <v>108</v>
      </c>
      <c r="Q12" s="3" t="str">
        <f t="shared" si="11"/>
        <v>HW</v>
      </c>
      <c r="R12" s="3" t="str">
        <f t="shared" si="12"/>
        <v>HL</v>
      </c>
      <c r="S12" s="3" t="str">
        <f t="shared" si="13"/>
        <v>HW</v>
      </c>
      <c r="T12" s="3" t="str">
        <f t="shared" si="14"/>
        <v>HL</v>
      </c>
      <c r="U12" s="3" t="str">
        <f t="shared" si="15"/>
        <v>U</v>
      </c>
      <c r="V12" s="3" t="str">
        <f t="shared" si="16"/>
        <v>U</v>
      </c>
      <c r="W12" s="3" t="str">
        <f t="shared" si="17"/>
        <v>U</v>
      </c>
      <c r="X12" s="3" t="str">
        <f t="shared" si="18"/>
        <v>O</v>
      </c>
      <c r="Z12">
        <v>56.5</v>
      </c>
      <c r="AA12" s="3" t="str">
        <f t="shared" si="2"/>
        <v>POR/DEN</v>
      </c>
    </row>
    <row r="13" spans="1:30" x14ac:dyDescent="0.45">
      <c r="A13" s="3">
        <v>191024</v>
      </c>
      <c r="C13" t="s">
        <v>56</v>
      </c>
      <c r="D13" t="s">
        <v>47</v>
      </c>
      <c r="E13">
        <v>22</v>
      </c>
      <c r="F13">
        <v>37</v>
      </c>
      <c r="G13">
        <v>24</v>
      </c>
      <c r="H13">
        <v>37</v>
      </c>
      <c r="J13">
        <v>15</v>
      </c>
      <c r="K13">
        <v>36</v>
      </c>
      <c r="L13">
        <v>33</v>
      </c>
      <c r="M13">
        <v>27</v>
      </c>
      <c r="O13" s="3">
        <f t="shared" si="19"/>
        <v>120</v>
      </c>
      <c r="P13" s="3">
        <f t="shared" si="20"/>
        <v>111</v>
      </c>
      <c r="Q13" s="3" t="str">
        <f t="shared" si="11"/>
        <v>HW</v>
      </c>
      <c r="R13" s="3" t="str">
        <f t="shared" si="12"/>
        <v>HW</v>
      </c>
      <c r="S13" s="3" t="str">
        <f t="shared" si="13"/>
        <v>HL</v>
      </c>
      <c r="T13" s="3" t="str">
        <f t="shared" si="14"/>
        <v>HW</v>
      </c>
      <c r="U13" s="3" t="str">
        <f t="shared" si="15"/>
        <v>U</v>
      </c>
      <c r="V13" s="3" t="str">
        <f t="shared" si="16"/>
        <v>O</v>
      </c>
      <c r="W13" s="3" t="str">
        <f t="shared" si="17"/>
        <v>O</v>
      </c>
      <c r="X13" s="3" t="str">
        <f t="shared" si="18"/>
        <v>O</v>
      </c>
      <c r="Z13">
        <v>55.5</v>
      </c>
      <c r="AA13" s="3" t="str">
        <f t="shared" si="2"/>
        <v>SAS/NYK</v>
      </c>
    </row>
    <row r="14" spans="1:30" x14ac:dyDescent="0.45">
      <c r="A14" s="3">
        <v>191024</v>
      </c>
      <c r="C14" t="s">
        <v>48</v>
      </c>
      <c r="D14" t="s">
        <v>49</v>
      </c>
      <c r="E14">
        <v>23</v>
      </c>
      <c r="F14">
        <v>26</v>
      </c>
      <c r="G14">
        <v>19</v>
      </c>
      <c r="H14">
        <v>32</v>
      </c>
      <c r="J14">
        <v>12</v>
      </c>
      <c r="K14">
        <v>34</v>
      </c>
      <c r="L14">
        <v>28</v>
      </c>
      <c r="M14">
        <v>21</v>
      </c>
      <c r="O14" s="3">
        <f t="shared" si="19"/>
        <v>100</v>
      </c>
      <c r="P14" s="3">
        <f t="shared" si="20"/>
        <v>95</v>
      </c>
      <c r="Q14" s="3" t="str">
        <f t="shared" ref="Q14" si="21">IF(E14=J14,"TT",IF(E14&gt;J14,"HW","HL"))</f>
        <v>HW</v>
      </c>
      <c r="R14" s="3" t="str">
        <f t="shared" ref="R14" si="22">IF(F14=K14,"TT",IF(F14&gt;K14,"HW","HL"))</f>
        <v>HL</v>
      </c>
      <c r="S14" s="3" t="str">
        <f t="shared" ref="S14" si="23">IF(G14=L14,"TT",IF(G14&gt;L14,"HW","HL"))</f>
        <v>HL</v>
      </c>
      <c r="T14" s="3" t="str">
        <f t="shared" ref="T14" si="24">IF(H14=M14,"TT",IF(H14&gt;M14,"HW","HL"))</f>
        <v>HW</v>
      </c>
      <c r="U14" s="3" t="str">
        <f t="shared" ref="U14" si="25">IF(SUM(E14,J14)=$Z14,"T",IF(SUM(E14,J14)&gt;$Z14,"O","U"))</f>
        <v>U</v>
      </c>
      <c r="V14" s="3" t="str">
        <f t="shared" ref="V14" si="26">IF(SUM(F14,K14)=$Z14,"T",IF(SUM(F14,K14)&gt;$Z14,"O","U"))</f>
        <v>O</v>
      </c>
      <c r="W14" s="3" t="str">
        <f t="shared" ref="W14" si="27">IF(SUM(G14,L14)=$Z14,"T",IF(SUM(G14,L14)&gt;$Z14,"O","U"))</f>
        <v>U</v>
      </c>
      <c r="X14" s="3" t="str">
        <f t="shared" ref="X14" si="28">IF(SUM(H14,M14)=$Z14,"T",IF(SUM(H14,M14)&gt;$Z14,"O","U"))</f>
        <v>U</v>
      </c>
      <c r="Z14">
        <v>57.5</v>
      </c>
      <c r="AA14" s="3" t="str">
        <f t="shared" si="2"/>
        <v>UTA/OKC</v>
      </c>
    </row>
    <row r="15" spans="1:30" x14ac:dyDescent="0.45">
      <c r="A15" s="3">
        <v>191025</v>
      </c>
      <c r="B15" s="1">
        <v>0.33333333333333331</v>
      </c>
      <c r="C15" t="s">
        <v>36</v>
      </c>
      <c r="D15" t="s">
        <v>50</v>
      </c>
      <c r="E15">
        <v>32</v>
      </c>
      <c r="F15">
        <v>31</v>
      </c>
      <c r="G15">
        <v>18</v>
      </c>
      <c r="H15">
        <v>19</v>
      </c>
      <c r="J15">
        <v>38</v>
      </c>
      <c r="K15">
        <v>22</v>
      </c>
      <c r="L15">
        <v>31</v>
      </c>
      <c r="M15">
        <v>26</v>
      </c>
      <c r="O15" s="3">
        <f t="shared" ref="O15:O17" si="29">SUM(E15:I15)</f>
        <v>100</v>
      </c>
      <c r="P15" s="3">
        <f t="shared" ref="P15:P17" si="30">SUM(J15:N15)</f>
        <v>117</v>
      </c>
      <c r="Q15" s="3" t="str">
        <f t="shared" ref="Q15:Q17" si="31">IF(E15=J15,"TT",IF(E15&gt;J15,"HW","HL"))</f>
        <v>HL</v>
      </c>
      <c r="R15" s="3" t="str">
        <f t="shared" ref="R15:R17" si="32">IF(F15=K15,"TT",IF(F15&gt;K15,"HW","HL"))</f>
        <v>HW</v>
      </c>
      <c r="S15" s="3" t="str">
        <f t="shared" ref="S15:S17" si="33">IF(G15=L15,"TT",IF(G15&gt;L15,"HW","HL"))</f>
        <v>HL</v>
      </c>
      <c r="T15" s="3" t="str">
        <f t="shared" ref="T15:T17" si="34">IF(H15=M15,"TT",IF(H15&gt;M15,"HW","HL"))</f>
        <v>HL</v>
      </c>
      <c r="U15" s="3" t="str">
        <f t="shared" ref="U15:U17" si="35">IF(SUM(E15,J15)=$Z15,"T",IF(SUM(E15,J15)&gt;$Z15,"O","U"))</f>
        <v>O</v>
      </c>
      <c r="V15" s="3" t="str">
        <f t="shared" ref="V15:V17" si="36">IF(SUM(F15,K15)=$Z15,"T",IF(SUM(F15,K15)&gt;$Z15,"O","U"))</f>
        <v>U</v>
      </c>
      <c r="W15" s="3" t="str">
        <f t="shared" ref="W15:W17" si="37">IF(SUM(G15,L15)=$Z15,"T",IF(SUM(G15,L15)&gt;$Z15,"O","U"))</f>
        <v>U</v>
      </c>
      <c r="X15" s="3" t="str">
        <f t="shared" ref="X15:X17" si="38">IF(SUM(H15,M15)=$Z15,"T",IF(SUM(H15,M15)&gt;$Z15,"O","U"))</f>
        <v>U</v>
      </c>
      <c r="Z15">
        <v>57</v>
      </c>
      <c r="AA15" s="3" t="str">
        <f t="shared" si="2"/>
        <v>DET/ATL</v>
      </c>
    </row>
    <row r="16" spans="1:30" x14ac:dyDescent="0.45">
      <c r="A16" s="3">
        <v>191025</v>
      </c>
      <c r="B16" s="1">
        <v>0.47916666666666669</v>
      </c>
      <c r="C16" t="s">
        <v>51</v>
      </c>
      <c r="D16" t="s">
        <v>25</v>
      </c>
      <c r="E16">
        <v>29</v>
      </c>
      <c r="F16">
        <v>25</v>
      </c>
      <c r="G16">
        <v>33</v>
      </c>
      <c r="H16">
        <v>35</v>
      </c>
      <c r="J16">
        <v>35</v>
      </c>
      <c r="K16">
        <v>30</v>
      </c>
      <c r="L16">
        <v>46</v>
      </c>
      <c r="M16">
        <v>30</v>
      </c>
      <c r="O16" s="3">
        <f t="shared" si="29"/>
        <v>122</v>
      </c>
      <c r="P16" s="3">
        <f t="shared" si="30"/>
        <v>141</v>
      </c>
      <c r="Q16" s="3" t="str">
        <f t="shared" si="31"/>
        <v>HL</v>
      </c>
      <c r="R16" s="3" t="str">
        <f t="shared" si="32"/>
        <v>HL</v>
      </c>
      <c r="S16" s="3" t="str">
        <f t="shared" si="33"/>
        <v>HL</v>
      </c>
      <c r="T16" s="3" t="str">
        <f t="shared" si="34"/>
        <v>HW</v>
      </c>
      <c r="U16" s="3" t="str">
        <f t="shared" si="35"/>
        <v>O</v>
      </c>
      <c r="V16" s="3" t="str">
        <f t="shared" si="36"/>
        <v>U</v>
      </c>
      <c r="W16" s="3" t="str">
        <f t="shared" si="37"/>
        <v>O</v>
      </c>
      <c r="X16" s="3" t="str">
        <f t="shared" si="38"/>
        <v>O</v>
      </c>
      <c r="Z16">
        <v>59.5</v>
      </c>
      <c r="AA16" s="3" t="str">
        <f t="shared" si="2"/>
        <v>GS/LAC</v>
      </c>
    </row>
    <row r="17" spans="1:27" x14ac:dyDescent="0.45">
      <c r="A17" s="3">
        <v>191025</v>
      </c>
      <c r="B17" s="1">
        <v>0.375</v>
      </c>
      <c r="C17" t="s">
        <v>52</v>
      </c>
      <c r="D17" t="s">
        <v>53</v>
      </c>
      <c r="E17">
        <v>30</v>
      </c>
      <c r="F17">
        <v>36</v>
      </c>
      <c r="G17">
        <v>21</v>
      </c>
      <c r="H17">
        <v>24</v>
      </c>
      <c r="J17">
        <v>23</v>
      </c>
      <c r="K17">
        <v>27</v>
      </c>
      <c r="L17">
        <v>28</v>
      </c>
      <c r="M17">
        <v>39</v>
      </c>
      <c r="O17" s="3">
        <f t="shared" si="29"/>
        <v>111</v>
      </c>
      <c r="P17" s="3">
        <f t="shared" si="30"/>
        <v>117</v>
      </c>
      <c r="Q17" s="3" t="str">
        <f t="shared" si="31"/>
        <v>HW</v>
      </c>
      <c r="R17" s="3" t="str">
        <f t="shared" si="32"/>
        <v>HW</v>
      </c>
      <c r="S17" s="3" t="str">
        <f t="shared" si="33"/>
        <v>HL</v>
      </c>
      <c r="T17" s="3" t="str">
        <f t="shared" si="34"/>
        <v>HL</v>
      </c>
      <c r="U17" s="3" t="str">
        <f t="shared" si="35"/>
        <v>U</v>
      </c>
      <c r="V17" s="3" t="str">
        <f t="shared" si="36"/>
        <v>O</v>
      </c>
      <c r="W17" s="3" t="str">
        <f t="shared" si="37"/>
        <v>U</v>
      </c>
      <c r="X17" s="3" t="str">
        <f t="shared" si="38"/>
        <v>O</v>
      </c>
      <c r="Z17">
        <v>57</v>
      </c>
      <c r="AA17" s="3" t="str">
        <f t="shared" si="2"/>
        <v>HOU/MIL</v>
      </c>
    </row>
    <row r="18" spans="1:27" x14ac:dyDescent="0.45">
      <c r="A18" s="3">
        <v>191026</v>
      </c>
      <c r="B18" s="1">
        <v>0.33333333333333331</v>
      </c>
      <c r="C18" t="s">
        <v>42</v>
      </c>
      <c r="D18" t="s">
        <v>28</v>
      </c>
      <c r="E18">
        <v>22</v>
      </c>
      <c r="F18">
        <v>28</v>
      </c>
      <c r="G18">
        <v>26</v>
      </c>
      <c r="H18">
        <v>36</v>
      </c>
      <c r="J18">
        <v>21</v>
      </c>
      <c r="K18">
        <v>28</v>
      </c>
      <c r="L18">
        <v>33</v>
      </c>
      <c r="M18">
        <v>24</v>
      </c>
      <c r="O18" s="3">
        <f t="shared" ref="O18:O26" si="39">SUM(E18:I18)</f>
        <v>112</v>
      </c>
      <c r="P18" s="3">
        <f t="shared" ref="P18:P26" si="40">SUM(J18:N18)</f>
        <v>106</v>
      </c>
      <c r="Q18" s="3" t="str">
        <f t="shared" ref="Q18:Q26" si="41">IF(E18=J18,"TT",IF(E18&gt;J18,"HW","HL"))</f>
        <v>HW</v>
      </c>
      <c r="R18" s="3" t="str">
        <f t="shared" ref="R18:R26" si="42">IF(F18=K18,"TT",IF(F18&gt;K18,"HW","HL"))</f>
        <v>TT</v>
      </c>
      <c r="S18" s="3" t="str">
        <f t="shared" ref="S18:S26" si="43">IF(G18=L18,"TT",IF(G18&gt;L18,"HW","HL"))</f>
        <v>HL</v>
      </c>
      <c r="T18" s="3" t="str">
        <f t="shared" ref="T18:T26" si="44">IF(H18=M18,"TT",IF(H18&gt;M18,"HW","HL"))</f>
        <v>HW</v>
      </c>
      <c r="U18" s="3" t="str">
        <f t="shared" ref="U18:U26" si="45">IF(SUM(E18,J18)=$Z18,"T",IF(SUM(E18,J18)&gt;$Z18,"O","U"))</f>
        <v>U</v>
      </c>
      <c r="V18" s="3" t="str">
        <f t="shared" ref="V18:V26" si="46">IF(SUM(F18,K18)=$Z18,"T",IF(SUM(F18,K18)&gt;$Z18,"O","U"))</f>
        <v>O</v>
      </c>
      <c r="W18" s="3" t="str">
        <f t="shared" ref="W18:W26" si="47">IF(SUM(G18,L18)=$Z18,"T",IF(SUM(G18,L18)&gt;$Z18,"O","U"))</f>
        <v>O</v>
      </c>
      <c r="X18" s="3" t="str">
        <f t="shared" ref="X18:X26" si="48">IF(SUM(H18,M18)=$Z18,"T",IF(SUM(H18,M18)&gt;$Z18,"O","U"))</f>
        <v>O</v>
      </c>
      <c r="Z18">
        <v>55.5</v>
      </c>
      <c r="AA18" s="3" t="str">
        <f t="shared" si="2"/>
        <v>BOS/TOR</v>
      </c>
    </row>
    <row r="19" spans="1:27" x14ac:dyDescent="0.45">
      <c r="A19" s="3">
        <v>191026</v>
      </c>
      <c r="B19" s="1">
        <v>0.35416666666666669</v>
      </c>
      <c r="C19" t="s">
        <v>54</v>
      </c>
      <c r="D19" t="s">
        <v>30</v>
      </c>
      <c r="E19">
        <v>32</v>
      </c>
      <c r="F19">
        <v>32</v>
      </c>
      <c r="G19">
        <v>30</v>
      </c>
      <c r="H19">
        <v>19</v>
      </c>
      <c r="J19">
        <v>23</v>
      </c>
      <c r="K19">
        <v>28</v>
      </c>
      <c r="L19">
        <v>32</v>
      </c>
      <c r="M19">
        <v>26</v>
      </c>
      <c r="O19" s="3">
        <f t="shared" si="39"/>
        <v>113</v>
      </c>
      <c r="P19" s="3">
        <f t="shared" si="40"/>
        <v>109</v>
      </c>
      <c r="Q19" s="3" t="str">
        <f t="shared" si="41"/>
        <v>HW</v>
      </c>
      <c r="R19" s="3" t="str">
        <f t="shared" si="42"/>
        <v>HW</v>
      </c>
      <c r="S19" s="3" t="str">
        <f t="shared" si="43"/>
        <v>HL</v>
      </c>
      <c r="T19" s="3" t="str">
        <f t="shared" si="44"/>
        <v>HL</v>
      </c>
      <c r="U19" s="3" t="str">
        <f t="shared" si="45"/>
        <v>U</v>
      </c>
      <c r="V19" s="3" t="str">
        <f t="shared" si="46"/>
        <v>O</v>
      </c>
      <c r="W19" s="3" t="str">
        <f t="shared" si="47"/>
        <v>O</v>
      </c>
      <c r="X19" s="3" t="str">
        <f t="shared" si="48"/>
        <v>U</v>
      </c>
      <c r="Z19">
        <v>58.5</v>
      </c>
      <c r="AA19" s="3" t="str">
        <f t="shared" si="2"/>
        <v>NY/BKN</v>
      </c>
    </row>
    <row r="20" spans="1:27" x14ac:dyDescent="0.45">
      <c r="A20" s="3">
        <v>191026</v>
      </c>
      <c r="B20" s="1">
        <v>0.33333333333333331</v>
      </c>
      <c r="C20" t="s">
        <v>31</v>
      </c>
      <c r="D20" t="s">
        <v>29</v>
      </c>
      <c r="E20">
        <v>32</v>
      </c>
      <c r="F20">
        <v>24</v>
      </c>
      <c r="G20">
        <v>25</v>
      </c>
      <c r="H20">
        <v>18</v>
      </c>
      <c r="J20">
        <v>30</v>
      </c>
      <c r="K20">
        <v>28</v>
      </c>
      <c r="L20">
        <v>45</v>
      </c>
      <c r="M20">
        <v>18</v>
      </c>
      <c r="O20" s="3">
        <f t="shared" si="39"/>
        <v>99</v>
      </c>
      <c r="P20" s="3">
        <f t="shared" si="40"/>
        <v>121</v>
      </c>
      <c r="Q20" s="3" t="str">
        <f t="shared" si="41"/>
        <v>HW</v>
      </c>
      <c r="R20" s="3" t="str">
        <f t="shared" si="42"/>
        <v>HL</v>
      </c>
      <c r="S20" s="3" t="str">
        <f t="shared" si="43"/>
        <v>HL</v>
      </c>
      <c r="T20" s="3" t="str">
        <f t="shared" si="44"/>
        <v>TT</v>
      </c>
      <c r="U20" s="3" t="str">
        <f t="shared" si="45"/>
        <v>O</v>
      </c>
      <c r="V20" s="3" t="str">
        <f t="shared" si="46"/>
        <v>U</v>
      </c>
      <c r="W20" s="3" t="str">
        <f t="shared" si="47"/>
        <v>O</v>
      </c>
      <c r="X20" s="3" t="str">
        <f t="shared" si="48"/>
        <v>U</v>
      </c>
      <c r="Z20">
        <v>58.5</v>
      </c>
      <c r="AA20" s="3" t="str">
        <f t="shared" si="2"/>
        <v>CHA/MIN</v>
      </c>
    </row>
    <row r="21" spans="1:27" x14ac:dyDescent="0.45">
      <c r="A21" s="3">
        <v>191026</v>
      </c>
      <c r="B21" s="1">
        <v>0.41666666666666669</v>
      </c>
      <c r="C21" t="s">
        <v>46</v>
      </c>
      <c r="D21" t="s">
        <v>43</v>
      </c>
      <c r="E21">
        <v>15</v>
      </c>
      <c r="F21">
        <v>24</v>
      </c>
      <c r="G21">
        <v>25</v>
      </c>
      <c r="H21">
        <v>31</v>
      </c>
      <c r="I21">
        <v>13</v>
      </c>
      <c r="J21">
        <v>21</v>
      </c>
      <c r="K21">
        <v>24</v>
      </c>
      <c r="L21">
        <v>17</v>
      </c>
      <c r="M21">
        <v>33</v>
      </c>
      <c r="N21" s="2">
        <v>12</v>
      </c>
      <c r="O21" s="3">
        <f t="shared" si="39"/>
        <v>108</v>
      </c>
      <c r="P21" s="3">
        <f t="shared" si="40"/>
        <v>107</v>
      </c>
      <c r="Q21" s="3" t="str">
        <f t="shared" si="41"/>
        <v>HL</v>
      </c>
      <c r="R21" s="3" t="str">
        <f t="shared" si="42"/>
        <v>TT</v>
      </c>
      <c r="S21" s="3" t="str">
        <f t="shared" si="43"/>
        <v>HW</v>
      </c>
      <c r="T21" s="3" t="str">
        <f t="shared" si="44"/>
        <v>HL</v>
      </c>
      <c r="U21" s="3" t="str">
        <f t="shared" si="45"/>
        <v>U</v>
      </c>
      <c r="V21" s="3" t="str">
        <f t="shared" si="46"/>
        <v>U</v>
      </c>
      <c r="W21" s="3" t="str">
        <f t="shared" si="47"/>
        <v>U</v>
      </c>
      <c r="X21" s="3" t="str">
        <f t="shared" si="48"/>
        <v>O</v>
      </c>
      <c r="Z21">
        <v>55</v>
      </c>
      <c r="AA21" s="3" t="str">
        <f t="shared" si="2"/>
        <v>DEN/PHO</v>
      </c>
    </row>
    <row r="22" spans="1:27" x14ac:dyDescent="0.45">
      <c r="A22" s="3">
        <v>191026</v>
      </c>
      <c r="B22" s="1">
        <v>0.47916666666666669</v>
      </c>
      <c r="C22" t="s">
        <v>26</v>
      </c>
      <c r="D22" t="s">
        <v>48</v>
      </c>
      <c r="E22">
        <v>24</v>
      </c>
      <c r="F22">
        <v>19</v>
      </c>
      <c r="G22">
        <v>31</v>
      </c>
      <c r="H22">
        <v>21</v>
      </c>
      <c r="J22">
        <v>17</v>
      </c>
      <c r="K22">
        <v>20</v>
      </c>
      <c r="L22">
        <v>18</v>
      </c>
      <c r="M22">
        <v>31</v>
      </c>
      <c r="O22" s="3">
        <f t="shared" si="39"/>
        <v>95</v>
      </c>
      <c r="P22" s="3">
        <f t="shared" si="40"/>
        <v>86</v>
      </c>
      <c r="Q22" s="3" t="str">
        <f t="shared" si="41"/>
        <v>HW</v>
      </c>
      <c r="R22" s="3" t="str">
        <f t="shared" si="42"/>
        <v>HL</v>
      </c>
      <c r="S22" s="3" t="str">
        <f t="shared" si="43"/>
        <v>HW</v>
      </c>
      <c r="T22" s="3" t="str">
        <f t="shared" si="44"/>
        <v>HL</v>
      </c>
      <c r="U22" s="3" t="str">
        <f t="shared" si="45"/>
        <v>U</v>
      </c>
      <c r="V22" s="3" t="str">
        <f t="shared" si="46"/>
        <v>U</v>
      </c>
      <c r="W22" s="3" t="str">
        <f t="shared" si="47"/>
        <v>U</v>
      </c>
      <c r="X22" s="3" t="str">
        <f t="shared" si="48"/>
        <v>U</v>
      </c>
      <c r="Z22">
        <v>53.5</v>
      </c>
      <c r="AA22" s="3" t="str">
        <f t="shared" si="2"/>
        <v>LAL/UTA</v>
      </c>
    </row>
    <row r="23" spans="1:27" x14ac:dyDescent="0.45">
      <c r="A23" s="3">
        <v>191026</v>
      </c>
      <c r="B23" s="1">
        <v>0.375</v>
      </c>
      <c r="C23" t="s">
        <v>38</v>
      </c>
      <c r="D23" t="s">
        <v>32</v>
      </c>
      <c r="E23">
        <v>29</v>
      </c>
      <c r="F23">
        <v>31</v>
      </c>
      <c r="G23">
        <v>21</v>
      </c>
      <c r="H23">
        <v>21</v>
      </c>
      <c r="J23">
        <v>25</v>
      </c>
      <c r="K23">
        <v>22</v>
      </c>
      <c r="L23">
        <v>32</v>
      </c>
      <c r="M23">
        <v>31</v>
      </c>
      <c r="O23" s="3">
        <f t="shared" si="39"/>
        <v>102</v>
      </c>
      <c r="P23" s="3">
        <f t="shared" si="40"/>
        <v>110</v>
      </c>
      <c r="Q23" s="3" t="str">
        <f t="shared" si="41"/>
        <v>HW</v>
      </c>
      <c r="R23" s="3" t="str">
        <f t="shared" si="42"/>
        <v>HW</v>
      </c>
      <c r="S23" s="3" t="str">
        <f t="shared" si="43"/>
        <v>HL</v>
      </c>
      <c r="T23" s="3" t="str">
        <f t="shared" si="44"/>
        <v>HL</v>
      </c>
      <c r="U23" s="3" t="str">
        <f t="shared" si="45"/>
        <v>U</v>
      </c>
      <c r="V23" s="3" t="str">
        <f t="shared" si="46"/>
        <v>U</v>
      </c>
      <c r="W23" s="3" t="str">
        <f t="shared" si="47"/>
        <v>U</v>
      </c>
      <c r="X23" s="3" t="str">
        <f t="shared" si="48"/>
        <v>U</v>
      </c>
      <c r="Z23">
        <v>55.5</v>
      </c>
      <c r="AA23" s="3" t="str">
        <f t="shared" si="2"/>
        <v>MEM/CHI</v>
      </c>
    </row>
    <row r="24" spans="1:27" x14ac:dyDescent="0.45">
      <c r="A24" s="3">
        <v>191026</v>
      </c>
      <c r="B24" s="1">
        <v>0.41666666666666669</v>
      </c>
      <c r="C24" t="s">
        <v>27</v>
      </c>
      <c r="D24" t="s">
        <v>33</v>
      </c>
      <c r="E24">
        <v>41</v>
      </c>
      <c r="F24">
        <v>23</v>
      </c>
      <c r="G24">
        <v>29</v>
      </c>
      <c r="H24">
        <v>23</v>
      </c>
      <c r="J24">
        <v>27</v>
      </c>
      <c r="K24">
        <v>45</v>
      </c>
      <c r="L24">
        <v>23</v>
      </c>
      <c r="M24">
        <v>28</v>
      </c>
      <c r="O24" s="3">
        <f t="shared" si="39"/>
        <v>116</v>
      </c>
      <c r="P24" s="3">
        <f t="shared" si="40"/>
        <v>123</v>
      </c>
      <c r="Q24" s="3" t="str">
        <f t="shared" si="41"/>
        <v>HW</v>
      </c>
      <c r="R24" s="3" t="str">
        <f t="shared" si="42"/>
        <v>HL</v>
      </c>
      <c r="S24" s="3" t="str">
        <f t="shared" si="43"/>
        <v>HW</v>
      </c>
      <c r="T24" s="3" t="str">
        <f t="shared" si="44"/>
        <v>HL</v>
      </c>
      <c r="U24" s="3" t="str">
        <f t="shared" si="45"/>
        <v>O</v>
      </c>
      <c r="V24" s="3" t="str">
        <f t="shared" si="46"/>
        <v>O</v>
      </c>
      <c r="W24" s="3" t="str">
        <f t="shared" si="47"/>
        <v>U</v>
      </c>
      <c r="X24" s="3" t="str">
        <f t="shared" si="48"/>
        <v>U</v>
      </c>
      <c r="Z24">
        <v>58.5</v>
      </c>
      <c r="AA24" s="3" t="str">
        <f t="shared" si="2"/>
        <v>NO/DAL</v>
      </c>
    </row>
    <row r="25" spans="1:27" x14ac:dyDescent="0.45">
      <c r="A25" s="3">
        <v>191026</v>
      </c>
      <c r="B25" s="1">
        <v>0.45833333333333331</v>
      </c>
      <c r="C25" t="s">
        <v>49</v>
      </c>
      <c r="D25" t="s">
        <v>34</v>
      </c>
      <c r="E25">
        <v>24</v>
      </c>
      <c r="F25">
        <v>22</v>
      </c>
      <c r="G25">
        <v>24</v>
      </c>
      <c r="H25">
        <v>15</v>
      </c>
      <c r="J25">
        <v>28</v>
      </c>
      <c r="K25">
        <v>24</v>
      </c>
      <c r="L25">
        <v>26</v>
      </c>
      <c r="M25">
        <v>19</v>
      </c>
      <c r="O25" s="3">
        <f t="shared" si="39"/>
        <v>85</v>
      </c>
      <c r="P25" s="3">
        <f t="shared" si="40"/>
        <v>97</v>
      </c>
      <c r="Q25" s="3" t="str">
        <f t="shared" si="41"/>
        <v>HL</v>
      </c>
      <c r="R25" s="3" t="str">
        <f t="shared" si="42"/>
        <v>HL</v>
      </c>
      <c r="S25" s="3" t="str">
        <f t="shared" si="43"/>
        <v>HL</v>
      </c>
      <c r="T25" s="3" t="str">
        <f t="shared" si="44"/>
        <v>HL</v>
      </c>
      <c r="U25" s="3" t="str">
        <f t="shared" si="45"/>
        <v>U</v>
      </c>
      <c r="V25" s="3" t="str">
        <f t="shared" si="46"/>
        <v>U</v>
      </c>
      <c r="W25" s="3" t="str">
        <f t="shared" si="47"/>
        <v>U</v>
      </c>
      <c r="X25" s="3" t="str">
        <f t="shared" si="48"/>
        <v>U</v>
      </c>
      <c r="Z25">
        <v>56.5</v>
      </c>
      <c r="AA25" s="3" t="str">
        <f t="shared" si="2"/>
        <v>OKC/WAS</v>
      </c>
    </row>
    <row r="26" spans="1:27" x14ac:dyDescent="0.45">
      <c r="A26" s="3">
        <v>191026</v>
      </c>
      <c r="B26" s="1">
        <v>0.47916666666666669</v>
      </c>
      <c r="C26" t="s">
        <v>44</v>
      </c>
      <c r="D26" t="s">
        <v>45</v>
      </c>
      <c r="E26">
        <v>27</v>
      </c>
      <c r="F26">
        <v>30</v>
      </c>
      <c r="G26">
        <v>27</v>
      </c>
      <c r="H26">
        <v>28</v>
      </c>
      <c r="J26">
        <v>25</v>
      </c>
      <c r="K26">
        <v>32</v>
      </c>
      <c r="L26">
        <v>37</v>
      </c>
      <c r="M26">
        <v>28</v>
      </c>
      <c r="O26" s="3">
        <f t="shared" si="39"/>
        <v>112</v>
      </c>
      <c r="P26" s="3">
        <f t="shared" si="40"/>
        <v>122</v>
      </c>
      <c r="Q26" s="3" t="str">
        <f t="shared" si="41"/>
        <v>HW</v>
      </c>
      <c r="R26" s="3" t="str">
        <f t="shared" si="42"/>
        <v>HL</v>
      </c>
      <c r="S26" s="3" t="str">
        <f t="shared" si="43"/>
        <v>HL</v>
      </c>
      <c r="T26" s="3" t="str">
        <f t="shared" si="44"/>
        <v>TT</v>
      </c>
      <c r="U26" s="3" t="str">
        <f t="shared" si="45"/>
        <v>U</v>
      </c>
      <c r="V26" s="3" t="str">
        <f t="shared" si="46"/>
        <v>O</v>
      </c>
      <c r="W26" s="3" t="str">
        <f t="shared" si="47"/>
        <v>O</v>
      </c>
      <c r="X26" s="3" t="str">
        <f t="shared" si="48"/>
        <v>O</v>
      </c>
      <c r="Z26">
        <v>55.5</v>
      </c>
      <c r="AA26" t="str">
        <f t="shared" si="2"/>
        <v>SAC/POR</v>
      </c>
    </row>
    <row r="27" spans="1:27" x14ac:dyDescent="0.45">
      <c r="A27" s="3">
        <v>191027</v>
      </c>
      <c r="B27" s="1">
        <v>0.25</v>
      </c>
      <c r="C27" t="s">
        <v>53</v>
      </c>
      <c r="D27" t="s">
        <v>37</v>
      </c>
      <c r="E27">
        <v>33</v>
      </c>
      <c r="F27">
        <v>37</v>
      </c>
      <c r="G27">
        <v>23</v>
      </c>
      <c r="H27">
        <v>28</v>
      </c>
      <c r="I27">
        <v>5</v>
      </c>
      <c r="J27">
        <v>29</v>
      </c>
      <c r="K27">
        <v>24</v>
      </c>
      <c r="L27">
        <v>29</v>
      </c>
      <c r="M27">
        <v>39</v>
      </c>
      <c r="N27" s="2">
        <v>10</v>
      </c>
      <c r="O27" s="3">
        <f t="shared" ref="O27:O36" si="49">SUM(E27:I27)</f>
        <v>126</v>
      </c>
      <c r="P27" s="3">
        <f t="shared" ref="P27:P52" si="50">SUM(J27:N27)</f>
        <v>131</v>
      </c>
      <c r="Q27" s="3" t="str">
        <f t="shared" ref="Q27:Q52" si="51">IF(E27=J27,"TT",IF(E27&gt;J27,"HW","HL"))</f>
        <v>HW</v>
      </c>
      <c r="R27" s="3" t="str">
        <f t="shared" ref="R27:R52" si="52">IF(F27=K27,"TT",IF(F27&gt;K27,"HW","HL"))</f>
        <v>HW</v>
      </c>
      <c r="S27" s="3" t="str">
        <f t="shared" ref="S27:S52" si="53">IF(G27=L27,"TT",IF(G27&gt;L27,"HW","HL"))</f>
        <v>HL</v>
      </c>
      <c r="T27" s="3" t="str">
        <f t="shared" ref="T27:T52" si="54">IF(H27=M27,"TT",IF(H27&gt;M27,"HW","HL"))</f>
        <v>HL</v>
      </c>
      <c r="U27" s="3" t="str">
        <f t="shared" ref="U27:U52" si="55">IF(SUM(E27,J27)=$Z27,"T",IF(SUM(E27,J27)&gt;$Z27,"O","U"))</f>
        <v>O</v>
      </c>
      <c r="V27" s="3" t="str">
        <f t="shared" ref="V27:V52" si="56">IF(SUM(F27,K27)=$Z27,"T",IF(SUM(F27,K27)&gt;$Z27,"O","U"))</f>
        <v>O</v>
      </c>
      <c r="W27" s="3" t="str">
        <f t="shared" ref="W27:W52" si="57">IF(SUM(G27,L27)=$Z27,"T",IF(SUM(G27,L27)&gt;$Z27,"O","U"))</f>
        <v>U</v>
      </c>
      <c r="X27" s="3" t="str">
        <f t="shared" ref="X27:X52" si="58">IF(SUM(H27,M27)=$Z27,"T",IF(SUM(H27,M27)&gt;$Z27,"O","U"))</f>
        <v>O</v>
      </c>
      <c r="Z27">
        <v>57.5</v>
      </c>
      <c r="AA27" t="str">
        <f t="shared" si="2"/>
        <v>MIL/MIA</v>
      </c>
    </row>
    <row r="28" spans="1:27" x14ac:dyDescent="0.45">
      <c r="A28" s="3">
        <v>191027</v>
      </c>
      <c r="B28" s="1">
        <v>0.33333333333333331</v>
      </c>
      <c r="C28" t="s">
        <v>36</v>
      </c>
      <c r="D28" t="s">
        <v>41</v>
      </c>
      <c r="E28">
        <v>29</v>
      </c>
      <c r="F28">
        <v>28</v>
      </c>
      <c r="G28">
        <v>26</v>
      </c>
      <c r="H28">
        <v>28</v>
      </c>
      <c r="J28">
        <v>28</v>
      </c>
      <c r="K28">
        <v>26</v>
      </c>
      <c r="L28">
        <v>29</v>
      </c>
      <c r="M28">
        <v>34</v>
      </c>
      <c r="O28" s="3">
        <f t="shared" si="49"/>
        <v>111</v>
      </c>
      <c r="P28" s="3">
        <f t="shared" si="50"/>
        <v>117</v>
      </c>
      <c r="Q28" s="3" t="str">
        <f t="shared" si="51"/>
        <v>HW</v>
      </c>
      <c r="R28" s="3" t="str">
        <f t="shared" si="52"/>
        <v>HW</v>
      </c>
      <c r="S28" s="3" t="str">
        <f t="shared" si="53"/>
        <v>HL</v>
      </c>
      <c r="T28" s="3" t="str">
        <f t="shared" si="54"/>
        <v>HL</v>
      </c>
      <c r="U28" s="3" t="str">
        <f t="shared" si="55"/>
        <v>O</v>
      </c>
      <c r="V28" s="3" t="str">
        <f t="shared" si="56"/>
        <v>U</v>
      </c>
      <c r="W28" s="3" t="str">
        <f t="shared" si="57"/>
        <v>T</v>
      </c>
      <c r="X28" s="3" t="str">
        <f t="shared" si="58"/>
        <v>O</v>
      </c>
      <c r="Z28">
        <v>55</v>
      </c>
      <c r="AA28" t="str">
        <f t="shared" si="2"/>
        <v>DET/PHI</v>
      </c>
    </row>
    <row r="29" spans="1:27" x14ac:dyDescent="0.45">
      <c r="A29" s="3">
        <v>191027</v>
      </c>
      <c r="B29" s="4">
        <v>0.35416666666666669</v>
      </c>
      <c r="C29" s="5" t="s">
        <v>50</v>
      </c>
      <c r="D29" s="5" t="s">
        <v>39</v>
      </c>
      <c r="E29">
        <v>23</v>
      </c>
      <c r="F29">
        <v>29</v>
      </c>
      <c r="G29">
        <v>25</v>
      </c>
      <c r="H29">
        <v>26</v>
      </c>
      <c r="J29">
        <v>26</v>
      </c>
      <c r="K29">
        <v>24</v>
      </c>
      <c r="L29">
        <v>25</v>
      </c>
      <c r="M29">
        <v>24</v>
      </c>
      <c r="O29" s="3">
        <f t="shared" si="49"/>
        <v>103</v>
      </c>
      <c r="P29" s="3">
        <f t="shared" si="50"/>
        <v>99</v>
      </c>
      <c r="Q29" s="3" t="str">
        <f t="shared" si="51"/>
        <v>HL</v>
      </c>
      <c r="R29" s="3" t="str">
        <f t="shared" si="52"/>
        <v>HW</v>
      </c>
      <c r="S29" s="3" t="str">
        <f t="shared" si="53"/>
        <v>TT</v>
      </c>
      <c r="T29" s="3" t="str">
        <f t="shared" si="54"/>
        <v>HW</v>
      </c>
      <c r="U29" s="3" t="str">
        <f t="shared" si="55"/>
        <v>U</v>
      </c>
      <c r="V29" s="3" t="str">
        <f t="shared" si="56"/>
        <v>U</v>
      </c>
      <c r="W29" s="3" t="str">
        <f t="shared" si="57"/>
        <v>U</v>
      </c>
      <c r="X29" s="3" t="str">
        <f t="shared" si="58"/>
        <v>U</v>
      </c>
      <c r="Z29">
        <v>56</v>
      </c>
      <c r="AA29" t="str">
        <f t="shared" si="2"/>
        <v>ATL/ORL</v>
      </c>
    </row>
    <row r="30" spans="1:27" x14ac:dyDescent="0.45">
      <c r="A30" s="3">
        <v>191027</v>
      </c>
      <c r="B30" s="1">
        <v>0.375</v>
      </c>
      <c r="C30" t="s">
        <v>54</v>
      </c>
      <c r="D30" t="s">
        <v>42</v>
      </c>
      <c r="E30">
        <v>24</v>
      </c>
      <c r="F30">
        <v>27</v>
      </c>
      <c r="G30">
        <v>25</v>
      </c>
      <c r="H30">
        <v>19</v>
      </c>
      <c r="J30">
        <v>22</v>
      </c>
      <c r="K30">
        <v>24</v>
      </c>
      <c r="L30">
        <v>36</v>
      </c>
      <c r="M30">
        <v>36</v>
      </c>
      <c r="O30" s="3">
        <f t="shared" si="49"/>
        <v>95</v>
      </c>
      <c r="P30" s="3">
        <f t="shared" si="50"/>
        <v>118</v>
      </c>
      <c r="Q30" s="3" t="str">
        <f t="shared" si="51"/>
        <v>HW</v>
      </c>
      <c r="R30" s="3" t="str">
        <f t="shared" si="52"/>
        <v>HW</v>
      </c>
      <c r="S30" s="3" t="str">
        <f t="shared" si="53"/>
        <v>HL</v>
      </c>
      <c r="T30" s="3" t="str">
        <f t="shared" si="54"/>
        <v>HL</v>
      </c>
      <c r="U30" s="3" t="str">
        <f t="shared" si="55"/>
        <v>U</v>
      </c>
      <c r="V30" s="3" t="str">
        <f t="shared" si="56"/>
        <v>U</v>
      </c>
      <c r="W30" s="3" t="str">
        <f t="shared" si="57"/>
        <v>O</v>
      </c>
      <c r="X30" s="3" t="str">
        <f t="shared" si="58"/>
        <v>O</v>
      </c>
      <c r="Z30">
        <v>53.5</v>
      </c>
      <c r="AA30" t="str">
        <f t="shared" si="2"/>
        <v>NY/BOS</v>
      </c>
    </row>
    <row r="31" spans="1:27" x14ac:dyDescent="0.45">
      <c r="A31" s="3">
        <v>191027</v>
      </c>
      <c r="B31" s="1">
        <v>0.375</v>
      </c>
      <c r="C31" t="s">
        <v>32</v>
      </c>
      <c r="D31" t="s">
        <v>28</v>
      </c>
      <c r="E31">
        <v>23</v>
      </c>
      <c r="F31">
        <v>17</v>
      </c>
      <c r="G31">
        <v>22</v>
      </c>
      <c r="H31">
        <v>22</v>
      </c>
      <c r="J31">
        <v>24</v>
      </c>
      <c r="K31">
        <v>24</v>
      </c>
      <c r="L31">
        <v>36</v>
      </c>
      <c r="M31">
        <v>24</v>
      </c>
      <c r="O31" s="3">
        <f t="shared" si="49"/>
        <v>84</v>
      </c>
      <c r="P31" s="3">
        <f t="shared" si="50"/>
        <v>108</v>
      </c>
      <c r="Q31" s="3" t="str">
        <f t="shared" si="51"/>
        <v>HL</v>
      </c>
      <c r="R31" s="3" t="str">
        <f t="shared" si="52"/>
        <v>HL</v>
      </c>
      <c r="S31" s="3" t="str">
        <f t="shared" si="53"/>
        <v>HL</v>
      </c>
      <c r="T31" s="3" t="str">
        <f t="shared" si="54"/>
        <v>HL</v>
      </c>
      <c r="U31" s="3" t="str">
        <f t="shared" si="55"/>
        <v>U</v>
      </c>
      <c r="V31" s="3" t="str">
        <f t="shared" si="56"/>
        <v>U</v>
      </c>
      <c r="W31" s="3" t="str">
        <f t="shared" si="57"/>
        <v>O</v>
      </c>
      <c r="X31" s="3" t="str">
        <f t="shared" si="58"/>
        <v>U</v>
      </c>
      <c r="Z31">
        <v>57</v>
      </c>
      <c r="AA31" t="str">
        <f t="shared" si="2"/>
        <v>CHI/TOR</v>
      </c>
    </row>
    <row r="32" spans="1:27" x14ac:dyDescent="0.45">
      <c r="A32" s="3">
        <v>191027</v>
      </c>
      <c r="B32" s="1">
        <v>0.375</v>
      </c>
      <c r="C32" t="s">
        <v>40</v>
      </c>
      <c r="D32" t="s">
        <v>35</v>
      </c>
      <c r="E32">
        <v>26</v>
      </c>
      <c r="F32">
        <v>39</v>
      </c>
      <c r="G32">
        <v>25</v>
      </c>
      <c r="H32">
        <v>20</v>
      </c>
      <c r="J32">
        <v>28</v>
      </c>
      <c r="K32">
        <v>20</v>
      </c>
      <c r="L32">
        <v>26</v>
      </c>
      <c r="M32">
        <v>25</v>
      </c>
      <c r="O32" s="3">
        <f t="shared" si="49"/>
        <v>110</v>
      </c>
      <c r="P32" s="3">
        <f t="shared" si="50"/>
        <v>99</v>
      </c>
      <c r="Q32" s="3" t="str">
        <f t="shared" si="51"/>
        <v>HL</v>
      </c>
      <c r="R32" s="3" t="str">
        <f t="shared" si="52"/>
        <v>HW</v>
      </c>
      <c r="S32" s="3" t="str">
        <f t="shared" si="53"/>
        <v>HL</v>
      </c>
      <c r="T32" s="3" t="str">
        <f t="shared" si="54"/>
        <v>HL</v>
      </c>
      <c r="U32" s="3" t="str">
        <f t="shared" si="55"/>
        <v>U</v>
      </c>
      <c r="V32" s="3" t="str">
        <f t="shared" si="56"/>
        <v>O</v>
      </c>
      <c r="W32" s="3" t="str">
        <f t="shared" si="57"/>
        <v>U</v>
      </c>
      <c r="X32" s="3" t="str">
        <f t="shared" si="58"/>
        <v>U</v>
      </c>
      <c r="Z32">
        <v>55</v>
      </c>
      <c r="AA32" t="str">
        <f t="shared" si="2"/>
        <v>CLE/IND</v>
      </c>
    </row>
    <row r="33" spans="1:27" x14ac:dyDescent="0.45">
      <c r="A33" s="3">
        <v>191027</v>
      </c>
      <c r="B33" s="1">
        <v>0.375</v>
      </c>
      <c r="C33" t="s">
        <v>52</v>
      </c>
      <c r="D33" t="s">
        <v>27</v>
      </c>
      <c r="E33">
        <v>29</v>
      </c>
      <c r="F33">
        <v>32</v>
      </c>
      <c r="G33">
        <v>36</v>
      </c>
      <c r="H33">
        <v>29</v>
      </c>
      <c r="J33">
        <v>24</v>
      </c>
      <c r="K33">
        <v>37</v>
      </c>
      <c r="L33">
        <v>39</v>
      </c>
      <c r="M33">
        <v>23</v>
      </c>
      <c r="O33" s="3">
        <f t="shared" si="49"/>
        <v>126</v>
      </c>
      <c r="P33" s="3">
        <f t="shared" si="50"/>
        <v>123</v>
      </c>
      <c r="Q33" s="3" t="str">
        <f t="shared" si="51"/>
        <v>HW</v>
      </c>
      <c r="R33" s="3" t="str">
        <f t="shared" si="52"/>
        <v>HL</v>
      </c>
      <c r="S33" s="3" t="str">
        <f t="shared" si="53"/>
        <v>HL</v>
      </c>
      <c r="T33" s="3" t="str">
        <f t="shared" si="54"/>
        <v>HW</v>
      </c>
      <c r="U33" s="3" t="str">
        <f t="shared" si="55"/>
        <v>U</v>
      </c>
      <c r="V33" s="3" t="str">
        <f t="shared" si="56"/>
        <v>O</v>
      </c>
      <c r="W33" s="3" t="str">
        <f t="shared" si="57"/>
        <v>O</v>
      </c>
      <c r="X33" s="3" t="str">
        <f t="shared" si="58"/>
        <v>U</v>
      </c>
      <c r="Z33">
        <v>61</v>
      </c>
      <c r="AA33" t="str">
        <f t="shared" si="2"/>
        <v>HOU/NO</v>
      </c>
    </row>
    <row r="34" spans="1:27" x14ac:dyDescent="0.45">
      <c r="A34" s="3">
        <v>191027</v>
      </c>
      <c r="B34" s="1">
        <v>0.39583333333333331</v>
      </c>
      <c r="C34" t="s">
        <v>56</v>
      </c>
      <c r="D34" t="s">
        <v>34</v>
      </c>
      <c r="E34">
        <v>30</v>
      </c>
      <c r="F34">
        <v>30</v>
      </c>
      <c r="G34">
        <v>32</v>
      </c>
      <c r="H34">
        <v>32</v>
      </c>
      <c r="J34">
        <v>26</v>
      </c>
      <c r="K34">
        <v>34</v>
      </c>
      <c r="L34">
        <v>30</v>
      </c>
      <c r="M34">
        <v>32</v>
      </c>
      <c r="O34" s="3">
        <f t="shared" si="49"/>
        <v>124</v>
      </c>
      <c r="P34" s="3">
        <f t="shared" si="50"/>
        <v>122</v>
      </c>
      <c r="Q34" s="3" t="str">
        <f t="shared" si="51"/>
        <v>HW</v>
      </c>
      <c r="R34" s="3" t="str">
        <f t="shared" si="52"/>
        <v>HL</v>
      </c>
      <c r="S34" s="3" t="str">
        <f t="shared" si="53"/>
        <v>HW</v>
      </c>
      <c r="T34" s="3" t="str">
        <f t="shared" si="54"/>
        <v>TT</v>
      </c>
      <c r="U34" s="3" t="str">
        <f t="shared" si="55"/>
        <v>U</v>
      </c>
      <c r="V34" s="3" t="str">
        <f t="shared" si="56"/>
        <v>O</v>
      </c>
      <c r="W34" s="3" t="str">
        <f t="shared" si="57"/>
        <v>O</v>
      </c>
      <c r="X34" s="3" t="str">
        <f t="shared" si="58"/>
        <v>O</v>
      </c>
      <c r="Z34">
        <v>56.5</v>
      </c>
      <c r="AA34" t="str">
        <f t="shared" si="2"/>
        <v>SAS/WAS</v>
      </c>
    </row>
    <row r="35" spans="1:27" x14ac:dyDescent="0.45">
      <c r="A35" s="3">
        <v>191027</v>
      </c>
      <c r="B35" s="4">
        <v>0.41666666666666669</v>
      </c>
      <c r="C35" s="5" t="s">
        <v>48</v>
      </c>
      <c r="D35" s="5" t="s">
        <v>44</v>
      </c>
      <c r="E35">
        <v>35</v>
      </c>
      <c r="F35">
        <v>31</v>
      </c>
      <c r="G35">
        <v>27</v>
      </c>
      <c r="H35">
        <v>20</v>
      </c>
      <c r="J35">
        <v>25</v>
      </c>
      <c r="K35">
        <v>16</v>
      </c>
      <c r="L35">
        <v>17</v>
      </c>
      <c r="M35">
        <v>23</v>
      </c>
      <c r="O35" s="3">
        <f t="shared" si="49"/>
        <v>113</v>
      </c>
      <c r="P35" s="3">
        <f t="shared" si="50"/>
        <v>81</v>
      </c>
      <c r="Q35" s="3" t="str">
        <f t="shared" si="51"/>
        <v>HW</v>
      </c>
      <c r="R35" s="3" t="str">
        <f t="shared" si="52"/>
        <v>HW</v>
      </c>
      <c r="S35" s="3" t="str">
        <f t="shared" si="53"/>
        <v>HW</v>
      </c>
      <c r="T35" s="3" t="str">
        <f t="shared" si="54"/>
        <v>HL</v>
      </c>
      <c r="U35" s="3" t="str">
        <f t="shared" si="55"/>
        <v>O</v>
      </c>
      <c r="V35" s="3" t="str">
        <f t="shared" si="56"/>
        <v>U</v>
      </c>
      <c r="W35" s="3" t="str">
        <f t="shared" si="57"/>
        <v>U</v>
      </c>
      <c r="X35" s="3" t="str">
        <f t="shared" si="58"/>
        <v>U</v>
      </c>
      <c r="Z35">
        <v>57</v>
      </c>
      <c r="AA35" t="str">
        <f t="shared" si="2"/>
        <v>UTA/SAC</v>
      </c>
    </row>
    <row r="36" spans="1:27" x14ac:dyDescent="0.45">
      <c r="A36" s="3">
        <v>191027</v>
      </c>
      <c r="B36" s="4">
        <v>0.45833333333333331</v>
      </c>
      <c r="C36" s="5" t="s">
        <v>43</v>
      </c>
      <c r="D36" s="5" t="s">
        <v>25</v>
      </c>
      <c r="E36">
        <v>26</v>
      </c>
      <c r="F36">
        <v>29</v>
      </c>
      <c r="G36">
        <v>36</v>
      </c>
      <c r="H36">
        <v>39</v>
      </c>
      <c r="J36">
        <v>22</v>
      </c>
      <c r="K36">
        <v>33</v>
      </c>
      <c r="L36">
        <v>30</v>
      </c>
      <c r="M36">
        <v>37</v>
      </c>
      <c r="O36" s="3">
        <f t="shared" si="49"/>
        <v>130</v>
      </c>
      <c r="P36" s="3">
        <f t="shared" si="50"/>
        <v>122</v>
      </c>
      <c r="Q36" s="3" t="str">
        <f t="shared" si="51"/>
        <v>HW</v>
      </c>
      <c r="R36" s="3" t="str">
        <f t="shared" si="52"/>
        <v>HL</v>
      </c>
      <c r="S36" s="3" t="str">
        <f t="shared" si="53"/>
        <v>HW</v>
      </c>
      <c r="T36" s="3" t="str">
        <f t="shared" si="54"/>
        <v>HW</v>
      </c>
      <c r="U36" s="3" t="str">
        <f t="shared" si="55"/>
        <v>U</v>
      </c>
      <c r="V36" s="3" t="str">
        <f t="shared" si="56"/>
        <v>O</v>
      </c>
      <c r="W36" s="3" t="str">
        <f t="shared" si="57"/>
        <v>O</v>
      </c>
      <c r="X36" s="3" t="str">
        <f t="shared" si="58"/>
        <v>O</v>
      </c>
      <c r="Z36">
        <v>58.5</v>
      </c>
      <c r="AA36" t="str">
        <f t="shared" si="2"/>
        <v>PHO/LAC</v>
      </c>
    </row>
    <row r="37" spans="1:27" x14ac:dyDescent="0.45">
      <c r="A37" s="3">
        <v>191028</v>
      </c>
      <c r="B37" s="7">
        <v>0.1875</v>
      </c>
      <c r="C37" s="3" t="s">
        <v>49</v>
      </c>
      <c r="D37" s="3" t="s">
        <v>51</v>
      </c>
      <c r="E37" s="3">
        <v>35</v>
      </c>
      <c r="F37" s="3">
        <v>35</v>
      </c>
      <c r="G37" s="3">
        <v>35</v>
      </c>
      <c r="H37" s="3">
        <v>15</v>
      </c>
      <c r="I37" s="3"/>
      <c r="J37" s="3">
        <v>20</v>
      </c>
      <c r="K37" s="3">
        <v>17</v>
      </c>
      <c r="L37" s="3">
        <v>31</v>
      </c>
      <c r="M37" s="3">
        <v>24</v>
      </c>
      <c r="N37" s="3"/>
      <c r="O37" s="3">
        <f t="shared" ref="O37:O52" si="59">SUM(E37:I37)</f>
        <v>120</v>
      </c>
      <c r="P37" s="3">
        <f t="shared" si="50"/>
        <v>92</v>
      </c>
      <c r="Q37" s="3" t="str">
        <f t="shared" si="51"/>
        <v>HW</v>
      </c>
      <c r="R37" s="3" t="str">
        <f t="shared" si="52"/>
        <v>HW</v>
      </c>
      <c r="S37" s="3" t="str">
        <f t="shared" si="53"/>
        <v>HW</v>
      </c>
      <c r="T37" s="3" t="str">
        <f t="shared" si="54"/>
        <v>HL</v>
      </c>
      <c r="U37" s="3" t="str">
        <f t="shared" si="55"/>
        <v>U</v>
      </c>
      <c r="V37" s="3" t="str">
        <f t="shared" si="56"/>
        <v>U</v>
      </c>
      <c r="W37" s="3" t="str">
        <f t="shared" si="57"/>
        <v>O</v>
      </c>
      <c r="X37" s="3" t="str">
        <f t="shared" si="58"/>
        <v>U</v>
      </c>
      <c r="Y37" s="3"/>
      <c r="Z37" s="3">
        <v>57.5</v>
      </c>
      <c r="AA37" t="s">
        <v>90</v>
      </c>
    </row>
    <row r="38" spans="1:27" x14ac:dyDescent="0.45">
      <c r="A38" s="3">
        <v>191028</v>
      </c>
      <c r="B38" s="4">
        <v>0.29166666666666669</v>
      </c>
      <c r="C38" s="3" t="s">
        <v>38</v>
      </c>
      <c r="D38" s="3" t="s">
        <v>30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59"/>
        <v>134</v>
      </c>
      <c r="P38" s="3">
        <f t="shared" si="50"/>
        <v>133</v>
      </c>
      <c r="Q38" s="3" t="str">
        <f t="shared" si="51"/>
        <v>HW</v>
      </c>
      <c r="R38" s="3" t="str">
        <f t="shared" si="52"/>
        <v>HL</v>
      </c>
      <c r="S38" s="3" t="str">
        <f t="shared" si="53"/>
        <v>HL</v>
      </c>
      <c r="T38" s="3" t="str">
        <f t="shared" si="54"/>
        <v>HW</v>
      </c>
      <c r="U38" s="3" t="str">
        <f t="shared" si="55"/>
        <v>O</v>
      </c>
      <c r="V38" s="3" t="str">
        <f t="shared" si="56"/>
        <v>U</v>
      </c>
      <c r="W38" s="3" t="str">
        <f t="shared" si="57"/>
        <v>O</v>
      </c>
      <c r="X38" s="3" t="str">
        <f t="shared" si="58"/>
        <v>U</v>
      </c>
      <c r="Y38" s="3"/>
      <c r="Z38" s="3">
        <v>54.5</v>
      </c>
      <c r="AA38" t="s">
        <v>91</v>
      </c>
    </row>
    <row r="39" spans="1:27" x14ac:dyDescent="0.45">
      <c r="A39" s="3">
        <v>191028</v>
      </c>
      <c r="B39" s="1">
        <v>0.33333333333333331</v>
      </c>
      <c r="C39" s="3" t="s">
        <v>33</v>
      </c>
      <c r="D39" s="3" t="s">
        <v>45</v>
      </c>
      <c r="E39" s="3">
        <v>40</v>
      </c>
      <c r="F39" s="3">
        <v>31</v>
      </c>
      <c r="G39" s="3">
        <v>24</v>
      </c>
      <c r="H39" s="3">
        <v>24</v>
      </c>
      <c r="I39" s="3"/>
      <c r="J39" s="3">
        <v>25</v>
      </c>
      <c r="K39" s="3">
        <v>34</v>
      </c>
      <c r="L39" s="3">
        <v>36</v>
      </c>
      <c r="M39" s="3">
        <v>26</v>
      </c>
      <c r="N39" s="3"/>
      <c r="O39" s="3">
        <f t="shared" si="59"/>
        <v>119</v>
      </c>
      <c r="P39" s="3">
        <f t="shared" si="50"/>
        <v>121</v>
      </c>
      <c r="Q39" s="3" t="str">
        <f t="shared" si="51"/>
        <v>HW</v>
      </c>
      <c r="R39" s="3" t="str">
        <f t="shared" si="52"/>
        <v>HL</v>
      </c>
      <c r="S39" s="3" t="str">
        <f t="shared" si="53"/>
        <v>HL</v>
      </c>
      <c r="T39" s="3" t="str">
        <f t="shared" si="54"/>
        <v>HL</v>
      </c>
      <c r="U39" s="3" t="str">
        <f t="shared" si="55"/>
        <v>O</v>
      </c>
      <c r="V39" s="3" t="str">
        <f t="shared" si="56"/>
        <v>O</v>
      </c>
      <c r="W39" s="3" t="str">
        <f t="shared" si="57"/>
        <v>O</v>
      </c>
      <c r="X39" s="3" t="str">
        <f t="shared" si="58"/>
        <v>U</v>
      </c>
      <c r="Y39" s="3"/>
      <c r="Z39" s="3">
        <v>54</v>
      </c>
      <c r="AA39" t="s">
        <v>92</v>
      </c>
    </row>
    <row r="40" spans="1:27" x14ac:dyDescent="0.45">
      <c r="A40" s="3">
        <v>191028</v>
      </c>
      <c r="B40" s="1">
        <v>0.33333333333333331</v>
      </c>
      <c r="C40" s="3" t="s">
        <v>29</v>
      </c>
      <c r="D40" s="6" t="s">
        <v>37</v>
      </c>
      <c r="E40" s="3">
        <v>36</v>
      </c>
      <c r="F40" s="3">
        <v>19</v>
      </c>
      <c r="G40" s="3">
        <v>22</v>
      </c>
      <c r="H40" s="3">
        <v>39</v>
      </c>
      <c r="I40" s="3"/>
      <c r="J40" s="3">
        <v>23</v>
      </c>
      <c r="K40" s="3">
        <v>34</v>
      </c>
      <c r="L40" s="3">
        <v>27</v>
      </c>
      <c r="M40" s="3">
        <v>25</v>
      </c>
      <c r="N40" s="3"/>
      <c r="O40" s="3">
        <f t="shared" si="59"/>
        <v>116</v>
      </c>
      <c r="P40" s="3">
        <f t="shared" si="50"/>
        <v>109</v>
      </c>
      <c r="Q40" s="3" t="str">
        <f t="shared" si="51"/>
        <v>HW</v>
      </c>
      <c r="R40" s="3" t="str">
        <f t="shared" si="52"/>
        <v>HL</v>
      </c>
      <c r="S40" s="3" t="str">
        <f t="shared" si="53"/>
        <v>HL</v>
      </c>
      <c r="T40" s="3" t="str">
        <f t="shared" si="54"/>
        <v>HW</v>
      </c>
      <c r="U40" s="3" t="str">
        <f t="shared" si="55"/>
        <v>O</v>
      </c>
      <c r="V40" s="3" t="str">
        <f t="shared" si="56"/>
        <v>U</v>
      </c>
      <c r="W40" s="3" t="str">
        <f t="shared" si="57"/>
        <v>U</v>
      </c>
      <c r="X40" s="3" t="str">
        <f t="shared" si="58"/>
        <v>O</v>
      </c>
      <c r="Y40" s="3"/>
      <c r="Z40" s="3">
        <v>54</v>
      </c>
      <c r="AA40" t="s">
        <v>93</v>
      </c>
    </row>
    <row r="41" spans="1:27" x14ac:dyDescent="0.45">
      <c r="A41" s="3">
        <v>191028</v>
      </c>
      <c r="B41" s="4">
        <v>0.4375</v>
      </c>
      <c r="C41" s="3" t="s">
        <v>26</v>
      </c>
      <c r="D41" s="3" t="s">
        <v>31</v>
      </c>
      <c r="E41" s="3">
        <v>30</v>
      </c>
      <c r="F41" s="3">
        <v>33</v>
      </c>
      <c r="G41" s="3">
        <v>24</v>
      </c>
      <c r="H41" s="3">
        <v>33</v>
      </c>
      <c r="I41" s="3"/>
      <c r="J41" s="3">
        <v>28</v>
      </c>
      <c r="K41" s="3">
        <v>34</v>
      </c>
      <c r="L41" s="3">
        <v>18</v>
      </c>
      <c r="M41" s="3">
        <v>21</v>
      </c>
      <c r="N41" s="3"/>
      <c r="O41" s="3">
        <f t="shared" si="59"/>
        <v>120</v>
      </c>
      <c r="P41" s="3">
        <f t="shared" si="50"/>
        <v>101</v>
      </c>
      <c r="Q41" s="3" t="str">
        <f t="shared" si="51"/>
        <v>HW</v>
      </c>
      <c r="R41" s="3" t="str">
        <f t="shared" si="52"/>
        <v>HL</v>
      </c>
      <c r="S41" s="3" t="str">
        <f t="shared" si="53"/>
        <v>HW</v>
      </c>
      <c r="T41" s="3" t="str">
        <f t="shared" si="54"/>
        <v>HW</v>
      </c>
      <c r="U41" s="3" t="str">
        <f t="shared" si="55"/>
        <v>O</v>
      </c>
      <c r="V41" s="3" t="str">
        <f t="shared" si="56"/>
        <v>O</v>
      </c>
      <c r="W41" s="3" t="str">
        <f t="shared" si="57"/>
        <v>U</v>
      </c>
      <c r="X41" s="3" t="str">
        <f t="shared" si="58"/>
        <v>U</v>
      </c>
      <c r="Y41" s="3"/>
      <c r="Z41" s="3">
        <v>56</v>
      </c>
      <c r="AA41" t="s">
        <v>94</v>
      </c>
    </row>
    <row r="42" spans="1:27" x14ac:dyDescent="0.45">
      <c r="A42" s="3">
        <v>191029</v>
      </c>
      <c r="B42" s="1">
        <v>0.33333333333333331</v>
      </c>
      <c r="C42" s="3" t="s">
        <v>36</v>
      </c>
      <c r="D42" s="3" t="s">
        <v>35</v>
      </c>
      <c r="E42" s="3">
        <v>33</v>
      </c>
      <c r="F42" s="3">
        <v>26</v>
      </c>
      <c r="G42" s="3">
        <v>19</v>
      </c>
      <c r="H42" s="3">
        <v>18</v>
      </c>
      <c r="I42" s="3"/>
      <c r="J42" s="3">
        <v>25</v>
      </c>
      <c r="K42" s="3">
        <v>28</v>
      </c>
      <c r="L42" s="3">
        <v>18</v>
      </c>
      <c r="M42" s="3">
        <v>23</v>
      </c>
      <c r="N42" s="3"/>
      <c r="O42" s="3">
        <f t="shared" si="59"/>
        <v>96</v>
      </c>
      <c r="P42" s="3">
        <f t="shared" si="50"/>
        <v>94</v>
      </c>
      <c r="Q42" s="3" t="str">
        <f t="shared" si="51"/>
        <v>HW</v>
      </c>
      <c r="R42" s="3" t="str">
        <f t="shared" si="52"/>
        <v>HL</v>
      </c>
      <c r="S42" s="3" t="str">
        <f t="shared" si="53"/>
        <v>HW</v>
      </c>
      <c r="T42" s="3" t="str">
        <f t="shared" si="54"/>
        <v>HL</v>
      </c>
      <c r="U42" s="3" t="str">
        <f t="shared" si="55"/>
        <v>O</v>
      </c>
      <c r="V42" s="3" t="str">
        <f t="shared" si="56"/>
        <v>U</v>
      </c>
      <c r="W42" s="3" t="str">
        <f t="shared" si="57"/>
        <v>U</v>
      </c>
      <c r="X42" s="3" t="str">
        <f t="shared" si="58"/>
        <v>U</v>
      </c>
      <c r="Y42" s="3"/>
      <c r="Z42" s="3">
        <v>54.5</v>
      </c>
      <c r="AA42" s="3" t="str">
        <f t="shared" ref="AA42:AA105" si="60">C42&amp;"/"&amp;D42</f>
        <v>DET/IND</v>
      </c>
    </row>
    <row r="43" spans="1:27" x14ac:dyDescent="0.45">
      <c r="A43" s="3">
        <v>191029</v>
      </c>
      <c r="B43" s="1">
        <v>0.33333333333333331</v>
      </c>
      <c r="C43" s="3" t="s">
        <v>54</v>
      </c>
      <c r="D43" s="3" t="s">
        <v>32</v>
      </c>
      <c r="E43" s="3">
        <v>15</v>
      </c>
      <c r="F43" s="3">
        <v>27</v>
      </c>
      <c r="G43" s="3">
        <v>30</v>
      </c>
      <c r="H43" s="3">
        <v>33</v>
      </c>
      <c r="I43" s="3"/>
      <c r="J43" s="3">
        <v>33</v>
      </c>
      <c r="K43" s="3">
        <v>19</v>
      </c>
      <c r="L43" s="3">
        <v>28</v>
      </c>
      <c r="M43" s="3">
        <v>18</v>
      </c>
      <c r="N43" s="3"/>
      <c r="O43" s="3">
        <f t="shared" si="59"/>
        <v>105</v>
      </c>
      <c r="P43" s="3">
        <f t="shared" si="50"/>
        <v>98</v>
      </c>
      <c r="Q43" s="3" t="str">
        <f t="shared" si="51"/>
        <v>HL</v>
      </c>
      <c r="R43" s="3" t="str">
        <f t="shared" si="52"/>
        <v>HW</v>
      </c>
      <c r="S43" s="3" t="str">
        <f t="shared" si="53"/>
        <v>HW</v>
      </c>
      <c r="T43" s="3" t="str">
        <f t="shared" si="54"/>
        <v>HW</v>
      </c>
      <c r="U43" s="3" t="str">
        <f t="shared" si="55"/>
        <v>U</v>
      </c>
      <c r="V43" s="3" t="str">
        <f t="shared" si="56"/>
        <v>U</v>
      </c>
      <c r="W43" s="3" t="str">
        <f t="shared" si="57"/>
        <v>O</v>
      </c>
      <c r="X43" s="3" t="str">
        <f t="shared" si="58"/>
        <v>U</v>
      </c>
      <c r="Y43" s="3"/>
      <c r="Z43" s="3">
        <v>54.5</v>
      </c>
      <c r="AA43" s="3" t="str">
        <f t="shared" si="60"/>
        <v>NY/CHI</v>
      </c>
    </row>
    <row r="44" spans="1:27" x14ac:dyDescent="0.45">
      <c r="A44" s="3">
        <v>191029</v>
      </c>
      <c r="B44" s="1">
        <v>0.35416666666666669</v>
      </c>
      <c r="C44" s="3" t="s">
        <v>50</v>
      </c>
      <c r="D44" s="3" t="s">
        <v>41</v>
      </c>
      <c r="E44" s="3">
        <v>40</v>
      </c>
      <c r="F44" s="3">
        <v>25</v>
      </c>
      <c r="G44" s="3">
        <v>18</v>
      </c>
      <c r="H44" s="3">
        <v>20</v>
      </c>
      <c r="I44" s="3"/>
      <c r="J44" s="3">
        <v>31</v>
      </c>
      <c r="K44" s="3">
        <v>32</v>
      </c>
      <c r="L44" s="3">
        <v>19</v>
      </c>
      <c r="M44" s="3">
        <v>23</v>
      </c>
      <c r="N44" s="3"/>
      <c r="O44" s="3">
        <f t="shared" si="59"/>
        <v>103</v>
      </c>
      <c r="P44" s="3">
        <f t="shared" si="50"/>
        <v>105</v>
      </c>
      <c r="Q44" s="3" t="str">
        <f t="shared" si="51"/>
        <v>HW</v>
      </c>
      <c r="R44" s="3" t="str">
        <f t="shared" si="52"/>
        <v>HL</v>
      </c>
      <c r="S44" s="3" t="str">
        <f t="shared" si="53"/>
        <v>HL</v>
      </c>
      <c r="T44" s="3" t="str">
        <f t="shared" si="54"/>
        <v>HL</v>
      </c>
      <c r="U44" s="3" t="str">
        <f t="shared" si="55"/>
        <v>O</v>
      </c>
      <c r="V44" s="3" t="str">
        <f t="shared" si="56"/>
        <v>U</v>
      </c>
      <c r="W44" s="3" t="str">
        <f t="shared" si="57"/>
        <v>U</v>
      </c>
      <c r="X44" s="3" t="str">
        <f t="shared" si="58"/>
        <v>U</v>
      </c>
      <c r="Y44" s="3"/>
      <c r="Z44" s="3">
        <v>57.5</v>
      </c>
      <c r="AA44" s="3" t="str">
        <f t="shared" si="60"/>
        <v>ATL/PHI</v>
      </c>
    </row>
    <row r="45" spans="1:27" x14ac:dyDescent="0.45">
      <c r="A45" s="3">
        <v>191029</v>
      </c>
      <c r="B45" s="1">
        <v>0.35416666666666669</v>
      </c>
      <c r="C45" s="3" t="s">
        <v>28</v>
      </c>
      <c r="D45" s="3" t="s">
        <v>39</v>
      </c>
      <c r="E45" s="3">
        <v>31</v>
      </c>
      <c r="F45" s="3">
        <v>20</v>
      </c>
      <c r="G45" s="3">
        <v>27</v>
      </c>
      <c r="H45" s="3">
        <v>26</v>
      </c>
      <c r="I45" s="3"/>
      <c r="J45" s="3">
        <v>22</v>
      </c>
      <c r="K45" s="3">
        <v>24</v>
      </c>
      <c r="L45" s="3">
        <v>21</v>
      </c>
      <c r="M45" s="3">
        <v>28</v>
      </c>
      <c r="N45" s="3"/>
      <c r="O45" s="3">
        <f t="shared" si="59"/>
        <v>104</v>
      </c>
      <c r="P45" s="3">
        <f t="shared" si="50"/>
        <v>95</v>
      </c>
      <c r="Q45" s="3" t="str">
        <f t="shared" si="51"/>
        <v>HW</v>
      </c>
      <c r="R45" s="3" t="str">
        <f t="shared" si="52"/>
        <v>HL</v>
      </c>
      <c r="S45" s="3" t="str">
        <f t="shared" si="53"/>
        <v>HW</v>
      </c>
      <c r="T45" s="3" t="str">
        <f t="shared" si="54"/>
        <v>HL</v>
      </c>
      <c r="U45" s="3" t="str">
        <f t="shared" si="55"/>
        <v>U</v>
      </c>
      <c r="V45" s="3" t="str">
        <f t="shared" si="56"/>
        <v>U</v>
      </c>
      <c r="W45" s="3" t="str">
        <f t="shared" si="57"/>
        <v>U</v>
      </c>
      <c r="X45" s="3" t="str">
        <f t="shared" si="58"/>
        <v>T</v>
      </c>
      <c r="Y45" s="3"/>
      <c r="Z45" s="3">
        <v>54</v>
      </c>
      <c r="AA45" s="3" t="str">
        <f t="shared" si="60"/>
        <v>TOR/ORL</v>
      </c>
    </row>
    <row r="46" spans="1:27" x14ac:dyDescent="0.45">
      <c r="A46" s="3">
        <v>191029</v>
      </c>
      <c r="B46" s="1">
        <v>0.375</v>
      </c>
      <c r="C46" s="3" t="s">
        <v>27</v>
      </c>
      <c r="D46" s="6" t="s">
        <v>51</v>
      </c>
      <c r="E46" s="3">
        <v>23</v>
      </c>
      <c r="F46" s="3">
        <v>32</v>
      </c>
      <c r="G46" s="3">
        <v>24</v>
      </c>
      <c r="H46" s="3">
        <v>44</v>
      </c>
      <c r="I46" s="3"/>
      <c r="J46" s="3">
        <v>27</v>
      </c>
      <c r="K46" s="3">
        <v>45</v>
      </c>
      <c r="L46" s="3">
        <v>31</v>
      </c>
      <c r="M46" s="3">
        <v>31</v>
      </c>
      <c r="N46" s="3"/>
      <c r="O46" s="3">
        <f t="shared" si="59"/>
        <v>123</v>
      </c>
      <c r="P46" s="3">
        <f t="shared" si="50"/>
        <v>134</v>
      </c>
      <c r="Q46" s="3" t="str">
        <f t="shared" si="51"/>
        <v>HL</v>
      </c>
      <c r="R46" s="3" t="str">
        <f t="shared" si="52"/>
        <v>HL</v>
      </c>
      <c r="S46" s="3" t="str">
        <f t="shared" si="53"/>
        <v>HL</v>
      </c>
      <c r="T46" s="3" t="str">
        <f t="shared" si="54"/>
        <v>HW</v>
      </c>
      <c r="U46" s="3" t="str">
        <f t="shared" si="55"/>
        <v>U</v>
      </c>
      <c r="V46" s="3" t="str">
        <f t="shared" si="56"/>
        <v>O</v>
      </c>
      <c r="W46" s="3" t="str">
        <f t="shared" si="57"/>
        <v>U</v>
      </c>
      <c r="X46" s="3" t="str">
        <f t="shared" si="58"/>
        <v>O</v>
      </c>
      <c r="Y46" s="3"/>
      <c r="Z46" s="3">
        <v>61</v>
      </c>
      <c r="AA46" s="3" t="str">
        <f t="shared" si="60"/>
        <v>NO/GS</v>
      </c>
    </row>
    <row r="47" spans="1:27" x14ac:dyDescent="0.45">
      <c r="A47" s="3">
        <v>191029</v>
      </c>
      <c r="B47" s="1">
        <v>0.375</v>
      </c>
      <c r="C47" s="3" t="s">
        <v>52</v>
      </c>
      <c r="D47" s="6" t="s">
        <v>49</v>
      </c>
      <c r="E47" s="3">
        <v>22</v>
      </c>
      <c r="F47" s="3">
        <v>30</v>
      </c>
      <c r="G47" s="3">
        <v>39</v>
      </c>
      <c r="H47" s="3">
        <v>25</v>
      </c>
      <c r="I47" s="3"/>
      <c r="J47" s="3">
        <v>35</v>
      </c>
      <c r="K47" s="3">
        <v>27</v>
      </c>
      <c r="L47" s="3">
        <v>18</v>
      </c>
      <c r="M47" s="3">
        <v>32</v>
      </c>
      <c r="N47" s="3"/>
      <c r="O47" s="3">
        <f t="shared" si="59"/>
        <v>116</v>
      </c>
      <c r="P47" s="3">
        <f t="shared" si="50"/>
        <v>112</v>
      </c>
      <c r="Q47" s="3" t="str">
        <f t="shared" si="51"/>
        <v>HL</v>
      </c>
      <c r="R47" s="3" t="str">
        <f t="shared" si="52"/>
        <v>HW</v>
      </c>
      <c r="S47" s="3" t="str">
        <f t="shared" si="53"/>
        <v>HW</v>
      </c>
      <c r="T47" s="3" t="str">
        <f t="shared" si="54"/>
        <v>HL</v>
      </c>
      <c r="U47" s="3" t="str">
        <f t="shared" si="55"/>
        <v>U</v>
      </c>
      <c r="V47" s="3" t="str">
        <f t="shared" si="56"/>
        <v>U</v>
      </c>
      <c r="W47" s="3" t="str">
        <f t="shared" si="57"/>
        <v>U</v>
      </c>
      <c r="X47" s="3" t="str">
        <f t="shared" si="58"/>
        <v>U</v>
      </c>
      <c r="Y47" s="3"/>
      <c r="Z47" s="3">
        <v>58.5</v>
      </c>
      <c r="AA47" s="3" t="str">
        <f t="shared" si="60"/>
        <v>HOU/OKC</v>
      </c>
    </row>
    <row r="48" spans="1:27" x14ac:dyDescent="0.45">
      <c r="A48" s="3">
        <v>191029</v>
      </c>
      <c r="B48" s="1">
        <v>0.375</v>
      </c>
      <c r="C48" s="3" t="s">
        <v>53</v>
      </c>
      <c r="D48" s="3" t="s">
        <v>40</v>
      </c>
      <c r="E48" s="3">
        <v>30</v>
      </c>
      <c r="F48" s="3">
        <v>29</v>
      </c>
      <c r="G48" s="3">
        <v>32</v>
      </c>
      <c r="H48" s="3">
        <v>38</v>
      </c>
      <c r="I48" s="3"/>
      <c r="J48" s="3">
        <v>31</v>
      </c>
      <c r="K48" s="3">
        <v>21</v>
      </c>
      <c r="L48" s="3">
        <v>28</v>
      </c>
      <c r="M48" s="3">
        <v>32</v>
      </c>
      <c r="N48" s="3"/>
      <c r="O48" s="3">
        <f t="shared" si="59"/>
        <v>129</v>
      </c>
      <c r="P48" s="3">
        <f t="shared" si="50"/>
        <v>112</v>
      </c>
      <c r="Q48" s="3" t="str">
        <f t="shared" si="51"/>
        <v>HL</v>
      </c>
      <c r="R48" s="3" t="str">
        <f t="shared" si="52"/>
        <v>HW</v>
      </c>
      <c r="S48" s="3" t="str">
        <f t="shared" si="53"/>
        <v>HW</v>
      </c>
      <c r="T48" s="3" t="str">
        <f t="shared" si="54"/>
        <v>HW</v>
      </c>
      <c r="U48" s="3" t="str">
        <f t="shared" si="55"/>
        <v>O</v>
      </c>
      <c r="V48" s="3" t="str">
        <f t="shared" si="56"/>
        <v>U</v>
      </c>
      <c r="W48" s="3" t="str">
        <f t="shared" si="57"/>
        <v>O</v>
      </c>
      <c r="X48" s="3" t="str">
        <f t="shared" si="58"/>
        <v>O</v>
      </c>
      <c r="Y48" s="3"/>
      <c r="Z48" s="3">
        <v>55</v>
      </c>
      <c r="AA48" s="3" t="str">
        <f t="shared" si="60"/>
        <v>MIL/CLE</v>
      </c>
    </row>
    <row r="49" spans="1:27" x14ac:dyDescent="0.45">
      <c r="A49" s="3">
        <v>191029</v>
      </c>
      <c r="B49" s="1">
        <v>0.39583333333333331</v>
      </c>
      <c r="C49" s="3" t="s">
        <v>56</v>
      </c>
      <c r="D49" s="6" t="s">
        <v>45</v>
      </c>
      <c r="E49" s="3">
        <v>19</v>
      </c>
      <c r="F49" s="3">
        <v>26</v>
      </c>
      <c r="G49" s="3">
        <v>37</v>
      </c>
      <c r="H49" s="3">
        <v>31</v>
      </c>
      <c r="I49" s="3"/>
      <c r="J49" s="3">
        <v>33</v>
      </c>
      <c r="K49" s="3">
        <v>18</v>
      </c>
      <c r="L49" s="3">
        <v>20</v>
      </c>
      <c r="M49" s="3">
        <v>39</v>
      </c>
      <c r="N49" s="3"/>
      <c r="O49" s="3">
        <f t="shared" si="59"/>
        <v>113</v>
      </c>
      <c r="P49" s="3">
        <f t="shared" si="50"/>
        <v>110</v>
      </c>
      <c r="Q49" s="3" t="str">
        <f t="shared" si="51"/>
        <v>HL</v>
      </c>
      <c r="R49" s="3" t="str">
        <f t="shared" si="52"/>
        <v>HW</v>
      </c>
      <c r="S49" s="3" t="str">
        <f t="shared" si="53"/>
        <v>HW</v>
      </c>
      <c r="T49" s="3" t="str">
        <f t="shared" si="54"/>
        <v>HL</v>
      </c>
      <c r="U49" s="3" t="str">
        <f t="shared" si="55"/>
        <v>U</v>
      </c>
      <c r="V49" s="3" t="str">
        <f t="shared" si="56"/>
        <v>U</v>
      </c>
      <c r="W49" s="3" t="str">
        <f t="shared" si="57"/>
        <v>O</v>
      </c>
      <c r="X49" s="3" t="str">
        <f t="shared" si="58"/>
        <v>O</v>
      </c>
      <c r="Y49" s="3"/>
      <c r="Z49" s="3">
        <v>54</v>
      </c>
      <c r="AA49" s="3" t="str">
        <f t="shared" si="60"/>
        <v>SAS/POR</v>
      </c>
    </row>
    <row r="50" spans="1:27" x14ac:dyDescent="0.45">
      <c r="A50" s="3">
        <v>191029</v>
      </c>
      <c r="B50" s="10">
        <v>0.45833333333333331</v>
      </c>
      <c r="C50" s="3" t="s">
        <v>43</v>
      </c>
      <c r="D50" s="3" t="s">
        <v>48</v>
      </c>
      <c r="E50" s="3">
        <v>21</v>
      </c>
      <c r="F50" s="3">
        <v>18</v>
      </c>
      <c r="G50" s="3">
        <v>31</v>
      </c>
      <c r="H50" s="3">
        <v>25</v>
      </c>
      <c r="I50" s="3"/>
      <c r="J50" s="3">
        <v>28</v>
      </c>
      <c r="K50" s="3">
        <v>18</v>
      </c>
      <c r="L50" s="3">
        <v>24</v>
      </c>
      <c r="M50" s="3">
        <v>26</v>
      </c>
      <c r="N50" s="3"/>
      <c r="O50" s="3">
        <f t="shared" si="59"/>
        <v>95</v>
      </c>
      <c r="P50" s="3">
        <f t="shared" si="50"/>
        <v>96</v>
      </c>
      <c r="Q50" s="3" t="str">
        <f t="shared" si="51"/>
        <v>HL</v>
      </c>
      <c r="R50" s="3" t="str">
        <f t="shared" si="52"/>
        <v>TT</v>
      </c>
      <c r="S50" s="3" t="str">
        <f t="shared" si="53"/>
        <v>HW</v>
      </c>
      <c r="T50" s="3" t="str">
        <f t="shared" si="54"/>
        <v>HL</v>
      </c>
      <c r="U50" s="3" t="str">
        <f t="shared" si="55"/>
        <v>U</v>
      </c>
      <c r="V50" s="3" t="str">
        <f t="shared" si="56"/>
        <v>U</v>
      </c>
      <c r="W50" s="3" t="str">
        <f t="shared" si="57"/>
        <v>O</v>
      </c>
      <c r="X50" s="3" t="str">
        <f t="shared" si="58"/>
        <v>U</v>
      </c>
      <c r="Y50" s="3"/>
      <c r="Z50" s="3">
        <v>52</v>
      </c>
      <c r="AA50" s="3" t="str">
        <f t="shared" si="60"/>
        <v>PHO/UTA</v>
      </c>
    </row>
    <row r="51" spans="1:27" x14ac:dyDescent="0.45">
      <c r="A51" s="3">
        <v>191029</v>
      </c>
      <c r="B51" s="4">
        <v>0.45833333333333331</v>
      </c>
      <c r="C51" s="3" t="s">
        <v>44</v>
      </c>
      <c r="D51" s="3" t="s">
        <v>46</v>
      </c>
      <c r="E51" s="3">
        <v>28</v>
      </c>
      <c r="F51" s="3">
        <v>25</v>
      </c>
      <c r="G51" s="3">
        <v>17</v>
      </c>
      <c r="H51" s="3">
        <v>24</v>
      </c>
      <c r="I51" s="3"/>
      <c r="J51" s="3">
        <v>21</v>
      </c>
      <c r="K51" s="3">
        <v>26</v>
      </c>
      <c r="L51" s="3">
        <v>30</v>
      </c>
      <c r="M51" s="3">
        <v>24</v>
      </c>
      <c r="N51" s="3"/>
      <c r="O51" s="3">
        <f t="shared" si="59"/>
        <v>94</v>
      </c>
      <c r="P51" s="3">
        <f t="shared" si="50"/>
        <v>101</v>
      </c>
      <c r="Q51" s="3" t="str">
        <f t="shared" si="51"/>
        <v>HW</v>
      </c>
      <c r="R51" s="3" t="str">
        <f t="shared" si="52"/>
        <v>HL</v>
      </c>
      <c r="S51" s="3" t="str">
        <f t="shared" si="53"/>
        <v>HL</v>
      </c>
      <c r="T51" s="3" t="str">
        <f t="shared" si="54"/>
        <v>TT</v>
      </c>
      <c r="U51" s="3" t="str">
        <f t="shared" si="55"/>
        <v>U</v>
      </c>
      <c r="V51" s="3" t="str">
        <f t="shared" si="56"/>
        <v>U</v>
      </c>
      <c r="W51" s="3" t="str">
        <f t="shared" si="57"/>
        <v>U</v>
      </c>
      <c r="X51" s="3" t="str">
        <f t="shared" si="58"/>
        <v>U</v>
      </c>
      <c r="Y51" s="3"/>
      <c r="Z51" s="3">
        <v>56</v>
      </c>
      <c r="AA51" s="3" t="str">
        <f t="shared" si="60"/>
        <v>SAC/DEN</v>
      </c>
    </row>
    <row r="52" spans="1:27" x14ac:dyDescent="0.45">
      <c r="A52" s="3">
        <v>191029</v>
      </c>
      <c r="B52" s="1">
        <v>0.47916666666666669</v>
      </c>
      <c r="C52" s="3" t="s">
        <v>25</v>
      </c>
      <c r="D52" s="6" t="s">
        <v>31</v>
      </c>
      <c r="E52" s="3">
        <v>29</v>
      </c>
      <c r="F52" s="3">
        <v>28</v>
      </c>
      <c r="G52" s="3">
        <v>29</v>
      </c>
      <c r="H52" s="3">
        <v>25</v>
      </c>
      <c r="I52" s="3"/>
      <c r="J52" s="3">
        <v>28</v>
      </c>
      <c r="K52" s="3">
        <v>26</v>
      </c>
      <c r="L52" s="3">
        <v>20</v>
      </c>
      <c r="M52" s="3">
        <v>22</v>
      </c>
      <c r="N52" s="3"/>
      <c r="O52" s="3">
        <f t="shared" si="59"/>
        <v>111</v>
      </c>
      <c r="P52" s="3">
        <f t="shared" si="50"/>
        <v>96</v>
      </c>
      <c r="Q52" s="3" t="str">
        <f t="shared" si="51"/>
        <v>HW</v>
      </c>
      <c r="R52" s="3" t="str">
        <f t="shared" si="52"/>
        <v>HW</v>
      </c>
      <c r="S52" s="3" t="str">
        <f t="shared" si="53"/>
        <v>HW</v>
      </c>
      <c r="T52" s="3" t="str">
        <f t="shared" si="54"/>
        <v>HW</v>
      </c>
      <c r="U52" s="3" t="str">
        <f t="shared" si="55"/>
        <v>U</v>
      </c>
      <c r="V52" s="3" t="str">
        <f t="shared" si="56"/>
        <v>U</v>
      </c>
      <c r="W52" s="3" t="str">
        <f t="shared" si="57"/>
        <v>U</v>
      </c>
      <c r="X52" s="3" t="str">
        <f t="shared" si="58"/>
        <v>U</v>
      </c>
      <c r="Y52" s="3"/>
      <c r="Z52" s="3">
        <v>58.5</v>
      </c>
      <c r="AA52" s="3" t="str">
        <f t="shared" si="60"/>
        <v>LAC/CHA</v>
      </c>
    </row>
    <row r="53" spans="1:27" x14ac:dyDescent="0.45">
      <c r="A53" s="3">
        <v>191030</v>
      </c>
      <c r="B53" s="1">
        <v>0.35416666666666669</v>
      </c>
      <c r="C53" t="s">
        <v>95</v>
      </c>
      <c r="D53" t="s">
        <v>96</v>
      </c>
      <c r="E53" s="3">
        <v>29</v>
      </c>
      <c r="F53" s="3">
        <v>30</v>
      </c>
      <c r="G53" s="3">
        <v>29</v>
      </c>
      <c r="H53" s="3">
        <v>24</v>
      </c>
      <c r="I53" s="3"/>
      <c r="J53" s="3">
        <v>26</v>
      </c>
      <c r="K53" s="3">
        <v>23</v>
      </c>
      <c r="L53" s="3">
        <v>21</v>
      </c>
      <c r="M53" s="3">
        <v>27</v>
      </c>
      <c r="O53" s="3">
        <f t="shared" ref="O53:O55" si="61">SUM(E53:I53)</f>
        <v>112</v>
      </c>
      <c r="P53" s="3">
        <f t="shared" ref="P53:P55" si="62">SUM(J53:N53)</f>
        <v>97</v>
      </c>
      <c r="Q53" s="3" t="str">
        <f t="shared" ref="Q53:Q55" si="63">IF(E53=J53,"TT",IF(E53&gt;J53,"HW","HL"))</f>
        <v>HW</v>
      </c>
      <c r="R53" s="3" t="str">
        <f t="shared" ref="R53:R55" si="64">IF(F53=K53,"TT",IF(F53&gt;K53,"HW","HL"))</f>
        <v>HW</v>
      </c>
      <c r="S53" s="3" t="str">
        <f t="shared" ref="S53:S55" si="65">IF(G53=L53,"TT",IF(G53&gt;L53,"HW","HL"))</f>
        <v>HW</v>
      </c>
      <c r="T53" s="3" t="str">
        <f t="shared" ref="T53:T55" si="66">IF(H53=M53,"TT",IF(H53&gt;M53,"HW","HL"))</f>
        <v>HL</v>
      </c>
      <c r="U53" s="3" t="str">
        <f t="shared" ref="U53:U55" si="67">IF(SUM(E53,J53)=$Z53,"T",IF(SUM(E53,J53)&gt;$Z53,"O","U"))</f>
        <v>U</v>
      </c>
      <c r="V53" s="3" t="str">
        <f t="shared" ref="V53:V55" si="68">IF(SUM(F53,K53)=$Z53,"T",IF(SUM(F53,K53)&gt;$Z53,"O","U"))</f>
        <v>U</v>
      </c>
      <c r="W53" s="3" t="str">
        <f t="shared" ref="W53:W55" si="69">IF(SUM(G53,L53)=$Z53,"T",IF(SUM(G53,L53)&gt;$Z53,"O","U"))</f>
        <v>U</v>
      </c>
      <c r="X53" s="3" t="str">
        <f t="shared" ref="X53:X55" si="70">IF(SUM(H53,M53)=$Z53,"T",IF(SUM(H53,M53)&gt;$Z53,"O","U"))</f>
        <v>U</v>
      </c>
      <c r="Z53">
        <v>57.5</v>
      </c>
      <c r="AA53" t="str">
        <f t="shared" si="60"/>
        <v>MIA/ATL</v>
      </c>
    </row>
    <row r="54" spans="1:27" x14ac:dyDescent="0.45">
      <c r="A54" s="3">
        <v>191030</v>
      </c>
      <c r="B54" s="1">
        <v>0.41666666666666669</v>
      </c>
      <c r="C54" t="s">
        <v>97</v>
      </c>
      <c r="D54" t="s">
        <v>98</v>
      </c>
      <c r="E54" s="3">
        <v>31</v>
      </c>
      <c r="F54" s="3">
        <v>30</v>
      </c>
      <c r="G54" s="3">
        <v>27</v>
      </c>
      <c r="H54" s="3">
        <v>18</v>
      </c>
      <c r="I54" s="3"/>
      <c r="J54" s="3">
        <v>27</v>
      </c>
      <c r="K54" s="3">
        <v>33</v>
      </c>
      <c r="L54" s="3">
        <v>23</v>
      </c>
      <c r="M54" s="3">
        <v>26</v>
      </c>
      <c r="O54" s="3">
        <f t="shared" si="61"/>
        <v>106</v>
      </c>
      <c r="P54" s="3">
        <f t="shared" si="62"/>
        <v>109</v>
      </c>
      <c r="Q54" s="3" t="str">
        <f t="shared" si="63"/>
        <v>HW</v>
      </c>
      <c r="R54" s="3" t="str">
        <f t="shared" si="64"/>
        <v>HL</v>
      </c>
      <c r="S54" s="3" t="str">
        <f t="shared" si="65"/>
        <v>HW</v>
      </c>
      <c r="T54" s="3" t="str">
        <f t="shared" si="66"/>
        <v>HL</v>
      </c>
      <c r="U54" s="3" t="str">
        <f t="shared" si="67"/>
        <v>O</v>
      </c>
      <c r="V54" s="3" t="str">
        <f t="shared" si="68"/>
        <v>O</v>
      </c>
      <c r="W54" s="3" t="str">
        <f t="shared" si="69"/>
        <v>U</v>
      </c>
      <c r="X54" s="3" t="str">
        <f t="shared" si="70"/>
        <v>U</v>
      </c>
      <c r="Z54">
        <v>55</v>
      </c>
      <c r="AA54" t="str">
        <f t="shared" si="60"/>
        <v>DEN/DAL</v>
      </c>
    </row>
    <row r="55" spans="1:27" x14ac:dyDescent="0.45">
      <c r="A55" s="3">
        <v>191030</v>
      </c>
      <c r="B55" s="10">
        <v>0.47916666666666669</v>
      </c>
      <c r="C55" t="s">
        <v>99</v>
      </c>
      <c r="D55" t="s">
        <v>100</v>
      </c>
      <c r="E55" s="3">
        <v>27</v>
      </c>
      <c r="F55" s="3">
        <v>22</v>
      </c>
      <c r="G55" s="3">
        <v>39</v>
      </c>
      <c r="H55" s="3">
        <v>32</v>
      </c>
      <c r="I55" s="3"/>
      <c r="J55" s="3">
        <v>32</v>
      </c>
      <c r="K55" s="3">
        <v>15</v>
      </c>
      <c r="L55" s="3">
        <v>20</v>
      </c>
      <c r="M55" s="3">
        <v>24</v>
      </c>
      <c r="O55" s="3">
        <f t="shared" si="61"/>
        <v>120</v>
      </c>
      <c r="P55" s="3">
        <f t="shared" si="62"/>
        <v>91</v>
      </c>
      <c r="Q55" s="3" t="str">
        <f t="shared" si="63"/>
        <v>HL</v>
      </c>
      <c r="R55" s="3" t="str">
        <f t="shared" si="64"/>
        <v>HW</v>
      </c>
      <c r="S55" s="3" t="str">
        <f t="shared" si="65"/>
        <v>HW</v>
      </c>
      <c r="T55" s="3" t="str">
        <f t="shared" si="66"/>
        <v>HW</v>
      </c>
      <c r="U55" s="3" t="str">
        <f t="shared" si="67"/>
        <v>O</v>
      </c>
      <c r="V55" s="3" t="str">
        <f t="shared" si="68"/>
        <v>U</v>
      </c>
      <c r="W55" s="3" t="str">
        <f t="shared" si="69"/>
        <v>O</v>
      </c>
      <c r="X55" s="3" t="str">
        <f t="shared" si="70"/>
        <v>O</v>
      </c>
      <c r="Z55">
        <v>55</v>
      </c>
      <c r="AA55" t="str">
        <f t="shared" si="60"/>
        <v>LAL/MEM</v>
      </c>
    </row>
    <row r="56" spans="1:27" x14ac:dyDescent="0.45">
      <c r="A56">
        <v>191031</v>
      </c>
      <c r="B56" s="1">
        <v>0.33333333333333331</v>
      </c>
      <c r="C56" t="s">
        <v>40</v>
      </c>
      <c r="D56" t="s">
        <v>101</v>
      </c>
      <c r="E56">
        <v>25</v>
      </c>
      <c r="F56">
        <v>25</v>
      </c>
      <c r="G56">
        <v>30</v>
      </c>
      <c r="H56">
        <v>37</v>
      </c>
      <c r="J56">
        <v>26</v>
      </c>
      <c r="K56">
        <v>27</v>
      </c>
      <c r="L56">
        <v>29</v>
      </c>
      <c r="M56">
        <v>29</v>
      </c>
      <c r="O56" s="3">
        <f t="shared" ref="O56:O97" si="71">SUM(E56:I56)</f>
        <v>117</v>
      </c>
      <c r="P56" s="3">
        <f t="shared" ref="P56:P97" si="72">SUM(J56:N56)</f>
        <v>111</v>
      </c>
      <c r="Q56" s="3" t="str">
        <f t="shared" ref="Q56:Q97" si="73">IF(E56=J56,"TT",IF(E56&gt;J56,"HW","HL"))</f>
        <v>HL</v>
      </c>
      <c r="R56" s="3" t="str">
        <f t="shared" ref="R56:R97" si="74">IF(F56=K56,"TT",IF(F56&gt;K56,"HW","HL"))</f>
        <v>HL</v>
      </c>
      <c r="S56" s="3" t="str">
        <f t="shared" ref="S56:S97" si="75">IF(G56=L56,"TT",IF(G56&gt;L56,"HW","HL"))</f>
        <v>HW</v>
      </c>
      <c r="T56" s="3" t="str">
        <f t="shared" ref="T56:T97" si="76">IF(H56=M56,"TT",IF(H56&gt;M56,"HW","HL"))</f>
        <v>HW</v>
      </c>
      <c r="U56" s="3" t="str">
        <f t="shared" ref="U56:U97" si="77">IF(SUM(E56,J56)=$Z56,"T",IF(SUM(E56,J56)&gt;$Z56,"O","U"))</f>
        <v>U</v>
      </c>
      <c r="V56" s="3" t="str">
        <f t="shared" ref="V56:V97" si="78">IF(SUM(F56,K56)=$Z56,"T",IF(SUM(F56,K56)&gt;$Z56,"O","U"))</f>
        <v>U</v>
      </c>
      <c r="W56" s="3" t="str">
        <f t="shared" ref="W56:W97" si="79">IF(SUM(G56,L56)=$Z56,"T",IF(SUM(G56,L56)&gt;$Z56,"O","U"))</f>
        <v>O</v>
      </c>
      <c r="X56" s="3" t="str">
        <f t="shared" ref="X56:X97" si="80">IF(SUM(H56,M56)=$Z56,"T",IF(SUM(H56,M56)&gt;$Z56,"O","U"))</f>
        <v>O</v>
      </c>
      <c r="Z56">
        <v>53.5</v>
      </c>
      <c r="AA56" t="str">
        <f t="shared" si="60"/>
        <v>CLE/CHI</v>
      </c>
    </row>
    <row r="57" spans="1:27" x14ac:dyDescent="0.45">
      <c r="A57" s="3">
        <v>191031</v>
      </c>
      <c r="B57" s="1">
        <v>0.33333333333333331</v>
      </c>
      <c r="C57" t="s">
        <v>102</v>
      </c>
      <c r="D57" t="s">
        <v>103</v>
      </c>
      <c r="E57">
        <v>22</v>
      </c>
      <c r="F57">
        <v>20</v>
      </c>
      <c r="G57">
        <v>30</v>
      </c>
      <c r="H57">
        <v>23</v>
      </c>
      <c r="J57">
        <v>25</v>
      </c>
      <c r="K57">
        <v>19</v>
      </c>
      <c r="L57">
        <v>23</v>
      </c>
      <c r="M57">
        <v>16</v>
      </c>
      <c r="O57" s="3">
        <f t="shared" si="71"/>
        <v>95</v>
      </c>
      <c r="P57" s="3">
        <f t="shared" si="72"/>
        <v>83</v>
      </c>
      <c r="Q57" s="3" t="str">
        <f t="shared" si="73"/>
        <v>HL</v>
      </c>
      <c r="R57" s="3" t="str">
        <f t="shared" si="74"/>
        <v>HW</v>
      </c>
      <c r="S57" s="3" t="str">
        <f t="shared" si="75"/>
        <v>HW</v>
      </c>
      <c r="T57" s="3" t="str">
        <f t="shared" si="76"/>
        <v>HW</v>
      </c>
      <c r="U57" s="3" t="str">
        <f t="shared" si="77"/>
        <v>U</v>
      </c>
      <c r="V57" s="3" t="str">
        <f t="shared" si="78"/>
        <v>U</v>
      </c>
      <c r="W57" s="3" t="str">
        <f t="shared" si="79"/>
        <v>U</v>
      </c>
      <c r="X57" s="3" t="str">
        <f t="shared" si="80"/>
        <v>U</v>
      </c>
      <c r="Z57">
        <v>54.5</v>
      </c>
      <c r="AA57" t="str">
        <f t="shared" si="60"/>
        <v>ORL/NYK</v>
      </c>
    </row>
    <row r="58" spans="1:27" x14ac:dyDescent="0.45">
      <c r="A58" s="3">
        <v>191031</v>
      </c>
      <c r="B58" s="1">
        <v>0.33333333333333331</v>
      </c>
      <c r="C58" t="s">
        <v>104</v>
      </c>
      <c r="D58" t="s">
        <v>105</v>
      </c>
      <c r="E58">
        <v>32</v>
      </c>
      <c r="F58">
        <v>30</v>
      </c>
      <c r="G58">
        <v>30</v>
      </c>
      <c r="H58">
        <v>25</v>
      </c>
      <c r="J58">
        <v>24</v>
      </c>
      <c r="K58">
        <v>19</v>
      </c>
      <c r="L58">
        <v>35</v>
      </c>
      <c r="M58">
        <v>17</v>
      </c>
      <c r="O58" s="3">
        <f t="shared" si="71"/>
        <v>117</v>
      </c>
      <c r="P58" s="3">
        <f t="shared" si="72"/>
        <v>95</v>
      </c>
      <c r="Q58" s="3" t="str">
        <f t="shared" si="73"/>
        <v>HW</v>
      </c>
      <c r="R58" s="3" t="str">
        <f t="shared" si="74"/>
        <v>HW</v>
      </c>
      <c r="S58" s="3" t="str">
        <f t="shared" si="75"/>
        <v>HL</v>
      </c>
      <c r="T58" s="3" t="str">
        <f t="shared" si="76"/>
        <v>HW</v>
      </c>
      <c r="U58" s="3" t="str">
        <f t="shared" si="77"/>
        <v>U</v>
      </c>
      <c r="V58" s="3" t="str">
        <f t="shared" si="78"/>
        <v>U</v>
      </c>
      <c r="W58" s="3" t="str">
        <f t="shared" si="79"/>
        <v>O</v>
      </c>
      <c r="X58" s="3" t="str">
        <f t="shared" si="80"/>
        <v>U</v>
      </c>
      <c r="Z58">
        <v>57</v>
      </c>
      <c r="AA58" t="str">
        <f t="shared" si="60"/>
        <v>PHI/MIN</v>
      </c>
    </row>
    <row r="59" spans="1:27" x14ac:dyDescent="0.45">
      <c r="A59" s="3">
        <v>191031</v>
      </c>
      <c r="B59" s="1">
        <v>0.35416666666666669</v>
      </c>
      <c r="C59" t="s">
        <v>106</v>
      </c>
      <c r="D59" t="s">
        <v>107</v>
      </c>
      <c r="E59">
        <v>19</v>
      </c>
      <c r="F59">
        <v>23</v>
      </c>
      <c r="G59">
        <v>38</v>
      </c>
      <c r="H59">
        <v>36</v>
      </c>
      <c r="J59">
        <v>34</v>
      </c>
      <c r="K59">
        <v>24</v>
      </c>
      <c r="L59">
        <v>18</v>
      </c>
      <c r="M59">
        <v>29</v>
      </c>
      <c r="O59" s="3">
        <f t="shared" si="71"/>
        <v>116</v>
      </c>
      <c r="P59" s="3">
        <f t="shared" si="72"/>
        <v>105</v>
      </c>
      <c r="Q59" s="3" t="str">
        <f t="shared" si="73"/>
        <v>HL</v>
      </c>
      <c r="R59" s="3" t="str">
        <f t="shared" si="74"/>
        <v>HL</v>
      </c>
      <c r="S59" s="3" t="str">
        <f t="shared" si="75"/>
        <v>HW</v>
      </c>
      <c r="T59" s="3" t="str">
        <f t="shared" si="76"/>
        <v>HW</v>
      </c>
      <c r="U59" s="3" t="str">
        <f t="shared" si="77"/>
        <v>U</v>
      </c>
      <c r="V59" s="3" t="str">
        <f t="shared" si="78"/>
        <v>U</v>
      </c>
      <c r="W59" s="3" t="str">
        <f t="shared" si="79"/>
        <v>O</v>
      </c>
      <c r="X59" s="3" t="str">
        <f t="shared" si="80"/>
        <v>O</v>
      </c>
      <c r="Z59">
        <v>55</v>
      </c>
      <c r="AA59" t="str">
        <f t="shared" si="60"/>
        <v>BOS/MIL</v>
      </c>
    </row>
    <row r="60" spans="1:27" x14ac:dyDescent="0.45">
      <c r="A60" s="3">
        <v>191031</v>
      </c>
      <c r="B60" s="1">
        <v>0.35416666666666669</v>
      </c>
      <c r="C60" t="s">
        <v>108</v>
      </c>
      <c r="D60" t="s">
        <v>109</v>
      </c>
      <c r="E60">
        <v>31</v>
      </c>
      <c r="F60">
        <v>32</v>
      </c>
      <c r="G60">
        <v>20</v>
      </c>
      <c r="H60">
        <v>25</v>
      </c>
      <c r="J60">
        <v>31</v>
      </c>
      <c r="K60">
        <v>29</v>
      </c>
      <c r="L60">
        <v>30</v>
      </c>
      <c r="M60">
        <v>28</v>
      </c>
      <c r="O60" s="3">
        <f t="shared" si="71"/>
        <v>108</v>
      </c>
      <c r="P60" s="3">
        <f t="shared" si="72"/>
        <v>118</v>
      </c>
      <c r="Q60" s="3" t="str">
        <f t="shared" si="73"/>
        <v>TT</v>
      </c>
      <c r="R60" s="3" t="str">
        <f t="shared" si="74"/>
        <v>HW</v>
      </c>
      <c r="S60" s="3" t="str">
        <f t="shared" si="75"/>
        <v>HL</v>
      </c>
      <c r="T60" s="3" t="str">
        <f t="shared" si="76"/>
        <v>HL</v>
      </c>
      <c r="U60" s="3" t="str">
        <f t="shared" si="77"/>
        <v>O</v>
      </c>
      <c r="V60" s="3" t="str">
        <f t="shared" si="78"/>
        <v>O</v>
      </c>
      <c r="W60" s="3" t="str">
        <f t="shared" si="79"/>
        <v>U</v>
      </c>
      <c r="X60" s="3" t="str">
        <f t="shared" si="80"/>
        <v>U</v>
      </c>
      <c r="Z60">
        <v>57</v>
      </c>
      <c r="AA60" t="str">
        <f t="shared" si="60"/>
        <v>BKN/IND</v>
      </c>
    </row>
    <row r="61" spans="1:27" x14ac:dyDescent="0.45">
      <c r="A61" s="3">
        <v>191031</v>
      </c>
      <c r="B61" s="1">
        <v>0.35416666666666669</v>
      </c>
      <c r="C61" t="s">
        <v>110</v>
      </c>
      <c r="D61" t="s">
        <v>111</v>
      </c>
      <c r="E61">
        <v>37</v>
      </c>
      <c r="F61">
        <v>27</v>
      </c>
      <c r="G61">
        <v>37</v>
      </c>
      <c r="H61">
        <v>24</v>
      </c>
      <c r="J61">
        <v>28</v>
      </c>
      <c r="K61">
        <v>30</v>
      </c>
      <c r="L61">
        <v>27</v>
      </c>
      <c r="M61">
        <v>28</v>
      </c>
      <c r="O61" s="3">
        <f t="shared" si="71"/>
        <v>125</v>
      </c>
      <c r="P61" s="3">
        <f t="shared" si="72"/>
        <v>113</v>
      </c>
      <c r="Q61" s="3" t="str">
        <f t="shared" si="73"/>
        <v>HW</v>
      </c>
      <c r="R61" s="3" t="str">
        <f t="shared" si="74"/>
        <v>HL</v>
      </c>
      <c r="S61" s="3" t="str">
        <f t="shared" si="75"/>
        <v>HW</v>
      </c>
      <c r="T61" s="3" t="str">
        <f t="shared" si="76"/>
        <v>HL</v>
      </c>
      <c r="U61" s="3" t="str">
        <f t="shared" si="77"/>
        <v>O</v>
      </c>
      <c r="V61" s="3" t="str">
        <f t="shared" si="78"/>
        <v>O</v>
      </c>
      <c r="W61" s="3" t="str">
        <f t="shared" si="79"/>
        <v>O</v>
      </c>
      <c r="X61" s="3" t="str">
        <f t="shared" si="80"/>
        <v>U</v>
      </c>
      <c r="Z61">
        <v>55</v>
      </c>
      <c r="AA61" t="str">
        <f t="shared" si="60"/>
        <v>TOR/DET</v>
      </c>
    </row>
    <row r="62" spans="1:27" x14ac:dyDescent="0.45">
      <c r="A62" s="3">
        <v>191031</v>
      </c>
      <c r="B62" s="1">
        <v>0.375</v>
      </c>
      <c r="C62" t="s">
        <v>112</v>
      </c>
      <c r="D62" t="s">
        <v>113</v>
      </c>
      <c r="E62">
        <v>17</v>
      </c>
      <c r="F62">
        <v>27</v>
      </c>
      <c r="G62">
        <v>25</v>
      </c>
      <c r="H62">
        <v>30</v>
      </c>
      <c r="J62">
        <v>24</v>
      </c>
      <c r="K62">
        <v>25</v>
      </c>
      <c r="L62">
        <v>19</v>
      </c>
      <c r="M62">
        <v>34</v>
      </c>
      <c r="O62" s="3">
        <f t="shared" si="71"/>
        <v>99</v>
      </c>
      <c r="P62" s="3">
        <f t="shared" si="72"/>
        <v>102</v>
      </c>
      <c r="Q62" s="3" t="str">
        <f t="shared" si="73"/>
        <v>HL</v>
      </c>
      <c r="R62" s="3" t="str">
        <f t="shared" si="74"/>
        <v>HW</v>
      </c>
      <c r="S62" s="3" t="str">
        <f t="shared" si="75"/>
        <v>HW</v>
      </c>
      <c r="T62" s="3" t="str">
        <f t="shared" si="76"/>
        <v>HL</v>
      </c>
      <c r="U62" s="3" t="str">
        <f t="shared" si="77"/>
        <v>U</v>
      </c>
      <c r="V62" s="3" t="str">
        <f t="shared" si="78"/>
        <v>U</v>
      </c>
      <c r="W62" s="3" t="str">
        <f t="shared" si="79"/>
        <v>U</v>
      </c>
      <c r="X62" s="3" t="str">
        <f t="shared" si="80"/>
        <v>O</v>
      </c>
      <c r="Z62">
        <v>54</v>
      </c>
      <c r="AA62" t="str">
        <f t="shared" si="60"/>
        <v>OKC/POR</v>
      </c>
    </row>
    <row r="63" spans="1:27" x14ac:dyDescent="0.45">
      <c r="A63" s="3">
        <v>191031</v>
      </c>
      <c r="B63" s="1">
        <v>0.375</v>
      </c>
      <c r="C63" t="s">
        <v>114</v>
      </c>
      <c r="D63" t="s">
        <v>115</v>
      </c>
      <c r="E63">
        <v>34</v>
      </c>
      <c r="F63">
        <v>43</v>
      </c>
      <c r="G63">
        <v>40</v>
      </c>
      <c r="H63">
        <v>41</v>
      </c>
      <c r="J63">
        <v>35</v>
      </c>
      <c r="K63">
        <v>41</v>
      </c>
      <c r="L63">
        <v>35</v>
      </c>
      <c r="M63">
        <v>48</v>
      </c>
      <c r="O63" s="3">
        <f t="shared" si="71"/>
        <v>158</v>
      </c>
      <c r="P63" s="3">
        <f t="shared" si="72"/>
        <v>159</v>
      </c>
      <c r="Q63" s="3" t="str">
        <f t="shared" si="73"/>
        <v>HL</v>
      </c>
      <c r="R63" s="3" t="str">
        <f t="shared" si="74"/>
        <v>HW</v>
      </c>
      <c r="S63" s="3" t="str">
        <f t="shared" si="75"/>
        <v>HW</v>
      </c>
      <c r="T63" s="3" t="str">
        <f t="shared" si="76"/>
        <v>HL</v>
      </c>
      <c r="U63" s="3" t="str">
        <f t="shared" si="77"/>
        <v>O</v>
      </c>
      <c r="V63" s="3" t="str">
        <f t="shared" si="78"/>
        <v>O</v>
      </c>
      <c r="W63" s="3" t="str">
        <f t="shared" si="79"/>
        <v>O</v>
      </c>
      <c r="X63" s="3" t="str">
        <f t="shared" si="80"/>
        <v>O</v>
      </c>
      <c r="Z63">
        <v>60.5</v>
      </c>
      <c r="AA63" t="str">
        <f t="shared" si="60"/>
        <v>WAS/HOU</v>
      </c>
    </row>
    <row r="64" spans="1:27" x14ac:dyDescent="0.45">
      <c r="A64" s="3">
        <v>191031</v>
      </c>
      <c r="B64" s="1">
        <v>0.45833333333333331</v>
      </c>
      <c r="C64" s="11" t="s">
        <v>116</v>
      </c>
      <c r="D64" s="11" t="s">
        <v>117</v>
      </c>
      <c r="E64">
        <v>33</v>
      </c>
      <c r="F64">
        <v>33</v>
      </c>
      <c r="G64">
        <v>18</v>
      </c>
      <c r="H64">
        <v>27</v>
      </c>
      <c r="J64">
        <v>30</v>
      </c>
      <c r="K64">
        <v>31</v>
      </c>
      <c r="L64">
        <v>32</v>
      </c>
      <c r="M64">
        <v>25</v>
      </c>
      <c r="O64" s="3">
        <f t="shared" si="71"/>
        <v>111</v>
      </c>
      <c r="P64" s="3">
        <f t="shared" si="72"/>
        <v>118</v>
      </c>
      <c r="Q64" s="3" t="str">
        <f t="shared" si="73"/>
        <v>HW</v>
      </c>
      <c r="R64" s="3" t="str">
        <f t="shared" si="74"/>
        <v>HW</v>
      </c>
      <c r="S64" s="3" t="str">
        <f t="shared" si="75"/>
        <v>HL</v>
      </c>
      <c r="T64" s="3" t="str">
        <f t="shared" si="76"/>
        <v>HW</v>
      </c>
      <c r="U64" s="3" t="str">
        <f t="shared" si="77"/>
        <v>O</v>
      </c>
      <c r="V64" s="3" t="str">
        <f t="shared" si="78"/>
        <v>O</v>
      </c>
      <c r="W64" s="3" t="str">
        <f t="shared" si="79"/>
        <v>U</v>
      </c>
      <c r="X64" s="3" t="str">
        <f t="shared" si="80"/>
        <v>U</v>
      </c>
      <c r="Z64">
        <v>57.5</v>
      </c>
      <c r="AA64" t="str">
        <f t="shared" si="60"/>
        <v>SAC/CHA</v>
      </c>
    </row>
    <row r="65" spans="1:27" x14ac:dyDescent="0.45">
      <c r="A65" s="3">
        <v>191031</v>
      </c>
      <c r="B65" s="1">
        <v>0.45833333333333331</v>
      </c>
      <c r="C65" t="s">
        <v>118</v>
      </c>
      <c r="D65" t="s">
        <v>119</v>
      </c>
      <c r="E65">
        <v>33</v>
      </c>
      <c r="F65">
        <v>19</v>
      </c>
      <c r="G65">
        <v>38</v>
      </c>
      <c r="H65">
        <v>20</v>
      </c>
      <c r="J65">
        <v>23</v>
      </c>
      <c r="K65">
        <v>28</v>
      </c>
      <c r="L65">
        <v>20</v>
      </c>
      <c r="M65">
        <v>25</v>
      </c>
      <c r="O65" s="3">
        <f t="shared" si="71"/>
        <v>110</v>
      </c>
      <c r="P65" s="3">
        <f t="shared" si="72"/>
        <v>96</v>
      </c>
      <c r="Q65" s="3" t="str">
        <f t="shared" si="73"/>
        <v>HW</v>
      </c>
      <c r="R65" s="3" t="str">
        <f t="shared" si="74"/>
        <v>HL</v>
      </c>
      <c r="S65" s="3" t="str">
        <f t="shared" si="75"/>
        <v>HW</v>
      </c>
      <c r="T65" s="3" t="str">
        <f t="shared" si="76"/>
        <v>HL</v>
      </c>
      <c r="U65" s="3" t="str">
        <f t="shared" si="77"/>
        <v>O</v>
      </c>
      <c r="V65" s="3" t="str">
        <f t="shared" si="78"/>
        <v>U</v>
      </c>
      <c r="W65" s="3" t="str">
        <f t="shared" si="79"/>
        <v>O</v>
      </c>
      <c r="X65" s="3" t="str">
        <f t="shared" si="80"/>
        <v>U</v>
      </c>
      <c r="Z65">
        <v>54.5</v>
      </c>
      <c r="AA65" t="str">
        <f t="shared" si="60"/>
        <v>UTA/LAC</v>
      </c>
    </row>
    <row r="66" spans="1:27" x14ac:dyDescent="0.45">
      <c r="A66" s="3">
        <v>191031</v>
      </c>
      <c r="B66" s="1">
        <v>0.47916666666666669</v>
      </c>
      <c r="C66" t="s">
        <v>120</v>
      </c>
      <c r="D66" t="s">
        <v>121</v>
      </c>
      <c r="E66">
        <v>14</v>
      </c>
      <c r="F66">
        <v>32</v>
      </c>
      <c r="G66">
        <v>21</v>
      </c>
      <c r="H66">
        <v>43</v>
      </c>
      <c r="J66">
        <v>43</v>
      </c>
      <c r="K66">
        <v>29</v>
      </c>
      <c r="L66">
        <v>23</v>
      </c>
      <c r="M66">
        <v>26</v>
      </c>
      <c r="O66" s="3">
        <f t="shared" si="71"/>
        <v>110</v>
      </c>
      <c r="P66" s="3">
        <f t="shared" si="72"/>
        <v>121</v>
      </c>
      <c r="Q66" s="3" t="str">
        <f t="shared" si="73"/>
        <v>HL</v>
      </c>
      <c r="R66" s="3" t="str">
        <f t="shared" si="74"/>
        <v>HW</v>
      </c>
      <c r="S66" s="3" t="str">
        <f t="shared" si="75"/>
        <v>HL</v>
      </c>
      <c r="T66" s="3" t="str">
        <f t="shared" si="76"/>
        <v>HW</v>
      </c>
      <c r="U66" s="3" t="str">
        <f t="shared" si="77"/>
        <v>T</v>
      </c>
      <c r="V66" s="3" t="str">
        <f t="shared" si="78"/>
        <v>O</v>
      </c>
      <c r="W66" s="3" t="str">
        <f t="shared" si="79"/>
        <v>U</v>
      </c>
      <c r="X66" s="3" t="str">
        <f t="shared" si="80"/>
        <v>O</v>
      </c>
      <c r="Z66">
        <v>57</v>
      </c>
      <c r="AA66" t="str">
        <f t="shared" si="60"/>
        <v>GS/PHO</v>
      </c>
    </row>
    <row r="67" spans="1:27" x14ac:dyDescent="0.45">
      <c r="A67" s="3">
        <v>191101</v>
      </c>
      <c r="B67" s="1">
        <v>0.33333333333333331</v>
      </c>
      <c r="C67" t="s">
        <v>122</v>
      </c>
      <c r="D67" t="s">
        <v>123</v>
      </c>
      <c r="E67">
        <v>26</v>
      </c>
      <c r="F67">
        <v>20</v>
      </c>
      <c r="G67">
        <v>29</v>
      </c>
      <c r="H67">
        <v>22</v>
      </c>
      <c r="J67">
        <v>30</v>
      </c>
      <c r="K67">
        <v>22</v>
      </c>
      <c r="L67">
        <v>33</v>
      </c>
      <c r="M67">
        <v>21</v>
      </c>
      <c r="O67" s="3">
        <f t="shared" si="71"/>
        <v>97</v>
      </c>
      <c r="P67" s="3">
        <f t="shared" si="72"/>
        <v>106</v>
      </c>
      <c r="Q67" s="3" t="str">
        <f t="shared" si="73"/>
        <v>HL</v>
      </c>
      <c r="R67" s="3" t="str">
        <f t="shared" si="74"/>
        <v>HL</v>
      </c>
      <c r="S67" s="3" t="str">
        <f t="shared" si="75"/>
        <v>HL</v>
      </c>
      <c r="T67" s="3" t="str">
        <f t="shared" si="76"/>
        <v>HW</v>
      </c>
      <c r="U67" s="3" t="str">
        <f t="shared" si="77"/>
        <v>O</v>
      </c>
      <c r="V67" s="3" t="str">
        <f t="shared" si="78"/>
        <v>U</v>
      </c>
      <c r="W67" s="3" t="str">
        <f t="shared" si="79"/>
        <v>O</v>
      </c>
      <c r="X67" s="3" t="str">
        <f t="shared" si="80"/>
        <v>U</v>
      </c>
      <c r="Z67">
        <v>55.5</v>
      </c>
      <c r="AA67" t="str">
        <f t="shared" si="60"/>
        <v>ATL/MIA</v>
      </c>
    </row>
    <row r="68" spans="1:27" x14ac:dyDescent="0.45">
      <c r="A68" s="3">
        <v>191101</v>
      </c>
      <c r="B68" s="1">
        <v>0.4375</v>
      </c>
      <c r="C68" t="s">
        <v>124</v>
      </c>
      <c r="D68" t="s">
        <v>125</v>
      </c>
      <c r="E68">
        <v>32</v>
      </c>
      <c r="F68">
        <v>24</v>
      </c>
      <c r="G68">
        <v>30</v>
      </c>
      <c r="H68">
        <v>36</v>
      </c>
      <c r="J68">
        <v>30</v>
      </c>
      <c r="K68">
        <v>22</v>
      </c>
      <c r="L68">
        <v>23</v>
      </c>
      <c r="M68">
        <v>32</v>
      </c>
      <c r="O68" s="3">
        <f t="shared" si="71"/>
        <v>122</v>
      </c>
      <c r="P68" s="3">
        <f t="shared" si="72"/>
        <v>107</v>
      </c>
      <c r="Q68" s="3" t="str">
        <f t="shared" si="73"/>
        <v>HW</v>
      </c>
      <c r="R68" s="3" t="str">
        <f t="shared" si="74"/>
        <v>HW</v>
      </c>
      <c r="S68" s="3" t="str">
        <f t="shared" si="75"/>
        <v>HW</v>
      </c>
      <c r="T68" s="3" t="str">
        <f t="shared" si="76"/>
        <v>HW</v>
      </c>
      <c r="U68" s="3" t="str">
        <f t="shared" si="77"/>
        <v>O</v>
      </c>
      <c r="V68" s="3" t="str">
        <f t="shared" si="78"/>
        <v>U</v>
      </c>
      <c r="W68" s="3" t="str">
        <f t="shared" si="79"/>
        <v>U</v>
      </c>
      <c r="X68" s="3" t="str">
        <f t="shared" si="80"/>
        <v>O</v>
      </c>
      <c r="Z68">
        <v>57.5</v>
      </c>
      <c r="AA68" t="str">
        <f t="shared" si="60"/>
        <v>NO/DEN</v>
      </c>
    </row>
    <row r="69" spans="1:27" x14ac:dyDescent="0.45">
      <c r="A69" s="3">
        <v>191101</v>
      </c>
      <c r="B69" s="1">
        <v>0.47916666666666669</v>
      </c>
      <c r="C69" t="s">
        <v>126</v>
      </c>
      <c r="D69" t="s">
        <v>127</v>
      </c>
      <c r="E69">
        <v>23</v>
      </c>
      <c r="F69">
        <v>27</v>
      </c>
      <c r="G69">
        <v>30</v>
      </c>
      <c r="H69">
        <v>23</v>
      </c>
      <c r="J69">
        <v>24</v>
      </c>
      <c r="K69">
        <v>24</v>
      </c>
      <c r="L69">
        <v>27</v>
      </c>
      <c r="M69">
        <v>22</v>
      </c>
      <c r="O69" s="3">
        <f t="shared" si="71"/>
        <v>103</v>
      </c>
      <c r="P69" s="3">
        <f t="shared" si="72"/>
        <v>97</v>
      </c>
      <c r="Q69" s="3" t="str">
        <f t="shared" si="73"/>
        <v>HL</v>
      </c>
      <c r="R69" s="3" t="str">
        <f t="shared" si="74"/>
        <v>HW</v>
      </c>
      <c r="S69" s="3" t="str">
        <f t="shared" si="75"/>
        <v>HW</v>
      </c>
      <c r="T69" s="3" t="str">
        <f t="shared" si="76"/>
        <v>HW</v>
      </c>
      <c r="U69" s="3" t="str">
        <f t="shared" si="77"/>
        <v>U</v>
      </c>
      <c r="V69" s="3" t="str">
        <f t="shared" si="78"/>
        <v>U</v>
      </c>
      <c r="W69" s="3" t="str">
        <f t="shared" si="79"/>
        <v>O</v>
      </c>
      <c r="X69" s="3" t="str">
        <f t="shared" si="80"/>
        <v>U</v>
      </c>
      <c r="Z69">
        <v>56.5</v>
      </c>
      <c r="AA69" t="str">
        <f t="shared" si="60"/>
        <v>LAC/SAS</v>
      </c>
    </row>
    <row r="70" spans="1:27" x14ac:dyDescent="0.45">
      <c r="A70" s="3">
        <v>191102</v>
      </c>
      <c r="B70" s="1">
        <v>0.33333333333333331</v>
      </c>
      <c r="C70" t="s">
        <v>128</v>
      </c>
      <c r="D70" t="s">
        <v>129</v>
      </c>
      <c r="E70">
        <v>19</v>
      </c>
      <c r="F70">
        <v>23</v>
      </c>
      <c r="G70">
        <v>26</v>
      </c>
      <c r="H70">
        <v>34</v>
      </c>
      <c r="J70">
        <v>26</v>
      </c>
      <c r="K70">
        <v>11</v>
      </c>
      <c r="L70">
        <v>24</v>
      </c>
      <c r="M70">
        <v>34</v>
      </c>
      <c r="O70" s="3">
        <f t="shared" si="71"/>
        <v>102</v>
      </c>
      <c r="P70" s="3">
        <f t="shared" si="72"/>
        <v>95</v>
      </c>
      <c r="Q70" s="3" t="str">
        <f t="shared" si="73"/>
        <v>HL</v>
      </c>
      <c r="R70" s="3" t="str">
        <f t="shared" si="74"/>
        <v>HW</v>
      </c>
      <c r="S70" s="3" t="str">
        <f t="shared" si="75"/>
        <v>HW</v>
      </c>
      <c r="T70" s="3" t="str">
        <f t="shared" si="76"/>
        <v>TT</v>
      </c>
      <c r="U70" s="3" t="str">
        <f t="shared" si="77"/>
        <v>U</v>
      </c>
      <c r="V70" s="3" t="str">
        <f t="shared" si="78"/>
        <v>U</v>
      </c>
      <c r="W70" s="3" t="str">
        <f t="shared" si="79"/>
        <v>U</v>
      </c>
      <c r="X70" s="3" t="str">
        <f t="shared" si="80"/>
        <v>O</v>
      </c>
      <c r="Z70">
        <v>52</v>
      </c>
      <c r="AA70" t="str">
        <f t="shared" si="60"/>
        <v>IND/CLE</v>
      </c>
    </row>
    <row r="71" spans="1:27" x14ac:dyDescent="0.45">
      <c r="A71" s="3">
        <v>191102</v>
      </c>
      <c r="B71" s="1">
        <v>0.33333333333333331</v>
      </c>
      <c r="C71" t="s">
        <v>30</v>
      </c>
      <c r="D71" t="s">
        <v>52</v>
      </c>
      <c r="E71">
        <v>24</v>
      </c>
      <c r="F71">
        <v>37</v>
      </c>
      <c r="G71">
        <v>34</v>
      </c>
      <c r="H71">
        <v>28</v>
      </c>
      <c r="J71">
        <v>33</v>
      </c>
      <c r="K71">
        <v>26</v>
      </c>
      <c r="L71">
        <v>24</v>
      </c>
      <c r="M71">
        <v>33</v>
      </c>
      <c r="O71" s="3">
        <f t="shared" si="71"/>
        <v>123</v>
      </c>
      <c r="P71" s="3">
        <f t="shared" si="72"/>
        <v>116</v>
      </c>
      <c r="Q71" s="3" t="str">
        <f t="shared" si="73"/>
        <v>HL</v>
      </c>
      <c r="R71" s="3" t="str">
        <f t="shared" si="74"/>
        <v>HW</v>
      </c>
      <c r="S71" s="3" t="str">
        <f t="shared" si="75"/>
        <v>HW</v>
      </c>
      <c r="T71" s="3" t="str">
        <f t="shared" si="76"/>
        <v>HL</v>
      </c>
      <c r="U71" s="3" t="str">
        <f t="shared" si="77"/>
        <v>U</v>
      </c>
      <c r="V71" s="3" t="str">
        <f t="shared" si="78"/>
        <v>O</v>
      </c>
      <c r="W71" s="3" t="str">
        <f t="shared" si="79"/>
        <v>U</v>
      </c>
      <c r="X71" s="3" t="str">
        <f t="shared" si="80"/>
        <v>U</v>
      </c>
      <c r="Z71">
        <v>62.5</v>
      </c>
      <c r="AA71" t="str">
        <f t="shared" si="60"/>
        <v>BKN/HOU</v>
      </c>
    </row>
    <row r="72" spans="1:27" x14ac:dyDescent="0.45">
      <c r="A72" s="3">
        <v>191102</v>
      </c>
      <c r="B72" s="1">
        <v>0.33333333333333331</v>
      </c>
      <c r="C72" t="s">
        <v>130</v>
      </c>
      <c r="D72" t="s">
        <v>131</v>
      </c>
      <c r="E72">
        <v>27</v>
      </c>
      <c r="F72">
        <v>14</v>
      </c>
      <c r="G72">
        <v>30</v>
      </c>
      <c r="H72">
        <v>20</v>
      </c>
      <c r="J72">
        <v>31</v>
      </c>
      <c r="K72">
        <v>31</v>
      </c>
      <c r="L72">
        <v>26</v>
      </c>
      <c r="M72">
        <v>35</v>
      </c>
      <c r="O72" s="3">
        <f t="shared" si="71"/>
        <v>91</v>
      </c>
      <c r="P72" s="3">
        <f t="shared" si="72"/>
        <v>123</v>
      </c>
      <c r="Q72" s="3" t="str">
        <f t="shared" si="73"/>
        <v>HL</v>
      </c>
      <c r="R72" s="3" t="str">
        <f t="shared" si="74"/>
        <v>HL</v>
      </c>
      <c r="S72" s="3" t="str">
        <f t="shared" si="75"/>
        <v>HW</v>
      </c>
      <c r="T72" s="3" t="str">
        <f t="shared" si="76"/>
        <v>HL</v>
      </c>
      <c r="U72" s="3" t="str">
        <f t="shared" si="77"/>
        <v>O</v>
      </c>
      <c r="V72" s="3" t="str">
        <f t="shared" si="78"/>
        <v>U</v>
      </c>
      <c r="W72" s="3" t="str">
        <f t="shared" si="79"/>
        <v>O</v>
      </c>
      <c r="X72" s="3" t="str">
        <f t="shared" si="80"/>
        <v>O</v>
      </c>
      <c r="Z72">
        <v>52</v>
      </c>
      <c r="AA72" t="str">
        <f t="shared" si="60"/>
        <v>ORL/MIL</v>
      </c>
    </row>
    <row r="73" spans="1:27" x14ac:dyDescent="0.45">
      <c r="A73" s="3">
        <v>191102</v>
      </c>
      <c r="B73" s="1">
        <v>0.35416666666666669</v>
      </c>
      <c r="C73" t="s">
        <v>132</v>
      </c>
      <c r="D73" t="s">
        <v>133</v>
      </c>
      <c r="E73">
        <v>22</v>
      </c>
      <c r="F73">
        <v>27</v>
      </c>
      <c r="G73">
        <v>26</v>
      </c>
      <c r="H73">
        <v>29</v>
      </c>
      <c r="J73">
        <v>23</v>
      </c>
      <c r="K73">
        <v>27</v>
      </c>
      <c r="L73">
        <v>24</v>
      </c>
      <c r="M73">
        <v>28</v>
      </c>
      <c r="O73" s="3">
        <f t="shared" si="71"/>
        <v>104</v>
      </c>
      <c r="P73" s="3">
        <f t="shared" si="72"/>
        <v>102</v>
      </c>
      <c r="Q73" s="3" t="str">
        <f t="shared" si="73"/>
        <v>HL</v>
      </c>
      <c r="R73" s="3" t="str">
        <f t="shared" si="74"/>
        <v>TT</v>
      </c>
      <c r="S73" s="3" t="str">
        <f t="shared" si="75"/>
        <v>HW</v>
      </c>
      <c r="T73" s="3" t="str">
        <f t="shared" si="76"/>
        <v>HW</v>
      </c>
      <c r="U73" s="3" t="str">
        <f t="shared" si="77"/>
        <v>U</v>
      </c>
      <c r="V73" s="3" t="str">
        <f t="shared" si="78"/>
        <v>T</v>
      </c>
      <c r="W73" s="3" t="str">
        <f t="shared" si="79"/>
        <v>U</v>
      </c>
      <c r="X73" s="3" t="str">
        <f t="shared" si="80"/>
        <v>O</v>
      </c>
      <c r="Z73">
        <v>54</v>
      </c>
      <c r="AA73" t="str">
        <f t="shared" si="60"/>
        <v>BOS/NYK</v>
      </c>
    </row>
    <row r="74" spans="1:27" x14ac:dyDescent="0.45">
      <c r="A74" s="3">
        <v>191102</v>
      </c>
      <c r="B74" s="1">
        <v>0.375</v>
      </c>
      <c r="C74" t="s">
        <v>134</v>
      </c>
      <c r="D74" t="s">
        <v>135</v>
      </c>
      <c r="E74">
        <v>30</v>
      </c>
      <c r="F74">
        <v>27</v>
      </c>
      <c r="G74">
        <v>29</v>
      </c>
      <c r="H74">
        <v>26</v>
      </c>
      <c r="J74">
        <v>23</v>
      </c>
      <c r="K74">
        <v>29</v>
      </c>
      <c r="L74">
        <v>28</v>
      </c>
      <c r="M74">
        <v>26</v>
      </c>
      <c r="O74" s="3">
        <f t="shared" si="71"/>
        <v>112</v>
      </c>
      <c r="P74" s="3">
        <f t="shared" si="72"/>
        <v>106</v>
      </c>
      <c r="Q74" s="3" t="str">
        <f t="shared" si="73"/>
        <v>HW</v>
      </c>
      <c r="R74" s="3" t="str">
        <f t="shared" si="74"/>
        <v>HL</v>
      </c>
      <c r="S74" s="3" t="str">
        <f t="shared" si="75"/>
        <v>HW</v>
      </c>
      <c r="T74" s="3" t="str">
        <f t="shared" si="76"/>
        <v>TT</v>
      </c>
      <c r="U74" s="3" t="str">
        <f t="shared" si="77"/>
        <v>U</v>
      </c>
      <c r="V74" s="3" t="str">
        <f t="shared" si="78"/>
        <v>O</v>
      </c>
      <c r="W74" s="3" t="str">
        <f t="shared" si="79"/>
        <v>O</v>
      </c>
      <c r="X74" s="3" t="str">
        <f t="shared" si="80"/>
        <v>U</v>
      </c>
      <c r="Z74">
        <v>55.5</v>
      </c>
      <c r="AA74" t="str">
        <f t="shared" si="60"/>
        <v>CHI/DET</v>
      </c>
    </row>
    <row r="75" spans="1:27" x14ac:dyDescent="0.45">
      <c r="A75" s="3">
        <v>191102</v>
      </c>
      <c r="B75" s="1">
        <v>0.4375</v>
      </c>
      <c r="C75" t="s">
        <v>136</v>
      </c>
      <c r="D75" t="s">
        <v>137</v>
      </c>
      <c r="E75">
        <v>25</v>
      </c>
      <c r="F75">
        <v>33</v>
      </c>
      <c r="G75">
        <v>27</v>
      </c>
      <c r="H75">
        <v>18</v>
      </c>
      <c r="I75">
        <v>7</v>
      </c>
      <c r="J75">
        <v>20</v>
      </c>
      <c r="K75">
        <v>28</v>
      </c>
      <c r="L75">
        <v>28</v>
      </c>
      <c r="M75">
        <v>27</v>
      </c>
      <c r="N75" s="2">
        <v>16</v>
      </c>
      <c r="O75" s="3">
        <f t="shared" si="71"/>
        <v>110</v>
      </c>
      <c r="P75" s="3">
        <f t="shared" si="72"/>
        <v>119</v>
      </c>
      <c r="Q75" s="3" t="str">
        <f t="shared" si="73"/>
        <v>HW</v>
      </c>
      <c r="R75" s="3" t="str">
        <f t="shared" si="74"/>
        <v>HW</v>
      </c>
      <c r="S75" s="3" t="str">
        <f t="shared" si="75"/>
        <v>HL</v>
      </c>
      <c r="T75" s="3" t="str">
        <f t="shared" si="76"/>
        <v>HL</v>
      </c>
      <c r="U75" s="3" t="str">
        <f t="shared" si="77"/>
        <v>U</v>
      </c>
      <c r="V75" s="3" t="str">
        <f t="shared" si="78"/>
        <v>O</v>
      </c>
      <c r="W75" s="3" t="str">
        <f t="shared" si="79"/>
        <v>U</v>
      </c>
      <c r="X75" s="3" t="str">
        <f t="shared" si="80"/>
        <v>U</v>
      </c>
      <c r="Z75">
        <v>56</v>
      </c>
      <c r="AA75" t="str">
        <f t="shared" si="60"/>
        <v>DAL/LAL</v>
      </c>
    </row>
    <row r="76" spans="1:27" x14ac:dyDescent="0.45">
      <c r="A76" s="3">
        <v>191102</v>
      </c>
      <c r="B76" s="1">
        <v>0.45833333333333331</v>
      </c>
      <c r="C76" t="s">
        <v>138</v>
      </c>
      <c r="D76" t="s">
        <v>139</v>
      </c>
      <c r="E76">
        <v>28</v>
      </c>
      <c r="F76">
        <v>23</v>
      </c>
      <c r="G76">
        <v>30</v>
      </c>
      <c r="H76">
        <v>21</v>
      </c>
      <c r="J76">
        <v>18</v>
      </c>
      <c r="K76">
        <v>30</v>
      </c>
      <c r="L76">
        <v>32</v>
      </c>
      <c r="M76">
        <v>21</v>
      </c>
      <c r="O76" s="3">
        <f t="shared" si="71"/>
        <v>102</v>
      </c>
      <c r="P76" s="3">
        <f t="shared" si="72"/>
        <v>101</v>
      </c>
      <c r="Q76" s="3" t="str">
        <f t="shared" si="73"/>
        <v>HW</v>
      </c>
      <c r="R76" s="3" t="str">
        <f t="shared" si="74"/>
        <v>HL</v>
      </c>
      <c r="S76" s="3" t="str">
        <f t="shared" si="75"/>
        <v>HL</v>
      </c>
      <c r="T76" s="3" t="str">
        <f t="shared" si="76"/>
        <v>TT</v>
      </c>
      <c r="U76" s="3" t="str">
        <f t="shared" si="77"/>
        <v>U</v>
      </c>
      <c r="V76" s="3" t="str">
        <f t="shared" si="78"/>
        <v>O</v>
      </c>
      <c r="W76" s="3" t="str">
        <f t="shared" si="79"/>
        <v>O</v>
      </c>
      <c r="X76" s="3" t="str">
        <f t="shared" si="80"/>
        <v>U</v>
      </c>
      <c r="Z76">
        <v>52</v>
      </c>
      <c r="AA76" t="str">
        <f t="shared" si="60"/>
        <v>SAC/UTA</v>
      </c>
    </row>
    <row r="77" spans="1:27" x14ac:dyDescent="0.45">
      <c r="A77" s="3">
        <v>191102</v>
      </c>
      <c r="B77" s="1">
        <v>0.47916666666666669</v>
      </c>
      <c r="C77" t="s">
        <v>140</v>
      </c>
      <c r="D77" t="s">
        <v>127</v>
      </c>
      <c r="E77">
        <v>28</v>
      </c>
      <c r="F77">
        <v>27</v>
      </c>
      <c r="G77">
        <v>31</v>
      </c>
      <c r="H77">
        <v>24</v>
      </c>
      <c r="J77">
        <v>29</v>
      </c>
      <c r="K77">
        <v>28</v>
      </c>
      <c r="L77">
        <v>40</v>
      </c>
      <c r="M77">
        <v>30</v>
      </c>
      <c r="O77" s="3">
        <f t="shared" si="71"/>
        <v>110</v>
      </c>
      <c r="P77" s="3">
        <f t="shared" si="72"/>
        <v>127</v>
      </c>
      <c r="Q77" s="3" t="str">
        <f t="shared" si="73"/>
        <v>HL</v>
      </c>
      <c r="R77" s="3" t="str">
        <f t="shared" si="74"/>
        <v>HL</v>
      </c>
      <c r="S77" s="3" t="str">
        <f t="shared" si="75"/>
        <v>HL</v>
      </c>
      <c r="T77" s="3" t="str">
        <f t="shared" si="76"/>
        <v>HL</v>
      </c>
      <c r="U77" s="3" t="str">
        <f t="shared" si="77"/>
        <v>O</v>
      </c>
      <c r="V77" s="3" t="str">
        <f t="shared" si="78"/>
        <v>O</v>
      </c>
      <c r="W77" s="3" t="str">
        <f t="shared" si="79"/>
        <v>O</v>
      </c>
      <c r="X77" s="3" t="str">
        <f t="shared" si="80"/>
        <v>U</v>
      </c>
      <c r="Z77">
        <v>54.5</v>
      </c>
      <c r="AA77" t="str">
        <f t="shared" si="60"/>
        <v>GS/SAS</v>
      </c>
    </row>
    <row r="78" spans="1:27" x14ac:dyDescent="0.45">
      <c r="A78" s="3">
        <v>191103</v>
      </c>
      <c r="B78" s="1">
        <v>0.25</v>
      </c>
      <c r="C78" t="s">
        <v>141</v>
      </c>
      <c r="D78" t="s">
        <v>124</v>
      </c>
      <c r="E78">
        <v>33</v>
      </c>
      <c r="F78">
        <v>32</v>
      </c>
      <c r="G78">
        <v>29</v>
      </c>
      <c r="H78">
        <v>21</v>
      </c>
      <c r="J78">
        <v>26</v>
      </c>
      <c r="K78">
        <v>34</v>
      </c>
      <c r="L78">
        <v>26</v>
      </c>
      <c r="M78">
        <v>18</v>
      </c>
      <c r="O78" s="3">
        <f t="shared" si="71"/>
        <v>115</v>
      </c>
      <c r="P78" s="3">
        <f t="shared" si="72"/>
        <v>104</v>
      </c>
      <c r="Q78" s="3" t="str">
        <f t="shared" si="73"/>
        <v>HW</v>
      </c>
      <c r="R78" s="3" t="str">
        <f t="shared" si="74"/>
        <v>HL</v>
      </c>
      <c r="S78" s="3" t="str">
        <f t="shared" si="75"/>
        <v>HW</v>
      </c>
      <c r="T78" s="3" t="str">
        <f t="shared" si="76"/>
        <v>HW</v>
      </c>
      <c r="U78" s="3" t="str">
        <f t="shared" si="77"/>
        <v>O</v>
      </c>
      <c r="V78" s="3" t="str">
        <f t="shared" si="78"/>
        <v>O</v>
      </c>
      <c r="W78" s="3" t="str">
        <f t="shared" si="79"/>
        <v>U</v>
      </c>
      <c r="X78" s="3" t="str">
        <f t="shared" si="80"/>
        <v>U</v>
      </c>
      <c r="Z78">
        <v>57.5</v>
      </c>
      <c r="AA78" t="str">
        <f t="shared" si="60"/>
        <v>OKC/NO</v>
      </c>
    </row>
    <row r="79" spans="1:27" x14ac:dyDescent="0.45">
      <c r="A79" s="3">
        <v>191103</v>
      </c>
      <c r="B79" s="1">
        <v>0.33333333333333331</v>
      </c>
      <c r="C79" t="s">
        <v>135</v>
      </c>
      <c r="D79" t="s">
        <v>142</v>
      </c>
      <c r="E79">
        <v>33</v>
      </c>
      <c r="F79">
        <v>13</v>
      </c>
      <c r="G79">
        <v>32</v>
      </c>
      <c r="H79">
        <v>35</v>
      </c>
      <c r="J79">
        <v>26</v>
      </c>
      <c r="K79">
        <v>28</v>
      </c>
      <c r="L79">
        <v>18</v>
      </c>
      <c r="M79">
        <v>37</v>
      </c>
      <c r="O79" s="3">
        <f t="shared" si="71"/>
        <v>113</v>
      </c>
      <c r="P79" s="3">
        <f t="shared" si="72"/>
        <v>109</v>
      </c>
      <c r="Q79" s="3" t="str">
        <f t="shared" si="73"/>
        <v>HW</v>
      </c>
      <c r="R79" s="3" t="str">
        <f t="shared" si="74"/>
        <v>HL</v>
      </c>
      <c r="S79" s="3" t="str">
        <f t="shared" si="75"/>
        <v>HW</v>
      </c>
      <c r="T79" s="3" t="str">
        <f t="shared" si="76"/>
        <v>HL</v>
      </c>
      <c r="U79" s="3" t="str">
        <f t="shared" si="77"/>
        <v>O</v>
      </c>
      <c r="V79" s="3" t="str">
        <f t="shared" si="78"/>
        <v>U</v>
      </c>
      <c r="W79" s="3" t="str">
        <f t="shared" si="79"/>
        <v>U</v>
      </c>
      <c r="X79" s="3" t="str">
        <f t="shared" si="80"/>
        <v>O</v>
      </c>
      <c r="Z79">
        <v>54.5</v>
      </c>
      <c r="AA79" t="str">
        <f t="shared" si="60"/>
        <v>DET/BKN</v>
      </c>
    </row>
    <row r="80" spans="1:27" x14ac:dyDescent="0.45">
      <c r="A80" s="3">
        <v>191103</v>
      </c>
      <c r="B80" s="1">
        <v>0.33333333333333331</v>
      </c>
      <c r="C80" t="s">
        <v>130</v>
      </c>
      <c r="D80" t="s">
        <v>125</v>
      </c>
      <c r="E80">
        <v>26</v>
      </c>
      <c r="F80">
        <v>19</v>
      </c>
      <c r="G80">
        <v>18</v>
      </c>
      <c r="H80">
        <v>24</v>
      </c>
      <c r="J80">
        <v>17</v>
      </c>
      <c r="K80">
        <v>23</v>
      </c>
      <c r="L80">
        <v>29</v>
      </c>
      <c r="M80">
        <v>22</v>
      </c>
      <c r="O80" s="3">
        <f t="shared" si="71"/>
        <v>87</v>
      </c>
      <c r="P80" s="3">
        <f t="shared" si="72"/>
        <v>91</v>
      </c>
      <c r="Q80" s="3" t="str">
        <f t="shared" si="73"/>
        <v>HW</v>
      </c>
      <c r="R80" s="3" t="str">
        <f t="shared" si="74"/>
        <v>HL</v>
      </c>
      <c r="S80" s="3" t="str">
        <f t="shared" si="75"/>
        <v>HL</v>
      </c>
      <c r="T80" s="3" t="str">
        <f t="shared" si="76"/>
        <v>HW</v>
      </c>
      <c r="U80" s="3" t="str">
        <f t="shared" si="77"/>
        <v>U</v>
      </c>
      <c r="V80" s="3" t="str">
        <f t="shared" si="78"/>
        <v>U</v>
      </c>
      <c r="W80" s="3" t="str">
        <f t="shared" si="79"/>
        <v>U</v>
      </c>
      <c r="X80" s="3" t="str">
        <f t="shared" si="80"/>
        <v>U</v>
      </c>
      <c r="Z80">
        <v>52.5</v>
      </c>
      <c r="AA80" t="str">
        <f t="shared" si="60"/>
        <v>ORL/DEN</v>
      </c>
    </row>
    <row r="81" spans="1:27" x14ac:dyDescent="0.45">
      <c r="A81" s="3">
        <v>191103</v>
      </c>
      <c r="B81" s="1">
        <v>0.375</v>
      </c>
      <c r="C81" t="s">
        <v>131</v>
      </c>
      <c r="D81" t="s">
        <v>143</v>
      </c>
      <c r="E81">
        <v>36</v>
      </c>
      <c r="F81">
        <v>30</v>
      </c>
      <c r="G81">
        <v>29</v>
      </c>
      <c r="H81">
        <v>20</v>
      </c>
      <c r="J81">
        <v>17</v>
      </c>
      <c r="K81">
        <v>33</v>
      </c>
      <c r="L81">
        <v>40</v>
      </c>
      <c r="M81">
        <v>15</v>
      </c>
      <c r="O81" s="3">
        <f t="shared" si="71"/>
        <v>115</v>
      </c>
      <c r="P81" s="3">
        <f t="shared" si="72"/>
        <v>105</v>
      </c>
      <c r="Q81" s="3" t="str">
        <f t="shared" si="73"/>
        <v>HW</v>
      </c>
      <c r="R81" s="3" t="str">
        <f t="shared" si="74"/>
        <v>HL</v>
      </c>
      <c r="S81" s="3" t="str">
        <f t="shared" si="75"/>
        <v>HL</v>
      </c>
      <c r="T81" s="3" t="str">
        <f t="shared" si="76"/>
        <v>HW</v>
      </c>
      <c r="U81" s="3" t="str">
        <f t="shared" si="77"/>
        <v>U</v>
      </c>
      <c r="V81" s="3" t="str">
        <f t="shared" si="78"/>
        <v>O</v>
      </c>
      <c r="W81" s="3" t="str">
        <f t="shared" si="79"/>
        <v>O</v>
      </c>
      <c r="X81" s="3" t="str">
        <f t="shared" si="80"/>
        <v>U</v>
      </c>
      <c r="Z81">
        <v>58</v>
      </c>
      <c r="AA81" t="str">
        <f t="shared" si="60"/>
        <v>MIL/TOR</v>
      </c>
    </row>
    <row r="82" spans="1:27" x14ac:dyDescent="0.45">
      <c r="A82" s="3">
        <v>191103</v>
      </c>
      <c r="B82" s="1">
        <v>0.375</v>
      </c>
      <c r="C82" t="s">
        <v>144</v>
      </c>
      <c r="D82" t="s">
        <v>145</v>
      </c>
      <c r="E82">
        <v>34</v>
      </c>
      <c r="F82">
        <v>22</v>
      </c>
      <c r="G82">
        <v>16</v>
      </c>
      <c r="H82">
        <v>37</v>
      </c>
      <c r="J82">
        <v>42</v>
      </c>
      <c r="K82">
        <v>28</v>
      </c>
      <c r="L82">
        <v>36</v>
      </c>
      <c r="M82">
        <v>25</v>
      </c>
      <c r="O82" s="3">
        <f t="shared" si="71"/>
        <v>109</v>
      </c>
      <c r="P82" s="3">
        <f t="shared" si="72"/>
        <v>131</v>
      </c>
      <c r="Q82" s="3" t="str">
        <f t="shared" si="73"/>
        <v>HL</v>
      </c>
      <c r="R82" s="3" t="str">
        <f t="shared" si="74"/>
        <v>HL</v>
      </c>
      <c r="S82" s="3" t="str">
        <f t="shared" si="75"/>
        <v>HL</v>
      </c>
      <c r="T82" s="3" t="str">
        <f t="shared" si="76"/>
        <v>HW</v>
      </c>
      <c r="U82" s="3" t="str">
        <f t="shared" si="77"/>
        <v>O</v>
      </c>
      <c r="V82" s="3" t="str">
        <f t="shared" si="78"/>
        <v>U</v>
      </c>
      <c r="W82" s="3" t="str">
        <f t="shared" si="79"/>
        <v>U</v>
      </c>
      <c r="X82" s="3" t="str">
        <f t="shared" si="80"/>
        <v>O</v>
      </c>
      <c r="Z82">
        <v>58.5</v>
      </c>
      <c r="AA82" t="str">
        <f t="shared" si="60"/>
        <v>WAS/MIN</v>
      </c>
    </row>
    <row r="83" spans="1:27" x14ac:dyDescent="0.45">
      <c r="A83" s="3">
        <v>191103</v>
      </c>
      <c r="B83" s="1">
        <v>0.375</v>
      </c>
      <c r="C83" t="s">
        <v>146</v>
      </c>
      <c r="D83" t="s">
        <v>147</v>
      </c>
      <c r="E83">
        <v>24</v>
      </c>
      <c r="F83">
        <v>23</v>
      </c>
      <c r="G83">
        <v>22</v>
      </c>
      <c r="H83">
        <v>36</v>
      </c>
      <c r="J83">
        <v>31</v>
      </c>
      <c r="K83">
        <v>14</v>
      </c>
      <c r="L83">
        <v>37</v>
      </c>
      <c r="M83">
        <v>32</v>
      </c>
      <c r="O83" s="3">
        <f t="shared" si="71"/>
        <v>105</v>
      </c>
      <c r="P83" s="3">
        <f t="shared" si="72"/>
        <v>114</v>
      </c>
      <c r="Q83" s="3" t="str">
        <f t="shared" si="73"/>
        <v>HL</v>
      </c>
      <c r="R83" s="3" t="str">
        <f t="shared" si="74"/>
        <v>HW</v>
      </c>
      <c r="S83" s="3" t="str">
        <f t="shared" si="75"/>
        <v>HL</v>
      </c>
      <c r="T83" s="3" t="str">
        <f t="shared" si="76"/>
        <v>HW</v>
      </c>
      <c r="U83" s="3" t="str">
        <f t="shared" si="77"/>
        <v>O</v>
      </c>
      <c r="V83" s="3" t="str">
        <f t="shared" si="78"/>
        <v>U</v>
      </c>
      <c r="W83" s="3" t="str">
        <f t="shared" si="79"/>
        <v>O</v>
      </c>
      <c r="X83" s="3" t="str">
        <f t="shared" si="80"/>
        <v>O</v>
      </c>
      <c r="Z83">
        <v>54</v>
      </c>
      <c r="AA83" t="str">
        <f t="shared" si="60"/>
        <v>MEM/PHO</v>
      </c>
    </row>
    <row r="84" spans="1:27" x14ac:dyDescent="0.45">
      <c r="A84" s="3">
        <v>191103</v>
      </c>
      <c r="B84" s="1">
        <v>0.39583333333333331</v>
      </c>
      <c r="C84" t="s">
        <v>140</v>
      </c>
      <c r="D84" t="s">
        <v>148</v>
      </c>
      <c r="E84">
        <v>30</v>
      </c>
      <c r="F84">
        <v>25</v>
      </c>
      <c r="G84">
        <v>16</v>
      </c>
      <c r="H84">
        <v>16</v>
      </c>
      <c r="J84">
        <v>25</v>
      </c>
      <c r="K84">
        <v>25</v>
      </c>
      <c r="L84">
        <v>18</v>
      </c>
      <c r="M84">
        <v>25</v>
      </c>
      <c r="O84" s="3">
        <f t="shared" si="71"/>
        <v>87</v>
      </c>
      <c r="P84" s="3">
        <f t="shared" si="72"/>
        <v>93</v>
      </c>
      <c r="Q84" s="3" t="str">
        <f t="shared" si="73"/>
        <v>HW</v>
      </c>
      <c r="R84" s="3" t="str">
        <f t="shared" si="74"/>
        <v>TT</v>
      </c>
      <c r="S84" s="3" t="str">
        <f t="shared" si="75"/>
        <v>HL</v>
      </c>
      <c r="T84" s="3" t="str">
        <f t="shared" si="76"/>
        <v>HL</v>
      </c>
      <c r="U84" s="3" t="str">
        <f t="shared" si="77"/>
        <v>U</v>
      </c>
      <c r="V84" s="3" t="str">
        <f t="shared" si="78"/>
        <v>U</v>
      </c>
      <c r="W84" s="3" t="str">
        <f t="shared" si="79"/>
        <v>U</v>
      </c>
      <c r="X84" s="3" t="str">
        <f t="shared" si="80"/>
        <v>U</v>
      </c>
      <c r="Z84">
        <v>56.5</v>
      </c>
      <c r="AA84" t="str">
        <f t="shared" si="60"/>
        <v>GS/CHA</v>
      </c>
    </row>
    <row r="85" spans="1:27" x14ac:dyDescent="0.45">
      <c r="A85" s="3">
        <v>191103</v>
      </c>
      <c r="B85" s="1">
        <v>0.45833333333333331</v>
      </c>
      <c r="C85" t="s">
        <v>149</v>
      </c>
      <c r="D85" t="s">
        <v>150</v>
      </c>
      <c r="E85">
        <v>32</v>
      </c>
      <c r="F85">
        <v>36</v>
      </c>
      <c r="G85">
        <v>34</v>
      </c>
      <c r="H85">
        <v>26</v>
      </c>
      <c r="J85">
        <v>27</v>
      </c>
      <c r="K85">
        <v>30</v>
      </c>
      <c r="L85">
        <v>35</v>
      </c>
      <c r="M85">
        <v>37</v>
      </c>
      <c r="O85" s="3">
        <f t="shared" si="71"/>
        <v>128</v>
      </c>
      <c r="P85" s="3">
        <f t="shared" si="72"/>
        <v>129</v>
      </c>
      <c r="Q85" s="3" t="str">
        <f t="shared" si="73"/>
        <v>HW</v>
      </c>
      <c r="R85" s="3" t="str">
        <f t="shared" si="74"/>
        <v>HW</v>
      </c>
      <c r="S85" s="3" t="str">
        <f t="shared" si="75"/>
        <v>HL</v>
      </c>
      <c r="T85" s="3" t="str">
        <f t="shared" si="76"/>
        <v>HL</v>
      </c>
      <c r="U85" s="3" t="str">
        <f t="shared" si="77"/>
        <v>O</v>
      </c>
      <c r="V85" s="3" t="str">
        <f t="shared" si="78"/>
        <v>O</v>
      </c>
      <c r="W85" s="3" t="str">
        <f t="shared" si="79"/>
        <v>O</v>
      </c>
      <c r="X85" s="3" t="str">
        <f t="shared" si="80"/>
        <v>O</v>
      </c>
      <c r="Z85">
        <v>57.5</v>
      </c>
      <c r="AA85" t="str">
        <f t="shared" si="60"/>
        <v>POR/PHI</v>
      </c>
    </row>
    <row r="86" spans="1:27" x14ac:dyDescent="0.45">
      <c r="A86" s="3">
        <v>191104</v>
      </c>
      <c r="B86" s="1">
        <v>0.29166666666666669</v>
      </c>
      <c r="C86" t="s">
        <v>128</v>
      </c>
      <c r="D86" t="s">
        <v>134</v>
      </c>
      <c r="E86">
        <v>24</v>
      </c>
      <c r="F86">
        <v>31</v>
      </c>
      <c r="G86">
        <v>31</v>
      </c>
      <c r="H86">
        <v>22</v>
      </c>
      <c r="J86">
        <v>18</v>
      </c>
      <c r="K86">
        <v>24</v>
      </c>
      <c r="L86">
        <v>32</v>
      </c>
      <c r="M86">
        <v>21</v>
      </c>
      <c r="O86" s="3">
        <f t="shared" si="71"/>
        <v>108</v>
      </c>
      <c r="P86" s="3">
        <f t="shared" si="72"/>
        <v>95</v>
      </c>
      <c r="Q86" s="3" t="str">
        <f t="shared" si="73"/>
        <v>HW</v>
      </c>
      <c r="R86" s="3" t="str">
        <f t="shared" si="74"/>
        <v>HW</v>
      </c>
      <c r="S86" s="3" t="str">
        <f t="shared" si="75"/>
        <v>HL</v>
      </c>
      <c r="T86" s="3" t="str">
        <f t="shared" si="76"/>
        <v>HW</v>
      </c>
      <c r="U86" s="3" t="str">
        <f t="shared" si="77"/>
        <v>U</v>
      </c>
      <c r="V86" s="3" t="str">
        <f t="shared" si="78"/>
        <v>O</v>
      </c>
      <c r="W86" s="3" t="str">
        <f t="shared" si="79"/>
        <v>O</v>
      </c>
      <c r="X86" s="3" t="str">
        <f t="shared" si="80"/>
        <v>U</v>
      </c>
      <c r="Z86">
        <v>52.5</v>
      </c>
      <c r="AA86" t="str">
        <f t="shared" si="60"/>
        <v>IND/CHI</v>
      </c>
    </row>
    <row r="87" spans="1:27" x14ac:dyDescent="0.45">
      <c r="A87" s="3">
        <v>191104</v>
      </c>
      <c r="B87" s="1">
        <v>0.33333333333333331</v>
      </c>
      <c r="C87" t="s">
        <v>123</v>
      </c>
      <c r="D87" t="s">
        <v>151</v>
      </c>
      <c r="E87">
        <v>46</v>
      </c>
      <c r="F87">
        <v>25</v>
      </c>
      <c r="G87">
        <v>28</v>
      </c>
      <c r="H87">
        <v>30</v>
      </c>
      <c r="J87">
        <v>14</v>
      </c>
      <c r="K87">
        <v>32</v>
      </c>
      <c r="L87">
        <v>25</v>
      </c>
      <c r="M87">
        <v>29</v>
      </c>
      <c r="O87" s="3">
        <f t="shared" si="71"/>
        <v>129</v>
      </c>
      <c r="P87" s="3">
        <f t="shared" si="72"/>
        <v>100</v>
      </c>
      <c r="Q87" s="3" t="str">
        <f t="shared" si="73"/>
        <v>HW</v>
      </c>
      <c r="R87" s="3" t="str">
        <f t="shared" si="74"/>
        <v>HL</v>
      </c>
      <c r="S87" s="3" t="str">
        <f t="shared" si="75"/>
        <v>HW</v>
      </c>
      <c r="T87" s="3" t="str">
        <f t="shared" si="76"/>
        <v>HW</v>
      </c>
      <c r="U87" s="3" t="str">
        <f t="shared" si="77"/>
        <v>O</v>
      </c>
      <c r="V87" s="3" t="str">
        <f t="shared" si="78"/>
        <v>U</v>
      </c>
      <c r="W87" s="3" t="str">
        <f t="shared" si="79"/>
        <v>U</v>
      </c>
      <c r="X87" s="3" t="str">
        <f t="shared" si="80"/>
        <v>U</v>
      </c>
      <c r="Z87">
        <v>59.5</v>
      </c>
      <c r="AA87" t="str">
        <f t="shared" si="60"/>
        <v>MIA/HOU</v>
      </c>
    </row>
    <row r="88" spans="1:27" x14ac:dyDescent="0.45">
      <c r="A88" s="3">
        <v>191104</v>
      </c>
      <c r="B88" s="1">
        <v>0.33333333333333331</v>
      </c>
      <c r="C88" t="s">
        <v>133</v>
      </c>
      <c r="D88" t="s">
        <v>138</v>
      </c>
      <c r="E88">
        <v>23</v>
      </c>
      <c r="F88">
        <v>18</v>
      </c>
      <c r="G88">
        <v>23</v>
      </c>
      <c r="H88">
        <v>28</v>
      </c>
      <c r="J88">
        <v>32</v>
      </c>
      <c r="K88">
        <v>29</v>
      </c>
      <c r="L88">
        <v>29</v>
      </c>
      <c r="M88">
        <v>23</v>
      </c>
      <c r="O88" s="3">
        <f t="shared" si="71"/>
        <v>92</v>
      </c>
      <c r="P88" s="3">
        <f t="shared" si="72"/>
        <v>113</v>
      </c>
      <c r="Q88" s="3" t="str">
        <f t="shared" si="73"/>
        <v>HL</v>
      </c>
      <c r="R88" s="3" t="str">
        <f t="shared" si="74"/>
        <v>HL</v>
      </c>
      <c r="S88" s="3" t="str">
        <f t="shared" si="75"/>
        <v>HL</v>
      </c>
      <c r="T88" s="3" t="str">
        <f t="shared" si="76"/>
        <v>HW</v>
      </c>
      <c r="U88" s="3" t="str">
        <f t="shared" si="77"/>
        <v>O</v>
      </c>
      <c r="V88" s="3" t="str">
        <f t="shared" si="78"/>
        <v>U</v>
      </c>
      <c r="W88" s="3" t="str">
        <f t="shared" si="79"/>
        <v>U</v>
      </c>
      <c r="X88" s="3" t="str">
        <f t="shared" si="80"/>
        <v>U</v>
      </c>
      <c r="Z88">
        <v>54</v>
      </c>
      <c r="AA88" t="str">
        <f t="shared" si="60"/>
        <v>NYK/SAC</v>
      </c>
    </row>
    <row r="89" spans="1:27" x14ac:dyDescent="0.45">
      <c r="A89" s="3">
        <v>191104</v>
      </c>
      <c r="B89" s="1">
        <v>0.375</v>
      </c>
      <c r="C89" t="s">
        <v>127</v>
      </c>
      <c r="D89" t="s">
        <v>137</v>
      </c>
      <c r="E89">
        <v>25</v>
      </c>
      <c r="F89">
        <v>18</v>
      </c>
      <c r="G89">
        <v>29</v>
      </c>
      <c r="H89">
        <v>24</v>
      </c>
      <c r="J89">
        <v>26</v>
      </c>
      <c r="K89">
        <v>30</v>
      </c>
      <c r="L89">
        <v>21</v>
      </c>
      <c r="M89">
        <v>26</v>
      </c>
      <c r="O89" s="3">
        <f t="shared" si="71"/>
        <v>96</v>
      </c>
      <c r="P89" s="3">
        <f t="shared" si="72"/>
        <v>103</v>
      </c>
      <c r="Q89" s="3" t="str">
        <f t="shared" si="73"/>
        <v>HL</v>
      </c>
      <c r="R89" s="3" t="str">
        <f t="shared" si="74"/>
        <v>HL</v>
      </c>
      <c r="S89" s="3" t="str">
        <f t="shared" si="75"/>
        <v>HW</v>
      </c>
      <c r="T89" s="3" t="str">
        <f t="shared" si="76"/>
        <v>HL</v>
      </c>
      <c r="U89" s="3" t="str">
        <f t="shared" si="77"/>
        <v>U</v>
      </c>
      <c r="V89" s="3" t="str">
        <f t="shared" si="78"/>
        <v>U</v>
      </c>
      <c r="W89" s="3" t="str">
        <f t="shared" si="79"/>
        <v>U</v>
      </c>
      <c r="X89" s="3" t="str">
        <f t="shared" si="80"/>
        <v>U</v>
      </c>
      <c r="Z89">
        <v>55.5</v>
      </c>
      <c r="AA89" t="str">
        <f t="shared" si="60"/>
        <v>SAS/LAL</v>
      </c>
    </row>
    <row r="90" spans="1:27" x14ac:dyDescent="0.45">
      <c r="A90" s="3">
        <v>191104</v>
      </c>
      <c r="B90" s="1">
        <v>0.39583333333333331</v>
      </c>
      <c r="C90" t="s">
        <v>129</v>
      </c>
      <c r="D90" t="s">
        <v>136</v>
      </c>
      <c r="E90">
        <v>28</v>
      </c>
      <c r="F90">
        <v>25</v>
      </c>
      <c r="G90">
        <v>33</v>
      </c>
      <c r="H90">
        <v>25</v>
      </c>
      <c r="J90">
        <v>31</v>
      </c>
      <c r="K90">
        <v>27</v>
      </c>
      <c r="L90">
        <v>32</v>
      </c>
      <c r="M90">
        <v>41</v>
      </c>
      <c r="O90" s="3">
        <f t="shared" si="71"/>
        <v>111</v>
      </c>
      <c r="P90" s="3">
        <f t="shared" si="72"/>
        <v>131</v>
      </c>
      <c r="Q90" s="3" t="str">
        <f t="shared" si="73"/>
        <v>HL</v>
      </c>
      <c r="R90" s="3" t="str">
        <f t="shared" si="74"/>
        <v>HL</v>
      </c>
      <c r="S90" s="3" t="str">
        <f t="shared" si="75"/>
        <v>HW</v>
      </c>
      <c r="T90" s="3" t="str">
        <f t="shared" si="76"/>
        <v>HL</v>
      </c>
      <c r="U90" s="3" t="str">
        <f t="shared" si="77"/>
        <v>O</v>
      </c>
      <c r="V90" s="3" t="str">
        <f t="shared" si="78"/>
        <v>U</v>
      </c>
      <c r="W90" s="3" t="str">
        <f t="shared" si="79"/>
        <v>O</v>
      </c>
      <c r="X90" s="3" t="str">
        <f t="shared" si="80"/>
        <v>O</v>
      </c>
      <c r="Z90">
        <v>55.5</v>
      </c>
      <c r="AA90" t="str">
        <f t="shared" si="60"/>
        <v>CLE/DAL</v>
      </c>
    </row>
    <row r="91" spans="1:27" x14ac:dyDescent="0.45">
      <c r="A91" s="3">
        <v>191104</v>
      </c>
      <c r="B91" s="1">
        <v>0.45833333333333331</v>
      </c>
      <c r="C91" t="s">
        <v>126</v>
      </c>
      <c r="D91" t="s">
        <v>139</v>
      </c>
      <c r="E91">
        <v>16</v>
      </c>
      <c r="F91">
        <v>23</v>
      </c>
      <c r="G91">
        <v>26</v>
      </c>
      <c r="H91">
        <v>40</v>
      </c>
      <c r="J91">
        <v>20</v>
      </c>
      <c r="K91">
        <v>21</v>
      </c>
      <c r="L91">
        <v>28</v>
      </c>
      <c r="M91">
        <v>25</v>
      </c>
      <c r="O91" s="3">
        <f t="shared" si="71"/>
        <v>105</v>
      </c>
      <c r="P91" s="3">
        <f t="shared" si="72"/>
        <v>94</v>
      </c>
      <c r="Q91" s="3" t="str">
        <f t="shared" si="73"/>
        <v>HL</v>
      </c>
      <c r="R91" s="3" t="str">
        <f t="shared" si="74"/>
        <v>HW</v>
      </c>
      <c r="S91" s="3" t="str">
        <f t="shared" si="75"/>
        <v>HL</v>
      </c>
      <c r="T91" s="3" t="str">
        <f t="shared" si="76"/>
        <v>HW</v>
      </c>
      <c r="U91" s="3" t="str">
        <f t="shared" si="77"/>
        <v>U</v>
      </c>
      <c r="V91" s="3" t="str">
        <f t="shared" si="78"/>
        <v>U</v>
      </c>
      <c r="W91" s="3" t="str">
        <f t="shared" si="79"/>
        <v>O</v>
      </c>
      <c r="X91" s="3" t="str">
        <f t="shared" si="80"/>
        <v>O</v>
      </c>
      <c r="Z91">
        <v>51.5</v>
      </c>
      <c r="AA91" t="str">
        <f t="shared" si="60"/>
        <v>LAC/UTA</v>
      </c>
    </row>
    <row r="92" spans="1:27" x14ac:dyDescent="0.45">
      <c r="A92" s="3">
        <v>191105</v>
      </c>
      <c r="B92" s="1">
        <v>0.375</v>
      </c>
      <c r="C92" t="s">
        <v>144</v>
      </c>
      <c r="D92" t="s">
        <v>135</v>
      </c>
      <c r="E92">
        <v>31</v>
      </c>
      <c r="F92">
        <v>32</v>
      </c>
      <c r="G92">
        <v>30</v>
      </c>
      <c r="H92">
        <v>22</v>
      </c>
      <c r="J92">
        <v>30</v>
      </c>
      <c r="K92">
        <v>31</v>
      </c>
      <c r="L92">
        <v>17</v>
      </c>
      <c r="M92">
        <v>21</v>
      </c>
      <c r="O92" s="3">
        <f t="shared" si="71"/>
        <v>115</v>
      </c>
      <c r="P92" s="3">
        <f t="shared" si="72"/>
        <v>99</v>
      </c>
      <c r="Q92" s="3" t="str">
        <f t="shared" si="73"/>
        <v>HW</v>
      </c>
      <c r="R92" s="3" t="str">
        <f t="shared" si="74"/>
        <v>HW</v>
      </c>
      <c r="S92" s="3" t="str">
        <f t="shared" si="75"/>
        <v>HW</v>
      </c>
      <c r="T92" s="3" t="str">
        <f t="shared" si="76"/>
        <v>HW</v>
      </c>
      <c r="U92" s="3" t="str">
        <f t="shared" si="77"/>
        <v>O</v>
      </c>
      <c r="V92" s="3" t="str">
        <f t="shared" si="78"/>
        <v>O</v>
      </c>
      <c r="W92" s="3" t="str">
        <f t="shared" si="79"/>
        <v>U</v>
      </c>
      <c r="X92" s="3" t="str">
        <f t="shared" si="80"/>
        <v>U</v>
      </c>
      <c r="Z92">
        <v>58</v>
      </c>
      <c r="AA92" t="str">
        <f t="shared" si="60"/>
        <v>WAS/DET</v>
      </c>
    </row>
    <row r="93" spans="1:27" x14ac:dyDescent="0.45">
      <c r="A93" s="3">
        <v>191105</v>
      </c>
      <c r="B93" s="1">
        <v>0.39583333333333331</v>
      </c>
      <c r="C93" t="s">
        <v>142</v>
      </c>
      <c r="D93" t="s">
        <v>124</v>
      </c>
      <c r="E93">
        <v>33</v>
      </c>
      <c r="F93">
        <v>34</v>
      </c>
      <c r="G93">
        <v>37</v>
      </c>
      <c r="H93">
        <v>31</v>
      </c>
      <c r="J93">
        <v>27</v>
      </c>
      <c r="K93">
        <v>23</v>
      </c>
      <c r="L93">
        <v>48</v>
      </c>
      <c r="M93">
        <v>27</v>
      </c>
      <c r="O93" s="3">
        <f t="shared" si="71"/>
        <v>135</v>
      </c>
      <c r="P93" s="3">
        <f t="shared" si="72"/>
        <v>125</v>
      </c>
      <c r="Q93" s="3" t="str">
        <f t="shared" si="73"/>
        <v>HW</v>
      </c>
      <c r="R93" s="3" t="str">
        <f t="shared" si="74"/>
        <v>HW</v>
      </c>
      <c r="S93" s="3" t="str">
        <f t="shared" si="75"/>
        <v>HL</v>
      </c>
      <c r="T93" s="3" t="str">
        <f t="shared" si="76"/>
        <v>HW</v>
      </c>
      <c r="U93" s="3" t="str">
        <f t="shared" si="77"/>
        <v>U</v>
      </c>
      <c r="V93" s="3" t="str">
        <f t="shared" si="78"/>
        <v>U</v>
      </c>
      <c r="W93" s="3" t="str">
        <f t="shared" si="79"/>
        <v>O</v>
      </c>
      <c r="X93" s="3" t="str">
        <f t="shared" si="80"/>
        <v>U</v>
      </c>
      <c r="Z93">
        <v>61.5</v>
      </c>
      <c r="AA93" t="str">
        <f t="shared" si="60"/>
        <v>BKN/NO</v>
      </c>
    </row>
    <row r="94" spans="1:27" x14ac:dyDescent="0.45">
      <c r="A94" s="3">
        <v>191105</v>
      </c>
      <c r="B94" s="1">
        <v>0.41666666666666669</v>
      </c>
      <c r="C94" t="s">
        <v>145</v>
      </c>
      <c r="D94" t="s">
        <v>131</v>
      </c>
      <c r="E94">
        <v>27</v>
      </c>
      <c r="F94">
        <v>30</v>
      </c>
      <c r="G94">
        <v>25</v>
      </c>
      <c r="H94">
        <v>24</v>
      </c>
      <c r="J94">
        <v>31</v>
      </c>
      <c r="K94">
        <v>33</v>
      </c>
      <c r="L94">
        <v>38</v>
      </c>
      <c r="M94">
        <v>32</v>
      </c>
      <c r="O94" s="3">
        <f t="shared" si="71"/>
        <v>106</v>
      </c>
      <c r="P94" s="3">
        <f t="shared" si="72"/>
        <v>134</v>
      </c>
      <c r="Q94" s="3" t="str">
        <f t="shared" si="73"/>
        <v>HL</v>
      </c>
      <c r="R94" s="3" t="str">
        <f t="shared" si="74"/>
        <v>HL</v>
      </c>
      <c r="S94" s="3" t="str">
        <f t="shared" si="75"/>
        <v>HL</v>
      </c>
      <c r="T94" s="3" t="str">
        <f t="shared" si="76"/>
        <v>HL</v>
      </c>
      <c r="U94" s="3" t="str">
        <f t="shared" si="77"/>
        <v>O</v>
      </c>
      <c r="V94" s="3" t="str">
        <f t="shared" si="78"/>
        <v>O</v>
      </c>
      <c r="W94" s="3" t="str">
        <f t="shared" si="79"/>
        <v>O</v>
      </c>
      <c r="X94" s="3" t="str">
        <f t="shared" si="80"/>
        <v>O</v>
      </c>
      <c r="Z94">
        <v>55.5</v>
      </c>
      <c r="AA94" t="str">
        <f t="shared" si="60"/>
        <v>MIN/MIL</v>
      </c>
    </row>
    <row r="95" spans="1:27" x14ac:dyDescent="0.45">
      <c r="A95" s="3">
        <v>191105</v>
      </c>
      <c r="B95" s="1">
        <v>0.41666666666666669</v>
      </c>
      <c r="C95" t="s">
        <v>146</v>
      </c>
      <c r="D95" t="s">
        <v>151</v>
      </c>
      <c r="E95">
        <v>28</v>
      </c>
      <c r="F95">
        <v>32</v>
      </c>
      <c r="G95">
        <v>16</v>
      </c>
      <c r="H95">
        <v>24</v>
      </c>
      <c r="J95">
        <v>33</v>
      </c>
      <c r="K95">
        <v>29</v>
      </c>
      <c r="L95">
        <v>22</v>
      </c>
      <c r="M95">
        <v>23</v>
      </c>
      <c r="O95" s="3">
        <f t="shared" si="71"/>
        <v>100</v>
      </c>
      <c r="P95" s="3">
        <f t="shared" si="72"/>
        <v>107</v>
      </c>
      <c r="Q95" s="3" t="str">
        <f t="shared" si="73"/>
        <v>HL</v>
      </c>
      <c r="R95" s="3" t="str">
        <f t="shared" si="74"/>
        <v>HW</v>
      </c>
      <c r="S95" s="3" t="str">
        <f t="shared" si="75"/>
        <v>HL</v>
      </c>
      <c r="T95" s="3" t="str">
        <f t="shared" si="76"/>
        <v>HW</v>
      </c>
      <c r="U95" s="3" t="str">
        <f t="shared" si="77"/>
        <v>O</v>
      </c>
      <c r="V95" s="3" t="str">
        <f t="shared" si="78"/>
        <v>O</v>
      </c>
      <c r="W95" s="3" t="str">
        <f t="shared" si="79"/>
        <v>U</v>
      </c>
      <c r="X95" s="3" t="str">
        <f t="shared" si="80"/>
        <v>U</v>
      </c>
      <c r="Z95">
        <v>59</v>
      </c>
      <c r="AA95" t="str">
        <f t="shared" si="60"/>
        <v>MEM/HOU</v>
      </c>
    </row>
    <row r="96" spans="1:27" x14ac:dyDescent="0.45">
      <c r="A96" s="3">
        <v>191105</v>
      </c>
      <c r="B96" s="1">
        <v>0.45833333333333331</v>
      </c>
      <c r="C96" t="s">
        <v>147</v>
      </c>
      <c r="D96" t="s">
        <v>150</v>
      </c>
      <c r="E96">
        <v>29</v>
      </c>
      <c r="F96">
        <v>26</v>
      </c>
      <c r="G96">
        <v>26</v>
      </c>
      <c r="H96">
        <v>33</v>
      </c>
      <c r="J96">
        <v>31</v>
      </c>
      <c r="K96">
        <v>30</v>
      </c>
      <c r="L96">
        <v>21</v>
      </c>
      <c r="M96">
        <v>27</v>
      </c>
      <c r="O96" s="3">
        <f t="shared" si="71"/>
        <v>114</v>
      </c>
      <c r="P96" s="3">
        <f t="shared" si="72"/>
        <v>109</v>
      </c>
      <c r="Q96" s="3" t="str">
        <f t="shared" si="73"/>
        <v>HL</v>
      </c>
      <c r="R96" s="3" t="str">
        <f t="shared" si="74"/>
        <v>HL</v>
      </c>
      <c r="S96" s="3" t="str">
        <f t="shared" si="75"/>
        <v>HW</v>
      </c>
      <c r="T96" s="3" t="str">
        <f t="shared" si="76"/>
        <v>HW</v>
      </c>
      <c r="U96" s="3" t="str">
        <f t="shared" si="77"/>
        <v>O</v>
      </c>
      <c r="V96" s="3" t="str">
        <f t="shared" si="78"/>
        <v>U</v>
      </c>
      <c r="W96" s="3" t="str">
        <f t="shared" si="79"/>
        <v>U</v>
      </c>
      <c r="X96" s="3" t="str">
        <f t="shared" si="80"/>
        <v>O</v>
      </c>
      <c r="Z96">
        <v>57.5</v>
      </c>
      <c r="AA96" t="str">
        <f t="shared" si="60"/>
        <v>PHO/PHI</v>
      </c>
    </row>
    <row r="97" spans="1:27" s="3" customFormat="1" x14ac:dyDescent="0.45">
      <c r="A97" s="3">
        <v>191105</v>
      </c>
      <c r="B97" s="1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71"/>
        <v>127</v>
      </c>
      <c r="P97" s="3">
        <f t="shared" si="72"/>
        <v>118</v>
      </c>
      <c r="Q97" s="3" t="str">
        <f t="shared" si="73"/>
        <v>HW</v>
      </c>
      <c r="R97" s="3" t="str">
        <f t="shared" si="74"/>
        <v>HL</v>
      </c>
      <c r="S97" s="3" t="str">
        <f t="shared" si="75"/>
        <v>HW</v>
      </c>
      <c r="T97" s="3" t="str">
        <f t="shared" si="76"/>
        <v>HW</v>
      </c>
      <c r="U97" s="3" t="str">
        <f t="shared" si="77"/>
        <v>O</v>
      </c>
      <c r="V97" s="3" t="str">
        <f t="shared" si="78"/>
        <v>O</v>
      </c>
      <c r="W97" s="3" t="str">
        <f t="shared" si="79"/>
        <v>U</v>
      </c>
      <c r="X97" s="3" t="str">
        <f t="shared" si="80"/>
        <v>O</v>
      </c>
      <c r="Z97" s="3">
        <v>53.5</v>
      </c>
      <c r="AA97" s="3" t="str">
        <f t="shared" si="60"/>
        <v>GS/POR</v>
      </c>
    </row>
    <row r="98" spans="1:27" x14ac:dyDescent="0.45">
      <c r="A98" s="3">
        <v>191106</v>
      </c>
      <c r="B98" s="1">
        <v>0.375</v>
      </c>
      <c r="C98" t="s">
        <v>129</v>
      </c>
      <c r="D98" t="s">
        <v>132</v>
      </c>
      <c r="E98">
        <v>24</v>
      </c>
      <c r="F98">
        <v>28</v>
      </c>
      <c r="G98">
        <v>31</v>
      </c>
      <c r="H98">
        <v>30</v>
      </c>
      <c r="J98">
        <v>32</v>
      </c>
      <c r="K98">
        <v>29</v>
      </c>
      <c r="L98">
        <v>28</v>
      </c>
      <c r="M98">
        <v>30</v>
      </c>
      <c r="O98" s="3">
        <f t="shared" ref="O98:O116" si="81">SUM(E98:I98)</f>
        <v>113</v>
      </c>
      <c r="P98" s="3">
        <f t="shared" ref="P98:P116" si="82">SUM(J98:N98)</f>
        <v>119</v>
      </c>
      <c r="Q98" s="3" t="str">
        <f t="shared" ref="Q98:Q116" si="83">IF(E98=J98,"TT",IF(E98&gt;J98,"HW","HL"))</f>
        <v>HL</v>
      </c>
      <c r="R98" s="3" t="str">
        <f t="shared" ref="R98:R116" si="84">IF(F98=K98,"TT",IF(F98&gt;K98,"HW","HL"))</f>
        <v>HL</v>
      </c>
      <c r="S98" s="3" t="str">
        <f t="shared" ref="S98:S116" si="85">IF(G98=L98,"TT",IF(G98&gt;L98,"HW","HL"))</f>
        <v>HW</v>
      </c>
      <c r="T98" s="3" t="str">
        <f t="shared" ref="T98:T116" si="86">IF(H98=M98,"TT",IF(H98&gt;M98,"HW","HL"))</f>
        <v>TT</v>
      </c>
      <c r="U98" s="3" t="str">
        <f t="shared" ref="U98:U116" si="87">IF(SUM(E98,J98)=$Z98,"T",IF(SUM(E98,J98)&gt;$Z98,"O","U"))</f>
        <v>O</v>
      </c>
      <c r="V98" s="3" t="str">
        <f t="shared" ref="V98:V116" si="88">IF(SUM(F98,K98)=$Z98,"T",IF(SUM(F98,K98)&gt;$Z98,"O","U"))</f>
        <v>O</v>
      </c>
      <c r="W98" s="3" t="str">
        <f t="shared" ref="W98:W116" si="89">IF(SUM(G98,L98)=$Z98,"T",IF(SUM(G98,L98)&gt;$Z98,"O","U"))</f>
        <v>O</v>
      </c>
      <c r="X98" s="3" t="str">
        <f t="shared" ref="X98:X116" si="90">IF(SUM(H98,M98)=$Z98,"T",IF(SUM(H98,M98)&gt;$Z98,"O","U"))</f>
        <v>O</v>
      </c>
      <c r="Z98">
        <v>52</v>
      </c>
      <c r="AA98" t="str">
        <f t="shared" si="60"/>
        <v>CLE/BOS</v>
      </c>
    </row>
    <row r="99" spans="1:27" x14ac:dyDescent="0.45">
      <c r="A99" s="3">
        <v>191106</v>
      </c>
      <c r="B99" s="1">
        <v>0.375</v>
      </c>
      <c r="C99" t="s">
        <v>148</v>
      </c>
      <c r="D99" t="s">
        <v>128</v>
      </c>
      <c r="E99">
        <v>20</v>
      </c>
      <c r="F99">
        <v>37</v>
      </c>
      <c r="G99">
        <v>21</v>
      </c>
      <c r="H99">
        <v>35</v>
      </c>
      <c r="I99">
        <v>9</v>
      </c>
      <c r="J99">
        <v>35</v>
      </c>
      <c r="K99">
        <v>29</v>
      </c>
      <c r="L99">
        <v>28</v>
      </c>
      <c r="M99">
        <v>21</v>
      </c>
      <c r="N99" s="2">
        <v>7</v>
      </c>
      <c r="O99" s="3">
        <f t="shared" si="81"/>
        <v>122</v>
      </c>
      <c r="P99" s="3">
        <f t="shared" si="82"/>
        <v>120</v>
      </c>
      <c r="Q99" s="3" t="str">
        <f t="shared" si="83"/>
        <v>HL</v>
      </c>
      <c r="R99" s="3" t="str">
        <f t="shared" si="84"/>
        <v>HW</v>
      </c>
      <c r="S99" s="3" t="str">
        <f t="shared" si="85"/>
        <v>HL</v>
      </c>
      <c r="T99" s="3" t="str">
        <f t="shared" si="86"/>
        <v>HW</v>
      </c>
      <c r="U99" s="3" t="str">
        <f t="shared" si="87"/>
        <v>O</v>
      </c>
      <c r="V99" s="3" t="str">
        <f t="shared" si="88"/>
        <v>O</v>
      </c>
      <c r="W99" s="3" t="str">
        <f t="shared" si="89"/>
        <v>U</v>
      </c>
      <c r="X99" s="3" t="str">
        <f t="shared" si="90"/>
        <v>O</v>
      </c>
      <c r="Z99">
        <v>54.5</v>
      </c>
      <c r="AA99" t="str">
        <f t="shared" si="60"/>
        <v>CHA/IND</v>
      </c>
    </row>
    <row r="100" spans="1:27" x14ac:dyDescent="0.45">
      <c r="A100" s="3">
        <v>191106</v>
      </c>
      <c r="B100" s="1">
        <v>0.39583333333333331</v>
      </c>
      <c r="C100" t="s">
        <v>122</v>
      </c>
      <c r="D100" t="s">
        <v>127</v>
      </c>
      <c r="E100">
        <v>22</v>
      </c>
      <c r="F100">
        <v>22</v>
      </c>
      <c r="G100">
        <v>26</v>
      </c>
      <c r="H100">
        <v>38</v>
      </c>
      <c r="J100">
        <v>21</v>
      </c>
      <c r="K100">
        <v>24</v>
      </c>
      <c r="L100">
        <v>33</v>
      </c>
      <c r="M100">
        <v>22</v>
      </c>
      <c r="O100" s="3">
        <f t="shared" si="81"/>
        <v>108</v>
      </c>
      <c r="P100" s="3">
        <f t="shared" si="82"/>
        <v>100</v>
      </c>
      <c r="Q100" s="3" t="str">
        <f t="shared" si="83"/>
        <v>HW</v>
      </c>
      <c r="R100" s="3" t="str">
        <f t="shared" si="84"/>
        <v>HL</v>
      </c>
      <c r="S100" s="3" t="str">
        <f t="shared" si="85"/>
        <v>HL</v>
      </c>
      <c r="T100" s="3" t="str">
        <f t="shared" si="86"/>
        <v>HW</v>
      </c>
      <c r="U100" s="3" t="str">
        <f t="shared" si="87"/>
        <v>U</v>
      </c>
      <c r="V100" s="3" t="str">
        <f t="shared" si="88"/>
        <v>U</v>
      </c>
      <c r="W100" s="3" t="str">
        <f t="shared" si="89"/>
        <v>O</v>
      </c>
      <c r="X100" s="3" t="str">
        <f t="shared" si="90"/>
        <v>O</v>
      </c>
      <c r="Z100">
        <v>53.5</v>
      </c>
      <c r="AA100" t="str">
        <f t="shared" si="60"/>
        <v>ATL/SAS</v>
      </c>
    </row>
    <row r="101" spans="1:27" x14ac:dyDescent="0.45">
      <c r="A101" s="3">
        <v>191106</v>
      </c>
      <c r="B101" s="1">
        <v>0.41666666666666669</v>
      </c>
      <c r="C101" t="s">
        <v>134</v>
      </c>
      <c r="D101" t="s">
        <v>137</v>
      </c>
      <c r="E101">
        <v>29</v>
      </c>
      <c r="F101">
        <v>36</v>
      </c>
      <c r="G101">
        <v>28</v>
      </c>
      <c r="H101">
        <v>19</v>
      </c>
      <c r="J101">
        <v>24</v>
      </c>
      <c r="K101">
        <v>24</v>
      </c>
      <c r="L101">
        <v>32</v>
      </c>
      <c r="M101">
        <v>38</v>
      </c>
      <c r="O101" s="3">
        <f t="shared" si="81"/>
        <v>112</v>
      </c>
      <c r="P101" s="3">
        <f t="shared" si="82"/>
        <v>118</v>
      </c>
      <c r="Q101" s="3" t="str">
        <f t="shared" si="83"/>
        <v>HW</v>
      </c>
      <c r="R101" s="3" t="str">
        <f t="shared" si="84"/>
        <v>HW</v>
      </c>
      <c r="S101" s="3" t="str">
        <f t="shared" si="85"/>
        <v>HL</v>
      </c>
      <c r="T101" s="3" t="str">
        <f t="shared" si="86"/>
        <v>HL</v>
      </c>
      <c r="U101" s="3" t="str">
        <f t="shared" si="87"/>
        <v>U</v>
      </c>
      <c r="V101" s="3" t="str">
        <f t="shared" si="88"/>
        <v>O</v>
      </c>
      <c r="W101" s="3" t="str">
        <f t="shared" si="89"/>
        <v>O</v>
      </c>
      <c r="X101" s="3" t="str">
        <f t="shared" si="90"/>
        <v>O</v>
      </c>
      <c r="Z101">
        <v>55.5</v>
      </c>
      <c r="AA101" t="str">
        <f t="shared" si="60"/>
        <v>CHI/LAL</v>
      </c>
    </row>
    <row r="102" spans="1:27" x14ac:dyDescent="0.45">
      <c r="A102" s="3">
        <v>191106</v>
      </c>
      <c r="B102" s="1">
        <v>0.41666666666666669</v>
      </c>
      <c r="C102" t="s">
        <v>49</v>
      </c>
      <c r="D102" t="s">
        <v>130</v>
      </c>
      <c r="E102">
        <v>31</v>
      </c>
      <c r="F102">
        <v>27</v>
      </c>
      <c r="G102">
        <v>23</v>
      </c>
      <c r="H102">
        <v>21</v>
      </c>
      <c r="J102">
        <v>26</v>
      </c>
      <c r="K102">
        <v>27</v>
      </c>
      <c r="L102">
        <v>26</v>
      </c>
      <c r="M102">
        <v>15</v>
      </c>
      <c r="O102" s="3">
        <f t="shared" si="81"/>
        <v>102</v>
      </c>
      <c r="P102" s="3">
        <f t="shared" si="82"/>
        <v>94</v>
      </c>
      <c r="Q102" s="3" t="str">
        <f t="shared" si="83"/>
        <v>HW</v>
      </c>
      <c r="R102" s="3" t="str">
        <f t="shared" si="84"/>
        <v>TT</v>
      </c>
      <c r="S102" s="3" t="str">
        <f t="shared" si="85"/>
        <v>HL</v>
      </c>
      <c r="T102" s="3" t="str">
        <f t="shared" si="86"/>
        <v>HW</v>
      </c>
      <c r="U102" s="3" t="str">
        <f t="shared" si="87"/>
        <v>O</v>
      </c>
      <c r="V102" s="3" t="str">
        <f t="shared" si="88"/>
        <v>O</v>
      </c>
      <c r="W102" s="3" t="str">
        <f t="shared" si="89"/>
        <v>U</v>
      </c>
      <c r="X102" s="3" t="str">
        <f t="shared" si="90"/>
        <v>U</v>
      </c>
      <c r="Z102">
        <v>52</v>
      </c>
      <c r="AA102" t="str">
        <f t="shared" si="60"/>
        <v>OKC/ORL</v>
      </c>
    </row>
    <row r="103" spans="1:27" x14ac:dyDescent="0.45">
      <c r="A103" s="3">
        <v>191106</v>
      </c>
      <c r="B103" s="1">
        <v>0.45833333333333331</v>
      </c>
      <c r="C103" t="s">
        <v>125</v>
      </c>
      <c r="D103" t="s">
        <v>123</v>
      </c>
      <c r="E103">
        <v>29</v>
      </c>
      <c r="F103">
        <v>29</v>
      </c>
      <c r="G103">
        <v>31</v>
      </c>
      <c r="H103">
        <v>20</v>
      </c>
      <c r="J103">
        <v>28</v>
      </c>
      <c r="K103">
        <v>20</v>
      </c>
      <c r="L103">
        <v>21</v>
      </c>
      <c r="M103">
        <v>20</v>
      </c>
      <c r="O103" s="3">
        <f t="shared" si="81"/>
        <v>109</v>
      </c>
      <c r="P103" s="3">
        <f t="shared" si="82"/>
        <v>89</v>
      </c>
      <c r="Q103" s="3" t="str">
        <f t="shared" si="83"/>
        <v>HW</v>
      </c>
      <c r="R103" s="3" t="str">
        <f t="shared" si="84"/>
        <v>HW</v>
      </c>
      <c r="S103" s="3" t="str">
        <f t="shared" si="85"/>
        <v>HW</v>
      </c>
      <c r="T103" s="3" t="str">
        <f t="shared" si="86"/>
        <v>TT</v>
      </c>
      <c r="U103" s="3" t="str">
        <f t="shared" si="87"/>
        <v>O</v>
      </c>
      <c r="V103" s="3" t="str">
        <f t="shared" si="88"/>
        <v>U</v>
      </c>
      <c r="W103" s="3" t="str">
        <f t="shared" si="89"/>
        <v>U</v>
      </c>
      <c r="X103" s="3" t="str">
        <f t="shared" si="90"/>
        <v>U</v>
      </c>
      <c r="Z103">
        <v>54</v>
      </c>
      <c r="AA103" s="3" t="str">
        <f t="shared" si="60"/>
        <v>DEN/MIA</v>
      </c>
    </row>
    <row r="104" spans="1:27" x14ac:dyDescent="0.45">
      <c r="A104" s="3">
        <v>191107</v>
      </c>
      <c r="B104" s="1">
        <v>0.375</v>
      </c>
      <c r="C104" t="s">
        <v>135</v>
      </c>
      <c r="D104" t="s">
        <v>133</v>
      </c>
      <c r="E104">
        <v>33</v>
      </c>
      <c r="F104">
        <v>31</v>
      </c>
      <c r="G104">
        <v>32</v>
      </c>
      <c r="H104">
        <v>26</v>
      </c>
      <c r="J104">
        <v>25</v>
      </c>
      <c r="K104">
        <v>34</v>
      </c>
      <c r="L104">
        <v>26</v>
      </c>
      <c r="M104">
        <v>17</v>
      </c>
      <c r="O104" s="3">
        <f t="shared" si="81"/>
        <v>122</v>
      </c>
      <c r="P104" s="3">
        <f t="shared" si="82"/>
        <v>102</v>
      </c>
      <c r="Q104" s="3" t="str">
        <f t="shared" si="83"/>
        <v>HW</v>
      </c>
      <c r="R104" s="3" t="str">
        <f t="shared" si="84"/>
        <v>HL</v>
      </c>
      <c r="S104" s="3" t="str">
        <f t="shared" si="85"/>
        <v>HW</v>
      </c>
      <c r="T104" s="3" t="str">
        <f t="shared" si="86"/>
        <v>HW</v>
      </c>
      <c r="U104" s="3" t="str">
        <f t="shared" si="87"/>
        <v>O</v>
      </c>
      <c r="V104" s="3" t="str">
        <f t="shared" si="88"/>
        <v>O</v>
      </c>
      <c r="W104" s="3" t="str">
        <f t="shared" si="89"/>
        <v>O</v>
      </c>
      <c r="X104" s="3" t="str">
        <f t="shared" si="90"/>
        <v>U</v>
      </c>
      <c r="Z104">
        <v>53</v>
      </c>
      <c r="AA104" s="3" t="str">
        <f t="shared" si="60"/>
        <v>DET/NYK</v>
      </c>
    </row>
    <row r="105" spans="1:27" x14ac:dyDescent="0.45">
      <c r="A105" s="3">
        <v>191107</v>
      </c>
      <c r="B105" s="1">
        <v>0.375</v>
      </c>
      <c r="C105" t="s">
        <v>128</v>
      </c>
      <c r="D105" t="s">
        <v>34</v>
      </c>
      <c r="E105">
        <v>26</v>
      </c>
      <c r="F105">
        <v>44</v>
      </c>
      <c r="G105">
        <v>24</v>
      </c>
      <c r="H105">
        <v>27</v>
      </c>
      <c r="J105">
        <v>26</v>
      </c>
      <c r="K105">
        <v>36</v>
      </c>
      <c r="L105">
        <v>18</v>
      </c>
      <c r="M105">
        <v>26</v>
      </c>
      <c r="O105" s="3">
        <f t="shared" si="81"/>
        <v>121</v>
      </c>
      <c r="P105" s="3">
        <f t="shared" si="82"/>
        <v>106</v>
      </c>
      <c r="Q105" s="3" t="str">
        <f t="shared" si="83"/>
        <v>TT</v>
      </c>
      <c r="R105" s="3" t="str">
        <f t="shared" si="84"/>
        <v>HW</v>
      </c>
      <c r="S105" s="3" t="str">
        <f t="shared" si="85"/>
        <v>HW</v>
      </c>
      <c r="T105" s="3" t="str">
        <f t="shared" si="86"/>
        <v>HW</v>
      </c>
      <c r="U105" s="3" t="str">
        <f t="shared" si="87"/>
        <v>U</v>
      </c>
      <c r="V105" s="3" t="str">
        <f t="shared" si="88"/>
        <v>O</v>
      </c>
      <c r="W105" s="3" t="str">
        <f t="shared" si="89"/>
        <v>U</v>
      </c>
      <c r="X105" s="3" t="str">
        <f t="shared" si="90"/>
        <v>U</v>
      </c>
      <c r="Z105">
        <v>58</v>
      </c>
      <c r="AA105" s="3" t="str">
        <f t="shared" si="60"/>
        <v>IND/WAS</v>
      </c>
    </row>
    <row r="106" spans="1:27" x14ac:dyDescent="0.45">
      <c r="A106" s="3">
        <v>191107</v>
      </c>
      <c r="B106" s="1">
        <v>0.39583333333333331</v>
      </c>
      <c r="C106" t="s">
        <v>122</v>
      </c>
      <c r="D106" t="s">
        <v>134</v>
      </c>
      <c r="E106">
        <v>19</v>
      </c>
      <c r="F106">
        <v>22</v>
      </c>
      <c r="G106">
        <v>24</v>
      </c>
      <c r="H106">
        <v>28</v>
      </c>
      <c r="J106">
        <v>33</v>
      </c>
      <c r="K106">
        <v>23</v>
      </c>
      <c r="L106">
        <v>35</v>
      </c>
      <c r="M106">
        <v>22</v>
      </c>
      <c r="O106" s="3">
        <f t="shared" si="81"/>
        <v>93</v>
      </c>
      <c r="P106" s="3">
        <f t="shared" si="82"/>
        <v>113</v>
      </c>
      <c r="Q106" s="3" t="str">
        <f t="shared" si="83"/>
        <v>HL</v>
      </c>
      <c r="R106" s="3" t="str">
        <f t="shared" si="84"/>
        <v>HL</v>
      </c>
      <c r="S106" s="3" t="str">
        <f t="shared" si="85"/>
        <v>HL</v>
      </c>
      <c r="T106" s="3" t="str">
        <f t="shared" si="86"/>
        <v>HW</v>
      </c>
      <c r="U106" s="3" t="str">
        <f t="shared" si="87"/>
        <v>U</v>
      </c>
      <c r="V106" s="3" t="str">
        <f t="shared" si="88"/>
        <v>U</v>
      </c>
      <c r="W106" s="3" t="str">
        <f t="shared" si="89"/>
        <v>O</v>
      </c>
      <c r="X106" s="3" t="str">
        <f t="shared" si="90"/>
        <v>U</v>
      </c>
      <c r="Z106">
        <v>53.5</v>
      </c>
      <c r="AA106" s="3" t="str">
        <f t="shared" ref="AA106:AA146" si="91">C106&amp;"/"&amp;D106</f>
        <v>ATL/CHI</v>
      </c>
    </row>
    <row r="107" spans="1:27" x14ac:dyDescent="0.45">
      <c r="A107" s="3">
        <v>191107</v>
      </c>
      <c r="B107" s="1">
        <v>0.39583333333333331</v>
      </c>
      <c r="C107" t="s">
        <v>151</v>
      </c>
      <c r="D107" t="s">
        <v>140</v>
      </c>
      <c r="E107">
        <v>30</v>
      </c>
      <c r="F107">
        <v>33</v>
      </c>
      <c r="G107">
        <v>35</v>
      </c>
      <c r="H107">
        <v>31</v>
      </c>
      <c r="J107">
        <v>29</v>
      </c>
      <c r="K107">
        <v>23</v>
      </c>
      <c r="L107">
        <v>31</v>
      </c>
      <c r="M107">
        <v>29</v>
      </c>
      <c r="O107" s="3">
        <f t="shared" si="81"/>
        <v>129</v>
      </c>
      <c r="P107" s="3">
        <f t="shared" si="82"/>
        <v>112</v>
      </c>
      <c r="Q107" s="3" t="str">
        <f t="shared" si="83"/>
        <v>HW</v>
      </c>
      <c r="R107" s="3" t="str">
        <f t="shared" si="84"/>
        <v>HW</v>
      </c>
      <c r="S107" s="3" t="str">
        <f t="shared" si="85"/>
        <v>HW</v>
      </c>
      <c r="T107" s="3" t="str">
        <f t="shared" si="86"/>
        <v>HW</v>
      </c>
      <c r="U107" s="3" t="str">
        <f t="shared" si="87"/>
        <v>U</v>
      </c>
      <c r="V107" s="3" t="str">
        <f t="shared" si="88"/>
        <v>U</v>
      </c>
      <c r="W107" s="3" t="str">
        <f t="shared" si="89"/>
        <v>O</v>
      </c>
      <c r="X107" s="3" t="str">
        <f t="shared" si="90"/>
        <v>O</v>
      </c>
      <c r="Z107">
        <v>59.5</v>
      </c>
      <c r="AA107" s="3" t="str">
        <f t="shared" si="91"/>
        <v>HOU/GS</v>
      </c>
    </row>
    <row r="108" spans="1:27" x14ac:dyDescent="0.45">
      <c r="A108" s="3">
        <v>191107</v>
      </c>
      <c r="B108" s="1">
        <v>0.39583333333333331</v>
      </c>
      <c r="C108" t="s">
        <v>143</v>
      </c>
      <c r="D108" t="s">
        <v>138</v>
      </c>
      <c r="E108">
        <v>36</v>
      </c>
      <c r="F108">
        <v>30</v>
      </c>
      <c r="G108">
        <v>29</v>
      </c>
      <c r="H108">
        <v>29</v>
      </c>
      <c r="J108">
        <v>23</v>
      </c>
      <c r="K108">
        <v>35</v>
      </c>
      <c r="L108">
        <v>30</v>
      </c>
      <c r="M108">
        <v>32</v>
      </c>
      <c r="O108" s="3">
        <f t="shared" si="81"/>
        <v>124</v>
      </c>
      <c r="P108" s="3">
        <f t="shared" si="82"/>
        <v>120</v>
      </c>
      <c r="Q108" s="3" t="str">
        <f t="shared" si="83"/>
        <v>HW</v>
      </c>
      <c r="R108" s="3" t="str">
        <f t="shared" si="84"/>
        <v>HL</v>
      </c>
      <c r="S108" s="3" t="str">
        <f t="shared" si="85"/>
        <v>HL</v>
      </c>
      <c r="T108" s="3" t="str">
        <f t="shared" si="86"/>
        <v>HL</v>
      </c>
      <c r="U108" s="3" t="str">
        <f t="shared" si="87"/>
        <v>O</v>
      </c>
      <c r="V108" s="3" t="str">
        <f t="shared" si="88"/>
        <v>O</v>
      </c>
      <c r="W108" s="3" t="str">
        <f t="shared" si="89"/>
        <v>O</v>
      </c>
      <c r="X108" s="3" t="str">
        <f t="shared" si="90"/>
        <v>O</v>
      </c>
      <c r="Z108">
        <v>56</v>
      </c>
      <c r="AA108" s="3" t="str">
        <f t="shared" si="91"/>
        <v>TOR/SAC</v>
      </c>
    </row>
    <row r="109" spans="1:27" x14ac:dyDescent="0.45">
      <c r="A109" s="3">
        <v>191107</v>
      </c>
      <c r="B109" s="1">
        <v>0.41666666666666669</v>
      </c>
      <c r="C109" t="s">
        <v>146</v>
      </c>
      <c r="D109" t="s">
        <v>145</v>
      </c>
      <c r="E109">
        <v>37</v>
      </c>
      <c r="F109">
        <v>35</v>
      </c>
      <c r="G109">
        <v>29</v>
      </c>
      <c r="H109">
        <v>36</v>
      </c>
      <c r="J109">
        <v>26</v>
      </c>
      <c r="K109">
        <v>38</v>
      </c>
      <c r="L109">
        <v>32</v>
      </c>
      <c r="M109">
        <v>25</v>
      </c>
      <c r="O109" s="3">
        <f t="shared" si="81"/>
        <v>137</v>
      </c>
      <c r="P109" s="3">
        <f t="shared" si="82"/>
        <v>121</v>
      </c>
      <c r="Q109" s="3" t="str">
        <f t="shared" si="83"/>
        <v>HW</v>
      </c>
      <c r="R109" s="3" t="str">
        <f t="shared" si="84"/>
        <v>HL</v>
      </c>
      <c r="S109" s="3" t="str">
        <f t="shared" si="85"/>
        <v>HL</v>
      </c>
      <c r="T109" s="3" t="str">
        <f t="shared" si="86"/>
        <v>HW</v>
      </c>
      <c r="U109" s="3" t="str">
        <f t="shared" si="87"/>
        <v>O</v>
      </c>
      <c r="V109" s="3" t="str">
        <f t="shared" si="88"/>
        <v>O</v>
      </c>
      <c r="W109" s="3" t="str">
        <f t="shared" si="89"/>
        <v>O</v>
      </c>
      <c r="X109" s="3" t="str">
        <f t="shared" si="90"/>
        <v>O</v>
      </c>
      <c r="Z109">
        <v>58</v>
      </c>
      <c r="AA109" s="3" t="str">
        <f t="shared" si="91"/>
        <v>MEM/MIN</v>
      </c>
    </row>
    <row r="110" spans="1:27" x14ac:dyDescent="0.45">
      <c r="A110" s="3">
        <v>191107</v>
      </c>
      <c r="B110" s="1">
        <v>0.4375</v>
      </c>
      <c r="C110" t="s">
        <v>136</v>
      </c>
      <c r="D110" t="s">
        <v>130</v>
      </c>
      <c r="E110">
        <v>25</v>
      </c>
      <c r="F110">
        <v>29</v>
      </c>
      <c r="G110">
        <v>32</v>
      </c>
      <c r="H110">
        <v>21</v>
      </c>
      <c r="J110">
        <v>28</v>
      </c>
      <c r="K110">
        <v>28</v>
      </c>
      <c r="L110">
        <v>23</v>
      </c>
      <c r="M110">
        <v>27</v>
      </c>
      <c r="O110" s="3">
        <f t="shared" si="81"/>
        <v>107</v>
      </c>
      <c r="P110" s="3">
        <f t="shared" si="82"/>
        <v>106</v>
      </c>
      <c r="Q110" s="3" t="str">
        <f t="shared" si="83"/>
        <v>HL</v>
      </c>
      <c r="R110" s="3" t="str">
        <f t="shared" si="84"/>
        <v>HW</v>
      </c>
      <c r="S110" s="3" t="str">
        <f t="shared" si="85"/>
        <v>HW</v>
      </c>
      <c r="T110" s="3" t="str">
        <f t="shared" si="86"/>
        <v>HL</v>
      </c>
      <c r="U110" s="3" t="str">
        <f t="shared" si="87"/>
        <v>U</v>
      </c>
      <c r="V110" s="3" t="str">
        <f t="shared" si="88"/>
        <v>O</v>
      </c>
      <c r="W110" s="3" t="str">
        <f t="shared" si="89"/>
        <v>O</v>
      </c>
      <c r="X110" s="3" t="str">
        <f t="shared" si="90"/>
        <v>U</v>
      </c>
      <c r="Z110">
        <v>53.5</v>
      </c>
      <c r="AA110" s="3" t="str">
        <f t="shared" si="91"/>
        <v>DAL/ORL</v>
      </c>
    </row>
    <row r="111" spans="1:27" x14ac:dyDescent="0.45">
      <c r="A111" s="3">
        <v>191107</v>
      </c>
      <c r="B111" s="1">
        <v>0.45833333333333331</v>
      </c>
      <c r="C111" t="s">
        <v>139</v>
      </c>
      <c r="D111" t="s">
        <v>150</v>
      </c>
      <c r="E111">
        <v>26</v>
      </c>
      <c r="F111">
        <v>32</v>
      </c>
      <c r="G111">
        <v>26</v>
      </c>
      <c r="H111">
        <v>22</v>
      </c>
      <c r="J111">
        <v>29</v>
      </c>
      <c r="K111">
        <v>27</v>
      </c>
      <c r="L111">
        <v>17</v>
      </c>
      <c r="M111">
        <v>31</v>
      </c>
      <c r="O111" s="3">
        <f t="shared" si="81"/>
        <v>106</v>
      </c>
      <c r="P111" s="3">
        <f t="shared" si="82"/>
        <v>104</v>
      </c>
      <c r="Q111" s="3" t="str">
        <f t="shared" si="83"/>
        <v>HL</v>
      </c>
      <c r="R111" s="3" t="str">
        <f t="shared" si="84"/>
        <v>HW</v>
      </c>
      <c r="S111" s="3" t="str">
        <f t="shared" si="85"/>
        <v>HW</v>
      </c>
      <c r="T111" s="3" t="str">
        <f t="shared" si="86"/>
        <v>HL</v>
      </c>
      <c r="U111" s="3" t="str">
        <f t="shared" si="87"/>
        <v>O</v>
      </c>
      <c r="V111" s="3" t="str">
        <f t="shared" si="88"/>
        <v>O</v>
      </c>
      <c r="W111" s="3" t="str">
        <f t="shared" si="89"/>
        <v>U</v>
      </c>
      <c r="X111" s="3" t="str">
        <f t="shared" si="90"/>
        <v>U</v>
      </c>
      <c r="Z111">
        <v>54</v>
      </c>
      <c r="AA111" s="3" t="str">
        <f t="shared" si="91"/>
        <v>UTA/PHI</v>
      </c>
    </row>
    <row r="112" spans="1:27" x14ac:dyDescent="0.45">
      <c r="A112" s="3">
        <v>191107</v>
      </c>
      <c r="B112" s="1">
        <v>0.5</v>
      </c>
      <c r="C112" t="s">
        <v>126</v>
      </c>
      <c r="D112" t="s">
        <v>131</v>
      </c>
      <c r="E112">
        <v>30</v>
      </c>
      <c r="F112">
        <v>29</v>
      </c>
      <c r="G112">
        <v>30</v>
      </c>
      <c r="H112">
        <v>35</v>
      </c>
      <c r="J112">
        <v>28</v>
      </c>
      <c r="K112">
        <v>42</v>
      </c>
      <c r="L112">
        <v>28</v>
      </c>
      <c r="M112">
        <v>31</v>
      </c>
      <c r="O112" s="3">
        <f t="shared" si="81"/>
        <v>124</v>
      </c>
      <c r="P112" s="3">
        <f t="shared" si="82"/>
        <v>129</v>
      </c>
      <c r="Q112" s="3" t="str">
        <f t="shared" si="83"/>
        <v>HW</v>
      </c>
      <c r="R112" s="3" t="str">
        <f t="shared" si="84"/>
        <v>HL</v>
      </c>
      <c r="S112" s="3" t="str">
        <f t="shared" si="85"/>
        <v>HW</v>
      </c>
      <c r="T112" s="3" t="str">
        <f t="shared" si="86"/>
        <v>HW</v>
      </c>
      <c r="U112" s="3" t="str">
        <f t="shared" si="87"/>
        <v>O</v>
      </c>
      <c r="V112" s="3" t="str">
        <f t="shared" si="88"/>
        <v>O</v>
      </c>
      <c r="W112" s="3" t="str">
        <f t="shared" si="89"/>
        <v>O</v>
      </c>
      <c r="X112" s="3" t="str">
        <f t="shared" si="90"/>
        <v>O</v>
      </c>
      <c r="Z112">
        <v>55.5</v>
      </c>
      <c r="AA112" s="3" t="str">
        <f t="shared" si="91"/>
        <v>LAC/MIL</v>
      </c>
    </row>
    <row r="113" spans="1:27" x14ac:dyDescent="0.45">
      <c r="A113" s="3">
        <v>191108</v>
      </c>
      <c r="B113" s="1">
        <v>0.41666666666666669</v>
      </c>
      <c r="C113" t="s">
        <v>148</v>
      </c>
      <c r="D113" t="s">
        <v>132</v>
      </c>
      <c r="E113">
        <v>20</v>
      </c>
      <c r="F113">
        <v>23</v>
      </c>
      <c r="G113">
        <v>24</v>
      </c>
      <c r="H113">
        <v>20</v>
      </c>
      <c r="J113">
        <v>30</v>
      </c>
      <c r="K113">
        <v>22</v>
      </c>
      <c r="L113">
        <v>33</v>
      </c>
      <c r="M113">
        <v>23</v>
      </c>
      <c r="O113" s="3">
        <f t="shared" si="81"/>
        <v>87</v>
      </c>
      <c r="P113" s="3">
        <f t="shared" si="82"/>
        <v>108</v>
      </c>
      <c r="Q113" s="3" t="str">
        <f t="shared" si="83"/>
        <v>HL</v>
      </c>
      <c r="R113" s="3" t="str">
        <f t="shared" si="84"/>
        <v>HW</v>
      </c>
      <c r="S113" s="3" t="str">
        <f t="shared" si="85"/>
        <v>HL</v>
      </c>
      <c r="T113" s="3" t="str">
        <f t="shared" si="86"/>
        <v>HL</v>
      </c>
      <c r="U113" s="3" t="str">
        <f t="shared" si="87"/>
        <v>U</v>
      </c>
      <c r="V113" s="3" t="str">
        <f t="shared" si="88"/>
        <v>U</v>
      </c>
      <c r="W113" s="3" t="str">
        <f t="shared" si="89"/>
        <v>O</v>
      </c>
      <c r="X113" s="3" t="str">
        <f t="shared" si="90"/>
        <v>U</v>
      </c>
      <c r="Z113">
        <v>53.5</v>
      </c>
      <c r="AA113" s="3" t="str">
        <f t="shared" si="91"/>
        <v>CHA/BOS</v>
      </c>
    </row>
    <row r="114" spans="1:27" x14ac:dyDescent="0.45">
      <c r="A114" s="3">
        <v>191108</v>
      </c>
      <c r="B114" s="1">
        <v>0.4375</v>
      </c>
      <c r="C114" t="s">
        <v>127</v>
      </c>
      <c r="D114" t="s">
        <v>141</v>
      </c>
      <c r="E114">
        <v>33</v>
      </c>
      <c r="F114">
        <v>23</v>
      </c>
      <c r="G114">
        <v>36</v>
      </c>
      <c r="H114">
        <v>29</v>
      </c>
      <c r="J114">
        <v>30</v>
      </c>
      <c r="K114">
        <v>27</v>
      </c>
      <c r="L114">
        <v>27</v>
      </c>
      <c r="M114">
        <v>28</v>
      </c>
      <c r="O114" s="3">
        <f t="shared" si="81"/>
        <v>121</v>
      </c>
      <c r="P114" s="3">
        <f t="shared" si="82"/>
        <v>112</v>
      </c>
      <c r="Q114" s="3" t="str">
        <f t="shared" si="83"/>
        <v>HW</v>
      </c>
      <c r="R114" s="3" t="str">
        <f t="shared" si="84"/>
        <v>HL</v>
      </c>
      <c r="S114" s="3" t="str">
        <f t="shared" si="85"/>
        <v>HW</v>
      </c>
      <c r="T114" s="3" t="str">
        <f t="shared" si="86"/>
        <v>HW</v>
      </c>
      <c r="U114" s="3" t="str">
        <f t="shared" si="87"/>
        <v>O</v>
      </c>
      <c r="V114" s="3" t="str">
        <f t="shared" si="88"/>
        <v>U</v>
      </c>
      <c r="W114" s="3" t="str">
        <f t="shared" si="89"/>
        <v>O</v>
      </c>
      <c r="X114" s="3" t="str">
        <f t="shared" si="90"/>
        <v>O</v>
      </c>
      <c r="Z114">
        <v>55</v>
      </c>
      <c r="AA114" s="3" t="str">
        <f t="shared" si="91"/>
        <v>SAS/OKC</v>
      </c>
    </row>
    <row r="115" spans="1:27" x14ac:dyDescent="0.45">
      <c r="A115" s="3">
        <v>191108</v>
      </c>
      <c r="B115" s="1">
        <v>0.45833333333333331</v>
      </c>
      <c r="C115" t="s">
        <v>147</v>
      </c>
      <c r="D115" t="s">
        <v>123</v>
      </c>
      <c r="E115">
        <v>30</v>
      </c>
      <c r="F115">
        <v>27</v>
      </c>
      <c r="G115">
        <v>29</v>
      </c>
      <c r="H115">
        <v>22</v>
      </c>
      <c r="J115">
        <v>31</v>
      </c>
      <c r="K115">
        <v>33</v>
      </c>
      <c r="L115">
        <v>29</v>
      </c>
      <c r="M115">
        <v>31</v>
      </c>
      <c r="O115" s="3">
        <f t="shared" si="81"/>
        <v>108</v>
      </c>
      <c r="P115" s="3">
        <f t="shared" si="82"/>
        <v>124</v>
      </c>
      <c r="Q115" s="3" t="str">
        <f t="shared" si="83"/>
        <v>HL</v>
      </c>
      <c r="R115" s="3" t="str">
        <f t="shared" si="84"/>
        <v>HL</v>
      </c>
      <c r="S115" s="3" t="str">
        <f t="shared" si="85"/>
        <v>TT</v>
      </c>
      <c r="T115" s="3" t="str">
        <f t="shared" si="86"/>
        <v>HL</v>
      </c>
      <c r="U115" s="3" t="str">
        <f t="shared" si="87"/>
        <v>O</v>
      </c>
      <c r="V115" s="3" t="str">
        <f t="shared" si="88"/>
        <v>O</v>
      </c>
      <c r="W115" s="3" t="str">
        <f t="shared" si="89"/>
        <v>O</v>
      </c>
      <c r="X115" s="3" t="str">
        <f t="shared" si="90"/>
        <v>U</v>
      </c>
      <c r="Z115">
        <v>56</v>
      </c>
      <c r="AA115" s="3" t="str">
        <f t="shared" si="91"/>
        <v>PHO/MIA</v>
      </c>
    </row>
    <row r="116" spans="1:27" x14ac:dyDescent="0.45">
      <c r="A116" s="3">
        <v>191108</v>
      </c>
      <c r="B116" s="1">
        <v>0.52083333333333337</v>
      </c>
      <c r="C116" t="s">
        <v>126</v>
      </c>
      <c r="D116" t="s">
        <v>149</v>
      </c>
      <c r="E116">
        <v>26</v>
      </c>
      <c r="F116">
        <v>21</v>
      </c>
      <c r="G116">
        <v>23</v>
      </c>
      <c r="H116">
        <v>37</v>
      </c>
      <c r="J116">
        <v>22</v>
      </c>
      <c r="K116">
        <v>18</v>
      </c>
      <c r="L116">
        <v>36</v>
      </c>
      <c r="M116">
        <v>25</v>
      </c>
      <c r="O116" s="3">
        <f t="shared" si="81"/>
        <v>107</v>
      </c>
      <c r="P116" s="3">
        <f t="shared" si="82"/>
        <v>101</v>
      </c>
      <c r="Q116" s="3" t="str">
        <f t="shared" si="83"/>
        <v>HW</v>
      </c>
      <c r="R116" s="3" t="str">
        <f t="shared" si="84"/>
        <v>HW</v>
      </c>
      <c r="S116" s="3" t="str">
        <f t="shared" si="85"/>
        <v>HL</v>
      </c>
      <c r="T116" s="3" t="str">
        <f t="shared" si="86"/>
        <v>HW</v>
      </c>
      <c r="U116" s="3" t="str">
        <f t="shared" si="87"/>
        <v>U</v>
      </c>
      <c r="V116" s="3" t="str">
        <f t="shared" si="88"/>
        <v>U</v>
      </c>
      <c r="W116" s="3" t="str">
        <f t="shared" si="89"/>
        <v>O</v>
      </c>
      <c r="X116" s="3" t="str">
        <f t="shared" si="90"/>
        <v>O</v>
      </c>
      <c r="Z116">
        <v>56.5</v>
      </c>
      <c r="AA116" s="3" t="str">
        <f t="shared" si="91"/>
        <v>LAC/POR</v>
      </c>
    </row>
    <row r="117" spans="1:27" x14ac:dyDescent="0.45">
      <c r="A117" s="3">
        <v>191109</v>
      </c>
      <c r="B117" s="1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I117" s="3"/>
      <c r="J117" s="3">
        <v>35</v>
      </c>
      <c r="K117" s="3">
        <v>18</v>
      </c>
      <c r="L117" s="3">
        <v>19</v>
      </c>
      <c r="M117" s="3">
        <v>34</v>
      </c>
      <c r="N117" s="3"/>
      <c r="O117" s="3">
        <f t="shared" ref="O117:O146" si="92">SUM(E117:I117)</f>
        <v>112</v>
      </c>
      <c r="P117" s="3">
        <f t="shared" ref="P117:P146" si="93">SUM(J117:N117)</f>
        <v>106</v>
      </c>
      <c r="Q117" s="3" t="str">
        <f t="shared" ref="Q117:Q146" si="94">IF(E117=J117,"TT",IF(E117&gt;J117,"HW","HL"))</f>
        <v>HL</v>
      </c>
      <c r="R117" s="3" t="str">
        <f t="shared" ref="R117:R146" si="95">IF(F117=K117,"TT",IF(F117&gt;K117,"HW","HL"))</f>
        <v>HW</v>
      </c>
      <c r="S117" s="3" t="str">
        <f t="shared" ref="S117:S146" si="96">IF(G117=L117,"TT",IF(G117&gt;L117,"HW","HL"))</f>
        <v>HW</v>
      </c>
      <c r="T117" s="3" t="str">
        <f t="shared" ref="T117:T146" si="97">IF(H117=M117,"TT",IF(H117&gt;M117,"HW","HL"))</f>
        <v>HL</v>
      </c>
      <c r="U117" s="3" t="str">
        <f t="shared" ref="U117:U146" si="98">IF(SUM(E117,J117)=$Z117,"T",IF(SUM(E117,J117)&gt;$Z117,"O","U"))</f>
        <v>O</v>
      </c>
      <c r="V117" s="3" t="str">
        <f t="shared" ref="V117:V146" si="99">IF(SUM(F117,K117)=$Z117,"T",IF(SUM(F117,K117)&gt;$Z117,"O","U"))</f>
        <v>U</v>
      </c>
      <c r="W117" s="3" t="str">
        <f t="shared" ref="W117:W146" si="100">IF(SUM(G117,L117)=$Z117,"T",IF(SUM(G117,L117)&gt;$Z117,"O","U"))</f>
        <v>U</v>
      </c>
      <c r="X117" s="3" t="str">
        <f t="shared" ref="X117:X146" si="101">IF(SUM(H117,M117)=$Z117,"T",IF(SUM(H117,M117)&gt;$Z117,"O","U"))</f>
        <v>O</v>
      </c>
      <c r="Z117" s="3">
        <v>54.5</v>
      </c>
      <c r="AA117" t="str">
        <f t="shared" si="91"/>
        <v>IND/DET</v>
      </c>
    </row>
    <row r="118" spans="1:27" x14ac:dyDescent="0.45">
      <c r="A118" s="3">
        <v>191109</v>
      </c>
      <c r="B118" s="1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I118" s="3"/>
      <c r="J118" s="3">
        <v>15</v>
      </c>
      <c r="K118" s="3">
        <v>33</v>
      </c>
      <c r="L118" s="3">
        <v>30</v>
      </c>
      <c r="M118" s="3">
        <v>8</v>
      </c>
      <c r="N118" s="3"/>
      <c r="O118" s="3">
        <f t="shared" si="92"/>
        <v>118</v>
      </c>
      <c r="P118" s="3">
        <f t="shared" si="93"/>
        <v>86</v>
      </c>
      <c r="Q118" s="3" t="str">
        <f t="shared" si="94"/>
        <v>HW</v>
      </c>
      <c r="R118" s="3" t="str">
        <f t="shared" si="95"/>
        <v>HL</v>
      </c>
      <c r="S118" s="3" t="str">
        <f t="shared" si="96"/>
        <v>HW</v>
      </c>
      <c r="T118" s="3" t="str">
        <f t="shared" si="97"/>
        <v>HW</v>
      </c>
      <c r="U118" s="3" t="str">
        <f t="shared" si="98"/>
        <v>U</v>
      </c>
      <c r="V118" s="3" t="str">
        <f t="shared" si="99"/>
        <v>O</v>
      </c>
      <c r="W118" s="3" t="str">
        <f t="shared" si="100"/>
        <v>O</v>
      </c>
      <c r="X118" s="3" t="str">
        <f t="shared" si="101"/>
        <v>U</v>
      </c>
      <c r="Z118" s="3">
        <v>52</v>
      </c>
      <c r="AA118" t="str">
        <f t="shared" si="91"/>
        <v>ORL/MEM</v>
      </c>
    </row>
    <row r="119" spans="1:27" x14ac:dyDescent="0.45">
      <c r="A119" s="3">
        <v>191109</v>
      </c>
      <c r="B119" s="1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I119" s="3"/>
      <c r="J119" s="3">
        <v>30</v>
      </c>
      <c r="K119" s="3">
        <v>37</v>
      </c>
      <c r="L119" s="3">
        <v>21</v>
      </c>
      <c r="M119" s="3">
        <v>25</v>
      </c>
      <c r="N119" s="3"/>
      <c r="O119" s="3">
        <f t="shared" si="92"/>
        <v>100</v>
      </c>
      <c r="P119" s="3">
        <f t="shared" si="93"/>
        <v>113</v>
      </c>
      <c r="Q119" s="3" t="str">
        <f t="shared" si="94"/>
        <v>HL</v>
      </c>
      <c r="R119" s="3" t="str">
        <f t="shared" si="95"/>
        <v>HL</v>
      </c>
      <c r="S119" s="3" t="str">
        <f t="shared" si="96"/>
        <v>HW</v>
      </c>
      <c r="T119" s="3" t="str">
        <f t="shared" si="97"/>
        <v>HL</v>
      </c>
      <c r="U119" s="3" t="str">
        <f t="shared" si="98"/>
        <v>U</v>
      </c>
      <c r="V119" s="3" t="str">
        <f t="shared" si="99"/>
        <v>O</v>
      </c>
      <c r="W119" s="3" t="str">
        <f t="shared" si="100"/>
        <v>U</v>
      </c>
      <c r="X119" s="3" t="str">
        <f t="shared" si="101"/>
        <v>U</v>
      </c>
      <c r="Z119" s="3">
        <v>57</v>
      </c>
      <c r="AA119" t="str">
        <f t="shared" si="91"/>
        <v>WAS/CLE</v>
      </c>
    </row>
    <row r="120" spans="1:27" x14ac:dyDescent="0.45">
      <c r="A120" s="3">
        <v>191109</v>
      </c>
      <c r="B120" s="1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I120" s="3"/>
      <c r="J120" s="3">
        <v>31</v>
      </c>
      <c r="K120" s="3">
        <v>32</v>
      </c>
      <c r="L120" s="3">
        <v>28</v>
      </c>
      <c r="M120" s="3">
        <v>30</v>
      </c>
      <c r="N120" s="3"/>
      <c r="O120" s="3">
        <f t="shared" si="92"/>
        <v>109</v>
      </c>
      <c r="P120" s="3">
        <f t="shared" si="93"/>
        <v>121</v>
      </c>
      <c r="Q120" s="3" t="str">
        <f t="shared" si="94"/>
        <v>HL</v>
      </c>
      <c r="R120" s="3" t="str">
        <f t="shared" si="95"/>
        <v>HL</v>
      </c>
      <c r="S120" s="3" t="str">
        <f t="shared" si="96"/>
        <v>HW</v>
      </c>
      <c r="T120" s="3" t="str">
        <f t="shared" si="97"/>
        <v>HL</v>
      </c>
      <c r="U120" s="3" t="str">
        <f t="shared" si="98"/>
        <v>U</v>
      </c>
      <c r="V120" s="3" t="str">
        <f t="shared" si="99"/>
        <v>U</v>
      </c>
      <c r="W120" s="3" t="str">
        <f t="shared" si="100"/>
        <v>O</v>
      </c>
      <c r="X120" s="3" t="str">
        <f t="shared" si="101"/>
        <v>U</v>
      </c>
      <c r="Z120" s="3">
        <v>58</v>
      </c>
      <c r="AA120" t="str">
        <f t="shared" si="91"/>
        <v>ATL/SAC</v>
      </c>
    </row>
    <row r="121" spans="1:27" x14ac:dyDescent="0.45">
      <c r="A121" s="3">
        <v>191109</v>
      </c>
      <c r="B121" s="1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I121" s="3"/>
      <c r="J121" s="3">
        <v>30</v>
      </c>
      <c r="K121" s="3">
        <v>45</v>
      </c>
      <c r="L121" s="3">
        <v>22</v>
      </c>
      <c r="M121" s="3">
        <v>25</v>
      </c>
      <c r="N121" s="3"/>
      <c r="O121" s="3">
        <f t="shared" si="92"/>
        <v>104</v>
      </c>
      <c r="P121" s="3">
        <f t="shared" si="93"/>
        <v>122</v>
      </c>
      <c r="Q121" s="3" t="str">
        <f t="shared" si="94"/>
        <v>TT</v>
      </c>
      <c r="R121" s="3" t="str">
        <f t="shared" si="95"/>
        <v>HL</v>
      </c>
      <c r="S121" s="3" t="str">
        <f t="shared" si="96"/>
        <v>TT</v>
      </c>
      <c r="T121" s="3" t="str">
        <f t="shared" si="97"/>
        <v>HW</v>
      </c>
      <c r="U121" s="3" t="str">
        <f t="shared" si="98"/>
        <v>T</v>
      </c>
      <c r="V121" s="3" t="str">
        <f t="shared" si="99"/>
        <v>O</v>
      </c>
      <c r="W121" s="3" t="str">
        <f t="shared" si="100"/>
        <v>U</v>
      </c>
      <c r="X121" s="3" t="str">
        <f t="shared" si="101"/>
        <v>U</v>
      </c>
      <c r="Z121" s="3">
        <v>60</v>
      </c>
      <c r="AA121" t="str">
        <f t="shared" si="91"/>
        <v>NO/TOR</v>
      </c>
    </row>
    <row r="122" spans="1:27" x14ac:dyDescent="0.45">
      <c r="A122" s="3">
        <v>191109</v>
      </c>
      <c r="B122" s="1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92"/>
        <v>125</v>
      </c>
      <c r="P122" s="3">
        <f t="shared" si="93"/>
        <v>119</v>
      </c>
      <c r="Q122" s="3" t="str">
        <f t="shared" si="94"/>
        <v>HL</v>
      </c>
      <c r="R122" s="3" t="str">
        <f t="shared" si="95"/>
        <v>HW</v>
      </c>
      <c r="S122" s="3" t="str">
        <f t="shared" si="96"/>
        <v>HL</v>
      </c>
      <c r="T122" s="3" t="str">
        <f t="shared" si="97"/>
        <v>HW</v>
      </c>
      <c r="U122" s="3" t="str">
        <f t="shared" si="98"/>
        <v>O</v>
      </c>
      <c r="V122" s="3" t="str">
        <f t="shared" si="99"/>
        <v>O</v>
      </c>
      <c r="W122" s="3" t="str">
        <f t="shared" si="100"/>
        <v>U</v>
      </c>
      <c r="X122" s="3" t="str">
        <f t="shared" si="101"/>
        <v>U</v>
      </c>
      <c r="Z122" s="3">
        <v>59.5</v>
      </c>
      <c r="AA122" t="str">
        <f t="shared" si="91"/>
        <v>MIN/GS</v>
      </c>
    </row>
    <row r="123" spans="1:27" x14ac:dyDescent="0.45">
      <c r="A123" s="3">
        <v>191109</v>
      </c>
      <c r="B123" s="1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I123" s="3"/>
      <c r="J123" s="3">
        <v>36</v>
      </c>
      <c r="K123" s="3">
        <v>25</v>
      </c>
      <c r="L123" s="3">
        <v>23</v>
      </c>
      <c r="M123" s="3">
        <v>22</v>
      </c>
      <c r="N123" s="3"/>
      <c r="O123" s="3">
        <f t="shared" si="92"/>
        <v>102</v>
      </c>
      <c r="P123" s="3">
        <f t="shared" si="93"/>
        <v>106</v>
      </c>
      <c r="Q123" s="3" t="str">
        <f t="shared" si="94"/>
        <v>HL</v>
      </c>
      <c r="R123" s="3" t="str">
        <f t="shared" si="95"/>
        <v>HW</v>
      </c>
      <c r="S123" s="3" t="str">
        <f t="shared" si="96"/>
        <v>TT</v>
      </c>
      <c r="T123" s="3" t="str">
        <f t="shared" si="97"/>
        <v>TT</v>
      </c>
      <c r="U123" s="3" t="str">
        <f t="shared" si="98"/>
        <v>O</v>
      </c>
      <c r="V123" s="3" t="str">
        <f t="shared" si="99"/>
        <v>U</v>
      </c>
      <c r="W123" s="3" t="str">
        <f t="shared" si="100"/>
        <v>U</v>
      </c>
      <c r="X123" s="3" t="str">
        <f t="shared" si="101"/>
        <v>U</v>
      </c>
      <c r="Z123" s="3">
        <v>55</v>
      </c>
      <c r="AA123" t="str">
        <f t="shared" si="91"/>
        <v>DAL/NYK</v>
      </c>
    </row>
    <row r="124" spans="1:27" x14ac:dyDescent="0.45">
      <c r="A124" s="3">
        <v>191109</v>
      </c>
      <c r="B124" s="1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I124" s="3"/>
      <c r="J124" s="3">
        <v>24</v>
      </c>
      <c r="K124" s="3">
        <v>33</v>
      </c>
      <c r="L124" s="3">
        <v>27</v>
      </c>
      <c r="M124" s="3">
        <v>13</v>
      </c>
      <c r="N124" s="3"/>
      <c r="O124" s="3">
        <f t="shared" si="92"/>
        <v>100</v>
      </c>
      <c r="P124" s="3">
        <f t="shared" si="93"/>
        <v>97</v>
      </c>
      <c r="Q124" s="3" t="str">
        <f t="shared" si="94"/>
        <v>HL</v>
      </c>
      <c r="R124" s="3" t="str">
        <f t="shared" si="95"/>
        <v>HL</v>
      </c>
      <c r="S124" s="3" t="str">
        <f t="shared" si="96"/>
        <v>HL</v>
      </c>
      <c r="T124" s="3" t="str">
        <f t="shared" si="97"/>
        <v>HW</v>
      </c>
      <c r="U124" s="3" t="str">
        <f t="shared" si="98"/>
        <v>U</v>
      </c>
      <c r="V124" s="3" t="str">
        <f t="shared" si="99"/>
        <v>O</v>
      </c>
      <c r="W124" s="3" t="str">
        <f t="shared" si="100"/>
        <v>U</v>
      </c>
      <c r="X124" s="3" t="str">
        <f t="shared" si="101"/>
        <v>U</v>
      </c>
      <c r="Z124" s="3">
        <v>52.5</v>
      </c>
      <c r="AA124" t="str">
        <f t="shared" si="91"/>
        <v>DEN/PHI</v>
      </c>
    </row>
    <row r="125" spans="1:27" x14ac:dyDescent="0.45">
      <c r="A125" s="3">
        <v>191109</v>
      </c>
      <c r="B125" s="1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I125" s="3"/>
      <c r="J125" s="3">
        <v>16</v>
      </c>
      <c r="K125" s="3">
        <v>19</v>
      </c>
      <c r="L125" s="3">
        <v>39</v>
      </c>
      <c r="M125" s="3">
        <v>26</v>
      </c>
      <c r="N125" s="3"/>
      <c r="O125" s="3">
        <f t="shared" si="92"/>
        <v>103</v>
      </c>
      <c r="P125" s="3">
        <f t="shared" si="93"/>
        <v>100</v>
      </c>
      <c r="Q125" s="3" t="str">
        <f t="shared" si="94"/>
        <v>HW</v>
      </c>
      <c r="R125" s="3" t="str">
        <f t="shared" si="95"/>
        <v>HW</v>
      </c>
      <c r="S125" s="3" t="str">
        <f t="shared" si="96"/>
        <v>HL</v>
      </c>
      <c r="T125" s="3" t="str">
        <f t="shared" si="97"/>
        <v>HL</v>
      </c>
      <c r="U125" s="3" t="str">
        <f t="shared" si="98"/>
        <v>U</v>
      </c>
      <c r="V125" s="3" t="str">
        <f t="shared" si="99"/>
        <v>U</v>
      </c>
      <c r="W125" s="3" t="str">
        <f t="shared" si="100"/>
        <v>O</v>
      </c>
      <c r="X125" s="3" t="str">
        <f t="shared" si="101"/>
        <v>U</v>
      </c>
      <c r="Z125" s="3">
        <v>52.5</v>
      </c>
      <c r="AA125" t="str">
        <f t="shared" si="91"/>
        <v>UTA/MIL</v>
      </c>
    </row>
    <row r="126" spans="1:27" x14ac:dyDescent="0.45">
      <c r="A126" s="3">
        <v>191109</v>
      </c>
      <c r="B126" s="1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I126" s="3"/>
      <c r="J126" s="3">
        <v>26</v>
      </c>
      <c r="K126" s="3">
        <v>28</v>
      </c>
      <c r="L126" s="3">
        <v>35</v>
      </c>
      <c r="M126" s="3">
        <v>30</v>
      </c>
      <c r="N126" s="3"/>
      <c r="O126" s="3">
        <f t="shared" si="92"/>
        <v>115</v>
      </c>
      <c r="P126" s="3">
        <f t="shared" si="93"/>
        <v>119</v>
      </c>
      <c r="Q126" s="3" t="str">
        <f t="shared" si="94"/>
        <v>HL</v>
      </c>
      <c r="R126" s="3" t="str">
        <f t="shared" si="95"/>
        <v>HW</v>
      </c>
      <c r="S126" s="3" t="str">
        <f t="shared" si="96"/>
        <v>HW</v>
      </c>
      <c r="T126" s="3" t="str">
        <f t="shared" si="97"/>
        <v>HL</v>
      </c>
      <c r="U126" s="3" t="str">
        <f t="shared" si="98"/>
        <v>U</v>
      </c>
      <c r="V126" s="3" t="str">
        <f t="shared" si="99"/>
        <v>U</v>
      </c>
      <c r="W126" s="3" t="str">
        <f t="shared" si="100"/>
        <v>O</v>
      </c>
      <c r="X126" s="3" t="str">
        <f t="shared" si="101"/>
        <v>O</v>
      </c>
      <c r="Z126" s="3">
        <v>57.5</v>
      </c>
      <c r="AA126" t="str">
        <f t="shared" si="91"/>
        <v>POR/BKN</v>
      </c>
    </row>
    <row r="127" spans="1:27" x14ac:dyDescent="0.45">
      <c r="A127" s="3">
        <v>191109</v>
      </c>
      <c r="B127" s="1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I127" s="3"/>
      <c r="J127" s="3">
        <v>21</v>
      </c>
      <c r="K127" s="3">
        <v>25</v>
      </c>
      <c r="L127" s="3">
        <v>20</v>
      </c>
      <c r="M127" s="3">
        <v>14</v>
      </c>
      <c r="N127" s="3"/>
      <c r="O127" s="3">
        <f t="shared" si="92"/>
        <v>95</v>
      </c>
      <c r="P127" s="3">
        <f t="shared" si="93"/>
        <v>80</v>
      </c>
      <c r="Q127" s="3" t="str">
        <f t="shared" si="94"/>
        <v>HW</v>
      </c>
      <c r="R127" s="3" t="str">
        <f t="shared" si="95"/>
        <v>HL</v>
      </c>
      <c r="S127" s="3" t="str">
        <f t="shared" si="96"/>
        <v>HW</v>
      </c>
      <c r="T127" s="3" t="str">
        <f t="shared" si="97"/>
        <v>HW</v>
      </c>
      <c r="U127" s="3" t="str">
        <f t="shared" si="98"/>
        <v>U</v>
      </c>
      <c r="V127" s="3" t="str">
        <f t="shared" si="99"/>
        <v>U</v>
      </c>
      <c r="W127" s="3" t="str">
        <f t="shared" si="100"/>
        <v>U</v>
      </c>
      <c r="X127" s="3" t="str">
        <f t="shared" si="101"/>
        <v>U</v>
      </c>
      <c r="Z127" s="3">
        <v>56</v>
      </c>
      <c r="AA127" t="str">
        <f t="shared" si="91"/>
        <v>LAL/MIA</v>
      </c>
    </row>
    <row r="128" spans="1:27" x14ac:dyDescent="0.45">
      <c r="A128" s="3">
        <v>191110</v>
      </c>
      <c r="B128" s="1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I128" s="3"/>
      <c r="J128" s="3">
        <v>39</v>
      </c>
      <c r="K128" s="3">
        <v>33</v>
      </c>
      <c r="L128" s="3">
        <v>32</v>
      </c>
      <c r="M128" s="3">
        <v>31</v>
      </c>
      <c r="N128" s="3"/>
      <c r="O128" s="3">
        <f t="shared" si="92"/>
        <v>115</v>
      </c>
      <c r="P128" s="3">
        <f t="shared" si="93"/>
        <v>135</v>
      </c>
      <c r="Q128" s="3" t="str">
        <f t="shared" si="94"/>
        <v>HL</v>
      </c>
      <c r="R128" s="3" t="str">
        <f t="shared" si="95"/>
        <v>HL</v>
      </c>
      <c r="S128" s="3" t="str">
        <f t="shared" si="96"/>
        <v>HW</v>
      </c>
      <c r="T128" s="3" t="str">
        <f t="shared" si="97"/>
        <v>HL</v>
      </c>
      <c r="U128" s="3" t="str">
        <f t="shared" si="98"/>
        <v>O</v>
      </c>
      <c r="V128" s="3" t="str">
        <f t="shared" si="99"/>
        <v>O</v>
      </c>
      <c r="W128" s="3" t="str">
        <f t="shared" si="100"/>
        <v>O</v>
      </c>
      <c r="X128" s="3" t="str">
        <f t="shared" si="101"/>
        <v>O</v>
      </c>
      <c r="Z128" s="3">
        <v>52.5</v>
      </c>
      <c r="AA128" s="3" t="str">
        <f t="shared" si="91"/>
        <v>SAS/BOS</v>
      </c>
    </row>
    <row r="129" spans="1:27" x14ac:dyDescent="0.45">
      <c r="A129" s="3">
        <v>191110</v>
      </c>
      <c r="B129" s="1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I129" s="3"/>
      <c r="J129" s="3">
        <v>33</v>
      </c>
      <c r="K129" s="3">
        <v>22</v>
      </c>
      <c r="L129" s="3">
        <v>26</v>
      </c>
      <c r="M129" s="3">
        <v>34</v>
      </c>
      <c r="N129" s="3"/>
      <c r="O129" s="3">
        <f t="shared" si="92"/>
        <v>110</v>
      </c>
      <c r="P129" s="3">
        <f t="shared" si="93"/>
        <v>115</v>
      </c>
      <c r="Q129" s="3" t="str">
        <f t="shared" si="94"/>
        <v>HL</v>
      </c>
      <c r="R129" s="3" t="str">
        <f t="shared" si="95"/>
        <v>HW</v>
      </c>
      <c r="S129" s="3" t="str">
        <f t="shared" si="96"/>
        <v>HL</v>
      </c>
      <c r="T129" s="3" t="str">
        <f t="shared" si="97"/>
        <v>HL</v>
      </c>
      <c r="U129" s="3" t="str">
        <f t="shared" si="98"/>
        <v>O</v>
      </c>
      <c r="V129" s="3" t="str">
        <f t="shared" si="99"/>
        <v>U</v>
      </c>
      <c r="W129" s="3" t="str">
        <f t="shared" si="100"/>
        <v>U</v>
      </c>
      <c r="X129" s="3" t="str">
        <f t="shared" si="101"/>
        <v>U</v>
      </c>
      <c r="Z129" s="3">
        <v>59.5</v>
      </c>
      <c r="AA129" s="3" t="str">
        <f t="shared" si="91"/>
        <v>CHA/NO</v>
      </c>
    </row>
    <row r="130" spans="1:27" x14ac:dyDescent="0.45">
      <c r="A130" s="3">
        <v>191110</v>
      </c>
      <c r="B130" s="1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I130" s="3"/>
      <c r="J130" s="3">
        <v>20</v>
      </c>
      <c r="K130" s="3">
        <v>30</v>
      </c>
      <c r="L130" s="3">
        <v>36</v>
      </c>
      <c r="M130" s="3">
        <v>31</v>
      </c>
      <c r="N130" s="3"/>
      <c r="O130" s="3">
        <f t="shared" si="92"/>
        <v>94</v>
      </c>
      <c r="P130" s="3">
        <f t="shared" si="93"/>
        <v>117</v>
      </c>
      <c r="Q130" s="3" t="str">
        <f t="shared" si="94"/>
        <v>HW</v>
      </c>
      <c r="R130" s="3" t="str">
        <f t="shared" si="95"/>
        <v>HL</v>
      </c>
      <c r="S130" s="3" t="str">
        <f t="shared" si="96"/>
        <v>HL</v>
      </c>
      <c r="T130" s="3" t="str">
        <f t="shared" si="97"/>
        <v>HL</v>
      </c>
      <c r="U130" s="3" t="str">
        <f t="shared" si="98"/>
        <v>U</v>
      </c>
      <c r="V130" s="3" t="str">
        <f t="shared" si="99"/>
        <v>U</v>
      </c>
      <c r="W130" s="3" t="str">
        <f t="shared" si="100"/>
        <v>U</v>
      </c>
      <c r="X130" s="3" t="str">
        <f t="shared" si="101"/>
        <v>U</v>
      </c>
      <c r="Z130" s="3">
        <v>60.5</v>
      </c>
      <c r="AA130" s="3" t="str">
        <f t="shared" si="91"/>
        <v>CHI/HOU</v>
      </c>
    </row>
    <row r="131" spans="1:27" x14ac:dyDescent="0.45">
      <c r="A131" s="3">
        <v>191110</v>
      </c>
      <c r="B131" s="1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I131" s="3"/>
      <c r="J131" s="3">
        <v>27</v>
      </c>
      <c r="K131" s="3">
        <v>16</v>
      </c>
      <c r="L131" s="3">
        <v>41</v>
      </c>
      <c r="M131" s="3">
        <v>24</v>
      </c>
      <c r="N131" s="3"/>
      <c r="O131" s="3">
        <f t="shared" si="92"/>
        <v>114</v>
      </c>
      <c r="P131" s="3">
        <f t="shared" si="93"/>
        <v>108</v>
      </c>
      <c r="Q131" s="3" t="str">
        <f t="shared" si="94"/>
        <v>HW</v>
      </c>
      <c r="R131" s="3" t="str">
        <f t="shared" si="95"/>
        <v>HW</v>
      </c>
      <c r="S131" s="3" t="str">
        <f t="shared" si="96"/>
        <v>HL</v>
      </c>
      <c r="T131" s="3" t="str">
        <f t="shared" si="97"/>
        <v>HW</v>
      </c>
      <c r="U131" s="3" t="str">
        <f t="shared" si="98"/>
        <v>O</v>
      </c>
      <c r="V131" s="3" t="str">
        <f t="shared" si="99"/>
        <v>U</v>
      </c>
      <c r="W131" s="3" t="str">
        <f t="shared" si="100"/>
        <v>O</v>
      </c>
      <c r="X131" s="3" t="str">
        <f t="shared" si="101"/>
        <v>U</v>
      </c>
      <c r="Z131" s="3">
        <v>56.5</v>
      </c>
      <c r="AA131" s="3" t="str">
        <f t="shared" si="91"/>
        <v>OKC/GS</v>
      </c>
    </row>
    <row r="132" spans="1:27" x14ac:dyDescent="0.45">
      <c r="A132" s="3">
        <v>191110</v>
      </c>
      <c r="B132" s="1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I132" s="3"/>
      <c r="J132" s="3">
        <v>31</v>
      </c>
      <c r="K132" s="3">
        <v>37</v>
      </c>
      <c r="L132" s="3">
        <v>36</v>
      </c>
      <c r="M132" s="3">
        <v>34</v>
      </c>
      <c r="N132" s="3"/>
      <c r="O132" s="3">
        <f t="shared" si="92"/>
        <v>122</v>
      </c>
      <c r="P132" s="3">
        <f t="shared" si="93"/>
        <v>138</v>
      </c>
      <c r="Q132" s="3" t="str">
        <f t="shared" si="94"/>
        <v>HW</v>
      </c>
      <c r="R132" s="3" t="str">
        <f t="shared" si="95"/>
        <v>HL</v>
      </c>
      <c r="S132" s="3" t="str">
        <f t="shared" si="96"/>
        <v>HL</v>
      </c>
      <c r="T132" s="3" t="str">
        <f t="shared" si="97"/>
        <v>HL</v>
      </c>
      <c r="U132" s="3" t="str">
        <f t="shared" si="98"/>
        <v>O</v>
      </c>
      <c r="V132" s="3" t="str">
        <f t="shared" si="99"/>
        <v>O</v>
      </c>
      <c r="W132" s="3" t="str">
        <f t="shared" si="100"/>
        <v>O</v>
      </c>
      <c r="X132" s="3" t="str">
        <f t="shared" si="101"/>
        <v>O</v>
      </c>
      <c r="Z132" s="3">
        <v>56.5</v>
      </c>
      <c r="AA132" s="3" t="str">
        <f t="shared" si="91"/>
        <v>MEM/DAL</v>
      </c>
    </row>
    <row r="133" spans="1:27" x14ac:dyDescent="0.45">
      <c r="A133" s="3">
        <v>191111</v>
      </c>
      <c r="B133" s="1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92"/>
        <v>98</v>
      </c>
      <c r="P133" s="3">
        <f t="shared" si="93"/>
        <v>100</v>
      </c>
      <c r="Q133" s="3" t="str">
        <f t="shared" si="94"/>
        <v>TT</v>
      </c>
      <c r="R133" s="3" t="str">
        <f t="shared" si="95"/>
        <v>HW</v>
      </c>
      <c r="S133" s="3" t="str">
        <f t="shared" si="96"/>
        <v>HL</v>
      </c>
      <c r="T133" s="3" t="str">
        <f t="shared" si="97"/>
        <v>HW</v>
      </c>
      <c r="U133" s="3" t="str">
        <f t="shared" si="98"/>
        <v>U</v>
      </c>
      <c r="V133" s="3" t="str">
        <f t="shared" si="99"/>
        <v>U</v>
      </c>
      <c r="W133" s="3" t="str">
        <f t="shared" si="100"/>
        <v>U</v>
      </c>
      <c r="X133" s="3" t="str">
        <f t="shared" si="101"/>
        <v>U</v>
      </c>
      <c r="Z133" s="3">
        <v>56</v>
      </c>
      <c r="AA133" s="3" t="str">
        <f t="shared" si="91"/>
        <v>MIN/DEN</v>
      </c>
    </row>
    <row r="134" spans="1:27" x14ac:dyDescent="0.45">
      <c r="A134" s="3">
        <v>191111</v>
      </c>
      <c r="B134" s="1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I134" s="3"/>
      <c r="J134" s="3">
        <v>29</v>
      </c>
      <c r="K134" s="3">
        <v>22</v>
      </c>
      <c r="L134" s="3">
        <v>30</v>
      </c>
      <c r="M134" s="3">
        <v>28</v>
      </c>
      <c r="N134" s="3"/>
      <c r="O134" s="3">
        <f t="shared" si="92"/>
        <v>102</v>
      </c>
      <c r="P134" s="3">
        <f t="shared" si="93"/>
        <v>109</v>
      </c>
      <c r="Q134" s="3" t="str">
        <f t="shared" si="94"/>
        <v>HW</v>
      </c>
      <c r="R134" s="3" t="str">
        <f t="shared" si="95"/>
        <v>HW</v>
      </c>
      <c r="S134" s="3" t="str">
        <f t="shared" si="96"/>
        <v>HL</v>
      </c>
      <c r="T134" s="3" t="str">
        <f t="shared" si="97"/>
        <v>HL</v>
      </c>
      <c r="U134" s="3" t="str">
        <f t="shared" si="98"/>
        <v>O</v>
      </c>
      <c r="V134" s="3" t="str">
        <f t="shared" si="99"/>
        <v>U</v>
      </c>
      <c r="W134" s="3" t="str">
        <f t="shared" si="100"/>
        <v>U</v>
      </c>
      <c r="X134" s="3" t="str">
        <f t="shared" si="101"/>
        <v>O</v>
      </c>
      <c r="Z134" s="3">
        <v>52</v>
      </c>
      <c r="AA134" s="3" t="str">
        <f t="shared" si="91"/>
        <v>ORL/IND</v>
      </c>
    </row>
    <row r="135" spans="1:27" x14ac:dyDescent="0.45">
      <c r="A135" s="3">
        <v>191111</v>
      </c>
      <c r="B135" s="1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I135" s="3"/>
      <c r="J135" s="3">
        <v>24</v>
      </c>
      <c r="K135" s="3">
        <v>34</v>
      </c>
      <c r="L135" s="3">
        <v>23</v>
      </c>
      <c r="M135" s="3">
        <v>25</v>
      </c>
      <c r="N135" s="3"/>
      <c r="O135" s="3">
        <f t="shared" si="92"/>
        <v>114</v>
      </c>
      <c r="P135" s="3">
        <f t="shared" si="93"/>
        <v>106</v>
      </c>
      <c r="Q135" s="3" t="str">
        <f t="shared" si="94"/>
        <v>HW</v>
      </c>
      <c r="R135" s="3" t="str">
        <f t="shared" si="95"/>
        <v>HL</v>
      </c>
      <c r="S135" s="3" t="str">
        <f t="shared" si="96"/>
        <v>HW</v>
      </c>
      <c r="T135" s="3" t="str">
        <f t="shared" si="97"/>
        <v>HW</v>
      </c>
      <c r="U135" s="3" t="str">
        <f t="shared" si="98"/>
        <v>O</v>
      </c>
      <c r="V135" s="3" t="str">
        <f t="shared" si="99"/>
        <v>U</v>
      </c>
      <c r="W135" s="3" t="str">
        <f t="shared" si="100"/>
        <v>O</v>
      </c>
      <c r="X135" s="3" t="str">
        <f t="shared" si="101"/>
        <v>U</v>
      </c>
      <c r="Z135" s="3">
        <v>55.5</v>
      </c>
      <c r="AA135" s="3" t="str">
        <f t="shared" si="91"/>
        <v>PHI/CHA</v>
      </c>
    </row>
    <row r="136" spans="1:27" x14ac:dyDescent="0.45">
      <c r="A136" s="3">
        <v>191111</v>
      </c>
      <c r="B136" s="1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I136" s="3"/>
      <c r="J136" s="3">
        <v>21</v>
      </c>
      <c r="K136" s="3">
        <v>29</v>
      </c>
      <c r="L136" s="3">
        <v>37</v>
      </c>
      <c r="M136" s="3">
        <v>34</v>
      </c>
      <c r="N136" s="3"/>
      <c r="O136" s="3">
        <f t="shared" si="92"/>
        <v>119</v>
      </c>
      <c r="P136" s="3">
        <f t="shared" si="93"/>
        <v>121</v>
      </c>
      <c r="Q136" s="3" t="str">
        <f t="shared" si="94"/>
        <v>HW</v>
      </c>
      <c r="R136" s="3" t="str">
        <f t="shared" si="95"/>
        <v>HW</v>
      </c>
      <c r="S136" s="3" t="str">
        <f t="shared" si="96"/>
        <v>HL</v>
      </c>
      <c r="T136" s="3" t="str">
        <f t="shared" si="97"/>
        <v>HW</v>
      </c>
      <c r="U136" s="3" t="str">
        <f t="shared" si="98"/>
        <v>U</v>
      </c>
      <c r="V136" s="3" t="str">
        <f t="shared" si="99"/>
        <v>O</v>
      </c>
      <c r="W136" s="3" t="str">
        <f t="shared" si="100"/>
        <v>O</v>
      </c>
      <c r="X136" s="3" t="str">
        <f t="shared" si="101"/>
        <v>O</v>
      </c>
      <c r="Z136" s="3">
        <v>53.5</v>
      </c>
      <c r="AA136" s="3" t="str">
        <f t="shared" si="91"/>
        <v>OKC/MIL</v>
      </c>
    </row>
    <row r="137" spans="1:27" x14ac:dyDescent="0.45">
      <c r="A137" s="3">
        <v>191111</v>
      </c>
      <c r="B137" s="1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I137" s="3"/>
      <c r="J137" s="3">
        <v>31</v>
      </c>
      <c r="K137" s="3">
        <v>23</v>
      </c>
      <c r="L137" s="3">
        <v>24</v>
      </c>
      <c r="M137" s="3">
        <v>30</v>
      </c>
      <c r="N137" s="3"/>
      <c r="O137" s="3">
        <f t="shared" si="92"/>
        <v>87</v>
      </c>
      <c r="P137" s="3">
        <f t="shared" si="93"/>
        <v>108</v>
      </c>
      <c r="Q137" s="3" t="str">
        <f t="shared" si="94"/>
        <v>HL</v>
      </c>
      <c r="R137" s="3" t="str">
        <f t="shared" si="95"/>
        <v>HL</v>
      </c>
      <c r="S137" s="3" t="str">
        <f t="shared" si="96"/>
        <v>HW</v>
      </c>
      <c r="T137" s="3" t="str">
        <f t="shared" si="97"/>
        <v>HL</v>
      </c>
      <c r="U137" s="3" t="str">
        <f t="shared" si="98"/>
        <v>U</v>
      </c>
      <c r="V137" s="3" t="str">
        <f t="shared" si="99"/>
        <v>U</v>
      </c>
      <c r="W137" s="3" t="str">
        <f t="shared" si="100"/>
        <v>U</v>
      </c>
      <c r="X137" s="3" t="str">
        <f t="shared" si="101"/>
        <v>O</v>
      </c>
      <c r="Z137" s="3">
        <v>52</v>
      </c>
      <c r="AA137" s="3" t="str">
        <f t="shared" si="91"/>
        <v>NYK/CLE</v>
      </c>
    </row>
    <row r="138" spans="1:27" x14ac:dyDescent="0.45">
      <c r="A138" s="3">
        <v>191111</v>
      </c>
      <c r="B138" s="1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I138" s="3"/>
      <c r="J138" s="3">
        <v>30</v>
      </c>
      <c r="K138" s="3">
        <v>20</v>
      </c>
      <c r="L138" s="3">
        <v>30</v>
      </c>
      <c r="M138" s="3">
        <v>32</v>
      </c>
      <c r="N138" s="3"/>
      <c r="O138" s="3">
        <f t="shared" si="92"/>
        <v>138</v>
      </c>
      <c r="P138" s="3">
        <f t="shared" si="93"/>
        <v>112</v>
      </c>
      <c r="Q138" s="3" t="str">
        <f t="shared" si="94"/>
        <v>HW</v>
      </c>
      <c r="R138" s="3" t="str">
        <f t="shared" si="95"/>
        <v>HW</v>
      </c>
      <c r="S138" s="3" t="str">
        <f t="shared" si="96"/>
        <v>HW</v>
      </c>
      <c r="T138" s="3" t="str">
        <f t="shared" si="97"/>
        <v>TT</v>
      </c>
      <c r="U138" s="3" t="str">
        <f t="shared" si="98"/>
        <v>O</v>
      </c>
      <c r="V138" s="3" t="str">
        <f t="shared" si="99"/>
        <v>U</v>
      </c>
      <c r="W138" s="3" t="str">
        <f t="shared" si="100"/>
        <v>O</v>
      </c>
      <c r="X138" s="3" t="str">
        <f t="shared" si="101"/>
        <v>O</v>
      </c>
      <c r="Z138" s="3">
        <v>56.5</v>
      </c>
      <c r="AA138" s="3" t="str">
        <f t="shared" si="91"/>
        <v>PHO/BKN</v>
      </c>
    </row>
    <row r="139" spans="1:27" x14ac:dyDescent="0.45">
      <c r="A139" s="3">
        <v>191111</v>
      </c>
      <c r="B139" s="1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92"/>
        <v>124</v>
      </c>
      <c r="P139" s="3">
        <f t="shared" si="93"/>
        <v>113</v>
      </c>
      <c r="Q139" s="3" t="str">
        <f t="shared" si="94"/>
        <v>HL</v>
      </c>
      <c r="R139" s="3" t="str">
        <f t="shared" si="95"/>
        <v>HW</v>
      </c>
      <c r="S139" s="3" t="str">
        <f t="shared" si="96"/>
        <v>HL</v>
      </c>
      <c r="T139" s="3" t="str">
        <f t="shared" si="97"/>
        <v>TT</v>
      </c>
      <c r="U139" s="3" t="str">
        <f t="shared" si="98"/>
        <v>U</v>
      </c>
      <c r="V139" s="3" t="str">
        <f t="shared" si="99"/>
        <v>U</v>
      </c>
      <c r="W139" s="3" t="str">
        <f t="shared" si="100"/>
        <v>O</v>
      </c>
      <c r="X139" s="3" t="str">
        <f t="shared" si="101"/>
        <v>O</v>
      </c>
      <c r="Z139" s="3">
        <v>58</v>
      </c>
      <c r="AA139" s="3" t="str">
        <f t="shared" si="91"/>
        <v>POR/ATL</v>
      </c>
    </row>
    <row r="140" spans="1:27" x14ac:dyDescent="0.45">
      <c r="A140" s="3">
        <v>191111</v>
      </c>
      <c r="B140" s="1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I140" s="3"/>
      <c r="J140" s="3">
        <v>29</v>
      </c>
      <c r="K140" s="3">
        <v>23</v>
      </c>
      <c r="L140" s="3">
        <v>26</v>
      </c>
      <c r="M140" s="3">
        <v>35</v>
      </c>
      <c r="N140" s="3"/>
      <c r="O140" s="3">
        <f t="shared" si="92"/>
        <v>104</v>
      </c>
      <c r="P140" s="3">
        <f t="shared" si="93"/>
        <v>113</v>
      </c>
      <c r="Q140" s="3" t="str">
        <f t="shared" si="94"/>
        <v>HW</v>
      </c>
      <c r="R140" s="3" t="str">
        <f t="shared" si="95"/>
        <v>HW</v>
      </c>
      <c r="S140" s="3" t="str">
        <f t="shared" si="96"/>
        <v>HL</v>
      </c>
      <c r="T140" s="3" t="str">
        <f t="shared" si="97"/>
        <v>HL</v>
      </c>
      <c r="U140" s="3" t="str">
        <f t="shared" si="98"/>
        <v>O</v>
      </c>
      <c r="V140" s="3" t="str">
        <f t="shared" si="99"/>
        <v>U</v>
      </c>
      <c r="W140" s="3" t="str">
        <f t="shared" si="100"/>
        <v>U</v>
      </c>
      <c r="X140" s="3" t="str">
        <f t="shared" si="101"/>
        <v>O</v>
      </c>
      <c r="Z140" s="3">
        <v>54.5</v>
      </c>
      <c r="AA140" s="3" t="str">
        <f t="shared" si="91"/>
        <v>LAL/TOR</v>
      </c>
    </row>
    <row r="141" spans="1:27" x14ac:dyDescent="0.45">
      <c r="A141" s="3">
        <v>191112</v>
      </c>
      <c r="B141" s="1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I141" s="3"/>
      <c r="J141" s="3">
        <v>41</v>
      </c>
      <c r="K141" s="3">
        <v>25</v>
      </c>
      <c r="L141" s="3">
        <v>26</v>
      </c>
      <c r="M141" s="3">
        <v>28</v>
      </c>
      <c r="N141" s="3"/>
      <c r="O141" s="3">
        <f t="shared" si="92"/>
        <v>114</v>
      </c>
      <c r="P141" s="3">
        <f t="shared" si="93"/>
        <v>120</v>
      </c>
      <c r="Q141" s="3" t="str">
        <f t="shared" si="94"/>
        <v>HL</v>
      </c>
      <c r="R141" s="3" t="str">
        <f t="shared" si="95"/>
        <v>TT</v>
      </c>
      <c r="S141" s="3" t="str">
        <f t="shared" si="96"/>
        <v>HW</v>
      </c>
      <c r="T141" s="3" t="str">
        <f t="shared" si="97"/>
        <v>HW</v>
      </c>
      <c r="U141" s="3" t="str">
        <f t="shared" si="98"/>
        <v>O</v>
      </c>
      <c r="V141" s="3" t="str">
        <f t="shared" si="99"/>
        <v>U</v>
      </c>
      <c r="W141" s="3" t="str">
        <f t="shared" si="100"/>
        <v>U</v>
      </c>
      <c r="X141" s="3" t="str">
        <f t="shared" si="101"/>
        <v>O</v>
      </c>
      <c r="Z141" s="3">
        <v>58</v>
      </c>
      <c r="AA141" s="3" t="str">
        <f t="shared" si="91"/>
        <v>DET/MIN</v>
      </c>
    </row>
    <row r="142" spans="1:27" x14ac:dyDescent="0.45">
      <c r="A142" s="3">
        <v>191112</v>
      </c>
      <c r="B142" s="1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I142" s="3"/>
      <c r="J142" s="3">
        <v>21</v>
      </c>
      <c r="K142" s="3">
        <v>33</v>
      </c>
      <c r="L142" s="3">
        <v>25</v>
      </c>
      <c r="M142" s="3">
        <v>27</v>
      </c>
      <c r="N142" s="3"/>
      <c r="O142" s="3">
        <f t="shared" si="92"/>
        <v>116</v>
      </c>
      <c r="P142" s="3">
        <f t="shared" si="93"/>
        <v>106</v>
      </c>
      <c r="Q142" s="3" t="str">
        <f t="shared" si="94"/>
        <v>HW</v>
      </c>
      <c r="R142" s="3" t="str">
        <f t="shared" si="95"/>
        <v>HL</v>
      </c>
      <c r="S142" s="3" t="str">
        <f t="shared" si="96"/>
        <v>HW</v>
      </c>
      <c r="T142" s="3" t="str">
        <f t="shared" si="97"/>
        <v>HW</v>
      </c>
      <c r="U142" s="3" t="str">
        <f t="shared" si="98"/>
        <v>U</v>
      </c>
      <c r="V142" s="3" t="str">
        <f t="shared" si="99"/>
        <v>O</v>
      </c>
      <c r="W142" s="3" t="str">
        <f t="shared" si="100"/>
        <v>U</v>
      </c>
      <c r="X142" s="3" t="str">
        <f t="shared" si="101"/>
        <v>O</v>
      </c>
      <c r="Z142" s="3">
        <v>56</v>
      </c>
      <c r="AA142" s="3" t="str">
        <f t="shared" si="91"/>
        <v>BOS/DAL</v>
      </c>
    </row>
    <row r="143" spans="1:27" x14ac:dyDescent="0.45">
      <c r="A143" s="3">
        <v>191112</v>
      </c>
      <c r="B143" s="1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I143" s="3"/>
      <c r="J143" s="3">
        <v>35</v>
      </c>
      <c r="K143" s="3">
        <v>22</v>
      </c>
      <c r="L143" s="3">
        <v>34</v>
      </c>
      <c r="M143" s="3">
        <v>22</v>
      </c>
      <c r="N143" s="3"/>
      <c r="O143" s="3">
        <f t="shared" si="92"/>
        <v>109</v>
      </c>
      <c r="P143" s="3">
        <f t="shared" si="93"/>
        <v>113</v>
      </c>
      <c r="Q143" s="3" t="str">
        <f t="shared" si="94"/>
        <v>HL</v>
      </c>
      <c r="R143" s="3" t="str">
        <f t="shared" si="95"/>
        <v>HW</v>
      </c>
      <c r="S143" s="3" t="str">
        <f t="shared" si="96"/>
        <v>HL</v>
      </c>
      <c r="T143" s="3" t="str">
        <f t="shared" si="97"/>
        <v>HW</v>
      </c>
      <c r="U143" s="3" t="str">
        <f t="shared" si="98"/>
        <v>O</v>
      </c>
      <c r="V143" s="3" t="str">
        <f t="shared" si="99"/>
        <v>U</v>
      </c>
      <c r="W143" s="3" t="str">
        <f t="shared" si="100"/>
        <v>O</v>
      </c>
      <c r="X143" s="3" t="str">
        <f t="shared" si="101"/>
        <v>U</v>
      </c>
      <c r="Z143" s="3">
        <v>55</v>
      </c>
      <c r="AA143" s="3" t="str">
        <f t="shared" si="91"/>
        <v>SAS/MEM</v>
      </c>
    </row>
    <row r="144" spans="1:27" x14ac:dyDescent="0.45">
      <c r="A144" s="3">
        <v>191112</v>
      </c>
      <c r="B144" s="1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I144" s="3"/>
      <c r="J144" s="3">
        <v>30</v>
      </c>
      <c r="K144" s="3">
        <v>28</v>
      </c>
      <c r="L144" s="3">
        <v>32</v>
      </c>
      <c r="M144" s="3">
        <v>32</v>
      </c>
      <c r="N144" s="3"/>
      <c r="O144" s="3">
        <f t="shared" si="92"/>
        <v>116</v>
      </c>
      <c r="P144" s="3">
        <f t="shared" si="93"/>
        <v>122</v>
      </c>
      <c r="Q144" s="3" t="str">
        <f t="shared" si="94"/>
        <v>HL</v>
      </c>
      <c r="R144" s="3" t="str">
        <f t="shared" si="95"/>
        <v>HW</v>
      </c>
      <c r="S144" s="3" t="str">
        <f t="shared" si="96"/>
        <v>HL</v>
      </c>
      <c r="T144" s="3" t="str">
        <f t="shared" si="97"/>
        <v>HW</v>
      </c>
      <c r="U144" s="3" t="str">
        <f t="shared" si="98"/>
        <v>U</v>
      </c>
      <c r="V144" s="3" t="str">
        <f t="shared" si="99"/>
        <v>U</v>
      </c>
      <c r="W144" s="3" t="str">
        <f t="shared" si="100"/>
        <v>U</v>
      </c>
      <c r="X144" s="3" t="str">
        <f t="shared" si="101"/>
        <v>O</v>
      </c>
      <c r="Z144" s="3">
        <v>62.5</v>
      </c>
      <c r="AA144" s="3" t="str">
        <f t="shared" si="91"/>
        <v>NO/HOU</v>
      </c>
    </row>
    <row r="145" spans="1:27" x14ac:dyDescent="0.45">
      <c r="A145" s="3">
        <v>191112</v>
      </c>
      <c r="B145" s="1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I145" s="3"/>
      <c r="J145" s="3">
        <v>34</v>
      </c>
      <c r="K145" s="3">
        <v>35</v>
      </c>
      <c r="L145" s="3">
        <v>28</v>
      </c>
      <c r="M145" s="3">
        <v>25</v>
      </c>
      <c r="N145" s="3"/>
      <c r="O145" s="3">
        <f t="shared" si="92"/>
        <v>108</v>
      </c>
      <c r="P145" s="3">
        <f t="shared" si="93"/>
        <v>122</v>
      </c>
      <c r="Q145" s="3" t="str">
        <f t="shared" si="94"/>
        <v>HL</v>
      </c>
      <c r="R145" s="3" t="str">
        <f t="shared" si="95"/>
        <v>HL</v>
      </c>
      <c r="S145" s="3" t="str">
        <f t="shared" si="96"/>
        <v>HW</v>
      </c>
      <c r="T145" s="3" t="str">
        <f t="shared" si="97"/>
        <v>HL</v>
      </c>
      <c r="U145" s="3" t="str">
        <f t="shared" si="98"/>
        <v>O</v>
      </c>
      <c r="V145" s="3" t="str">
        <f t="shared" si="99"/>
        <v>O</v>
      </c>
      <c r="W145" s="3" t="str">
        <f t="shared" si="100"/>
        <v>O</v>
      </c>
      <c r="X145" s="3" t="str">
        <f t="shared" si="101"/>
        <v>U</v>
      </c>
      <c r="Z145" s="3">
        <v>51.5</v>
      </c>
      <c r="AA145" s="3" t="str">
        <f t="shared" si="91"/>
        <v>GS/UTA</v>
      </c>
    </row>
    <row r="146" spans="1:27" x14ac:dyDescent="0.45">
      <c r="A146" s="3">
        <v>191112</v>
      </c>
      <c r="B146" s="1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I146" s="3"/>
      <c r="J146" s="3">
        <v>23</v>
      </c>
      <c r="K146" s="3">
        <v>23</v>
      </c>
      <c r="L146" s="3">
        <v>32</v>
      </c>
      <c r="M146" s="3">
        <v>10</v>
      </c>
      <c r="N146" s="3"/>
      <c r="O146" s="3">
        <f t="shared" si="92"/>
        <v>98</v>
      </c>
      <c r="P146" s="3">
        <f t="shared" si="93"/>
        <v>88</v>
      </c>
      <c r="Q146" s="3" t="str">
        <f t="shared" si="94"/>
        <v>HL</v>
      </c>
      <c r="R146" s="3" t="str">
        <f t="shared" si="95"/>
        <v>HW</v>
      </c>
      <c r="S146" s="3" t="str">
        <f t="shared" si="96"/>
        <v>HL</v>
      </c>
      <c r="T146" s="3" t="str">
        <f t="shared" si="97"/>
        <v>HW</v>
      </c>
      <c r="U146" s="3" t="str">
        <f t="shared" si="98"/>
        <v>U</v>
      </c>
      <c r="V146" s="3" t="str">
        <f t="shared" si="99"/>
        <v>O</v>
      </c>
      <c r="W146" s="3" t="str">
        <f t="shared" si="100"/>
        <v>U</v>
      </c>
      <c r="X146" s="3" t="str">
        <f t="shared" si="101"/>
        <v>U</v>
      </c>
      <c r="Z146" s="3">
        <v>57</v>
      </c>
      <c r="AA146" s="3" t="str">
        <f t="shared" si="91"/>
        <v>LAC/TOR</v>
      </c>
    </row>
    <row r="147" spans="1:27" x14ac:dyDescent="0.45">
      <c r="A147" s="3">
        <v>191113</v>
      </c>
      <c r="B147" s="1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I147" s="3"/>
      <c r="J147" s="3">
        <v>25</v>
      </c>
      <c r="K147" s="3">
        <v>17</v>
      </c>
      <c r="L147" s="3">
        <v>20</v>
      </c>
      <c r="M147" s="3">
        <v>23</v>
      </c>
      <c r="N147" s="3"/>
      <c r="O147" s="3">
        <f t="shared" ref="O147:O167" si="102">SUM(E147:I147)</f>
        <v>111</v>
      </c>
      <c r="P147" s="3">
        <f t="shared" ref="P147:P167" si="103">SUM(J147:N147)</f>
        <v>85</v>
      </c>
      <c r="Q147" s="3" t="str">
        <f t="shared" ref="Q147:Q167" si="104">IF(E147=J147,"TT",IF(E147&gt;J147,"HW","HL"))</f>
        <v>HW</v>
      </c>
      <c r="R147" s="3" t="str">
        <f t="shared" ref="R147:R167" si="105">IF(F147=K147,"TT",IF(F147&gt;K147,"HW","HL"))</f>
        <v>HW</v>
      </c>
      <c r="S147" s="3" t="str">
        <f t="shared" ref="S147:S167" si="106">IF(G147=L147,"TT",IF(G147&gt;L147,"HW","HL"))</f>
        <v>HW</v>
      </c>
      <c r="T147" s="3" t="str">
        <f t="shared" ref="T147:T167" si="107">IF(H147=M147,"TT",IF(H147&gt;M147,"HW","HL"))</f>
        <v>HW</v>
      </c>
      <c r="U147" s="3" t="str">
        <f t="shared" ref="U147:U167" si="108">IF(SUM(E147,J147)=$Z147,"T",IF(SUM(E147,J147)&gt;$Z147,"O","U"))</f>
        <v>O</v>
      </c>
      <c r="V147" s="3" t="str">
        <f t="shared" ref="V147:V167" si="109">IF(SUM(F147,K147)=$Z147,"T",IF(SUM(F147,K147)&gt;$Z147,"O","U"))</f>
        <v>U</v>
      </c>
      <c r="W147" s="3" t="str">
        <f t="shared" ref="W147:W167" si="110">IF(SUM(G147,L147)=$Z147,"T",IF(SUM(G147,L147)&gt;$Z147,"O","U"))</f>
        <v>U</v>
      </c>
      <c r="X147" s="3" t="str">
        <f t="shared" ref="X147:X167" si="111">IF(SUM(H147,M147)=$Z147,"T",IF(SUM(H147,M147)&gt;$Z147,"O","U"))</f>
        <v>U</v>
      </c>
      <c r="Y147" s="3"/>
      <c r="Z147" s="3">
        <v>54.5</v>
      </c>
      <c r="AA147" s="3" t="str">
        <f t="shared" ref="AA147:AA175" si="112">C147&amp;"/"&amp;D147</f>
        <v>IND/OKC</v>
      </c>
    </row>
    <row r="148" spans="1:27" x14ac:dyDescent="0.45">
      <c r="A148" s="3">
        <v>191113</v>
      </c>
      <c r="B148" s="1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I148" s="3"/>
      <c r="J148" s="3">
        <v>21</v>
      </c>
      <c r="K148" s="3">
        <v>27</v>
      </c>
      <c r="L148" s="3">
        <v>30</v>
      </c>
      <c r="M148" s="3">
        <v>19</v>
      </c>
      <c r="N148" s="3"/>
      <c r="O148" s="3">
        <f t="shared" si="102"/>
        <v>98</v>
      </c>
      <c r="P148" s="3">
        <f t="shared" si="103"/>
        <v>97</v>
      </c>
      <c r="Q148" s="3" t="str">
        <f t="shared" si="104"/>
        <v>HW</v>
      </c>
      <c r="R148" s="3" t="str">
        <f t="shared" si="105"/>
        <v>HW</v>
      </c>
      <c r="S148" s="3" t="str">
        <f t="shared" si="106"/>
        <v>HL</v>
      </c>
      <c r="T148" s="3" t="str">
        <f t="shared" si="107"/>
        <v>HL</v>
      </c>
      <c r="U148" s="3" t="str">
        <f t="shared" si="108"/>
        <v>U</v>
      </c>
      <c r="V148" s="3" t="str">
        <f t="shared" si="109"/>
        <v>O</v>
      </c>
      <c r="W148" s="3" t="str">
        <f t="shared" si="110"/>
        <v>O</v>
      </c>
      <c r="X148" s="3" t="str">
        <f t="shared" si="111"/>
        <v>U</v>
      </c>
      <c r="Y148" s="3"/>
      <c r="Z148" s="3">
        <v>53.5</v>
      </c>
      <c r="AA148" s="3" t="str">
        <f t="shared" si="112"/>
        <v>PHI/CLE</v>
      </c>
    </row>
    <row r="149" spans="1:27" x14ac:dyDescent="0.45">
      <c r="A149" s="3">
        <v>191113</v>
      </c>
      <c r="B149" s="1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I149" s="3"/>
      <c r="J149" s="3">
        <v>17</v>
      </c>
      <c r="K149" s="3">
        <v>20</v>
      </c>
      <c r="L149" s="3">
        <v>35</v>
      </c>
      <c r="M149" s="3">
        <v>36</v>
      </c>
      <c r="N149" s="3"/>
      <c r="O149" s="3">
        <f t="shared" si="102"/>
        <v>117</v>
      </c>
      <c r="P149" s="3">
        <f t="shared" si="103"/>
        <v>108</v>
      </c>
      <c r="Q149" s="3" t="str">
        <f t="shared" si="104"/>
        <v>HW</v>
      </c>
      <c r="R149" s="3" t="str">
        <f t="shared" si="105"/>
        <v>HW</v>
      </c>
      <c r="S149" s="3" t="str">
        <f t="shared" si="106"/>
        <v>HL</v>
      </c>
      <c r="T149" s="3" t="str">
        <f t="shared" si="107"/>
        <v>HL</v>
      </c>
      <c r="U149" s="3" t="str">
        <f t="shared" si="108"/>
        <v>U</v>
      </c>
      <c r="V149" s="3" t="str">
        <f t="shared" si="109"/>
        <v>U</v>
      </c>
      <c r="W149" s="3" t="str">
        <f t="shared" si="110"/>
        <v>O</v>
      </c>
      <c r="X149" s="3" t="str">
        <f t="shared" si="111"/>
        <v>O</v>
      </c>
      <c r="Y149" s="3"/>
      <c r="Z149" s="3">
        <v>55</v>
      </c>
      <c r="AA149" s="3" t="str">
        <f t="shared" si="112"/>
        <v>MIA/DET</v>
      </c>
    </row>
    <row r="150" spans="1:27" x14ac:dyDescent="0.45">
      <c r="A150" s="3">
        <v>191113</v>
      </c>
      <c r="B150" s="1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I150" s="3"/>
      <c r="J150" s="3">
        <v>22</v>
      </c>
      <c r="K150" s="3">
        <v>32</v>
      </c>
      <c r="L150" s="3">
        <v>31</v>
      </c>
      <c r="M150" s="3">
        <v>17</v>
      </c>
      <c r="N150" s="3"/>
      <c r="O150" s="3">
        <f t="shared" si="102"/>
        <v>120</v>
      </c>
      <c r="P150" s="3">
        <f t="shared" si="103"/>
        <v>102</v>
      </c>
      <c r="Q150" s="3" t="str">
        <f t="shared" si="104"/>
        <v>HW</v>
      </c>
      <c r="R150" s="3" t="str">
        <f t="shared" si="105"/>
        <v>HL</v>
      </c>
      <c r="S150" s="3" t="str">
        <f t="shared" si="106"/>
        <v>HL</v>
      </c>
      <c r="T150" s="3" t="str">
        <f t="shared" si="107"/>
        <v>HW</v>
      </c>
      <c r="U150" s="3" t="str">
        <f t="shared" si="108"/>
        <v>U</v>
      </c>
      <c r="V150" s="3" t="str">
        <f t="shared" si="109"/>
        <v>O</v>
      </c>
      <c r="W150" s="3" t="str">
        <f t="shared" si="110"/>
        <v>O</v>
      </c>
      <c r="X150" s="3" t="str">
        <f t="shared" si="111"/>
        <v>U</v>
      </c>
      <c r="Y150" s="3"/>
      <c r="Z150" s="3">
        <v>54.5</v>
      </c>
      <c r="AA150" s="3" t="str">
        <f t="shared" si="112"/>
        <v>CHI/NYK</v>
      </c>
    </row>
    <row r="151" spans="1:27" x14ac:dyDescent="0.45">
      <c r="A151" s="3">
        <v>191113</v>
      </c>
      <c r="B151" s="1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I151" s="3"/>
      <c r="J151" s="3">
        <v>25</v>
      </c>
      <c r="K151" s="3">
        <v>38</v>
      </c>
      <c r="L151" s="3">
        <v>35</v>
      </c>
      <c r="M151" s="3">
        <v>27</v>
      </c>
      <c r="N151" s="3"/>
      <c r="O151" s="3">
        <f t="shared" si="102"/>
        <v>121</v>
      </c>
      <c r="P151" s="3">
        <f t="shared" si="103"/>
        <v>125</v>
      </c>
      <c r="Q151" s="3" t="str">
        <f t="shared" si="104"/>
        <v>HW</v>
      </c>
      <c r="R151" s="3" t="str">
        <f t="shared" si="105"/>
        <v>HL</v>
      </c>
      <c r="S151" s="3" t="str">
        <f t="shared" si="106"/>
        <v>TT</v>
      </c>
      <c r="T151" s="3" t="str">
        <f t="shared" si="107"/>
        <v>HW</v>
      </c>
      <c r="U151" s="3" t="str">
        <f t="shared" si="108"/>
        <v>O</v>
      </c>
      <c r="V151" s="3" t="str">
        <f t="shared" si="109"/>
        <v>O</v>
      </c>
      <c r="W151" s="3" t="str">
        <f t="shared" si="110"/>
        <v>O</v>
      </c>
      <c r="X151" s="3" t="str">
        <f t="shared" si="111"/>
        <v>O</v>
      </c>
      <c r="Y151" s="3"/>
      <c r="Z151" s="3">
        <v>53.5</v>
      </c>
      <c r="AA151" s="3" t="str">
        <f t="shared" si="112"/>
        <v>DEN/ATL</v>
      </c>
    </row>
    <row r="152" spans="1:27" x14ac:dyDescent="0.45">
      <c r="A152" s="3">
        <v>191113</v>
      </c>
      <c r="B152" s="1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I152" s="3"/>
      <c r="J152" s="3">
        <v>26</v>
      </c>
      <c r="K152" s="3">
        <v>34</v>
      </c>
      <c r="L152" s="3">
        <v>35</v>
      </c>
      <c r="M152" s="3">
        <v>28</v>
      </c>
      <c r="N152" s="3"/>
      <c r="O152" s="3">
        <f t="shared" si="102"/>
        <v>115</v>
      </c>
      <c r="P152" s="3">
        <f t="shared" si="103"/>
        <v>123</v>
      </c>
      <c r="Q152" s="3" t="str">
        <f t="shared" si="104"/>
        <v>HW</v>
      </c>
      <c r="R152" s="3" t="str">
        <f t="shared" si="105"/>
        <v>HL</v>
      </c>
      <c r="S152" s="3" t="str">
        <f t="shared" si="106"/>
        <v>HL</v>
      </c>
      <c r="T152" s="3" t="str">
        <f t="shared" si="107"/>
        <v>HL</v>
      </c>
      <c r="U152" s="3" t="str">
        <f t="shared" si="108"/>
        <v>U</v>
      </c>
      <c r="V152" s="3" t="str">
        <f t="shared" si="109"/>
        <v>O</v>
      </c>
      <c r="W152" s="3" t="str">
        <f t="shared" si="110"/>
        <v>O</v>
      </c>
      <c r="X152" s="3" t="str">
        <f t="shared" si="111"/>
        <v>U</v>
      </c>
      <c r="Y152" s="3"/>
      <c r="Z152" s="3">
        <v>56.5</v>
      </c>
      <c r="AA152" s="3" t="str">
        <f t="shared" si="112"/>
        <v>PHO/LAL</v>
      </c>
    </row>
    <row r="153" spans="1:27" x14ac:dyDescent="0.45">
      <c r="A153" s="3">
        <v>191113</v>
      </c>
      <c r="B153" s="1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I153" s="3"/>
      <c r="J153" s="3">
        <v>35</v>
      </c>
      <c r="K153" s="3">
        <v>33</v>
      </c>
      <c r="L153" s="3">
        <v>24</v>
      </c>
      <c r="M153" s="3">
        <v>22</v>
      </c>
      <c r="N153" s="3"/>
      <c r="O153" s="3">
        <f t="shared" si="102"/>
        <v>119</v>
      </c>
      <c r="P153" s="3">
        <f t="shared" si="103"/>
        <v>114</v>
      </c>
      <c r="Q153" s="3" t="str">
        <f t="shared" si="104"/>
        <v>HL</v>
      </c>
      <c r="R153" s="3" t="str">
        <f t="shared" si="105"/>
        <v>HL</v>
      </c>
      <c r="S153" s="3" t="str">
        <f t="shared" si="106"/>
        <v>HW</v>
      </c>
      <c r="T153" s="3" t="str">
        <f t="shared" si="107"/>
        <v>HW</v>
      </c>
      <c r="U153" s="3" t="str">
        <f t="shared" si="108"/>
        <v>O</v>
      </c>
      <c r="V153" s="3" t="str">
        <f t="shared" si="109"/>
        <v>O</v>
      </c>
      <c r="W153" s="3" t="str">
        <f t="shared" si="110"/>
        <v>O</v>
      </c>
      <c r="X153" s="3" t="str">
        <f t="shared" si="111"/>
        <v>O</v>
      </c>
      <c r="Y153" s="3"/>
      <c r="Z153" s="3">
        <v>53</v>
      </c>
      <c r="AA153" s="3" t="str">
        <f t="shared" si="112"/>
        <v>UTA/BKN</v>
      </c>
    </row>
    <row r="154" spans="1:27" x14ac:dyDescent="0.45">
      <c r="A154" s="3">
        <v>191113</v>
      </c>
      <c r="B154" s="1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I154" s="3"/>
      <c r="J154" s="3">
        <v>24</v>
      </c>
      <c r="K154" s="3">
        <v>25</v>
      </c>
      <c r="L154" s="3">
        <v>21</v>
      </c>
      <c r="M154" s="3">
        <v>29</v>
      </c>
      <c r="N154" s="3"/>
      <c r="O154" s="3">
        <f t="shared" si="102"/>
        <v>107</v>
      </c>
      <c r="P154" s="3">
        <f t="shared" si="103"/>
        <v>99</v>
      </c>
      <c r="Q154" s="3" t="str">
        <f t="shared" si="104"/>
        <v>HL</v>
      </c>
      <c r="R154" s="3" t="str">
        <f t="shared" si="105"/>
        <v>TT</v>
      </c>
      <c r="S154" s="3" t="str">
        <f t="shared" si="106"/>
        <v>HW</v>
      </c>
      <c r="T154" s="3" t="str">
        <f t="shared" si="107"/>
        <v>HL</v>
      </c>
      <c r="U154" s="3" t="str">
        <f t="shared" si="108"/>
        <v>U</v>
      </c>
      <c r="V154" s="3" t="str">
        <f t="shared" si="109"/>
        <v>U</v>
      </c>
      <c r="W154" s="3" t="str">
        <f t="shared" si="110"/>
        <v>O</v>
      </c>
      <c r="X154" s="3" t="str">
        <f t="shared" si="111"/>
        <v>O</v>
      </c>
      <c r="Y154" s="3"/>
      <c r="Z154" s="3">
        <v>54.5</v>
      </c>
      <c r="AA154" s="3" t="str">
        <f t="shared" si="112"/>
        <v>SAC/POR</v>
      </c>
    </row>
    <row r="155" spans="1:27" x14ac:dyDescent="0.45">
      <c r="A155" s="3">
        <v>191114</v>
      </c>
      <c r="B155" s="1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I155" s="3"/>
      <c r="J155" s="3">
        <v>30</v>
      </c>
      <c r="K155" s="3">
        <v>23</v>
      </c>
      <c r="L155" s="3">
        <v>29</v>
      </c>
      <c r="M155" s="3">
        <v>15</v>
      </c>
      <c r="O155" s="3">
        <f t="shared" si="102"/>
        <v>112</v>
      </c>
      <c r="P155" s="3">
        <f t="shared" si="103"/>
        <v>97</v>
      </c>
      <c r="Q155" s="3" t="str">
        <f t="shared" si="104"/>
        <v>HW</v>
      </c>
      <c r="R155" s="3" t="str">
        <f t="shared" si="105"/>
        <v>HL</v>
      </c>
      <c r="S155" s="3" t="str">
        <f t="shared" si="106"/>
        <v>HL</v>
      </c>
      <c r="T155" s="3" t="str">
        <f t="shared" si="107"/>
        <v>HW</v>
      </c>
      <c r="U155" s="3" t="str">
        <f t="shared" si="108"/>
        <v>O</v>
      </c>
      <c r="V155" s="3" t="str">
        <f t="shared" si="109"/>
        <v>U</v>
      </c>
      <c r="W155" s="3" t="str">
        <f t="shared" si="110"/>
        <v>O</v>
      </c>
      <c r="X155" s="3" t="str">
        <f t="shared" si="111"/>
        <v>U</v>
      </c>
      <c r="Y155" s="3"/>
      <c r="Z155" s="3">
        <v>50.5</v>
      </c>
      <c r="AA155" s="3" t="str">
        <f t="shared" si="112"/>
        <v>ORL/PHI</v>
      </c>
    </row>
    <row r="156" spans="1:27" x14ac:dyDescent="0.45">
      <c r="A156" s="3">
        <v>191114</v>
      </c>
      <c r="B156" s="1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I156" s="3"/>
      <c r="J156" s="3">
        <v>26</v>
      </c>
      <c r="K156" s="3">
        <v>37</v>
      </c>
      <c r="L156" s="3">
        <v>31</v>
      </c>
      <c r="M156" s="3">
        <v>25</v>
      </c>
      <c r="O156" s="3">
        <f t="shared" si="102"/>
        <v>117</v>
      </c>
      <c r="P156" s="3">
        <f t="shared" si="103"/>
        <v>119</v>
      </c>
      <c r="Q156" s="3" t="str">
        <f t="shared" si="104"/>
        <v>HW</v>
      </c>
      <c r="R156" s="3" t="str">
        <f t="shared" si="105"/>
        <v>HL</v>
      </c>
      <c r="S156" s="3" t="str">
        <f t="shared" si="106"/>
        <v>HW</v>
      </c>
      <c r="T156" s="3" t="str">
        <f t="shared" si="107"/>
        <v>HL</v>
      </c>
      <c r="U156" s="3" t="str">
        <f t="shared" si="108"/>
        <v>O</v>
      </c>
      <c r="V156" s="3" t="str">
        <f t="shared" si="109"/>
        <v>O</v>
      </c>
      <c r="W156" s="3" t="str">
        <f t="shared" si="110"/>
        <v>O</v>
      </c>
      <c r="X156" s="3" t="str">
        <f t="shared" si="111"/>
        <v>U</v>
      </c>
      <c r="Y156" s="3"/>
      <c r="Z156" s="3">
        <v>54.5</v>
      </c>
      <c r="AA156" s="3" t="str">
        <f t="shared" si="112"/>
        <v>CHA/MEM</v>
      </c>
    </row>
    <row r="157" spans="1:27" x14ac:dyDescent="0.45">
      <c r="A157" s="3">
        <v>191114</v>
      </c>
      <c r="B157" s="1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I157" s="3"/>
      <c r="J157" s="3">
        <v>34</v>
      </c>
      <c r="K157" s="3">
        <v>32</v>
      </c>
      <c r="L157" s="3">
        <v>30</v>
      </c>
      <c r="M157" s="3">
        <v>37</v>
      </c>
      <c r="O157" s="3">
        <f t="shared" si="102"/>
        <v>140</v>
      </c>
      <c r="P157" s="3">
        <f t="shared" si="103"/>
        <v>133</v>
      </c>
      <c r="Q157" s="3" t="str">
        <f t="shared" si="104"/>
        <v>TT</v>
      </c>
      <c r="R157" s="3" t="str">
        <f t="shared" si="105"/>
        <v>HW</v>
      </c>
      <c r="S157" s="3" t="str">
        <f t="shared" si="106"/>
        <v>HW</v>
      </c>
      <c r="T157" s="3" t="str">
        <f t="shared" si="107"/>
        <v>HW</v>
      </c>
      <c r="U157" s="3" t="str">
        <f t="shared" si="108"/>
        <v>O</v>
      </c>
      <c r="V157" s="3" t="str">
        <f t="shared" si="109"/>
        <v>O</v>
      </c>
      <c r="W157" s="3" t="str">
        <f t="shared" si="110"/>
        <v>O</v>
      </c>
      <c r="X157" s="3" t="str">
        <f t="shared" si="111"/>
        <v>O</v>
      </c>
      <c r="Y157" s="3"/>
      <c r="Z157" s="3">
        <v>58.5</v>
      </c>
      <c r="AA157" s="3" t="str">
        <f t="shared" si="112"/>
        <v>BOS/WAS</v>
      </c>
    </row>
    <row r="158" spans="1:27" x14ac:dyDescent="0.45">
      <c r="A158" s="3">
        <v>191114</v>
      </c>
      <c r="B158" s="1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I158" s="3"/>
      <c r="J158" s="3">
        <v>15</v>
      </c>
      <c r="K158" s="3">
        <v>22</v>
      </c>
      <c r="L158" s="3">
        <v>31</v>
      </c>
      <c r="M158" s="3">
        <v>25</v>
      </c>
      <c r="O158" s="3">
        <f t="shared" si="102"/>
        <v>102</v>
      </c>
      <c r="P158" s="3">
        <f t="shared" si="103"/>
        <v>93</v>
      </c>
      <c r="Q158" s="3" t="str">
        <f t="shared" si="104"/>
        <v>HW</v>
      </c>
      <c r="R158" s="3" t="str">
        <f t="shared" si="105"/>
        <v>HL</v>
      </c>
      <c r="S158" s="3" t="str">
        <f t="shared" si="106"/>
        <v>HL</v>
      </c>
      <c r="T158" s="3" t="str">
        <f t="shared" si="107"/>
        <v>HW</v>
      </c>
      <c r="U158" s="3" t="str">
        <f t="shared" si="108"/>
        <v>U</v>
      </c>
      <c r="V158" s="3" t="str">
        <f t="shared" si="109"/>
        <v>U</v>
      </c>
      <c r="W158" s="3" t="str">
        <f t="shared" si="110"/>
        <v>U</v>
      </c>
      <c r="X158" s="3" t="str">
        <f t="shared" si="111"/>
        <v>U</v>
      </c>
      <c r="Y158" s="3"/>
      <c r="Z158" s="3">
        <v>60</v>
      </c>
      <c r="AA158" s="3" t="str">
        <f t="shared" si="112"/>
        <v>HOU/LAC</v>
      </c>
    </row>
    <row r="159" spans="1:27" x14ac:dyDescent="0.45">
      <c r="A159" s="3">
        <v>191114</v>
      </c>
      <c r="B159" s="1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I159" s="3"/>
      <c r="J159" s="3">
        <v>24</v>
      </c>
      <c r="K159" s="3">
        <v>35</v>
      </c>
      <c r="L159" s="3">
        <v>36</v>
      </c>
      <c r="M159" s="3">
        <v>19</v>
      </c>
      <c r="O159" s="3">
        <f t="shared" si="102"/>
        <v>129</v>
      </c>
      <c r="P159" s="3">
        <f t="shared" si="103"/>
        <v>114</v>
      </c>
      <c r="Q159" s="3" t="str">
        <f t="shared" si="104"/>
        <v>HW</v>
      </c>
      <c r="R159" s="3" t="str">
        <f t="shared" si="105"/>
        <v>HW</v>
      </c>
      <c r="S159" s="3" t="str">
        <f t="shared" si="106"/>
        <v>HW</v>
      </c>
      <c r="T159" s="3" t="str">
        <f t="shared" si="107"/>
        <v>HW</v>
      </c>
      <c r="U159" s="3" t="str">
        <f t="shared" si="108"/>
        <v>U</v>
      </c>
      <c r="V159" s="3" t="str">
        <f t="shared" si="109"/>
        <v>O</v>
      </c>
      <c r="W159" s="3" t="str">
        <f t="shared" si="110"/>
        <v>O</v>
      </c>
      <c r="X159" s="3" t="str">
        <f t="shared" si="111"/>
        <v>U</v>
      </c>
      <c r="Y159" s="3"/>
      <c r="Z159" s="3">
        <v>55.5</v>
      </c>
      <c r="AA159" s="3" t="str">
        <f t="shared" si="112"/>
        <v>MIN/SAS</v>
      </c>
    </row>
    <row r="160" spans="1:27" x14ac:dyDescent="0.45">
      <c r="A160" s="3">
        <v>191114</v>
      </c>
      <c r="B160" s="1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I160" s="3"/>
      <c r="J160" s="3">
        <v>26</v>
      </c>
      <c r="K160" s="3">
        <v>29</v>
      </c>
      <c r="L160" s="3">
        <v>27</v>
      </c>
      <c r="M160" s="3">
        <v>12</v>
      </c>
      <c r="O160" s="3">
        <f t="shared" si="102"/>
        <v>120</v>
      </c>
      <c r="P160" s="3">
        <f t="shared" si="103"/>
        <v>94</v>
      </c>
      <c r="Q160" s="3" t="str">
        <f t="shared" si="104"/>
        <v>HW</v>
      </c>
      <c r="R160" s="3" t="str">
        <f t="shared" si="105"/>
        <v>TT</v>
      </c>
      <c r="S160" s="3" t="str">
        <f t="shared" si="106"/>
        <v>HW</v>
      </c>
      <c r="T160" s="3" t="str">
        <f t="shared" si="107"/>
        <v>HW</v>
      </c>
      <c r="U160" s="3" t="str">
        <f t="shared" si="108"/>
        <v>O</v>
      </c>
      <c r="V160" s="3" t="str">
        <f t="shared" si="109"/>
        <v>O</v>
      </c>
      <c r="W160" s="3" t="str">
        <f t="shared" si="110"/>
        <v>O</v>
      </c>
      <c r="X160" s="3" t="str">
        <f t="shared" si="111"/>
        <v>U</v>
      </c>
      <c r="Y160" s="3"/>
      <c r="Z160" s="3">
        <v>56</v>
      </c>
      <c r="AA160" s="3" t="str">
        <f t="shared" si="112"/>
        <v>LAL/GS</v>
      </c>
    </row>
    <row r="161" spans="1:27" x14ac:dyDescent="0.45">
      <c r="A161" s="3">
        <v>191114</v>
      </c>
      <c r="B161" s="1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I161" s="3"/>
      <c r="J161" s="3">
        <v>23</v>
      </c>
      <c r="K161" s="3">
        <v>31</v>
      </c>
      <c r="L161" s="3">
        <v>33</v>
      </c>
      <c r="M161" s="3">
        <v>27</v>
      </c>
      <c r="O161" s="3">
        <f t="shared" si="102"/>
        <v>106</v>
      </c>
      <c r="P161" s="3">
        <f t="shared" si="103"/>
        <v>114</v>
      </c>
      <c r="Q161" s="3" t="str">
        <f t="shared" si="104"/>
        <v>HW</v>
      </c>
      <c r="R161" s="3" t="str">
        <f t="shared" si="105"/>
        <v>HL</v>
      </c>
      <c r="S161" s="3" t="str">
        <f t="shared" si="106"/>
        <v>HL</v>
      </c>
      <c r="T161" s="3" t="str">
        <f t="shared" si="107"/>
        <v>HW</v>
      </c>
      <c r="U161" s="3" t="str">
        <f t="shared" si="108"/>
        <v>U</v>
      </c>
      <c r="V161" s="3" t="str">
        <f t="shared" si="109"/>
        <v>U</v>
      </c>
      <c r="W161" s="3" t="str">
        <f t="shared" si="110"/>
        <v>O</v>
      </c>
      <c r="X161" s="3" t="str">
        <f t="shared" si="111"/>
        <v>U</v>
      </c>
      <c r="Y161" s="3"/>
      <c r="Z161" s="3">
        <v>56.5</v>
      </c>
      <c r="AA161" s="3" t="str">
        <f t="shared" si="112"/>
        <v>POR/TOR</v>
      </c>
    </row>
    <row r="162" spans="1:27" x14ac:dyDescent="0.45">
      <c r="A162" s="17">
        <v>191115</v>
      </c>
      <c r="B162" s="1">
        <v>0.33333333333333331</v>
      </c>
      <c r="C162" s="17" t="s">
        <v>193</v>
      </c>
      <c r="D162" s="17" t="s">
        <v>194</v>
      </c>
      <c r="E162" s="17">
        <v>22</v>
      </c>
      <c r="F162" s="17">
        <v>22</v>
      </c>
      <c r="G162" s="17">
        <v>30</v>
      </c>
      <c r="H162" s="17">
        <v>23</v>
      </c>
      <c r="I162" s="17"/>
      <c r="J162" s="17">
        <v>34</v>
      </c>
      <c r="K162" s="17">
        <v>34</v>
      </c>
      <c r="L162" s="17">
        <v>26</v>
      </c>
      <c r="M162" s="17">
        <v>14</v>
      </c>
      <c r="N162" s="17"/>
      <c r="O162" s="3">
        <f t="shared" si="102"/>
        <v>97</v>
      </c>
      <c r="P162" s="3">
        <f t="shared" si="103"/>
        <v>108</v>
      </c>
      <c r="Q162" s="3" t="str">
        <f t="shared" si="104"/>
        <v>HL</v>
      </c>
      <c r="R162" s="3" t="str">
        <f t="shared" si="105"/>
        <v>HL</v>
      </c>
      <c r="S162" s="3" t="str">
        <f t="shared" si="106"/>
        <v>HW</v>
      </c>
      <c r="T162" s="3" t="str">
        <f t="shared" si="107"/>
        <v>HW</v>
      </c>
      <c r="U162" s="3" t="str">
        <f t="shared" si="108"/>
        <v>O</v>
      </c>
      <c r="V162" s="3" t="str">
        <f t="shared" si="109"/>
        <v>O</v>
      </c>
      <c r="W162" s="3" t="str">
        <f t="shared" si="110"/>
        <v>O</v>
      </c>
      <c r="X162" s="3" t="str">
        <f t="shared" si="111"/>
        <v>U</v>
      </c>
      <c r="Y162" s="3"/>
      <c r="Z162" s="17">
        <v>55.5</v>
      </c>
      <c r="AA162" s="3" t="str">
        <f t="shared" si="112"/>
        <v>CLE/MIA</v>
      </c>
    </row>
    <row r="163" spans="1:27" x14ac:dyDescent="0.45">
      <c r="A163" s="17">
        <v>191115</v>
      </c>
      <c r="B163" s="1">
        <v>0.41666666666666669</v>
      </c>
      <c r="C163" s="17" t="s">
        <v>27</v>
      </c>
      <c r="D163" s="17" t="s">
        <v>25</v>
      </c>
      <c r="E163" s="17">
        <v>34</v>
      </c>
      <c r="F163" s="17">
        <v>38</v>
      </c>
      <c r="G163" s="17">
        <v>24</v>
      </c>
      <c r="H163" s="17">
        <v>36</v>
      </c>
      <c r="I163" s="17"/>
      <c r="J163" s="17">
        <v>35</v>
      </c>
      <c r="K163" s="17">
        <v>24</v>
      </c>
      <c r="L163" s="17">
        <v>38</v>
      </c>
      <c r="M163" s="17">
        <v>30</v>
      </c>
      <c r="N163" s="17"/>
      <c r="O163" s="3">
        <f t="shared" si="102"/>
        <v>132</v>
      </c>
      <c r="P163" s="3">
        <f t="shared" si="103"/>
        <v>127</v>
      </c>
      <c r="Q163" s="3" t="str">
        <f t="shared" si="104"/>
        <v>HL</v>
      </c>
      <c r="R163" s="3" t="str">
        <f t="shared" si="105"/>
        <v>HW</v>
      </c>
      <c r="S163" s="3" t="str">
        <f t="shared" si="106"/>
        <v>HL</v>
      </c>
      <c r="T163" s="3" t="str">
        <f t="shared" si="107"/>
        <v>HW</v>
      </c>
      <c r="U163" s="3" t="str">
        <f t="shared" si="108"/>
        <v>O</v>
      </c>
      <c r="V163" s="3" t="str">
        <f t="shared" si="109"/>
        <v>O</v>
      </c>
      <c r="W163" s="3" t="str">
        <f t="shared" si="110"/>
        <v>O</v>
      </c>
      <c r="X163" s="3" t="str">
        <f t="shared" si="111"/>
        <v>O</v>
      </c>
      <c r="Y163" s="3"/>
      <c r="Z163" s="17">
        <v>60</v>
      </c>
      <c r="AA163" s="3" t="str">
        <f t="shared" si="112"/>
        <v>NO/LAC</v>
      </c>
    </row>
    <row r="164" spans="1:27" x14ac:dyDescent="0.45">
      <c r="A164" s="17">
        <v>191115</v>
      </c>
      <c r="B164" s="1">
        <v>0.41666666666666669</v>
      </c>
      <c r="C164" s="17" t="s">
        <v>53</v>
      </c>
      <c r="D164" s="17" t="s">
        <v>197</v>
      </c>
      <c r="E164" s="17">
        <v>30</v>
      </c>
      <c r="F164" s="17">
        <v>35</v>
      </c>
      <c r="G164" s="17">
        <v>32</v>
      </c>
      <c r="H164" s="17">
        <v>27</v>
      </c>
      <c r="I164" s="17"/>
      <c r="J164" s="17">
        <v>32</v>
      </c>
      <c r="K164" s="17">
        <v>34</v>
      </c>
      <c r="L164" s="17">
        <v>20</v>
      </c>
      <c r="M164" s="17">
        <v>29</v>
      </c>
      <c r="N164" s="17"/>
      <c r="O164" s="3">
        <f t="shared" si="102"/>
        <v>124</v>
      </c>
      <c r="P164" s="3">
        <f t="shared" si="103"/>
        <v>115</v>
      </c>
      <c r="Q164" s="3" t="str">
        <f t="shared" si="104"/>
        <v>HL</v>
      </c>
      <c r="R164" s="3" t="str">
        <f t="shared" si="105"/>
        <v>HW</v>
      </c>
      <c r="S164" s="3" t="str">
        <f t="shared" si="106"/>
        <v>HW</v>
      </c>
      <c r="T164" s="3" t="str">
        <f t="shared" si="107"/>
        <v>HL</v>
      </c>
      <c r="U164" s="3" t="str">
        <f t="shared" si="108"/>
        <v>O</v>
      </c>
      <c r="V164" s="3" t="str">
        <f t="shared" si="109"/>
        <v>O</v>
      </c>
      <c r="W164" s="3" t="str">
        <f t="shared" si="110"/>
        <v>U</v>
      </c>
      <c r="X164" s="3" t="str">
        <f t="shared" si="111"/>
        <v>T</v>
      </c>
      <c r="Y164" s="3"/>
      <c r="Z164" s="17">
        <v>56</v>
      </c>
      <c r="AA164" s="3" t="str">
        <f t="shared" si="112"/>
        <v>MIL/CHI</v>
      </c>
    </row>
    <row r="165" spans="1:27" x14ac:dyDescent="0.45">
      <c r="A165" s="17">
        <v>191115</v>
      </c>
      <c r="B165" s="1">
        <v>0.41666666666666669</v>
      </c>
      <c r="C165" s="17" t="s">
        <v>47</v>
      </c>
      <c r="D165" s="17" t="s">
        <v>33</v>
      </c>
      <c r="E165" s="17">
        <v>27</v>
      </c>
      <c r="F165" s="17">
        <v>31</v>
      </c>
      <c r="G165" s="17">
        <v>29</v>
      </c>
      <c r="H165" s="17">
        <v>19</v>
      </c>
      <c r="I165" s="17"/>
      <c r="J165" s="17">
        <v>23</v>
      </c>
      <c r="K165" s="17">
        <v>30</v>
      </c>
      <c r="L165" s="17">
        <v>34</v>
      </c>
      <c r="M165" s="17">
        <v>16</v>
      </c>
      <c r="N165" s="17"/>
      <c r="O165" s="3">
        <f t="shared" si="102"/>
        <v>106</v>
      </c>
      <c r="P165" s="3">
        <f t="shared" si="103"/>
        <v>103</v>
      </c>
      <c r="Q165" s="3" t="str">
        <f t="shared" si="104"/>
        <v>HW</v>
      </c>
      <c r="R165" s="3" t="str">
        <f t="shared" si="105"/>
        <v>HW</v>
      </c>
      <c r="S165" s="3" t="str">
        <f t="shared" si="106"/>
        <v>HL</v>
      </c>
      <c r="T165" s="3" t="str">
        <f t="shared" si="107"/>
        <v>HW</v>
      </c>
      <c r="U165" s="3" t="str">
        <f t="shared" si="108"/>
        <v>U</v>
      </c>
      <c r="V165" s="3" t="str">
        <f t="shared" si="109"/>
        <v>O</v>
      </c>
      <c r="W165" s="3" t="str">
        <f t="shared" si="110"/>
        <v>O</v>
      </c>
      <c r="X165" s="3" t="str">
        <f t="shared" si="111"/>
        <v>U</v>
      </c>
      <c r="Y165" s="3"/>
      <c r="Z165" s="17">
        <v>55.5</v>
      </c>
      <c r="AA165" s="3" t="str">
        <f t="shared" si="112"/>
        <v>NYK/DAL</v>
      </c>
    </row>
    <row r="166" spans="1:27" x14ac:dyDescent="0.45">
      <c r="A166" s="17">
        <v>191115</v>
      </c>
      <c r="B166" s="1">
        <v>0.45833333333333331</v>
      </c>
      <c r="C166" s="17" t="s">
        <v>200</v>
      </c>
      <c r="D166" s="17" t="s">
        <v>50</v>
      </c>
      <c r="E166" s="17">
        <v>31</v>
      </c>
      <c r="F166" s="17">
        <v>36</v>
      </c>
      <c r="G166" s="17">
        <v>37</v>
      </c>
      <c r="H166" s="17">
        <v>24</v>
      </c>
      <c r="I166" s="17"/>
      <c r="J166" s="17">
        <v>33</v>
      </c>
      <c r="K166" s="17">
        <v>28</v>
      </c>
      <c r="L166" s="17">
        <v>29</v>
      </c>
      <c r="M166" s="17">
        <v>22</v>
      </c>
      <c r="N166" s="17"/>
      <c r="O166" s="3">
        <f t="shared" si="102"/>
        <v>128</v>
      </c>
      <c r="P166" s="3">
        <f t="shared" si="103"/>
        <v>112</v>
      </c>
      <c r="Q166" s="3" t="str">
        <f t="shared" si="104"/>
        <v>HL</v>
      </c>
      <c r="R166" s="3" t="str">
        <f t="shared" si="105"/>
        <v>HW</v>
      </c>
      <c r="S166" s="3" t="str">
        <f t="shared" si="106"/>
        <v>HW</v>
      </c>
      <c r="T166" s="3" t="str">
        <f t="shared" si="107"/>
        <v>HW</v>
      </c>
      <c r="U166" s="3" t="str">
        <f t="shared" si="108"/>
        <v>O</v>
      </c>
      <c r="V166" s="3" t="str">
        <f t="shared" si="109"/>
        <v>O</v>
      </c>
      <c r="W166" s="3" t="str">
        <f t="shared" si="110"/>
        <v>O</v>
      </c>
      <c r="X166" s="3" t="str">
        <f t="shared" si="111"/>
        <v>U</v>
      </c>
      <c r="Y166" s="3"/>
      <c r="Z166" s="17">
        <v>59</v>
      </c>
      <c r="AA166" s="3" t="str">
        <f t="shared" si="112"/>
        <v>PHO/ATL</v>
      </c>
    </row>
    <row r="167" spans="1:27" x14ac:dyDescent="0.45">
      <c r="A167" s="17">
        <v>191115</v>
      </c>
      <c r="B167" s="1">
        <v>0.52083333333333337</v>
      </c>
      <c r="C167" s="17" t="s">
        <v>46</v>
      </c>
      <c r="D167" s="17" t="s">
        <v>30</v>
      </c>
      <c r="E167" s="17">
        <v>28</v>
      </c>
      <c r="F167" s="17">
        <v>21</v>
      </c>
      <c r="G167" s="17">
        <v>30</v>
      </c>
      <c r="H167" s="17">
        <v>22</v>
      </c>
      <c r="I167" s="17"/>
      <c r="J167" s="17">
        <v>35</v>
      </c>
      <c r="K167" s="17">
        <v>26</v>
      </c>
      <c r="L167" s="17">
        <v>18</v>
      </c>
      <c r="M167" s="17">
        <v>14</v>
      </c>
      <c r="N167" s="17"/>
      <c r="O167" s="3">
        <f t="shared" si="102"/>
        <v>101</v>
      </c>
      <c r="P167" s="3">
        <f t="shared" si="103"/>
        <v>93</v>
      </c>
      <c r="Q167" s="3" t="str">
        <f t="shared" si="104"/>
        <v>HL</v>
      </c>
      <c r="R167" s="3" t="str">
        <f t="shared" si="105"/>
        <v>HL</v>
      </c>
      <c r="S167" s="3" t="str">
        <f t="shared" si="106"/>
        <v>HW</v>
      </c>
      <c r="T167" s="3" t="str">
        <f t="shared" si="107"/>
        <v>HW</v>
      </c>
      <c r="U167" s="3" t="str">
        <f t="shared" si="108"/>
        <v>O</v>
      </c>
      <c r="V167" s="3" t="str">
        <f t="shared" si="109"/>
        <v>U</v>
      </c>
      <c r="W167" s="3" t="str">
        <f t="shared" si="110"/>
        <v>U</v>
      </c>
      <c r="X167" s="3" t="str">
        <f t="shared" si="111"/>
        <v>U</v>
      </c>
      <c r="Y167" s="3"/>
      <c r="Z167" s="17">
        <v>54.5</v>
      </c>
      <c r="AA167" s="3" t="str">
        <f t="shared" si="112"/>
        <v>DEN/BKN</v>
      </c>
    </row>
    <row r="168" spans="1:27" x14ac:dyDescent="0.3">
      <c r="A168" s="17">
        <v>191116</v>
      </c>
      <c r="B168" s="1">
        <v>0.375</v>
      </c>
      <c r="C168" s="17" t="s">
        <v>204</v>
      </c>
      <c r="D168" s="17" t="s">
        <v>205</v>
      </c>
      <c r="E168" s="17">
        <v>24</v>
      </c>
      <c r="F168" s="17">
        <v>23</v>
      </c>
      <c r="G168" s="17">
        <v>32</v>
      </c>
      <c r="H168" s="17">
        <v>32</v>
      </c>
      <c r="I168" s="17"/>
      <c r="J168" s="17">
        <v>31</v>
      </c>
      <c r="K168" s="17">
        <v>25</v>
      </c>
      <c r="L168" s="17">
        <v>26</v>
      </c>
      <c r="M168" s="17">
        <v>27</v>
      </c>
      <c r="N168" s="17"/>
      <c r="O168" s="17">
        <f t="shared" ref="O168:O175" si="113">SUM(E168:I168)</f>
        <v>111</v>
      </c>
      <c r="P168" s="17">
        <f t="shared" ref="P168:P175" si="114">SUM(J168:N168)</f>
        <v>109</v>
      </c>
      <c r="Q168" s="17" t="str">
        <f t="shared" ref="Q168:Q175" si="115">IF(E168=J168,"TT",IF(E168&gt;J168,"HW","HL"))</f>
        <v>HL</v>
      </c>
      <c r="R168" s="17" t="str">
        <f t="shared" ref="R168:R175" si="116">IF(F168=K168,"TT",IF(F168&gt;K168,"HW","HL"))</f>
        <v>HL</v>
      </c>
      <c r="S168" s="17" t="str">
        <f t="shared" ref="S168:S175" si="117">IF(G168=L168,"TT",IF(G168&gt;L168,"HW","HL"))</f>
        <v>HW</v>
      </c>
      <c r="T168" s="17" t="str">
        <f t="shared" ref="T168:T175" si="118">IF(H168=M168,"TT",IF(H168&gt;M168,"HW","HL"))</f>
        <v>HW</v>
      </c>
      <c r="U168" s="17" t="str">
        <f t="shared" ref="U168:U175" si="119">IF(SUM(E168,J168)=$Z168,"T",IF(SUM(E168,J168)&gt;$Z168,"O","U"))</f>
        <v>O</v>
      </c>
      <c r="V168" s="17" t="str">
        <f t="shared" ref="V168:V175" si="120">IF(SUM(F168,K168)=$Z168,"T",IF(SUM(F168,K168)&gt;$Z168,"O","U"))</f>
        <v>U</v>
      </c>
      <c r="W168" s="17" t="str">
        <f t="shared" ref="W168:W175" si="121">IF(SUM(G168,L168)=$Z168,"T",IF(SUM(G168,L168)&gt;$Z168,"O","U"))</f>
        <v>O</v>
      </c>
      <c r="X168" s="17" t="str">
        <f t="shared" ref="X168:X175" si="122">IF(SUM(H168,M168)=$Z168,"T",IF(SUM(H168,M168)&gt;$Z168,"O","U"))</f>
        <v>O</v>
      </c>
      <c r="Z168" s="17">
        <v>52</v>
      </c>
      <c r="AA168" s="17" t="str">
        <f t="shared" si="112"/>
        <v>ORL/SAS</v>
      </c>
    </row>
    <row r="169" spans="1:27" x14ac:dyDescent="0.3">
      <c r="A169" s="17">
        <v>191116</v>
      </c>
      <c r="B169" s="1">
        <v>0.375</v>
      </c>
      <c r="C169" s="17" t="s">
        <v>206</v>
      </c>
      <c r="D169" s="17" t="s">
        <v>207</v>
      </c>
      <c r="E169" s="17">
        <v>25</v>
      </c>
      <c r="F169" s="17">
        <v>26</v>
      </c>
      <c r="G169" s="17">
        <v>32</v>
      </c>
      <c r="H169" s="17">
        <v>26</v>
      </c>
      <c r="I169" s="17"/>
      <c r="J169" s="17">
        <v>35</v>
      </c>
      <c r="K169" s="17">
        <v>30</v>
      </c>
      <c r="L169" s="17">
        <v>18</v>
      </c>
      <c r="M169" s="17">
        <v>23</v>
      </c>
      <c r="N169" s="17"/>
      <c r="O169" s="17">
        <f t="shared" si="113"/>
        <v>109</v>
      </c>
      <c r="P169" s="17">
        <f t="shared" si="114"/>
        <v>106</v>
      </c>
      <c r="Q169" s="17" t="str">
        <f t="shared" si="115"/>
        <v>HL</v>
      </c>
      <c r="R169" s="17" t="str">
        <f t="shared" si="116"/>
        <v>HL</v>
      </c>
      <c r="S169" s="17" t="str">
        <f t="shared" si="117"/>
        <v>HW</v>
      </c>
      <c r="T169" s="17" t="str">
        <f t="shared" si="118"/>
        <v>HW</v>
      </c>
      <c r="U169" s="17" t="str">
        <f t="shared" si="119"/>
        <v>O</v>
      </c>
      <c r="V169" s="17" t="str">
        <f t="shared" si="120"/>
        <v>U</v>
      </c>
      <c r="W169" s="17" t="str">
        <f t="shared" si="121"/>
        <v>U</v>
      </c>
      <c r="X169" s="17" t="str">
        <f t="shared" si="122"/>
        <v>U</v>
      </c>
      <c r="Z169" s="17">
        <v>56.5</v>
      </c>
      <c r="AA169" s="17" t="str">
        <f t="shared" si="112"/>
        <v>CHA/DET</v>
      </c>
    </row>
    <row r="170" spans="1:27" x14ac:dyDescent="0.3">
      <c r="A170" s="17">
        <v>191116</v>
      </c>
      <c r="B170" s="1">
        <v>0.41666666666666669</v>
      </c>
      <c r="C170" s="17" t="s">
        <v>208</v>
      </c>
      <c r="D170" s="17" t="s">
        <v>209</v>
      </c>
      <c r="E170" s="17">
        <v>26</v>
      </c>
      <c r="F170" s="17">
        <v>28</v>
      </c>
      <c r="G170" s="17">
        <v>26</v>
      </c>
      <c r="H170" s="17">
        <v>31</v>
      </c>
      <c r="I170" s="17"/>
      <c r="J170" s="17">
        <v>22</v>
      </c>
      <c r="K170" s="17">
        <v>27</v>
      </c>
      <c r="L170" s="17">
        <v>30</v>
      </c>
      <c r="M170" s="17">
        <v>23</v>
      </c>
      <c r="N170" s="17"/>
      <c r="O170" s="17">
        <f t="shared" si="113"/>
        <v>111</v>
      </c>
      <c r="P170" s="17">
        <f t="shared" si="114"/>
        <v>102</v>
      </c>
      <c r="Q170" s="17" t="str">
        <f t="shared" si="115"/>
        <v>HW</v>
      </c>
      <c r="R170" s="17" t="str">
        <f t="shared" si="116"/>
        <v>HW</v>
      </c>
      <c r="S170" s="17" t="str">
        <f t="shared" si="117"/>
        <v>HL</v>
      </c>
      <c r="T170" s="17" t="str">
        <f t="shared" si="118"/>
        <v>HW</v>
      </c>
      <c r="U170" s="17" t="str">
        <f t="shared" si="119"/>
        <v>U</v>
      </c>
      <c r="V170" s="17" t="str">
        <f t="shared" si="120"/>
        <v>U</v>
      </c>
      <c r="W170" s="17" t="str">
        <f t="shared" si="121"/>
        <v>U</v>
      </c>
      <c r="X170" s="17" t="str">
        <f t="shared" si="122"/>
        <v>U</v>
      </c>
      <c r="Z170" s="17">
        <v>58.5</v>
      </c>
      <c r="AA170" s="17" t="str">
        <f t="shared" si="112"/>
        <v>HOU/IND</v>
      </c>
    </row>
    <row r="171" spans="1:27" x14ac:dyDescent="0.3">
      <c r="A171" s="17">
        <v>191116</v>
      </c>
      <c r="B171" s="1">
        <v>0.41666666666666669</v>
      </c>
      <c r="C171" s="17" t="s">
        <v>210</v>
      </c>
      <c r="D171" s="17" t="s">
        <v>211</v>
      </c>
      <c r="E171" s="17">
        <v>30</v>
      </c>
      <c r="F171" s="17">
        <v>43</v>
      </c>
      <c r="G171" s="17">
        <v>19</v>
      </c>
      <c r="H171" s="17">
        <v>24</v>
      </c>
      <c r="I171" s="17"/>
      <c r="J171" s="17">
        <v>39</v>
      </c>
      <c r="K171" s="17">
        <v>37</v>
      </c>
      <c r="L171" s="17">
        <v>26</v>
      </c>
      <c r="M171" s="17">
        <v>35</v>
      </c>
      <c r="N171" s="17"/>
      <c r="O171" s="17">
        <f t="shared" si="113"/>
        <v>116</v>
      </c>
      <c r="P171" s="17">
        <f t="shared" si="114"/>
        <v>137</v>
      </c>
      <c r="Q171" s="17" t="str">
        <f t="shared" si="115"/>
        <v>HL</v>
      </c>
      <c r="R171" s="17" t="str">
        <f t="shared" si="116"/>
        <v>HW</v>
      </c>
      <c r="S171" s="17" t="str">
        <f t="shared" si="117"/>
        <v>HL</v>
      </c>
      <c r="T171" s="17" t="str">
        <f t="shared" si="118"/>
        <v>HL</v>
      </c>
      <c r="U171" s="17" t="str">
        <f t="shared" si="119"/>
        <v>O</v>
      </c>
      <c r="V171" s="17" t="str">
        <f t="shared" si="120"/>
        <v>O</v>
      </c>
      <c r="W171" s="17" t="str">
        <f t="shared" si="121"/>
        <v>U</v>
      </c>
      <c r="X171" s="17" t="str">
        <f t="shared" si="122"/>
        <v>U</v>
      </c>
      <c r="Z171" s="17">
        <v>61.5</v>
      </c>
      <c r="AA171" s="17" t="str">
        <f t="shared" si="112"/>
        <v>MIN/WAS</v>
      </c>
    </row>
    <row r="172" spans="1:27" x14ac:dyDescent="0.3">
      <c r="A172" s="17">
        <v>191116</v>
      </c>
      <c r="B172" s="1">
        <v>0.41666666666666669</v>
      </c>
      <c r="C172" s="17" t="s">
        <v>212</v>
      </c>
      <c r="D172" s="17" t="s">
        <v>213</v>
      </c>
      <c r="E172" s="17">
        <v>24</v>
      </c>
      <c r="F172" s="17">
        <v>30</v>
      </c>
      <c r="G172" s="17">
        <v>26</v>
      </c>
      <c r="H172" s="17">
        <v>27</v>
      </c>
      <c r="I172" s="17">
        <v>20</v>
      </c>
      <c r="J172" s="17">
        <v>29</v>
      </c>
      <c r="K172" s="17">
        <v>20</v>
      </c>
      <c r="L172" s="17">
        <v>34</v>
      </c>
      <c r="M172" s="17">
        <v>24</v>
      </c>
      <c r="N172" s="17">
        <v>12</v>
      </c>
      <c r="O172" s="17">
        <f t="shared" si="113"/>
        <v>127</v>
      </c>
      <c r="P172" s="17">
        <f t="shared" si="114"/>
        <v>119</v>
      </c>
      <c r="Q172" s="17" t="str">
        <f t="shared" si="115"/>
        <v>HL</v>
      </c>
      <c r="R172" s="17" t="str">
        <f t="shared" si="116"/>
        <v>HW</v>
      </c>
      <c r="S172" s="17" t="str">
        <f t="shared" si="117"/>
        <v>HL</v>
      </c>
      <c r="T172" s="17" t="str">
        <f t="shared" si="118"/>
        <v>HW</v>
      </c>
      <c r="U172" s="17" t="str">
        <f t="shared" si="119"/>
        <v>O</v>
      </c>
      <c r="V172" s="17" t="str">
        <f t="shared" si="120"/>
        <v>U</v>
      </c>
      <c r="W172" s="17" t="str">
        <f t="shared" si="121"/>
        <v>O</v>
      </c>
      <c r="X172" s="17" t="str">
        <f t="shared" si="122"/>
        <v>U</v>
      </c>
      <c r="Z172" s="17">
        <v>52.5</v>
      </c>
      <c r="AA172" s="17" t="str">
        <f t="shared" si="112"/>
        <v>OKC/PHI</v>
      </c>
    </row>
    <row r="173" spans="1:27" x14ac:dyDescent="0.3">
      <c r="A173" s="17">
        <v>191116</v>
      </c>
      <c r="B173" s="1">
        <v>0.41666666666666669</v>
      </c>
      <c r="C173" s="17" t="s">
        <v>214</v>
      </c>
      <c r="D173" s="17" t="s">
        <v>215</v>
      </c>
      <c r="E173" s="17">
        <v>23</v>
      </c>
      <c r="F173" s="17">
        <v>30</v>
      </c>
      <c r="G173" s="17">
        <v>24</v>
      </c>
      <c r="H173" s="17">
        <v>30</v>
      </c>
      <c r="I173" s="17"/>
      <c r="J173" s="17">
        <v>26</v>
      </c>
      <c r="K173" s="17">
        <v>22</v>
      </c>
      <c r="L173" s="17">
        <v>31</v>
      </c>
      <c r="M173" s="17">
        <v>27</v>
      </c>
      <c r="N173" s="17"/>
      <c r="O173" s="17">
        <f t="shared" si="113"/>
        <v>107</v>
      </c>
      <c r="P173" s="17">
        <f t="shared" si="114"/>
        <v>106</v>
      </c>
      <c r="Q173" s="17" t="str">
        <f t="shared" si="115"/>
        <v>HL</v>
      </c>
      <c r="R173" s="17" t="str">
        <f t="shared" si="116"/>
        <v>HW</v>
      </c>
      <c r="S173" s="17" t="str">
        <f t="shared" si="117"/>
        <v>HL</v>
      </c>
      <c r="T173" s="17" t="str">
        <f t="shared" si="118"/>
        <v>HW</v>
      </c>
      <c r="U173" s="17" t="str">
        <f t="shared" si="119"/>
        <v>U</v>
      </c>
      <c r="V173" s="17" t="str">
        <f t="shared" si="120"/>
        <v>U</v>
      </c>
      <c r="W173" s="17" t="str">
        <f t="shared" si="121"/>
        <v>O</v>
      </c>
      <c r="X173" s="17" t="str">
        <f t="shared" si="122"/>
        <v>O</v>
      </c>
      <c r="Z173" s="17">
        <v>53</v>
      </c>
      <c r="AA173" s="17" t="str">
        <f t="shared" si="112"/>
        <v>MEM/UTA</v>
      </c>
    </row>
    <row r="174" spans="1:27" x14ac:dyDescent="0.3">
      <c r="A174" s="17">
        <v>191116</v>
      </c>
      <c r="B174" s="1">
        <v>0.52083333333333337</v>
      </c>
      <c r="C174" s="17" t="s">
        <v>216</v>
      </c>
      <c r="D174" s="17" t="s">
        <v>217</v>
      </c>
      <c r="E174" s="17">
        <v>32</v>
      </c>
      <c r="F174" s="17">
        <v>19</v>
      </c>
      <c r="G174" s="17">
        <v>20</v>
      </c>
      <c r="H174" s="17">
        <v>29</v>
      </c>
      <c r="I174" s="17"/>
      <c r="J174" s="17">
        <v>23</v>
      </c>
      <c r="K174" s="17">
        <v>29</v>
      </c>
      <c r="L174" s="17">
        <v>24</v>
      </c>
      <c r="M174" s="17">
        <v>29</v>
      </c>
      <c r="N174" s="17"/>
      <c r="O174" s="17">
        <f t="shared" si="113"/>
        <v>100</v>
      </c>
      <c r="P174" s="17">
        <f t="shared" si="114"/>
        <v>105</v>
      </c>
      <c r="Q174" s="17" t="str">
        <f t="shared" si="115"/>
        <v>HW</v>
      </c>
      <c r="R174" s="17" t="str">
        <f t="shared" si="116"/>
        <v>HL</v>
      </c>
      <c r="S174" s="17" t="str">
        <f t="shared" si="117"/>
        <v>HL</v>
      </c>
      <c r="T174" s="17" t="str">
        <f t="shared" si="118"/>
        <v>TT</v>
      </c>
      <c r="U174" s="17" t="str">
        <f t="shared" si="119"/>
        <v>T</v>
      </c>
      <c r="V174" s="17" t="str">
        <f t="shared" si="120"/>
        <v>U</v>
      </c>
      <c r="W174" s="17" t="str">
        <f t="shared" si="121"/>
        <v>U</v>
      </c>
      <c r="X174" s="17" t="str">
        <f t="shared" si="122"/>
        <v>O</v>
      </c>
      <c r="Z174" s="17">
        <v>55</v>
      </c>
      <c r="AA174" s="17" t="str">
        <f t="shared" si="112"/>
        <v>GS/BOS</v>
      </c>
    </row>
    <row r="175" spans="1:27" x14ac:dyDescent="0.3">
      <c r="A175" s="17">
        <v>191116</v>
      </c>
      <c r="B175" s="1">
        <v>0.52083333333333337</v>
      </c>
      <c r="C175" s="17" t="s">
        <v>218</v>
      </c>
      <c r="D175" s="17" t="s">
        <v>219</v>
      </c>
      <c r="E175" s="17">
        <v>20</v>
      </c>
      <c r="F175" s="17">
        <v>29</v>
      </c>
      <c r="G175" s="17">
        <v>25</v>
      </c>
      <c r="H175" s="17">
        <v>25</v>
      </c>
      <c r="I175" s="17"/>
      <c r="J175" s="17">
        <v>30</v>
      </c>
      <c r="K175" s="17">
        <v>20</v>
      </c>
      <c r="L175" s="17">
        <v>21</v>
      </c>
      <c r="M175" s="17">
        <v>26</v>
      </c>
      <c r="N175" s="17"/>
      <c r="O175" s="17">
        <f t="shared" si="113"/>
        <v>99</v>
      </c>
      <c r="P175" s="17">
        <f t="shared" si="114"/>
        <v>97</v>
      </c>
      <c r="Q175" s="17" t="str">
        <f t="shared" si="115"/>
        <v>HL</v>
      </c>
      <c r="R175" s="17" t="str">
        <f t="shared" si="116"/>
        <v>HW</v>
      </c>
      <c r="S175" s="17" t="str">
        <f t="shared" si="117"/>
        <v>HW</v>
      </c>
      <c r="T175" s="17" t="str">
        <f t="shared" si="118"/>
        <v>HL</v>
      </c>
      <c r="U175" s="17" t="str">
        <f t="shared" si="119"/>
        <v>U</v>
      </c>
      <c r="V175" s="17" t="str">
        <f t="shared" si="120"/>
        <v>U</v>
      </c>
      <c r="W175" s="17" t="str">
        <f t="shared" si="121"/>
        <v>U</v>
      </c>
      <c r="X175" s="17" t="str">
        <f t="shared" si="122"/>
        <v>U</v>
      </c>
      <c r="Z175" s="17">
        <v>55.5</v>
      </c>
      <c r="AA175" s="17" t="str">
        <f t="shared" si="112"/>
        <v>LAL/SAC</v>
      </c>
    </row>
    <row r="176" spans="1:27" x14ac:dyDescent="0.3">
      <c r="A176" s="17">
        <v>191117</v>
      </c>
      <c r="B176" s="1">
        <v>0.33333333333333331</v>
      </c>
      <c r="C176" s="17" t="s">
        <v>220</v>
      </c>
      <c r="D176" s="17" t="s">
        <v>221</v>
      </c>
      <c r="E176" s="17"/>
      <c r="F176" s="17"/>
      <c r="G176" s="17"/>
      <c r="H176" s="17"/>
      <c r="I176" s="17"/>
      <c r="J176" s="17"/>
      <c r="K176" s="17"/>
      <c r="L176" s="17"/>
      <c r="M176" s="17"/>
      <c r="N176" s="17"/>
    </row>
    <row r="177" spans="1:14" x14ac:dyDescent="0.3">
      <c r="A177" s="17">
        <v>191117</v>
      </c>
      <c r="B177" s="1">
        <v>0.375</v>
      </c>
      <c r="C177" s="17" t="s">
        <v>209</v>
      </c>
      <c r="D177" s="17" t="s">
        <v>222</v>
      </c>
      <c r="E177" s="17"/>
      <c r="F177" s="17"/>
      <c r="G177" s="17"/>
      <c r="H177" s="17"/>
      <c r="I177" s="17"/>
      <c r="J177" s="17"/>
      <c r="K177" s="17"/>
      <c r="L177" s="17"/>
      <c r="M177" s="17"/>
      <c r="N177" s="17"/>
    </row>
    <row r="178" spans="1:14" x14ac:dyDescent="0.3">
      <c r="A178" s="17">
        <v>191117</v>
      </c>
      <c r="B178" s="1">
        <v>0.39583333333333331</v>
      </c>
      <c r="C178" s="17" t="s">
        <v>223</v>
      </c>
      <c r="D178" s="17" t="s">
        <v>206</v>
      </c>
      <c r="E178" s="17"/>
      <c r="F178" s="17"/>
      <c r="G178" s="17"/>
      <c r="H178" s="17"/>
      <c r="I178" s="17"/>
      <c r="J178" s="17"/>
      <c r="K178" s="17"/>
      <c r="L178" s="17"/>
      <c r="M178" s="17"/>
      <c r="N178" s="17"/>
    </row>
    <row r="179" spans="1:14" x14ac:dyDescent="0.3">
      <c r="A179" s="17">
        <v>191117</v>
      </c>
      <c r="B179" s="1">
        <v>0.41666666666666669</v>
      </c>
      <c r="C179" s="11" t="s">
        <v>224</v>
      </c>
      <c r="D179" s="17" t="s">
        <v>225</v>
      </c>
      <c r="E179" s="17"/>
      <c r="F179" s="17"/>
      <c r="G179" s="17"/>
      <c r="H179" s="17"/>
      <c r="I179" s="17"/>
      <c r="J179" s="17"/>
      <c r="K179" s="17"/>
      <c r="L179" s="17"/>
      <c r="M179" s="17"/>
      <c r="N179" s="17"/>
    </row>
    <row r="180" spans="1:14" x14ac:dyDescent="0.3">
      <c r="A180" s="17">
        <v>191117</v>
      </c>
      <c r="B180" s="1">
        <v>0.41666666666666669</v>
      </c>
      <c r="C180" s="17" t="s">
        <v>210</v>
      </c>
      <c r="D180" s="11" t="s">
        <v>208</v>
      </c>
      <c r="E180" s="17"/>
      <c r="F180" s="17"/>
      <c r="G180" s="17"/>
      <c r="H180" s="17"/>
      <c r="I180" s="17"/>
      <c r="J180" s="17"/>
      <c r="K180" s="17"/>
      <c r="L180" s="17"/>
      <c r="M180" s="17"/>
      <c r="N180" s="17"/>
    </row>
    <row r="181" spans="1:14" x14ac:dyDescent="0.3">
      <c r="A181" s="17">
        <v>191117</v>
      </c>
      <c r="B181" s="1">
        <v>0.4375</v>
      </c>
      <c r="C181" s="17" t="s">
        <v>226</v>
      </c>
      <c r="D181" s="17" t="s">
        <v>227</v>
      </c>
      <c r="E181" s="17"/>
      <c r="F181" s="17"/>
      <c r="G181" s="17"/>
      <c r="H181" s="17"/>
      <c r="I181" s="17"/>
      <c r="J181" s="17"/>
      <c r="K181" s="17"/>
      <c r="L181" s="17"/>
      <c r="M181" s="17"/>
      <c r="N181" s="17"/>
    </row>
    <row r="182" spans="1:14" x14ac:dyDescent="0.3">
      <c r="A182" s="17">
        <v>191117</v>
      </c>
      <c r="B182" s="1">
        <v>0.4375</v>
      </c>
      <c r="C182" s="17" t="s">
        <v>205</v>
      </c>
      <c r="D182" s="17" t="s">
        <v>228</v>
      </c>
      <c r="E182" s="17"/>
      <c r="F182" s="17"/>
      <c r="G182" s="17"/>
      <c r="H182" s="17"/>
      <c r="I182" s="17"/>
      <c r="J182" s="17"/>
      <c r="K182" s="17"/>
      <c r="L182" s="17"/>
      <c r="M182" s="17"/>
      <c r="N182" s="17"/>
    </row>
    <row r="183" spans="1:14" x14ac:dyDescent="0.3">
      <c r="A183" s="17">
        <v>191117</v>
      </c>
      <c r="B183" s="1">
        <v>0.52083333333333337</v>
      </c>
      <c r="C183" s="17" t="s">
        <v>229</v>
      </c>
      <c r="D183" s="17" t="s">
        <v>230</v>
      </c>
      <c r="E183" s="17"/>
      <c r="F183" s="17"/>
      <c r="G183" s="17"/>
      <c r="H183" s="17"/>
      <c r="I183" s="17"/>
      <c r="J183" s="17"/>
      <c r="K183" s="17"/>
      <c r="L183" s="17"/>
      <c r="M183" s="17"/>
      <c r="N183" s="17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83"/>
  <sheetViews>
    <sheetView zoomScale="85" zoomScaleNormal="85" workbookViewId="0">
      <pane ySplit="1" topLeftCell="A169" activePane="bottomLeft" state="frozen"/>
      <selection pane="bottomLeft" activeCell="D180" activeCellId="1" sqref="C179 D180"/>
    </sheetView>
  </sheetViews>
  <sheetFormatPr defaultColWidth="9" defaultRowHeight="16.5" x14ac:dyDescent="0.3"/>
  <cols>
    <col min="1" max="1" width="7.5" style="3" bestFit="1" customWidth="1"/>
    <col min="2" max="2" width="10" style="3" bestFit="1" customWidth="1"/>
    <col min="3" max="3" width="6.375" style="3" bestFit="1" customWidth="1"/>
    <col min="4" max="4" width="5.75" style="3" bestFit="1" customWidth="1"/>
    <col min="5" max="8" width="4.75" style="3" bestFit="1" customWidth="1"/>
    <col min="9" max="9" width="4.375" style="3" bestFit="1" customWidth="1"/>
    <col min="10" max="13" width="4.625" style="3" bestFit="1" customWidth="1"/>
    <col min="14" max="14" width="4.625" style="3" customWidth="1"/>
    <col min="15" max="15" width="5" style="3" bestFit="1" customWidth="1"/>
    <col min="16" max="16" width="4.875" style="3" bestFit="1" customWidth="1"/>
    <col min="17" max="20" width="5.5" style="3" bestFit="1" customWidth="1"/>
    <col min="21" max="24" width="5.875" style="3" bestFit="1" customWidth="1"/>
    <col min="25" max="25" width="6.75" style="3" customWidth="1"/>
    <col min="26" max="26" width="8.25" style="3" customWidth="1"/>
    <col min="27" max="27" width="9" style="3"/>
    <col min="28" max="28" width="9.375" style="3" customWidth="1"/>
    <col min="29" max="29" width="4.875" style="3" customWidth="1"/>
    <col min="30" max="30" width="5" style="3" customWidth="1"/>
    <col min="31" max="31" width="5.75" style="3" customWidth="1"/>
    <col min="32" max="33" width="5.125" style="3" bestFit="1" customWidth="1"/>
    <col min="34" max="16384" width="9" style="3"/>
  </cols>
  <sheetData>
    <row r="1" spans="1:33" x14ac:dyDescent="0.45">
      <c r="A1" s="3" t="s">
        <v>0</v>
      </c>
      <c r="B1" s="3" t="s">
        <v>55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C1" s="3">
        <f>SUBTOTAL(109,AC2:AC100)</f>
        <v>169</v>
      </c>
      <c r="AD1" s="3">
        <f>SUBTOTAL(109,AD2:AD100)</f>
        <v>221</v>
      </c>
      <c r="AF1" s="8">
        <f>AC1/(SUM($AC$1:$AD$1))</f>
        <v>0.43333333333333335</v>
      </c>
      <c r="AG1" s="9">
        <f>AD1/(SUM($AC$1:$AD$1))</f>
        <v>0.56666666666666665</v>
      </c>
    </row>
    <row r="2" spans="1:33" x14ac:dyDescent="0.45">
      <c r="A2" s="3">
        <v>191023</v>
      </c>
      <c r="B2" s="1">
        <v>0.375</v>
      </c>
      <c r="C2" s="3" t="s">
        <v>28</v>
      </c>
      <c r="D2" s="3" t="s">
        <v>27</v>
      </c>
      <c r="E2" s="3">
        <v>27</v>
      </c>
      <c r="F2" s="3">
        <v>29</v>
      </c>
      <c r="G2" s="3">
        <v>32</v>
      </c>
      <c r="H2" s="3">
        <v>29</v>
      </c>
      <c r="I2" s="3">
        <v>13</v>
      </c>
      <c r="J2" s="3">
        <v>30</v>
      </c>
      <c r="K2" s="3">
        <v>31</v>
      </c>
      <c r="L2" s="3">
        <v>25</v>
      </c>
      <c r="M2" s="3">
        <v>31</v>
      </c>
      <c r="N2" s="3">
        <v>5</v>
      </c>
      <c r="O2" s="3">
        <f>SUM(E2:I2)</f>
        <v>130</v>
      </c>
      <c r="P2" s="3">
        <f>SUM(J2:N2)</f>
        <v>122</v>
      </c>
      <c r="Q2" s="3" t="str">
        <f>IF(E2=J2,"TT",IF(E2&gt;J2,"HW","HL"))</f>
        <v>HL</v>
      </c>
      <c r="R2" s="3" t="str">
        <f t="shared" ref="R2:T17" si="0">IF(F2=K2,"TT",IF(F2&gt;K2,"HW","HL"))</f>
        <v>HL</v>
      </c>
      <c r="S2" s="3" t="str">
        <f t="shared" si="0"/>
        <v>HW</v>
      </c>
      <c r="T2" s="3" t="str">
        <f t="shared" si="0"/>
        <v>HL</v>
      </c>
      <c r="U2" s="3" t="str">
        <f>IF(SUM(E2,J2)=$Z2,"T",IF(SUM(E2,J2)&gt;$Z2,"O","U"))</f>
        <v>U</v>
      </c>
      <c r="V2" s="3" t="str">
        <f t="shared" ref="V2:X17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 s="3">
        <v>59</v>
      </c>
      <c r="AB2" s="3" t="str">
        <f>C2&amp;"/"&amp;D2</f>
        <v>TOR/NO</v>
      </c>
      <c r="AC2" s="3">
        <f>COUNTIF(U2:X2,"o")</f>
        <v>2</v>
      </c>
      <c r="AD2" s="3">
        <f>COUNTIF(U2:X2,"u")</f>
        <v>2</v>
      </c>
    </row>
    <row r="3" spans="1:33" x14ac:dyDescent="0.45">
      <c r="A3" s="3">
        <v>191023</v>
      </c>
      <c r="B3" s="1">
        <v>0.47916666666666669</v>
      </c>
      <c r="C3" s="3" t="s">
        <v>25</v>
      </c>
      <c r="D3" s="3" t="s">
        <v>26</v>
      </c>
      <c r="E3" s="3">
        <v>22</v>
      </c>
      <c r="F3" s="3">
        <v>40</v>
      </c>
      <c r="G3" s="3">
        <v>23</v>
      </c>
      <c r="H3" s="3">
        <v>27</v>
      </c>
      <c r="J3" s="3">
        <v>25</v>
      </c>
      <c r="K3" s="3">
        <v>29</v>
      </c>
      <c r="L3" s="3">
        <v>31</v>
      </c>
      <c r="M3" s="3">
        <v>17</v>
      </c>
      <c r="O3" s="3">
        <f t="shared" ref="O3:O6" si="2">SUM(E3:I3)</f>
        <v>112</v>
      </c>
      <c r="P3" s="3">
        <f t="shared" ref="P3:P36" si="3">SUM(J3:N3)</f>
        <v>102</v>
      </c>
      <c r="Q3" s="3" t="str">
        <f>IF(E3=J3,"TT",IF(E3&gt;J3,"HW","HL"))</f>
        <v>HL</v>
      </c>
      <c r="R3" s="3" t="str">
        <f t="shared" si="0"/>
        <v>HW</v>
      </c>
      <c r="S3" s="3" t="str">
        <f t="shared" si="0"/>
        <v>HL</v>
      </c>
      <c r="T3" s="3" t="str">
        <f t="shared" si="0"/>
        <v>HW</v>
      </c>
      <c r="U3" s="3" t="str">
        <f>IF(SUM(E3,J3)=$Z3,"T",IF(SUM(E3,J3)&gt;$Z3,"O","U"))</f>
        <v>U</v>
      </c>
      <c r="V3" s="3" t="str">
        <f t="shared" si="1"/>
        <v>O</v>
      </c>
      <c r="W3" s="3" t="str">
        <f t="shared" si="1"/>
        <v>U</v>
      </c>
      <c r="X3" s="3" t="str">
        <f t="shared" si="1"/>
        <v>U</v>
      </c>
      <c r="Z3" s="3">
        <v>57.5</v>
      </c>
      <c r="AB3" s="3" t="str">
        <f>C3&amp;"/"&amp;D3</f>
        <v>LAC/LAL</v>
      </c>
      <c r="AC3" s="3">
        <f t="shared" ref="AC3:AC41" si="4">COUNTIF(U3:X3,"o")</f>
        <v>1</v>
      </c>
      <c r="AD3" s="3">
        <f t="shared" ref="AD3:AD41" si="5">COUNTIF(U3:X3,"u")</f>
        <v>3</v>
      </c>
    </row>
    <row r="4" spans="1:33" x14ac:dyDescent="0.45">
      <c r="A4" s="3">
        <v>191024</v>
      </c>
      <c r="B4" s="1">
        <v>0.33333333333333331</v>
      </c>
      <c r="C4" s="3" t="s">
        <v>30</v>
      </c>
      <c r="D4" s="3" t="s">
        <v>29</v>
      </c>
      <c r="E4" s="3">
        <v>22</v>
      </c>
      <c r="F4" s="3">
        <v>34</v>
      </c>
      <c r="G4" s="3">
        <v>37</v>
      </c>
      <c r="H4" s="3">
        <v>22</v>
      </c>
      <c r="I4" s="3">
        <v>11</v>
      </c>
      <c r="J4" s="3">
        <v>33</v>
      </c>
      <c r="K4" s="3">
        <v>35</v>
      </c>
      <c r="L4" s="3">
        <v>20</v>
      </c>
      <c r="M4" s="3">
        <v>27</v>
      </c>
      <c r="N4" s="3">
        <v>12</v>
      </c>
      <c r="O4" s="3">
        <f t="shared" si="2"/>
        <v>126</v>
      </c>
      <c r="P4" s="3">
        <f t="shared" si="3"/>
        <v>127</v>
      </c>
      <c r="Q4" s="3" t="str">
        <f t="shared" ref="Q4:T19" si="6">IF(E4=J4,"TT",IF(E4&gt;J4,"HW","HL"))</f>
        <v>HL</v>
      </c>
      <c r="R4" s="3" t="str">
        <f t="shared" si="0"/>
        <v>HL</v>
      </c>
      <c r="S4" s="3" t="str">
        <f t="shared" si="0"/>
        <v>HW</v>
      </c>
      <c r="T4" s="3" t="str">
        <f t="shared" si="0"/>
        <v>HL</v>
      </c>
      <c r="U4" s="3" t="str">
        <f t="shared" ref="U4:X19" si="7">IF(SUM(E4,J4)=$Z4,"T",IF(SUM(E4,J4)&gt;$Z4,"O","U"))</f>
        <v>U</v>
      </c>
      <c r="V4" s="3" t="str">
        <f t="shared" si="1"/>
        <v>O</v>
      </c>
      <c r="W4" s="3" t="str">
        <f t="shared" si="1"/>
        <v>U</v>
      </c>
      <c r="X4" s="3" t="str">
        <f t="shared" si="1"/>
        <v>U</v>
      </c>
      <c r="Z4" s="3">
        <v>58.5</v>
      </c>
      <c r="AB4" s="3" t="str">
        <f t="shared" ref="AB4:AB67" si="8">C4&amp;"/"&amp;D4</f>
        <v>BKN/MIN</v>
      </c>
      <c r="AC4" s="3">
        <f t="shared" si="4"/>
        <v>1</v>
      </c>
      <c r="AD4" s="3">
        <f t="shared" si="5"/>
        <v>3</v>
      </c>
    </row>
    <row r="5" spans="1:33" x14ac:dyDescent="0.45">
      <c r="A5" s="3">
        <v>191024</v>
      </c>
      <c r="C5" s="3" t="s">
        <v>31</v>
      </c>
      <c r="D5" s="3" t="s">
        <v>32</v>
      </c>
      <c r="E5" s="3">
        <v>37</v>
      </c>
      <c r="F5" s="3">
        <v>26</v>
      </c>
      <c r="G5" s="3">
        <v>33</v>
      </c>
      <c r="H5" s="3">
        <v>30</v>
      </c>
      <c r="J5" s="3">
        <v>28</v>
      </c>
      <c r="K5" s="3">
        <v>27</v>
      </c>
      <c r="L5" s="3">
        <v>40</v>
      </c>
      <c r="M5" s="3">
        <v>30</v>
      </c>
      <c r="O5" s="3">
        <f t="shared" si="2"/>
        <v>126</v>
      </c>
      <c r="P5" s="3">
        <f t="shared" si="3"/>
        <v>125</v>
      </c>
      <c r="Q5" s="3" t="str">
        <f t="shared" si="6"/>
        <v>HW</v>
      </c>
      <c r="R5" s="3" t="str">
        <f t="shared" si="0"/>
        <v>HL</v>
      </c>
      <c r="S5" s="3" t="str">
        <f t="shared" si="0"/>
        <v>HL</v>
      </c>
      <c r="T5" s="3" t="str">
        <f t="shared" si="0"/>
        <v>TT</v>
      </c>
      <c r="U5" s="3" t="str">
        <f t="shared" si="7"/>
        <v>O</v>
      </c>
      <c r="V5" s="3" t="str">
        <f t="shared" si="1"/>
        <v>T</v>
      </c>
      <c r="W5" s="3" t="str">
        <f t="shared" si="1"/>
        <v>O</v>
      </c>
      <c r="X5" s="3" t="str">
        <f t="shared" si="1"/>
        <v>O</v>
      </c>
      <c r="Z5" s="3">
        <v>53</v>
      </c>
      <c r="AB5" s="3" t="str">
        <f t="shared" si="8"/>
        <v>CHA/CHI</v>
      </c>
      <c r="AC5" s="3">
        <f t="shared" si="4"/>
        <v>3</v>
      </c>
      <c r="AD5" s="3">
        <f t="shared" si="5"/>
        <v>0</v>
      </c>
    </row>
    <row r="6" spans="1:33" x14ac:dyDescent="0.45">
      <c r="A6" s="3">
        <v>191024</v>
      </c>
      <c r="C6" s="3" t="s">
        <v>33</v>
      </c>
      <c r="D6" s="3" t="s">
        <v>34</v>
      </c>
      <c r="E6" s="3">
        <v>24</v>
      </c>
      <c r="F6" s="3">
        <v>38</v>
      </c>
      <c r="G6" s="3">
        <v>29</v>
      </c>
      <c r="H6" s="3">
        <v>17</v>
      </c>
      <c r="J6" s="3">
        <v>25</v>
      </c>
      <c r="K6" s="3">
        <v>23</v>
      </c>
      <c r="L6" s="3">
        <v>20</v>
      </c>
      <c r="M6" s="3">
        <v>32</v>
      </c>
      <c r="O6" s="3">
        <f t="shared" si="2"/>
        <v>108</v>
      </c>
      <c r="P6" s="3">
        <f t="shared" si="3"/>
        <v>100</v>
      </c>
      <c r="Q6" s="3" t="str">
        <f t="shared" si="6"/>
        <v>HL</v>
      </c>
      <c r="R6" s="3" t="str">
        <f t="shared" si="0"/>
        <v>HW</v>
      </c>
      <c r="S6" s="3" t="str">
        <f t="shared" si="0"/>
        <v>HW</v>
      </c>
      <c r="T6" s="3" t="str">
        <f t="shared" si="0"/>
        <v>HL</v>
      </c>
      <c r="U6" s="3" t="str">
        <f t="shared" si="7"/>
        <v>U</v>
      </c>
      <c r="V6" s="3" t="str">
        <f t="shared" si="1"/>
        <v>O</v>
      </c>
      <c r="W6" s="3" t="str">
        <f t="shared" si="1"/>
        <v>U</v>
      </c>
      <c r="X6" s="3" t="str">
        <f t="shared" si="1"/>
        <v>U</v>
      </c>
      <c r="Z6" s="3">
        <v>57.5</v>
      </c>
      <c r="AB6" s="3" t="str">
        <f t="shared" si="8"/>
        <v>DAL/WAS</v>
      </c>
      <c r="AC6" s="3">
        <f t="shared" si="4"/>
        <v>1</v>
      </c>
      <c r="AD6" s="3">
        <f t="shared" si="5"/>
        <v>3</v>
      </c>
    </row>
    <row r="7" spans="1:33" x14ac:dyDescent="0.45">
      <c r="A7" s="3">
        <v>191024</v>
      </c>
      <c r="B7" s="1">
        <v>0.33333333333333331</v>
      </c>
      <c r="C7" s="3" t="s">
        <v>35</v>
      </c>
      <c r="D7" s="3" t="s">
        <v>36</v>
      </c>
      <c r="E7" s="3">
        <v>24</v>
      </c>
      <c r="F7" s="3">
        <v>31</v>
      </c>
      <c r="G7" s="3">
        <v>31</v>
      </c>
      <c r="H7" s="3">
        <v>24</v>
      </c>
      <c r="J7" s="3">
        <v>27</v>
      </c>
      <c r="K7" s="3">
        <v>27</v>
      </c>
      <c r="L7" s="3">
        <v>29</v>
      </c>
      <c r="M7" s="3">
        <v>36</v>
      </c>
      <c r="O7" s="3">
        <f t="shared" ref="O7:O14" si="9">SUM(E7:I7)</f>
        <v>110</v>
      </c>
      <c r="P7" s="3">
        <f t="shared" si="3"/>
        <v>119</v>
      </c>
      <c r="Q7" s="3" t="str">
        <f t="shared" si="6"/>
        <v>HL</v>
      </c>
      <c r="R7" s="3" t="str">
        <f t="shared" si="0"/>
        <v>HW</v>
      </c>
      <c r="S7" s="3" t="str">
        <f t="shared" si="0"/>
        <v>HW</v>
      </c>
      <c r="T7" s="3" t="str">
        <f t="shared" si="0"/>
        <v>HL</v>
      </c>
      <c r="U7" s="3" t="str">
        <f t="shared" si="7"/>
        <v>U</v>
      </c>
      <c r="V7" s="3" t="str">
        <f t="shared" si="1"/>
        <v>O</v>
      </c>
      <c r="W7" s="3" t="str">
        <f t="shared" si="1"/>
        <v>O</v>
      </c>
      <c r="X7" s="3" t="str">
        <f t="shared" si="1"/>
        <v>O</v>
      </c>
      <c r="Z7" s="3">
        <v>54</v>
      </c>
      <c r="AB7" s="3" t="str">
        <f t="shared" si="8"/>
        <v>IND/DET</v>
      </c>
      <c r="AC7" s="3">
        <f t="shared" si="4"/>
        <v>3</v>
      </c>
      <c r="AD7" s="3">
        <f t="shared" si="5"/>
        <v>1</v>
      </c>
    </row>
    <row r="8" spans="1:33" x14ac:dyDescent="0.45">
      <c r="A8" s="3">
        <v>191024</v>
      </c>
      <c r="B8" s="1"/>
      <c r="C8" s="3" t="s">
        <v>37</v>
      </c>
      <c r="D8" s="3" t="s">
        <v>38</v>
      </c>
      <c r="E8" s="3">
        <v>24</v>
      </c>
      <c r="F8" s="3">
        <v>30</v>
      </c>
      <c r="G8" s="3">
        <v>29</v>
      </c>
      <c r="H8" s="3">
        <v>37</v>
      </c>
      <c r="J8" s="3">
        <v>32</v>
      </c>
      <c r="K8" s="3">
        <v>28</v>
      </c>
      <c r="L8" s="3">
        <v>24</v>
      </c>
      <c r="M8" s="3">
        <v>17</v>
      </c>
      <c r="O8" s="3">
        <f t="shared" si="9"/>
        <v>120</v>
      </c>
      <c r="P8" s="3">
        <f t="shared" si="3"/>
        <v>101</v>
      </c>
      <c r="Q8" s="3" t="str">
        <f t="shared" si="6"/>
        <v>HL</v>
      </c>
      <c r="R8" s="3" t="str">
        <f t="shared" si="0"/>
        <v>HW</v>
      </c>
      <c r="S8" s="3" t="str">
        <f t="shared" si="0"/>
        <v>HW</v>
      </c>
      <c r="T8" s="3" t="str">
        <f t="shared" si="0"/>
        <v>HW</v>
      </c>
      <c r="U8" s="3" t="str">
        <f t="shared" si="7"/>
        <v>O</v>
      </c>
      <c r="V8" s="3" t="str">
        <f t="shared" si="1"/>
        <v>O</v>
      </c>
      <c r="W8" s="3" t="str">
        <f t="shared" si="1"/>
        <v>U</v>
      </c>
      <c r="X8" s="3" t="str">
        <f t="shared" si="1"/>
        <v>U</v>
      </c>
      <c r="Z8" s="3">
        <v>54.5</v>
      </c>
      <c r="AB8" s="3" t="str">
        <f t="shared" si="8"/>
        <v>MIA/MEM</v>
      </c>
      <c r="AC8" s="3">
        <f t="shared" si="4"/>
        <v>2</v>
      </c>
      <c r="AD8" s="3">
        <f t="shared" si="5"/>
        <v>2</v>
      </c>
    </row>
    <row r="9" spans="1:33" x14ac:dyDescent="0.45">
      <c r="A9" s="3">
        <v>191024</v>
      </c>
      <c r="B9" s="1"/>
      <c r="C9" s="3" t="s">
        <v>39</v>
      </c>
      <c r="D9" s="3" t="s">
        <v>40</v>
      </c>
      <c r="E9" s="3">
        <v>28</v>
      </c>
      <c r="F9" s="3">
        <v>27</v>
      </c>
      <c r="G9" s="3">
        <v>16</v>
      </c>
      <c r="H9" s="3">
        <v>23</v>
      </c>
      <c r="J9" s="3">
        <v>24</v>
      </c>
      <c r="K9" s="3">
        <v>17</v>
      </c>
      <c r="L9" s="3">
        <v>24</v>
      </c>
      <c r="M9" s="3">
        <v>20</v>
      </c>
      <c r="O9" s="3">
        <f t="shared" si="9"/>
        <v>94</v>
      </c>
      <c r="P9" s="3">
        <f t="shared" si="3"/>
        <v>85</v>
      </c>
      <c r="Q9" s="3" t="str">
        <f t="shared" si="6"/>
        <v>HW</v>
      </c>
      <c r="R9" s="3" t="str">
        <f t="shared" si="0"/>
        <v>HW</v>
      </c>
      <c r="S9" s="3" t="str">
        <f t="shared" si="0"/>
        <v>HL</v>
      </c>
      <c r="T9" s="3" t="str">
        <f t="shared" si="0"/>
        <v>HW</v>
      </c>
      <c r="U9" s="3" t="str">
        <f t="shared" si="7"/>
        <v>U</v>
      </c>
      <c r="V9" s="3" t="str">
        <f t="shared" si="1"/>
        <v>U</v>
      </c>
      <c r="W9" s="3" t="str">
        <f t="shared" si="1"/>
        <v>U</v>
      </c>
      <c r="X9" s="3" t="str">
        <f t="shared" si="1"/>
        <v>U</v>
      </c>
      <c r="Z9" s="3">
        <v>53</v>
      </c>
      <c r="AB9" s="3" t="str">
        <f t="shared" si="8"/>
        <v>ORL/CLE</v>
      </c>
      <c r="AC9" s="3">
        <f t="shared" si="4"/>
        <v>0</v>
      </c>
      <c r="AD9" s="3">
        <f t="shared" si="5"/>
        <v>4</v>
      </c>
    </row>
    <row r="10" spans="1:33" x14ac:dyDescent="0.45">
      <c r="A10" s="3">
        <v>191024</v>
      </c>
      <c r="B10" s="1"/>
      <c r="C10" s="3" t="s">
        <v>41</v>
      </c>
      <c r="D10" s="3" t="s">
        <v>42</v>
      </c>
      <c r="E10" s="3">
        <v>20</v>
      </c>
      <c r="F10" s="3">
        <v>29</v>
      </c>
      <c r="G10" s="3">
        <v>28</v>
      </c>
      <c r="H10" s="3">
        <v>30</v>
      </c>
      <c r="J10" s="3">
        <v>25</v>
      </c>
      <c r="K10" s="3">
        <v>23</v>
      </c>
      <c r="L10" s="3">
        <v>20</v>
      </c>
      <c r="M10" s="3">
        <v>25</v>
      </c>
      <c r="O10" s="3">
        <f t="shared" si="9"/>
        <v>107</v>
      </c>
      <c r="P10" s="3">
        <f t="shared" si="3"/>
        <v>93</v>
      </c>
      <c r="Q10" s="3" t="str">
        <f t="shared" si="6"/>
        <v>HL</v>
      </c>
      <c r="R10" s="3" t="str">
        <f t="shared" si="0"/>
        <v>HW</v>
      </c>
      <c r="S10" s="3" t="str">
        <f t="shared" si="0"/>
        <v>HW</v>
      </c>
      <c r="T10" s="3" t="str">
        <f t="shared" si="0"/>
        <v>HW</v>
      </c>
      <c r="U10" s="3" t="str">
        <f t="shared" si="7"/>
        <v>U</v>
      </c>
      <c r="V10" s="3" t="str">
        <f t="shared" si="1"/>
        <v>T</v>
      </c>
      <c r="W10" s="3" t="str">
        <f t="shared" si="1"/>
        <v>U</v>
      </c>
      <c r="X10" s="3" t="str">
        <f t="shared" si="1"/>
        <v>O</v>
      </c>
      <c r="Z10" s="3">
        <v>52</v>
      </c>
      <c r="AB10" s="3" t="str">
        <f t="shared" si="8"/>
        <v>PHI/BOS</v>
      </c>
      <c r="AC10" s="3">
        <f t="shared" si="4"/>
        <v>1</v>
      </c>
      <c r="AD10" s="3">
        <f t="shared" si="5"/>
        <v>2</v>
      </c>
    </row>
    <row r="11" spans="1:33" x14ac:dyDescent="0.45">
      <c r="A11" s="3">
        <v>191024</v>
      </c>
      <c r="C11" s="3" t="s">
        <v>43</v>
      </c>
      <c r="D11" s="3" t="s">
        <v>44</v>
      </c>
      <c r="E11" s="3">
        <v>25</v>
      </c>
      <c r="F11" s="3">
        <v>29</v>
      </c>
      <c r="G11" s="3">
        <v>32</v>
      </c>
      <c r="H11" s="3">
        <v>38</v>
      </c>
      <c r="J11" s="3">
        <v>29</v>
      </c>
      <c r="K11" s="3">
        <v>30</v>
      </c>
      <c r="L11" s="3">
        <v>17</v>
      </c>
      <c r="M11" s="3">
        <v>19</v>
      </c>
      <c r="O11" s="3">
        <f t="shared" si="9"/>
        <v>124</v>
      </c>
      <c r="P11" s="3">
        <f t="shared" si="3"/>
        <v>95</v>
      </c>
      <c r="Q11" s="3" t="str">
        <f t="shared" si="6"/>
        <v>HL</v>
      </c>
      <c r="R11" s="3" t="str">
        <f t="shared" si="0"/>
        <v>HL</v>
      </c>
      <c r="S11" s="3" t="str">
        <f t="shared" si="0"/>
        <v>HW</v>
      </c>
      <c r="T11" s="3" t="str">
        <f t="shared" si="0"/>
        <v>HW</v>
      </c>
      <c r="U11" s="3" t="str">
        <f t="shared" si="7"/>
        <v>U</v>
      </c>
      <c r="V11" s="3" t="str">
        <f t="shared" si="1"/>
        <v>U</v>
      </c>
      <c r="W11" s="3" t="str">
        <f t="shared" si="1"/>
        <v>U</v>
      </c>
      <c r="X11" s="3" t="str">
        <f t="shared" si="1"/>
        <v>U</v>
      </c>
      <c r="Z11" s="3">
        <v>59.5</v>
      </c>
      <c r="AB11" s="3" t="str">
        <f t="shared" si="8"/>
        <v>PHO/SAC</v>
      </c>
      <c r="AC11" s="3">
        <f t="shared" si="4"/>
        <v>0</v>
      </c>
      <c r="AD11" s="3">
        <f t="shared" si="5"/>
        <v>4</v>
      </c>
    </row>
    <row r="12" spans="1:33" x14ac:dyDescent="0.45">
      <c r="A12" s="3">
        <v>191024</v>
      </c>
      <c r="C12" s="3" t="s">
        <v>45</v>
      </c>
      <c r="D12" s="3" t="s">
        <v>46</v>
      </c>
      <c r="E12" s="3">
        <v>27</v>
      </c>
      <c r="F12" s="3">
        <v>23</v>
      </c>
      <c r="G12" s="3">
        <v>24</v>
      </c>
      <c r="H12" s="3">
        <v>26</v>
      </c>
      <c r="J12" s="3">
        <v>24</v>
      </c>
      <c r="K12" s="3">
        <v>30</v>
      </c>
      <c r="L12" s="3">
        <v>19</v>
      </c>
      <c r="M12" s="3">
        <v>35</v>
      </c>
      <c r="O12" s="3">
        <f t="shared" si="9"/>
        <v>100</v>
      </c>
      <c r="P12" s="3">
        <f t="shared" si="3"/>
        <v>108</v>
      </c>
      <c r="Q12" s="3" t="str">
        <f t="shared" si="6"/>
        <v>HW</v>
      </c>
      <c r="R12" s="3" t="str">
        <f t="shared" si="0"/>
        <v>HL</v>
      </c>
      <c r="S12" s="3" t="str">
        <f t="shared" si="0"/>
        <v>HW</v>
      </c>
      <c r="T12" s="3" t="str">
        <f t="shared" si="0"/>
        <v>HL</v>
      </c>
      <c r="U12" s="3" t="str">
        <f t="shared" si="7"/>
        <v>U</v>
      </c>
      <c r="V12" s="3" t="str">
        <f t="shared" si="1"/>
        <v>U</v>
      </c>
      <c r="W12" s="3" t="str">
        <f t="shared" si="1"/>
        <v>U</v>
      </c>
      <c r="X12" s="3" t="str">
        <f t="shared" si="1"/>
        <v>O</v>
      </c>
      <c r="Z12" s="3">
        <v>56.5</v>
      </c>
      <c r="AB12" s="3" t="str">
        <f t="shared" si="8"/>
        <v>POR/DEN</v>
      </c>
      <c r="AC12" s="3">
        <f t="shared" si="4"/>
        <v>1</v>
      </c>
      <c r="AD12" s="3">
        <f t="shared" si="5"/>
        <v>3</v>
      </c>
    </row>
    <row r="13" spans="1:33" x14ac:dyDescent="0.45">
      <c r="A13" s="3">
        <v>191024</v>
      </c>
      <c r="C13" s="3" t="s">
        <v>56</v>
      </c>
      <c r="D13" s="3" t="s">
        <v>47</v>
      </c>
      <c r="E13" s="3">
        <v>22</v>
      </c>
      <c r="F13" s="3">
        <v>37</v>
      </c>
      <c r="G13" s="3">
        <v>24</v>
      </c>
      <c r="H13" s="3">
        <v>37</v>
      </c>
      <c r="J13" s="3">
        <v>15</v>
      </c>
      <c r="K13" s="3">
        <v>36</v>
      </c>
      <c r="L13" s="3">
        <v>33</v>
      </c>
      <c r="M13" s="3">
        <v>27</v>
      </c>
      <c r="O13" s="3">
        <f t="shared" si="9"/>
        <v>120</v>
      </c>
      <c r="P13" s="3">
        <f t="shared" si="3"/>
        <v>111</v>
      </c>
      <c r="Q13" s="3" t="str">
        <f t="shared" si="6"/>
        <v>HW</v>
      </c>
      <c r="R13" s="3" t="str">
        <f t="shared" si="0"/>
        <v>HW</v>
      </c>
      <c r="S13" s="3" t="str">
        <f t="shared" si="0"/>
        <v>HL</v>
      </c>
      <c r="T13" s="3" t="str">
        <f t="shared" si="0"/>
        <v>HW</v>
      </c>
      <c r="U13" s="3" t="str">
        <f t="shared" si="7"/>
        <v>U</v>
      </c>
      <c r="V13" s="3" t="str">
        <f t="shared" si="1"/>
        <v>O</v>
      </c>
      <c r="W13" s="3" t="str">
        <f t="shared" si="1"/>
        <v>O</v>
      </c>
      <c r="X13" s="3" t="str">
        <f t="shared" si="1"/>
        <v>O</v>
      </c>
      <c r="Z13" s="3">
        <v>55.5</v>
      </c>
      <c r="AB13" s="3" t="str">
        <f t="shared" si="8"/>
        <v>SAS/NYK</v>
      </c>
      <c r="AC13" s="3">
        <f t="shared" si="4"/>
        <v>3</v>
      </c>
      <c r="AD13" s="3">
        <f t="shared" si="5"/>
        <v>1</v>
      </c>
    </row>
    <row r="14" spans="1:33" x14ac:dyDescent="0.45">
      <c r="A14" s="3">
        <v>191024</v>
      </c>
      <c r="C14" s="3" t="s">
        <v>48</v>
      </c>
      <c r="D14" s="3" t="s">
        <v>49</v>
      </c>
      <c r="E14" s="3">
        <v>23</v>
      </c>
      <c r="F14" s="3">
        <v>26</v>
      </c>
      <c r="G14" s="3">
        <v>19</v>
      </c>
      <c r="H14" s="3">
        <v>32</v>
      </c>
      <c r="J14" s="3">
        <v>12</v>
      </c>
      <c r="K14" s="3">
        <v>34</v>
      </c>
      <c r="L14" s="3">
        <v>28</v>
      </c>
      <c r="M14" s="3">
        <v>21</v>
      </c>
      <c r="O14" s="3">
        <f t="shared" si="9"/>
        <v>100</v>
      </c>
      <c r="P14" s="3">
        <f t="shared" si="3"/>
        <v>95</v>
      </c>
      <c r="Q14" s="3" t="str">
        <f t="shared" si="6"/>
        <v>HW</v>
      </c>
      <c r="R14" s="3" t="str">
        <f t="shared" si="0"/>
        <v>HL</v>
      </c>
      <c r="S14" s="3" t="str">
        <f t="shared" si="0"/>
        <v>HL</v>
      </c>
      <c r="T14" s="3" t="str">
        <f t="shared" si="0"/>
        <v>HW</v>
      </c>
      <c r="U14" s="3" t="str">
        <f t="shared" si="7"/>
        <v>U</v>
      </c>
      <c r="V14" s="3" t="str">
        <f t="shared" si="1"/>
        <v>O</v>
      </c>
      <c r="W14" s="3" t="str">
        <f t="shared" si="1"/>
        <v>U</v>
      </c>
      <c r="X14" s="3" t="str">
        <f t="shared" si="1"/>
        <v>U</v>
      </c>
      <c r="Z14" s="3">
        <v>57.5</v>
      </c>
      <c r="AB14" s="3" t="str">
        <f t="shared" si="8"/>
        <v>UTA/OKC</v>
      </c>
      <c r="AC14" s="3">
        <f t="shared" si="4"/>
        <v>1</v>
      </c>
      <c r="AD14" s="3">
        <f t="shared" si="5"/>
        <v>3</v>
      </c>
    </row>
    <row r="15" spans="1:33" x14ac:dyDescent="0.45">
      <c r="A15" s="3">
        <v>191025</v>
      </c>
      <c r="B15" s="1">
        <v>0.33333333333333331</v>
      </c>
      <c r="C15" s="3" t="s">
        <v>36</v>
      </c>
      <c r="D15" s="3" t="s">
        <v>50</v>
      </c>
      <c r="E15" s="3">
        <v>32</v>
      </c>
      <c r="F15" s="3">
        <v>31</v>
      </c>
      <c r="G15" s="3">
        <v>18</v>
      </c>
      <c r="H15" s="3">
        <v>19</v>
      </c>
      <c r="J15" s="3">
        <v>38</v>
      </c>
      <c r="K15" s="3">
        <v>22</v>
      </c>
      <c r="L15" s="3">
        <v>31</v>
      </c>
      <c r="M15" s="3">
        <v>26</v>
      </c>
      <c r="O15" s="3">
        <f t="shared" ref="O15:O36" si="10">SUM(E15:I15)</f>
        <v>100</v>
      </c>
      <c r="P15" s="3">
        <f t="shared" si="3"/>
        <v>117</v>
      </c>
      <c r="Q15" s="3" t="str">
        <f t="shared" si="6"/>
        <v>HL</v>
      </c>
      <c r="R15" s="3" t="str">
        <f t="shared" si="0"/>
        <v>HW</v>
      </c>
      <c r="S15" s="3" t="str">
        <f t="shared" si="0"/>
        <v>HL</v>
      </c>
      <c r="T15" s="3" t="str">
        <f t="shared" si="0"/>
        <v>HL</v>
      </c>
      <c r="U15" s="3" t="str">
        <f t="shared" si="7"/>
        <v>O</v>
      </c>
      <c r="V15" s="3" t="str">
        <f t="shared" si="1"/>
        <v>U</v>
      </c>
      <c r="W15" s="3" t="str">
        <f t="shared" si="1"/>
        <v>U</v>
      </c>
      <c r="X15" s="3" t="str">
        <f t="shared" si="1"/>
        <v>U</v>
      </c>
      <c r="Z15" s="3">
        <v>57</v>
      </c>
      <c r="AB15" s="3" t="str">
        <f t="shared" si="8"/>
        <v>DET/ATL</v>
      </c>
      <c r="AC15" s="3">
        <f t="shared" si="4"/>
        <v>1</v>
      </c>
      <c r="AD15" s="3">
        <f t="shared" si="5"/>
        <v>3</v>
      </c>
    </row>
    <row r="16" spans="1:33" x14ac:dyDescent="0.45">
      <c r="A16" s="3">
        <v>191025</v>
      </c>
      <c r="B16" s="1">
        <v>0.47916666666666669</v>
      </c>
      <c r="C16" s="3" t="s">
        <v>51</v>
      </c>
      <c r="D16" s="3" t="s">
        <v>25</v>
      </c>
      <c r="E16" s="3">
        <v>29</v>
      </c>
      <c r="F16" s="3">
        <v>25</v>
      </c>
      <c r="G16" s="3">
        <v>33</v>
      </c>
      <c r="H16" s="3">
        <v>35</v>
      </c>
      <c r="J16" s="3">
        <v>35</v>
      </c>
      <c r="K16" s="3">
        <v>30</v>
      </c>
      <c r="L16" s="3">
        <v>46</v>
      </c>
      <c r="M16" s="3">
        <v>30</v>
      </c>
      <c r="O16" s="3">
        <f t="shared" si="10"/>
        <v>122</v>
      </c>
      <c r="P16" s="3">
        <f t="shared" si="3"/>
        <v>141</v>
      </c>
      <c r="Q16" s="3" t="str">
        <f t="shared" si="6"/>
        <v>HL</v>
      </c>
      <c r="R16" s="3" t="str">
        <f t="shared" si="0"/>
        <v>HL</v>
      </c>
      <c r="S16" s="3" t="str">
        <f t="shared" si="0"/>
        <v>HL</v>
      </c>
      <c r="T16" s="3" t="str">
        <f t="shared" si="0"/>
        <v>HW</v>
      </c>
      <c r="U16" s="3" t="str">
        <f t="shared" si="7"/>
        <v>O</v>
      </c>
      <c r="V16" s="3" t="str">
        <f t="shared" si="1"/>
        <v>U</v>
      </c>
      <c r="W16" s="3" t="str">
        <f t="shared" si="1"/>
        <v>O</v>
      </c>
      <c r="X16" s="3" t="str">
        <f t="shared" si="1"/>
        <v>O</v>
      </c>
      <c r="Z16" s="3">
        <v>59.5</v>
      </c>
      <c r="AB16" s="3" t="str">
        <f t="shared" si="8"/>
        <v>GS/LAC</v>
      </c>
      <c r="AC16" s="3">
        <f t="shared" si="4"/>
        <v>3</v>
      </c>
      <c r="AD16" s="3">
        <f t="shared" si="5"/>
        <v>1</v>
      </c>
    </row>
    <row r="17" spans="1:30" x14ac:dyDescent="0.45">
      <c r="A17" s="3">
        <v>191025</v>
      </c>
      <c r="B17" s="1">
        <v>0.375</v>
      </c>
      <c r="C17" s="3" t="s">
        <v>52</v>
      </c>
      <c r="D17" s="3" t="s">
        <v>53</v>
      </c>
      <c r="E17" s="3">
        <v>30</v>
      </c>
      <c r="F17" s="3">
        <v>36</v>
      </c>
      <c r="G17" s="3">
        <v>21</v>
      </c>
      <c r="H17" s="3">
        <v>24</v>
      </c>
      <c r="J17" s="3">
        <v>23</v>
      </c>
      <c r="K17" s="3">
        <v>27</v>
      </c>
      <c r="L17" s="3">
        <v>28</v>
      </c>
      <c r="M17" s="3">
        <v>39</v>
      </c>
      <c r="O17" s="3">
        <f t="shared" si="10"/>
        <v>111</v>
      </c>
      <c r="P17" s="3">
        <f t="shared" si="3"/>
        <v>117</v>
      </c>
      <c r="Q17" s="3" t="str">
        <f t="shared" si="6"/>
        <v>HW</v>
      </c>
      <c r="R17" s="3" t="str">
        <f t="shared" si="0"/>
        <v>HW</v>
      </c>
      <c r="S17" s="3" t="str">
        <f t="shared" si="0"/>
        <v>HL</v>
      </c>
      <c r="T17" s="3" t="str">
        <f t="shared" si="0"/>
        <v>HL</v>
      </c>
      <c r="U17" s="3" t="str">
        <f t="shared" si="7"/>
        <v>U</v>
      </c>
      <c r="V17" s="3" t="str">
        <f t="shared" si="1"/>
        <v>O</v>
      </c>
      <c r="W17" s="3" t="str">
        <f t="shared" si="1"/>
        <v>U</v>
      </c>
      <c r="X17" s="3" t="str">
        <f t="shared" si="1"/>
        <v>O</v>
      </c>
      <c r="Z17" s="3">
        <v>57</v>
      </c>
      <c r="AB17" s="3" t="str">
        <f t="shared" si="8"/>
        <v>HOU/MIL</v>
      </c>
      <c r="AC17" s="3">
        <f t="shared" si="4"/>
        <v>2</v>
      </c>
      <c r="AD17" s="3">
        <f t="shared" si="5"/>
        <v>2</v>
      </c>
    </row>
    <row r="18" spans="1:30" x14ac:dyDescent="0.45">
      <c r="A18" s="3">
        <v>191026</v>
      </c>
      <c r="B18" s="1">
        <v>0.33333333333333331</v>
      </c>
      <c r="C18" s="3" t="s">
        <v>42</v>
      </c>
      <c r="D18" s="3" t="s">
        <v>28</v>
      </c>
      <c r="E18" s="3">
        <v>22</v>
      </c>
      <c r="F18" s="3">
        <v>28</v>
      </c>
      <c r="G18" s="3">
        <v>26</v>
      </c>
      <c r="H18" s="3">
        <v>36</v>
      </c>
      <c r="J18" s="3">
        <v>21</v>
      </c>
      <c r="K18" s="3">
        <v>28</v>
      </c>
      <c r="L18" s="3">
        <v>33</v>
      </c>
      <c r="M18" s="3">
        <v>24</v>
      </c>
      <c r="O18" s="3">
        <f t="shared" si="10"/>
        <v>112</v>
      </c>
      <c r="P18" s="3">
        <f t="shared" si="3"/>
        <v>106</v>
      </c>
      <c r="Q18" s="3" t="str">
        <f t="shared" si="6"/>
        <v>HW</v>
      </c>
      <c r="R18" s="3" t="str">
        <f t="shared" si="6"/>
        <v>TT</v>
      </c>
      <c r="S18" s="3" t="str">
        <f t="shared" si="6"/>
        <v>HL</v>
      </c>
      <c r="T18" s="3" t="str">
        <f t="shared" si="6"/>
        <v>HW</v>
      </c>
      <c r="U18" s="3" t="str">
        <f t="shared" si="7"/>
        <v>U</v>
      </c>
      <c r="V18" s="3" t="str">
        <f t="shared" si="7"/>
        <v>O</v>
      </c>
      <c r="W18" s="3" t="str">
        <f t="shared" si="7"/>
        <v>O</v>
      </c>
      <c r="X18" s="3" t="str">
        <f t="shared" si="7"/>
        <v>O</v>
      </c>
      <c r="Z18" s="3">
        <v>55.5</v>
      </c>
      <c r="AB18" s="3" t="str">
        <f t="shared" si="8"/>
        <v>BOS/TOR</v>
      </c>
      <c r="AC18" s="3">
        <f t="shared" si="4"/>
        <v>3</v>
      </c>
      <c r="AD18" s="3">
        <f t="shared" si="5"/>
        <v>1</v>
      </c>
    </row>
    <row r="19" spans="1:30" x14ac:dyDescent="0.45">
      <c r="A19" s="3">
        <v>191026</v>
      </c>
      <c r="B19" s="1">
        <v>0.35416666666666669</v>
      </c>
      <c r="C19" s="3" t="s">
        <v>54</v>
      </c>
      <c r="D19" s="3" t="s">
        <v>30</v>
      </c>
      <c r="E19" s="3">
        <v>32</v>
      </c>
      <c r="F19" s="3">
        <v>32</v>
      </c>
      <c r="G19" s="3">
        <v>30</v>
      </c>
      <c r="H19" s="3">
        <v>19</v>
      </c>
      <c r="J19" s="3">
        <v>23</v>
      </c>
      <c r="K19" s="3">
        <v>28</v>
      </c>
      <c r="L19" s="3">
        <v>32</v>
      </c>
      <c r="M19" s="3">
        <v>26</v>
      </c>
      <c r="O19" s="3">
        <f t="shared" si="10"/>
        <v>113</v>
      </c>
      <c r="P19" s="3">
        <f t="shared" si="3"/>
        <v>109</v>
      </c>
      <c r="Q19" s="3" t="str">
        <f t="shared" si="6"/>
        <v>HW</v>
      </c>
      <c r="R19" s="3" t="str">
        <f t="shared" si="6"/>
        <v>HW</v>
      </c>
      <c r="S19" s="3" t="str">
        <f t="shared" si="6"/>
        <v>HL</v>
      </c>
      <c r="T19" s="3" t="str">
        <f t="shared" si="6"/>
        <v>HL</v>
      </c>
      <c r="U19" s="3" t="str">
        <f t="shared" si="7"/>
        <v>U</v>
      </c>
      <c r="V19" s="3" t="str">
        <f t="shared" si="7"/>
        <v>O</v>
      </c>
      <c r="W19" s="3" t="str">
        <f t="shared" si="7"/>
        <v>O</v>
      </c>
      <c r="X19" s="3" t="str">
        <f t="shared" si="7"/>
        <v>U</v>
      </c>
      <c r="Z19" s="3">
        <v>58.5</v>
      </c>
      <c r="AB19" s="3" t="str">
        <f t="shared" si="8"/>
        <v>NY/BKN</v>
      </c>
      <c r="AC19" s="3">
        <f t="shared" si="4"/>
        <v>2</v>
      </c>
      <c r="AD19" s="3">
        <f t="shared" si="5"/>
        <v>2</v>
      </c>
    </row>
    <row r="20" spans="1:30" x14ac:dyDescent="0.45">
      <c r="A20" s="3">
        <v>191026</v>
      </c>
      <c r="B20" s="1">
        <v>0.33333333333333331</v>
      </c>
      <c r="C20" s="3" t="s">
        <v>31</v>
      </c>
      <c r="D20" s="3" t="s">
        <v>29</v>
      </c>
      <c r="E20" s="3">
        <v>32</v>
      </c>
      <c r="F20" s="3">
        <v>24</v>
      </c>
      <c r="G20" s="3">
        <v>25</v>
      </c>
      <c r="H20" s="3">
        <v>18</v>
      </c>
      <c r="J20" s="3">
        <v>30</v>
      </c>
      <c r="K20" s="3">
        <v>28</v>
      </c>
      <c r="L20" s="3">
        <v>45</v>
      </c>
      <c r="M20" s="3">
        <v>18</v>
      </c>
      <c r="O20" s="3">
        <f t="shared" si="10"/>
        <v>99</v>
      </c>
      <c r="P20" s="3">
        <f t="shared" si="3"/>
        <v>121</v>
      </c>
      <c r="Q20" s="3" t="str">
        <f t="shared" ref="Q20:T35" si="11">IF(E20=J20,"TT",IF(E20&gt;J20,"HW","HL"))</f>
        <v>HW</v>
      </c>
      <c r="R20" s="3" t="str">
        <f t="shared" si="11"/>
        <v>HL</v>
      </c>
      <c r="S20" s="3" t="str">
        <f t="shared" si="11"/>
        <v>HL</v>
      </c>
      <c r="T20" s="3" t="str">
        <f t="shared" si="11"/>
        <v>TT</v>
      </c>
      <c r="U20" s="3" t="str">
        <f t="shared" ref="U20:X35" si="12">IF(SUM(E20,J20)=$Z20,"T",IF(SUM(E20,J20)&gt;$Z20,"O","U"))</f>
        <v>O</v>
      </c>
      <c r="V20" s="3" t="str">
        <f t="shared" si="12"/>
        <v>U</v>
      </c>
      <c r="W20" s="3" t="str">
        <f t="shared" si="12"/>
        <v>O</v>
      </c>
      <c r="X20" s="3" t="str">
        <f t="shared" si="12"/>
        <v>U</v>
      </c>
      <c r="Z20" s="3">
        <v>58.5</v>
      </c>
      <c r="AB20" s="3" t="str">
        <f t="shared" si="8"/>
        <v>CHA/MIN</v>
      </c>
      <c r="AC20" s="3">
        <f t="shared" si="4"/>
        <v>2</v>
      </c>
      <c r="AD20" s="3">
        <f t="shared" si="5"/>
        <v>2</v>
      </c>
    </row>
    <row r="21" spans="1:30" x14ac:dyDescent="0.45">
      <c r="A21" s="3">
        <v>191026</v>
      </c>
      <c r="B21" s="1">
        <v>0.41666666666666669</v>
      </c>
      <c r="C21" s="3" t="s">
        <v>46</v>
      </c>
      <c r="D21" s="3" t="s">
        <v>43</v>
      </c>
      <c r="E21" s="3">
        <v>15</v>
      </c>
      <c r="F21" s="3">
        <v>24</v>
      </c>
      <c r="G21" s="3">
        <v>25</v>
      </c>
      <c r="H21" s="3">
        <v>31</v>
      </c>
      <c r="I21" s="3">
        <v>13</v>
      </c>
      <c r="J21" s="3">
        <v>21</v>
      </c>
      <c r="K21" s="3">
        <v>24</v>
      </c>
      <c r="L21" s="3">
        <v>17</v>
      </c>
      <c r="M21" s="3">
        <v>33</v>
      </c>
      <c r="N21" s="3">
        <v>12</v>
      </c>
      <c r="O21" s="3">
        <f t="shared" si="10"/>
        <v>108</v>
      </c>
      <c r="P21" s="3">
        <f t="shared" si="3"/>
        <v>107</v>
      </c>
      <c r="Q21" s="3" t="str">
        <f t="shared" si="11"/>
        <v>HL</v>
      </c>
      <c r="R21" s="3" t="str">
        <f t="shared" si="11"/>
        <v>TT</v>
      </c>
      <c r="S21" s="3" t="str">
        <f t="shared" si="11"/>
        <v>HW</v>
      </c>
      <c r="T21" s="3" t="str">
        <f t="shared" si="11"/>
        <v>HL</v>
      </c>
      <c r="U21" s="3" t="str">
        <f t="shared" si="12"/>
        <v>U</v>
      </c>
      <c r="V21" s="3" t="str">
        <f t="shared" si="12"/>
        <v>U</v>
      </c>
      <c r="W21" s="3" t="str">
        <f t="shared" si="12"/>
        <v>U</v>
      </c>
      <c r="X21" s="3" t="str">
        <f t="shared" si="12"/>
        <v>O</v>
      </c>
      <c r="Z21" s="3">
        <v>55</v>
      </c>
      <c r="AB21" s="3" t="str">
        <f t="shared" si="8"/>
        <v>DEN/PHO</v>
      </c>
      <c r="AC21" s="3">
        <f t="shared" si="4"/>
        <v>1</v>
      </c>
      <c r="AD21" s="3">
        <f t="shared" si="5"/>
        <v>3</v>
      </c>
    </row>
    <row r="22" spans="1:30" x14ac:dyDescent="0.45">
      <c r="A22" s="3">
        <v>191026</v>
      </c>
      <c r="B22" s="1">
        <v>0.47916666666666669</v>
      </c>
      <c r="C22" s="3" t="s">
        <v>26</v>
      </c>
      <c r="D22" s="3" t="s">
        <v>48</v>
      </c>
      <c r="E22" s="3">
        <v>24</v>
      </c>
      <c r="F22" s="3">
        <v>19</v>
      </c>
      <c r="G22" s="3">
        <v>31</v>
      </c>
      <c r="H22" s="3">
        <v>21</v>
      </c>
      <c r="J22" s="3">
        <v>17</v>
      </c>
      <c r="K22" s="3">
        <v>20</v>
      </c>
      <c r="L22" s="3">
        <v>18</v>
      </c>
      <c r="M22" s="3">
        <v>31</v>
      </c>
      <c r="O22" s="3">
        <f t="shared" si="10"/>
        <v>95</v>
      </c>
      <c r="P22" s="3">
        <f t="shared" si="3"/>
        <v>86</v>
      </c>
      <c r="Q22" s="3" t="str">
        <f t="shared" si="11"/>
        <v>HW</v>
      </c>
      <c r="R22" s="3" t="str">
        <f t="shared" si="11"/>
        <v>HL</v>
      </c>
      <c r="S22" s="3" t="str">
        <f t="shared" si="11"/>
        <v>HW</v>
      </c>
      <c r="T22" s="3" t="str">
        <f t="shared" si="11"/>
        <v>HL</v>
      </c>
      <c r="U22" s="3" t="str">
        <f t="shared" si="12"/>
        <v>U</v>
      </c>
      <c r="V22" s="3" t="str">
        <f t="shared" si="12"/>
        <v>U</v>
      </c>
      <c r="W22" s="3" t="str">
        <f t="shared" si="12"/>
        <v>U</v>
      </c>
      <c r="X22" s="3" t="str">
        <f t="shared" si="12"/>
        <v>U</v>
      </c>
      <c r="Z22" s="3">
        <v>53.5</v>
      </c>
      <c r="AB22" s="3" t="str">
        <f t="shared" si="8"/>
        <v>LAL/UTA</v>
      </c>
      <c r="AC22" s="3">
        <f t="shared" si="4"/>
        <v>0</v>
      </c>
      <c r="AD22" s="3">
        <f t="shared" si="5"/>
        <v>4</v>
      </c>
    </row>
    <row r="23" spans="1:30" x14ac:dyDescent="0.45">
      <c r="A23" s="3">
        <v>191026</v>
      </c>
      <c r="B23" s="1">
        <v>0.375</v>
      </c>
      <c r="C23" s="3" t="s">
        <v>38</v>
      </c>
      <c r="D23" s="3" t="s">
        <v>32</v>
      </c>
      <c r="E23" s="3">
        <v>29</v>
      </c>
      <c r="F23" s="3">
        <v>31</v>
      </c>
      <c r="G23" s="3">
        <v>21</v>
      </c>
      <c r="H23" s="3">
        <v>21</v>
      </c>
      <c r="J23" s="3">
        <v>25</v>
      </c>
      <c r="K23" s="3">
        <v>22</v>
      </c>
      <c r="L23" s="3">
        <v>32</v>
      </c>
      <c r="M23" s="3">
        <v>31</v>
      </c>
      <c r="O23" s="3">
        <f t="shared" si="10"/>
        <v>102</v>
      </c>
      <c r="P23" s="3">
        <f t="shared" si="3"/>
        <v>110</v>
      </c>
      <c r="Q23" s="3" t="str">
        <f t="shared" si="11"/>
        <v>HW</v>
      </c>
      <c r="R23" s="3" t="str">
        <f t="shared" si="11"/>
        <v>HW</v>
      </c>
      <c r="S23" s="3" t="str">
        <f t="shared" si="11"/>
        <v>HL</v>
      </c>
      <c r="T23" s="3" t="str">
        <f t="shared" si="11"/>
        <v>HL</v>
      </c>
      <c r="U23" s="3" t="str">
        <f t="shared" si="12"/>
        <v>U</v>
      </c>
      <c r="V23" s="3" t="str">
        <f t="shared" si="12"/>
        <v>U</v>
      </c>
      <c r="W23" s="3" t="str">
        <f t="shared" si="12"/>
        <v>U</v>
      </c>
      <c r="X23" s="3" t="str">
        <f t="shared" si="12"/>
        <v>U</v>
      </c>
      <c r="Z23" s="3">
        <v>55.5</v>
      </c>
      <c r="AB23" s="3" t="str">
        <f t="shared" si="8"/>
        <v>MEM/CHI</v>
      </c>
      <c r="AC23" s="3">
        <f t="shared" si="4"/>
        <v>0</v>
      </c>
      <c r="AD23" s="3">
        <f t="shared" si="5"/>
        <v>4</v>
      </c>
    </row>
    <row r="24" spans="1:30" x14ac:dyDescent="0.45">
      <c r="A24" s="3">
        <v>191026</v>
      </c>
      <c r="B24" s="1">
        <v>0.41666666666666669</v>
      </c>
      <c r="C24" s="3" t="s">
        <v>27</v>
      </c>
      <c r="D24" s="3" t="s">
        <v>33</v>
      </c>
      <c r="E24" s="3">
        <v>41</v>
      </c>
      <c r="F24" s="3">
        <v>23</v>
      </c>
      <c r="G24" s="3">
        <v>29</v>
      </c>
      <c r="H24" s="3">
        <v>23</v>
      </c>
      <c r="J24" s="3">
        <v>27</v>
      </c>
      <c r="K24" s="3">
        <v>45</v>
      </c>
      <c r="L24" s="3">
        <v>23</v>
      </c>
      <c r="M24" s="3">
        <v>28</v>
      </c>
      <c r="O24" s="3">
        <f t="shared" si="10"/>
        <v>116</v>
      </c>
      <c r="P24" s="3">
        <f t="shared" si="3"/>
        <v>123</v>
      </c>
      <c r="Q24" s="3" t="str">
        <f t="shared" si="11"/>
        <v>HW</v>
      </c>
      <c r="R24" s="3" t="str">
        <f t="shared" si="11"/>
        <v>HL</v>
      </c>
      <c r="S24" s="3" t="str">
        <f t="shared" si="11"/>
        <v>HW</v>
      </c>
      <c r="T24" s="3" t="str">
        <f t="shared" si="11"/>
        <v>HL</v>
      </c>
      <c r="U24" s="3" t="str">
        <f t="shared" si="12"/>
        <v>O</v>
      </c>
      <c r="V24" s="3" t="str">
        <f t="shared" si="12"/>
        <v>O</v>
      </c>
      <c r="W24" s="3" t="str">
        <f t="shared" si="12"/>
        <v>U</v>
      </c>
      <c r="X24" s="3" t="str">
        <f t="shared" si="12"/>
        <v>U</v>
      </c>
      <c r="Z24" s="3">
        <v>58.5</v>
      </c>
      <c r="AB24" s="3" t="str">
        <f t="shared" si="8"/>
        <v>NO/DAL</v>
      </c>
      <c r="AC24" s="3">
        <f t="shared" si="4"/>
        <v>2</v>
      </c>
      <c r="AD24" s="3">
        <f t="shared" si="5"/>
        <v>2</v>
      </c>
    </row>
    <row r="25" spans="1:30" x14ac:dyDescent="0.45">
      <c r="A25" s="3">
        <v>191026</v>
      </c>
      <c r="B25" s="1">
        <v>0.45833333333333331</v>
      </c>
      <c r="C25" s="3" t="s">
        <v>49</v>
      </c>
      <c r="D25" s="3" t="s">
        <v>34</v>
      </c>
      <c r="E25" s="3">
        <v>24</v>
      </c>
      <c r="F25" s="3">
        <v>22</v>
      </c>
      <c r="G25" s="3">
        <v>24</v>
      </c>
      <c r="H25" s="3">
        <v>15</v>
      </c>
      <c r="J25" s="3">
        <v>28</v>
      </c>
      <c r="K25" s="3">
        <v>24</v>
      </c>
      <c r="L25" s="3">
        <v>26</v>
      </c>
      <c r="M25" s="3">
        <v>19</v>
      </c>
      <c r="O25" s="3">
        <f t="shared" si="10"/>
        <v>85</v>
      </c>
      <c r="P25" s="3">
        <f t="shared" si="3"/>
        <v>97</v>
      </c>
      <c r="Q25" s="3" t="str">
        <f t="shared" si="11"/>
        <v>HL</v>
      </c>
      <c r="R25" s="3" t="str">
        <f t="shared" si="11"/>
        <v>HL</v>
      </c>
      <c r="S25" s="3" t="str">
        <f t="shared" si="11"/>
        <v>HL</v>
      </c>
      <c r="T25" s="3" t="str">
        <f t="shared" si="11"/>
        <v>HL</v>
      </c>
      <c r="U25" s="3" t="str">
        <f t="shared" si="12"/>
        <v>U</v>
      </c>
      <c r="V25" s="3" t="str">
        <f t="shared" si="12"/>
        <v>U</v>
      </c>
      <c r="W25" s="3" t="str">
        <f t="shared" si="12"/>
        <v>U</v>
      </c>
      <c r="X25" s="3" t="str">
        <f t="shared" si="12"/>
        <v>U</v>
      </c>
      <c r="Z25" s="3">
        <v>56.5</v>
      </c>
      <c r="AB25" s="3" t="str">
        <f t="shared" si="8"/>
        <v>OKC/WAS</v>
      </c>
      <c r="AC25" s="3">
        <f t="shared" si="4"/>
        <v>0</v>
      </c>
      <c r="AD25" s="3">
        <f t="shared" si="5"/>
        <v>4</v>
      </c>
    </row>
    <row r="26" spans="1:30" x14ac:dyDescent="0.45">
      <c r="A26" s="3">
        <v>191026</v>
      </c>
      <c r="B26" s="1">
        <v>0.47916666666666669</v>
      </c>
      <c r="C26" s="3" t="s">
        <v>44</v>
      </c>
      <c r="D26" s="3" t="s">
        <v>45</v>
      </c>
      <c r="E26" s="3">
        <v>27</v>
      </c>
      <c r="F26" s="3">
        <v>30</v>
      </c>
      <c r="G26" s="3">
        <v>27</v>
      </c>
      <c r="H26" s="3">
        <v>28</v>
      </c>
      <c r="J26" s="3">
        <v>25</v>
      </c>
      <c r="K26" s="3">
        <v>32</v>
      </c>
      <c r="L26" s="3">
        <v>37</v>
      </c>
      <c r="M26" s="3">
        <v>28</v>
      </c>
      <c r="O26" s="3">
        <f t="shared" si="10"/>
        <v>112</v>
      </c>
      <c r="P26" s="3">
        <f t="shared" si="3"/>
        <v>122</v>
      </c>
      <c r="Q26" s="3" t="str">
        <f t="shared" si="11"/>
        <v>HW</v>
      </c>
      <c r="R26" s="3" t="str">
        <f t="shared" si="11"/>
        <v>HL</v>
      </c>
      <c r="S26" s="3" t="str">
        <f t="shared" si="11"/>
        <v>HL</v>
      </c>
      <c r="T26" s="3" t="str">
        <f t="shared" si="11"/>
        <v>TT</v>
      </c>
      <c r="U26" s="3" t="str">
        <f t="shared" si="12"/>
        <v>U</v>
      </c>
      <c r="V26" s="3" t="str">
        <f t="shared" si="12"/>
        <v>O</v>
      </c>
      <c r="W26" s="3" t="str">
        <f t="shared" si="12"/>
        <v>O</v>
      </c>
      <c r="X26" s="3" t="str">
        <f t="shared" si="12"/>
        <v>O</v>
      </c>
      <c r="Z26" s="3">
        <v>55.5</v>
      </c>
      <c r="AB26" s="3" t="str">
        <f t="shared" si="8"/>
        <v>SAC/POR</v>
      </c>
      <c r="AC26" s="3">
        <f t="shared" si="4"/>
        <v>3</v>
      </c>
      <c r="AD26" s="3">
        <f t="shared" si="5"/>
        <v>1</v>
      </c>
    </row>
    <row r="27" spans="1:30" x14ac:dyDescent="0.45">
      <c r="A27" s="3">
        <v>191027</v>
      </c>
      <c r="B27" s="1">
        <v>0.25</v>
      </c>
      <c r="C27" s="3" t="s">
        <v>53</v>
      </c>
      <c r="D27" s="3" t="s">
        <v>37</v>
      </c>
      <c r="E27" s="3">
        <v>33</v>
      </c>
      <c r="F27" s="3">
        <v>37</v>
      </c>
      <c r="G27" s="3">
        <v>23</v>
      </c>
      <c r="H27" s="3">
        <v>28</v>
      </c>
      <c r="I27" s="3">
        <v>5</v>
      </c>
      <c r="J27" s="3">
        <v>29</v>
      </c>
      <c r="K27" s="3">
        <v>24</v>
      </c>
      <c r="L27" s="3">
        <v>29</v>
      </c>
      <c r="M27" s="3">
        <v>39</v>
      </c>
      <c r="N27" s="3">
        <v>10</v>
      </c>
      <c r="O27" s="3">
        <f t="shared" si="10"/>
        <v>126</v>
      </c>
      <c r="P27" s="3">
        <f t="shared" si="3"/>
        <v>131</v>
      </c>
      <c r="Q27" s="3" t="str">
        <f t="shared" si="11"/>
        <v>HW</v>
      </c>
      <c r="R27" s="3" t="str">
        <f t="shared" si="11"/>
        <v>HW</v>
      </c>
      <c r="S27" s="3" t="str">
        <f t="shared" si="11"/>
        <v>HL</v>
      </c>
      <c r="T27" s="3" t="str">
        <f t="shared" si="11"/>
        <v>HL</v>
      </c>
      <c r="U27" s="3" t="str">
        <f t="shared" si="12"/>
        <v>O</v>
      </c>
      <c r="V27" s="3" t="str">
        <f t="shared" si="12"/>
        <v>O</v>
      </c>
      <c r="W27" s="3" t="str">
        <f t="shared" si="12"/>
        <v>U</v>
      </c>
      <c r="X27" s="3" t="str">
        <f t="shared" si="12"/>
        <v>O</v>
      </c>
      <c r="Z27" s="3">
        <v>57.5</v>
      </c>
      <c r="AB27" s="3" t="str">
        <f t="shared" si="8"/>
        <v>MIL/MIA</v>
      </c>
      <c r="AC27" s="3">
        <f t="shared" si="4"/>
        <v>3</v>
      </c>
      <c r="AD27" s="3">
        <f t="shared" si="5"/>
        <v>1</v>
      </c>
    </row>
    <row r="28" spans="1:30" x14ac:dyDescent="0.45">
      <c r="A28" s="3">
        <v>191027</v>
      </c>
      <c r="B28" s="1">
        <v>0.33333333333333331</v>
      </c>
      <c r="C28" s="3" t="s">
        <v>36</v>
      </c>
      <c r="D28" s="3" t="s">
        <v>41</v>
      </c>
      <c r="E28" s="3">
        <v>29</v>
      </c>
      <c r="F28" s="3">
        <v>28</v>
      </c>
      <c r="G28" s="3">
        <v>26</v>
      </c>
      <c r="H28" s="3">
        <v>28</v>
      </c>
      <c r="J28" s="3">
        <v>28</v>
      </c>
      <c r="K28" s="3">
        <v>26</v>
      </c>
      <c r="L28" s="3">
        <v>29</v>
      </c>
      <c r="M28" s="3">
        <v>34</v>
      </c>
      <c r="O28" s="3">
        <f t="shared" si="10"/>
        <v>111</v>
      </c>
      <c r="P28" s="3">
        <f t="shared" si="3"/>
        <v>117</v>
      </c>
      <c r="Q28" s="3" t="str">
        <f t="shared" si="11"/>
        <v>HW</v>
      </c>
      <c r="R28" s="3" t="str">
        <f t="shared" si="11"/>
        <v>HW</v>
      </c>
      <c r="S28" s="3" t="str">
        <f t="shared" si="11"/>
        <v>HL</v>
      </c>
      <c r="T28" s="3" t="str">
        <f t="shared" si="11"/>
        <v>HL</v>
      </c>
      <c r="U28" s="3" t="str">
        <f t="shared" si="12"/>
        <v>O</v>
      </c>
      <c r="V28" s="3" t="str">
        <f t="shared" si="12"/>
        <v>U</v>
      </c>
      <c r="W28" s="3" t="str">
        <f t="shared" si="12"/>
        <v>T</v>
      </c>
      <c r="X28" s="3" t="str">
        <f t="shared" si="12"/>
        <v>O</v>
      </c>
      <c r="Z28" s="3">
        <v>55</v>
      </c>
      <c r="AB28" s="3" t="str">
        <f t="shared" si="8"/>
        <v>DET/PHI</v>
      </c>
      <c r="AC28" s="3">
        <f t="shared" si="4"/>
        <v>2</v>
      </c>
      <c r="AD28" s="3">
        <f t="shared" si="5"/>
        <v>1</v>
      </c>
    </row>
    <row r="29" spans="1:30" x14ac:dyDescent="0.45">
      <c r="A29" s="3">
        <v>191027</v>
      </c>
      <c r="B29" s="4">
        <v>0.35416666666666669</v>
      </c>
      <c r="C29" s="5" t="s">
        <v>50</v>
      </c>
      <c r="D29" s="5" t="s">
        <v>39</v>
      </c>
      <c r="E29" s="3">
        <v>23</v>
      </c>
      <c r="F29" s="3">
        <v>29</v>
      </c>
      <c r="G29" s="3">
        <v>25</v>
      </c>
      <c r="H29" s="3">
        <v>26</v>
      </c>
      <c r="J29" s="3">
        <v>26</v>
      </c>
      <c r="K29" s="3">
        <v>24</v>
      </c>
      <c r="L29" s="3">
        <v>25</v>
      </c>
      <c r="M29" s="3">
        <v>24</v>
      </c>
      <c r="O29" s="3">
        <f t="shared" si="10"/>
        <v>103</v>
      </c>
      <c r="P29" s="3">
        <f t="shared" si="3"/>
        <v>99</v>
      </c>
      <c r="Q29" s="3" t="str">
        <f t="shared" si="11"/>
        <v>HL</v>
      </c>
      <c r="R29" s="3" t="str">
        <f t="shared" si="11"/>
        <v>HW</v>
      </c>
      <c r="S29" s="3" t="str">
        <f t="shared" si="11"/>
        <v>TT</v>
      </c>
      <c r="T29" s="3" t="str">
        <f t="shared" si="11"/>
        <v>HW</v>
      </c>
      <c r="U29" s="3" t="str">
        <f t="shared" si="12"/>
        <v>U</v>
      </c>
      <c r="V29" s="3" t="str">
        <f t="shared" si="12"/>
        <v>U</v>
      </c>
      <c r="W29" s="3" t="str">
        <f t="shared" si="12"/>
        <v>U</v>
      </c>
      <c r="X29" s="3" t="str">
        <f t="shared" si="12"/>
        <v>U</v>
      </c>
      <c r="Z29" s="3">
        <v>56</v>
      </c>
      <c r="AB29" s="3" t="str">
        <f t="shared" si="8"/>
        <v>ATL/ORL</v>
      </c>
      <c r="AC29" s="3">
        <f t="shared" si="4"/>
        <v>0</v>
      </c>
      <c r="AD29" s="3">
        <f t="shared" si="5"/>
        <v>4</v>
      </c>
    </row>
    <row r="30" spans="1:30" x14ac:dyDescent="0.45">
      <c r="A30" s="3">
        <v>191027</v>
      </c>
      <c r="B30" s="1">
        <v>0.375</v>
      </c>
      <c r="C30" s="3" t="s">
        <v>54</v>
      </c>
      <c r="D30" s="3" t="s">
        <v>42</v>
      </c>
      <c r="E30" s="3">
        <v>24</v>
      </c>
      <c r="F30" s="3">
        <v>27</v>
      </c>
      <c r="G30" s="3">
        <v>25</v>
      </c>
      <c r="H30" s="3">
        <v>19</v>
      </c>
      <c r="J30" s="3">
        <v>22</v>
      </c>
      <c r="K30" s="3">
        <v>24</v>
      </c>
      <c r="L30" s="3">
        <v>36</v>
      </c>
      <c r="M30" s="3">
        <v>36</v>
      </c>
      <c r="O30" s="3">
        <f t="shared" si="10"/>
        <v>95</v>
      </c>
      <c r="P30" s="3">
        <f t="shared" si="3"/>
        <v>118</v>
      </c>
      <c r="Q30" s="3" t="str">
        <f t="shared" si="11"/>
        <v>HW</v>
      </c>
      <c r="R30" s="3" t="str">
        <f t="shared" si="11"/>
        <v>HW</v>
      </c>
      <c r="S30" s="3" t="str">
        <f t="shared" si="11"/>
        <v>HL</v>
      </c>
      <c r="T30" s="3" t="str">
        <f t="shared" si="11"/>
        <v>HL</v>
      </c>
      <c r="U30" s="3" t="str">
        <f t="shared" si="12"/>
        <v>U</v>
      </c>
      <c r="V30" s="3" t="str">
        <f t="shared" si="12"/>
        <v>U</v>
      </c>
      <c r="W30" s="3" t="str">
        <f t="shared" si="12"/>
        <v>O</v>
      </c>
      <c r="X30" s="3" t="str">
        <f t="shared" si="12"/>
        <v>O</v>
      </c>
      <c r="Z30" s="3">
        <v>53.5</v>
      </c>
      <c r="AB30" s="3" t="str">
        <f t="shared" si="8"/>
        <v>NY/BOS</v>
      </c>
      <c r="AC30" s="3">
        <f t="shared" si="4"/>
        <v>2</v>
      </c>
      <c r="AD30" s="3">
        <f t="shared" si="5"/>
        <v>2</v>
      </c>
    </row>
    <row r="31" spans="1:30" x14ac:dyDescent="0.45">
      <c r="A31" s="3">
        <v>191027</v>
      </c>
      <c r="B31" s="1">
        <v>0.375</v>
      </c>
      <c r="C31" s="3" t="s">
        <v>32</v>
      </c>
      <c r="D31" s="3" t="s">
        <v>28</v>
      </c>
      <c r="E31" s="3">
        <v>23</v>
      </c>
      <c r="F31" s="3">
        <v>17</v>
      </c>
      <c r="G31" s="3">
        <v>22</v>
      </c>
      <c r="H31" s="3">
        <v>22</v>
      </c>
      <c r="J31" s="3">
        <v>24</v>
      </c>
      <c r="K31" s="3">
        <v>24</v>
      </c>
      <c r="L31" s="3">
        <v>36</v>
      </c>
      <c r="M31" s="3">
        <v>24</v>
      </c>
      <c r="O31" s="3">
        <f t="shared" si="10"/>
        <v>84</v>
      </c>
      <c r="P31" s="3">
        <f t="shared" si="3"/>
        <v>108</v>
      </c>
      <c r="Q31" s="3" t="str">
        <f t="shared" si="11"/>
        <v>HL</v>
      </c>
      <c r="R31" s="3" t="str">
        <f t="shared" si="11"/>
        <v>HL</v>
      </c>
      <c r="S31" s="3" t="str">
        <f t="shared" si="11"/>
        <v>HL</v>
      </c>
      <c r="T31" s="3" t="str">
        <f t="shared" si="11"/>
        <v>HL</v>
      </c>
      <c r="U31" s="3" t="str">
        <f t="shared" si="12"/>
        <v>U</v>
      </c>
      <c r="V31" s="3" t="str">
        <f t="shared" si="12"/>
        <v>U</v>
      </c>
      <c r="W31" s="3" t="str">
        <f t="shared" si="12"/>
        <v>O</v>
      </c>
      <c r="X31" s="3" t="str">
        <f t="shared" si="12"/>
        <v>U</v>
      </c>
      <c r="Z31" s="3">
        <v>57</v>
      </c>
      <c r="AB31" s="3" t="str">
        <f t="shared" si="8"/>
        <v>CHI/TOR</v>
      </c>
      <c r="AC31" s="3">
        <f t="shared" si="4"/>
        <v>1</v>
      </c>
      <c r="AD31" s="3">
        <f t="shared" si="5"/>
        <v>3</v>
      </c>
    </row>
    <row r="32" spans="1:30" x14ac:dyDescent="0.45">
      <c r="A32" s="3">
        <v>191027</v>
      </c>
      <c r="B32" s="1">
        <v>0.375</v>
      </c>
      <c r="C32" s="3" t="s">
        <v>40</v>
      </c>
      <c r="D32" s="3" t="s">
        <v>35</v>
      </c>
      <c r="E32" s="3">
        <v>26</v>
      </c>
      <c r="F32" s="3">
        <v>39</v>
      </c>
      <c r="G32" s="3">
        <v>25</v>
      </c>
      <c r="H32" s="3">
        <v>20</v>
      </c>
      <c r="J32" s="3">
        <v>28</v>
      </c>
      <c r="K32" s="3">
        <v>20</v>
      </c>
      <c r="L32" s="3">
        <v>26</v>
      </c>
      <c r="M32" s="3">
        <v>25</v>
      </c>
      <c r="O32" s="3">
        <f t="shared" si="10"/>
        <v>110</v>
      </c>
      <c r="P32" s="3">
        <f t="shared" si="3"/>
        <v>99</v>
      </c>
      <c r="Q32" s="3" t="str">
        <f t="shared" si="11"/>
        <v>HL</v>
      </c>
      <c r="R32" s="3" t="str">
        <f t="shared" si="11"/>
        <v>HW</v>
      </c>
      <c r="S32" s="3" t="str">
        <f t="shared" si="11"/>
        <v>HL</v>
      </c>
      <c r="T32" s="3" t="str">
        <f t="shared" si="11"/>
        <v>HL</v>
      </c>
      <c r="U32" s="3" t="str">
        <f t="shared" si="12"/>
        <v>U</v>
      </c>
      <c r="V32" s="3" t="str">
        <f t="shared" si="12"/>
        <v>O</v>
      </c>
      <c r="W32" s="3" t="str">
        <f t="shared" si="12"/>
        <v>U</v>
      </c>
      <c r="X32" s="3" t="str">
        <f t="shared" si="12"/>
        <v>U</v>
      </c>
      <c r="Z32" s="3">
        <v>55</v>
      </c>
      <c r="AB32" s="3" t="str">
        <f t="shared" si="8"/>
        <v>CLE/IND</v>
      </c>
      <c r="AC32" s="3">
        <f t="shared" si="4"/>
        <v>1</v>
      </c>
      <c r="AD32" s="3">
        <f t="shared" si="5"/>
        <v>3</v>
      </c>
    </row>
    <row r="33" spans="1:30" x14ac:dyDescent="0.45">
      <c r="A33" s="3">
        <v>191027</v>
      </c>
      <c r="B33" s="1">
        <v>0.375</v>
      </c>
      <c r="C33" s="3" t="s">
        <v>52</v>
      </c>
      <c r="D33" s="3" t="s">
        <v>27</v>
      </c>
      <c r="E33" s="3">
        <v>29</v>
      </c>
      <c r="F33" s="3">
        <v>32</v>
      </c>
      <c r="G33" s="3">
        <v>36</v>
      </c>
      <c r="H33" s="3">
        <v>29</v>
      </c>
      <c r="J33" s="3">
        <v>24</v>
      </c>
      <c r="K33" s="3">
        <v>37</v>
      </c>
      <c r="L33" s="3">
        <v>39</v>
      </c>
      <c r="M33" s="3">
        <v>23</v>
      </c>
      <c r="O33" s="3">
        <f t="shared" si="10"/>
        <v>126</v>
      </c>
      <c r="P33" s="3">
        <f t="shared" si="3"/>
        <v>123</v>
      </c>
      <c r="Q33" s="3" t="str">
        <f t="shared" si="11"/>
        <v>HW</v>
      </c>
      <c r="R33" s="3" t="str">
        <f t="shared" si="11"/>
        <v>HL</v>
      </c>
      <c r="S33" s="3" t="str">
        <f t="shared" si="11"/>
        <v>HL</v>
      </c>
      <c r="T33" s="3" t="str">
        <f t="shared" si="11"/>
        <v>HW</v>
      </c>
      <c r="U33" s="3" t="str">
        <f t="shared" si="12"/>
        <v>U</v>
      </c>
      <c r="V33" s="3" t="str">
        <f t="shared" si="12"/>
        <v>O</v>
      </c>
      <c r="W33" s="3" t="str">
        <f t="shared" si="12"/>
        <v>O</v>
      </c>
      <c r="X33" s="3" t="str">
        <f t="shared" si="12"/>
        <v>U</v>
      </c>
      <c r="Z33" s="3">
        <v>61</v>
      </c>
      <c r="AB33" s="3" t="str">
        <f t="shared" si="8"/>
        <v>HOU/NO</v>
      </c>
      <c r="AC33" s="3">
        <f t="shared" si="4"/>
        <v>2</v>
      </c>
      <c r="AD33" s="3">
        <f t="shared" si="5"/>
        <v>2</v>
      </c>
    </row>
    <row r="34" spans="1:30" x14ac:dyDescent="0.45">
      <c r="A34" s="3">
        <v>191027</v>
      </c>
      <c r="B34" s="1">
        <v>0.39583333333333331</v>
      </c>
      <c r="C34" s="3" t="s">
        <v>56</v>
      </c>
      <c r="D34" s="3" t="s">
        <v>34</v>
      </c>
      <c r="E34" s="3">
        <v>30</v>
      </c>
      <c r="F34" s="3">
        <v>30</v>
      </c>
      <c r="G34" s="3">
        <v>32</v>
      </c>
      <c r="H34" s="3">
        <v>32</v>
      </c>
      <c r="J34" s="3">
        <v>26</v>
      </c>
      <c r="K34" s="3">
        <v>34</v>
      </c>
      <c r="L34" s="3">
        <v>30</v>
      </c>
      <c r="M34" s="3">
        <v>32</v>
      </c>
      <c r="O34" s="3">
        <f t="shared" si="10"/>
        <v>124</v>
      </c>
      <c r="P34" s="3">
        <f t="shared" si="3"/>
        <v>122</v>
      </c>
      <c r="Q34" s="3" t="str">
        <f t="shared" si="11"/>
        <v>HW</v>
      </c>
      <c r="R34" s="3" t="str">
        <f t="shared" si="11"/>
        <v>HL</v>
      </c>
      <c r="S34" s="3" t="str">
        <f t="shared" si="11"/>
        <v>HW</v>
      </c>
      <c r="T34" s="3" t="str">
        <f t="shared" si="11"/>
        <v>TT</v>
      </c>
      <c r="U34" s="3" t="str">
        <f t="shared" si="12"/>
        <v>U</v>
      </c>
      <c r="V34" s="3" t="str">
        <f t="shared" si="12"/>
        <v>O</v>
      </c>
      <c r="W34" s="3" t="str">
        <f t="shared" si="12"/>
        <v>O</v>
      </c>
      <c r="X34" s="3" t="str">
        <f t="shared" si="12"/>
        <v>O</v>
      </c>
      <c r="Z34" s="3">
        <v>56.5</v>
      </c>
      <c r="AB34" s="3" t="str">
        <f t="shared" si="8"/>
        <v>SAS/WAS</v>
      </c>
      <c r="AC34" s="3">
        <f t="shared" si="4"/>
        <v>3</v>
      </c>
      <c r="AD34" s="3">
        <f t="shared" si="5"/>
        <v>1</v>
      </c>
    </row>
    <row r="35" spans="1:30" x14ac:dyDescent="0.45">
      <c r="A35" s="3">
        <v>191027</v>
      </c>
      <c r="B35" s="4">
        <v>0.41666666666666669</v>
      </c>
      <c r="C35" s="5" t="s">
        <v>48</v>
      </c>
      <c r="D35" s="5" t="s">
        <v>44</v>
      </c>
      <c r="E35" s="3">
        <v>35</v>
      </c>
      <c r="F35" s="3">
        <v>31</v>
      </c>
      <c r="G35" s="3">
        <v>27</v>
      </c>
      <c r="H35" s="3">
        <v>20</v>
      </c>
      <c r="J35" s="3">
        <v>25</v>
      </c>
      <c r="K35" s="3">
        <v>16</v>
      </c>
      <c r="L35" s="3">
        <v>17</v>
      </c>
      <c r="M35" s="3">
        <v>23</v>
      </c>
      <c r="O35" s="3">
        <f t="shared" si="10"/>
        <v>113</v>
      </c>
      <c r="P35" s="3">
        <f t="shared" si="3"/>
        <v>81</v>
      </c>
      <c r="Q35" s="3" t="str">
        <f t="shared" si="11"/>
        <v>HW</v>
      </c>
      <c r="R35" s="3" t="str">
        <f t="shared" si="11"/>
        <v>HW</v>
      </c>
      <c r="S35" s="3" t="str">
        <f t="shared" si="11"/>
        <v>HW</v>
      </c>
      <c r="T35" s="3" t="str">
        <f t="shared" si="11"/>
        <v>HL</v>
      </c>
      <c r="U35" s="3" t="str">
        <f t="shared" si="12"/>
        <v>O</v>
      </c>
      <c r="V35" s="3" t="str">
        <f t="shared" si="12"/>
        <v>U</v>
      </c>
      <c r="W35" s="3" t="str">
        <f t="shared" si="12"/>
        <v>U</v>
      </c>
      <c r="X35" s="3" t="str">
        <f t="shared" si="12"/>
        <v>U</v>
      </c>
      <c r="Z35" s="3">
        <v>57</v>
      </c>
      <c r="AB35" s="3" t="str">
        <f t="shared" si="8"/>
        <v>UTA/SAC</v>
      </c>
      <c r="AC35" s="3">
        <f t="shared" si="4"/>
        <v>1</v>
      </c>
      <c r="AD35" s="3">
        <f t="shared" si="5"/>
        <v>3</v>
      </c>
    </row>
    <row r="36" spans="1:30" x14ac:dyDescent="0.45">
      <c r="A36" s="3">
        <v>191027</v>
      </c>
      <c r="B36" s="4">
        <v>0.45833333333333331</v>
      </c>
      <c r="C36" s="5" t="s">
        <v>43</v>
      </c>
      <c r="D36" s="5" t="s">
        <v>25</v>
      </c>
      <c r="E36" s="3">
        <v>26</v>
      </c>
      <c r="F36" s="3">
        <v>29</v>
      </c>
      <c r="G36" s="3">
        <v>36</v>
      </c>
      <c r="H36" s="3">
        <v>39</v>
      </c>
      <c r="J36" s="3">
        <v>22</v>
      </c>
      <c r="K36" s="3">
        <v>33</v>
      </c>
      <c r="L36" s="3">
        <v>30</v>
      </c>
      <c r="M36" s="3">
        <v>37</v>
      </c>
      <c r="O36" s="3">
        <f t="shared" si="10"/>
        <v>130</v>
      </c>
      <c r="P36" s="3">
        <f t="shared" si="3"/>
        <v>122</v>
      </c>
      <c r="Q36" s="3" t="str">
        <f t="shared" ref="Q36:T36" si="13">IF(E36=J36,"TT",IF(E36&gt;J36,"HW","HL"))</f>
        <v>HW</v>
      </c>
      <c r="R36" s="3" t="str">
        <f t="shared" si="13"/>
        <v>HL</v>
      </c>
      <c r="S36" s="3" t="str">
        <f t="shared" si="13"/>
        <v>HW</v>
      </c>
      <c r="T36" s="3" t="str">
        <f t="shared" si="13"/>
        <v>HW</v>
      </c>
      <c r="U36" s="3" t="str">
        <f t="shared" ref="U36:X36" si="14">IF(SUM(E36,J36)=$Z36,"T",IF(SUM(E36,J36)&gt;$Z36,"O","U"))</f>
        <v>U</v>
      </c>
      <c r="V36" s="3" t="str">
        <f t="shared" si="14"/>
        <v>O</v>
      </c>
      <c r="W36" s="3" t="str">
        <f t="shared" si="14"/>
        <v>O</v>
      </c>
      <c r="X36" s="3" t="str">
        <f t="shared" si="14"/>
        <v>O</v>
      </c>
      <c r="Z36" s="3">
        <v>58.5</v>
      </c>
      <c r="AB36" s="3" t="str">
        <f t="shared" si="8"/>
        <v>PHO/LAC</v>
      </c>
      <c r="AC36" s="3">
        <f t="shared" si="4"/>
        <v>3</v>
      </c>
      <c r="AD36" s="3">
        <f t="shared" si="5"/>
        <v>1</v>
      </c>
    </row>
    <row r="37" spans="1:30" x14ac:dyDescent="0.45">
      <c r="A37" s="3">
        <v>191028</v>
      </c>
      <c r="B37" s="7">
        <v>0.1875</v>
      </c>
      <c r="C37" s="3" t="s">
        <v>57</v>
      </c>
      <c r="D37" s="3" t="s">
        <v>58</v>
      </c>
      <c r="E37" s="3">
        <v>35</v>
      </c>
      <c r="F37" s="3">
        <v>35</v>
      </c>
      <c r="G37" s="3">
        <v>35</v>
      </c>
      <c r="H37" s="3">
        <v>15</v>
      </c>
      <c r="J37" s="3">
        <v>20</v>
      </c>
      <c r="K37" s="3">
        <v>17</v>
      </c>
      <c r="L37" s="3">
        <v>31</v>
      </c>
      <c r="M37" s="3">
        <v>24</v>
      </c>
      <c r="O37" s="3">
        <f t="shared" ref="O37:O41" si="15">SUM(E37:I37)</f>
        <v>120</v>
      </c>
      <c r="P37" s="3">
        <f t="shared" ref="P37:P41" si="16">SUM(J37:N37)</f>
        <v>92</v>
      </c>
      <c r="Q37" s="3" t="str">
        <f t="shared" ref="Q37:Q41" si="17">IF(E37=J37,"TT",IF(E37&gt;J37,"HW","HL"))</f>
        <v>HW</v>
      </c>
      <c r="R37" s="3" t="str">
        <f t="shared" ref="R37:R41" si="18">IF(F37=K37,"TT",IF(F37&gt;K37,"HW","HL"))</f>
        <v>HW</v>
      </c>
      <c r="S37" s="3" t="str">
        <f t="shared" ref="S37:S41" si="19">IF(G37=L37,"TT",IF(G37&gt;L37,"HW","HL"))</f>
        <v>HW</v>
      </c>
      <c r="T37" s="3" t="str">
        <f t="shared" ref="T37:T41" si="20">IF(H37=M37,"TT",IF(H37&gt;M37,"HW","HL"))</f>
        <v>HL</v>
      </c>
      <c r="U37" s="3" t="str">
        <f t="shared" ref="U37:U41" si="21">IF(SUM(E37,J37)=$Z37,"T",IF(SUM(E37,J37)&gt;$Z37,"O","U"))</f>
        <v>U</v>
      </c>
      <c r="V37" s="3" t="str">
        <f t="shared" ref="V37:V41" si="22">IF(SUM(F37,K37)=$Z37,"T",IF(SUM(F37,K37)&gt;$Z37,"O","U"))</f>
        <v>U</v>
      </c>
      <c r="W37" s="3" t="str">
        <f t="shared" ref="W37:W41" si="23">IF(SUM(G37,L37)=$Z37,"T",IF(SUM(G37,L37)&gt;$Z37,"O","U"))</f>
        <v>O</v>
      </c>
      <c r="X37" s="3" t="str">
        <f t="shared" ref="X37:X41" si="24">IF(SUM(H37,M37)=$Z37,"T",IF(SUM(H37,M37)&gt;$Z37,"O","U"))</f>
        <v>U</v>
      </c>
      <c r="Z37" s="3">
        <v>57.5</v>
      </c>
      <c r="AB37" s="3" t="str">
        <f t="shared" si="8"/>
        <v>OKC/GS</v>
      </c>
      <c r="AC37" s="3">
        <f t="shared" si="4"/>
        <v>1</v>
      </c>
      <c r="AD37" s="3">
        <f t="shared" si="5"/>
        <v>3</v>
      </c>
    </row>
    <row r="38" spans="1:30" x14ac:dyDescent="0.45">
      <c r="A38" s="3">
        <v>191028</v>
      </c>
      <c r="B38" s="4">
        <v>0.29166666666666669</v>
      </c>
      <c r="C38" s="3" t="s">
        <v>59</v>
      </c>
      <c r="D38" s="3" t="s">
        <v>60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15"/>
        <v>134</v>
      </c>
      <c r="P38" s="3">
        <f t="shared" si="16"/>
        <v>133</v>
      </c>
      <c r="Q38" s="3" t="str">
        <f t="shared" si="17"/>
        <v>HW</v>
      </c>
      <c r="R38" s="3" t="str">
        <f t="shared" si="18"/>
        <v>HL</v>
      </c>
      <c r="S38" s="3" t="str">
        <f t="shared" si="19"/>
        <v>HL</v>
      </c>
      <c r="T38" s="3" t="str">
        <f t="shared" si="20"/>
        <v>HW</v>
      </c>
      <c r="U38" s="3" t="str">
        <f t="shared" si="21"/>
        <v>O</v>
      </c>
      <c r="V38" s="3" t="str">
        <f t="shared" si="22"/>
        <v>U</v>
      </c>
      <c r="W38" s="3" t="str">
        <f t="shared" si="23"/>
        <v>O</v>
      </c>
      <c r="X38" s="3" t="str">
        <f t="shared" si="24"/>
        <v>U</v>
      </c>
      <c r="Z38" s="3">
        <v>54.5</v>
      </c>
      <c r="AB38" s="3" t="str">
        <f t="shared" si="8"/>
        <v>MEM/BKN</v>
      </c>
      <c r="AC38" s="3">
        <f t="shared" si="4"/>
        <v>2</v>
      </c>
      <c r="AD38" s="3">
        <f t="shared" si="5"/>
        <v>2</v>
      </c>
    </row>
    <row r="39" spans="1:30" x14ac:dyDescent="0.45">
      <c r="A39" s="3">
        <v>191028</v>
      </c>
      <c r="B39" s="1">
        <v>0.33333333333333331</v>
      </c>
      <c r="C39" s="3" t="s">
        <v>61</v>
      </c>
      <c r="D39" s="3" t="s">
        <v>62</v>
      </c>
      <c r="E39" s="3">
        <v>40</v>
      </c>
      <c r="F39" s="3">
        <v>31</v>
      </c>
      <c r="G39" s="3">
        <v>24</v>
      </c>
      <c r="H39" s="3">
        <v>24</v>
      </c>
      <c r="J39" s="3">
        <v>25</v>
      </c>
      <c r="K39" s="3">
        <v>34</v>
      </c>
      <c r="L39" s="3">
        <v>36</v>
      </c>
      <c r="M39" s="3">
        <v>26</v>
      </c>
      <c r="O39" s="3">
        <f t="shared" si="15"/>
        <v>119</v>
      </c>
      <c r="P39" s="3">
        <f t="shared" si="16"/>
        <v>121</v>
      </c>
      <c r="Q39" s="3" t="str">
        <f t="shared" si="17"/>
        <v>HW</v>
      </c>
      <c r="R39" s="3" t="str">
        <f t="shared" si="18"/>
        <v>HL</v>
      </c>
      <c r="S39" s="3" t="str">
        <f t="shared" si="19"/>
        <v>HL</v>
      </c>
      <c r="T39" s="3" t="str">
        <f t="shared" si="20"/>
        <v>HL</v>
      </c>
      <c r="U39" s="3" t="str">
        <f t="shared" si="21"/>
        <v>O</v>
      </c>
      <c r="V39" s="3" t="str">
        <f t="shared" si="22"/>
        <v>O</v>
      </c>
      <c r="W39" s="3" t="str">
        <f t="shared" si="23"/>
        <v>O</v>
      </c>
      <c r="X39" s="3" t="str">
        <f t="shared" si="24"/>
        <v>U</v>
      </c>
      <c r="Z39" s="3">
        <v>54</v>
      </c>
      <c r="AB39" s="3" t="str">
        <f t="shared" si="8"/>
        <v>DAL/POR</v>
      </c>
      <c r="AC39" s="3">
        <f t="shared" si="4"/>
        <v>3</v>
      </c>
      <c r="AD39" s="3">
        <f t="shared" si="5"/>
        <v>1</v>
      </c>
    </row>
    <row r="40" spans="1:30" x14ac:dyDescent="0.45">
      <c r="A40" s="3">
        <v>191028</v>
      </c>
      <c r="B40" s="1">
        <v>0.33333333333333331</v>
      </c>
      <c r="C40" s="3" t="s">
        <v>63</v>
      </c>
      <c r="D40" s="6" t="s">
        <v>64</v>
      </c>
      <c r="E40" s="3">
        <v>36</v>
      </c>
      <c r="F40" s="3">
        <v>19</v>
      </c>
      <c r="G40" s="3">
        <v>22</v>
      </c>
      <c r="H40" s="3">
        <v>39</v>
      </c>
      <c r="J40" s="3">
        <v>23</v>
      </c>
      <c r="K40" s="3">
        <v>34</v>
      </c>
      <c r="L40" s="3">
        <v>27</v>
      </c>
      <c r="M40" s="3">
        <v>25</v>
      </c>
      <c r="O40" s="3">
        <f t="shared" si="15"/>
        <v>116</v>
      </c>
      <c r="P40" s="3">
        <f t="shared" si="16"/>
        <v>109</v>
      </c>
      <c r="Q40" s="3" t="str">
        <f t="shared" si="17"/>
        <v>HW</v>
      </c>
      <c r="R40" s="3" t="str">
        <f t="shared" si="18"/>
        <v>HL</v>
      </c>
      <c r="S40" s="3" t="str">
        <f t="shared" si="19"/>
        <v>HL</v>
      </c>
      <c r="T40" s="3" t="str">
        <f t="shared" si="20"/>
        <v>HW</v>
      </c>
      <c r="U40" s="3" t="str">
        <f t="shared" si="21"/>
        <v>O</v>
      </c>
      <c r="V40" s="3" t="str">
        <f t="shared" si="22"/>
        <v>U</v>
      </c>
      <c r="W40" s="3" t="str">
        <f t="shared" si="23"/>
        <v>U</v>
      </c>
      <c r="X40" s="3" t="str">
        <f t="shared" si="24"/>
        <v>O</v>
      </c>
      <c r="Z40" s="3">
        <v>54</v>
      </c>
      <c r="AB40" s="3" t="str">
        <f t="shared" si="8"/>
        <v>MIN/MIA</v>
      </c>
      <c r="AC40" s="3">
        <f t="shared" si="4"/>
        <v>2</v>
      </c>
      <c r="AD40" s="3">
        <f t="shared" si="5"/>
        <v>2</v>
      </c>
    </row>
    <row r="41" spans="1:30" x14ac:dyDescent="0.45">
      <c r="A41" s="3">
        <v>191028</v>
      </c>
      <c r="B41" s="4">
        <v>0.4375</v>
      </c>
      <c r="C41" s="3" t="s">
        <v>65</v>
      </c>
      <c r="D41" s="3" t="s">
        <v>66</v>
      </c>
      <c r="E41" s="3">
        <v>30</v>
      </c>
      <c r="F41" s="3">
        <v>33</v>
      </c>
      <c r="G41" s="3">
        <v>24</v>
      </c>
      <c r="H41" s="3">
        <v>33</v>
      </c>
      <c r="J41" s="3">
        <v>28</v>
      </c>
      <c r="K41" s="3">
        <v>34</v>
      </c>
      <c r="L41" s="3">
        <v>18</v>
      </c>
      <c r="M41" s="3">
        <v>21</v>
      </c>
      <c r="O41" s="3">
        <f t="shared" si="15"/>
        <v>120</v>
      </c>
      <c r="P41" s="3">
        <f t="shared" si="16"/>
        <v>101</v>
      </c>
      <c r="Q41" s="3" t="str">
        <f t="shared" si="17"/>
        <v>HW</v>
      </c>
      <c r="R41" s="3" t="str">
        <f t="shared" si="18"/>
        <v>HL</v>
      </c>
      <c r="S41" s="3" t="str">
        <f t="shared" si="19"/>
        <v>HW</v>
      </c>
      <c r="T41" s="3" t="str">
        <f t="shared" si="20"/>
        <v>HW</v>
      </c>
      <c r="U41" s="3" t="str">
        <f t="shared" si="21"/>
        <v>O</v>
      </c>
      <c r="V41" s="3" t="str">
        <f t="shared" si="22"/>
        <v>O</v>
      </c>
      <c r="W41" s="3" t="str">
        <f t="shared" si="23"/>
        <v>U</v>
      </c>
      <c r="X41" s="3" t="str">
        <f t="shared" si="24"/>
        <v>U</v>
      </c>
      <c r="Z41" s="3">
        <v>56</v>
      </c>
      <c r="AB41" s="3" t="str">
        <f t="shared" si="8"/>
        <v>LAL/CHA</v>
      </c>
      <c r="AC41" s="3">
        <f t="shared" si="4"/>
        <v>2</v>
      </c>
      <c r="AD41" s="3">
        <f t="shared" si="5"/>
        <v>2</v>
      </c>
    </row>
    <row r="42" spans="1:30" x14ac:dyDescent="0.45">
      <c r="A42" s="3">
        <v>191029</v>
      </c>
      <c r="B42" s="1">
        <v>0.33333333333333331</v>
      </c>
      <c r="C42" s="3" t="s">
        <v>68</v>
      </c>
      <c r="D42" s="3" t="s">
        <v>69</v>
      </c>
      <c r="E42" s="3">
        <v>33</v>
      </c>
      <c r="F42" s="3">
        <v>26</v>
      </c>
      <c r="G42" s="3">
        <v>19</v>
      </c>
      <c r="H42" s="3">
        <v>18</v>
      </c>
      <c r="J42" s="3">
        <v>25</v>
      </c>
      <c r="K42" s="3">
        <v>28</v>
      </c>
      <c r="L42" s="3">
        <v>18</v>
      </c>
      <c r="M42" s="3">
        <v>23</v>
      </c>
      <c r="O42" s="3">
        <f t="shared" ref="O42:O52" si="25">SUM(E42:I42)</f>
        <v>96</v>
      </c>
      <c r="P42" s="3">
        <f t="shared" ref="P42:P52" si="26">SUM(J42:N42)</f>
        <v>94</v>
      </c>
      <c r="Q42" s="3" t="str">
        <f t="shared" ref="Q42:Q52" si="27">IF(E42=J42,"TT",IF(E42&gt;J42,"HW","HL"))</f>
        <v>HW</v>
      </c>
      <c r="R42" s="3" t="str">
        <f t="shared" ref="R42:R52" si="28">IF(F42=K42,"TT",IF(F42&gt;K42,"HW","HL"))</f>
        <v>HL</v>
      </c>
      <c r="S42" s="3" t="str">
        <f t="shared" ref="S42:S52" si="29">IF(G42=L42,"TT",IF(G42&gt;L42,"HW","HL"))</f>
        <v>HW</v>
      </c>
      <c r="T42" s="3" t="str">
        <f t="shared" ref="T42:T52" si="30">IF(H42=M42,"TT",IF(H42&gt;M42,"HW","HL"))</f>
        <v>HL</v>
      </c>
      <c r="U42" s="3" t="str">
        <f t="shared" ref="U42:U52" si="31">IF(SUM(E42,J42)=$Z42,"T",IF(SUM(E42,J42)&gt;$Z42,"O","U"))</f>
        <v>O</v>
      </c>
      <c r="V42" s="3" t="str">
        <f t="shared" ref="V42:V52" si="32">IF(SUM(F42,K42)=$Z42,"T",IF(SUM(F42,K42)&gt;$Z42,"O","U"))</f>
        <v>U</v>
      </c>
      <c r="W42" s="3" t="str">
        <f t="shared" ref="W42:W52" si="33">IF(SUM(G42,L42)=$Z42,"T",IF(SUM(G42,L42)&gt;$Z42,"O","U"))</f>
        <v>U</v>
      </c>
      <c r="X42" s="3" t="str">
        <f t="shared" ref="X42:X52" si="34">IF(SUM(H42,M42)=$Z42,"T",IF(SUM(H42,M42)&gt;$Z42,"O","U"))</f>
        <v>U</v>
      </c>
      <c r="Z42" s="3">
        <v>54.5</v>
      </c>
      <c r="AB42" s="3" t="str">
        <f t="shared" si="8"/>
        <v>DET/IND</v>
      </c>
      <c r="AC42" s="3">
        <f t="shared" ref="AC42:AC105" si="35">COUNTIF(U42:X42,"o")</f>
        <v>1</v>
      </c>
      <c r="AD42" s="3">
        <f t="shared" ref="AD42:AD105" si="36">COUNTIF(U42:X42,"u")</f>
        <v>3</v>
      </c>
    </row>
    <row r="43" spans="1:30" x14ac:dyDescent="0.45">
      <c r="A43" s="3">
        <v>191029</v>
      </c>
      <c r="B43" s="1">
        <v>0.33333333333333331</v>
      </c>
      <c r="C43" s="3" t="s">
        <v>70</v>
      </c>
      <c r="D43" s="3" t="s">
        <v>71</v>
      </c>
      <c r="E43" s="3">
        <v>15</v>
      </c>
      <c r="F43" s="3">
        <v>27</v>
      </c>
      <c r="G43" s="3">
        <v>30</v>
      </c>
      <c r="H43" s="3">
        <v>33</v>
      </c>
      <c r="J43" s="3">
        <v>33</v>
      </c>
      <c r="K43" s="3">
        <v>19</v>
      </c>
      <c r="L43" s="3">
        <v>28</v>
      </c>
      <c r="M43" s="3">
        <v>18</v>
      </c>
      <c r="O43" s="3">
        <f t="shared" si="25"/>
        <v>105</v>
      </c>
      <c r="P43" s="3">
        <f t="shared" si="26"/>
        <v>98</v>
      </c>
      <c r="Q43" s="3" t="str">
        <f t="shared" si="27"/>
        <v>HL</v>
      </c>
      <c r="R43" s="3" t="str">
        <f t="shared" si="28"/>
        <v>HW</v>
      </c>
      <c r="S43" s="3" t="str">
        <f t="shared" si="29"/>
        <v>HW</v>
      </c>
      <c r="T43" s="3" t="str">
        <f t="shared" si="30"/>
        <v>HW</v>
      </c>
      <c r="U43" s="3" t="str">
        <f t="shared" si="31"/>
        <v>U</v>
      </c>
      <c r="V43" s="3" t="str">
        <f t="shared" si="32"/>
        <v>U</v>
      </c>
      <c r="W43" s="3" t="str">
        <f t="shared" si="33"/>
        <v>O</v>
      </c>
      <c r="X43" s="3" t="str">
        <f t="shared" si="34"/>
        <v>U</v>
      </c>
      <c r="Z43" s="3">
        <v>54.5</v>
      </c>
      <c r="AB43" s="3" t="str">
        <f t="shared" si="8"/>
        <v>NY/CHI</v>
      </c>
      <c r="AC43" s="3">
        <f t="shared" si="35"/>
        <v>1</v>
      </c>
      <c r="AD43" s="3">
        <f t="shared" si="36"/>
        <v>3</v>
      </c>
    </row>
    <row r="44" spans="1:30" x14ac:dyDescent="0.45">
      <c r="A44" s="3">
        <v>191029</v>
      </c>
      <c r="B44" s="1">
        <v>0.35416666666666669</v>
      </c>
      <c r="C44" s="3" t="s">
        <v>73</v>
      </c>
      <c r="D44" s="3" t="s">
        <v>72</v>
      </c>
      <c r="E44" s="3">
        <v>40</v>
      </c>
      <c r="F44" s="3">
        <v>25</v>
      </c>
      <c r="G44" s="3">
        <v>18</v>
      </c>
      <c r="H44" s="3">
        <v>20</v>
      </c>
      <c r="J44" s="3">
        <v>31</v>
      </c>
      <c r="K44" s="3">
        <v>32</v>
      </c>
      <c r="L44" s="3">
        <v>19</v>
      </c>
      <c r="M44" s="3">
        <v>23</v>
      </c>
      <c r="O44" s="3">
        <f t="shared" si="25"/>
        <v>103</v>
      </c>
      <c r="P44" s="3">
        <f t="shared" si="26"/>
        <v>105</v>
      </c>
      <c r="Q44" s="3" t="str">
        <f t="shared" si="27"/>
        <v>HW</v>
      </c>
      <c r="R44" s="3" t="str">
        <f t="shared" si="28"/>
        <v>HL</v>
      </c>
      <c r="S44" s="3" t="str">
        <f t="shared" si="29"/>
        <v>HL</v>
      </c>
      <c r="T44" s="3" t="str">
        <f t="shared" si="30"/>
        <v>HL</v>
      </c>
      <c r="U44" s="3" t="str">
        <f t="shared" si="31"/>
        <v>O</v>
      </c>
      <c r="V44" s="3" t="str">
        <f t="shared" si="32"/>
        <v>U</v>
      </c>
      <c r="W44" s="3" t="str">
        <f t="shared" si="33"/>
        <v>U</v>
      </c>
      <c r="X44" s="3" t="str">
        <f t="shared" si="34"/>
        <v>U</v>
      </c>
      <c r="Z44" s="3">
        <v>57.5</v>
      </c>
      <c r="AB44" s="3" t="str">
        <f t="shared" si="8"/>
        <v>ATL/PHI</v>
      </c>
      <c r="AC44" s="3">
        <f t="shared" si="35"/>
        <v>1</v>
      </c>
      <c r="AD44" s="3">
        <f t="shared" si="36"/>
        <v>3</v>
      </c>
    </row>
    <row r="45" spans="1:30" x14ac:dyDescent="0.45">
      <c r="A45" s="3">
        <v>191029</v>
      </c>
      <c r="B45" s="1">
        <v>0.35416666666666669</v>
      </c>
      <c r="C45" s="3" t="s">
        <v>74</v>
      </c>
      <c r="D45" s="3" t="s">
        <v>75</v>
      </c>
      <c r="E45" s="3">
        <v>31</v>
      </c>
      <c r="F45" s="3">
        <v>20</v>
      </c>
      <c r="G45" s="3">
        <v>27</v>
      </c>
      <c r="H45" s="3">
        <v>26</v>
      </c>
      <c r="J45" s="3">
        <v>22</v>
      </c>
      <c r="K45" s="3">
        <v>24</v>
      </c>
      <c r="L45" s="3">
        <v>21</v>
      </c>
      <c r="M45" s="3">
        <v>28</v>
      </c>
      <c r="O45" s="3">
        <f t="shared" si="25"/>
        <v>104</v>
      </c>
      <c r="P45" s="3">
        <f t="shared" si="26"/>
        <v>95</v>
      </c>
      <c r="Q45" s="3" t="str">
        <f t="shared" si="27"/>
        <v>HW</v>
      </c>
      <c r="R45" s="3" t="str">
        <f t="shared" si="28"/>
        <v>HL</v>
      </c>
      <c r="S45" s="3" t="str">
        <f t="shared" si="29"/>
        <v>HW</v>
      </c>
      <c r="T45" s="3" t="str">
        <f t="shared" si="30"/>
        <v>HL</v>
      </c>
      <c r="U45" s="3" t="str">
        <f t="shared" si="31"/>
        <v>U</v>
      </c>
      <c r="V45" s="3" t="str">
        <f t="shared" si="32"/>
        <v>U</v>
      </c>
      <c r="W45" s="3" t="str">
        <f t="shared" si="33"/>
        <v>U</v>
      </c>
      <c r="X45" s="3" t="str">
        <f t="shared" si="34"/>
        <v>T</v>
      </c>
      <c r="Z45" s="3">
        <v>54</v>
      </c>
      <c r="AB45" s="3" t="str">
        <f t="shared" si="8"/>
        <v>TOR/ORL</v>
      </c>
      <c r="AC45" s="3">
        <f t="shared" si="35"/>
        <v>0</v>
      </c>
      <c r="AD45" s="3">
        <f t="shared" si="36"/>
        <v>3</v>
      </c>
    </row>
    <row r="46" spans="1:30" x14ac:dyDescent="0.45">
      <c r="A46" s="3">
        <v>191029</v>
      </c>
      <c r="B46" s="1">
        <v>0.375</v>
      </c>
      <c r="C46" s="3" t="s">
        <v>76</v>
      </c>
      <c r="D46" s="6" t="s">
        <v>77</v>
      </c>
      <c r="E46" s="3">
        <v>23</v>
      </c>
      <c r="F46" s="3">
        <v>32</v>
      </c>
      <c r="G46" s="3">
        <v>24</v>
      </c>
      <c r="H46" s="3">
        <v>44</v>
      </c>
      <c r="J46" s="3">
        <v>27</v>
      </c>
      <c r="K46" s="3">
        <v>45</v>
      </c>
      <c r="L46" s="3">
        <v>31</v>
      </c>
      <c r="M46" s="3">
        <v>31</v>
      </c>
      <c r="O46" s="3">
        <f t="shared" si="25"/>
        <v>123</v>
      </c>
      <c r="P46" s="3">
        <f t="shared" si="26"/>
        <v>134</v>
      </c>
      <c r="Q46" s="3" t="str">
        <f t="shared" si="27"/>
        <v>HL</v>
      </c>
      <c r="R46" s="3" t="str">
        <f t="shared" si="28"/>
        <v>HL</v>
      </c>
      <c r="S46" s="3" t="str">
        <f t="shared" si="29"/>
        <v>HL</v>
      </c>
      <c r="T46" s="3" t="str">
        <f t="shared" si="30"/>
        <v>HW</v>
      </c>
      <c r="U46" s="3" t="str">
        <f t="shared" si="31"/>
        <v>U</v>
      </c>
      <c r="V46" s="3" t="str">
        <f t="shared" si="32"/>
        <v>O</v>
      </c>
      <c r="W46" s="3" t="str">
        <f t="shared" si="33"/>
        <v>U</v>
      </c>
      <c r="X46" s="3" t="str">
        <f t="shared" si="34"/>
        <v>O</v>
      </c>
      <c r="Z46" s="3">
        <v>61</v>
      </c>
      <c r="AB46" s="3" t="str">
        <f t="shared" si="8"/>
        <v>NO/GS</v>
      </c>
      <c r="AC46" s="3">
        <f t="shared" si="35"/>
        <v>2</v>
      </c>
      <c r="AD46" s="3">
        <f t="shared" si="36"/>
        <v>2</v>
      </c>
    </row>
    <row r="47" spans="1:30" x14ac:dyDescent="0.45">
      <c r="A47" s="3">
        <v>191029</v>
      </c>
      <c r="B47" s="1">
        <v>0.375</v>
      </c>
      <c r="C47" s="3" t="s">
        <v>78</v>
      </c>
      <c r="D47" s="6" t="s">
        <v>79</v>
      </c>
      <c r="E47" s="3">
        <v>22</v>
      </c>
      <c r="F47" s="3">
        <v>30</v>
      </c>
      <c r="G47" s="3">
        <v>39</v>
      </c>
      <c r="H47" s="3">
        <v>25</v>
      </c>
      <c r="J47" s="3">
        <v>35</v>
      </c>
      <c r="K47" s="3">
        <v>27</v>
      </c>
      <c r="L47" s="3">
        <v>18</v>
      </c>
      <c r="M47" s="3">
        <v>32</v>
      </c>
      <c r="O47" s="3">
        <f t="shared" si="25"/>
        <v>116</v>
      </c>
      <c r="P47" s="3">
        <f t="shared" si="26"/>
        <v>112</v>
      </c>
      <c r="Q47" s="3" t="str">
        <f t="shared" si="27"/>
        <v>HL</v>
      </c>
      <c r="R47" s="3" t="str">
        <f t="shared" si="28"/>
        <v>HW</v>
      </c>
      <c r="S47" s="3" t="str">
        <f t="shared" si="29"/>
        <v>HW</v>
      </c>
      <c r="T47" s="3" t="str">
        <f t="shared" si="30"/>
        <v>HL</v>
      </c>
      <c r="U47" s="3" t="str">
        <f t="shared" si="31"/>
        <v>U</v>
      </c>
      <c r="V47" s="3" t="str">
        <f t="shared" si="32"/>
        <v>U</v>
      </c>
      <c r="W47" s="3" t="str">
        <f t="shared" si="33"/>
        <v>U</v>
      </c>
      <c r="X47" s="3" t="str">
        <f t="shared" si="34"/>
        <v>U</v>
      </c>
      <c r="Z47" s="3">
        <v>58.5</v>
      </c>
      <c r="AB47" s="3" t="str">
        <f t="shared" si="8"/>
        <v>HOU/OKC</v>
      </c>
      <c r="AC47" s="3">
        <f t="shared" si="35"/>
        <v>0</v>
      </c>
      <c r="AD47" s="3">
        <f t="shared" si="36"/>
        <v>4</v>
      </c>
    </row>
    <row r="48" spans="1:30" x14ac:dyDescent="0.45">
      <c r="A48" s="3">
        <v>191029</v>
      </c>
      <c r="B48" s="1">
        <v>0.375</v>
      </c>
      <c r="C48" s="3" t="s">
        <v>80</v>
      </c>
      <c r="D48" s="3" t="s">
        <v>81</v>
      </c>
      <c r="E48" s="3">
        <v>30</v>
      </c>
      <c r="F48" s="3">
        <v>29</v>
      </c>
      <c r="G48" s="3">
        <v>32</v>
      </c>
      <c r="H48" s="3">
        <v>38</v>
      </c>
      <c r="J48" s="3">
        <v>31</v>
      </c>
      <c r="K48" s="3">
        <v>21</v>
      </c>
      <c r="L48" s="3">
        <v>28</v>
      </c>
      <c r="M48" s="3">
        <v>32</v>
      </c>
      <c r="O48" s="3">
        <f t="shared" si="25"/>
        <v>129</v>
      </c>
      <c r="P48" s="3">
        <f t="shared" si="26"/>
        <v>112</v>
      </c>
      <c r="Q48" s="3" t="str">
        <f t="shared" si="27"/>
        <v>HL</v>
      </c>
      <c r="R48" s="3" t="str">
        <f t="shared" si="28"/>
        <v>HW</v>
      </c>
      <c r="S48" s="3" t="str">
        <f t="shared" si="29"/>
        <v>HW</v>
      </c>
      <c r="T48" s="3" t="str">
        <f t="shared" si="30"/>
        <v>HW</v>
      </c>
      <c r="U48" s="3" t="str">
        <f t="shared" si="31"/>
        <v>O</v>
      </c>
      <c r="V48" s="3" t="str">
        <f t="shared" si="32"/>
        <v>U</v>
      </c>
      <c r="W48" s="3" t="str">
        <f t="shared" si="33"/>
        <v>O</v>
      </c>
      <c r="X48" s="3" t="str">
        <f t="shared" si="34"/>
        <v>O</v>
      </c>
      <c r="Z48" s="3">
        <v>55</v>
      </c>
      <c r="AB48" s="3" t="str">
        <f t="shared" si="8"/>
        <v>MIL/CLE</v>
      </c>
      <c r="AC48" s="3">
        <f t="shared" si="35"/>
        <v>3</v>
      </c>
      <c r="AD48" s="3">
        <f t="shared" si="36"/>
        <v>1</v>
      </c>
    </row>
    <row r="49" spans="1:30" x14ac:dyDescent="0.45">
      <c r="A49" s="3">
        <v>191029</v>
      </c>
      <c r="B49" s="1">
        <v>0.39583333333333331</v>
      </c>
      <c r="C49" s="3" t="s">
        <v>82</v>
      </c>
      <c r="D49" s="6" t="s">
        <v>83</v>
      </c>
      <c r="E49" s="3">
        <v>19</v>
      </c>
      <c r="F49" s="3">
        <v>26</v>
      </c>
      <c r="G49" s="3">
        <v>37</v>
      </c>
      <c r="H49" s="3">
        <v>31</v>
      </c>
      <c r="J49" s="3">
        <v>33</v>
      </c>
      <c r="K49" s="3">
        <v>18</v>
      </c>
      <c r="L49" s="3">
        <v>20</v>
      </c>
      <c r="M49" s="3">
        <v>39</v>
      </c>
      <c r="O49" s="3">
        <f t="shared" si="25"/>
        <v>113</v>
      </c>
      <c r="P49" s="3">
        <f t="shared" si="26"/>
        <v>110</v>
      </c>
      <c r="Q49" s="3" t="str">
        <f t="shared" si="27"/>
        <v>HL</v>
      </c>
      <c r="R49" s="3" t="str">
        <f t="shared" si="28"/>
        <v>HW</v>
      </c>
      <c r="S49" s="3" t="str">
        <f t="shared" si="29"/>
        <v>HW</v>
      </c>
      <c r="T49" s="3" t="str">
        <f t="shared" si="30"/>
        <v>HL</v>
      </c>
      <c r="U49" s="3" t="str">
        <f t="shared" si="31"/>
        <v>U</v>
      </c>
      <c r="V49" s="3" t="str">
        <f t="shared" si="32"/>
        <v>U</v>
      </c>
      <c r="W49" s="3" t="str">
        <f t="shared" si="33"/>
        <v>O</v>
      </c>
      <c r="X49" s="3" t="str">
        <f t="shared" si="34"/>
        <v>O</v>
      </c>
      <c r="Z49" s="3">
        <v>54</v>
      </c>
      <c r="AB49" s="3" t="str">
        <f t="shared" si="8"/>
        <v>SAS/POR</v>
      </c>
      <c r="AC49" s="3">
        <f t="shared" si="35"/>
        <v>2</v>
      </c>
      <c r="AD49" s="3">
        <f t="shared" si="36"/>
        <v>2</v>
      </c>
    </row>
    <row r="50" spans="1:30" x14ac:dyDescent="0.45">
      <c r="A50" s="3">
        <v>191029</v>
      </c>
      <c r="B50" s="10">
        <v>0.45833333333333331</v>
      </c>
      <c r="C50" s="3" t="s">
        <v>84</v>
      </c>
      <c r="D50" s="3" t="s">
        <v>85</v>
      </c>
      <c r="E50" s="3">
        <v>21</v>
      </c>
      <c r="F50" s="3">
        <v>18</v>
      </c>
      <c r="G50" s="3">
        <v>31</v>
      </c>
      <c r="H50" s="3">
        <v>25</v>
      </c>
      <c r="J50" s="3">
        <v>28</v>
      </c>
      <c r="K50" s="3">
        <v>18</v>
      </c>
      <c r="L50" s="3">
        <v>24</v>
      </c>
      <c r="M50" s="3">
        <v>26</v>
      </c>
      <c r="O50" s="3">
        <f t="shared" si="25"/>
        <v>95</v>
      </c>
      <c r="P50" s="3">
        <f t="shared" si="26"/>
        <v>96</v>
      </c>
      <c r="Q50" s="3" t="str">
        <f t="shared" si="27"/>
        <v>HL</v>
      </c>
      <c r="R50" s="3" t="str">
        <f t="shared" si="28"/>
        <v>TT</v>
      </c>
      <c r="S50" s="3" t="str">
        <f t="shared" si="29"/>
        <v>HW</v>
      </c>
      <c r="T50" s="3" t="str">
        <f t="shared" si="30"/>
        <v>HL</v>
      </c>
      <c r="U50" s="3" t="str">
        <f t="shared" si="31"/>
        <v>U</v>
      </c>
      <c r="V50" s="3" t="str">
        <f t="shared" si="32"/>
        <v>U</v>
      </c>
      <c r="W50" s="3" t="str">
        <f t="shared" si="33"/>
        <v>O</v>
      </c>
      <c r="X50" s="3" t="str">
        <f t="shared" si="34"/>
        <v>U</v>
      </c>
      <c r="Z50" s="3">
        <v>52</v>
      </c>
      <c r="AB50" s="3" t="str">
        <f t="shared" si="8"/>
        <v>PHO/UTA</v>
      </c>
      <c r="AC50" s="3">
        <f t="shared" si="35"/>
        <v>1</v>
      </c>
      <c r="AD50" s="3">
        <f t="shared" si="36"/>
        <v>3</v>
      </c>
    </row>
    <row r="51" spans="1:30" x14ac:dyDescent="0.45">
      <c r="A51" s="3">
        <v>191029</v>
      </c>
      <c r="B51" s="4">
        <v>0.45833333333333331</v>
      </c>
      <c r="C51" s="3" t="s">
        <v>86</v>
      </c>
      <c r="D51" s="3" t="s">
        <v>87</v>
      </c>
      <c r="E51" s="3">
        <v>28</v>
      </c>
      <c r="F51" s="3">
        <v>25</v>
      </c>
      <c r="G51" s="3">
        <v>17</v>
      </c>
      <c r="H51" s="3">
        <v>24</v>
      </c>
      <c r="J51" s="3">
        <v>21</v>
      </c>
      <c r="K51" s="3">
        <v>26</v>
      </c>
      <c r="L51" s="3">
        <v>30</v>
      </c>
      <c r="M51" s="3">
        <v>24</v>
      </c>
      <c r="O51" s="3">
        <f t="shared" si="25"/>
        <v>94</v>
      </c>
      <c r="P51" s="3">
        <f t="shared" si="26"/>
        <v>101</v>
      </c>
      <c r="Q51" s="3" t="str">
        <f t="shared" si="27"/>
        <v>HW</v>
      </c>
      <c r="R51" s="3" t="str">
        <f t="shared" si="28"/>
        <v>HL</v>
      </c>
      <c r="S51" s="3" t="str">
        <f t="shared" si="29"/>
        <v>HL</v>
      </c>
      <c r="T51" s="3" t="str">
        <f t="shared" si="30"/>
        <v>TT</v>
      </c>
      <c r="U51" s="3" t="str">
        <f t="shared" si="31"/>
        <v>U</v>
      </c>
      <c r="V51" s="3" t="str">
        <f t="shared" si="32"/>
        <v>U</v>
      </c>
      <c r="W51" s="3" t="str">
        <f t="shared" si="33"/>
        <v>U</v>
      </c>
      <c r="X51" s="3" t="str">
        <f t="shared" si="34"/>
        <v>U</v>
      </c>
      <c r="Z51" s="3">
        <v>56</v>
      </c>
      <c r="AB51" s="3" t="str">
        <f t="shared" si="8"/>
        <v>SAC/DEN</v>
      </c>
      <c r="AC51" s="3">
        <f t="shared" si="35"/>
        <v>0</v>
      </c>
      <c r="AD51" s="3">
        <f t="shared" si="36"/>
        <v>4</v>
      </c>
    </row>
    <row r="52" spans="1:30" x14ac:dyDescent="0.45">
      <c r="A52" s="3">
        <v>191029</v>
      </c>
      <c r="B52" s="1">
        <v>0.47916666666666669</v>
      </c>
      <c r="C52" s="3" t="s">
        <v>88</v>
      </c>
      <c r="D52" s="6" t="s">
        <v>89</v>
      </c>
      <c r="E52" s="3">
        <v>29</v>
      </c>
      <c r="F52" s="3">
        <v>28</v>
      </c>
      <c r="G52" s="3">
        <v>29</v>
      </c>
      <c r="H52" s="3">
        <v>25</v>
      </c>
      <c r="J52" s="3">
        <v>28</v>
      </c>
      <c r="K52" s="3">
        <v>26</v>
      </c>
      <c r="L52" s="3">
        <v>20</v>
      </c>
      <c r="M52" s="3">
        <v>22</v>
      </c>
      <c r="O52" s="3">
        <f t="shared" si="25"/>
        <v>111</v>
      </c>
      <c r="P52" s="3">
        <f t="shared" si="26"/>
        <v>96</v>
      </c>
      <c r="Q52" s="3" t="str">
        <f t="shared" si="27"/>
        <v>HW</v>
      </c>
      <c r="R52" s="3" t="str">
        <f t="shared" si="28"/>
        <v>HW</v>
      </c>
      <c r="S52" s="3" t="str">
        <f t="shared" si="29"/>
        <v>HW</v>
      </c>
      <c r="T52" s="3" t="str">
        <f t="shared" si="30"/>
        <v>HW</v>
      </c>
      <c r="U52" s="3" t="str">
        <f t="shared" si="31"/>
        <v>U</v>
      </c>
      <c r="V52" s="3" t="str">
        <f t="shared" si="32"/>
        <v>U</v>
      </c>
      <c r="W52" s="3" t="str">
        <f t="shared" si="33"/>
        <v>U</v>
      </c>
      <c r="X52" s="3" t="str">
        <f t="shared" si="34"/>
        <v>U</v>
      </c>
      <c r="Z52" s="3">
        <v>58.5</v>
      </c>
      <c r="AB52" s="3" t="str">
        <f t="shared" si="8"/>
        <v>LAC/CHA</v>
      </c>
      <c r="AC52" s="3">
        <f t="shared" si="35"/>
        <v>0</v>
      </c>
      <c r="AD52" s="3">
        <f t="shared" si="36"/>
        <v>4</v>
      </c>
    </row>
    <row r="53" spans="1:30" x14ac:dyDescent="0.45">
      <c r="A53" s="3">
        <v>191030</v>
      </c>
      <c r="B53" s="1">
        <v>0.35416666666666669</v>
      </c>
      <c r="C53" s="3" t="s">
        <v>37</v>
      </c>
      <c r="D53" s="3" t="s">
        <v>50</v>
      </c>
      <c r="E53" s="3">
        <v>29</v>
      </c>
      <c r="F53" s="3">
        <v>30</v>
      </c>
      <c r="G53" s="3">
        <v>29</v>
      </c>
      <c r="H53" s="3">
        <v>24</v>
      </c>
      <c r="J53" s="3">
        <v>26</v>
      </c>
      <c r="K53" s="3">
        <v>23</v>
      </c>
      <c r="L53" s="3">
        <v>21</v>
      </c>
      <c r="M53" s="3">
        <v>27</v>
      </c>
      <c r="O53" s="3">
        <f t="shared" ref="O53:O116" si="37">SUM(E53:I53)</f>
        <v>112</v>
      </c>
      <c r="P53" s="3">
        <f t="shared" ref="P53:P116" si="38">SUM(J53:N53)</f>
        <v>97</v>
      </c>
      <c r="Q53" s="3" t="str">
        <f t="shared" ref="Q53:Q116" si="39">IF(E53=J53,"TT",IF(E53&gt;J53,"HW","HL"))</f>
        <v>HW</v>
      </c>
      <c r="R53" s="3" t="str">
        <f t="shared" ref="R53:R116" si="40">IF(F53=K53,"TT",IF(F53&gt;K53,"HW","HL"))</f>
        <v>HW</v>
      </c>
      <c r="S53" s="3" t="str">
        <f t="shared" ref="S53:S116" si="41">IF(G53=L53,"TT",IF(G53&gt;L53,"HW","HL"))</f>
        <v>HW</v>
      </c>
      <c r="T53" s="3" t="str">
        <f t="shared" ref="T53:T116" si="42">IF(H53=M53,"TT",IF(H53&gt;M53,"HW","HL"))</f>
        <v>HL</v>
      </c>
      <c r="U53" s="3" t="str">
        <f t="shared" ref="U53:U116" si="43">IF(SUM(E53,J53)=$Z53,"T",IF(SUM(E53,J53)&gt;$Z53,"O","U"))</f>
        <v>U</v>
      </c>
      <c r="V53" s="3" t="str">
        <f t="shared" ref="V53:V116" si="44">IF(SUM(F53,K53)=$Z53,"T",IF(SUM(F53,K53)&gt;$Z53,"O","U"))</f>
        <v>U</v>
      </c>
      <c r="W53" s="3" t="str">
        <f t="shared" ref="W53:W116" si="45">IF(SUM(G53,L53)=$Z53,"T",IF(SUM(G53,L53)&gt;$Z53,"O","U"))</f>
        <v>U</v>
      </c>
      <c r="X53" s="3" t="str">
        <f t="shared" ref="X53:X116" si="46">IF(SUM(H53,M53)=$Z53,"T",IF(SUM(H53,M53)&gt;$Z53,"O","U"))</f>
        <v>U</v>
      </c>
      <c r="Z53" s="3">
        <v>57.5</v>
      </c>
      <c r="AB53" s="3" t="str">
        <f t="shared" si="8"/>
        <v>MIA/ATL</v>
      </c>
      <c r="AC53" s="3">
        <f t="shared" si="35"/>
        <v>0</v>
      </c>
      <c r="AD53" s="3">
        <f t="shared" si="36"/>
        <v>4</v>
      </c>
    </row>
    <row r="54" spans="1:30" x14ac:dyDescent="0.45">
      <c r="A54" s="3">
        <v>191030</v>
      </c>
      <c r="B54" s="1">
        <v>0.41666666666666669</v>
      </c>
      <c r="C54" s="3" t="s">
        <v>46</v>
      </c>
      <c r="D54" s="3" t="s">
        <v>33</v>
      </c>
      <c r="E54" s="3">
        <v>31</v>
      </c>
      <c r="F54" s="3">
        <v>30</v>
      </c>
      <c r="G54" s="3">
        <v>27</v>
      </c>
      <c r="H54" s="3">
        <v>18</v>
      </c>
      <c r="J54" s="3">
        <v>27</v>
      </c>
      <c r="K54" s="3">
        <v>33</v>
      </c>
      <c r="L54" s="3">
        <v>23</v>
      </c>
      <c r="M54" s="3">
        <v>26</v>
      </c>
      <c r="O54" s="3">
        <f t="shared" si="37"/>
        <v>106</v>
      </c>
      <c r="P54" s="3">
        <f t="shared" si="38"/>
        <v>109</v>
      </c>
      <c r="Q54" s="3" t="str">
        <f t="shared" si="39"/>
        <v>HW</v>
      </c>
      <c r="R54" s="3" t="str">
        <f t="shared" si="40"/>
        <v>HL</v>
      </c>
      <c r="S54" s="3" t="str">
        <f t="shared" si="41"/>
        <v>HW</v>
      </c>
      <c r="T54" s="3" t="str">
        <f t="shared" si="42"/>
        <v>HL</v>
      </c>
      <c r="U54" s="3" t="str">
        <f t="shared" si="43"/>
        <v>O</v>
      </c>
      <c r="V54" s="3" t="str">
        <f t="shared" si="44"/>
        <v>O</v>
      </c>
      <c r="W54" s="3" t="str">
        <f t="shared" si="45"/>
        <v>U</v>
      </c>
      <c r="X54" s="3" t="str">
        <f t="shared" si="46"/>
        <v>U</v>
      </c>
      <c r="Z54" s="3">
        <v>55</v>
      </c>
      <c r="AB54" s="3" t="str">
        <f t="shared" si="8"/>
        <v>DEN/DAL</v>
      </c>
      <c r="AC54" s="3">
        <f t="shared" si="35"/>
        <v>2</v>
      </c>
      <c r="AD54" s="3">
        <f t="shared" si="36"/>
        <v>2</v>
      </c>
    </row>
    <row r="55" spans="1:30" x14ac:dyDescent="0.45">
      <c r="A55" s="3">
        <v>191030</v>
      </c>
      <c r="B55" s="10">
        <v>0.47916666666666669</v>
      </c>
      <c r="C55" s="3" t="s">
        <v>26</v>
      </c>
      <c r="D55" s="3" t="s">
        <v>38</v>
      </c>
      <c r="E55" s="3">
        <v>27</v>
      </c>
      <c r="F55" s="3">
        <v>22</v>
      </c>
      <c r="G55" s="3">
        <v>39</v>
      </c>
      <c r="H55" s="3">
        <v>32</v>
      </c>
      <c r="J55" s="3">
        <v>32</v>
      </c>
      <c r="K55" s="3">
        <v>15</v>
      </c>
      <c r="L55" s="3">
        <v>20</v>
      </c>
      <c r="M55" s="3">
        <v>24</v>
      </c>
      <c r="O55" s="3">
        <f t="shared" si="37"/>
        <v>120</v>
      </c>
      <c r="P55" s="3">
        <f t="shared" si="38"/>
        <v>91</v>
      </c>
      <c r="Q55" s="3" t="str">
        <f t="shared" si="39"/>
        <v>HL</v>
      </c>
      <c r="R55" s="3" t="str">
        <f t="shared" si="40"/>
        <v>HW</v>
      </c>
      <c r="S55" s="3" t="str">
        <f t="shared" si="41"/>
        <v>HW</v>
      </c>
      <c r="T55" s="3" t="str">
        <f t="shared" si="42"/>
        <v>HW</v>
      </c>
      <c r="U55" s="3" t="str">
        <f t="shared" si="43"/>
        <v>O</v>
      </c>
      <c r="V55" s="3" t="str">
        <f t="shared" si="44"/>
        <v>U</v>
      </c>
      <c r="W55" s="3" t="str">
        <f t="shared" si="45"/>
        <v>O</v>
      </c>
      <c r="X55" s="3" t="str">
        <f t="shared" si="46"/>
        <v>O</v>
      </c>
      <c r="Z55" s="3">
        <v>55</v>
      </c>
      <c r="AB55" s="3" t="str">
        <f t="shared" si="8"/>
        <v>LAL/MEM</v>
      </c>
      <c r="AC55" s="3">
        <f t="shared" si="35"/>
        <v>3</v>
      </c>
      <c r="AD55" s="3">
        <f t="shared" si="36"/>
        <v>1</v>
      </c>
    </row>
    <row r="56" spans="1:30" x14ac:dyDescent="0.45">
      <c r="A56" s="3">
        <v>191031</v>
      </c>
      <c r="B56" s="1">
        <v>0.33333333333333331</v>
      </c>
      <c r="C56" s="3" t="s">
        <v>40</v>
      </c>
      <c r="D56" s="3" t="s">
        <v>32</v>
      </c>
      <c r="E56" s="3">
        <v>25</v>
      </c>
      <c r="F56" s="3">
        <v>25</v>
      </c>
      <c r="G56" s="3">
        <v>30</v>
      </c>
      <c r="H56" s="3">
        <v>37</v>
      </c>
      <c r="J56" s="3">
        <v>26</v>
      </c>
      <c r="K56" s="3">
        <v>27</v>
      </c>
      <c r="L56" s="3">
        <v>29</v>
      </c>
      <c r="M56" s="3">
        <v>29</v>
      </c>
      <c r="O56" s="3">
        <f t="shared" si="37"/>
        <v>117</v>
      </c>
      <c r="P56" s="3">
        <f t="shared" si="38"/>
        <v>111</v>
      </c>
      <c r="Q56" s="3" t="str">
        <f t="shared" si="39"/>
        <v>HL</v>
      </c>
      <c r="R56" s="3" t="str">
        <f t="shared" si="40"/>
        <v>HL</v>
      </c>
      <c r="S56" s="3" t="str">
        <f t="shared" si="41"/>
        <v>HW</v>
      </c>
      <c r="T56" s="3" t="str">
        <f t="shared" si="42"/>
        <v>HW</v>
      </c>
      <c r="U56" s="3" t="str">
        <f t="shared" si="43"/>
        <v>U</v>
      </c>
      <c r="V56" s="3" t="str">
        <f t="shared" si="44"/>
        <v>U</v>
      </c>
      <c r="W56" s="3" t="str">
        <f t="shared" si="45"/>
        <v>O</v>
      </c>
      <c r="X56" s="3" t="str">
        <f t="shared" si="46"/>
        <v>O</v>
      </c>
      <c r="Z56" s="3">
        <v>53.5</v>
      </c>
      <c r="AB56" s="3" t="str">
        <f t="shared" si="8"/>
        <v>CLE/CHI</v>
      </c>
      <c r="AC56" s="3">
        <f t="shared" si="35"/>
        <v>2</v>
      </c>
      <c r="AD56" s="3">
        <f t="shared" si="36"/>
        <v>2</v>
      </c>
    </row>
    <row r="57" spans="1:30" x14ac:dyDescent="0.45">
      <c r="A57" s="3">
        <v>191031</v>
      </c>
      <c r="B57" s="1">
        <v>0.33333333333333331</v>
      </c>
      <c r="C57" s="3" t="s">
        <v>39</v>
      </c>
      <c r="D57" s="3" t="s">
        <v>47</v>
      </c>
      <c r="E57" s="3">
        <v>22</v>
      </c>
      <c r="F57" s="3">
        <v>20</v>
      </c>
      <c r="G57" s="3">
        <v>30</v>
      </c>
      <c r="H57" s="3">
        <v>23</v>
      </c>
      <c r="J57" s="3">
        <v>25</v>
      </c>
      <c r="K57" s="3">
        <v>19</v>
      </c>
      <c r="L57" s="3">
        <v>23</v>
      </c>
      <c r="M57" s="3">
        <v>16</v>
      </c>
      <c r="O57" s="3">
        <f t="shared" si="37"/>
        <v>95</v>
      </c>
      <c r="P57" s="3">
        <f t="shared" si="38"/>
        <v>83</v>
      </c>
      <c r="Q57" s="3" t="str">
        <f t="shared" si="39"/>
        <v>HL</v>
      </c>
      <c r="R57" s="3" t="str">
        <f t="shared" si="40"/>
        <v>HW</v>
      </c>
      <c r="S57" s="3" t="str">
        <f t="shared" si="41"/>
        <v>HW</v>
      </c>
      <c r="T57" s="3" t="str">
        <f t="shared" si="42"/>
        <v>HW</v>
      </c>
      <c r="U57" s="3" t="str">
        <f t="shared" si="43"/>
        <v>U</v>
      </c>
      <c r="V57" s="3" t="str">
        <f t="shared" si="44"/>
        <v>U</v>
      </c>
      <c r="W57" s="3" t="str">
        <f t="shared" si="45"/>
        <v>U</v>
      </c>
      <c r="X57" s="3" t="str">
        <f t="shared" si="46"/>
        <v>U</v>
      </c>
      <c r="Z57" s="3">
        <v>54.5</v>
      </c>
      <c r="AB57" s="3" t="str">
        <f t="shared" si="8"/>
        <v>ORL/NYK</v>
      </c>
      <c r="AC57" s="3">
        <f t="shared" si="35"/>
        <v>0</v>
      </c>
      <c r="AD57" s="3">
        <f t="shared" si="36"/>
        <v>4</v>
      </c>
    </row>
    <row r="58" spans="1:30" x14ac:dyDescent="0.45">
      <c r="A58" s="3">
        <v>191031</v>
      </c>
      <c r="B58" s="1">
        <v>0.33333333333333331</v>
      </c>
      <c r="C58" s="3" t="s">
        <v>41</v>
      </c>
      <c r="D58" s="3" t="s">
        <v>29</v>
      </c>
      <c r="E58" s="3">
        <v>32</v>
      </c>
      <c r="F58" s="3">
        <v>30</v>
      </c>
      <c r="G58" s="3">
        <v>30</v>
      </c>
      <c r="H58" s="3">
        <v>25</v>
      </c>
      <c r="J58" s="3">
        <v>24</v>
      </c>
      <c r="K58" s="3">
        <v>19</v>
      </c>
      <c r="L58" s="3">
        <v>35</v>
      </c>
      <c r="M58" s="3">
        <v>17</v>
      </c>
      <c r="O58" s="3">
        <f t="shared" si="37"/>
        <v>117</v>
      </c>
      <c r="P58" s="3">
        <f t="shared" si="38"/>
        <v>95</v>
      </c>
      <c r="Q58" s="3" t="str">
        <f t="shared" si="39"/>
        <v>HW</v>
      </c>
      <c r="R58" s="3" t="str">
        <f t="shared" si="40"/>
        <v>HW</v>
      </c>
      <c r="S58" s="3" t="str">
        <f t="shared" si="41"/>
        <v>HL</v>
      </c>
      <c r="T58" s="3" t="str">
        <f t="shared" si="42"/>
        <v>HW</v>
      </c>
      <c r="U58" s="3" t="str">
        <f t="shared" si="43"/>
        <v>U</v>
      </c>
      <c r="V58" s="3" t="str">
        <f t="shared" si="44"/>
        <v>U</v>
      </c>
      <c r="W58" s="3" t="str">
        <f t="shared" si="45"/>
        <v>O</v>
      </c>
      <c r="X58" s="3" t="str">
        <f t="shared" si="46"/>
        <v>U</v>
      </c>
      <c r="Z58" s="3">
        <v>57</v>
      </c>
      <c r="AB58" s="3" t="str">
        <f t="shared" si="8"/>
        <v>PHI/MIN</v>
      </c>
      <c r="AC58" s="3">
        <f t="shared" si="35"/>
        <v>1</v>
      </c>
      <c r="AD58" s="3">
        <f t="shared" si="36"/>
        <v>3</v>
      </c>
    </row>
    <row r="59" spans="1:30" x14ac:dyDescent="0.45">
      <c r="A59" s="3">
        <v>191031</v>
      </c>
      <c r="B59" s="1">
        <v>0.35416666666666669</v>
      </c>
      <c r="C59" s="3" t="s">
        <v>42</v>
      </c>
      <c r="D59" s="3" t="s">
        <v>53</v>
      </c>
      <c r="E59" s="3">
        <v>19</v>
      </c>
      <c r="F59" s="3">
        <v>23</v>
      </c>
      <c r="G59" s="3">
        <v>38</v>
      </c>
      <c r="H59" s="3">
        <v>36</v>
      </c>
      <c r="J59" s="3">
        <v>34</v>
      </c>
      <c r="K59" s="3">
        <v>24</v>
      </c>
      <c r="L59" s="3">
        <v>18</v>
      </c>
      <c r="M59" s="3">
        <v>29</v>
      </c>
      <c r="O59" s="3">
        <f t="shared" si="37"/>
        <v>116</v>
      </c>
      <c r="P59" s="3">
        <f t="shared" si="38"/>
        <v>105</v>
      </c>
      <c r="Q59" s="3" t="str">
        <f t="shared" si="39"/>
        <v>HL</v>
      </c>
      <c r="R59" s="3" t="str">
        <f t="shared" si="40"/>
        <v>HL</v>
      </c>
      <c r="S59" s="3" t="str">
        <f t="shared" si="41"/>
        <v>HW</v>
      </c>
      <c r="T59" s="3" t="str">
        <f t="shared" si="42"/>
        <v>HW</v>
      </c>
      <c r="U59" s="3" t="str">
        <f t="shared" si="43"/>
        <v>U</v>
      </c>
      <c r="V59" s="3" t="str">
        <f t="shared" si="44"/>
        <v>U</v>
      </c>
      <c r="W59" s="3" t="str">
        <f t="shared" si="45"/>
        <v>O</v>
      </c>
      <c r="X59" s="3" t="str">
        <f t="shared" si="46"/>
        <v>O</v>
      </c>
      <c r="Z59" s="3">
        <v>55</v>
      </c>
      <c r="AB59" s="3" t="str">
        <f t="shared" si="8"/>
        <v>BOS/MIL</v>
      </c>
      <c r="AC59" s="3">
        <f t="shared" si="35"/>
        <v>2</v>
      </c>
      <c r="AD59" s="3">
        <f t="shared" si="36"/>
        <v>2</v>
      </c>
    </row>
    <row r="60" spans="1:30" x14ac:dyDescent="0.45">
      <c r="A60" s="3">
        <v>191031</v>
      </c>
      <c r="B60" s="1">
        <v>0.35416666666666669</v>
      </c>
      <c r="C60" s="3" t="s">
        <v>30</v>
      </c>
      <c r="D60" s="3" t="s">
        <v>35</v>
      </c>
      <c r="E60" s="3">
        <v>31</v>
      </c>
      <c r="F60" s="3">
        <v>32</v>
      </c>
      <c r="G60" s="3">
        <v>20</v>
      </c>
      <c r="H60" s="3">
        <v>25</v>
      </c>
      <c r="J60" s="3">
        <v>31</v>
      </c>
      <c r="K60" s="3">
        <v>29</v>
      </c>
      <c r="L60" s="3">
        <v>30</v>
      </c>
      <c r="M60" s="3">
        <v>28</v>
      </c>
      <c r="O60" s="3">
        <f t="shared" si="37"/>
        <v>108</v>
      </c>
      <c r="P60" s="3">
        <f t="shared" si="38"/>
        <v>118</v>
      </c>
      <c r="Q60" s="3" t="str">
        <f t="shared" si="39"/>
        <v>TT</v>
      </c>
      <c r="R60" s="3" t="str">
        <f t="shared" si="40"/>
        <v>HW</v>
      </c>
      <c r="S60" s="3" t="str">
        <f t="shared" si="41"/>
        <v>HL</v>
      </c>
      <c r="T60" s="3" t="str">
        <f t="shared" si="42"/>
        <v>HL</v>
      </c>
      <c r="U60" s="3" t="str">
        <f t="shared" si="43"/>
        <v>O</v>
      </c>
      <c r="V60" s="3" t="str">
        <f t="shared" si="44"/>
        <v>O</v>
      </c>
      <c r="W60" s="3" t="str">
        <f t="shared" si="45"/>
        <v>U</v>
      </c>
      <c r="X60" s="3" t="str">
        <f t="shared" si="46"/>
        <v>U</v>
      </c>
      <c r="Z60" s="3">
        <v>57</v>
      </c>
      <c r="AB60" s="3" t="str">
        <f t="shared" si="8"/>
        <v>BKN/IND</v>
      </c>
      <c r="AC60" s="3">
        <f t="shared" si="35"/>
        <v>2</v>
      </c>
      <c r="AD60" s="3">
        <f t="shared" si="36"/>
        <v>2</v>
      </c>
    </row>
    <row r="61" spans="1:30" x14ac:dyDescent="0.45">
      <c r="A61" s="3">
        <v>191031</v>
      </c>
      <c r="B61" s="1">
        <v>0.35416666666666669</v>
      </c>
      <c r="C61" s="3" t="s">
        <v>28</v>
      </c>
      <c r="D61" s="3" t="s">
        <v>36</v>
      </c>
      <c r="E61" s="3">
        <v>37</v>
      </c>
      <c r="F61" s="3">
        <v>27</v>
      </c>
      <c r="G61" s="3">
        <v>37</v>
      </c>
      <c r="H61" s="3">
        <v>24</v>
      </c>
      <c r="J61" s="3">
        <v>28</v>
      </c>
      <c r="K61" s="3">
        <v>30</v>
      </c>
      <c r="L61" s="3">
        <v>27</v>
      </c>
      <c r="M61" s="3">
        <v>28</v>
      </c>
      <c r="O61" s="3">
        <f t="shared" si="37"/>
        <v>125</v>
      </c>
      <c r="P61" s="3">
        <f t="shared" si="38"/>
        <v>113</v>
      </c>
      <c r="Q61" s="3" t="str">
        <f t="shared" si="39"/>
        <v>HW</v>
      </c>
      <c r="R61" s="3" t="str">
        <f t="shared" si="40"/>
        <v>HL</v>
      </c>
      <c r="S61" s="3" t="str">
        <f t="shared" si="41"/>
        <v>HW</v>
      </c>
      <c r="T61" s="3" t="str">
        <f t="shared" si="42"/>
        <v>HL</v>
      </c>
      <c r="U61" s="3" t="str">
        <f t="shared" si="43"/>
        <v>O</v>
      </c>
      <c r="V61" s="3" t="str">
        <f t="shared" si="44"/>
        <v>O</v>
      </c>
      <c r="W61" s="3" t="str">
        <f t="shared" si="45"/>
        <v>O</v>
      </c>
      <c r="X61" s="3" t="str">
        <f t="shared" si="46"/>
        <v>U</v>
      </c>
      <c r="Z61" s="3">
        <v>55</v>
      </c>
      <c r="AB61" s="3" t="str">
        <f t="shared" si="8"/>
        <v>TOR/DET</v>
      </c>
      <c r="AC61" s="3">
        <f t="shared" si="35"/>
        <v>3</v>
      </c>
      <c r="AD61" s="3">
        <f t="shared" si="36"/>
        <v>1</v>
      </c>
    </row>
    <row r="62" spans="1:30" x14ac:dyDescent="0.45">
      <c r="A62" s="3">
        <v>191031</v>
      </c>
      <c r="B62" s="1">
        <v>0.375</v>
      </c>
      <c r="C62" s="3" t="s">
        <v>49</v>
      </c>
      <c r="D62" s="3" t="s">
        <v>45</v>
      </c>
      <c r="E62" s="3">
        <v>17</v>
      </c>
      <c r="F62" s="3">
        <v>27</v>
      </c>
      <c r="G62" s="3">
        <v>25</v>
      </c>
      <c r="H62" s="3">
        <v>30</v>
      </c>
      <c r="J62" s="3">
        <v>24</v>
      </c>
      <c r="K62" s="3">
        <v>25</v>
      </c>
      <c r="L62" s="3">
        <v>19</v>
      </c>
      <c r="M62" s="3">
        <v>34</v>
      </c>
      <c r="O62" s="3">
        <f t="shared" si="37"/>
        <v>99</v>
      </c>
      <c r="P62" s="3">
        <f t="shared" si="38"/>
        <v>102</v>
      </c>
      <c r="Q62" s="3" t="str">
        <f t="shared" si="39"/>
        <v>HL</v>
      </c>
      <c r="R62" s="3" t="str">
        <f t="shared" si="40"/>
        <v>HW</v>
      </c>
      <c r="S62" s="3" t="str">
        <f t="shared" si="41"/>
        <v>HW</v>
      </c>
      <c r="T62" s="3" t="str">
        <f t="shared" si="42"/>
        <v>HL</v>
      </c>
      <c r="U62" s="3" t="str">
        <f t="shared" si="43"/>
        <v>U</v>
      </c>
      <c r="V62" s="3" t="str">
        <f t="shared" si="44"/>
        <v>U</v>
      </c>
      <c r="W62" s="3" t="str">
        <f t="shared" si="45"/>
        <v>U</v>
      </c>
      <c r="X62" s="3" t="str">
        <f t="shared" si="46"/>
        <v>O</v>
      </c>
      <c r="Z62" s="3">
        <v>54</v>
      </c>
      <c r="AB62" s="3" t="str">
        <f t="shared" si="8"/>
        <v>OKC/POR</v>
      </c>
      <c r="AC62" s="3">
        <f t="shared" si="35"/>
        <v>1</v>
      </c>
      <c r="AD62" s="3">
        <f t="shared" si="36"/>
        <v>3</v>
      </c>
    </row>
    <row r="63" spans="1:30" x14ac:dyDescent="0.45">
      <c r="A63" s="3">
        <v>191031</v>
      </c>
      <c r="B63" s="1">
        <v>0.375</v>
      </c>
      <c r="C63" s="3" t="s">
        <v>34</v>
      </c>
      <c r="D63" s="3" t="s">
        <v>52</v>
      </c>
      <c r="E63" s="3">
        <v>34</v>
      </c>
      <c r="F63" s="3">
        <v>43</v>
      </c>
      <c r="G63" s="3">
        <v>40</v>
      </c>
      <c r="H63" s="3">
        <v>41</v>
      </c>
      <c r="J63" s="3">
        <v>35</v>
      </c>
      <c r="K63" s="3">
        <v>41</v>
      </c>
      <c r="L63" s="3">
        <v>35</v>
      </c>
      <c r="M63" s="3">
        <v>48</v>
      </c>
      <c r="O63" s="3">
        <f t="shared" si="37"/>
        <v>158</v>
      </c>
      <c r="P63" s="3">
        <f t="shared" si="38"/>
        <v>159</v>
      </c>
      <c r="Q63" s="3" t="str">
        <f t="shared" si="39"/>
        <v>HL</v>
      </c>
      <c r="R63" s="3" t="str">
        <f t="shared" si="40"/>
        <v>HW</v>
      </c>
      <c r="S63" s="3" t="str">
        <f t="shared" si="41"/>
        <v>HW</v>
      </c>
      <c r="T63" s="3" t="str">
        <f t="shared" si="42"/>
        <v>HL</v>
      </c>
      <c r="U63" s="3" t="str">
        <f t="shared" si="43"/>
        <v>O</v>
      </c>
      <c r="V63" s="3" t="str">
        <f t="shared" si="44"/>
        <v>O</v>
      </c>
      <c r="W63" s="3" t="str">
        <f t="shared" si="45"/>
        <v>O</v>
      </c>
      <c r="X63" s="3" t="str">
        <f t="shared" si="46"/>
        <v>O</v>
      </c>
      <c r="Z63" s="3">
        <v>60.5</v>
      </c>
      <c r="AB63" s="3" t="str">
        <f t="shared" si="8"/>
        <v>WAS/HOU</v>
      </c>
      <c r="AC63" s="3">
        <f t="shared" si="35"/>
        <v>4</v>
      </c>
      <c r="AD63" s="3">
        <f t="shared" si="36"/>
        <v>0</v>
      </c>
    </row>
    <row r="64" spans="1:30" x14ac:dyDescent="0.45">
      <c r="A64" s="3">
        <v>191031</v>
      </c>
      <c r="B64" s="1">
        <v>0.45833333333333331</v>
      </c>
      <c r="C64" s="11" t="s">
        <v>44</v>
      </c>
      <c r="D64" s="11" t="s">
        <v>31</v>
      </c>
      <c r="E64" s="3">
        <v>33</v>
      </c>
      <c r="F64" s="3">
        <v>33</v>
      </c>
      <c r="G64" s="3">
        <v>18</v>
      </c>
      <c r="H64" s="3">
        <v>27</v>
      </c>
      <c r="J64" s="3">
        <v>30</v>
      </c>
      <c r="K64" s="3">
        <v>31</v>
      </c>
      <c r="L64" s="3">
        <v>32</v>
      </c>
      <c r="M64" s="3">
        <v>25</v>
      </c>
      <c r="O64" s="3">
        <f t="shared" si="37"/>
        <v>111</v>
      </c>
      <c r="P64" s="3">
        <f t="shared" si="38"/>
        <v>118</v>
      </c>
      <c r="Q64" s="3" t="str">
        <f t="shared" si="39"/>
        <v>HW</v>
      </c>
      <c r="R64" s="3" t="str">
        <f t="shared" si="40"/>
        <v>HW</v>
      </c>
      <c r="S64" s="3" t="str">
        <f t="shared" si="41"/>
        <v>HL</v>
      </c>
      <c r="T64" s="3" t="str">
        <f t="shared" si="42"/>
        <v>HW</v>
      </c>
      <c r="U64" s="3" t="str">
        <f t="shared" si="43"/>
        <v>O</v>
      </c>
      <c r="V64" s="3" t="str">
        <f t="shared" si="44"/>
        <v>O</v>
      </c>
      <c r="W64" s="3" t="str">
        <f t="shared" si="45"/>
        <v>U</v>
      </c>
      <c r="X64" s="3" t="str">
        <f t="shared" si="46"/>
        <v>U</v>
      </c>
      <c r="Z64" s="3">
        <v>57.5</v>
      </c>
      <c r="AB64" s="3" t="str">
        <f t="shared" si="8"/>
        <v>SAC/CHA</v>
      </c>
      <c r="AC64" s="3">
        <f t="shared" si="35"/>
        <v>2</v>
      </c>
      <c r="AD64" s="3">
        <f t="shared" si="36"/>
        <v>2</v>
      </c>
    </row>
    <row r="65" spans="1:30" x14ac:dyDescent="0.45">
      <c r="A65" s="3">
        <v>191031</v>
      </c>
      <c r="B65" s="1">
        <v>0.45833333333333331</v>
      </c>
      <c r="C65" s="3" t="s">
        <v>48</v>
      </c>
      <c r="D65" s="3" t="s">
        <v>25</v>
      </c>
      <c r="E65" s="3">
        <v>33</v>
      </c>
      <c r="F65" s="3">
        <v>19</v>
      </c>
      <c r="G65" s="3">
        <v>38</v>
      </c>
      <c r="H65" s="3">
        <v>20</v>
      </c>
      <c r="J65" s="3">
        <v>23</v>
      </c>
      <c r="K65" s="3">
        <v>28</v>
      </c>
      <c r="L65" s="3">
        <v>20</v>
      </c>
      <c r="M65" s="3">
        <v>25</v>
      </c>
      <c r="O65" s="3">
        <f t="shared" si="37"/>
        <v>110</v>
      </c>
      <c r="P65" s="3">
        <f t="shared" si="38"/>
        <v>96</v>
      </c>
      <c r="Q65" s="3" t="str">
        <f t="shared" si="39"/>
        <v>HW</v>
      </c>
      <c r="R65" s="3" t="str">
        <f t="shared" si="40"/>
        <v>HL</v>
      </c>
      <c r="S65" s="3" t="str">
        <f t="shared" si="41"/>
        <v>HW</v>
      </c>
      <c r="T65" s="3" t="str">
        <f t="shared" si="42"/>
        <v>HL</v>
      </c>
      <c r="U65" s="3" t="str">
        <f t="shared" si="43"/>
        <v>O</v>
      </c>
      <c r="V65" s="3" t="str">
        <f t="shared" si="44"/>
        <v>U</v>
      </c>
      <c r="W65" s="3" t="str">
        <f t="shared" si="45"/>
        <v>O</v>
      </c>
      <c r="X65" s="3" t="str">
        <f t="shared" si="46"/>
        <v>U</v>
      </c>
      <c r="Z65" s="3">
        <v>54.5</v>
      </c>
      <c r="AB65" s="3" t="str">
        <f t="shared" si="8"/>
        <v>UTA/LAC</v>
      </c>
      <c r="AC65" s="3">
        <f t="shared" si="35"/>
        <v>2</v>
      </c>
      <c r="AD65" s="3">
        <f t="shared" si="36"/>
        <v>2</v>
      </c>
    </row>
    <row r="66" spans="1:30" x14ac:dyDescent="0.45">
      <c r="A66" s="3">
        <v>191031</v>
      </c>
      <c r="B66" s="1">
        <v>0.47916666666666669</v>
      </c>
      <c r="C66" s="3" t="s">
        <v>51</v>
      </c>
      <c r="D66" s="3" t="s">
        <v>43</v>
      </c>
      <c r="E66" s="3">
        <v>14</v>
      </c>
      <c r="F66" s="3">
        <v>32</v>
      </c>
      <c r="G66" s="3">
        <v>21</v>
      </c>
      <c r="H66" s="3">
        <v>43</v>
      </c>
      <c r="J66" s="3">
        <v>43</v>
      </c>
      <c r="K66" s="3">
        <v>29</v>
      </c>
      <c r="L66" s="3">
        <v>23</v>
      </c>
      <c r="M66" s="3">
        <v>26</v>
      </c>
      <c r="O66" s="3">
        <f t="shared" si="37"/>
        <v>110</v>
      </c>
      <c r="P66" s="3">
        <f t="shared" si="38"/>
        <v>121</v>
      </c>
      <c r="Q66" s="3" t="str">
        <f t="shared" si="39"/>
        <v>HL</v>
      </c>
      <c r="R66" s="3" t="str">
        <f t="shared" si="40"/>
        <v>HW</v>
      </c>
      <c r="S66" s="3" t="str">
        <f t="shared" si="41"/>
        <v>HL</v>
      </c>
      <c r="T66" s="3" t="str">
        <f t="shared" si="42"/>
        <v>HW</v>
      </c>
      <c r="U66" s="3" t="str">
        <f t="shared" si="43"/>
        <v>T</v>
      </c>
      <c r="V66" s="3" t="str">
        <f t="shared" si="44"/>
        <v>O</v>
      </c>
      <c r="W66" s="3" t="str">
        <f t="shared" si="45"/>
        <v>U</v>
      </c>
      <c r="X66" s="3" t="str">
        <f t="shared" si="46"/>
        <v>O</v>
      </c>
      <c r="Z66" s="3">
        <v>57</v>
      </c>
      <c r="AB66" s="3" t="str">
        <f t="shared" si="8"/>
        <v>GS/PHO</v>
      </c>
      <c r="AC66" s="3">
        <f t="shared" si="35"/>
        <v>2</v>
      </c>
      <c r="AD66" s="3">
        <f t="shared" si="36"/>
        <v>1</v>
      </c>
    </row>
    <row r="67" spans="1:30" x14ac:dyDescent="0.45">
      <c r="A67" s="3">
        <v>191101</v>
      </c>
      <c r="B67" s="1">
        <v>0.33333333333333331</v>
      </c>
      <c r="C67" s="3" t="s">
        <v>122</v>
      </c>
      <c r="D67" s="3" t="s">
        <v>123</v>
      </c>
      <c r="E67" s="3">
        <v>26</v>
      </c>
      <c r="F67" s="3">
        <v>20</v>
      </c>
      <c r="G67" s="3">
        <v>29</v>
      </c>
      <c r="H67" s="3">
        <v>22</v>
      </c>
      <c r="J67" s="3">
        <v>30</v>
      </c>
      <c r="K67" s="3">
        <v>22</v>
      </c>
      <c r="L67" s="3">
        <v>33</v>
      </c>
      <c r="M67" s="3">
        <v>21</v>
      </c>
      <c r="O67" s="3">
        <f t="shared" si="37"/>
        <v>97</v>
      </c>
      <c r="P67" s="3">
        <f t="shared" si="38"/>
        <v>106</v>
      </c>
      <c r="Q67" s="3" t="str">
        <f t="shared" si="39"/>
        <v>HL</v>
      </c>
      <c r="R67" s="3" t="str">
        <f t="shared" si="40"/>
        <v>HL</v>
      </c>
      <c r="S67" s="3" t="str">
        <f t="shared" si="41"/>
        <v>HL</v>
      </c>
      <c r="T67" s="3" t="str">
        <f t="shared" si="42"/>
        <v>HW</v>
      </c>
      <c r="U67" s="3" t="str">
        <f t="shared" si="43"/>
        <v>O</v>
      </c>
      <c r="V67" s="3" t="str">
        <f t="shared" si="44"/>
        <v>U</v>
      </c>
      <c r="W67" s="3" t="str">
        <f t="shared" si="45"/>
        <v>O</v>
      </c>
      <c r="X67" s="3" t="str">
        <f t="shared" si="46"/>
        <v>U</v>
      </c>
      <c r="Z67" s="3">
        <v>55.5</v>
      </c>
      <c r="AB67" s="3" t="str">
        <f t="shared" si="8"/>
        <v>ATL/MIA</v>
      </c>
      <c r="AC67" s="3">
        <f t="shared" si="35"/>
        <v>2</v>
      </c>
      <c r="AD67" s="3">
        <f t="shared" si="36"/>
        <v>2</v>
      </c>
    </row>
    <row r="68" spans="1:30" x14ac:dyDescent="0.45">
      <c r="A68" s="3">
        <v>191101</v>
      </c>
      <c r="B68" s="1">
        <v>0.4375</v>
      </c>
      <c r="C68" s="3" t="s">
        <v>124</v>
      </c>
      <c r="D68" s="3" t="s">
        <v>125</v>
      </c>
      <c r="E68" s="3">
        <v>32</v>
      </c>
      <c r="F68" s="3">
        <v>24</v>
      </c>
      <c r="G68" s="3">
        <v>30</v>
      </c>
      <c r="H68" s="3">
        <v>36</v>
      </c>
      <c r="J68" s="3">
        <v>30</v>
      </c>
      <c r="K68" s="3">
        <v>22</v>
      </c>
      <c r="L68" s="3">
        <v>23</v>
      </c>
      <c r="M68" s="3">
        <v>32</v>
      </c>
      <c r="O68" s="3">
        <f t="shared" si="37"/>
        <v>122</v>
      </c>
      <c r="P68" s="3">
        <f t="shared" si="38"/>
        <v>107</v>
      </c>
      <c r="Q68" s="3" t="str">
        <f t="shared" si="39"/>
        <v>HW</v>
      </c>
      <c r="R68" s="3" t="str">
        <f t="shared" si="40"/>
        <v>HW</v>
      </c>
      <c r="S68" s="3" t="str">
        <f t="shared" si="41"/>
        <v>HW</v>
      </c>
      <c r="T68" s="3" t="str">
        <f t="shared" si="42"/>
        <v>HW</v>
      </c>
      <c r="U68" s="3" t="str">
        <f t="shared" si="43"/>
        <v>O</v>
      </c>
      <c r="V68" s="3" t="str">
        <f t="shared" si="44"/>
        <v>U</v>
      </c>
      <c r="W68" s="3" t="str">
        <f t="shared" si="45"/>
        <v>U</v>
      </c>
      <c r="X68" s="3" t="str">
        <f t="shared" si="46"/>
        <v>O</v>
      </c>
      <c r="Z68" s="3">
        <v>57.5</v>
      </c>
      <c r="AB68" s="3" t="str">
        <f t="shared" ref="AB68:AB116" si="47">C68&amp;"/"&amp;D68</f>
        <v>NO/DEN</v>
      </c>
      <c r="AC68" s="3">
        <f t="shared" si="35"/>
        <v>2</v>
      </c>
      <c r="AD68" s="3">
        <f t="shared" si="36"/>
        <v>2</v>
      </c>
    </row>
    <row r="69" spans="1:30" x14ac:dyDescent="0.45">
      <c r="A69" s="3">
        <v>191101</v>
      </c>
      <c r="B69" s="1">
        <v>0.47916666666666669</v>
      </c>
      <c r="C69" s="3" t="s">
        <v>126</v>
      </c>
      <c r="D69" s="3" t="s">
        <v>127</v>
      </c>
      <c r="E69" s="3">
        <v>23</v>
      </c>
      <c r="F69" s="3">
        <v>27</v>
      </c>
      <c r="G69" s="3">
        <v>30</v>
      </c>
      <c r="H69" s="3">
        <v>23</v>
      </c>
      <c r="J69" s="3">
        <v>24</v>
      </c>
      <c r="K69" s="3">
        <v>24</v>
      </c>
      <c r="L69" s="3">
        <v>27</v>
      </c>
      <c r="M69" s="3">
        <v>22</v>
      </c>
      <c r="O69" s="3">
        <f t="shared" si="37"/>
        <v>103</v>
      </c>
      <c r="P69" s="3">
        <f t="shared" si="38"/>
        <v>97</v>
      </c>
      <c r="Q69" s="3" t="str">
        <f t="shared" si="39"/>
        <v>HL</v>
      </c>
      <c r="R69" s="3" t="str">
        <f t="shared" si="40"/>
        <v>HW</v>
      </c>
      <c r="S69" s="3" t="str">
        <f t="shared" si="41"/>
        <v>HW</v>
      </c>
      <c r="T69" s="3" t="str">
        <f t="shared" si="42"/>
        <v>HW</v>
      </c>
      <c r="U69" s="3" t="str">
        <f t="shared" si="43"/>
        <v>U</v>
      </c>
      <c r="V69" s="3" t="str">
        <f t="shared" si="44"/>
        <v>U</v>
      </c>
      <c r="W69" s="3" t="str">
        <f t="shared" si="45"/>
        <v>O</v>
      </c>
      <c r="X69" s="3" t="str">
        <f t="shared" si="46"/>
        <v>U</v>
      </c>
      <c r="Z69" s="3">
        <v>56.5</v>
      </c>
      <c r="AB69" s="3" t="str">
        <f t="shared" si="47"/>
        <v>LAC/SAS</v>
      </c>
      <c r="AC69" s="3">
        <f t="shared" si="35"/>
        <v>1</v>
      </c>
      <c r="AD69" s="3">
        <f t="shared" si="36"/>
        <v>3</v>
      </c>
    </row>
    <row r="70" spans="1:30" x14ac:dyDescent="0.45">
      <c r="A70" s="3">
        <v>191102</v>
      </c>
      <c r="B70" s="1">
        <v>0.33333333333333331</v>
      </c>
      <c r="C70" s="3" t="s">
        <v>128</v>
      </c>
      <c r="D70" s="3" t="s">
        <v>129</v>
      </c>
      <c r="E70" s="3">
        <v>19</v>
      </c>
      <c r="F70" s="3">
        <v>23</v>
      </c>
      <c r="G70" s="3">
        <v>26</v>
      </c>
      <c r="H70" s="3">
        <v>34</v>
      </c>
      <c r="J70" s="3">
        <v>26</v>
      </c>
      <c r="K70" s="3">
        <v>11</v>
      </c>
      <c r="L70" s="3">
        <v>24</v>
      </c>
      <c r="M70" s="3">
        <v>34</v>
      </c>
      <c r="O70" s="3">
        <f t="shared" si="37"/>
        <v>102</v>
      </c>
      <c r="P70" s="3">
        <f t="shared" si="38"/>
        <v>95</v>
      </c>
      <c r="Q70" s="3" t="str">
        <f t="shared" si="39"/>
        <v>HL</v>
      </c>
      <c r="R70" s="3" t="str">
        <f t="shared" si="40"/>
        <v>HW</v>
      </c>
      <c r="S70" s="3" t="str">
        <f t="shared" si="41"/>
        <v>HW</v>
      </c>
      <c r="T70" s="3" t="str">
        <f t="shared" si="42"/>
        <v>TT</v>
      </c>
      <c r="U70" s="3" t="str">
        <f t="shared" si="43"/>
        <v>U</v>
      </c>
      <c r="V70" s="3" t="str">
        <f t="shared" si="44"/>
        <v>U</v>
      </c>
      <c r="W70" s="3" t="str">
        <f t="shared" si="45"/>
        <v>U</v>
      </c>
      <c r="X70" s="3" t="str">
        <f t="shared" si="46"/>
        <v>O</v>
      </c>
      <c r="Z70" s="3">
        <v>52</v>
      </c>
      <c r="AB70" s="3" t="str">
        <f t="shared" si="47"/>
        <v>IND/CLE</v>
      </c>
      <c r="AC70" s="3">
        <f t="shared" si="35"/>
        <v>1</v>
      </c>
      <c r="AD70" s="3">
        <f t="shared" si="36"/>
        <v>3</v>
      </c>
    </row>
    <row r="71" spans="1:30" x14ac:dyDescent="0.45">
      <c r="A71" s="3">
        <v>191102</v>
      </c>
      <c r="B71" s="1">
        <v>0.33333333333333331</v>
      </c>
      <c r="C71" s="3" t="s">
        <v>30</v>
      </c>
      <c r="D71" s="3" t="s">
        <v>52</v>
      </c>
      <c r="E71" s="3">
        <v>24</v>
      </c>
      <c r="F71" s="3">
        <v>37</v>
      </c>
      <c r="G71" s="3">
        <v>34</v>
      </c>
      <c r="H71" s="3">
        <v>28</v>
      </c>
      <c r="J71" s="3">
        <v>33</v>
      </c>
      <c r="K71" s="3">
        <v>26</v>
      </c>
      <c r="L71" s="3">
        <v>24</v>
      </c>
      <c r="M71" s="3">
        <v>33</v>
      </c>
      <c r="O71" s="3">
        <f t="shared" si="37"/>
        <v>123</v>
      </c>
      <c r="P71" s="3">
        <f t="shared" si="38"/>
        <v>116</v>
      </c>
      <c r="Q71" s="3" t="str">
        <f t="shared" si="39"/>
        <v>HL</v>
      </c>
      <c r="R71" s="3" t="str">
        <f t="shared" si="40"/>
        <v>HW</v>
      </c>
      <c r="S71" s="3" t="str">
        <f t="shared" si="41"/>
        <v>HW</v>
      </c>
      <c r="T71" s="3" t="str">
        <f t="shared" si="42"/>
        <v>HL</v>
      </c>
      <c r="U71" s="3" t="str">
        <f t="shared" si="43"/>
        <v>U</v>
      </c>
      <c r="V71" s="3" t="str">
        <f t="shared" si="44"/>
        <v>O</v>
      </c>
      <c r="W71" s="3" t="str">
        <f t="shared" si="45"/>
        <v>U</v>
      </c>
      <c r="X71" s="3" t="str">
        <f t="shared" si="46"/>
        <v>U</v>
      </c>
      <c r="Z71" s="3">
        <v>62.5</v>
      </c>
      <c r="AB71" s="3" t="str">
        <f t="shared" si="47"/>
        <v>BKN/HOU</v>
      </c>
      <c r="AC71" s="3">
        <f t="shared" si="35"/>
        <v>1</v>
      </c>
      <c r="AD71" s="3">
        <f t="shared" si="36"/>
        <v>3</v>
      </c>
    </row>
    <row r="72" spans="1:30" x14ac:dyDescent="0.45">
      <c r="A72" s="3">
        <v>191102</v>
      </c>
      <c r="B72" s="1">
        <v>0.33333333333333331</v>
      </c>
      <c r="C72" s="3" t="s">
        <v>130</v>
      </c>
      <c r="D72" s="3" t="s">
        <v>131</v>
      </c>
      <c r="E72" s="3">
        <v>27</v>
      </c>
      <c r="F72" s="3">
        <v>14</v>
      </c>
      <c r="G72" s="3">
        <v>30</v>
      </c>
      <c r="H72" s="3">
        <v>20</v>
      </c>
      <c r="J72" s="3">
        <v>31</v>
      </c>
      <c r="K72" s="3">
        <v>31</v>
      </c>
      <c r="L72" s="3">
        <v>26</v>
      </c>
      <c r="M72" s="3">
        <v>35</v>
      </c>
      <c r="O72" s="3">
        <f t="shared" si="37"/>
        <v>91</v>
      </c>
      <c r="P72" s="3">
        <f t="shared" si="38"/>
        <v>123</v>
      </c>
      <c r="Q72" s="3" t="str">
        <f t="shared" si="39"/>
        <v>HL</v>
      </c>
      <c r="R72" s="3" t="str">
        <f t="shared" si="40"/>
        <v>HL</v>
      </c>
      <c r="S72" s="3" t="str">
        <f t="shared" si="41"/>
        <v>HW</v>
      </c>
      <c r="T72" s="3" t="str">
        <f t="shared" si="42"/>
        <v>HL</v>
      </c>
      <c r="U72" s="3" t="str">
        <f t="shared" si="43"/>
        <v>O</v>
      </c>
      <c r="V72" s="3" t="str">
        <f t="shared" si="44"/>
        <v>U</v>
      </c>
      <c r="W72" s="3" t="str">
        <f t="shared" si="45"/>
        <v>O</v>
      </c>
      <c r="X72" s="3" t="str">
        <f t="shared" si="46"/>
        <v>O</v>
      </c>
      <c r="Z72" s="3">
        <v>52</v>
      </c>
      <c r="AB72" s="3" t="str">
        <f t="shared" si="47"/>
        <v>ORL/MIL</v>
      </c>
      <c r="AC72" s="3">
        <f t="shared" si="35"/>
        <v>3</v>
      </c>
      <c r="AD72" s="3">
        <f t="shared" si="36"/>
        <v>1</v>
      </c>
    </row>
    <row r="73" spans="1:30" x14ac:dyDescent="0.45">
      <c r="A73" s="3">
        <v>191102</v>
      </c>
      <c r="B73" s="1">
        <v>0.35416666666666669</v>
      </c>
      <c r="C73" s="3" t="s">
        <v>132</v>
      </c>
      <c r="D73" s="3" t="s">
        <v>133</v>
      </c>
      <c r="E73" s="3">
        <v>22</v>
      </c>
      <c r="F73" s="3">
        <v>27</v>
      </c>
      <c r="G73" s="3">
        <v>26</v>
      </c>
      <c r="H73" s="3">
        <v>29</v>
      </c>
      <c r="J73" s="3">
        <v>23</v>
      </c>
      <c r="K73" s="3">
        <v>27</v>
      </c>
      <c r="L73" s="3">
        <v>24</v>
      </c>
      <c r="M73" s="3">
        <v>28</v>
      </c>
      <c r="O73" s="3">
        <f t="shared" si="37"/>
        <v>104</v>
      </c>
      <c r="P73" s="3">
        <f t="shared" si="38"/>
        <v>102</v>
      </c>
      <c r="Q73" s="3" t="str">
        <f t="shared" si="39"/>
        <v>HL</v>
      </c>
      <c r="R73" s="3" t="str">
        <f t="shared" si="40"/>
        <v>TT</v>
      </c>
      <c r="S73" s="3" t="str">
        <f t="shared" si="41"/>
        <v>HW</v>
      </c>
      <c r="T73" s="3" t="str">
        <f t="shared" si="42"/>
        <v>HW</v>
      </c>
      <c r="U73" s="3" t="str">
        <f t="shared" si="43"/>
        <v>U</v>
      </c>
      <c r="V73" s="3" t="str">
        <f t="shared" si="44"/>
        <v>T</v>
      </c>
      <c r="W73" s="3" t="str">
        <f t="shared" si="45"/>
        <v>U</v>
      </c>
      <c r="X73" s="3" t="str">
        <f t="shared" si="46"/>
        <v>O</v>
      </c>
      <c r="Z73" s="3">
        <v>54</v>
      </c>
      <c r="AB73" s="3" t="str">
        <f t="shared" si="47"/>
        <v>BOS/NYK</v>
      </c>
      <c r="AC73" s="3">
        <f t="shared" si="35"/>
        <v>1</v>
      </c>
      <c r="AD73" s="3">
        <f t="shared" si="36"/>
        <v>2</v>
      </c>
    </row>
    <row r="74" spans="1:30" x14ac:dyDescent="0.45">
      <c r="A74" s="3">
        <v>191102</v>
      </c>
      <c r="B74" s="1">
        <v>0.375</v>
      </c>
      <c r="C74" s="3" t="s">
        <v>134</v>
      </c>
      <c r="D74" s="3" t="s">
        <v>135</v>
      </c>
      <c r="E74" s="3">
        <v>30</v>
      </c>
      <c r="F74" s="3">
        <v>27</v>
      </c>
      <c r="G74" s="3">
        <v>29</v>
      </c>
      <c r="H74" s="3">
        <v>26</v>
      </c>
      <c r="J74" s="3">
        <v>23</v>
      </c>
      <c r="K74" s="3">
        <v>29</v>
      </c>
      <c r="L74" s="3">
        <v>28</v>
      </c>
      <c r="M74" s="3">
        <v>26</v>
      </c>
      <c r="O74" s="3">
        <f t="shared" si="37"/>
        <v>112</v>
      </c>
      <c r="P74" s="3">
        <f t="shared" si="38"/>
        <v>106</v>
      </c>
      <c r="Q74" s="3" t="str">
        <f t="shared" si="39"/>
        <v>HW</v>
      </c>
      <c r="R74" s="3" t="str">
        <f t="shared" si="40"/>
        <v>HL</v>
      </c>
      <c r="S74" s="3" t="str">
        <f t="shared" si="41"/>
        <v>HW</v>
      </c>
      <c r="T74" s="3" t="str">
        <f t="shared" si="42"/>
        <v>TT</v>
      </c>
      <c r="U74" s="3" t="str">
        <f t="shared" si="43"/>
        <v>U</v>
      </c>
      <c r="V74" s="3" t="str">
        <f t="shared" si="44"/>
        <v>O</v>
      </c>
      <c r="W74" s="3" t="str">
        <f t="shared" si="45"/>
        <v>O</v>
      </c>
      <c r="X74" s="3" t="str">
        <f t="shared" si="46"/>
        <v>U</v>
      </c>
      <c r="Z74" s="3">
        <v>55.5</v>
      </c>
      <c r="AB74" s="3" t="str">
        <f t="shared" si="47"/>
        <v>CHI/DET</v>
      </c>
      <c r="AC74" s="3">
        <f t="shared" si="35"/>
        <v>2</v>
      </c>
      <c r="AD74" s="3">
        <f t="shared" si="36"/>
        <v>2</v>
      </c>
    </row>
    <row r="75" spans="1:30" x14ac:dyDescent="0.45">
      <c r="A75" s="3">
        <v>191102</v>
      </c>
      <c r="B75" s="1">
        <v>0.4375</v>
      </c>
      <c r="C75" s="3" t="s">
        <v>136</v>
      </c>
      <c r="D75" s="3" t="s">
        <v>137</v>
      </c>
      <c r="E75" s="3">
        <v>25</v>
      </c>
      <c r="F75" s="3">
        <v>33</v>
      </c>
      <c r="G75" s="3">
        <v>27</v>
      </c>
      <c r="H75" s="3">
        <v>18</v>
      </c>
      <c r="I75" s="3">
        <v>7</v>
      </c>
      <c r="J75" s="3">
        <v>20</v>
      </c>
      <c r="K75" s="3">
        <v>28</v>
      </c>
      <c r="L75" s="3">
        <v>28</v>
      </c>
      <c r="M75" s="3">
        <v>27</v>
      </c>
      <c r="O75" s="3">
        <f t="shared" si="37"/>
        <v>110</v>
      </c>
      <c r="P75" s="3">
        <f t="shared" si="38"/>
        <v>103</v>
      </c>
      <c r="Q75" s="3" t="str">
        <f t="shared" si="39"/>
        <v>HW</v>
      </c>
      <c r="R75" s="3" t="str">
        <f t="shared" si="40"/>
        <v>HW</v>
      </c>
      <c r="S75" s="3" t="str">
        <f t="shared" si="41"/>
        <v>HL</v>
      </c>
      <c r="T75" s="3" t="str">
        <f t="shared" si="42"/>
        <v>HL</v>
      </c>
      <c r="U75" s="3" t="str">
        <f t="shared" si="43"/>
        <v>U</v>
      </c>
      <c r="V75" s="3" t="str">
        <f t="shared" si="44"/>
        <v>O</v>
      </c>
      <c r="W75" s="3" t="str">
        <f t="shared" si="45"/>
        <v>U</v>
      </c>
      <c r="X75" s="3" t="str">
        <f t="shared" si="46"/>
        <v>U</v>
      </c>
      <c r="Z75" s="3">
        <v>56</v>
      </c>
      <c r="AB75" s="3" t="str">
        <f t="shared" si="47"/>
        <v>DAL/LAL</v>
      </c>
      <c r="AC75" s="3">
        <f t="shared" si="35"/>
        <v>1</v>
      </c>
      <c r="AD75" s="3">
        <f t="shared" si="36"/>
        <v>3</v>
      </c>
    </row>
    <row r="76" spans="1:30" x14ac:dyDescent="0.45">
      <c r="A76" s="3">
        <v>191102</v>
      </c>
      <c r="B76" s="1">
        <v>0.45833333333333331</v>
      </c>
      <c r="C76" s="3" t="s">
        <v>138</v>
      </c>
      <c r="D76" s="3" t="s">
        <v>139</v>
      </c>
      <c r="E76" s="3">
        <v>28</v>
      </c>
      <c r="F76" s="3">
        <v>23</v>
      </c>
      <c r="G76" s="3">
        <v>30</v>
      </c>
      <c r="H76" s="3">
        <v>21</v>
      </c>
      <c r="J76" s="3">
        <v>18</v>
      </c>
      <c r="K76" s="3">
        <v>30</v>
      </c>
      <c r="L76" s="3">
        <v>32</v>
      </c>
      <c r="M76" s="3">
        <v>21</v>
      </c>
      <c r="O76" s="3">
        <f t="shared" si="37"/>
        <v>102</v>
      </c>
      <c r="P76" s="3">
        <f t="shared" si="38"/>
        <v>101</v>
      </c>
      <c r="Q76" s="3" t="str">
        <f t="shared" si="39"/>
        <v>HW</v>
      </c>
      <c r="R76" s="3" t="str">
        <f t="shared" si="40"/>
        <v>HL</v>
      </c>
      <c r="S76" s="3" t="str">
        <f t="shared" si="41"/>
        <v>HL</v>
      </c>
      <c r="T76" s="3" t="str">
        <f t="shared" si="42"/>
        <v>TT</v>
      </c>
      <c r="U76" s="3" t="str">
        <f t="shared" si="43"/>
        <v>U</v>
      </c>
      <c r="V76" s="3" t="str">
        <f t="shared" si="44"/>
        <v>O</v>
      </c>
      <c r="W76" s="3" t="str">
        <f t="shared" si="45"/>
        <v>O</v>
      </c>
      <c r="X76" s="3" t="str">
        <f t="shared" si="46"/>
        <v>U</v>
      </c>
      <c r="Z76" s="3">
        <v>52</v>
      </c>
      <c r="AB76" s="3" t="str">
        <f t="shared" si="47"/>
        <v>SAC/UTA</v>
      </c>
      <c r="AC76" s="3">
        <f t="shared" si="35"/>
        <v>2</v>
      </c>
      <c r="AD76" s="3">
        <f t="shared" si="36"/>
        <v>2</v>
      </c>
    </row>
    <row r="77" spans="1:30" x14ac:dyDescent="0.45">
      <c r="A77" s="3">
        <v>191102</v>
      </c>
      <c r="B77" s="1">
        <v>0.47916666666666669</v>
      </c>
      <c r="C77" s="3" t="s">
        <v>140</v>
      </c>
      <c r="D77" s="3" t="s">
        <v>127</v>
      </c>
      <c r="E77" s="3">
        <v>28</v>
      </c>
      <c r="F77" s="3">
        <v>27</v>
      </c>
      <c r="G77" s="3">
        <v>31</v>
      </c>
      <c r="H77" s="3">
        <v>24</v>
      </c>
      <c r="J77" s="3">
        <v>29</v>
      </c>
      <c r="K77" s="3">
        <v>28</v>
      </c>
      <c r="L77" s="3">
        <v>40</v>
      </c>
      <c r="M77" s="3">
        <v>30</v>
      </c>
      <c r="O77" s="3">
        <f t="shared" si="37"/>
        <v>110</v>
      </c>
      <c r="P77" s="3">
        <f t="shared" si="38"/>
        <v>127</v>
      </c>
      <c r="Q77" s="3" t="str">
        <f t="shared" si="39"/>
        <v>HL</v>
      </c>
      <c r="R77" s="3" t="str">
        <f t="shared" si="40"/>
        <v>HL</v>
      </c>
      <c r="S77" s="3" t="str">
        <f t="shared" si="41"/>
        <v>HL</v>
      </c>
      <c r="T77" s="3" t="str">
        <f t="shared" si="42"/>
        <v>HL</v>
      </c>
      <c r="U77" s="3" t="str">
        <f t="shared" si="43"/>
        <v>O</v>
      </c>
      <c r="V77" s="3" t="str">
        <f t="shared" si="44"/>
        <v>O</v>
      </c>
      <c r="W77" s="3" t="str">
        <f t="shared" si="45"/>
        <v>O</v>
      </c>
      <c r="X77" s="3" t="str">
        <f t="shared" si="46"/>
        <v>U</v>
      </c>
      <c r="Z77" s="3">
        <v>54.5</v>
      </c>
      <c r="AB77" s="3" t="str">
        <f t="shared" si="47"/>
        <v>GS/SAS</v>
      </c>
      <c r="AC77" s="3">
        <f t="shared" si="35"/>
        <v>3</v>
      </c>
      <c r="AD77" s="3">
        <f t="shared" si="36"/>
        <v>1</v>
      </c>
    </row>
    <row r="78" spans="1:30" x14ac:dyDescent="0.45">
      <c r="A78" s="3">
        <v>191103</v>
      </c>
      <c r="B78" s="1">
        <v>0.25</v>
      </c>
      <c r="C78" s="3" t="s">
        <v>141</v>
      </c>
      <c r="D78" s="3" t="s">
        <v>124</v>
      </c>
      <c r="E78" s="3">
        <v>33</v>
      </c>
      <c r="F78" s="3">
        <v>32</v>
      </c>
      <c r="G78" s="3">
        <v>29</v>
      </c>
      <c r="H78" s="3">
        <v>21</v>
      </c>
      <c r="J78" s="3">
        <v>26</v>
      </c>
      <c r="K78" s="3">
        <v>34</v>
      </c>
      <c r="L78" s="3">
        <v>26</v>
      </c>
      <c r="M78" s="3">
        <v>18</v>
      </c>
      <c r="O78" s="3">
        <f t="shared" si="37"/>
        <v>115</v>
      </c>
      <c r="P78" s="3">
        <f t="shared" si="38"/>
        <v>104</v>
      </c>
      <c r="Q78" s="3" t="str">
        <f t="shared" si="39"/>
        <v>HW</v>
      </c>
      <c r="R78" s="3" t="str">
        <f t="shared" si="40"/>
        <v>HL</v>
      </c>
      <c r="S78" s="3" t="str">
        <f t="shared" si="41"/>
        <v>HW</v>
      </c>
      <c r="T78" s="3" t="str">
        <f t="shared" si="42"/>
        <v>HW</v>
      </c>
      <c r="U78" s="3" t="str">
        <f t="shared" si="43"/>
        <v>O</v>
      </c>
      <c r="V78" s="3" t="str">
        <f t="shared" si="44"/>
        <v>O</v>
      </c>
      <c r="W78" s="3" t="str">
        <f t="shared" si="45"/>
        <v>U</v>
      </c>
      <c r="X78" s="3" t="str">
        <f t="shared" si="46"/>
        <v>U</v>
      </c>
      <c r="Z78" s="3">
        <v>57.5</v>
      </c>
      <c r="AB78" s="3" t="str">
        <f t="shared" si="47"/>
        <v>OKC/NO</v>
      </c>
      <c r="AC78" s="3">
        <f t="shared" si="35"/>
        <v>2</v>
      </c>
      <c r="AD78" s="3">
        <f t="shared" si="36"/>
        <v>2</v>
      </c>
    </row>
    <row r="79" spans="1:30" x14ac:dyDescent="0.45">
      <c r="A79" s="3">
        <v>191103</v>
      </c>
      <c r="B79" s="1">
        <v>0.33333333333333331</v>
      </c>
      <c r="C79" s="3" t="s">
        <v>135</v>
      </c>
      <c r="D79" s="3" t="s">
        <v>142</v>
      </c>
      <c r="E79" s="3">
        <v>33</v>
      </c>
      <c r="F79" s="3">
        <v>13</v>
      </c>
      <c r="G79" s="3">
        <v>32</v>
      </c>
      <c r="H79" s="3">
        <v>35</v>
      </c>
      <c r="J79" s="3">
        <v>26</v>
      </c>
      <c r="K79" s="3">
        <v>28</v>
      </c>
      <c r="L79" s="3">
        <v>18</v>
      </c>
      <c r="M79" s="3">
        <v>37</v>
      </c>
      <c r="O79" s="3">
        <f t="shared" si="37"/>
        <v>113</v>
      </c>
      <c r="P79" s="3">
        <f t="shared" si="38"/>
        <v>109</v>
      </c>
      <c r="Q79" s="3" t="str">
        <f t="shared" si="39"/>
        <v>HW</v>
      </c>
      <c r="R79" s="3" t="str">
        <f t="shared" si="40"/>
        <v>HL</v>
      </c>
      <c r="S79" s="3" t="str">
        <f t="shared" si="41"/>
        <v>HW</v>
      </c>
      <c r="T79" s="3" t="str">
        <f t="shared" si="42"/>
        <v>HL</v>
      </c>
      <c r="U79" s="3" t="str">
        <f t="shared" si="43"/>
        <v>O</v>
      </c>
      <c r="V79" s="3" t="str">
        <f t="shared" si="44"/>
        <v>U</v>
      </c>
      <c r="W79" s="3" t="str">
        <f t="shared" si="45"/>
        <v>U</v>
      </c>
      <c r="X79" s="3" t="str">
        <f t="shared" si="46"/>
        <v>O</v>
      </c>
      <c r="Z79" s="3">
        <v>54.5</v>
      </c>
      <c r="AB79" s="3" t="str">
        <f t="shared" si="47"/>
        <v>DET/BKN</v>
      </c>
      <c r="AC79" s="3">
        <f t="shared" si="35"/>
        <v>2</v>
      </c>
      <c r="AD79" s="3">
        <f t="shared" si="36"/>
        <v>2</v>
      </c>
    </row>
    <row r="80" spans="1:30" x14ac:dyDescent="0.45">
      <c r="A80" s="3">
        <v>191103</v>
      </c>
      <c r="B80" s="1">
        <v>0.33333333333333331</v>
      </c>
      <c r="C80" s="3" t="s">
        <v>130</v>
      </c>
      <c r="D80" s="3" t="s">
        <v>125</v>
      </c>
      <c r="E80" s="3">
        <v>26</v>
      </c>
      <c r="F80" s="3">
        <v>19</v>
      </c>
      <c r="G80" s="3">
        <v>18</v>
      </c>
      <c r="H80" s="3">
        <v>24</v>
      </c>
      <c r="J80" s="3">
        <v>17</v>
      </c>
      <c r="K80" s="3">
        <v>23</v>
      </c>
      <c r="L80" s="3">
        <v>29</v>
      </c>
      <c r="M80" s="3">
        <v>22</v>
      </c>
      <c r="O80" s="3">
        <f t="shared" si="37"/>
        <v>87</v>
      </c>
      <c r="P80" s="3">
        <f t="shared" si="38"/>
        <v>91</v>
      </c>
      <c r="Q80" s="3" t="str">
        <f t="shared" si="39"/>
        <v>HW</v>
      </c>
      <c r="R80" s="3" t="str">
        <f t="shared" si="40"/>
        <v>HL</v>
      </c>
      <c r="S80" s="3" t="str">
        <f t="shared" si="41"/>
        <v>HL</v>
      </c>
      <c r="T80" s="3" t="str">
        <f t="shared" si="42"/>
        <v>HW</v>
      </c>
      <c r="U80" s="3" t="str">
        <f t="shared" si="43"/>
        <v>U</v>
      </c>
      <c r="V80" s="3" t="str">
        <f t="shared" si="44"/>
        <v>U</v>
      </c>
      <c r="W80" s="3" t="str">
        <f t="shared" si="45"/>
        <v>U</v>
      </c>
      <c r="X80" s="3" t="str">
        <f t="shared" si="46"/>
        <v>U</v>
      </c>
      <c r="Z80" s="3">
        <v>52.5</v>
      </c>
      <c r="AB80" s="3" t="str">
        <f t="shared" si="47"/>
        <v>ORL/DEN</v>
      </c>
      <c r="AC80" s="3">
        <f t="shared" si="35"/>
        <v>0</v>
      </c>
      <c r="AD80" s="3">
        <f t="shared" si="36"/>
        <v>4</v>
      </c>
    </row>
    <row r="81" spans="1:30" x14ac:dyDescent="0.45">
      <c r="A81" s="3">
        <v>191103</v>
      </c>
      <c r="B81" s="1">
        <v>0.375</v>
      </c>
      <c r="C81" s="3" t="s">
        <v>131</v>
      </c>
      <c r="D81" s="3" t="s">
        <v>143</v>
      </c>
      <c r="E81" s="3">
        <v>36</v>
      </c>
      <c r="F81" s="3">
        <v>30</v>
      </c>
      <c r="G81" s="3">
        <v>29</v>
      </c>
      <c r="H81" s="3">
        <v>20</v>
      </c>
      <c r="J81" s="3">
        <v>17</v>
      </c>
      <c r="K81" s="3">
        <v>33</v>
      </c>
      <c r="L81" s="3">
        <v>40</v>
      </c>
      <c r="M81" s="3">
        <v>15</v>
      </c>
      <c r="O81" s="3">
        <f t="shared" si="37"/>
        <v>115</v>
      </c>
      <c r="P81" s="3">
        <f t="shared" si="38"/>
        <v>105</v>
      </c>
      <c r="Q81" s="3" t="str">
        <f t="shared" si="39"/>
        <v>HW</v>
      </c>
      <c r="R81" s="3" t="str">
        <f t="shared" si="40"/>
        <v>HL</v>
      </c>
      <c r="S81" s="3" t="str">
        <f t="shared" si="41"/>
        <v>HL</v>
      </c>
      <c r="T81" s="3" t="str">
        <f t="shared" si="42"/>
        <v>HW</v>
      </c>
      <c r="U81" s="3" t="str">
        <f t="shared" si="43"/>
        <v>U</v>
      </c>
      <c r="V81" s="3" t="str">
        <f t="shared" si="44"/>
        <v>O</v>
      </c>
      <c r="W81" s="3" t="str">
        <f t="shared" si="45"/>
        <v>O</v>
      </c>
      <c r="X81" s="3" t="str">
        <f t="shared" si="46"/>
        <v>U</v>
      </c>
      <c r="Z81" s="3">
        <v>58</v>
      </c>
      <c r="AB81" s="3" t="str">
        <f t="shared" si="47"/>
        <v>MIL/TOR</v>
      </c>
      <c r="AC81" s="3">
        <f t="shared" si="35"/>
        <v>2</v>
      </c>
      <c r="AD81" s="3">
        <f t="shared" si="36"/>
        <v>2</v>
      </c>
    </row>
    <row r="82" spans="1:30" x14ac:dyDescent="0.45">
      <c r="A82" s="3">
        <v>191103</v>
      </c>
      <c r="B82" s="1">
        <v>0.375</v>
      </c>
      <c r="C82" s="3" t="s">
        <v>144</v>
      </c>
      <c r="D82" s="3" t="s">
        <v>145</v>
      </c>
      <c r="E82" s="3">
        <v>34</v>
      </c>
      <c r="F82" s="3">
        <v>22</v>
      </c>
      <c r="G82" s="3">
        <v>16</v>
      </c>
      <c r="H82" s="3">
        <v>37</v>
      </c>
      <c r="J82" s="3">
        <v>42</v>
      </c>
      <c r="K82" s="3">
        <v>28</v>
      </c>
      <c r="L82" s="3">
        <v>36</v>
      </c>
      <c r="M82" s="3">
        <v>25</v>
      </c>
      <c r="O82" s="3">
        <f t="shared" si="37"/>
        <v>109</v>
      </c>
      <c r="P82" s="3">
        <f t="shared" si="38"/>
        <v>131</v>
      </c>
      <c r="Q82" s="3" t="str">
        <f t="shared" si="39"/>
        <v>HL</v>
      </c>
      <c r="R82" s="3" t="str">
        <f t="shared" si="40"/>
        <v>HL</v>
      </c>
      <c r="S82" s="3" t="str">
        <f t="shared" si="41"/>
        <v>HL</v>
      </c>
      <c r="T82" s="3" t="str">
        <f t="shared" si="42"/>
        <v>HW</v>
      </c>
      <c r="U82" s="3" t="str">
        <f t="shared" si="43"/>
        <v>O</v>
      </c>
      <c r="V82" s="3" t="str">
        <f t="shared" si="44"/>
        <v>U</v>
      </c>
      <c r="W82" s="3" t="str">
        <f t="shared" si="45"/>
        <v>U</v>
      </c>
      <c r="X82" s="3" t="str">
        <f t="shared" si="46"/>
        <v>O</v>
      </c>
      <c r="Z82" s="3">
        <v>58.5</v>
      </c>
      <c r="AB82" s="3" t="str">
        <f t="shared" si="47"/>
        <v>WAS/MIN</v>
      </c>
      <c r="AC82" s="3">
        <f t="shared" si="35"/>
        <v>2</v>
      </c>
      <c r="AD82" s="3">
        <f t="shared" si="36"/>
        <v>2</v>
      </c>
    </row>
    <row r="83" spans="1:30" x14ac:dyDescent="0.45">
      <c r="A83" s="3">
        <v>191103</v>
      </c>
      <c r="B83" s="1">
        <v>0.375</v>
      </c>
      <c r="C83" s="3" t="s">
        <v>146</v>
      </c>
      <c r="D83" s="3" t="s">
        <v>147</v>
      </c>
      <c r="E83" s="3">
        <v>24</v>
      </c>
      <c r="F83" s="3">
        <v>23</v>
      </c>
      <c r="G83" s="3">
        <v>22</v>
      </c>
      <c r="H83" s="3">
        <v>36</v>
      </c>
      <c r="J83" s="3">
        <v>31</v>
      </c>
      <c r="K83" s="3">
        <v>14</v>
      </c>
      <c r="L83" s="3">
        <v>37</v>
      </c>
      <c r="M83" s="3">
        <v>32</v>
      </c>
      <c r="O83" s="3">
        <f t="shared" si="37"/>
        <v>105</v>
      </c>
      <c r="P83" s="3">
        <f t="shared" si="38"/>
        <v>114</v>
      </c>
      <c r="Q83" s="3" t="str">
        <f t="shared" si="39"/>
        <v>HL</v>
      </c>
      <c r="R83" s="3" t="str">
        <f t="shared" si="40"/>
        <v>HW</v>
      </c>
      <c r="S83" s="3" t="str">
        <f t="shared" si="41"/>
        <v>HL</v>
      </c>
      <c r="T83" s="3" t="str">
        <f t="shared" si="42"/>
        <v>HW</v>
      </c>
      <c r="U83" s="3" t="str">
        <f t="shared" si="43"/>
        <v>O</v>
      </c>
      <c r="V83" s="3" t="str">
        <f t="shared" si="44"/>
        <v>U</v>
      </c>
      <c r="W83" s="3" t="str">
        <f t="shared" si="45"/>
        <v>O</v>
      </c>
      <c r="X83" s="3" t="str">
        <f t="shared" si="46"/>
        <v>O</v>
      </c>
      <c r="Z83" s="3">
        <v>54</v>
      </c>
      <c r="AB83" s="3" t="str">
        <f t="shared" si="47"/>
        <v>MEM/PHO</v>
      </c>
      <c r="AC83" s="3">
        <f t="shared" si="35"/>
        <v>3</v>
      </c>
      <c r="AD83" s="3">
        <f t="shared" si="36"/>
        <v>1</v>
      </c>
    </row>
    <row r="84" spans="1:30" x14ac:dyDescent="0.45">
      <c r="A84" s="3">
        <v>191103</v>
      </c>
      <c r="B84" s="1">
        <v>0.39583333333333331</v>
      </c>
      <c r="C84" s="3" t="s">
        <v>140</v>
      </c>
      <c r="D84" s="3" t="s">
        <v>148</v>
      </c>
      <c r="E84" s="3">
        <v>30</v>
      </c>
      <c r="F84" s="3">
        <v>25</v>
      </c>
      <c r="G84" s="3">
        <v>16</v>
      </c>
      <c r="H84" s="3">
        <v>16</v>
      </c>
      <c r="J84" s="3">
        <v>25</v>
      </c>
      <c r="K84" s="3">
        <v>25</v>
      </c>
      <c r="L84" s="3">
        <v>18</v>
      </c>
      <c r="M84" s="3">
        <v>25</v>
      </c>
      <c r="O84" s="3">
        <f t="shared" si="37"/>
        <v>87</v>
      </c>
      <c r="P84" s="3">
        <f t="shared" si="38"/>
        <v>93</v>
      </c>
      <c r="Q84" s="3" t="str">
        <f t="shared" si="39"/>
        <v>HW</v>
      </c>
      <c r="R84" s="3" t="str">
        <f t="shared" si="40"/>
        <v>TT</v>
      </c>
      <c r="S84" s="3" t="str">
        <f t="shared" si="41"/>
        <v>HL</v>
      </c>
      <c r="T84" s="3" t="str">
        <f t="shared" si="42"/>
        <v>HL</v>
      </c>
      <c r="U84" s="3" t="str">
        <f t="shared" si="43"/>
        <v>U</v>
      </c>
      <c r="V84" s="3" t="str">
        <f t="shared" si="44"/>
        <v>U</v>
      </c>
      <c r="W84" s="3" t="str">
        <f t="shared" si="45"/>
        <v>U</v>
      </c>
      <c r="X84" s="3" t="str">
        <f t="shared" si="46"/>
        <v>U</v>
      </c>
      <c r="Z84" s="3">
        <v>56.5</v>
      </c>
      <c r="AB84" s="3" t="str">
        <f t="shared" si="47"/>
        <v>GS/CHA</v>
      </c>
      <c r="AC84" s="3">
        <f t="shared" si="35"/>
        <v>0</v>
      </c>
      <c r="AD84" s="3">
        <f t="shared" si="36"/>
        <v>4</v>
      </c>
    </row>
    <row r="85" spans="1:30" x14ac:dyDescent="0.45">
      <c r="A85" s="3">
        <v>191103</v>
      </c>
      <c r="B85" s="1">
        <v>0.45833333333333331</v>
      </c>
      <c r="C85" s="3" t="s">
        <v>149</v>
      </c>
      <c r="D85" s="3" t="s">
        <v>150</v>
      </c>
      <c r="E85" s="3">
        <v>32</v>
      </c>
      <c r="F85" s="3">
        <v>36</v>
      </c>
      <c r="G85" s="3">
        <v>34</v>
      </c>
      <c r="H85" s="3">
        <v>26</v>
      </c>
      <c r="J85" s="3">
        <v>27</v>
      </c>
      <c r="K85" s="3">
        <v>30</v>
      </c>
      <c r="L85" s="3">
        <v>35</v>
      </c>
      <c r="M85" s="3">
        <v>37</v>
      </c>
      <c r="O85" s="3">
        <f t="shared" si="37"/>
        <v>128</v>
      </c>
      <c r="P85" s="3">
        <f t="shared" si="38"/>
        <v>129</v>
      </c>
      <c r="Q85" s="3" t="str">
        <f t="shared" si="39"/>
        <v>HW</v>
      </c>
      <c r="R85" s="3" t="str">
        <f t="shared" si="40"/>
        <v>HW</v>
      </c>
      <c r="S85" s="3" t="str">
        <f t="shared" si="41"/>
        <v>HL</v>
      </c>
      <c r="T85" s="3" t="str">
        <f t="shared" si="42"/>
        <v>HL</v>
      </c>
      <c r="U85" s="3" t="str">
        <f t="shared" si="43"/>
        <v>O</v>
      </c>
      <c r="V85" s="3" t="str">
        <f t="shared" si="44"/>
        <v>O</v>
      </c>
      <c r="W85" s="3" t="str">
        <f t="shared" si="45"/>
        <v>O</v>
      </c>
      <c r="X85" s="3" t="str">
        <f t="shared" si="46"/>
        <v>O</v>
      </c>
      <c r="Z85" s="3">
        <v>57.5</v>
      </c>
      <c r="AB85" s="3" t="str">
        <f t="shared" si="47"/>
        <v>POR/PHI</v>
      </c>
      <c r="AC85" s="3">
        <f t="shared" si="35"/>
        <v>4</v>
      </c>
      <c r="AD85" s="3">
        <f t="shared" si="36"/>
        <v>0</v>
      </c>
    </row>
    <row r="86" spans="1:30" x14ac:dyDescent="0.45">
      <c r="A86" s="3">
        <v>191104</v>
      </c>
      <c r="B86" s="1">
        <v>0.29166666666666669</v>
      </c>
      <c r="C86" s="3" t="s">
        <v>128</v>
      </c>
      <c r="D86" s="3" t="s">
        <v>134</v>
      </c>
      <c r="E86" s="3">
        <v>24</v>
      </c>
      <c r="F86" s="3">
        <v>31</v>
      </c>
      <c r="G86" s="3">
        <v>31</v>
      </c>
      <c r="H86" s="3">
        <v>22</v>
      </c>
      <c r="J86" s="3">
        <v>18</v>
      </c>
      <c r="K86" s="3">
        <v>24</v>
      </c>
      <c r="L86" s="3">
        <v>32</v>
      </c>
      <c r="M86" s="3">
        <v>21</v>
      </c>
      <c r="O86" s="3">
        <f t="shared" si="37"/>
        <v>108</v>
      </c>
      <c r="P86" s="3">
        <f t="shared" si="38"/>
        <v>95</v>
      </c>
      <c r="Q86" s="3" t="str">
        <f t="shared" si="39"/>
        <v>HW</v>
      </c>
      <c r="R86" s="3" t="str">
        <f t="shared" si="40"/>
        <v>HW</v>
      </c>
      <c r="S86" s="3" t="str">
        <f t="shared" si="41"/>
        <v>HL</v>
      </c>
      <c r="T86" s="3" t="str">
        <f t="shared" si="42"/>
        <v>HW</v>
      </c>
      <c r="U86" s="3" t="str">
        <f t="shared" si="43"/>
        <v>U</v>
      </c>
      <c r="V86" s="3" t="str">
        <f t="shared" si="44"/>
        <v>O</v>
      </c>
      <c r="W86" s="3" t="str">
        <f t="shared" si="45"/>
        <v>O</v>
      </c>
      <c r="X86" s="3" t="str">
        <f t="shared" si="46"/>
        <v>U</v>
      </c>
      <c r="Z86" s="3">
        <v>52.5</v>
      </c>
      <c r="AB86" s="3" t="str">
        <f t="shared" si="47"/>
        <v>IND/CHI</v>
      </c>
      <c r="AC86" s="3">
        <f t="shared" si="35"/>
        <v>2</v>
      </c>
      <c r="AD86" s="3">
        <f t="shared" si="36"/>
        <v>2</v>
      </c>
    </row>
    <row r="87" spans="1:30" x14ac:dyDescent="0.45">
      <c r="A87" s="3">
        <v>191104</v>
      </c>
      <c r="B87" s="1">
        <v>0.33333333333333331</v>
      </c>
      <c r="C87" s="3" t="s">
        <v>123</v>
      </c>
      <c r="D87" s="3" t="s">
        <v>151</v>
      </c>
      <c r="E87" s="3">
        <v>46</v>
      </c>
      <c r="F87" s="3">
        <v>25</v>
      </c>
      <c r="G87" s="3">
        <v>28</v>
      </c>
      <c r="H87" s="3">
        <v>30</v>
      </c>
      <c r="J87" s="3">
        <v>14</v>
      </c>
      <c r="K87" s="3">
        <v>32</v>
      </c>
      <c r="L87" s="3">
        <v>25</v>
      </c>
      <c r="M87" s="3">
        <v>29</v>
      </c>
      <c r="O87" s="3">
        <f t="shared" si="37"/>
        <v>129</v>
      </c>
      <c r="P87" s="3">
        <f t="shared" si="38"/>
        <v>100</v>
      </c>
      <c r="Q87" s="3" t="str">
        <f t="shared" si="39"/>
        <v>HW</v>
      </c>
      <c r="R87" s="3" t="str">
        <f t="shared" si="40"/>
        <v>HL</v>
      </c>
      <c r="S87" s="3" t="str">
        <f t="shared" si="41"/>
        <v>HW</v>
      </c>
      <c r="T87" s="3" t="str">
        <f t="shared" si="42"/>
        <v>HW</v>
      </c>
      <c r="U87" s="3" t="str">
        <f t="shared" si="43"/>
        <v>O</v>
      </c>
      <c r="V87" s="3" t="str">
        <f t="shared" si="44"/>
        <v>U</v>
      </c>
      <c r="W87" s="3" t="str">
        <f t="shared" si="45"/>
        <v>U</v>
      </c>
      <c r="X87" s="3" t="str">
        <f t="shared" si="46"/>
        <v>U</v>
      </c>
      <c r="Z87" s="3">
        <v>59.5</v>
      </c>
      <c r="AB87" s="3" t="str">
        <f t="shared" si="47"/>
        <v>MIA/HOU</v>
      </c>
      <c r="AC87" s="3">
        <f t="shared" si="35"/>
        <v>1</v>
      </c>
      <c r="AD87" s="3">
        <f t="shared" si="36"/>
        <v>3</v>
      </c>
    </row>
    <row r="88" spans="1:30" x14ac:dyDescent="0.45">
      <c r="A88" s="3">
        <v>191104</v>
      </c>
      <c r="B88" s="1">
        <v>0.33333333333333331</v>
      </c>
      <c r="C88" s="3" t="s">
        <v>133</v>
      </c>
      <c r="D88" s="3" t="s">
        <v>138</v>
      </c>
      <c r="E88" s="3">
        <v>23</v>
      </c>
      <c r="F88" s="3">
        <v>18</v>
      </c>
      <c r="G88" s="3">
        <v>23</v>
      </c>
      <c r="H88" s="3">
        <v>28</v>
      </c>
      <c r="J88" s="3">
        <v>32</v>
      </c>
      <c r="K88" s="3">
        <v>29</v>
      </c>
      <c r="L88" s="3">
        <v>29</v>
      </c>
      <c r="M88" s="3">
        <v>23</v>
      </c>
      <c r="O88" s="3">
        <f t="shared" si="37"/>
        <v>92</v>
      </c>
      <c r="P88" s="3">
        <f t="shared" si="38"/>
        <v>113</v>
      </c>
      <c r="Q88" s="3" t="str">
        <f t="shared" si="39"/>
        <v>HL</v>
      </c>
      <c r="R88" s="3" t="str">
        <f t="shared" si="40"/>
        <v>HL</v>
      </c>
      <c r="S88" s="3" t="str">
        <f t="shared" si="41"/>
        <v>HL</v>
      </c>
      <c r="T88" s="3" t="str">
        <f t="shared" si="42"/>
        <v>HW</v>
      </c>
      <c r="U88" s="3" t="str">
        <f t="shared" si="43"/>
        <v>O</v>
      </c>
      <c r="V88" s="3" t="str">
        <f t="shared" si="44"/>
        <v>U</v>
      </c>
      <c r="W88" s="3" t="str">
        <f t="shared" si="45"/>
        <v>U</v>
      </c>
      <c r="X88" s="3" t="str">
        <f t="shared" si="46"/>
        <v>U</v>
      </c>
      <c r="Z88" s="3">
        <v>54</v>
      </c>
      <c r="AB88" s="3" t="str">
        <f t="shared" si="47"/>
        <v>NYK/SAC</v>
      </c>
      <c r="AC88" s="3">
        <f t="shared" si="35"/>
        <v>1</v>
      </c>
      <c r="AD88" s="3">
        <f t="shared" si="36"/>
        <v>3</v>
      </c>
    </row>
    <row r="89" spans="1:30" x14ac:dyDescent="0.45">
      <c r="A89" s="3">
        <v>191104</v>
      </c>
      <c r="B89" s="1">
        <v>0.375</v>
      </c>
      <c r="C89" s="3" t="s">
        <v>127</v>
      </c>
      <c r="D89" s="3" t="s">
        <v>137</v>
      </c>
      <c r="E89" s="3">
        <v>25</v>
      </c>
      <c r="F89" s="3">
        <v>18</v>
      </c>
      <c r="G89" s="3">
        <v>29</v>
      </c>
      <c r="H89" s="3">
        <v>24</v>
      </c>
      <c r="J89" s="3">
        <v>26</v>
      </c>
      <c r="K89" s="3">
        <v>30</v>
      </c>
      <c r="L89" s="3">
        <v>21</v>
      </c>
      <c r="M89" s="3">
        <v>26</v>
      </c>
      <c r="O89" s="3">
        <f t="shared" si="37"/>
        <v>96</v>
      </c>
      <c r="P89" s="3">
        <f t="shared" si="38"/>
        <v>103</v>
      </c>
      <c r="Q89" s="3" t="str">
        <f t="shared" si="39"/>
        <v>HL</v>
      </c>
      <c r="R89" s="3" t="str">
        <f t="shared" si="40"/>
        <v>HL</v>
      </c>
      <c r="S89" s="3" t="str">
        <f t="shared" si="41"/>
        <v>HW</v>
      </c>
      <c r="T89" s="3" t="str">
        <f t="shared" si="42"/>
        <v>HL</v>
      </c>
      <c r="U89" s="3" t="str">
        <f t="shared" si="43"/>
        <v>U</v>
      </c>
      <c r="V89" s="3" t="str">
        <f t="shared" si="44"/>
        <v>U</v>
      </c>
      <c r="W89" s="3" t="str">
        <f t="shared" si="45"/>
        <v>U</v>
      </c>
      <c r="X89" s="3" t="str">
        <f t="shared" si="46"/>
        <v>U</v>
      </c>
      <c r="Z89" s="3">
        <v>55.5</v>
      </c>
      <c r="AB89" s="3" t="str">
        <f t="shared" si="47"/>
        <v>SAS/LAL</v>
      </c>
      <c r="AC89" s="3">
        <f t="shared" si="35"/>
        <v>0</v>
      </c>
      <c r="AD89" s="3">
        <f t="shared" si="36"/>
        <v>4</v>
      </c>
    </row>
    <row r="90" spans="1:30" x14ac:dyDescent="0.45">
      <c r="A90" s="3">
        <v>191104</v>
      </c>
      <c r="B90" s="1">
        <v>0.39583333333333331</v>
      </c>
      <c r="C90" s="3" t="s">
        <v>129</v>
      </c>
      <c r="D90" s="3" t="s">
        <v>136</v>
      </c>
      <c r="E90" s="3">
        <v>28</v>
      </c>
      <c r="F90" s="3">
        <v>25</v>
      </c>
      <c r="G90" s="3">
        <v>33</v>
      </c>
      <c r="H90" s="3">
        <v>25</v>
      </c>
      <c r="J90" s="3">
        <v>31</v>
      </c>
      <c r="K90" s="3">
        <v>27</v>
      </c>
      <c r="L90" s="3">
        <v>32</v>
      </c>
      <c r="M90" s="3">
        <v>41</v>
      </c>
      <c r="O90" s="3">
        <f t="shared" si="37"/>
        <v>111</v>
      </c>
      <c r="P90" s="3">
        <f t="shared" si="38"/>
        <v>131</v>
      </c>
      <c r="Q90" s="3" t="str">
        <f t="shared" si="39"/>
        <v>HL</v>
      </c>
      <c r="R90" s="3" t="str">
        <f t="shared" si="40"/>
        <v>HL</v>
      </c>
      <c r="S90" s="3" t="str">
        <f t="shared" si="41"/>
        <v>HW</v>
      </c>
      <c r="T90" s="3" t="str">
        <f t="shared" si="42"/>
        <v>HL</v>
      </c>
      <c r="U90" s="3" t="str">
        <f t="shared" si="43"/>
        <v>O</v>
      </c>
      <c r="V90" s="3" t="str">
        <f t="shared" si="44"/>
        <v>U</v>
      </c>
      <c r="W90" s="3" t="str">
        <f t="shared" si="45"/>
        <v>O</v>
      </c>
      <c r="X90" s="3" t="str">
        <f t="shared" si="46"/>
        <v>O</v>
      </c>
      <c r="Z90" s="3">
        <v>55.5</v>
      </c>
      <c r="AB90" s="3" t="str">
        <f t="shared" si="47"/>
        <v>CLE/DAL</v>
      </c>
      <c r="AC90" s="3">
        <f t="shared" si="35"/>
        <v>3</v>
      </c>
      <c r="AD90" s="3">
        <f t="shared" si="36"/>
        <v>1</v>
      </c>
    </row>
    <row r="91" spans="1:30" x14ac:dyDescent="0.45">
      <c r="A91" s="3">
        <v>191104</v>
      </c>
      <c r="B91" s="1">
        <v>0.45833333333333331</v>
      </c>
      <c r="C91" s="3" t="s">
        <v>126</v>
      </c>
      <c r="D91" s="3" t="s">
        <v>139</v>
      </c>
      <c r="E91" s="3">
        <v>16</v>
      </c>
      <c r="F91" s="3">
        <v>23</v>
      </c>
      <c r="G91" s="3">
        <v>26</v>
      </c>
      <c r="H91" s="3">
        <v>40</v>
      </c>
      <c r="J91" s="3">
        <v>20</v>
      </c>
      <c r="K91" s="3">
        <v>21</v>
      </c>
      <c r="L91" s="3">
        <v>28</v>
      </c>
      <c r="M91" s="3">
        <v>25</v>
      </c>
      <c r="O91" s="3">
        <f t="shared" si="37"/>
        <v>105</v>
      </c>
      <c r="P91" s="3">
        <f t="shared" si="38"/>
        <v>94</v>
      </c>
      <c r="Q91" s="3" t="str">
        <f t="shared" si="39"/>
        <v>HL</v>
      </c>
      <c r="R91" s="3" t="str">
        <f t="shared" si="40"/>
        <v>HW</v>
      </c>
      <c r="S91" s="3" t="str">
        <f t="shared" si="41"/>
        <v>HL</v>
      </c>
      <c r="T91" s="3" t="str">
        <f t="shared" si="42"/>
        <v>HW</v>
      </c>
      <c r="U91" s="3" t="str">
        <f t="shared" si="43"/>
        <v>U</v>
      </c>
      <c r="V91" s="3" t="str">
        <f t="shared" si="44"/>
        <v>U</v>
      </c>
      <c r="W91" s="3" t="str">
        <f t="shared" si="45"/>
        <v>O</v>
      </c>
      <c r="X91" s="3" t="str">
        <f t="shared" si="46"/>
        <v>O</v>
      </c>
      <c r="Z91" s="3">
        <v>51.5</v>
      </c>
      <c r="AB91" s="3" t="str">
        <f t="shared" si="47"/>
        <v>LAC/UTA</v>
      </c>
      <c r="AC91" s="3">
        <f t="shared" si="35"/>
        <v>2</v>
      </c>
      <c r="AD91" s="3">
        <f t="shared" si="36"/>
        <v>2</v>
      </c>
    </row>
    <row r="92" spans="1:30" x14ac:dyDescent="0.45">
      <c r="A92" s="3">
        <v>191105</v>
      </c>
      <c r="B92" s="1">
        <v>0.375</v>
      </c>
      <c r="C92" s="3" t="s">
        <v>144</v>
      </c>
      <c r="D92" s="3" t="s">
        <v>135</v>
      </c>
      <c r="E92" s="3">
        <v>31</v>
      </c>
      <c r="F92" s="3">
        <v>32</v>
      </c>
      <c r="G92" s="3">
        <v>30</v>
      </c>
      <c r="H92" s="3">
        <v>22</v>
      </c>
      <c r="J92" s="3">
        <v>30</v>
      </c>
      <c r="K92" s="3">
        <v>31</v>
      </c>
      <c r="L92" s="3">
        <v>17</v>
      </c>
      <c r="M92" s="3">
        <v>21</v>
      </c>
      <c r="O92" s="3">
        <f t="shared" si="37"/>
        <v>115</v>
      </c>
      <c r="P92" s="3">
        <f t="shared" si="38"/>
        <v>99</v>
      </c>
      <c r="Q92" s="3" t="str">
        <f t="shared" si="39"/>
        <v>HW</v>
      </c>
      <c r="R92" s="3" t="str">
        <f t="shared" si="40"/>
        <v>HW</v>
      </c>
      <c r="S92" s="3" t="str">
        <f t="shared" si="41"/>
        <v>HW</v>
      </c>
      <c r="T92" s="3" t="str">
        <f t="shared" si="42"/>
        <v>HW</v>
      </c>
      <c r="U92" s="3" t="str">
        <f t="shared" si="43"/>
        <v>O</v>
      </c>
      <c r="V92" s="3" t="str">
        <f t="shared" si="44"/>
        <v>O</v>
      </c>
      <c r="W92" s="3" t="str">
        <f t="shared" si="45"/>
        <v>U</v>
      </c>
      <c r="X92" s="3" t="str">
        <f t="shared" si="46"/>
        <v>U</v>
      </c>
      <c r="Z92" s="3">
        <v>58</v>
      </c>
      <c r="AB92" s="3" t="str">
        <f t="shared" si="47"/>
        <v>WAS/DET</v>
      </c>
      <c r="AC92" s="3">
        <f t="shared" si="35"/>
        <v>2</v>
      </c>
      <c r="AD92" s="3">
        <f t="shared" si="36"/>
        <v>2</v>
      </c>
    </row>
    <row r="93" spans="1:30" x14ac:dyDescent="0.45">
      <c r="A93" s="3">
        <v>191105</v>
      </c>
      <c r="B93" s="1">
        <v>0.39583333333333331</v>
      </c>
      <c r="C93" s="3" t="s">
        <v>142</v>
      </c>
      <c r="D93" s="3" t="s">
        <v>124</v>
      </c>
      <c r="E93" s="3">
        <v>33</v>
      </c>
      <c r="F93" s="3">
        <v>34</v>
      </c>
      <c r="G93" s="3">
        <v>37</v>
      </c>
      <c r="H93" s="3">
        <v>31</v>
      </c>
      <c r="J93" s="3">
        <v>27</v>
      </c>
      <c r="K93" s="3">
        <v>23</v>
      </c>
      <c r="L93" s="3">
        <v>48</v>
      </c>
      <c r="M93" s="3">
        <v>27</v>
      </c>
      <c r="O93" s="3">
        <f t="shared" si="37"/>
        <v>135</v>
      </c>
      <c r="P93" s="3">
        <f t="shared" si="38"/>
        <v>125</v>
      </c>
      <c r="Q93" s="3" t="str">
        <f t="shared" si="39"/>
        <v>HW</v>
      </c>
      <c r="R93" s="3" t="str">
        <f t="shared" si="40"/>
        <v>HW</v>
      </c>
      <c r="S93" s="3" t="str">
        <f t="shared" si="41"/>
        <v>HL</v>
      </c>
      <c r="T93" s="3" t="str">
        <f t="shared" si="42"/>
        <v>HW</v>
      </c>
      <c r="U93" s="3" t="str">
        <f t="shared" si="43"/>
        <v>U</v>
      </c>
      <c r="V93" s="3" t="str">
        <f t="shared" si="44"/>
        <v>U</v>
      </c>
      <c r="W93" s="3" t="str">
        <f t="shared" si="45"/>
        <v>O</v>
      </c>
      <c r="X93" s="3" t="str">
        <f t="shared" si="46"/>
        <v>U</v>
      </c>
      <c r="Z93" s="3">
        <v>61.5</v>
      </c>
      <c r="AB93" s="3" t="str">
        <f t="shared" si="47"/>
        <v>BKN/NO</v>
      </c>
      <c r="AC93" s="3">
        <f t="shared" si="35"/>
        <v>1</v>
      </c>
      <c r="AD93" s="3">
        <f t="shared" si="36"/>
        <v>3</v>
      </c>
    </row>
    <row r="94" spans="1:30" x14ac:dyDescent="0.45">
      <c r="A94" s="3">
        <v>191105</v>
      </c>
      <c r="B94" s="1">
        <v>0.41666666666666669</v>
      </c>
      <c r="C94" s="3" t="s">
        <v>145</v>
      </c>
      <c r="D94" s="3" t="s">
        <v>131</v>
      </c>
      <c r="E94" s="3">
        <v>27</v>
      </c>
      <c r="F94" s="3">
        <v>30</v>
      </c>
      <c r="G94" s="3">
        <v>25</v>
      </c>
      <c r="H94" s="3">
        <v>24</v>
      </c>
      <c r="J94" s="3">
        <v>31</v>
      </c>
      <c r="K94" s="3">
        <v>33</v>
      </c>
      <c r="L94" s="3">
        <v>38</v>
      </c>
      <c r="M94" s="3">
        <v>32</v>
      </c>
      <c r="O94" s="3">
        <f t="shared" si="37"/>
        <v>106</v>
      </c>
      <c r="P94" s="3">
        <f t="shared" si="38"/>
        <v>134</v>
      </c>
      <c r="Q94" s="3" t="str">
        <f t="shared" si="39"/>
        <v>HL</v>
      </c>
      <c r="R94" s="3" t="str">
        <f t="shared" si="40"/>
        <v>HL</v>
      </c>
      <c r="S94" s="3" t="str">
        <f t="shared" si="41"/>
        <v>HL</v>
      </c>
      <c r="T94" s="3" t="str">
        <f t="shared" si="42"/>
        <v>HL</v>
      </c>
      <c r="U94" s="3" t="str">
        <f t="shared" si="43"/>
        <v>O</v>
      </c>
      <c r="V94" s="3" t="str">
        <f t="shared" si="44"/>
        <v>O</v>
      </c>
      <c r="W94" s="3" t="str">
        <f t="shared" si="45"/>
        <v>O</v>
      </c>
      <c r="X94" s="3" t="str">
        <f t="shared" si="46"/>
        <v>O</v>
      </c>
      <c r="Z94" s="3">
        <v>55.5</v>
      </c>
      <c r="AB94" s="3" t="str">
        <f t="shared" si="47"/>
        <v>MIN/MIL</v>
      </c>
      <c r="AC94" s="3">
        <f t="shared" si="35"/>
        <v>4</v>
      </c>
      <c r="AD94" s="3">
        <f t="shared" si="36"/>
        <v>0</v>
      </c>
    </row>
    <row r="95" spans="1:30" x14ac:dyDescent="0.45">
      <c r="A95" s="3">
        <v>191105</v>
      </c>
      <c r="B95" s="1">
        <v>0.41666666666666669</v>
      </c>
      <c r="C95" s="3" t="s">
        <v>146</v>
      </c>
      <c r="D95" s="3" t="s">
        <v>151</v>
      </c>
      <c r="E95" s="3">
        <v>28</v>
      </c>
      <c r="F95" s="3">
        <v>32</v>
      </c>
      <c r="G95" s="3">
        <v>16</v>
      </c>
      <c r="H95" s="3">
        <v>24</v>
      </c>
      <c r="J95" s="3">
        <v>33</v>
      </c>
      <c r="K95" s="3">
        <v>29</v>
      </c>
      <c r="L95" s="3">
        <v>22</v>
      </c>
      <c r="M95" s="3">
        <v>23</v>
      </c>
      <c r="O95" s="3">
        <f t="shared" si="37"/>
        <v>100</v>
      </c>
      <c r="P95" s="3">
        <f t="shared" si="38"/>
        <v>107</v>
      </c>
      <c r="Q95" s="3" t="str">
        <f t="shared" si="39"/>
        <v>HL</v>
      </c>
      <c r="R95" s="3" t="str">
        <f t="shared" si="40"/>
        <v>HW</v>
      </c>
      <c r="S95" s="3" t="str">
        <f t="shared" si="41"/>
        <v>HL</v>
      </c>
      <c r="T95" s="3" t="str">
        <f t="shared" si="42"/>
        <v>HW</v>
      </c>
      <c r="U95" s="3" t="str">
        <f t="shared" si="43"/>
        <v>O</v>
      </c>
      <c r="V95" s="3" t="str">
        <f t="shared" si="44"/>
        <v>O</v>
      </c>
      <c r="W95" s="3" t="str">
        <f t="shared" si="45"/>
        <v>U</v>
      </c>
      <c r="X95" s="3" t="str">
        <f t="shared" si="46"/>
        <v>U</v>
      </c>
      <c r="Z95" s="3">
        <v>59</v>
      </c>
      <c r="AB95" s="3" t="str">
        <f t="shared" si="47"/>
        <v>MEM/HOU</v>
      </c>
      <c r="AC95" s="3">
        <f t="shared" si="35"/>
        <v>2</v>
      </c>
      <c r="AD95" s="3">
        <f t="shared" si="36"/>
        <v>2</v>
      </c>
    </row>
    <row r="96" spans="1:30" x14ac:dyDescent="0.45">
      <c r="A96" s="3">
        <v>191105</v>
      </c>
      <c r="B96" s="1">
        <v>0.45833333333333331</v>
      </c>
      <c r="C96" s="3" t="s">
        <v>147</v>
      </c>
      <c r="D96" s="3" t="s">
        <v>150</v>
      </c>
      <c r="E96" s="3">
        <v>29</v>
      </c>
      <c r="F96" s="3">
        <v>26</v>
      </c>
      <c r="G96" s="3">
        <v>26</v>
      </c>
      <c r="H96" s="3">
        <v>33</v>
      </c>
      <c r="J96" s="3">
        <v>31</v>
      </c>
      <c r="K96" s="3">
        <v>30</v>
      </c>
      <c r="L96" s="3">
        <v>21</v>
      </c>
      <c r="M96" s="3">
        <v>27</v>
      </c>
      <c r="O96" s="3">
        <f t="shared" si="37"/>
        <v>114</v>
      </c>
      <c r="P96" s="3">
        <f t="shared" si="38"/>
        <v>109</v>
      </c>
      <c r="Q96" s="3" t="str">
        <f t="shared" si="39"/>
        <v>HL</v>
      </c>
      <c r="R96" s="3" t="str">
        <f t="shared" si="40"/>
        <v>HL</v>
      </c>
      <c r="S96" s="3" t="str">
        <f t="shared" si="41"/>
        <v>HW</v>
      </c>
      <c r="T96" s="3" t="str">
        <f t="shared" si="42"/>
        <v>HW</v>
      </c>
      <c r="U96" s="3" t="str">
        <f t="shared" si="43"/>
        <v>O</v>
      </c>
      <c r="V96" s="3" t="str">
        <f t="shared" si="44"/>
        <v>U</v>
      </c>
      <c r="W96" s="3" t="str">
        <f t="shared" si="45"/>
        <v>U</v>
      </c>
      <c r="X96" s="3" t="str">
        <f t="shared" si="46"/>
        <v>O</v>
      </c>
      <c r="Z96" s="3">
        <v>57.5</v>
      </c>
      <c r="AB96" s="3" t="str">
        <f t="shared" si="47"/>
        <v>PHO/PHI</v>
      </c>
      <c r="AC96" s="3">
        <f t="shared" si="35"/>
        <v>2</v>
      </c>
      <c r="AD96" s="3">
        <f t="shared" si="36"/>
        <v>2</v>
      </c>
    </row>
    <row r="97" spans="1:30" x14ac:dyDescent="0.45">
      <c r="A97" s="3">
        <v>191105</v>
      </c>
      <c r="B97" s="1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37"/>
        <v>127</v>
      </c>
      <c r="P97" s="3">
        <f t="shared" si="38"/>
        <v>118</v>
      </c>
      <c r="Q97" s="3" t="str">
        <f t="shared" si="39"/>
        <v>HW</v>
      </c>
      <c r="R97" s="3" t="str">
        <f t="shared" si="40"/>
        <v>HL</v>
      </c>
      <c r="S97" s="3" t="str">
        <f t="shared" si="41"/>
        <v>HW</v>
      </c>
      <c r="T97" s="3" t="str">
        <f t="shared" si="42"/>
        <v>HW</v>
      </c>
      <c r="U97" s="3" t="str">
        <f t="shared" si="43"/>
        <v>O</v>
      </c>
      <c r="V97" s="3" t="str">
        <f t="shared" si="44"/>
        <v>O</v>
      </c>
      <c r="W97" s="3" t="str">
        <f t="shared" si="45"/>
        <v>U</v>
      </c>
      <c r="X97" s="3" t="str">
        <f t="shared" si="46"/>
        <v>O</v>
      </c>
      <c r="Z97" s="3">
        <v>53.5</v>
      </c>
      <c r="AB97" s="3" t="str">
        <f t="shared" si="47"/>
        <v>GS/POR</v>
      </c>
      <c r="AC97" s="3">
        <f t="shared" si="35"/>
        <v>3</v>
      </c>
      <c r="AD97" s="3">
        <f t="shared" si="36"/>
        <v>1</v>
      </c>
    </row>
    <row r="98" spans="1:30" x14ac:dyDescent="0.45">
      <c r="A98" s="3">
        <v>191106</v>
      </c>
      <c r="B98" s="1">
        <v>0.375</v>
      </c>
      <c r="C98" s="3" t="s">
        <v>129</v>
      </c>
      <c r="D98" s="3" t="s">
        <v>132</v>
      </c>
      <c r="E98" s="3">
        <v>24</v>
      </c>
      <c r="F98" s="3">
        <v>28</v>
      </c>
      <c r="G98" s="3">
        <v>31</v>
      </c>
      <c r="H98" s="3">
        <v>30</v>
      </c>
      <c r="J98" s="3">
        <v>32</v>
      </c>
      <c r="K98" s="3">
        <v>29</v>
      </c>
      <c r="L98" s="3">
        <v>28</v>
      </c>
      <c r="M98" s="3">
        <v>30</v>
      </c>
      <c r="O98" s="3">
        <f t="shared" si="37"/>
        <v>113</v>
      </c>
      <c r="P98" s="3">
        <f t="shared" si="38"/>
        <v>119</v>
      </c>
      <c r="Q98" s="3" t="str">
        <f t="shared" si="39"/>
        <v>HL</v>
      </c>
      <c r="R98" s="3" t="str">
        <f t="shared" si="40"/>
        <v>HL</v>
      </c>
      <c r="S98" s="3" t="str">
        <f t="shared" si="41"/>
        <v>HW</v>
      </c>
      <c r="T98" s="3" t="str">
        <f t="shared" si="42"/>
        <v>TT</v>
      </c>
      <c r="U98" s="3" t="str">
        <f t="shared" si="43"/>
        <v>O</v>
      </c>
      <c r="V98" s="3" t="str">
        <f t="shared" si="44"/>
        <v>O</v>
      </c>
      <c r="W98" s="3" t="str">
        <f t="shared" si="45"/>
        <v>O</v>
      </c>
      <c r="X98" s="3" t="str">
        <f t="shared" si="46"/>
        <v>O</v>
      </c>
      <c r="Z98" s="3">
        <v>52</v>
      </c>
      <c r="AB98" s="3" t="str">
        <f t="shared" si="47"/>
        <v>CLE/BOS</v>
      </c>
      <c r="AC98" s="3">
        <f t="shared" si="35"/>
        <v>4</v>
      </c>
      <c r="AD98" s="3">
        <f t="shared" si="36"/>
        <v>0</v>
      </c>
    </row>
    <row r="99" spans="1:30" x14ac:dyDescent="0.45">
      <c r="A99" s="3">
        <v>191106</v>
      </c>
      <c r="B99" s="1">
        <v>0.375</v>
      </c>
      <c r="C99" s="3" t="s">
        <v>148</v>
      </c>
      <c r="D99" s="3" t="s">
        <v>128</v>
      </c>
      <c r="E99" s="3">
        <v>20</v>
      </c>
      <c r="F99" s="3">
        <v>37</v>
      </c>
      <c r="G99" s="3">
        <v>21</v>
      </c>
      <c r="H99" s="3">
        <v>35</v>
      </c>
      <c r="I99" s="3">
        <v>9</v>
      </c>
      <c r="J99" s="3">
        <v>35</v>
      </c>
      <c r="K99" s="3">
        <v>29</v>
      </c>
      <c r="L99" s="3">
        <v>28</v>
      </c>
      <c r="M99" s="3">
        <v>21</v>
      </c>
      <c r="O99" s="3">
        <f t="shared" si="37"/>
        <v>122</v>
      </c>
      <c r="P99" s="3">
        <f t="shared" si="38"/>
        <v>113</v>
      </c>
      <c r="Q99" s="3" t="str">
        <f t="shared" si="39"/>
        <v>HL</v>
      </c>
      <c r="R99" s="3" t="str">
        <f t="shared" si="40"/>
        <v>HW</v>
      </c>
      <c r="S99" s="3" t="str">
        <f t="shared" si="41"/>
        <v>HL</v>
      </c>
      <c r="T99" s="3" t="str">
        <f t="shared" si="42"/>
        <v>HW</v>
      </c>
      <c r="U99" s="3" t="str">
        <f t="shared" si="43"/>
        <v>O</v>
      </c>
      <c r="V99" s="3" t="str">
        <f t="shared" si="44"/>
        <v>O</v>
      </c>
      <c r="W99" s="3" t="str">
        <f t="shared" si="45"/>
        <v>U</v>
      </c>
      <c r="X99" s="3" t="str">
        <f t="shared" si="46"/>
        <v>O</v>
      </c>
      <c r="Z99" s="3">
        <v>54.5</v>
      </c>
      <c r="AB99" s="3" t="str">
        <f t="shared" si="47"/>
        <v>CHA/IND</v>
      </c>
      <c r="AC99" s="3">
        <f t="shared" si="35"/>
        <v>3</v>
      </c>
      <c r="AD99" s="3">
        <f t="shared" si="36"/>
        <v>1</v>
      </c>
    </row>
    <row r="100" spans="1:30" x14ac:dyDescent="0.45">
      <c r="A100" s="3">
        <v>191106</v>
      </c>
      <c r="B100" s="1">
        <v>0.39583333333333331</v>
      </c>
      <c r="C100" s="3" t="s">
        <v>122</v>
      </c>
      <c r="D100" s="3" t="s">
        <v>127</v>
      </c>
      <c r="E100" s="3">
        <v>22</v>
      </c>
      <c r="F100" s="3">
        <v>22</v>
      </c>
      <c r="G100" s="3">
        <v>26</v>
      </c>
      <c r="H100" s="3">
        <v>38</v>
      </c>
      <c r="J100" s="3">
        <v>21</v>
      </c>
      <c r="K100" s="3">
        <v>24</v>
      </c>
      <c r="L100" s="3">
        <v>33</v>
      </c>
      <c r="M100" s="3">
        <v>22</v>
      </c>
      <c r="O100" s="3">
        <f t="shared" si="37"/>
        <v>108</v>
      </c>
      <c r="P100" s="3">
        <f t="shared" si="38"/>
        <v>100</v>
      </c>
      <c r="Q100" s="3" t="str">
        <f t="shared" si="39"/>
        <v>HW</v>
      </c>
      <c r="R100" s="3" t="str">
        <f t="shared" si="40"/>
        <v>HL</v>
      </c>
      <c r="S100" s="3" t="str">
        <f t="shared" si="41"/>
        <v>HL</v>
      </c>
      <c r="T100" s="3" t="str">
        <f t="shared" si="42"/>
        <v>HW</v>
      </c>
      <c r="U100" s="3" t="str">
        <f t="shared" si="43"/>
        <v>U</v>
      </c>
      <c r="V100" s="3" t="str">
        <f t="shared" si="44"/>
        <v>U</v>
      </c>
      <c r="W100" s="3" t="str">
        <f t="shared" si="45"/>
        <v>O</v>
      </c>
      <c r="X100" s="3" t="str">
        <f t="shared" si="46"/>
        <v>O</v>
      </c>
      <c r="Z100" s="3">
        <v>53.5</v>
      </c>
      <c r="AB100" s="3" t="str">
        <f t="shared" si="47"/>
        <v>ATL/SAS</v>
      </c>
      <c r="AC100" s="3">
        <f t="shared" si="35"/>
        <v>2</v>
      </c>
      <c r="AD100" s="3">
        <f t="shared" si="36"/>
        <v>2</v>
      </c>
    </row>
    <row r="101" spans="1:30" x14ac:dyDescent="0.45">
      <c r="A101" s="3">
        <v>191106</v>
      </c>
      <c r="B101" s="1">
        <v>0.41666666666666669</v>
      </c>
      <c r="C101" s="3" t="s">
        <v>134</v>
      </c>
      <c r="D101" s="3" t="s">
        <v>137</v>
      </c>
      <c r="E101" s="3">
        <v>29</v>
      </c>
      <c r="F101" s="3">
        <v>36</v>
      </c>
      <c r="G101" s="3">
        <v>28</v>
      </c>
      <c r="H101" s="3">
        <v>19</v>
      </c>
      <c r="J101" s="3">
        <v>24</v>
      </c>
      <c r="K101" s="3">
        <v>24</v>
      </c>
      <c r="L101" s="3">
        <v>32</v>
      </c>
      <c r="M101" s="3">
        <v>38</v>
      </c>
      <c r="O101" s="3">
        <f t="shared" si="37"/>
        <v>112</v>
      </c>
      <c r="P101" s="3">
        <f t="shared" si="38"/>
        <v>118</v>
      </c>
      <c r="Q101" s="3" t="str">
        <f t="shared" si="39"/>
        <v>HW</v>
      </c>
      <c r="R101" s="3" t="str">
        <f t="shared" si="40"/>
        <v>HW</v>
      </c>
      <c r="S101" s="3" t="str">
        <f t="shared" si="41"/>
        <v>HL</v>
      </c>
      <c r="T101" s="3" t="str">
        <f t="shared" si="42"/>
        <v>HL</v>
      </c>
      <c r="U101" s="3" t="str">
        <f t="shared" si="43"/>
        <v>U</v>
      </c>
      <c r="V101" s="3" t="str">
        <f t="shared" si="44"/>
        <v>O</v>
      </c>
      <c r="W101" s="3" t="str">
        <f t="shared" si="45"/>
        <v>O</v>
      </c>
      <c r="X101" s="3" t="str">
        <f t="shared" si="46"/>
        <v>O</v>
      </c>
      <c r="Z101" s="3">
        <v>55.5</v>
      </c>
      <c r="AB101" s="3" t="str">
        <f t="shared" si="47"/>
        <v>CHI/LAL</v>
      </c>
      <c r="AC101" s="3">
        <f t="shared" si="35"/>
        <v>3</v>
      </c>
      <c r="AD101" s="3">
        <f t="shared" si="36"/>
        <v>1</v>
      </c>
    </row>
    <row r="102" spans="1:30" x14ac:dyDescent="0.45">
      <c r="A102" s="3">
        <v>191106</v>
      </c>
      <c r="B102" s="1">
        <v>0.41666666666666669</v>
      </c>
      <c r="C102" s="3" t="s">
        <v>49</v>
      </c>
      <c r="D102" s="3" t="s">
        <v>130</v>
      </c>
      <c r="E102" s="3">
        <v>31</v>
      </c>
      <c r="F102" s="3">
        <v>27</v>
      </c>
      <c r="G102" s="3">
        <v>23</v>
      </c>
      <c r="H102" s="3">
        <v>21</v>
      </c>
      <c r="J102" s="3">
        <v>26</v>
      </c>
      <c r="K102" s="3">
        <v>27</v>
      </c>
      <c r="L102" s="3">
        <v>26</v>
      </c>
      <c r="M102" s="3">
        <v>15</v>
      </c>
      <c r="O102" s="3">
        <f t="shared" si="37"/>
        <v>102</v>
      </c>
      <c r="P102" s="3">
        <f t="shared" si="38"/>
        <v>94</v>
      </c>
      <c r="Q102" s="3" t="str">
        <f t="shared" si="39"/>
        <v>HW</v>
      </c>
      <c r="R102" s="3" t="str">
        <f t="shared" si="40"/>
        <v>TT</v>
      </c>
      <c r="S102" s="3" t="str">
        <f t="shared" si="41"/>
        <v>HL</v>
      </c>
      <c r="T102" s="3" t="str">
        <f t="shared" si="42"/>
        <v>HW</v>
      </c>
      <c r="U102" s="3" t="str">
        <f t="shared" si="43"/>
        <v>O</v>
      </c>
      <c r="V102" s="3" t="str">
        <f t="shared" si="44"/>
        <v>O</v>
      </c>
      <c r="W102" s="3" t="str">
        <f t="shared" si="45"/>
        <v>U</v>
      </c>
      <c r="X102" s="3" t="str">
        <f t="shared" si="46"/>
        <v>U</v>
      </c>
      <c r="Z102" s="3">
        <v>52</v>
      </c>
      <c r="AB102" s="3" t="str">
        <f t="shared" si="47"/>
        <v>OKC/ORL</v>
      </c>
      <c r="AC102" s="3">
        <f t="shared" si="35"/>
        <v>2</v>
      </c>
      <c r="AD102" s="3">
        <f t="shared" si="36"/>
        <v>2</v>
      </c>
    </row>
    <row r="103" spans="1:30" x14ac:dyDescent="0.45">
      <c r="A103" s="3">
        <v>191106</v>
      </c>
      <c r="B103" s="1">
        <v>0.45833333333333331</v>
      </c>
      <c r="C103" s="3" t="s">
        <v>125</v>
      </c>
      <c r="D103" s="3" t="s">
        <v>123</v>
      </c>
      <c r="E103" s="3">
        <v>29</v>
      </c>
      <c r="F103" s="3">
        <v>29</v>
      </c>
      <c r="G103" s="3">
        <v>31</v>
      </c>
      <c r="H103" s="3">
        <v>20</v>
      </c>
      <c r="J103" s="3">
        <v>28</v>
      </c>
      <c r="K103" s="3">
        <v>20</v>
      </c>
      <c r="L103" s="3">
        <v>21</v>
      </c>
      <c r="M103" s="3">
        <v>20</v>
      </c>
      <c r="O103" s="3">
        <f t="shared" si="37"/>
        <v>109</v>
      </c>
      <c r="P103" s="3">
        <f t="shared" si="38"/>
        <v>89</v>
      </c>
      <c r="Q103" s="3" t="str">
        <f t="shared" si="39"/>
        <v>HW</v>
      </c>
      <c r="R103" s="3" t="str">
        <f t="shared" si="40"/>
        <v>HW</v>
      </c>
      <c r="S103" s="3" t="str">
        <f t="shared" si="41"/>
        <v>HW</v>
      </c>
      <c r="T103" s="3" t="str">
        <f t="shared" si="42"/>
        <v>TT</v>
      </c>
      <c r="U103" s="3" t="str">
        <f t="shared" si="43"/>
        <v>O</v>
      </c>
      <c r="V103" s="3" t="str">
        <f t="shared" si="44"/>
        <v>U</v>
      </c>
      <c r="W103" s="3" t="str">
        <f t="shared" si="45"/>
        <v>U</v>
      </c>
      <c r="X103" s="3" t="str">
        <f t="shared" si="46"/>
        <v>U</v>
      </c>
      <c r="Z103" s="3">
        <v>54</v>
      </c>
      <c r="AB103" s="3" t="str">
        <f t="shared" si="47"/>
        <v>DEN/MIA</v>
      </c>
      <c r="AC103" s="3">
        <f t="shared" si="35"/>
        <v>1</v>
      </c>
      <c r="AD103" s="3">
        <f t="shared" si="36"/>
        <v>3</v>
      </c>
    </row>
    <row r="104" spans="1:30" x14ac:dyDescent="0.45">
      <c r="A104" s="3">
        <v>191107</v>
      </c>
      <c r="B104" s="1">
        <v>0.375</v>
      </c>
      <c r="C104" s="3" t="s">
        <v>135</v>
      </c>
      <c r="D104" s="3" t="s">
        <v>133</v>
      </c>
      <c r="E104" s="3">
        <v>33</v>
      </c>
      <c r="F104" s="3">
        <v>31</v>
      </c>
      <c r="G104" s="3">
        <v>32</v>
      </c>
      <c r="H104" s="3">
        <v>26</v>
      </c>
      <c r="J104" s="3">
        <v>25</v>
      </c>
      <c r="K104" s="3">
        <v>34</v>
      </c>
      <c r="L104" s="3">
        <v>26</v>
      </c>
      <c r="M104" s="3">
        <v>17</v>
      </c>
      <c r="O104" s="3">
        <f t="shared" si="37"/>
        <v>122</v>
      </c>
      <c r="P104" s="3">
        <f t="shared" si="38"/>
        <v>102</v>
      </c>
      <c r="Q104" s="3" t="str">
        <f t="shared" si="39"/>
        <v>HW</v>
      </c>
      <c r="R104" s="3" t="str">
        <f t="shared" si="40"/>
        <v>HL</v>
      </c>
      <c r="S104" s="3" t="str">
        <f t="shared" si="41"/>
        <v>HW</v>
      </c>
      <c r="T104" s="3" t="str">
        <f t="shared" si="42"/>
        <v>HW</v>
      </c>
      <c r="U104" s="3" t="str">
        <f t="shared" si="43"/>
        <v>O</v>
      </c>
      <c r="V104" s="3" t="str">
        <f t="shared" si="44"/>
        <v>O</v>
      </c>
      <c r="W104" s="3" t="str">
        <f t="shared" si="45"/>
        <v>O</v>
      </c>
      <c r="X104" s="3" t="str">
        <f t="shared" si="46"/>
        <v>U</v>
      </c>
      <c r="Z104" s="3">
        <v>53</v>
      </c>
      <c r="AB104" s="3" t="str">
        <f t="shared" si="47"/>
        <v>DET/NYK</v>
      </c>
      <c r="AC104" s="3">
        <f t="shared" si="35"/>
        <v>3</v>
      </c>
      <c r="AD104" s="3">
        <f t="shared" si="36"/>
        <v>1</v>
      </c>
    </row>
    <row r="105" spans="1:30" x14ac:dyDescent="0.45">
      <c r="A105" s="3">
        <v>191107</v>
      </c>
      <c r="B105" s="1">
        <v>0.375</v>
      </c>
      <c r="C105" s="3" t="s">
        <v>128</v>
      </c>
      <c r="D105" s="3" t="s">
        <v>34</v>
      </c>
      <c r="E105" s="3">
        <v>26</v>
      </c>
      <c r="F105" s="3">
        <v>44</v>
      </c>
      <c r="G105" s="3">
        <v>24</v>
      </c>
      <c r="H105" s="3">
        <v>27</v>
      </c>
      <c r="J105" s="3">
        <v>26</v>
      </c>
      <c r="K105" s="3">
        <v>36</v>
      </c>
      <c r="L105" s="3">
        <v>18</v>
      </c>
      <c r="M105" s="3">
        <v>26</v>
      </c>
      <c r="O105" s="3">
        <f t="shared" si="37"/>
        <v>121</v>
      </c>
      <c r="P105" s="3">
        <f t="shared" si="38"/>
        <v>106</v>
      </c>
      <c r="Q105" s="3" t="str">
        <f t="shared" si="39"/>
        <v>TT</v>
      </c>
      <c r="R105" s="3" t="str">
        <f t="shared" si="40"/>
        <v>HW</v>
      </c>
      <c r="S105" s="3" t="str">
        <f t="shared" si="41"/>
        <v>HW</v>
      </c>
      <c r="T105" s="3" t="str">
        <f t="shared" si="42"/>
        <v>HW</v>
      </c>
      <c r="U105" s="3" t="str">
        <f t="shared" si="43"/>
        <v>U</v>
      </c>
      <c r="V105" s="3" t="str">
        <f t="shared" si="44"/>
        <v>O</v>
      </c>
      <c r="W105" s="3" t="str">
        <f t="shared" si="45"/>
        <v>U</v>
      </c>
      <c r="X105" s="3" t="str">
        <f t="shared" si="46"/>
        <v>U</v>
      </c>
      <c r="Z105" s="3">
        <v>58</v>
      </c>
      <c r="AB105" s="3" t="str">
        <f t="shared" si="47"/>
        <v>IND/WAS</v>
      </c>
      <c r="AC105" s="3">
        <f t="shared" si="35"/>
        <v>1</v>
      </c>
      <c r="AD105" s="3">
        <f t="shared" si="36"/>
        <v>3</v>
      </c>
    </row>
    <row r="106" spans="1:30" x14ac:dyDescent="0.45">
      <c r="A106" s="3">
        <v>191107</v>
      </c>
      <c r="B106" s="1">
        <v>0.39583333333333331</v>
      </c>
      <c r="C106" s="3" t="s">
        <v>122</v>
      </c>
      <c r="D106" s="3" t="s">
        <v>134</v>
      </c>
      <c r="E106" s="3">
        <v>19</v>
      </c>
      <c r="F106" s="3">
        <v>22</v>
      </c>
      <c r="G106" s="3">
        <v>24</v>
      </c>
      <c r="H106" s="3">
        <v>28</v>
      </c>
      <c r="J106" s="3">
        <v>33</v>
      </c>
      <c r="K106" s="3">
        <v>23</v>
      </c>
      <c r="L106" s="3">
        <v>35</v>
      </c>
      <c r="M106" s="3">
        <v>22</v>
      </c>
      <c r="O106" s="3">
        <f t="shared" si="37"/>
        <v>93</v>
      </c>
      <c r="P106" s="3">
        <f t="shared" si="38"/>
        <v>113</v>
      </c>
      <c r="Q106" s="3" t="str">
        <f t="shared" si="39"/>
        <v>HL</v>
      </c>
      <c r="R106" s="3" t="str">
        <f t="shared" si="40"/>
        <v>HL</v>
      </c>
      <c r="S106" s="3" t="str">
        <f t="shared" si="41"/>
        <v>HL</v>
      </c>
      <c r="T106" s="3" t="str">
        <f t="shared" si="42"/>
        <v>HW</v>
      </c>
      <c r="U106" s="3" t="str">
        <f t="shared" si="43"/>
        <v>U</v>
      </c>
      <c r="V106" s="3" t="str">
        <f t="shared" si="44"/>
        <v>U</v>
      </c>
      <c r="W106" s="3" t="str">
        <f t="shared" si="45"/>
        <v>O</v>
      </c>
      <c r="X106" s="3" t="str">
        <f t="shared" si="46"/>
        <v>U</v>
      </c>
      <c r="Z106" s="3">
        <v>53.5</v>
      </c>
      <c r="AB106" s="3" t="str">
        <f t="shared" si="47"/>
        <v>ATL/CHI</v>
      </c>
      <c r="AC106" s="3">
        <f t="shared" ref="AC106:AC116" si="48">COUNTIF(U106:X106,"o")</f>
        <v>1</v>
      </c>
      <c r="AD106" s="3">
        <f t="shared" ref="AD106:AD116" si="49">COUNTIF(U106:X106,"u")</f>
        <v>3</v>
      </c>
    </row>
    <row r="107" spans="1:30" x14ac:dyDescent="0.45">
      <c r="A107" s="3">
        <v>191107</v>
      </c>
      <c r="B107" s="1">
        <v>0.39583333333333331</v>
      </c>
      <c r="C107" s="3" t="s">
        <v>151</v>
      </c>
      <c r="D107" s="3" t="s">
        <v>140</v>
      </c>
      <c r="E107" s="3">
        <v>30</v>
      </c>
      <c r="F107" s="3">
        <v>33</v>
      </c>
      <c r="G107" s="3">
        <v>35</v>
      </c>
      <c r="H107" s="3">
        <v>31</v>
      </c>
      <c r="J107" s="3">
        <v>29</v>
      </c>
      <c r="K107" s="3">
        <v>23</v>
      </c>
      <c r="L107" s="3">
        <v>31</v>
      </c>
      <c r="M107" s="3">
        <v>29</v>
      </c>
      <c r="O107" s="3">
        <f t="shared" si="37"/>
        <v>129</v>
      </c>
      <c r="P107" s="3">
        <f t="shared" si="38"/>
        <v>112</v>
      </c>
      <c r="Q107" s="3" t="str">
        <f t="shared" si="39"/>
        <v>HW</v>
      </c>
      <c r="R107" s="3" t="str">
        <f t="shared" si="40"/>
        <v>HW</v>
      </c>
      <c r="S107" s="3" t="str">
        <f t="shared" si="41"/>
        <v>HW</v>
      </c>
      <c r="T107" s="3" t="str">
        <f t="shared" si="42"/>
        <v>HW</v>
      </c>
      <c r="U107" s="3" t="str">
        <f t="shared" si="43"/>
        <v>U</v>
      </c>
      <c r="V107" s="3" t="str">
        <f t="shared" si="44"/>
        <v>U</v>
      </c>
      <c r="W107" s="3" t="str">
        <f t="shared" si="45"/>
        <v>O</v>
      </c>
      <c r="X107" s="3" t="str">
        <f t="shared" si="46"/>
        <v>O</v>
      </c>
      <c r="Z107" s="3">
        <v>59.5</v>
      </c>
      <c r="AB107" s="3" t="str">
        <f t="shared" si="47"/>
        <v>HOU/GS</v>
      </c>
      <c r="AC107" s="3">
        <f t="shared" si="48"/>
        <v>2</v>
      </c>
      <c r="AD107" s="3">
        <f t="shared" si="49"/>
        <v>2</v>
      </c>
    </row>
    <row r="108" spans="1:30" x14ac:dyDescent="0.45">
      <c r="A108" s="3">
        <v>191107</v>
      </c>
      <c r="B108" s="1">
        <v>0.39583333333333331</v>
      </c>
      <c r="C108" s="3" t="s">
        <v>143</v>
      </c>
      <c r="D108" s="3" t="s">
        <v>138</v>
      </c>
      <c r="E108" s="3">
        <v>36</v>
      </c>
      <c r="F108" s="3">
        <v>30</v>
      </c>
      <c r="G108" s="3">
        <v>29</v>
      </c>
      <c r="H108" s="3">
        <v>29</v>
      </c>
      <c r="J108" s="3">
        <v>23</v>
      </c>
      <c r="K108" s="3">
        <v>35</v>
      </c>
      <c r="L108" s="3">
        <v>30</v>
      </c>
      <c r="M108" s="3">
        <v>32</v>
      </c>
      <c r="O108" s="3">
        <f t="shared" si="37"/>
        <v>124</v>
      </c>
      <c r="P108" s="3">
        <f t="shared" si="38"/>
        <v>120</v>
      </c>
      <c r="Q108" s="3" t="str">
        <f t="shared" si="39"/>
        <v>HW</v>
      </c>
      <c r="R108" s="3" t="str">
        <f t="shared" si="40"/>
        <v>HL</v>
      </c>
      <c r="S108" s="3" t="str">
        <f t="shared" si="41"/>
        <v>HL</v>
      </c>
      <c r="T108" s="3" t="str">
        <f t="shared" si="42"/>
        <v>HL</v>
      </c>
      <c r="U108" s="3" t="str">
        <f t="shared" si="43"/>
        <v>O</v>
      </c>
      <c r="V108" s="3" t="str">
        <f t="shared" si="44"/>
        <v>O</v>
      </c>
      <c r="W108" s="3" t="str">
        <f t="shared" si="45"/>
        <v>O</v>
      </c>
      <c r="X108" s="3" t="str">
        <f t="shared" si="46"/>
        <v>O</v>
      </c>
      <c r="Z108" s="3">
        <v>56</v>
      </c>
      <c r="AB108" s="3" t="str">
        <f t="shared" si="47"/>
        <v>TOR/SAC</v>
      </c>
      <c r="AC108" s="3">
        <f t="shared" si="48"/>
        <v>4</v>
      </c>
      <c r="AD108" s="3">
        <f t="shared" si="49"/>
        <v>0</v>
      </c>
    </row>
    <row r="109" spans="1:30" x14ac:dyDescent="0.45">
      <c r="A109" s="3">
        <v>191107</v>
      </c>
      <c r="B109" s="1">
        <v>0.41666666666666669</v>
      </c>
      <c r="C109" s="3" t="s">
        <v>146</v>
      </c>
      <c r="D109" s="3" t="s">
        <v>145</v>
      </c>
      <c r="E109" s="3">
        <v>37</v>
      </c>
      <c r="F109" s="3">
        <v>35</v>
      </c>
      <c r="G109" s="3">
        <v>29</v>
      </c>
      <c r="H109" s="3">
        <v>36</v>
      </c>
      <c r="J109" s="3">
        <v>26</v>
      </c>
      <c r="K109" s="3">
        <v>38</v>
      </c>
      <c r="L109" s="3">
        <v>32</v>
      </c>
      <c r="M109" s="3">
        <v>25</v>
      </c>
      <c r="O109" s="3">
        <f t="shared" si="37"/>
        <v>137</v>
      </c>
      <c r="P109" s="3">
        <f t="shared" si="38"/>
        <v>121</v>
      </c>
      <c r="Q109" s="3" t="str">
        <f t="shared" si="39"/>
        <v>HW</v>
      </c>
      <c r="R109" s="3" t="str">
        <f t="shared" si="40"/>
        <v>HL</v>
      </c>
      <c r="S109" s="3" t="str">
        <f t="shared" si="41"/>
        <v>HL</v>
      </c>
      <c r="T109" s="3" t="str">
        <f t="shared" si="42"/>
        <v>HW</v>
      </c>
      <c r="U109" s="3" t="str">
        <f t="shared" si="43"/>
        <v>O</v>
      </c>
      <c r="V109" s="3" t="str">
        <f t="shared" si="44"/>
        <v>O</v>
      </c>
      <c r="W109" s="3" t="str">
        <f t="shared" si="45"/>
        <v>O</v>
      </c>
      <c r="X109" s="3" t="str">
        <f t="shared" si="46"/>
        <v>O</v>
      </c>
      <c r="Z109" s="3">
        <v>58</v>
      </c>
      <c r="AB109" s="3" t="str">
        <f t="shared" si="47"/>
        <v>MEM/MIN</v>
      </c>
      <c r="AC109" s="3">
        <f t="shared" si="48"/>
        <v>4</v>
      </c>
      <c r="AD109" s="3">
        <f t="shared" si="49"/>
        <v>0</v>
      </c>
    </row>
    <row r="110" spans="1:30" x14ac:dyDescent="0.45">
      <c r="A110" s="3">
        <v>191107</v>
      </c>
      <c r="B110" s="1">
        <v>0.4375</v>
      </c>
      <c r="C110" s="3" t="s">
        <v>136</v>
      </c>
      <c r="D110" s="3" t="s">
        <v>130</v>
      </c>
      <c r="E110" s="3">
        <v>25</v>
      </c>
      <c r="F110" s="3">
        <v>29</v>
      </c>
      <c r="G110" s="3">
        <v>32</v>
      </c>
      <c r="H110" s="3">
        <v>21</v>
      </c>
      <c r="J110" s="3">
        <v>28</v>
      </c>
      <c r="K110" s="3">
        <v>28</v>
      </c>
      <c r="L110" s="3">
        <v>23</v>
      </c>
      <c r="M110" s="3">
        <v>27</v>
      </c>
      <c r="O110" s="3">
        <f t="shared" si="37"/>
        <v>107</v>
      </c>
      <c r="P110" s="3">
        <f t="shared" si="38"/>
        <v>106</v>
      </c>
      <c r="Q110" s="3" t="str">
        <f t="shared" si="39"/>
        <v>HL</v>
      </c>
      <c r="R110" s="3" t="str">
        <f t="shared" si="40"/>
        <v>HW</v>
      </c>
      <c r="S110" s="3" t="str">
        <f t="shared" si="41"/>
        <v>HW</v>
      </c>
      <c r="T110" s="3" t="str">
        <f t="shared" si="42"/>
        <v>HL</v>
      </c>
      <c r="U110" s="3" t="str">
        <f t="shared" si="43"/>
        <v>U</v>
      </c>
      <c r="V110" s="3" t="str">
        <f t="shared" si="44"/>
        <v>O</v>
      </c>
      <c r="W110" s="3" t="str">
        <f t="shared" si="45"/>
        <v>O</v>
      </c>
      <c r="X110" s="3" t="str">
        <f t="shared" si="46"/>
        <v>U</v>
      </c>
      <c r="Z110" s="3">
        <v>53.5</v>
      </c>
      <c r="AB110" s="3" t="str">
        <f t="shared" si="47"/>
        <v>DAL/ORL</v>
      </c>
      <c r="AC110" s="3">
        <f t="shared" si="48"/>
        <v>2</v>
      </c>
      <c r="AD110" s="3">
        <f t="shared" si="49"/>
        <v>2</v>
      </c>
    </row>
    <row r="111" spans="1:30" x14ac:dyDescent="0.45">
      <c r="A111" s="3">
        <v>191107</v>
      </c>
      <c r="B111" s="1">
        <v>0.45833333333333331</v>
      </c>
      <c r="C111" s="3" t="s">
        <v>139</v>
      </c>
      <c r="D111" s="3" t="s">
        <v>150</v>
      </c>
      <c r="E111" s="3">
        <v>26</v>
      </c>
      <c r="F111" s="3">
        <v>32</v>
      </c>
      <c r="G111" s="3">
        <v>26</v>
      </c>
      <c r="H111" s="3">
        <v>22</v>
      </c>
      <c r="J111" s="3">
        <v>29</v>
      </c>
      <c r="K111" s="3">
        <v>27</v>
      </c>
      <c r="L111" s="3">
        <v>17</v>
      </c>
      <c r="M111" s="3">
        <v>31</v>
      </c>
      <c r="O111" s="3">
        <f t="shared" si="37"/>
        <v>106</v>
      </c>
      <c r="P111" s="3">
        <f t="shared" si="38"/>
        <v>104</v>
      </c>
      <c r="Q111" s="3" t="str">
        <f t="shared" si="39"/>
        <v>HL</v>
      </c>
      <c r="R111" s="3" t="str">
        <f t="shared" si="40"/>
        <v>HW</v>
      </c>
      <c r="S111" s="3" t="str">
        <f t="shared" si="41"/>
        <v>HW</v>
      </c>
      <c r="T111" s="3" t="str">
        <f t="shared" si="42"/>
        <v>HL</v>
      </c>
      <c r="U111" s="3" t="str">
        <f t="shared" si="43"/>
        <v>O</v>
      </c>
      <c r="V111" s="3" t="str">
        <f t="shared" si="44"/>
        <v>O</v>
      </c>
      <c r="W111" s="3" t="str">
        <f t="shared" si="45"/>
        <v>U</v>
      </c>
      <c r="X111" s="3" t="str">
        <f t="shared" si="46"/>
        <v>U</v>
      </c>
      <c r="Z111" s="3">
        <v>54</v>
      </c>
      <c r="AB111" s="3" t="str">
        <f t="shared" si="47"/>
        <v>UTA/PHI</v>
      </c>
      <c r="AC111" s="3">
        <f t="shared" si="48"/>
        <v>2</v>
      </c>
      <c r="AD111" s="3">
        <f t="shared" si="49"/>
        <v>2</v>
      </c>
    </row>
    <row r="112" spans="1:30" x14ac:dyDescent="0.45">
      <c r="A112" s="3">
        <v>191107</v>
      </c>
      <c r="B112" s="1">
        <v>0.5</v>
      </c>
      <c r="C112" s="3" t="s">
        <v>126</v>
      </c>
      <c r="D112" s="3" t="s">
        <v>131</v>
      </c>
      <c r="E112" s="3">
        <v>30</v>
      </c>
      <c r="F112" s="3">
        <v>29</v>
      </c>
      <c r="G112" s="3">
        <v>30</v>
      </c>
      <c r="H112" s="3">
        <v>35</v>
      </c>
      <c r="J112" s="3">
        <v>28</v>
      </c>
      <c r="K112" s="3">
        <v>42</v>
      </c>
      <c r="L112" s="3">
        <v>28</v>
      </c>
      <c r="M112" s="3">
        <v>31</v>
      </c>
      <c r="O112" s="3">
        <f t="shared" si="37"/>
        <v>124</v>
      </c>
      <c r="P112" s="3">
        <f t="shared" si="38"/>
        <v>129</v>
      </c>
      <c r="Q112" s="3" t="str">
        <f t="shared" si="39"/>
        <v>HW</v>
      </c>
      <c r="R112" s="3" t="str">
        <f t="shared" si="40"/>
        <v>HL</v>
      </c>
      <c r="S112" s="3" t="str">
        <f t="shared" si="41"/>
        <v>HW</v>
      </c>
      <c r="T112" s="3" t="str">
        <f t="shared" si="42"/>
        <v>HW</v>
      </c>
      <c r="U112" s="3" t="str">
        <f t="shared" si="43"/>
        <v>O</v>
      </c>
      <c r="V112" s="3" t="str">
        <f t="shared" si="44"/>
        <v>O</v>
      </c>
      <c r="W112" s="3" t="str">
        <f t="shared" si="45"/>
        <v>O</v>
      </c>
      <c r="X112" s="3" t="str">
        <f t="shared" si="46"/>
        <v>O</v>
      </c>
      <c r="Z112" s="3">
        <v>55.5</v>
      </c>
      <c r="AB112" s="3" t="str">
        <f t="shared" si="47"/>
        <v>LAC/MIL</v>
      </c>
      <c r="AC112" s="3">
        <f t="shared" si="48"/>
        <v>4</v>
      </c>
      <c r="AD112" s="3">
        <f t="shared" si="49"/>
        <v>0</v>
      </c>
    </row>
    <row r="113" spans="1:30" x14ac:dyDescent="0.45">
      <c r="A113" s="3">
        <v>191108</v>
      </c>
      <c r="B113" s="1">
        <v>0.41666666666666669</v>
      </c>
      <c r="C113" s="3" t="s">
        <v>148</v>
      </c>
      <c r="D113" s="3" t="s">
        <v>132</v>
      </c>
      <c r="E113" s="3">
        <v>20</v>
      </c>
      <c r="F113" s="3">
        <v>23</v>
      </c>
      <c r="G113" s="3">
        <v>24</v>
      </c>
      <c r="H113" s="3">
        <v>20</v>
      </c>
      <c r="J113" s="3">
        <v>30</v>
      </c>
      <c r="K113" s="3">
        <v>22</v>
      </c>
      <c r="L113" s="3">
        <v>33</v>
      </c>
      <c r="M113" s="3">
        <v>23</v>
      </c>
      <c r="O113" s="3">
        <f t="shared" si="37"/>
        <v>87</v>
      </c>
      <c r="P113" s="3">
        <f t="shared" si="38"/>
        <v>108</v>
      </c>
      <c r="Q113" s="3" t="str">
        <f t="shared" si="39"/>
        <v>HL</v>
      </c>
      <c r="R113" s="3" t="str">
        <f t="shared" si="40"/>
        <v>HW</v>
      </c>
      <c r="S113" s="3" t="str">
        <f t="shared" si="41"/>
        <v>HL</v>
      </c>
      <c r="T113" s="3" t="str">
        <f t="shared" si="42"/>
        <v>HL</v>
      </c>
      <c r="U113" s="3" t="str">
        <f t="shared" si="43"/>
        <v>U</v>
      </c>
      <c r="V113" s="3" t="str">
        <f t="shared" si="44"/>
        <v>U</v>
      </c>
      <c r="W113" s="3" t="str">
        <f t="shared" si="45"/>
        <v>O</v>
      </c>
      <c r="X113" s="3" t="str">
        <f t="shared" si="46"/>
        <v>U</v>
      </c>
      <c r="Z113" s="3">
        <v>53.5</v>
      </c>
      <c r="AB113" s="3" t="str">
        <f t="shared" si="47"/>
        <v>CHA/BOS</v>
      </c>
      <c r="AC113" s="3">
        <f t="shared" si="48"/>
        <v>1</v>
      </c>
      <c r="AD113" s="3">
        <f t="shared" si="49"/>
        <v>3</v>
      </c>
    </row>
    <row r="114" spans="1:30" x14ac:dyDescent="0.45">
      <c r="A114" s="3">
        <v>191108</v>
      </c>
      <c r="B114" s="1">
        <v>0.4375</v>
      </c>
      <c r="C114" s="3" t="s">
        <v>127</v>
      </c>
      <c r="D114" s="3" t="s">
        <v>141</v>
      </c>
      <c r="E114" s="3">
        <v>33</v>
      </c>
      <c r="F114" s="3">
        <v>23</v>
      </c>
      <c r="G114" s="3">
        <v>36</v>
      </c>
      <c r="H114" s="3">
        <v>29</v>
      </c>
      <c r="J114" s="3">
        <v>30</v>
      </c>
      <c r="K114" s="3">
        <v>27</v>
      </c>
      <c r="L114" s="3">
        <v>27</v>
      </c>
      <c r="M114" s="3">
        <v>28</v>
      </c>
      <c r="O114" s="3">
        <f t="shared" si="37"/>
        <v>121</v>
      </c>
      <c r="P114" s="3">
        <f t="shared" si="38"/>
        <v>112</v>
      </c>
      <c r="Q114" s="3" t="str">
        <f t="shared" si="39"/>
        <v>HW</v>
      </c>
      <c r="R114" s="3" t="str">
        <f t="shared" si="40"/>
        <v>HL</v>
      </c>
      <c r="S114" s="3" t="str">
        <f t="shared" si="41"/>
        <v>HW</v>
      </c>
      <c r="T114" s="3" t="str">
        <f t="shared" si="42"/>
        <v>HW</v>
      </c>
      <c r="U114" s="3" t="str">
        <f t="shared" si="43"/>
        <v>O</v>
      </c>
      <c r="V114" s="3" t="str">
        <f t="shared" si="44"/>
        <v>U</v>
      </c>
      <c r="W114" s="3" t="str">
        <f t="shared" si="45"/>
        <v>O</v>
      </c>
      <c r="X114" s="3" t="str">
        <f t="shared" si="46"/>
        <v>O</v>
      </c>
      <c r="Z114" s="3">
        <v>55</v>
      </c>
      <c r="AB114" s="3" t="str">
        <f t="shared" si="47"/>
        <v>SAS/OKC</v>
      </c>
      <c r="AC114" s="3">
        <f t="shared" si="48"/>
        <v>3</v>
      </c>
      <c r="AD114" s="3">
        <f t="shared" si="49"/>
        <v>1</v>
      </c>
    </row>
    <row r="115" spans="1:30" x14ac:dyDescent="0.45">
      <c r="A115" s="3">
        <v>191108</v>
      </c>
      <c r="B115" s="1">
        <v>0.45833333333333331</v>
      </c>
      <c r="C115" s="3" t="s">
        <v>147</v>
      </c>
      <c r="D115" s="3" t="s">
        <v>123</v>
      </c>
      <c r="E115" s="3">
        <v>30</v>
      </c>
      <c r="F115" s="3">
        <v>27</v>
      </c>
      <c r="G115" s="3">
        <v>29</v>
      </c>
      <c r="H115" s="3">
        <v>22</v>
      </c>
      <c r="J115" s="3">
        <v>31</v>
      </c>
      <c r="K115" s="3">
        <v>33</v>
      </c>
      <c r="L115" s="3">
        <v>29</v>
      </c>
      <c r="M115" s="3">
        <v>31</v>
      </c>
      <c r="O115" s="3">
        <f t="shared" si="37"/>
        <v>108</v>
      </c>
      <c r="P115" s="3">
        <f t="shared" si="38"/>
        <v>124</v>
      </c>
      <c r="Q115" s="3" t="str">
        <f t="shared" si="39"/>
        <v>HL</v>
      </c>
      <c r="R115" s="3" t="str">
        <f t="shared" si="40"/>
        <v>HL</v>
      </c>
      <c r="S115" s="3" t="str">
        <f t="shared" si="41"/>
        <v>TT</v>
      </c>
      <c r="T115" s="3" t="str">
        <f t="shared" si="42"/>
        <v>HL</v>
      </c>
      <c r="U115" s="3" t="str">
        <f t="shared" si="43"/>
        <v>O</v>
      </c>
      <c r="V115" s="3" t="str">
        <f t="shared" si="44"/>
        <v>O</v>
      </c>
      <c r="W115" s="3" t="str">
        <f t="shared" si="45"/>
        <v>O</v>
      </c>
      <c r="X115" s="3" t="str">
        <f t="shared" si="46"/>
        <v>U</v>
      </c>
      <c r="Z115" s="3">
        <v>56</v>
      </c>
      <c r="AB115" s="3" t="str">
        <f t="shared" si="47"/>
        <v>PHO/MIA</v>
      </c>
      <c r="AC115" s="3">
        <f t="shared" si="48"/>
        <v>3</v>
      </c>
      <c r="AD115" s="3">
        <f t="shared" si="49"/>
        <v>1</v>
      </c>
    </row>
    <row r="116" spans="1:30" x14ac:dyDescent="0.45">
      <c r="A116" s="3">
        <v>191108</v>
      </c>
      <c r="B116" s="1">
        <v>0.52083333333333337</v>
      </c>
      <c r="C116" s="3" t="s">
        <v>126</v>
      </c>
      <c r="D116" s="3" t="s">
        <v>149</v>
      </c>
      <c r="E116" s="3">
        <v>26</v>
      </c>
      <c r="F116" s="3">
        <v>21</v>
      </c>
      <c r="G116" s="3">
        <v>23</v>
      </c>
      <c r="H116" s="3">
        <v>37</v>
      </c>
      <c r="J116" s="3">
        <v>22</v>
      </c>
      <c r="K116" s="3">
        <v>18</v>
      </c>
      <c r="L116" s="3">
        <v>36</v>
      </c>
      <c r="M116" s="3">
        <v>25</v>
      </c>
      <c r="O116" s="3">
        <f t="shared" si="37"/>
        <v>107</v>
      </c>
      <c r="P116" s="3">
        <f t="shared" si="38"/>
        <v>101</v>
      </c>
      <c r="Q116" s="3" t="str">
        <f t="shared" si="39"/>
        <v>HW</v>
      </c>
      <c r="R116" s="3" t="str">
        <f t="shared" si="40"/>
        <v>HW</v>
      </c>
      <c r="S116" s="3" t="str">
        <f t="shared" si="41"/>
        <v>HL</v>
      </c>
      <c r="T116" s="3" t="str">
        <f t="shared" si="42"/>
        <v>HW</v>
      </c>
      <c r="U116" s="3" t="str">
        <f t="shared" si="43"/>
        <v>U</v>
      </c>
      <c r="V116" s="3" t="str">
        <f t="shared" si="44"/>
        <v>U</v>
      </c>
      <c r="W116" s="3" t="str">
        <f t="shared" si="45"/>
        <v>O</v>
      </c>
      <c r="X116" s="3" t="str">
        <f t="shared" si="46"/>
        <v>O</v>
      </c>
      <c r="Z116" s="3">
        <v>56.5</v>
      </c>
      <c r="AB116" s="3" t="str">
        <f t="shared" si="47"/>
        <v>LAC/POR</v>
      </c>
      <c r="AC116" s="3">
        <f t="shared" si="48"/>
        <v>2</v>
      </c>
      <c r="AD116" s="3">
        <f t="shared" si="49"/>
        <v>2</v>
      </c>
    </row>
    <row r="117" spans="1:30" x14ac:dyDescent="0.45">
      <c r="A117" s="3">
        <v>191109</v>
      </c>
      <c r="B117" s="1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J117" s="3">
        <v>35</v>
      </c>
      <c r="K117" s="3">
        <v>18</v>
      </c>
      <c r="L117" s="3">
        <v>19</v>
      </c>
      <c r="M117" s="3">
        <v>34</v>
      </c>
      <c r="O117" s="3">
        <f t="shared" ref="O117:O161" si="50">SUM(E117:I117)</f>
        <v>112</v>
      </c>
      <c r="P117" s="3">
        <f t="shared" ref="P117:P161" si="51">SUM(J117:N117)</f>
        <v>106</v>
      </c>
      <c r="Q117" s="3" t="str">
        <f t="shared" ref="Q117:Q161" si="52">IF(E117=J117,"TT",IF(E117&gt;J117,"HW","HL"))</f>
        <v>HL</v>
      </c>
      <c r="R117" s="3" t="str">
        <f t="shared" ref="R117:R161" si="53">IF(F117=K117,"TT",IF(F117&gt;K117,"HW","HL"))</f>
        <v>HW</v>
      </c>
      <c r="S117" s="3" t="str">
        <f t="shared" ref="S117:S161" si="54">IF(G117=L117,"TT",IF(G117&gt;L117,"HW","HL"))</f>
        <v>HW</v>
      </c>
      <c r="T117" s="3" t="str">
        <f t="shared" ref="T117:T161" si="55">IF(H117=M117,"TT",IF(H117&gt;M117,"HW","HL"))</f>
        <v>HL</v>
      </c>
      <c r="U117" s="3" t="str">
        <f t="shared" ref="U117:U161" si="56">IF(SUM(E117,J117)=$Z117,"T",IF(SUM(E117,J117)&gt;$Z117,"O","U"))</f>
        <v>O</v>
      </c>
      <c r="V117" s="3" t="str">
        <f t="shared" ref="V117:V161" si="57">IF(SUM(F117,K117)=$Z117,"T",IF(SUM(F117,K117)&gt;$Z117,"O","U"))</f>
        <v>U</v>
      </c>
      <c r="W117" s="3" t="str">
        <f t="shared" ref="W117:W161" si="58">IF(SUM(G117,L117)=$Z117,"T",IF(SUM(G117,L117)&gt;$Z117,"O","U"))</f>
        <v>U</v>
      </c>
      <c r="X117" s="3" t="str">
        <f t="shared" ref="X117:X161" si="59">IF(SUM(H117,M117)=$Z117,"T",IF(SUM(H117,M117)&gt;$Z117,"O","U"))</f>
        <v>O</v>
      </c>
      <c r="Z117" s="3">
        <v>54.5</v>
      </c>
      <c r="AB117" s="3" t="str">
        <f t="shared" ref="AB117:AB146" si="60">C117&amp;"/"&amp;D117</f>
        <v>IND/DET</v>
      </c>
      <c r="AC117" s="3">
        <f t="shared" ref="AC117:AC146" si="61">COUNTIF(U117:X117,"o")</f>
        <v>2</v>
      </c>
      <c r="AD117" s="3">
        <f t="shared" ref="AD117:AD146" si="62">COUNTIF(U117:X117,"u")</f>
        <v>2</v>
      </c>
    </row>
    <row r="118" spans="1:30" x14ac:dyDescent="0.45">
      <c r="A118" s="3">
        <v>191109</v>
      </c>
      <c r="B118" s="1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J118" s="3">
        <v>15</v>
      </c>
      <c r="K118" s="3">
        <v>33</v>
      </c>
      <c r="L118" s="3">
        <v>30</v>
      </c>
      <c r="M118" s="3">
        <v>8</v>
      </c>
      <c r="O118" s="3">
        <f t="shared" si="50"/>
        <v>118</v>
      </c>
      <c r="P118" s="3">
        <f t="shared" si="51"/>
        <v>86</v>
      </c>
      <c r="Q118" s="3" t="str">
        <f t="shared" si="52"/>
        <v>HW</v>
      </c>
      <c r="R118" s="3" t="str">
        <f t="shared" si="53"/>
        <v>HL</v>
      </c>
      <c r="S118" s="3" t="str">
        <f t="shared" si="54"/>
        <v>HW</v>
      </c>
      <c r="T118" s="3" t="str">
        <f t="shared" si="55"/>
        <v>HW</v>
      </c>
      <c r="U118" s="3" t="str">
        <f t="shared" si="56"/>
        <v>U</v>
      </c>
      <c r="V118" s="3" t="str">
        <f t="shared" si="57"/>
        <v>O</v>
      </c>
      <c r="W118" s="3" t="str">
        <f t="shared" si="58"/>
        <v>O</v>
      </c>
      <c r="X118" s="3" t="str">
        <f t="shared" si="59"/>
        <v>U</v>
      </c>
      <c r="Z118" s="3">
        <v>52</v>
      </c>
      <c r="AB118" s="3" t="str">
        <f t="shared" si="60"/>
        <v>ORL/MEM</v>
      </c>
      <c r="AC118" s="3">
        <f t="shared" si="61"/>
        <v>2</v>
      </c>
      <c r="AD118" s="3">
        <f t="shared" si="62"/>
        <v>2</v>
      </c>
    </row>
    <row r="119" spans="1:30" x14ac:dyDescent="0.45">
      <c r="A119" s="3">
        <v>191109</v>
      </c>
      <c r="B119" s="1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J119" s="3">
        <v>30</v>
      </c>
      <c r="K119" s="3">
        <v>37</v>
      </c>
      <c r="L119" s="3">
        <v>21</v>
      </c>
      <c r="M119" s="3">
        <v>25</v>
      </c>
      <c r="O119" s="3">
        <f t="shared" si="50"/>
        <v>100</v>
      </c>
      <c r="P119" s="3">
        <f t="shared" si="51"/>
        <v>113</v>
      </c>
      <c r="Q119" s="3" t="str">
        <f t="shared" si="52"/>
        <v>HL</v>
      </c>
      <c r="R119" s="3" t="str">
        <f t="shared" si="53"/>
        <v>HL</v>
      </c>
      <c r="S119" s="3" t="str">
        <f t="shared" si="54"/>
        <v>HW</v>
      </c>
      <c r="T119" s="3" t="str">
        <f t="shared" si="55"/>
        <v>HL</v>
      </c>
      <c r="U119" s="3" t="str">
        <f t="shared" si="56"/>
        <v>U</v>
      </c>
      <c r="V119" s="3" t="str">
        <f t="shared" si="57"/>
        <v>O</v>
      </c>
      <c r="W119" s="3" t="str">
        <f t="shared" si="58"/>
        <v>U</v>
      </c>
      <c r="X119" s="3" t="str">
        <f t="shared" si="59"/>
        <v>U</v>
      </c>
      <c r="Z119" s="3">
        <v>57</v>
      </c>
      <c r="AB119" s="3" t="str">
        <f t="shared" si="60"/>
        <v>WAS/CLE</v>
      </c>
      <c r="AC119" s="3">
        <f t="shared" si="61"/>
        <v>1</v>
      </c>
      <c r="AD119" s="3">
        <f t="shared" si="62"/>
        <v>3</v>
      </c>
    </row>
    <row r="120" spans="1:30" x14ac:dyDescent="0.45">
      <c r="A120" s="3">
        <v>191109</v>
      </c>
      <c r="B120" s="1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J120" s="3">
        <v>31</v>
      </c>
      <c r="K120" s="3">
        <v>32</v>
      </c>
      <c r="L120" s="3">
        <v>28</v>
      </c>
      <c r="M120" s="3">
        <v>30</v>
      </c>
      <c r="O120" s="3">
        <f t="shared" si="50"/>
        <v>109</v>
      </c>
      <c r="P120" s="3">
        <f t="shared" si="51"/>
        <v>121</v>
      </c>
      <c r="Q120" s="3" t="str">
        <f t="shared" si="52"/>
        <v>HL</v>
      </c>
      <c r="R120" s="3" t="str">
        <f t="shared" si="53"/>
        <v>HL</v>
      </c>
      <c r="S120" s="3" t="str">
        <f t="shared" si="54"/>
        <v>HW</v>
      </c>
      <c r="T120" s="3" t="str">
        <f t="shared" si="55"/>
        <v>HL</v>
      </c>
      <c r="U120" s="3" t="str">
        <f t="shared" si="56"/>
        <v>U</v>
      </c>
      <c r="V120" s="3" t="str">
        <f t="shared" si="57"/>
        <v>U</v>
      </c>
      <c r="W120" s="3" t="str">
        <f t="shared" si="58"/>
        <v>O</v>
      </c>
      <c r="X120" s="3" t="str">
        <f t="shared" si="59"/>
        <v>U</v>
      </c>
      <c r="Z120" s="3">
        <v>58</v>
      </c>
      <c r="AB120" s="3" t="str">
        <f t="shared" si="60"/>
        <v>ATL/SAC</v>
      </c>
      <c r="AC120" s="3">
        <f t="shared" si="61"/>
        <v>1</v>
      </c>
      <c r="AD120" s="3">
        <f t="shared" si="62"/>
        <v>3</v>
      </c>
    </row>
    <row r="121" spans="1:30" x14ac:dyDescent="0.45">
      <c r="A121" s="3">
        <v>191109</v>
      </c>
      <c r="B121" s="1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J121" s="3">
        <v>30</v>
      </c>
      <c r="K121" s="3">
        <v>45</v>
      </c>
      <c r="L121" s="3">
        <v>22</v>
      </c>
      <c r="M121" s="3">
        <v>25</v>
      </c>
      <c r="O121" s="3">
        <f t="shared" si="50"/>
        <v>104</v>
      </c>
      <c r="P121" s="3">
        <f t="shared" si="51"/>
        <v>122</v>
      </c>
      <c r="Q121" s="3" t="str">
        <f t="shared" si="52"/>
        <v>TT</v>
      </c>
      <c r="R121" s="3" t="str">
        <f t="shared" si="53"/>
        <v>HL</v>
      </c>
      <c r="S121" s="3" t="str">
        <f t="shared" si="54"/>
        <v>TT</v>
      </c>
      <c r="T121" s="3" t="str">
        <f t="shared" si="55"/>
        <v>HW</v>
      </c>
      <c r="U121" s="3" t="str">
        <f t="shared" si="56"/>
        <v>T</v>
      </c>
      <c r="V121" s="3" t="str">
        <f t="shared" si="57"/>
        <v>O</v>
      </c>
      <c r="W121" s="3" t="str">
        <f t="shared" si="58"/>
        <v>U</v>
      </c>
      <c r="X121" s="3" t="str">
        <f t="shared" si="59"/>
        <v>U</v>
      </c>
      <c r="Z121" s="3">
        <v>60</v>
      </c>
      <c r="AB121" s="3" t="str">
        <f t="shared" si="60"/>
        <v>NO/TOR</v>
      </c>
      <c r="AC121" s="3">
        <f t="shared" si="61"/>
        <v>1</v>
      </c>
      <c r="AD121" s="3">
        <f t="shared" si="62"/>
        <v>2</v>
      </c>
    </row>
    <row r="122" spans="1:30" x14ac:dyDescent="0.45">
      <c r="A122" s="3">
        <v>191109</v>
      </c>
      <c r="B122" s="1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50"/>
        <v>125</v>
      </c>
      <c r="P122" s="3">
        <f t="shared" si="51"/>
        <v>119</v>
      </c>
      <c r="Q122" s="3" t="str">
        <f t="shared" si="52"/>
        <v>HL</v>
      </c>
      <c r="R122" s="3" t="str">
        <f t="shared" si="53"/>
        <v>HW</v>
      </c>
      <c r="S122" s="3" t="str">
        <f t="shared" si="54"/>
        <v>HL</v>
      </c>
      <c r="T122" s="3" t="str">
        <f t="shared" si="55"/>
        <v>HW</v>
      </c>
      <c r="U122" s="3" t="str">
        <f t="shared" si="56"/>
        <v>O</v>
      </c>
      <c r="V122" s="3" t="str">
        <f t="shared" si="57"/>
        <v>O</v>
      </c>
      <c r="W122" s="3" t="str">
        <f t="shared" si="58"/>
        <v>U</v>
      </c>
      <c r="X122" s="3" t="str">
        <f t="shared" si="59"/>
        <v>U</v>
      </c>
      <c r="Z122" s="3">
        <v>59.5</v>
      </c>
      <c r="AB122" s="3" t="str">
        <f t="shared" si="60"/>
        <v>MIN/GS</v>
      </c>
      <c r="AC122" s="3">
        <f t="shared" si="61"/>
        <v>2</v>
      </c>
      <c r="AD122" s="3">
        <f t="shared" si="62"/>
        <v>2</v>
      </c>
    </row>
    <row r="123" spans="1:30" x14ac:dyDescent="0.45">
      <c r="A123" s="3">
        <v>191109</v>
      </c>
      <c r="B123" s="1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J123" s="3">
        <v>36</v>
      </c>
      <c r="K123" s="3">
        <v>25</v>
      </c>
      <c r="L123" s="3">
        <v>23</v>
      </c>
      <c r="M123" s="3">
        <v>22</v>
      </c>
      <c r="O123" s="3">
        <f t="shared" si="50"/>
        <v>102</v>
      </c>
      <c r="P123" s="3">
        <f t="shared" si="51"/>
        <v>106</v>
      </c>
      <c r="Q123" s="3" t="str">
        <f t="shared" si="52"/>
        <v>HL</v>
      </c>
      <c r="R123" s="3" t="str">
        <f t="shared" si="53"/>
        <v>HW</v>
      </c>
      <c r="S123" s="3" t="str">
        <f t="shared" si="54"/>
        <v>TT</v>
      </c>
      <c r="T123" s="3" t="str">
        <f t="shared" si="55"/>
        <v>TT</v>
      </c>
      <c r="U123" s="3" t="str">
        <f t="shared" si="56"/>
        <v>O</v>
      </c>
      <c r="V123" s="3" t="str">
        <f t="shared" si="57"/>
        <v>U</v>
      </c>
      <c r="W123" s="3" t="str">
        <f t="shared" si="58"/>
        <v>U</v>
      </c>
      <c r="X123" s="3" t="str">
        <f t="shared" si="59"/>
        <v>U</v>
      </c>
      <c r="Z123" s="3">
        <v>55</v>
      </c>
      <c r="AB123" s="3" t="str">
        <f t="shared" si="60"/>
        <v>DAL/NYK</v>
      </c>
      <c r="AC123" s="3">
        <f t="shared" si="61"/>
        <v>1</v>
      </c>
      <c r="AD123" s="3">
        <f t="shared" si="62"/>
        <v>3</v>
      </c>
    </row>
    <row r="124" spans="1:30" x14ac:dyDescent="0.45">
      <c r="A124" s="3">
        <v>191109</v>
      </c>
      <c r="B124" s="1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J124" s="3">
        <v>24</v>
      </c>
      <c r="K124" s="3">
        <v>33</v>
      </c>
      <c r="L124" s="3">
        <v>27</v>
      </c>
      <c r="M124" s="3">
        <v>13</v>
      </c>
      <c r="O124" s="3">
        <f t="shared" si="50"/>
        <v>100</v>
      </c>
      <c r="P124" s="3">
        <f t="shared" si="51"/>
        <v>97</v>
      </c>
      <c r="Q124" s="3" t="str">
        <f t="shared" si="52"/>
        <v>HL</v>
      </c>
      <c r="R124" s="3" t="str">
        <f t="shared" si="53"/>
        <v>HL</v>
      </c>
      <c r="S124" s="3" t="str">
        <f t="shared" si="54"/>
        <v>HL</v>
      </c>
      <c r="T124" s="3" t="str">
        <f t="shared" si="55"/>
        <v>HW</v>
      </c>
      <c r="U124" s="3" t="str">
        <f t="shared" si="56"/>
        <v>U</v>
      </c>
      <c r="V124" s="3" t="str">
        <f t="shared" si="57"/>
        <v>O</v>
      </c>
      <c r="W124" s="3" t="str">
        <f t="shared" si="58"/>
        <v>U</v>
      </c>
      <c r="X124" s="3" t="str">
        <f t="shared" si="59"/>
        <v>U</v>
      </c>
      <c r="Z124" s="3">
        <v>52.5</v>
      </c>
      <c r="AB124" s="3" t="str">
        <f t="shared" si="60"/>
        <v>DEN/PHI</v>
      </c>
      <c r="AC124" s="3">
        <f t="shared" si="61"/>
        <v>1</v>
      </c>
      <c r="AD124" s="3">
        <f t="shared" si="62"/>
        <v>3</v>
      </c>
    </row>
    <row r="125" spans="1:30" x14ac:dyDescent="0.45">
      <c r="A125" s="3">
        <v>191109</v>
      </c>
      <c r="B125" s="1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J125" s="3">
        <v>16</v>
      </c>
      <c r="K125" s="3">
        <v>19</v>
      </c>
      <c r="L125" s="3">
        <v>39</v>
      </c>
      <c r="M125" s="3">
        <v>26</v>
      </c>
      <c r="O125" s="3">
        <f t="shared" si="50"/>
        <v>103</v>
      </c>
      <c r="P125" s="3">
        <f t="shared" si="51"/>
        <v>100</v>
      </c>
      <c r="Q125" s="3" t="str">
        <f t="shared" si="52"/>
        <v>HW</v>
      </c>
      <c r="R125" s="3" t="str">
        <f t="shared" si="53"/>
        <v>HW</v>
      </c>
      <c r="S125" s="3" t="str">
        <f t="shared" si="54"/>
        <v>HL</v>
      </c>
      <c r="T125" s="3" t="str">
        <f t="shared" si="55"/>
        <v>HL</v>
      </c>
      <c r="U125" s="3" t="str">
        <f t="shared" si="56"/>
        <v>U</v>
      </c>
      <c r="V125" s="3" t="str">
        <f t="shared" si="57"/>
        <v>U</v>
      </c>
      <c r="W125" s="3" t="str">
        <f t="shared" si="58"/>
        <v>O</v>
      </c>
      <c r="X125" s="3" t="str">
        <f t="shared" si="59"/>
        <v>U</v>
      </c>
      <c r="Z125" s="3">
        <v>52.5</v>
      </c>
      <c r="AB125" s="3" t="str">
        <f t="shared" si="60"/>
        <v>UTA/MIL</v>
      </c>
      <c r="AC125" s="3">
        <f t="shared" si="61"/>
        <v>1</v>
      </c>
      <c r="AD125" s="3">
        <f t="shared" si="62"/>
        <v>3</v>
      </c>
    </row>
    <row r="126" spans="1:30" x14ac:dyDescent="0.45">
      <c r="A126" s="3">
        <v>191109</v>
      </c>
      <c r="B126" s="1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J126" s="3">
        <v>26</v>
      </c>
      <c r="K126" s="3">
        <v>28</v>
      </c>
      <c r="L126" s="3">
        <v>35</v>
      </c>
      <c r="M126" s="3">
        <v>30</v>
      </c>
      <c r="O126" s="3">
        <f t="shared" si="50"/>
        <v>115</v>
      </c>
      <c r="P126" s="3">
        <f t="shared" si="51"/>
        <v>119</v>
      </c>
      <c r="Q126" s="3" t="str">
        <f t="shared" si="52"/>
        <v>HL</v>
      </c>
      <c r="R126" s="3" t="str">
        <f t="shared" si="53"/>
        <v>HW</v>
      </c>
      <c r="S126" s="3" t="str">
        <f t="shared" si="54"/>
        <v>HW</v>
      </c>
      <c r="T126" s="3" t="str">
        <f t="shared" si="55"/>
        <v>HL</v>
      </c>
      <c r="U126" s="3" t="str">
        <f t="shared" si="56"/>
        <v>U</v>
      </c>
      <c r="V126" s="3" t="str">
        <f t="shared" si="57"/>
        <v>U</v>
      </c>
      <c r="W126" s="3" t="str">
        <f t="shared" si="58"/>
        <v>O</v>
      </c>
      <c r="X126" s="3" t="str">
        <f t="shared" si="59"/>
        <v>O</v>
      </c>
      <c r="Z126" s="3">
        <v>57.5</v>
      </c>
      <c r="AB126" s="3" t="str">
        <f t="shared" si="60"/>
        <v>POR/BKN</v>
      </c>
      <c r="AC126" s="3">
        <f t="shared" si="61"/>
        <v>2</v>
      </c>
      <c r="AD126" s="3">
        <f t="shared" si="62"/>
        <v>2</v>
      </c>
    </row>
    <row r="127" spans="1:30" x14ac:dyDescent="0.45">
      <c r="A127" s="3">
        <v>191109</v>
      </c>
      <c r="B127" s="1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J127" s="3">
        <v>21</v>
      </c>
      <c r="K127" s="3">
        <v>25</v>
      </c>
      <c r="L127" s="3">
        <v>20</v>
      </c>
      <c r="M127" s="3">
        <v>14</v>
      </c>
      <c r="O127" s="3">
        <f t="shared" si="50"/>
        <v>95</v>
      </c>
      <c r="P127" s="3">
        <f t="shared" si="51"/>
        <v>80</v>
      </c>
      <c r="Q127" s="3" t="str">
        <f t="shared" si="52"/>
        <v>HW</v>
      </c>
      <c r="R127" s="3" t="str">
        <f t="shared" si="53"/>
        <v>HL</v>
      </c>
      <c r="S127" s="3" t="str">
        <f t="shared" si="54"/>
        <v>HW</v>
      </c>
      <c r="T127" s="3" t="str">
        <f t="shared" si="55"/>
        <v>HW</v>
      </c>
      <c r="U127" s="3" t="str">
        <f t="shared" si="56"/>
        <v>U</v>
      </c>
      <c r="V127" s="3" t="str">
        <f t="shared" si="57"/>
        <v>U</v>
      </c>
      <c r="W127" s="3" t="str">
        <f t="shared" si="58"/>
        <v>U</v>
      </c>
      <c r="X127" s="3" t="str">
        <f t="shared" si="59"/>
        <v>U</v>
      </c>
      <c r="Z127" s="3">
        <v>56</v>
      </c>
      <c r="AB127" s="3" t="str">
        <f t="shared" si="60"/>
        <v>LAL/MIA</v>
      </c>
      <c r="AC127" s="3">
        <f t="shared" si="61"/>
        <v>0</v>
      </c>
      <c r="AD127" s="3">
        <f t="shared" si="62"/>
        <v>4</v>
      </c>
    </row>
    <row r="128" spans="1:30" x14ac:dyDescent="0.45">
      <c r="A128" s="3">
        <v>191110</v>
      </c>
      <c r="B128" s="1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J128" s="3">
        <v>39</v>
      </c>
      <c r="K128" s="3">
        <v>33</v>
      </c>
      <c r="L128" s="3">
        <v>32</v>
      </c>
      <c r="M128" s="3">
        <v>31</v>
      </c>
      <c r="O128" s="3">
        <f t="shared" si="50"/>
        <v>115</v>
      </c>
      <c r="P128" s="3">
        <f t="shared" si="51"/>
        <v>135</v>
      </c>
      <c r="Q128" s="3" t="str">
        <f t="shared" si="52"/>
        <v>HL</v>
      </c>
      <c r="R128" s="3" t="str">
        <f t="shared" si="53"/>
        <v>HL</v>
      </c>
      <c r="S128" s="3" t="str">
        <f t="shared" si="54"/>
        <v>HW</v>
      </c>
      <c r="T128" s="3" t="str">
        <f t="shared" si="55"/>
        <v>HL</v>
      </c>
      <c r="U128" s="3" t="str">
        <f t="shared" si="56"/>
        <v>O</v>
      </c>
      <c r="V128" s="3" t="str">
        <f t="shared" si="57"/>
        <v>O</v>
      </c>
      <c r="W128" s="3" t="str">
        <f t="shared" si="58"/>
        <v>O</v>
      </c>
      <c r="X128" s="3" t="str">
        <f t="shared" si="59"/>
        <v>O</v>
      </c>
      <c r="Z128" s="3">
        <v>52.5</v>
      </c>
      <c r="AB128" s="3" t="str">
        <f t="shared" si="60"/>
        <v>SAS/BOS</v>
      </c>
      <c r="AC128" s="3">
        <f t="shared" si="61"/>
        <v>4</v>
      </c>
      <c r="AD128" s="3">
        <f t="shared" si="62"/>
        <v>0</v>
      </c>
    </row>
    <row r="129" spans="1:30" x14ac:dyDescent="0.45">
      <c r="A129" s="3">
        <v>191110</v>
      </c>
      <c r="B129" s="1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J129" s="3">
        <v>33</v>
      </c>
      <c r="K129" s="3">
        <v>22</v>
      </c>
      <c r="L129" s="3">
        <v>26</v>
      </c>
      <c r="M129" s="3">
        <v>34</v>
      </c>
      <c r="O129" s="3">
        <f t="shared" si="50"/>
        <v>110</v>
      </c>
      <c r="P129" s="3">
        <f t="shared" si="51"/>
        <v>115</v>
      </c>
      <c r="Q129" s="3" t="str">
        <f t="shared" si="52"/>
        <v>HL</v>
      </c>
      <c r="R129" s="3" t="str">
        <f t="shared" si="53"/>
        <v>HW</v>
      </c>
      <c r="S129" s="3" t="str">
        <f t="shared" si="54"/>
        <v>HL</v>
      </c>
      <c r="T129" s="3" t="str">
        <f t="shared" si="55"/>
        <v>HL</v>
      </c>
      <c r="U129" s="3" t="str">
        <f t="shared" si="56"/>
        <v>O</v>
      </c>
      <c r="V129" s="3" t="str">
        <f t="shared" si="57"/>
        <v>U</v>
      </c>
      <c r="W129" s="3" t="str">
        <f t="shared" si="58"/>
        <v>U</v>
      </c>
      <c r="X129" s="3" t="str">
        <f t="shared" si="59"/>
        <v>U</v>
      </c>
      <c r="Z129" s="3">
        <v>59.5</v>
      </c>
      <c r="AB129" s="3" t="str">
        <f t="shared" si="60"/>
        <v>CHA/NO</v>
      </c>
      <c r="AC129" s="3">
        <f t="shared" si="61"/>
        <v>1</v>
      </c>
      <c r="AD129" s="3">
        <f t="shared" si="62"/>
        <v>3</v>
      </c>
    </row>
    <row r="130" spans="1:30" x14ac:dyDescent="0.45">
      <c r="A130" s="3">
        <v>191110</v>
      </c>
      <c r="B130" s="1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J130" s="3">
        <v>20</v>
      </c>
      <c r="K130" s="3">
        <v>30</v>
      </c>
      <c r="L130" s="3">
        <v>36</v>
      </c>
      <c r="M130" s="3">
        <v>31</v>
      </c>
      <c r="O130" s="3">
        <f t="shared" si="50"/>
        <v>94</v>
      </c>
      <c r="P130" s="3">
        <f t="shared" si="51"/>
        <v>117</v>
      </c>
      <c r="Q130" s="3" t="str">
        <f t="shared" si="52"/>
        <v>HW</v>
      </c>
      <c r="R130" s="3" t="str">
        <f t="shared" si="53"/>
        <v>HL</v>
      </c>
      <c r="S130" s="3" t="str">
        <f t="shared" si="54"/>
        <v>HL</v>
      </c>
      <c r="T130" s="3" t="str">
        <f t="shared" si="55"/>
        <v>HL</v>
      </c>
      <c r="U130" s="3" t="str">
        <f t="shared" si="56"/>
        <v>U</v>
      </c>
      <c r="V130" s="3" t="str">
        <f t="shared" si="57"/>
        <v>U</v>
      </c>
      <c r="W130" s="3" t="str">
        <f t="shared" si="58"/>
        <v>U</v>
      </c>
      <c r="X130" s="3" t="str">
        <f t="shared" si="59"/>
        <v>U</v>
      </c>
      <c r="Z130" s="3">
        <v>60.5</v>
      </c>
      <c r="AB130" s="3" t="str">
        <f t="shared" si="60"/>
        <v>CHI/HOU</v>
      </c>
      <c r="AC130" s="3">
        <f t="shared" si="61"/>
        <v>0</v>
      </c>
      <c r="AD130" s="3">
        <f t="shared" si="62"/>
        <v>4</v>
      </c>
    </row>
    <row r="131" spans="1:30" x14ac:dyDescent="0.45">
      <c r="A131" s="3">
        <v>191110</v>
      </c>
      <c r="B131" s="1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J131" s="3">
        <v>27</v>
      </c>
      <c r="K131" s="3">
        <v>16</v>
      </c>
      <c r="L131" s="3">
        <v>41</v>
      </c>
      <c r="M131" s="3">
        <v>24</v>
      </c>
      <c r="O131" s="3">
        <f t="shared" si="50"/>
        <v>114</v>
      </c>
      <c r="P131" s="3">
        <f t="shared" si="51"/>
        <v>108</v>
      </c>
      <c r="Q131" s="3" t="str">
        <f t="shared" si="52"/>
        <v>HW</v>
      </c>
      <c r="R131" s="3" t="str">
        <f t="shared" si="53"/>
        <v>HW</v>
      </c>
      <c r="S131" s="3" t="str">
        <f t="shared" si="54"/>
        <v>HL</v>
      </c>
      <c r="T131" s="3" t="str">
        <f t="shared" si="55"/>
        <v>HW</v>
      </c>
      <c r="U131" s="3" t="str">
        <f t="shared" si="56"/>
        <v>O</v>
      </c>
      <c r="V131" s="3" t="str">
        <f t="shared" si="57"/>
        <v>U</v>
      </c>
      <c r="W131" s="3" t="str">
        <f t="shared" si="58"/>
        <v>O</v>
      </c>
      <c r="X131" s="3" t="str">
        <f t="shared" si="59"/>
        <v>U</v>
      </c>
      <c r="Z131" s="3">
        <v>56.5</v>
      </c>
      <c r="AB131" s="3" t="str">
        <f t="shared" si="60"/>
        <v>OKC/GS</v>
      </c>
      <c r="AC131" s="3">
        <f t="shared" si="61"/>
        <v>2</v>
      </c>
      <c r="AD131" s="3">
        <f t="shared" si="62"/>
        <v>2</v>
      </c>
    </row>
    <row r="132" spans="1:30" x14ac:dyDescent="0.45">
      <c r="A132" s="3">
        <v>191110</v>
      </c>
      <c r="B132" s="1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J132" s="3">
        <v>31</v>
      </c>
      <c r="K132" s="3">
        <v>37</v>
      </c>
      <c r="L132" s="3">
        <v>36</v>
      </c>
      <c r="M132" s="3">
        <v>34</v>
      </c>
      <c r="O132" s="3">
        <f t="shared" si="50"/>
        <v>122</v>
      </c>
      <c r="P132" s="3">
        <f t="shared" si="51"/>
        <v>138</v>
      </c>
      <c r="Q132" s="3" t="str">
        <f t="shared" si="52"/>
        <v>HW</v>
      </c>
      <c r="R132" s="3" t="str">
        <f t="shared" si="53"/>
        <v>HL</v>
      </c>
      <c r="S132" s="3" t="str">
        <f t="shared" si="54"/>
        <v>HL</v>
      </c>
      <c r="T132" s="3" t="str">
        <f t="shared" si="55"/>
        <v>HL</v>
      </c>
      <c r="U132" s="3" t="str">
        <f t="shared" si="56"/>
        <v>O</v>
      </c>
      <c r="V132" s="3" t="str">
        <f t="shared" si="57"/>
        <v>O</v>
      </c>
      <c r="W132" s="3" t="str">
        <f t="shared" si="58"/>
        <v>O</v>
      </c>
      <c r="X132" s="3" t="str">
        <f t="shared" si="59"/>
        <v>O</v>
      </c>
      <c r="Z132" s="3">
        <v>56.5</v>
      </c>
      <c r="AB132" s="3" t="str">
        <f t="shared" si="60"/>
        <v>MEM/DAL</v>
      </c>
      <c r="AC132" s="3">
        <f t="shared" si="61"/>
        <v>4</v>
      </c>
      <c r="AD132" s="3">
        <f t="shared" si="62"/>
        <v>0</v>
      </c>
    </row>
    <row r="133" spans="1:30" x14ac:dyDescent="0.45">
      <c r="A133" s="3">
        <v>191111</v>
      </c>
      <c r="B133" s="1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50"/>
        <v>98</v>
      </c>
      <c r="P133" s="3">
        <f t="shared" si="51"/>
        <v>100</v>
      </c>
      <c r="Q133" s="3" t="str">
        <f t="shared" si="52"/>
        <v>TT</v>
      </c>
      <c r="R133" s="3" t="str">
        <f t="shared" si="53"/>
        <v>HW</v>
      </c>
      <c r="S133" s="3" t="str">
        <f t="shared" si="54"/>
        <v>HL</v>
      </c>
      <c r="T133" s="3" t="str">
        <f t="shared" si="55"/>
        <v>HW</v>
      </c>
      <c r="U133" s="3" t="str">
        <f t="shared" si="56"/>
        <v>U</v>
      </c>
      <c r="V133" s="3" t="str">
        <f t="shared" si="57"/>
        <v>U</v>
      </c>
      <c r="W133" s="3" t="str">
        <f t="shared" si="58"/>
        <v>U</v>
      </c>
      <c r="X133" s="3" t="str">
        <f t="shared" si="59"/>
        <v>U</v>
      </c>
      <c r="Z133" s="3">
        <v>56</v>
      </c>
      <c r="AB133" s="3" t="str">
        <f t="shared" si="60"/>
        <v>MIN/DEN</v>
      </c>
      <c r="AC133" s="3">
        <f t="shared" si="61"/>
        <v>0</v>
      </c>
      <c r="AD133" s="3">
        <f t="shared" si="62"/>
        <v>4</v>
      </c>
    </row>
    <row r="134" spans="1:30" x14ac:dyDescent="0.45">
      <c r="A134" s="3">
        <v>191111</v>
      </c>
      <c r="B134" s="1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J134" s="3">
        <v>29</v>
      </c>
      <c r="K134" s="3">
        <v>22</v>
      </c>
      <c r="L134" s="3">
        <v>30</v>
      </c>
      <c r="M134" s="3">
        <v>28</v>
      </c>
      <c r="O134" s="3">
        <f t="shared" si="50"/>
        <v>102</v>
      </c>
      <c r="P134" s="3">
        <f t="shared" si="51"/>
        <v>109</v>
      </c>
      <c r="Q134" s="3" t="str">
        <f t="shared" si="52"/>
        <v>HW</v>
      </c>
      <c r="R134" s="3" t="str">
        <f t="shared" si="53"/>
        <v>HW</v>
      </c>
      <c r="S134" s="3" t="str">
        <f t="shared" si="54"/>
        <v>HL</v>
      </c>
      <c r="T134" s="3" t="str">
        <f t="shared" si="55"/>
        <v>HL</v>
      </c>
      <c r="U134" s="3" t="str">
        <f t="shared" si="56"/>
        <v>O</v>
      </c>
      <c r="V134" s="3" t="str">
        <f t="shared" si="57"/>
        <v>U</v>
      </c>
      <c r="W134" s="3" t="str">
        <f t="shared" si="58"/>
        <v>U</v>
      </c>
      <c r="X134" s="3" t="str">
        <f t="shared" si="59"/>
        <v>O</v>
      </c>
      <c r="Z134" s="3">
        <v>52</v>
      </c>
      <c r="AB134" s="3" t="str">
        <f t="shared" si="60"/>
        <v>ORL/IND</v>
      </c>
      <c r="AC134" s="3">
        <f t="shared" si="61"/>
        <v>2</v>
      </c>
      <c r="AD134" s="3">
        <f t="shared" si="62"/>
        <v>2</v>
      </c>
    </row>
    <row r="135" spans="1:30" x14ac:dyDescent="0.45">
      <c r="A135" s="3">
        <v>191111</v>
      </c>
      <c r="B135" s="1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J135" s="3">
        <v>24</v>
      </c>
      <c r="K135" s="3">
        <v>34</v>
      </c>
      <c r="L135" s="3">
        <v>23</v>
      </c>
      <c r="M135" s="3">
        <v>25</v>
      </c>
      <c r="O135" s="3">
        <f t="shared" si="50"/>
        <v>114</v>
      </c>
      <c r="P135" s="3">
        <f t="shared" si="51"/>
        <v>106</v>
      </c>
      <c r="Q135" s="3" t="str">
        <f t="shared" si="52"/>
        <v>HW</v>
      </c>
      <c r="R135" s="3" t="str">
        <f t="shared" si="53"/>
        <v>HL</v>
      </c>
      <c r="S135" s="3" t="str">
        <f t="shared" si="54"/>
        <v>HW</v>
      </c>
      <c r="T135" s="3" t="str">
        <f t="shared" si="55"/>
        <v>HW</v>
      </c>
      <c r="U135" s="3" t="str">
        <f t="shared" si="56"/>
        <v>O</v>
      </c>
      <c r="V135" s="3" t="str">
        <f t="shared" si="57"/>
        <v>U</v>
      </c>
      <c r="W135" s="3" t="str">
        <f t="shared" si="58"/>
        <v>O</v>
      </c>
      <c r="X135" s="3" t="str">
        <f t="shared" si="59"/>
        <v>U</v>
      </c>
      <c r="Z135" s="3">
        <v>55.5</v>
      </c>
      <c r="AB135" s="3" t="str">
        <f t="shared" si="60"/>
        <v>PHI/CHA</v>
      </c>
      <c r="AC135" s="3">
        <f t="shared" si="61"/>
        <v>2</v>
      </c>
      <c r="AD135" s="3">
        <f t="shared" si="62"/>
        <v>2</v>
      </c>
    </row>
    <row r="136" spans="1:30" x14ac:dyDescent="0.45">
      <c r="A136" s="3">
        <v>191111</v>
      </c>
      <c r="B136" s="1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J136" s="3">
        <v>21</v>
      </c>
      <c r="K136" s="3">
        <v>29</v>
      </c>
      <c r="L136" s="3">
        <v>37</v>
      </c>
      <c r="M136" s="3">
        <v>34</v>
      </c>
      <c r="O136" s="3">
        <f t="shared" si="50"/>
        <v>119</v>
      </c>
      <c r="P136" s="3">
        <f t="shared" si="51"/>
        <v>121</v>
      </c>
      <c r="Q136" s="3" t="str">
        <f t="shared" si="52"/>
        <v>HW</v>
      </c>
      <c r="R136" s="3" t="str">
        <f t="shared" si="53"/>
        <v>HW</v>
      </c>
      <c r="S136" s="3" t="str">
        <f t="shared" si="54"/>
        <v>HL</v>
      </c>
      <c r="T136" s="3" t="str">
        <f t="shared" si="55"/>
        <v>HW</v>
      </c>
      <c r="U136" s="3" t="str">
        <f t="shared" si="56"/>
        <v>U</v>
      </c>
      <c r="V136" s="3" t="str">
        <f t="shared" si="57"/>
        <v>O</v>
      </c>
      <c r="W136" s="3" t="str">
        <f t="shared" si="58"/>
        <v>O</v>
      </c>
      <c r="X136" s="3" t="str">
        <f t="shared" si="59"/>
        <v>O</v>
      </c>
      <c r="Z136" s="3">
        <v>53.5</v>
      </c>
      <c r="AB136" s="3" t="str">
        <f t="shared" si="60"/>
        <v>OKC/MIL</v>
      </c>
      <c r="AC136" s="3">
        <f t="shared" si="61"/>
        <v>3</v>
      </c>
      <c r="AD136" s="3">
        <f t="shared" si="62"/>
        <v>1</v>
      </c>
    </row>
    <row r="137" spans="1:30" x14ac:dyDescent="0.45">
      <c r="A137" s="3">
        <v>191111</v>
      </c>
      <c r="B137" s="1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J137" s="3">
        <v>31</v>
      </c>
      <c r="K137" s="3">
        <v>23</v>
      </c>
      <c r="L137" s="3">
        <v>24</v>
      </c>
      <c r="M137" s="3">
        <v>30</v>
      </c>
      <c r="O137" s="3">
        <f t="shared" si="50"/>
        <v>87</v>
      </c>
      <c r="P137" s="3">
        <f t="shared" si="51"/>
        <v>108</v>
      </c>
      <c r="Q137" s="3" t="str">
        <f t="shared" si="52"/>
        <v>HL</v>
      </c>
      <c r="R137" s="3" t="str">
        <f t="shared" si="53"/>
        <v>HL</v>
      </c>
      <c r="S137" s="3" t="str">
        <f t="shared" si="54"/>
        <v>HW</v>
      </c>
      <c r="T137" s="3" t="str">
        <f t="shared" si="55"/>
        <v>HL</v>
      </c>
      <c r="U137" s="3" t="str">
        <f t="shared" si="56"/>
        <v>U</v>
      </c>
      <c r="V137" s="3" t="str">
        <f t="shared" si="57"/>
        <v>U</v>
      </c>
      <c r="W137" s="3" t="str">
        <f t="shared" si="58"/>
        <v>U</v>
      </c>
      <c r="X137" s="3" t="str">
        <f t="shared" si="59"/>
        <v>O</v>
      </c>
      <c r="Z137" s="3">
        <v>52</v>
      </c>
      <c r="AB137" s="3" t="str">
        <f t="shared" si="60"/>
        <v>NYK/CLE</v>
      </c>
      <c r="AC137" s="3">
        <f t="shared" si="61"/>
        <v>1</v>
      </c>
      <c r="AD137" s="3">
        <f t="shared" si="62"/>
        <v>3</v>
      </c>
    </row>
    <row r="138" spans="1:30" x14ac:dyDescent="0.45">
      <c r="A138" s="3">
        <v>191111</v>
      </c>
      <c r="B138" s="1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J138" s="3">
        <v>30</v>
      </c>
      <c r="K138" s="3">
        <v>20</v>
      </c>
      <c r="L138" s="3">
        <v>30</v>
      </c>
      <c r="M138" s="3">
        <v>32</v>
      </c>
      <c r="O138" s="3">
        <f t="shared" si="50"/>
        <v>138</v>
      </c>
      <c r="P138" s="3">
        <f t="shared" si="51"/>
        <v>112</v>
      </c>
      <c r="Q138" s="3" t="str">
        <f t="shared" si="52"/>
        <v>HW</v>
      </c>
      <c r="R138" s="3" t="str">
        <f t="shared" si="53"/>
        <v>HW</v>
      </c>
      <c r="S138" s="3" t="str">
        <f t="shared" si="54"/>
        <v>HW</v>
      </c>
      <c r="T138" s="3" t="str">
        <f t="shared" si="55"/>
        <v>TT</v>
      </c>
      <c r="U138" s="3" t="str">
        <f t="shared" si="56"/>
        <v>O</v>
      </c>
      <c r="V138" s="3" t="str">
        <f t="shared" si="57"/>
        <v>U</v>
      </c>
      <c r="W138" s="3" t="str">
        <f t="shared" si="58"/>
        <v>O</v>
      </c>
      <c r="X138" s="3" t="str">
        <f t="shared" si="59"/>
        <v>O</v>
      </c>
      <c r="Z138" s="3">
        <v>56.5</v>
      </c>
      <c r="AB138" s="3" t="str">
        <f t="shared" si="60"/>
        <v>PHO/BKN</v>
      </c>
      <c r="AC138" s="3">
        <f t="shared" si="61"/>
        <v>3</v>
      </c>
      <c r="AD138" s="3">
        <f t="shared" si="62"/>
        <v>1</v>
      </c>
    </row>
    <row r="139" spans="1:30" x14ac:dyDescent="0.45">
      <c r="A139" s="3">
        <v>191111</v>
      </c>
      <c r="B139" s="1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50"/>
        <v>124</v>
      </c>
      <c r="P139" s="3">
        <f t="shared" si="51"/>
        <v>113</v>
      </c>
      <c r="Q139" s="3" t="str">
        <f t="shared" si="52"/>
        <v>HL</v>
      </c>
      <c r="R139" s="3" t="str">
        <f t="shared" si="53"/>
        <v>HW</v>
      </c>
      <c r="S139" s="3" t="str">
        <f t="shared" si="54"/>
        <v>HL</v>
      </c>
      <c r="T139" s="3" t="str">
        <f t="shared" si="55"/>
        <v>TT</v>
      </c>
      <c r="U139" s="3" t="str">
        <f t="shared" si="56"/>
        <v>U</v>
      </c>
      <c r="V139" s="3" t="str">
        <f t="shared" si="57"/>
        <v>U</v>
      </c>
      <c r="W139" s="3" t="str">
        <f t="shared" si="58"/>
        <v>O</v>
      </c>
      <c r="X139" s="3" t="str">
        <f t="shared" si="59"/>
        <v>O</v>
      </c>
      <c r="Z139" s="3">
        <v>58</v>
      </c>
      <c r="AB139" s="3" t="str">
        <f t="shared" si="60"/>
        <v>POR/ATL</v>
      </c>
      <c r="AC139" s="3">
        <f t="shared" si="61"/>
        <v>2</v>
      </c>
      <c r="AD139" s="3">
        <f t="shared" si="62"/>
        <v>2</v>
      </c>
    </row>
    <row r="140" spans="1:30" x14ac:dyDescent="0.45">
      <c r="A140" s="3">
        <v>191111</v>
      </c>
      <c r="B140" s="1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J140" s="3">
        <v>29</v>
      </c>
      <c r="K140" s="3">
        <v>23</v>
      </c>
      <c r="L140" s="3">
        <v>26</v>
      </c>
      <c r="M140" s="3">
        <v>35</v>
      </c>
      <c r="O140" s="3">
        <f t="shared" si="50"/>
        <v>104</v>
      </c>
      <c r="P140" s="3">
        <f t="shared" si="51"/>
        <v>113</v>
      </c>
      <c r="Q140" s="3" t="str">
        <f t="shared" si="52"/>
        <v>HW</v>
      </c>
      <c r="R140" s="3" t="str">
        <f t="shared" si="53"/>
        <v>HW</v>
      </c>
      <c r="S140" s="3" t="str">
        <f t="shared" si="54"/>
        <v>HL</v>
      </c>
      <c r="T140" s="3" t="str">
        <f t="shared" si="55"/>
        <v>HL</v>
      </c>
      <c r="U140" s="3" t="str">
        <f t="shared" si="56"/>
        <v>O</v>
      </c>
      <c r="V140" s="3" t="str">
        <f t="shared" si="57"/>
        <v>U</v>
      </c>
      <c r="W140" s="3" t="str">
        <f t="shared" si="58"/>
        <v>U</v>
      </c>
      <c r="X140" s="3" t="str">
        <f t="shared" si="59"/>
        <v>O</v>
      </c>
      <c r="Z140" s="3">
        <v>54.5</v>
      </c>
      <c r="AB140" s="3" t="str">
        <f t="shared" si="60"/>
        <v>LAL/TOR</v>
      </c>
      <c r="AC140" s="3">
        <f t="shared" si="61"/>
        <v>2</v>
      </c>
      <c r="AD140" s="3">
        <f t="shared" si="62"/>
        <v>2</v>
      </c>
    </row>
    <row r="141" spans="1:30" x14ac:dyDescent="0.45">
      <c r="A141" s="3">
        <v>191112</v>
      </c>
      <c r="B141" s="1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J141" s="3">
        <v>41</v>
      </c>
      <c r="K141" s="3">
        <v>25</v>
      </c>
      <c r="L141" s="3">
        <v>26</v>
      </c>
      <c r="M141" s="3">
        <v>28</v>
      </c>
      <c r="O141" s="3">
        <f t="shared" si="50"/>
        <v>114</v>
      </c>
      <c r="P141" s="3">
        <f t="shared" si="51"/>
        <v>120</v>
      </c>
      <c r="Q141" s="3" t="str">
        <f t="shared" si="52"/>
        <v>HL</v>
      </c>
      <c r="R141" s="3" t="str">
        <f t="shared" si="53"/>
        <v>TT</v>
      </c>
      <c r="S141" s="3" t="str">
        <f t="shared" si="54"/>
        <v>HW</v>
      </c>
      <c r="T141" s="3" t="str">
        <f t="shared" si="55"/>
        <v>HW</v>
      </c>
      <c r="U141" s="3" t="str">
        <f t="shared" si="56"/>
        <v>O</v>
      </c>
      <c r="V141" s="3" t="str">
        <f t="shared" si="57"/>
        <v>U</v>
      </c>
      <c r="W141" s="3" t="str">
        <f t="shared" si="58"/>
        <v>U</v>
      </c>
      <c r="X141" s="3" t="str">
        <f t="shared" si="59"/>
        <v>O</v>
      </c>
      <c r="Z141" s="3">
        <v>58</v>
      </c>
      <c r="AB141" s="3" t="str">
        <f t="shared" si="60"/>
        <v>DET/MIN</v>
      </c>
      <c r="AC141" s="3">
        <f t="shared" si="61"/>
        <v>2</v>
      </c>
      <c r="AD141" s="3">
        <f t="shared" si="62"/>
        <v>2</v>
      </c>
    </row>
    <row r="142" spans="1:30" x14ac:dyDescent="0.45">
      <c r="A142" s="3">
        <v>191112</v>
      </c>
      <c r="B142" s="1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J142" s="3">
        <v>21</v>
      </c>
      <c r="K142" s="3">
        <v>33</v>
      </c>
      <c r="L142" s="3">
        <v>25</v>
      </c>
      <c r="M142" s="3">
        <v>27</v>
      </c>
      <c r="O142" s="3">
        <f t="shared" si="50"/>
        <v>116</v>
      </c>
      <c r="P142" s="3">
        <f t="shared" si="51"/>
        <v>106</v>
      </c>
      <c r="Q142" s="3" t="str">
        <f t="shared" si="52"/>
        <v>HW</v>
      </c>
      <c r="R142" s="3" t="str">
        <f t="shared" si="53"/>
        <v>HL</v>
      </c>
      <c r="S142" s="3" t="str">
        <f t="shared" si="54"/>
        <v>HW</v>
      </c>
      <c r="T142" s="3" t="str">
        <f t="shared" si="55"/>
        <v>HW</v>
      </c>
      <c r="U142" s="3" t="str">
        <f t="shared" si="56"/>
        <v>U</v>
      </c>
      <c r="V142" s="3" t="str">
        <f t="shared" si="57"/>
        <v>O</v>
      </c>
      <c r="W142" s="3" t="str">
        <f t="shared" si="58"/>
        <v>U</v>
      </c>
      <c r="X142" s="3" t="str">
        <f t="shared" si="59"/>
        <v>O</v>
      </c>
      <c r="Z142" s="3">
        <v>56</v>
      </c>
      <c r="AB142" s="3" t="str">
        <f t="shared" si="60"/>
        <v>BOS/DAL</v>
      </c>
      <c r="AC142" s="3">
        <f t="shared" si="61"/>
        <v>2</v>
      </c>
      <c r="AD142" s="3">
        <f t="shared" si="62"/>
        <v>2</v>
      </c>
    </row>
    <row r="143" spans="1:30" x14ac:dyDescent="0.45">
      <c r="A143" s="3">
        <v>191112</v>
      </c>
      <c r="B143" s="1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J143" s="3">
        <v>35</v>
      </c>
      <c r="K143" s="3">
        <v>22</v>
      </c>
      <c r="L143" s="3">
        <v>34</v>
      </c>
      <c r="M143" s="3">
        <v>22</v>
      </c>
      <c r="O143" s="3">
        <f t="shared" si="50"/>
        <v>109</v>
      </c>
      <c r="P143" s="3">
        <f t="shared" si="51"/>
        <v>113</v>
      </c>
      <c r="Q143" s="3" t="str">
        <f t="shared" si="52"/>
        <v>HL</v>
      </c>
      <c r="R143" s="3" t="str">
        <f t="shared" si="53"/>
        <v>HW</v>
      </c>
      <c r="S143" s="3" t="str">
        <f t="shared" si="54"/>
        <v>HL</v>
      </c>
      <c r="T143" s="3" t="str">
        <f t="shared" si="55"/>
        <v>HW</v>
      </c>
      <c r="U143" s="3" t="str">
        <f t="shared" si="56"/>
        <v>O</v>
      </c>
      <c r="V143" s="3" t="str">
        <f t="shared" si="57"/>
        <v>U</v>
      </c>
      <c r="W143" s="3" t="str">
        <f t="shared" si="58"/>
        <v>O</v>
      </c>
      <c r="X143" s="3" t="str">
        <f t="shared" si="59"/>
        <v>U</v>
      </c>
      <c r="Z143" s="3">
        <v>55</v>
      </c>
      <c r="AB143" s="3" t="str">
        <f t="shared" si="60"/>
        <v>SAS/MEM</v>
      </c>
      <c r="AC143" s="3">
        <f t="shared" si="61"/>
        <v>2</v>
      </c>
      <c r="AD143" s="3">
        <f t="shared" si="62"/>
        <v>2</v>
      </c>
    </row>
    <row r="144" spans="1:30" x14ac:dyDescent="0.45">
      <c r="A144" s="3">
        <v>191112</v>
      </c>
      <c r="B144" s="1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J144" s="3">
        <v>30</v>
      </c>
      <c r="K144" s="3">
        <v>28</v>
      </c>
      <c r="L144" s="3">
        <v>32</v>
      </c>
      <c r="M144" s="3">
        <v>32</v>
      </c>
      <c r="O144" s="3">
        <f t="shared" si="50"/>
        <v>116</v>
      </c>
      <c r="P144" s="3">
        <f t="shared" si="51"/>
        <v>122</v>
      </c>
      <c r="Q144" s="3" t="str">
        <f t="shared" si="52"/>
        <v>HL</v>
      </c>
      <c r="R144" s="3" t="str">
        <f t="shared" si="53"/>
        <v>HW</v>
      </c>
      <c r="S144" s="3" t="str">
        <f t="shared" si="54"/>
        <v>HL</v>
      </c>
      <c r="T144" s="3" t="str">
        <f t="shared" si="55"/>
        <v>HW</v>
      </c>
      <c r="U144" s="3" t="str">
        <f t="shared" si="56"/>
        <v>U</v>
      </c>
      <c r="V144" s="3" t="str">
        <f t="shared" si="57"/>
        <v>U</v>
      </c>
      <c r="W144" s="3" t="str">
        <f t="shared" si="58"/>
        <v>U</v>
      </c>
      <c r="X144" s="3" t="str">
        <f t="shared" si="59"/>
        <v>O</v>
      </c>
      <c r="Z144" s="3">
        <v>62.5</v>
      </c>
      <c r="AB144" s="3" t="str">
        <f t="shared" si="60"/>
        <v>NO/HOU</v>
      </c>
      <c r="AC144" s="3">
        <f t="shared" si="61"/>
        <v>1</v>
      </c>
      <c r="AD144" s="3">
        <f t="shared" si="62"/>
        <v>3</v>
      </c>
    </row>
    <row r="145" spans="1:30" x14ac:dyDescent="0.45">
      <c r="A145" s="3">
        <v>191112</v>
      </c>
      <c r="B145" s="1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J145" s="3">
        <v>34</v>
      </c>
      <c r="K145" s="3">
        <v>35</v>
      </c>
      <c r="L145" s="3">
        <v>28</v>
      </c>
      <c r="M145" s="3">
        <v>25</v>
      </c>
      <c r="O145" s="3">
        <f t="shared" si="50"/>
        <v>108</v>
      </c>
      <c r="P145" s="3">
        <f t="shared" si="51"/>
        <v>122</v>
      </c>
      <c r="Q145" s="3" t="str">
        <f t="shared" si="52"/>
        <v>HL</v>
      </c>
      <c r="R145" s="3" t="str">
        <f t="shared" si="53"/>
        <v>HL</v>
      </c>
      <c r="S145" s="3" t="str">
        <f t="shared" si="54"/>
        <v>HW</v>
      </c>
      <c r="T145" s="3" t="str">
        <f t="shared" si="55"/>
        <v>HL</v>
      </c>
      <c r="U145" s="3" t="str">
        <f t="shared" si="56"/>
        <v>O</v>
      </c>
      <c r="V145" s="3" t="str">
        <f t="shared" si="57"/>
        <v>O</v>
      </c>
      <c r="W145" s="3" t="str">
        <f t="shared" si="58"/>
        <v>O</v>
      </c>
      <c r="X145" s="3" t="str">
        <f t="shared" si="59"/>
        <v>U</v>
      </c>
      <c r="Z145" s="3">
        <v>51.5</v>
      </c>
      <c r="AB145" s="3" t="str">
        <f t="shared" si="60"/>
        <v>GS/UTA</v>
      </c>
      <c r="AC145" s="3">
        <f t="shared" si="61"/>
        <v>3</v>
      </c>
      <c r="AD145" s="3">
        <f t="shared" si="62"/>
        <v>1</v>
      </c>
    </row>
    <row r="146" spans="1:30" x14ac:dyDescent="0.45">
      <c r="A146" s="3">
        <v>191112</v>
      </c>
      <c r="B146" s="1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J146" s="3">
        <v>23</v>
      </c>
      <c r="K146" s="3">
        <v>23</v>
      </c>
      <c r="L146" s="3">
        <v>32</v>
      </c>
      <c r="M146" s="3">
        <v>10</v>
      </c>
      <c r="O146" s="3">
        <f t="shared" si="50"/>
        <v>98</v>
      </c>
      <c r="P146" s="3">
        <f t="shared" si="51"/>
        <v>88</v>
      </c>
      <c r="Q146" s="3" t="str">
        <f t="shared" si="52"/>
        <v>HL</v>
      </c>
      <c r="R146" s="3" t="str">
        <f t="shared" si="53"/>
        <v>HW</v>
      </c>
      <c r="S146" s="3" t="str">
        <f t="shared" si="54"/>
        <v>HL</v>
      </c>
      <c r="T146" s="3" t="str">
        <f t="shared" si="55"/>
        <v>HW</v>
      </c>
      <c r="U146" s="3" t="str">
        <f t="shared" si="56"/>
        <v>U</v>
      </c>
      <c r="V146" s="3" t="str">
        <f t="shared" si="57"/>
        <v>O</v>
      </c>
      <c r="W146" s="3" t="str">
        <f t="shared" si="58"/>
        <v>U</v>
      </c>
      <c r="X146" s="3" t="str">
        <f t="shared" si="59"/>
        <v>U</v>
      </c>
      <c r="Z146" s="3">
        <v>57</v>
      </c>
      <c r="AB146" s="3" t="str">
        <f t="shared" si="60"/>
        <v>LAC/TOR</v>
      </c>
      <c r="AC146" s="3">
        <f t="shared" si="61"/>
        <v>1</v>
      </c>
      <c r="AD146" s="3">
        <f t="shared" si="62"/>
        <v>3</v>
      </c>
    </row>
    <row r="147" spans="1:30" x14ac:dyDescent="0.45">
      <c r="A147" s="3">
        <v>191113</v>
      </c>
      <c r="B147" s="1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J147" s="3">
        <v>25</v>
      </c>
      <c r="K147" s="3">
        <v>17</v>
      </c>
      <c r="L147" s="3">
        <v>20</v>
      </c>
      <c r="M147" s="3">
        <v>23</v>
      </c>
      <c r="O147" s="3">
        <f t="shared" si="50"/>
        <v>111</v>
      </c>
      <c r="P147" s="3">
        <f t="shared" si="51"/>
        <v>85</v>
      </c>
      <c r="Q147" s="3" t="str">
        <f t="shared" si="52"/>
        <v>HW</v>
      </c>
      <c r="R147" s="3" t="str">
        <f t="shared" si="53"/>
        <v>HW</v>
      </c>
      <c r="S147" s="3" t="str">
        <f t="shared" si="54"/>
        <v>HW</v>
      </c>
      <c r="T147" s="3" t="str">
        <f t="shared" si="55"/>
        <v>HW</v>
      </c>
      <c r="U147" s="3" t="str">
        <f t="shared" si="56"/>
        <v>O</v>
      </c>
      <c r="V147" s="3" t="str">
        <f t="shared" si="57"/>
        <v>U</v>
      </c>
      <c r="W147" s="3" t="str">
        <f t="shared" si="58"/>
        <v>U</v>
      </c>
      <c r="X147" s="3" t="str">
        <f t="shared" si="59"/>
        <v>U</v>
      </c>
      <c r="Z147" s="3">
        <v>54.5</v>
      </c>
      <c r="AB147" s="3" t="str">
        <f t="shared" ref="AB147:AB161" si="63">C147&amp;"/"&amp;D147</f>
        <v>IND/OKC</v>
      </c>
      <c r="AC147" s="3">
        <f t="shared" ref="AC147:AC161" si="64">COUNTIF(U147:X147,"o")</f>
        <v>1</v>
      </c>
      <c r="AD147" s="3">
        <f t="shared" ref="AD147:AD161" si="65">COUNTIF(U147:X147,"u")</f>
        <v>3</v>
      </c>
    </row>
    <row r="148" spans="1:30" x14ac:dyDescent="0.45">
      <c r="A148" s="3">
        <v>191113</v>
      </c>
      <c r="B148" s="1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J148" s="3">
        <v>21</v>
      </c>
      <c r="K148" s="3">
        <v>27</v>
      </c>
      <c r="L148" s="3">
        <v>30</v>
      </c>
      <c r="M148" s="3">
        <v>19</v>
      </c>
      <c r="O148" s="3">
        <f t="shared" si="50"/>
        <v>98</v>
      </c>
      <c r="P148" s="3">
        <f t="shared" si="51"/>
        <v>97</v>
      </c>
      <c r="Q148" s="3" t="str">
        <f t="shared" si="52"/>
        <v>HW</v>
      </c>
      <c r="R148" s="3" t="str">
        <f t="shared" si="53"/>
        <v>HW</v>
      </c>
      <c r="S148" s="3" t="str">
        <f t="shared" si="54"/>
        <v>HL</v>
      </c>
      <c r="T148" s="3" t="str">
        <f t="shared" si="55"/>
        <v>HL</v>
      </c>
      <c r="U148" s="3" t="str">
        <f t="shared" si="56"/>
        <v>U</v>
      </c>
      <c r="V148" s="3" t="str">
        <f t="shared" si="57"/>
        <v>O</v>
      </c>
      <c r="W148" s="3" t="str">
        <f t="shared" si="58"/>
        <v>O</v>
      </c>
      <c r="X148" s="3" t="str">
        <f t="shared" si="59"/>
        <v>U</v>
      </c>
      <c r="Z148" s="3">
        <v>53.5</v>
      </c>
      <c r="AB148" s="3" t="str">
        <f t="shared" si="63"/>
        <v>PHI/CLE</v>
      </c>
      <c r="AC148" s="3">
        <f t="shared" si="64"/>
        <v>2</v>
      </c>
      <c r="AD148" s="3">
        <f t="shared" si="65"/>
        <v>2</v>
      </c>
    </row>
    <row r="149" spans="1:30" x14ac:dyDescent="0.45">
      <c r="A149" s="3">
        <v>191113</v>
      </c>
      <c r="B149" s="1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J149" s="3">
        <v>17</v>
      </c>
      <c r="K149" s="3">
        <v>20</v>
      </c>
      <c r="L149" s="3">
        <v>35</v>
      </c>
      <c r="M149" s="3">
        <v>36</v>
      </c>
      <c r="O149" s="3">
        <f t="shared" si="50"/>
        <v>117</v>
      </c>
      <c r="P149" s="3">
        <f t="shared" si="51"/>
        <v>108</v>
      </c>
      <c r="Q149" s="3" t="str">
        <f t="shared" si="52"/>
        <v>HW</v>
      </c>
      <c r="R149" s="3" t="str">
        <f t="shared" si="53"/>
        <v>HW</v>
      </c>
      <c r="S149" s="3" t="str">
        <f t="shared" si="54"/>
        <v>HL</v>
      </c>
      <c r="T149" s="3" t="str">
        <f t="shared" si="55"/>
        <v>HL</v>
      </c>
      <c r="U149" s="3" t="str">
        <f t="shared" si="56"/>
        <v>U</v>
      </c>
      <c r="V149" s="3" t="str">
        <f t="shared" si="57"/>
        <v>U</v>
      </c>
      <c r="W149" s="3" t="str">
        <f t="shared" si="58"/>
        <v>O</v>
      </c>
      <c r="X149" s="3" t="str">
        <f t="shared" si="59"/>
        <v>O</v>
      </c>
      <c r="Z149" s="3">
        <v>55</v>
      </c>
      <c r="AB149" s="3" t="str">
        <f t="shared" si="63"/>
        <v>MIA/DET</v>
      </c>
      <c r="AC149" s="3">
        <f t="shared" si="64"/>
        <v>2</v>
      </c>
      <c r="AD149" s="3">
        <f t="shared" si="65"/>
        <v>2</v>
      </c>
    </row>
    <row r="150" spans="1:30" x14ac:dyDescent="0.45">
      <c r="A150" s="3">
        <v>191113</v>
      </c>
      <c r="B150" s="1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J150" s="3">
        <v>22</v>
      </c>
      <c r="K150" s="3">
        <v>32</v>
      </c>
      <c r="L150" s="3">
        <v>31</v>
      </c>
      <c r="M150" s="3">
        <v>17</v>
      </c>
      <c r="O150" s="3">
        <f t="shared" si="50"/>
        <v>120</v>
      </c>
      <c r="P150" s="3">
        <f t="shared" si="51"/>
        <v>102</v>
      </c>
      <c r="Q150" s="3" t="str">
        <f t="shared" si="52"/>
        <v>HW</v>
      </c>
      <c r="R150" s="3" t="str">
        <f t="shared" si="53"/>
        <v>HL</v>
      </c>
      <c r="S150" s="3" t="str">
        <f t="shared" si="54"/>
        <v>HL</v>
      </c>
      <c r="T150" s="3" t="str">
        <f t="shared" si="55"/>
        <v>HW</v>
      </c>
      <c r="U150" s="3" t="str">
        <f t="shared" si="56"/>
        <v>U</v>
      </c>
      <c r="V150" s="3" t="str">
        <f t="shared" si="57"/>
        <v>O</v>
      </c>
      <c r="W150" s="3" t="str">
        <f t="shared" si="58"/>
        <v>O</v>
      </c>
      <c r="X150" s="3" t="str">
        <f t="shared" si="59"/>
        <v>U</v>
      </c>
      <c r="Z150" s="3">
        <v>54.5</v>
      </c>
      <c r="AB150" s="3" t="str">
        <f t="shared" si="63"/>
        <v>CHI/NYK</v>
      </c>
      <c r="AC150" s="3">
        <f t="shared" si="64"/>
        <v>2</v>
      </c>
      <c r="AD150" s="3">
        <f t="shared" si="65"/>
        <v>2</v>
      </c>
    </row>
    <row r="151" spans="1:30" x14ac:dyDescent="0.45">
      <c r="A151" s="3">
        <v>191113</v>
      </c>
      <c r="B151" s="1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J151" s="3">
        <v>25</v>
      </c>
      <c r="K151" s="3">
        <v>38</v>
      </c>
      <c r="L151" s="3">
        <v>35</v>
      </c>
      <c r="M151" s="3">
        <v>27</v>
      </c>
      <c r="O151" s="3">
        <f t="shared" si="50"/>
        <v>121</v>
      </c>
      <c r="P151" s="3">
        <f t="shared" si="51"/>
        <v>125</v>
      </c>
      <c r="Q151" s="3" t="str">
        <f t="shared" si="52"/>
        <v>HW</v>
      </c>
      <c r="R151" s="3" t="str">
        <f t="shared" si="53"/>
        <v>HL</v>
      </c>
      <c r="S151" s="3" t="str">
        <f t="shared" si="54"/>
        <v>TT</v>
      </c>
      <c r="T151" s="3" t="str">
        <f t="shared" si="55"/>
        <v>HW</v>
      </c>
      <c r="U151" s="3" t="str">
        <f t="shared" si="56"/>
        <v>O</v>
      </c>
      <c r="V151" s="3" t="str">
        <f t="shared" si="57"/>
        <v>O</v>
      </c>
      <c r="W151" s="3" t="str">
        <f t="shared" si="58"/>
        <v>O</v>
      </c>
      <c r="X151" s="3" t="str">
        <f t="shared" si="59"/>
        <v>O</v>
      </c>
      <c r="Z151" s="3">
        <v>53.5</v>
      </c>
      <c r="AB151" s="3" t="str">
        <f t="shared" si="63"/>
        <v>DEN/ATL</v>
      </c>
      <c r="AC151" s="3">
        <f t="shared" si="64"/>
        <v>4</v>
      </c>
      <c r="AD151" s="3">
        <f t="shared" si="65"/>
        <v>0</v>
      </c>
    </row>
    <row r="152" spans="1:30" x14ac:dyDescent="0.45">
      <c r="A152" s="3">
        <v>191113</v>
      </c>
      <c r="B152" s="1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J152" s="3">
        <v>26</v>
      </c>
      <c r="K152" s="3">
        <v>34</v>
      </c>
      <c r="L152" s="3">
        <v>35</v>
      </c>
      <c r="M152" s="3">
        <v>28</v>
      </c>
      <c r="O152" s="3">
        <f t="shared" si="50"/>
        <v>115</v>
      </c>
      <c r="P152" s="3">
        <f t="shared" si="51"/>
        <v>123</v>
      </c>
      <c r="Q152" s="3" t="str">
        <f t="shared" si="52"/>
        <v>HW</v>
      </c>
      <c r="R152" s="3" t="str">
        <f t="shared" si="53"/>
        <v>HL</v>
      </c>
      <c r="S152" s="3" t="str">
        <f t="shared" si="54"/>
        <v>HL</v>
      </c>
      <c r="T152" s="3" t="str">
        <f t="shared" si="55"/>
        <v>HL</v>
      </c>
      <c r="U152" s="3" t="str">
        <f t="shared" si="56"/>
        <v>U</v>
      </c>
      <c r="V152" s="3" t="str">
        <f t="shared" si="57"/>
        <v>O</v>
      </c>
      <c r="W152" s="3" t="str">
        <f t="shared" si="58"/>
        <v>O</v>
      </c>
      <c r="X152" s="3" t="str">
        <f t="shared" si="59"/>
        <v>U</v>
      </c>
      <c r="Z152" s="3">
        <v>56.5</v>
      </c>
      <c r="AB152" s="3" t="str">
        <f t="shared" si="63"/>
        <v>PHO/LAL</v>
      </c>
      <c r="AC152" s="3">
        <f t="shared" si="64"/>
        <v>2</v>
      </c>
      <c r="AD152" s="3">
        <f t="shared" si="65"/>
        <v>2</v>
      </c>
    </row>
    <row r="153" spans="1:30" x14ac:dyDescent="0.45">
      <c r="A153" s="3">
        <v>191113</v>
      </c>
      <c r="B153" s="1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J153" s="3">
        <v>35</v>
      </c>
      <c r="K153" s="3">
        <v>33</v>
      </c>
      <c r="L153" s="3">
        <v>24</v>
      </c>
      <c r="M153" s="3">
        <v>22</v>
      </c>
      <c r="O153" s="3">
        <f t="shared" si="50"/>
        <v>119</v>
      </c>
      <c r="P153" s="3">
        <f t="shared" si="51"/>
        <v>114</v>
      </c>
      <c r="Q153" s="3" t="str">
        <f t="shared" si="52"/>
        <v>HL</v>
      </c>
      <c r="R153" s="3" t="str">
        <f t="shared" si="53"/>
        <v>HL</v>
      </c>
      <c r="S153" s="3" t="str">
        <f t="shared" si="54"/>
        <v>HW</v>
      </c>
      <c r="T153" s="3" t="str">
        <f t="shared" si="55"/>
        <v>HW</v>
      </c>
      <c r="U153" s="3" t="str">
        <f t="shared" si="56"/>
        <v>O</v>
      </c>
      <c r="V153" s="3" t="str">
        <f t="shared" si="57"/>
        <v>O</v>
      </c>
      <c r="W153" s="3" t="str">
        <f t="shared" si="58"/>
        <v>O</v>
      </c>
      <c r="X153" s="3" t="str">
        <f t="shared" si="59"/>
        <v>O</v>
      </c>
      <c r="Z153" s="3">
        <v>53</v>
      </c>
      <c r="AB153" s="3" t="str">
        <f t="shared" si="63"/>
        <v>UTA/BKN</v>
      </c>
      <c r="AC153" s="3">
        <f t="shared" si="64"/>
        <v>4</v>
      </c>
      <c r="AD153" s="3">
        <f t="shared" si="65"/>
        <v>0</v>
      </c>
    </row>
    <row r="154" spans="1:30" x14ac:dyDescent="0.45">
      <c r="A154" s="3">
        <v>191113</v>
      </c>
      <c r="B154" s="1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J154" s="3">
        <v>24</v>
      </c>
      <c r="K154" s="3">
        <v>25</v>
      </c>
      <c r="L154" s="3">
        <v>21</v>
      </c>
      <c r="M154" s="3">
        <v>29</v>
      </c>
      <c r="O154" s="3">
        <f t="shared" si="50"/>
        <v>107</v>
      </c>
      <c r="P154" s="3">
        <f t="shared" si="51"/>
        <v>99</v>
      </c>
      <c r="Q154" s="3" t="str">
        <f t="shared" si="52"/>
        <v>HL</v>
      </c>
      <c r="R154" s="3" t="str">
        <f t="shared" si="53"/>
        <v>TT</v>
      </c>
      <c r="S154" s="3" t="str">
        <f t="shared" si="54"/>
        <v>HW</v>
      </c>
      <c r="T154" s="3" t="str">
        <f t="shared" si="55"/>
        <v>HL</v>
      </c>
      <c r="U154" s="3" t="str">
        <f t="shared" si="56"/>
        <v>U</v>
      </c>
      <c r="V154" s="3" t="str">
        <f t="shared" si="57"/>
        <v>U</v>
      </c>
      <c r="W154" s="3" t="str">
        <f t="shared" si="58"/>
        <v>O</v>
      </c>
      <c r="X154" s="3" t="str">
        <f t="shared" si="59"/>
        <v>O</v>
      </c>
      <c r="Z154" s="3">
        <v>54.5</v>
      </c>
      <c r="AB154" s="3" t="str">
        <f t="shared" si="63"/>
        <v>SAC/POR</v>
      </c>
      <c r="AC154" s="3">
        <f t="shared" si="64"/>
        <v>2</v>
      </c>
      <c r="AD154" s="3">
        <f t="shared" si="65"/>
        <v>2</v>
      </c>
    </row>
    <row r="155" spans="1:30" x14ac:dyDescent="0.45">
      <c r="A155" s="3">
        <v>191114</v>
      </c>
      <c r="B155" s="1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J155" s="3">
        <v>30</v>
      </c>
      <c r="K155" s="3">
        <v>23</v>
      </c>
      <c r="L155" s="3">
        <v>29</v>
      </c>
      <c r="M155" s="3">
        <v>15</v>
      </c>
      <c r="O155" s="3">
        <f t="shared" si="50"/>
        <v>112</v>
      </c>
      <c r="P155" s="3">
        <f t="shared" si="51"/>
        <v>97</v>
      </c>
      <c r="Q155" s="3" t="str">
        <f t="shared" si="52"/>
        <v>HW</v>
      </c>
      <c r="R155" s="3" t="str">
        <f t="shared" si="53"/>
        <v>HL</v>
      </c>
      <c r="S155" s="3" t="str">
        <f t="shared" si="54"/>
        <v>HL</v>
      </c>
      <c r="T155" s="3" t="str">
        <f t="shared" si="55"/>
        <v>HW</v>
      </c>
      <c r="U155" s="3" t="str">
        <f t="shared" si="56"/>
        <v>O</v>
      </c>
      <c r="V155" s="3" t="str">
        <f t="shared" si="57"/>
        <v>U</v>
      </c>
      <c r="W155" s="3" t="str">
        <f t="shared" si="58"/>
        <v>O</v>
      </c>
      <c r="X155" s="3" t="str">
        <f t="shared" si="59"/>
        <v>U</v>
      </c>
      <c r="Z155" s="3">
        <v>50.5</v>
      </c>
      <c r="AB155" s="3" t="str">
        <f t="shared" si="63"/>
        <v>ORL/PHI</v>
      </c>
      <c r="AC155" s="3">
        <f t="shared" si="64"/>
        <v>2</v>
      </c>
      <c r="AD155" s="3">
        <f t="shared" si="65"/>
        <v>2</v>
      </c>
    </row>
    <row r="156" spans="1:30" x14ac:dyDescent="0.45">
      <c r="A156" s="3">
        <v>191114</v>
      </c>
      <c r="B156" s="1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J156" s="3">
        <v>26</v>
      </c>
      <c r="K156" s="3">
        <v>37</v>
      </c>
      <c r="L156" s="3">
        <v>31</v>
      </c>
      <c r="M156" s="3">
        <v>25</v>
      </c>
      <c r="O156" s="3">
        <f t="shared" si="50"/>
        <v>117</v>
      </c>
      <c r="P156" s="3">
        <f t="shared" si="51"/>
        <v>119</v>
      </c>
      <c r="Q156" s="3" t="str">
        <f t="shared" si="52"/>
        <v>HW</v>
      </c>
      <c r="R156" s="3" t="str">
        <f t="shared" si="53"/>
        <v>HL</v>
      </c>
      <c r="S156" s="3" t="str">
        <f t="shared" si="54"/>
        <v>HW</v>
      </c>
      <c r="T156" s="3" t="str">
        <f t="shared" si="55"/>
        <v>HL</v>
      </c>
      <c r="U156" s="3" t="str">
        <f t="shared" si="56"/>
        <v>O</v>
      </c>
      <c r="V156" s="3" t="str">
        <f t="shared" si="57"/>
        <v>O</v>
      </c>
      <c r="W156" s="3" t="str">
        <f t="shared" si="58"/>
        <v>O</v>
      </c>
      <c r="X156" s="3" t="str">
        <f t="shared" si="59"/>
        <v>U</v>
      </c>
      <c r="Z156" s="3">
        <v>54.5</v>
      </c>
      <c r="AB156" s="3" t="str">
        <f t="shared" si="63"/>
        <v>CHA/MEM</v>
      </c>
      <c r="AC156" s="3">
        <f t="shared" si="64"/>
        <v>3</v>
      </c>
      <c r="AD156" s="3">
        <f t="shared" si="65"/>
        <v>1</v>
      </c>
    </row>
    <row r="157" spans="1:30" x14ac:dyDescent="0.45">
      <c r="A157" s="3">
        <v>191114</v>
      </c>
      <c r="B157" s="1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J157" s="3">
        <v>34</v>
      </c>
      <c r="K157" s="3">
        <v>32</v>
      </c>
      <c r="L157" s="3">
        <v>30</v>
      </c>
      <c r="M157" s="3">
        <v>37</v>
      </c>
      <c r="O157" s="3">
        <f t="shared" si="50"/>
        <v>140</v>
      </c>
      <c r="P157" s="3">
        <f t="shared" si="51"/>
        <v>133</v>
      </c>
      <c r="Q157" s="3" t="str">
        <f t="shared" si="52"/>
        <v>TT</v>
      </c>
      <c r="R157" s="3" t="str">
        <f t="shared" si="53"/>
        <v>HW</v>
      </c>
      <c r="S157" s="3" t="str">
        <f t="shared" si="54"/>
        <v>HW</v>
      </c>
      <c r="T157" s="3" t="str">
        <f t="shared" si="55"/>
        <v>HW</v>
      </c>
      <c r="U157" s="3" t="str">
        <f t="shared" si="56"/>
        <v>O</v>
      </c>
      <c r="V157" s="3" t="str">
        <f t="shared" si="57"/>
        <v>O</v>
      </c>
      <c r="W157" s="3" t="str">
        <f t="shared" si="58"/>
        <v>O</v>
      </c>
      <c r="X157" s="3" t="str">
        <f t="shared" si="59"/>
        <v>O</v>
      </c>
      <c r="Z157" s="3">
        <v>58.5</v>
      </c>
      <c r="AB157" s="3" t="str">
        <f t="shared" si="63"/>
        <v>BOS/WAS</v>
      </c>
      <c r="AC157" s="3">
        <f t="shared" si="64"/>
        <v>4</v>
      </c>
      <c r="AD157" s="3">
        <f t="shared" si="65"/>
        <v>0</v>
      </c>
    </row>
    <row r="158" spans="1:30" x14ac:dyDescent="0.45">
      <c r="A158" s="3">
        <v>191114</v>
      </c>
      <c r="B158" s="1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J158" s="3">
        <v>15</v>
      </c>
      <c r="K158" s="3">
        <v>22</v>
      </c>
      <c r="L158" s="3">
        <v>31</v>
      </c>
      <c r="M158" s="3">
        <v>25</v>
      </c>
      <c r="O158" s="3">
        <f t="shared" si="50"/>
        <v>102</v>
      </c>
      <c r="P158" s="3">
        <f t="shared" si="51"/>
        <v>93</v>
      </c>
      <c r="Q158" s="3" t="str">
        <f t="shared" si="52"/>
        <v>HW</v>
      </c>
      <c r="R158" s="3" t="str">
        <f t="shared" si="53"/>
        <v>HL</v>
      </c>
      <c r="S158" s="3" t="str">
        <f t="shared" si="54"/>
        <v>HL</v>
      </c>
      <c r="T158" s="3" t="str">
        <f t="shared" si="55"/>
        <v>HW</v>
      </c>
      <c r="U158" s="3" t="str">
        <f t="shared" si="56"/>
        <v>U</v>
      </c>
      <c r="V158" s="3" t="str">
        <f t="shared" si="57"/>
        <v>U</v>
      </c>
      <c r="W158" s="3" t="str">
        <f t="shared" si="58"/>
        <v>U</v>
      </c>
      <c r="X158" s="3" t="str">
        <f t="shared" si="59"/>
        <v>U</v>
      </c>
      <c r="Z158" s="3">
        <v>60</v>
      </c>
      <c r="AB158" s="3" t="str">
        <f t="shared" si="63"/>
        <v>HOU/LAC</v>
      </c>
      <c r="AC158" s="3">
        <f t="shared" si="64"/>
        <v>0</v>
      </c>
      <c r="AD158" s="3">
        <f t="shared" si="65"/>
        <v>4</v>
      </c>
    </row>
    <row r="159" spans="1:30" x14ac:dyDescent="0.45">
      <c r="A159" s="3">
        <v>191114</v>
      </c>
      <c r="B159" s="1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J159" s="3">
        <v>24</v>
      </c>
      <c r="K159" s="3">
        <v>35</v>
      </c>
      <c r="L159" s="3">
        <v>36</v>
      </c>
      <c r="M159" s="3">
        <v>19</v>
      </c>
      <c r="O159" s="3">
        <f t="shared" si="50"/>
        <v>129</v>
      </c>
      <c r="P159" s="3">
        <f t="shared" si="51"/>
        <v>114</v>
      </c>
      <c r="Q159" s="3" t="str">
        <f t="shared" si="52"/>
        <v>HW</v>
      </c>
      <c r="R159" s="3" t="str">
        <f t="shared" si="53"/>
        <v>HW</v>
      </c>
      <c r="S159" s="3" t="str">
        <f t="shared" si="54"/>
        <v>HW</v>
      </c>
      <c r="T159" s="3" t="str">
        <f t="shared" si="55"/>
        <v>HW</v>
      </c>
      <c r="U159" s="3" t="str">
        <f t="shared" si="56"/>
        <v>U</v>
      </c>
      <c r="V159" s="3" t="str">
        <f t="shared" si="57"/>
        <v>O</v>
      </c>
      <c r="W159" s="3" t="str">
        <f t="shared" si="58"/>
        <v>O</v>
      </c>
      <c r="X159" s="3" t="str">
        <f t="shared" si="59"/>
        <v>U</v>
      </c>
      <c r="Z159" s="3">
        <v>55.5</v>
      </c>
      <c r="AB159" s="3" t="str">
        <f t="shared" si="63"/>
        <v>MIN/SAS</v>
      </c>
      <c r="AC159" s="3">
        <f t="shared" si="64"/>
        <v>2</v>
      </c>
      <c r="AD159" s="3">
        <f t="shared" si="65"/>
        <v>2</v>
      </c>
    </row>
    <row r="160" spans="1:30" x14ac:dyDescent="0.45">
      <c r="A160" s="3">
        <v>191114</v>
      </c>
      <c r="B160" s="1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J160" s="3">
        <v>26</v>
      </c>
      <c r="K160" s="3">
        <v>29</v>
      </c>
      <c r="L160" s="3">
        <v>27</v>
      </c>
      <c r="M160" s="3">
        <v>12</v>
      </c>
      <c r="O160" s="3">
        <f t="shared" si="50"/>
        <v>120</v>
      </c>
      <c r="P160" s="3">
        <f t="shared" si="51"/>
        <v>94</v>
      </c>
      <c r="Q160" s="3" t="str">
        <f t="shared" si="52"/>
        <v>HW</v>
      </c>
      <c r="R160" s="3" t="str">
        <f t="shared" si="53"/>
        <v>TT</v>
      </c>
      <c r="S160" s="3" t="str">
        <f t="shared" si="54"/>
        <v>HW</v>
      </c>
      <c r="T160" s="3" t="str">
        <f t="shared" si="55"/>
        <v>HW</v>
      </c>
      <c r="U160" s="3" t="str">
        <f t="shared" si="56"/>
        <v>O</v>
      </c>
      <c r="V160" s="3" t="str">
        <f t="shared" si="57"/>
        <v>O</v>
      </c>
      <c r="W160" s="3" t="str">
        <f t="shared" si="58"/>
        <v>O</v>
      </c>
      <c r="X160" s="3" t="str">
        <f t="shared" si="59"/>
        <v>U</v>
      </c>
      <c r="Z160" s="3">
        <v>56</v>
      </c>
      <c r="AB160" s="3" t="str">
        <f t="shared" si="63"/>
        <v>LAL/GS</v>
      </c>
      <c r="AC160" s="3">
        <f t="shared" si="64"/>
        <v>3</v>
      </c>
      <c r="AD160" s="3">
        <f t="shared" si="65"/>
        <v>1</v>
      </c>
    </row>
    <row r="161" spans="1:30" x14ac:dyDescent="0.45">
      <c r="A161" s="3">
        <v>191114</v>
      </c>
      <c r="B161" s="1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J161" s="3">
        <v>23</v>
      </c>
      <c r="K161" s="3">
        <v>31</v>
      </c>
      <c r="L161" s="3">
        <v>33</v>
      </c>
      <c r="M161" s="3">
        <v>27</v>
      </c>
      <c r="O161" s="3">
        <f t="shared" si="50"/>
        <v>106</v>
      </c>
      <c r="P161" s="3">
        <f t="shared" si="51"/>
        <v>114</v>
      </c>
      <c r="Q161" s="3" t="str">
        <f t="shared" si="52"/>
        <v>HW</v>
      </c>
      <c r="R161" s="3" t="str">
        <f t="shared" si="53"/>
        <v>HL</v>
      </c>
      <c r="S161" s="3" t="str">
        <f t="shared" si="54"/>
        <v>HL</v>
      </c>
      <c r="T161" s="3" t="str">
        <f t="shared" si="55"/>
        <v>HW</v>
      </c>
      <c r="U161" s="3" t="str">
        <f t="shared" si="56"/>
        <v>U</v>
      </c>
      <c r="V161" s="3" t="str">
        <f t="shared" si="57"/>
        <v>U</v>
      </c>
      <c r="W161" s="3" t="str">
        <f t="shared" si="58"/>
        <v>O</v>
      </c>
      <c r="X161" s="3" t="str">
        <f t="shared" si="59"/>
        <v>U</v>
      </c>
      <c r="Z161" s="3">
        <v>56.5</v>
      </c>
      <c r="AB161" s="3" t="str">
        <f t="shared" si="63"/>
        <v>POR/TOR</v>
      </c>
      <c r="AC161" s="3">
        <f t="shared" si="64"/>
        <v>1</v>
      </c>
      <c r="AD161" s="3">
        <f t="shared" si="65"/>
        <v>3</v>
      </c>
    </row>
    <row r="162" spans="1:30" x14ac:dyDescent="0.45">
      <c r="A162" s="17">
        <v>191115</v>
      </c>
      <c r="B162" s="1">
        <v>0.33333333333333331</v>
      </c>
      <c r="C162" s="17" t="s">
        <v>193</v>
      </c>
      <c r="D162" s="17" t="s">
        <v>194</v>
      </c>
      <c r="E162" s="17">
        <v>22</v>
      </c>
      <c r="F162" s="17">
        <v>22</v>
      </c>
      <c r="G162" s="17">
        <v>30</v>
      </c>
      <c r="H162" s="17">
        <v>23</v>
      </c>
      <c r="I162" s="17"/>
      <c r="J162" s="17">
        <v>34</v>
      </c>
      <c r="K162" s="17">
        <v>34</v>
      </c>
      <c r="L162" s="17">
        <v>26</v>
      </c>
      <c r="M162" s="17">
        <v>14</v>
      </c>
      <c r="N162" s="17"/>
      <c r="O162" s="17">
        <f t="shared" ref="O162:O175" si="66">SUM(E162:I162)</f>
        <v>97</v>
      </c>
      <c r="P162" s="17">
        <f t="shared" ref="P162:P175" si="67">SUM(J162:N162)</f>
        <v>108</v>
      </c>
      <c r="Q162" s="17" t="str">
        <f t="shared" ref="Q162:Q175" si="68">IF(E162=J162,"TT",IF(E162&gt;J162,"HW","HL"))</f>
        <v>HL</v>
      </c>
      <c r="R162" s="17" t="str">
        <f t="shared" ref="R162:R175" si="69">IF(F162=K162,"TT",IF(F162&gt;K162,"HW","HL"))</f>
        <v>HL</v>
      </c>
      <c r="S162" s="17" t="str">
        <f t="shared" ref="S162:S175" si="70">IF(G162=L162,"TT",IF(G162&gt;L162,"HW","HL"))</f>
        <v>HW</v>
      </c>
      <c r="T162" s="17" t="str">
        <f t="shared" ref="T162:T175" si="71">IF(H162=M162,"TT",IF(H162&gt;M162,"HW","HL"))</f>
        <v>HW</v>
      </c>
      <c r="U162" s="17" t="str">
        <f t="shared" ref="U162:U175" si="72">IF(SUM(E162,J162)=$Z162,"T",IF(SUM(E162,J162)&gt;$Z162,"O","U"))</f>
        <v>O</v>
      </c>
      <c r="V162" s="17" t="str">
        <f t="shared" ref="V162:V175" si="73">IF(SUM(F162,K162)=$Z162,"T",IF(SUM(F162,K162)&gt;$Z162,"O","U"))</f>
        <v>O</v>
      </c>
      <c r="W162" s="17" t="str">
        <f t="shared" ref="W162:W175" si="74">IF(SUM(G162,L162)=$Z162,"T",IF(SUM(G162,L162)&gt;$Z162,"O","U"))</f>
        <v>O</v>
      </c>
      <c r="X162" s="17" t="str">
        <f t="shared" ref="X162:X175" si="75">IF(SUM(H162,M162)=$Z162,"T",IF(SUM(H162,M162)&gt;$Z162,"O","U"))</f>
        <v>U</v>
      </c>
      <c r="Y162" s="17"/>
      <c r="Z162" s="17">
        <v>55.5</v>
      </c>
      <c r="AA162" s="17"/>
      <c r="AB162" s="17" t="str">
        <f t="shared" ref="AB162:AB175" si="76">C162&amp;"/"&amp;D162</f>
        <v>CLE/MIA</v>
      </c>
      <c r="AC162" s="17">
        <f t="shared" ref="AC162:AC175" si="77">COUNTIF(U162:X162,"o")</f>
        <v>3</v>
      </c>
      <c r="AD162" s="17">
        <f t="shared" ref="AD162:AD175" si="78">COUNTIF(U162:X162,"u")</f>
        <v>1</v>
      </c>
    </row>
    <row r="163" spans="1:30" x14ac:dyDescent="0.45">
      <c r="A163" s="17">
        <v>191115</v>
      </c>
      <c r="B163" s="1">
        <v>0.41666666666666669</v>
      </c>
      <c r="C163" s="17" t="s">
        <v>27</v>
      </c>
      <c r="D163" s="17" t="s">
        <v>25</v>
      </c>
      <c r="E163" s="17">
        <v>34</v>
      </c>
      <c r="F163" s="17">
        <v>38</v>
      </c>
      <c r="G163" s="17">
        <v>24</v>
      </c>
      <c r="H163" s="17">
        <v>36</v>
      </c>
      <c r="I163" s="17"/>
      <c r="J163" s="17">
        <v>35</v>
      </c>
      <c r="K163" s="17">
        <v>24</v>
      </c>
      <c r="L163" s="17">
        <v>38</v>
      </c>
      <c r="M163" s="17">
        <v>30</v>
      </c>
      <c r="N163" s="17"/>
      <c r="O163" s="17">
        <f t="shared" si="66"/>
        <v>132</v>
      </c>
      <c r="P163" s="17">
        <f t="shared" si="67"/>
        <v>127</v>
      </c>
      <c r="Q163" s="17" t="str">
        <f t="shared" si="68"/>
        <v>HL</v>
      </c>
      <c r="R163" s="17" t="str">
        <f t="shared" si="69"/>
        <v>HW</v>
      </c>
      <c r="S163" s="17" t="str">
        <f t="shared" si="70"/>
        <v>HL</v>
      </c>
      <c r="T163" s="17" t="str">
        <f t="shared" si="71"/>
        <v>HW</v>
      </c>
      <c r="U163" s="17" t="str">
        <f t="shared" si="72"/>
        <v>O</v>
      </c>
      <c r="V163" s="17" t="str">
        <f t="shared" si="73"/>
        <v>O</v>
      </c>
      <c r="W163" s="17" t="str">
        <f t="shared" si="74"/>
        <v>O</v>
      </c>
      <c r="X163" s="17" t="str">
        <f t="shared" si="75"/>
        <v>O</v>
      </c>
      <c r="Y163" s="17"/>
      <c r="Z163" s="17">
        <v>60</v>
      </c>
      <c r="AA163" s="17"/>
      <c r="AB163" s="17" t="str">
        <f t="shared" si="76"/>
        <v>NO/LAC</v>
      </c>
      <c r="AC163" s="17">
        <f t="shared" si="77"/>
        <v>4</v>
      </c>
      <c r="AD163" s="17">
        <f t="shared" si="78"/>
        <v>0</v>
      </c>
    </row>
    <row r="164" spans="1:30" x14ac:dyDescent="0.45">
      <c r="A164" s="17">
        <v>191115</v>
      </c>
      <c r="B164" s="1">
        <v>0.41666666666666669</v>
      </c>
      <c r="C164" s="17" t="s">
        <v>53</v>
      </c>
      <c r="D164" s="17" t="s">
        <v>197</v>
      </c>
      <c r="E164" s="17">
        <v>30</v>
      </c>
      <c r="F164" s="17">
        <v>35</v>
      </c>
      <c r="G164" s="17">
        <v>32</v>
      </c>
      <c r="H164" s="17">
        <v>27</v>
      </c>
      <c r="I164" s="17"/>
      <c r="J164" s="17">
        <v>32</v>
      </c>
      <c r="K164" s="17">
        <v>34</v>
      </c>
      <c r="L164" s="17">
        <v>20</v>
      </c>
      <c r="M164" s="17">
        <v>29</v>
      </c>
      <c r="N164" s="17"/>
      <c r="O164" s="17">
        <f t="shared" si="66"/>
        <v>124</v>
      </c>
      <c r="P164" s="17">
        <f t="shared" si="67"/>
        <v>115</v>
      </c>
      <c r="Q164" s="17" t="str">
        <f t="shared" si="68"/>
        <v>HL</v>
      </c>
      <c r="R164" s="17" t="str">
        <f t="shared" si="69"/>
        <v>HW</v>
      </c>
      <c r="S164" s="17" t="str">
        <f t="shared" si="70"/>
        <v>HW</v>
      </c>
      <c r="T164" s="17" t="str">
        <f t="shared" si="71"/>
        <v>HL</v>
      </c>
      <c r="U164" s="17" t="str">
        <f t="shared" si="72"/>
        <v>O</v>
      </c>
      <c r="V164" s="17" t="str">
        <f t="shared" si="73"/>
        <v>O</v>
      </c>
      <c r="W164" s="17" t="str">
        <f t="shared" si="74"/>
        <v>U</v>
      </c>
      <c r="X164" s="17" t="str">
        <f t="shared" si="75"/>
        <v>T</v>
      </c>
      <c r="Y164" s="17"/>
      <c r="Z164" s="17">
        <v>56</v>
      </c>
      <c r="AA164" s="17"/>
      <c r="AB164" s="17" t="str">
        <f t="shared" si="76"/>
        <v>MIL/CHI</v>
      </c>
      <c r="AC164" s="17">
        <f t="shared" si="77"/>
        <v>2</v>
      </c>
      <c r="AD164" s="17">
        <f t="shared" si="78"/>
        <v>1</v>
      </c>
    </row>
    <row r="165" spans="1:30" x14ac:dyDescent="0.45">
      <c r="A165" s="17">
        <v>191115</v>
      </c>
      <c r="B165" s="1">
        <v>0.41666666666666669</v>
      </c>
      <c r="C165" s="17" t="s">
        <v>47</v>
      </c>
      <c r="D165" s="17" t="s">
        <v>33</v>
      </c>
      <c r="E165" s="17">
        <v>27</v>
      </c>
      <c r="F165" s="17">
        <v>31</v>
      </c>
      <c r="G165" s="17">
        <v>29</v>
      </c>
      <c r="H165" s="17">
        <v>19</v>
      </c>
      <c r="I165" s="17"/>
      <c r="J165" s="17">
        <v>23</v>
      </c>
      <c r="K165" s="17">
        <v>30</v>
      </c>
      <c r="L165" s="17">
        <v>34</v>
      </c>
      <c r="M165" s="17">
        <v>16</v>
      </c>
      <c r="N165" s="17"/>
      <c r="O165" s="17">
        <f t="shared" si="66"/>
        <v>106</v>
      </c>
      <c r="P165" s="17">
        <f t="shared" si="67"/>
        <v>103</v>
      </c>
      <c r="Q165" s="17" t="str">
        <f t="shared" si="68"/>
        <v>HW</v>
      </c>
      <c r="R165" s="17" t="str">
        <f t="shared" si="69"/>
        <v>HW</v>
      </c>
      <c r="S165" s="17" t="str">
        <f t="shared" si="70"/>
        <v>HL</v>
      </c>
      <c r="T165" s="17" t="str">
        <f t="shared" si="71"/>
        <v>HW</v>
      </c>
      <c r="U165" s="17" t="str">
        <f t="shared" si="72"/>
        <v>U</v>
      </c>
      <c r="V165" s="17" t="str">
        <f t="shared" si="73"/>
        <v>O</v>
      </c>
      <c r="W165" s="17" t="str">
        <f t="shared" si="74"/>
        <v>O</v>
      </c>
      <c r="X165" s="17" t="str">
        <f t="shared" si="75"/>
        <v>U</v>
      </c>
      <c r="Y165" s="17"/>
      <c r="Z165" s="17">
        <v>55.5</v>
      </c>
      <c r="AA165" s="17"/>
      <c r="AB165" s="17" t="str">
        <f t="shared" si="76"/>
        <v>NYK/DAL</v>
      </c>
      <c r="AC165" s="17">
        <f t="shared" si="77"/>
        <v>2</v>
      </c>
      <c r="AD165" s="17">
        <f t="shared" si="78"/>
        <v>2</v>
      </c>
    </row>
    <row r="166" spans="1:30" x14ac:dyDescent="0.45">
      <c r="A166" s="17">
        <v>191115</v>
      </c>
      <c r="B166" s="1">
        <v>0.45833333333333331</v>
      </c>
      <c r="C166" s="17" t="s">
        <v>200</v>
      </c>
      <c r="D166" s="17" t="s">
        <v>50</v>
      </c>
      <c r="E166" s="17">
        <v>31</v>
      </c>
      <c r="F166" s="17">
        <v>36</v>
      </c>
      <c r="G166" s="17">
        <v>37</v>
      </c>
      <c r="H166" s="17">
        <v>24</v>
      </c>
      <c r="I166" s="17"/>
      <c r="J166" s="17">
        <v>33</v>
      </c>
      <c r="K166" s="17">
        <v>28</v>
      </c>
      <c r="L166" s="17">
        <v>29</v>
      </c>
      <c r="M166" s="17">
        <v>22</v>
      </c>
      <c r="N166" s="17"/>
      <c r="O166" s="17">
        <f t="shared" si="66"/>
        <v>128</v>
      </c>
      <c r="P166" s="17">
        <f t="shared" si="67"/>
        <v>112</v>
      </c>
      <c r="Q166" s="17" t="str">
        <f t="shared" si="68"/>
        <v>HL</v>
      </c>
      <c r="R166" s="17" t="str">
        <f t="shared" si="69"/>
        <v>HW</v>
      </c>
      <c r="S166" s="17" t="str">
        <f t="shared" si="70"/>
        <v>HW</v>
      </c>
      <c r="T166" s="17" t="str">
        <f t="shared" si="71"/>
        <v>HW</v>
      </c>
      <c r="U166" s="17" t="str">
        <f t="shared" si="72"/>
        <v>O</v>
      </c>
      <c r="V166" s="17" t="str">
        <f t="shared" si="73"/>
        <v>O</v>
      </c>
      <c r="W166" s="17" t="str">
        <f t="shared" si="74"/>
        <v>O</v>
      </c>
      <c r="X166" s="17" t="str">
        <f t="shared" si="75"/>
        <v>U</v>
      </c>
      <c r="Y166" s="17"/>
      <c r="Z166" s="17">
        <v>59</v>
      </c>
      <c r="AA166" s="17"/>
      <c r="AB166" s="17" t="str">
        <f t="shared" si="76"/>
        <v>PHO/ATL</v>
      </c>
      <c r="AC166" s="17">
        <f t="shared" si="77"/>
        <v>3</v>
      </c>
      <c r="AD166" s="17">
        <f t="shared" si="78"/>
        <v>1</v>
      </c>
    </row>
    <row r="167" spans="1:30" x14ac:dyDescent="0.45">
      <c r="A167" s="17">
        <v>191115</v>
      </c>
      <c r="B167" s="1">
        <v>0.52083333333333337</v>
      </c>
      <c r="C167" s="17" t="s">
        <v>46</v>
      </c>
      <c r="D167" s="17" t="s">
        <v>30</v>
      </c>
      <c r="E167" s="17">
        <v>28</v>
      </c>
      <c r="F167" s="17">
        <v>21</v>
      </c>
      <c r="G167" s="17">
        <v>30</v>
      </c>
      <c r="H167" s="17">
        <v>22</v>
      </c>
      <c r="I167" s="17"/>
      <c r="J167" s="17">
        <v>35</v>
      </c>
      <c r="K167" s="17">
        <v>26</v>
      </c>
      <c r="L167" s="17">
        <v>18</v>
      </c>
      <c r="M167" s="17">
        <v>14</v>
      </c>
      <c r="N167" s="17"/>
      <c r="O167" s="17">
        <f t="shared" si="66"/>
        <v>101</v>
      </c>
      <c r="P167" s="17">
        <f t="shared" si="67"/>
        <v>93</v>
      </c>
      <c r="Q167" s="17" t="str">
        <f t="shared" si="68"/>
        <v>HL</v>
      </c>
      <c r="R167" s="17" t="str">
        <f t="shared" si="69"/>
        <v>HL</v>
      </c>
      <c r="S167" s="17" t="str">
        <f t="shared" si="70"/>
        <v>HW</v>
      </c>
      <c r="T167" s="17" t="str">
        <f t="shared" si="71"/>
        <v>HW</v>
      </c>
      <c r="U167" s="17" t="str">
        <f t="shared" si="72"/>
        <v>O</v>
      </c>
      <c r="V167" s="17" t="str">
        <f t="shared" si="73"/>
        <v>U</v>
      </c>
      <c r="W167" s="17" t="str">
        <f t="shared" si="74"/>
        <v>U</v>
      </c>
      <c r="X167" s="17" t="str">
        <f t="shared" si="75"/>
        <v>U</v>
      </c>
      <c r="Y167" s="17"/>
      <c r="Z167" s="17">
        <v>54.5</v>
      </c>
      <c r="AA167" s="17"/>
      <c r="AB167" s="17" t="str">
        <f t="shared" si="76"/>
        <v>DEN/BKN</v>
      </c>
      <c r="AC167" s="17">
        <f t="shared" si="77"/>
        <v>1</v>
      </c>
      <c r="AD167" s="17">
        <f t="shared" si="78"/>
        <v>3</v>
      </c>
    </row>
    <row r="168" spans="1:30" x14ac:dyDescent="0.3">
      <c r="A168" s="17">
        <v>191116</v>
      </c>
      <c r="B168" s="1">
        <v>0.375</v>
      </c>
      <c r="C168" s="17" t="s">
        <v>204</v>
      </c>
      <c r="D168" s="17" t="s">
        <v>205</v>
      </c>
      <c r="E168" s="17">
        <v>24</v>
      </c>
      <c r="F168" s="17">
        <v>23</v>
      </c>
      <c r="G168" s="17">
        <v>32</v>
      </c>
      <c r="H168" s="17">
        <v>32</v>
      </c>
      <c r="I168" s="17"/>
      <c r="J168" s="17">
        <v>31</v>
      </c>
      <c r="K168" s="17">
        <v>25</v>
      </c>
      <c r="L168" s="17">
        <v>26</v>
      </c>
      <c r="M168" s="17">
        <v>27</v>
      </c>
      <c r="N168" s="17"/>
      <c r="O168" s="17">
        <f t="shared" si="66"/>
        <v>111</v>
      </c>
      <c r="P168" s="17">
        <f t="shared" si="67"/>
        <v>109</v>
      </c>
      <c r="Q168" s="17" t="str">
        <f t="shared" si="68"/>
        <v>HL</v>
      </c>
      <c r="R168" s="17" t="str">
        <f t="shared" si="69"/>
        <v>HL</v>
      </c>
      <c r="S168" s="17" t="str">
        <f t="shared" si="70"/>
        <v>HW</v>
      </c>
      <c r="T168" s="17" t="str">
        <f t="shared" si="71"/>
        <v>HW</v>
      </c>
      <c r="U168" s="17" t="str">
        <f t="shared" si="72"/>
        <v>O</v>
      </c>
      <c r="V168" s="17" t="str">
        <f t="shared" si="73"/>
        <v>U</v>
      </c>
      <c r="W168" s="17" t="str">
        <f t="shared" si="74"/>
        <v>O</v>
      </c>
      <c r="X168" s="17" t="str">
        <f t="shared" si="75"/>
        <v>O</v>
      </c>
      <c r="Y168" s="17"/>
      <c r="Z168" s="17">
        <v>52</v>
      </c>
      <c r="AA168" s="17"/>
      <c r="AB168" s="17" t="str">
        <f t="shared" si="76"/>
        <v>ORL/SAS</v>
      </c>
      <c r="AC168" s="17">
        <f t="shared" si="77"/>
        <v>3</v>
      </c>
      <c r="AD168" s="17">
        <f t="shared" si="78"/>
        <v>1</v>
      </c>
    </row>
    <row r="169" spans="1:30" x14ac:dyDescent="0.3">
      <c r="A169" s="17">
        <v>191116</v>
      </c>
      <c r="B169" s="1">
        <v>0.375</v>
      </c>
      <c r="C169" s="17" t="s">
        <v>206</v>
      </c>
      <c r="D169" s="17" t="s">
        <v>207</v>
      </c>
      <c r="E169" s="17">
        <v>25</v>
      </c>
      <c r="F169" s="17">
        <v>26</v>
      </c>
      <c r="G169" s="17">
        <v>32</v>
      </c>
      <c r="H169" s="17">
        <v>26</v>
      </c>
      <c r="I169" s="17"/>
      <c r="J169" s="17">
        <v>35</v>
      </c>
      <c r="K169" s="17">
        <v>30</v>
      </c>
      <c r="L169" s="17">
        <v>18</v>
      </c>
      <c r="M169" s="17">
        <v>23</v>
      </c>
      <c r="N169" s="17"/>
      <c r="O169" s="17">
        <f t="shared" si="66"/>
        <v>109</v>
      </c>
      <c r="P169" s="17">
        <f t="shared" si="67"/>
        <v>106</v>
      </c>
      <c r="Q169" s="17" t="str">
        <f t="shared" si="68"/>
        <v>HL</v>
      </c>
      <c r="R169" s="17" t="str">
        <f t="shared" si="69"/>
        <v>HL</v>
      </c>
      <c r="S169" s="17" t="str">
        <f t="shared" si="70"/>
        <v>HW</v>
      </c>
      <c r="T169" s="17" t="str">
        <f t="shared" si="71"/>
        <v>HW</v>
      </c>
      <c r="U169" s="17" t="str">
        <f t="shared" si="72"/>
        <v>O</v>
      </c>
      <c r="V169" s="17" t="str">
        <f t="shared" si="73"/>
        <v>U</v>
      </c>
      <c r="W169" s="17" t="str">
        <f t="shared" si="74"/>
        <v>U</v>
      </c>
      <c r="X169" s="17" t="str">
        <f t="shared" si="75"/>
        <v>U</v>
      </c>
      <c r="Y169" s="17"/>
      <c r="Z169" s="17">
        <v>56.5</v>
      </c>
      <c r="AA169" s="17"/>
      <c r="AB169" s="17" t="str">
        <f t="shared" si="76"/>
        <v>CHA/DET</v>
      </c>
      <c r="AC169" s="17">
        <f t="shared" si="77"/>
        <v>1</v>
      </c>
      <c r="AD169" s="17">
        <f t="shared" si="78"/>
        <v>3</v>
      </c>
    </row>
    <row r="170" spans="1:30" x14ac:dyDescent="0.3">
      <c r="A170" s="17">
        <v>191116</v>
      </c>
      <c r="B170" s="1">
        <v>0.41666666666666669</v>
      </c>
      <c r="C170" s="17" t="s">
        <v>208</v>
      </c>
      <c r="D170" s="17" t="s">
        <v>209</v>
      </c>
      <c r="E170" s="17">
        <v>26</v>
      </c>
      <c r="F170" s="17">
        <v>28</v>
      </c>
      <c r="G170" s="17">
        <v>26</v>
      </c>
      <c r="H170" s="17">
        <v>31</v>
      </c>
      <c r="I170" s="17"/>
      <c r="J170" s="17">
        <v>22</v>
      </c>
      <c r="K170" s="17">
        <v>27</v>
      </c>
      <c r="L170" s="17">
        <v>30</v>
      </c>
      <c r="M170" s="17">
        <v>23</v>
      </c>
      <c r="N170" s="17"/>
      <c r="O170" s="17">
        <f t="shared" si="66"/>
        <v>111</v>
      </c>
      <c r="P170" s="17">
        <f t="shared" si="67"/>
        <v>102</v>
      </c>
      <c r="Q170" s="17" t="str">
        <f t="shared" si="68"/>
        <v>HW</v>
      </c>
      <c r="R170" s="17" t="str">
        <f t="shared" si="69"/>
        <v>HW</v>
      </c>
      <c r="S170" s="17" t="str">
        <f t="shared" si="70"/>
        <v>HL</v>
      </c>
      <c r="T170" s="17" t="str">
        <f t="shared" si="71"/>
        <v>HW</v>
      </c>
      <c r="U170" s="17" t="str">
        <f t="shared" si="72"/>
        <v>U</v>
      </c>
      <c r="V170" s="17" t="str">
        <f t="shared" si="73"/>
        <v>U</v>
      </c>
      <c r="W170" s="17" t="str">
        <f t="shared" si="74"/>
        <v>U</v>
      </c>
      <c r="X170" s="17" t="str">
        <f t="shared" si="75"/>
        <v>U</v>
      </c>
      <c r="Y170" s="17"/>
      <c r="Z170" s="17">
        <v>58.5</v>
      </c>
      <c r="AA170" s="17"/>
      <c r="AB170" s="17" t="str">
        <f t="shared" si="76"/>
        <v>HOU/IND</v>
      </c>
      <c r="AC170" s="17">
        <f t="shared" si="77"/>
        <v>0</v>
      </c>
      <c r="AD170" s="17">
        <f t="shared" si="78"/>
        <v>4</v>
      </c>
    </row>
    <row r="171" spans="1:30" x14ac:dyDescent="0.3">
      <c r="A171" s="17">
        <v>191116</v>
      </c>
      <c r="B171" s="1">
        <v>0.41666666666666669</v>
      </c>
      <c r="C171" s="17" t="s">
        <v>210</v>
      </c>
      <c r="D171" s="17" t="s">
        <v>211</v>
      </c>
      <c r="E171" s="17">
        <v>30</v>
      </c>
      <c r="F171" s="17">
        <v>43</v>
      </c>
      <c r="G171" s="17">
        <v>19</v>
      </c>
      <c r="H171" s="17">
        <v>24</v>
      </c>
      <c r="I171" s="17"/>
      <c r="J171" s="17">
        <v>39</v>
      </c>
      <c r="K171" s="17">
        <v>37</v>
      </c>
      <c r="L171" s="17">
        <v>26</v>
      </c>
      <c r="M171" s="17">
        <v>35</v>
      </c>
      <c r="N171" s="17"/>
      <c r="O171" s="17">
        <f t="shared" si="66"/>
        <v>116</v>
      </c>
      <c r="P171" s="17">
        <f t="shared" si="67"/>
        <v>137</v>
      </c>
      <c r="Q171" s="17" t="str">
        <f t="shared" si="68"/>
        <v>HL</v>
      </c>
      <c r="R171" s="17" t="str">
        <f t="shared" si="69"/>
        <v>HW</v>
      </c>
      <c r="S171" s="17" t="str">
        <f t="shared" si="70"/>
        <v>HL</v>
      </c>
      <c r="T171" s="17" t="str">
        <f t="shared" si="71"/>
        <v>HL</v>
      </c>
      <c r="U171" s="17" t="str">
        <f t="shared" si="72"/>
        <v>O</v>
      </c>
      <c r="V171" s="17" t="str">
        <f t="shared" si="73"/>
        <v>O</v>
      </c>
      <c r="W171" s="17" t="str">
        <f t="shared" si="74"/>
        <v>U</v>
      </c>
      <c r="X171" s="17" t="str">
        <f t="shared" si="75"/>
        <v>U</v>
      </c>
      <c r="Y171" s="17"/>
      <c r="Z171" s="17">
        <v>61.5</v>
      </c>
      <c r="AA171" s="17"/>
      <c r="AB171" s="17" t="str">
        <f t="shared" si="76"/>
        <v>MIN/WAS</v>
      </c>
      <c r="AC171" s="17">
        <f t="shared" si="77"/>
        <v>2</v>
      </c>
      <c r="AD171" s="17">
        <f t="shared" si="78"/>
        <v>2</v>
      </c>
    </row>
    <row r="172" spans="1:30" x14ac:dyDescent="0.3">
      <c r="A172" s="17">
        <v>191116</v>
      </c>
      <c r="B172" s="1">
        <v>0.41666666666666669</v>
      </c>
      <c r="C172" s="17" t="s">
        <v>212</v>
      </c>
      <c r="D172" s="17" t="s">
        <v>213</v>
      </c>
      <c r="E172" s="17">
        <v>24</v>
      </c>
      <c r="F172" s="17">
        <v>30</v>
      </c>
      <c r="G172" s="17">
        <v>26</v>
      </c>
      <c r="H172" s="17">
        <v>27</v>
      </c>
      <c r="I172" s="17">
        <v>20</v>
      </c>
      <c r="J172" s="17">
        <v>29</v>
      </c>
      <c r="K172" s="17">
        <v>20</v>
      </c>
      <c r="L172" s="17">
        <v>34</v>
      </c>
      <c r="M172" s="17">
        <v>24</v>
      </c>
      <c r="N172" s="17">
        <v>12</v>
      </c>
      <c r="O172" s="17">
        <f t="shared" si="66"/>
        <v>127</v>
      </c>
      <c r="P172" s="17">
        <f t="shared" si="67"/>
        <v>119</v>
      </c>
      <c r="Q172" s="17" t="str">
        <f t="shared" si="68"/>
        <v>HL</v>
      </c>
      <c r="R172" s="17" t="str">
        <f t="shared" si="69"/>
        <v>HW</v>
      </c>
      <c r="S172" s="17" t="str">
        <f t="shared" si="70"/>
        <v>HL</v>
      </c>
      <c r="T172" s="17" t="str">
        <f t="shared" si="71"/>
        <v>HW</v>
      </c>
      <c r="U172" s="17" t="str">
        <f t="shared" si="72"/>
        <v>O</v>
      </c>
      <c r="V172" s="17" t="str">
        <f t="shared" si="73"/>
        <v>U</v>
      </c>
      <c r="W172" s="17" t="str">
        <f t="shared" si="74"/>
        <v>O</v>
      </c>
      <c r="X172" s="17" t="str">
        <f t="shared" si="75"/>
        <v>U</v>
      </c>
      <c r="Y172" s="17"/>
      <c r="Z172" s="17">
        <v>52.5</v>
      </c>
      <c r="AA172" s="17"/>
      <c r="AB172" s="17" t="str">
        <f t="shared" si="76"/>
        <v>OKC/PHI</v>
      </c>
      <c r="AC172" s="17">
        <f t="shared" si="77"/>
        <v>2</v>
      </c>
      <c r="AD172" s="17">
        <f t="shared" si="78"/>
        <v>2</v>
      </c>
    </row>
    <row r="173" spans="1:30" x14ac:dyDescent="0.3">
      <c r="A173" s="17">
        <v>191116</v>
      </c>
      <c r="B173" s="1">
        <v>0.41666666666666669</v>
      </c>
      <c r="C173" s="17" t="s">
        <v>214</v>
      </c>
      <c r="D173" s="17" t="s">
        <v>215</v>
      </c>
      <c r="E173" s="17">
        <v>23</v>
      </c>
      <c r="F173" s="17">
        <v>30</v>
      </c>
      <c r="G173" s="17">
        <v>24</v>
      </c>
      <c r="H173" s="17">
        <v>30</v>
      </c>
      <c r="I173" s="17"/>
      <c r="J173" s="17">
        <v>26</v>
      </c>
      <c r="K173" s="17">
        <v>22</v>
      </c>
      <c r="L173" s="17">
        <v>31</v>
      </c>
      <c r="M173" s="17">
        <v>27</v>
      </c>
      <c r="N173" s="17"/>
      <c r="O173" s="17">
        <f t="shared" si="66"/>
        <v>107</v>
      </c>
      <c r="P173" s="17">
        <f t="shared" si="67"/>
        <v>106</v>
      </c>
      <c r="Q173" s="17" t="str">
        <f t="shared" si="68"/>
        <v>HL</v>
      </c>
      <c r="R173" s="17" t="str">
        <f t="shared" si="69"/>
        <v>HW</v>
      </c>
      <c r="S173" s="17" t="str">
        <f t="shared" si="70"/>
        <v>HL</v>
      </c>
      <c r="T173" s="17" t="str">
        <f t="shared" si="71"/>
        <v>HW</v>
      </c>
      <c r="U173" s="17" t="str">
        <f t="shared" si="72"/>
        <v>U</v>
      </c>
      <c r="V173" s="17" t="str">
        <f t="shared" si="73"/>
        <v>U</v>
      </c>
      <c r="W173" s="17" t="str">
        <f t="shared" si="74"/>
        <v>O</v>
      </c>
      <c r="X173" s="17" t="str">
        <f t="shared" si="75"/>
        <v>O</v>
      </c>
      <c r="Y173" s="17"/>
      <c r="Z173" s="17">
        <v>53</v>
      </c>
      <c r="AA173" s="17"/>
      <c r="AB173" s="17" t="str">
        <f t="shared" si="76"/>
        <v>MEM/UTA</v>
      </c>
      <c r="AC173" s="17">
        <f t="shared" si="77"/>
        <v>2</v>
      </c>
      <c r="AD173" s="17">
        <f t="shared" si="78"/>
        <v>2</v>
      </c>
    </row>
    <row r="174" spans="1:30" x14ac:dyDescent="0.3">
      <c r="A174" s="17">
        <v>191116</v>
      </c>
      <c r="B174" s="1">
        <v>0.52083333333333337</v>
      </c>
      <c r="C174" s="17" t="s">
        <v>216</v>
      </c>
      <c r="D174" s="17" t="s">
        <v>217</v>
      </c>
      <c r="E174" s="17">
        <v>32</v>
      </c>
      <c r="F174" s="17">
        <v>19</v>
      </c>
      <c r="G174" s="17">
        <v>20</v>
      </c>
      <c r="H174" s="17">
        <v>29</v>
      </c>
      <c r="I174" s="17"/>
      <c r="J174" s="17">
        <v>23</v>
      </c>
      <c r="K174" s="17">
        <v>29</v>
      </c>
      <c r="L174" s="17">
        <v>24</v>
      </c>
      <c r="M174" s="17">
        <v>29</v>
      </c>
      <c r="N174" s="17"/>
      <c r="O174" s="17">
        <f t="shared" si="66"/>
        <v>100</v>
      </c>
      <c r="P174" s="17">
        <f t="shared" si="67"/>
        <v>105</v>
      </c>
      <c r="Q174" s="17" t="str">
        <f t="shared" si="68"/>
        <v>HW</v>
      </c>
      <c r="R174" s="17" t="str">
        <f t="shared" si="69"/>
        <v>HL</v>
      </c>
      <c r="S174" s="17" t="str">
        <f t="shared" si="70"/>
        <v>HL</v>
      </c>
      <c r="T174" s="17" t="str">
        <f t="shared" si="71"/>
        <v>TT</v>
      </c>
      <c r="U174" s="17" t="str">
        <f t="shared" si="72"/>
        <v>T</v>
      </c>
      <c r="V174" s="17" t="str">
        <f t="shared" si="73"/>
        <v>U</v>
      </c>
      <c r="W174" s="17" t="str">
        <f t="shared" si="74"/>
        <v>U</v>
      </c>
      <c r="X174" s="17" t="str">
        <f t="shared" si="75"/>
        <v>O</v>
      </c>
      <c r="Y174" s="17"/>
      <c r="Z174" s="17">
        <v>55</v>
      </c>
      <c r="AA174" s="17"/>
      <c r="AB174" s="17" t="str">
        <f t="shared" si="76"/>
        <v>GS/BOS</v>
      </c>
      <c r="AC174" s="17">
        <f t="shared" si="77"/>
        <v>1</v>
      </c>
      <c r="AD174" s="17">
        <f t="shared" si="78"/>
        <v>2</v>
      </c>
    </row>
    <row r="175" spans="1:30" x14ac:dyDescent="0.3">
      <c r="A175" s="17">
        <v>191116</v>
      </c>
      <c r="B175" s="1">
        <v>0.52083333333333337</v>
      </c>
      <c r="C175" s="17" t="s">
        <v>218</v>
      </c>
      <c r="D175" s="17" t="s">
        <v>219</v>
      </c>
      <c r="E175" s="17">
        <v>20</v>
      </c>
      <c r="F175" s="17">
        <v>29</v>
      </c>
      <c r="G175" s="17">
        <v>25</v>
      </c>
      <c r="H175" s="17">
        <v>25</v>
      </c>
      <c r="I175" s="17"/>
      <c r="J175" s="17">
        <v>30</v>
      </c>
      <c r="K175" s="17">
        <v>20</v>
      </c>
      <c r="L175" s="17">
        <v>21</v>
      </c>
      <c r="M175" s="17">
        <v>26</v>
      </c>
      <c r="N175" s="17"/>
      <c r="O175" s="17">
        <f t="shared" si="66"/>
        <v>99</v>
      </c>
      <c r="P175" s="17">
        <f t="shared" si="67"/>
        <v>97</v>
      </c>
      <c r="Q175" s="17" t="str">
        <f t="shared" si="68"/>
        <v>HL</v>
      </c>
      <c r="R175" s="17" t="str">
        <f t="shared" si="69"/>
        <v>HW</v>
      </c>
      <c r="S175" s="17" t="str">
        <f t="shared" si="70"/>
        <v>HW</v>
      </c>
      <c r="T175" s="17" t="str">
        <f t="shared" si="71"/>
        <v>HL</v>
      </c>
      <c r="U175" s="17" t="str">
        <f t="shared" si="72"/>
        <v>U</v>
      </c>
      <c r="V175" s="17" t="str">
        <f t="shared" si="73"/>
        <v>U</v>
      </c>
      <c r="W175" s="17" t="str">
        <f t="shared" si="74"/>
        <v>U</v>
      </c>
      <c r="X175" s="17" t="str">
        <f t="shared" si="75"/>
        <v>U</v>
      </c>
      <c r="Y175" s="17"/>
      <c r="Z175" s="17">
        <v>55.5</v>
      </c>
      <c r="AA175" s="17"/>
      <c r="AB175" s="17" t="str">
        <f t="shared" si="76"/>
        <v>LAL/SAC</v>
      </c>
      <c r="AC175" s="17">
        <f t="shared" si="77"/>
        <v>0</v>
      </c>
      <c r="AD175" s="17">
        <f t="shared" si="78"/>
        <v>4</v>
      </c>
    </row>
    <row r="176" spans="1:30" x14ac:dyDescent="0.3">
      <c r="A176" s="17">
        <v>191117</v>
      </c>
      <c r="B176" s="1">
        <v>0.33333333333333331</v>
      </c>
      <c r="C176" s="17" t="s">
        <v>220</v>
      </c>
      <c r="D176" s="17" t="s">
        <v>221</v>
      </c>
      <c r="E176" s="17"/>
      <c r="F176" s="17"/>
      <c r="G176" s="17"/>
      <c r="H176" s="17"/>
      <c r="I176" s="17"/>
      <c r="J176" s="17"/>
      <c r="K176" s="17"/>
      <c r="L176" s="17"/>
      <c r="M176" s="17"/>
      <c r="N176" s="17"/>
    </row>
    <row r="177" spans="1:14" x14ac:dyDescent="0.3">
      <c r="A177" s="17">
        <v>191117</v>
      </c>
      <c r="B177" s="1">
        <v>0.375</v>
      </c>
      <c r="C177" s="17" t="s">
        <v>209</v>
      </c>
      <c r="D177" s="17" t="s">
        <v>222</v>
      </c>
      <c r="E177" s="17"/>
      <c r="F177" s="17"/>
      <c r="G177" s="17"/>
      <c r="H177" s="17"/>
      <c r="I177" s="17"/>
      <c r="J177" s="17"/>
      <c r="K177" s="17"/>
      <c r="L177" s="17"/>
      <c r="M177" s="17"/>
      <c r="N177" s="17"/>
    </row>
    <row r="178" spans="1:14" x14ac:dyDescent="0.3">
      <c r="A178" s="17">
        <v>191117</v>
      </c>
      <c r="B178" s="1">
        <v>0.39583333333333331</v>
      </c>
      <c r="C178" s="17" t="s">
        <v>223</v>
      </c>
      <c r="D178" s="17" t="s">
        <v>206</v>
      </c>
      <c r="E178" s="17"/>
      <c r="F178" s="17"/>
      <c r="G178" s="17"/>
      <c r="H178" s="17"/>
      <c r="I178" s="17"/>
      <c r="J178" s="17"/>
      <c r="K178" s="17"/>
      <c r="L178" s="17"/>
      <c r="M178" s="17"/>
      <c r="N178" s="17"/>
    </row>
    <row r="179" spans="1:14" x14ac:dyDescent="0.3">
      <c r="A179" s="17">
        <v>191117</v>
      </c>
      <c r="B179" s="1">
        <v>0.41666666666666669</v>
      </c>
      <c r="C179" s="11" t="s">
        <v>224</v>
      </c>
      <c r="D179" s="17" t="s">
        <v>225</v>
      </c>
      <c r="E179" s="17"/>
      <c r="F179" s="17"/>
      <c r="G179" s="17"/>
      <c r="H179" s="17"/>
      <c r="I179" s="17"/>
      <c r="J179" s="17"/>
      <c r="K179" s="17"/>
      <c r="L179" s="17"/>
      <c r="M179" s="17"/>
      <c r="N179" s="17"/>
    </row>
    <row r="180" spans="1:14" x14ac:dyDescent="0.3">
      <c r="A180" s="17">
        <v>191117</v>
      </c>
      <c r="B180" s="1">
        <v>0.41666666666666669</v>
      </c>
      <c r="C180" s="17" t="s">
        <v>210</v>
      </c>
      <c r="D180" s="11" t="s">
        <v>208</v>
      </c>
      <c r="E180" s="17"/>
      <c r="F180" s="17"/>
      <c r="G180" s="17"/>
      <c r="H180" s="17"/>
      <c r="I180" s="17"/>
      <c r="J180" s="17"/>
      <c r="K180" s="17"/>
      <c r="L180" s="17"/>
      <c r="M180" s="17"/>
      <c r="N180" s="17"/>
    </row>
    <row r="181" spans="1:14" x14ac:dyDescent="0.3">
      <c r="A181" s="17">
        <v>191117</v>
      </c>
      <c r="B181" s="1">
        <v>0.4375</v>
      </c>
      <c r="C181" s="17" t="s">
        <v>226</v>
      </c>
      <c r="D181" s="17" t="s">
        <v>227</v>
      </c>
      <c r="E181" s="17"/>
      <c r="F181" s="17"/>
      <c r="G181" s="17"/>
      <c r="H181" s="17"/>
      <c r="I181" s="17"/>
      <c r="J181" s="17"/>
      <c r="K181" s="17"/>
      <c r="L181" s="17"/>
      <c r="M181" s="17"/>
      <c r="N181" s="17"/>
    </row>
    <row r="182" spans="1:14" x14ac:dyDescent="0.3">
      <c r="A182" s="17">
        <v>191117</v>
      </c>
      <c r="B182" s="1">
        <v>0.4375</v>
      </c>
      <c r="C182" s="17" t="s">
        <v>205</v>
      </c>
      <c r="D182" s="17" t="s">
        <v>228</v>
      </c>
      <c r="E182" s="17"/>
      <c r="F182" s="17"/>
      <c r="G182" s="17"/>
      <c r="H182" s="17"/>
      <c r="I182" s="17"/>
      <c r="J182" s="17"/>
      <c r="K182" s="17"/>
      <c r="L182" s="17"/>
      <c r="M182" s="17"/>
      <c r="N182" s="17"/>
    </row>
    <row r="183" spans="1:14" x14ac:dyDescent="0.3">
      <c r="A183" s="17">
        <v>191117</v>
      </c>
      <c r="B183" s="1">
        <v>0.52083333333333337</v>
      </c>
      <c r="C183" s="17" t="s">
        <v>229</v>
      </c>
      <c r="D183" s="17" t="s">
        <v>230</v>
      </c>
      <c r="E183" s="17"/>
      <c r="F183" s="17"/>
      <c r="G183" s="17"/>
      <c r="H183" s="17"/>
      <c r="I183" s="17"/>
      <c r="J183" s="17"/>
      <c r="K183" s="17"/>
      <c r="L183" s="17"/>
      <c r="M183" s="17"/>
      <c r="N183" s="17"/>
    </row>
  </sheetData>
  <autoFilter ref="AB1:AB4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3"/>
  <sheetViews>
    <sheetView zoomScale="85" zoomScaleNormal="85" workbookViewId="0">
      <selection activeCell="C19" sqref="C19:D20"/>
    </sheetView>
  </sheetViews>
  <sheetFormatPr defaultRowHeight="16.5" x14ac:dyDescent="0.3"/>
  <cols>
    <col min="27" max="27" width="10.875" bestFit="1" customWidth="1"/>
  </cols>
  <sheetData>
    <row r="1" spans="1:27" s="3" customFormat="1" x14ac:dyDescent="0.3">
      <c r="A1" s="3" t="s">
        <v>0</v>
      </c>
      <c r="B1" s="3" t="s">
        <v>55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152</v>
      </c>
    </row>
    <row r="2" spans="1:27" x14ac:dyDescent="0.3">
      <c r="A2" s="3">
        <v>191115</v>
      </c>
      <c r="B2" s="1">
        <v>0.33333333333333331</v>
      </c>
      <c r="C2" t="s">
        <v>193</v>
      </c>
      <c r="D2" t="s">
        <v>194</v>
      </c>
      <c r="E2" s="12">
        <v>22</v>
      </c>
      <c r="F2" s="12">
        <v>22</v>
      </c>
      <c r="G2" s="12">
        <v>30</v>
      </c>
      <c r="H2" s="12">
        <v>23</v>
      </c>
      <c r="I2" s="12"/>
      <c r="J2" s="12">
        <v>34</v>
      </c>
      <c r="K2" s="12">
        <v>34</v>
      </c>
      <c r="L2" s="12">
        <v>26</v>
      </c>
      <c r="M2" s="12">
        <v>14</v>
      </c>
      <c r="O2" s="17">
        <f t="shared" ref="O2:O15" si="0">SUM(E2:I2)</f>
        <v>97</v>
      </c>
      <c r="P2" s="17">
        <f t="shared" ref="P2:P15" si="1">SUM(J2:N2)</f>
        <v>108</v>
      </c>
      <c r="Q2" s="17" t="str">
        <f t="shared" ref="Q2:Q15" si="2">IF(E2=J2,"TT",IF(E2&gt;J2,"HW","HL"))</f>
        <v>HL</v>
      </c>
      <c r="R2" s="17" t="str">
        <f t="shared" ref="R2:R15" si="3">IF(F2=K2,"TT",IF(F2&gt;K2,"HW","HL"))</f>
        <v>HL</v>
      </c>
      <c r="S2" s="17" t="str">
        <f t="shared" ref="S2:S15" si="4">IF(G2=L2,"TT",IF(G2&gt;L2,"HW","HL"))</f>
        <v>HW</v>
      </c>
      <c r="T2" s="17" t="str">
        <f t="shared" ref="T2:T15" si="5">IF(H2=M2,"TT",IF(H2&gt;M2,"HW","HL"))</f>
        <v>HW</v>
      </c>
      <c r="U2" s="17" t="str">
        <f t="shared" ref="U2:U15" si="6">IF(SUM(E2,J2)=$Z2,"T",IF(SUM(E2,J2)&gt;$Z2,"O","U"))</f>
        <v>O</v>
      </c>
      <c r="V2" s="17" t="str">
        <f t="shared" ref="V2:V15" si="7">IF(SUM(F2,K2)=$Z2,"T",IF(SUM(F2,K2)&gt;$Z2,"O","U"))</f>
        <v>O</v>
      </c>
      <c r="W2" s="17" t="str">
        <f t="shared" ref="W2:W15" si="8">IF(SUM(G2,L2)=$Z2,"T",IF(SUM(G2,L2)&gt;$Z2,"O","U"))</f>
        <v>O</v>
      </c>
      <c r="X2" s="17" t="str">
        <f t="shared" ref="X2:X15" si="9">IF(SUM(H2,M2)=$Z2,"T",IF(SUM(H2,M2)&gt;$Z2,"O","U"))</f>
        <v>U</v>
      </c>
      <c r="Z2">
        <v>55.5</v>
      </c>
      <c r="AA2" t="str">
        <f t="shared" ref="AA2:AA23" si="10">C2&amp;"/"&amp;D2</f>
        <v>CLE/MIA</v>
      </c>
    </row>
    <row r="3" spans="1:27" x14ac:dyDescent="0.3">
      <c r="A3" s="3">
        <v>191115</v>
      </c>
      <c r="B3" s="1">
        <v>0.41666666666666669</v>
      </c>
      <c r="C3" t="s">
        <v>195</v>
      </c>
      <c r="D3" t="s">
        <v>186</v>
      </c>
      <c r="E3" s="15">
        <v>34</v>
      </c>
      <c r="F3" s="15">
        <v>38</v>
      </c>
      <c r="G3" s="15">
        <v>24</v>
      </c>
      <c r="H3" s="15">
        <v>36</v>
      </c>
      <c r="I3" s="15"/>
      <c r="J3" s="15">
        <v>35</v>
      </c>
      <c r="K3" s="15">
        <v>24</v>
      </c>
      <c r="L3" s="15">
        <v>38</v>
      </c>
      <c r="M3" s="15">
        <v>30</v>
      </c>
      <c r="O3" s="17">
        <f t="shared" si="0"/>
        <v>132</v>
      </c>
      <c r="P3" s="17">
        <f t="shared" si="1"/>
        <v>127</v>
      </c>
      <c r="Q3" s="17" t="str">
        <f t="shared" si="2"/>
        <v>HL</v>
      </c>
      <c r="R3" s="17" t="str">
        <f t="shared" si="3"/>
        <v>HW</v>
      </c>
      <c r="S3" s="17" t="str">
        <f t="shared" si="4"/>
        <v>HL</v>
      </c>
      <c r="T3" s="17" t="str">
        <f t="shared" si="5"/>
        <v>HW</v>
      </c>
      <c r="U3" s="17" t="str">
        <f t="shared" si="6"/>
        <v>O</v>
      </c>
      <c r="V3" s="17" t="str">
        <f t="shared" si="7"/>
        <v>O</v>
      </c>
      <c r="W3" s="17" t="str">
        <f t="shared" si="8"/>
        <v>O</v>
      </c>
      <c r="X3" s="17" t="str">
        <f t="shared" si="9"/>
        <v>O</v>
      </c>
      <c r="Z3">
        <v>60</v>
      </c>
      <c r="AA3" t="str">
        <f t="shared" si="10"/>
        <v>NO/LAC</v>
      </c>
    </row>
    <row r="4" spans="1:27" x14ac:dyDescent="0.3">
      <c r="A4" s="3">
        <v>191115</v>
      </c>
      <c r="B4" s="1">
        <v>0.41666666666666669</v>
      </c>
      <c r="C4" t="s">
        <v>196</v>
      </c>
      <c r="D4" t="s">
        <v>197</v>
      </c>
      <c r="E4" s="14">
        <v>30</v>
      </c>
      <c r="F4" s="14">
        <v>35</v>
      </c>
      <c r="G4" s="14">
        <v>32</v>
      </c>
      <c r="H4" s="14">
        <v>27</v>
      </c>
      <c r="I4" s="14"/>
      <c r="J4" s="14">
        <v>32</v>
      </c>
      <c r="K4" s="14">
        <v>34</v>
      </c>
      <c r="L4" s="14">
        <v>20</v>
      </c>
      <c r="M4" s="14">
        <v>29</v>
      </c>
      <c r="O4" s="17">
        <f t="shared" si="0"/>
        <v>124</v>
      </c>
      <c r="P4" s="17">
        <f t="shared" si="1"/>
        <v>115</v>
      </c>
      <c r="Q4" s="17" t="str">
        <f t="shared" si="2"/>
        <v>HL</v>
      </c>
      <c r="R4" s="17" t="str">
        <f t="shared" si="3"/>
        <v>HW</v>
      </c>
      <c r="S4" s="17" t="str">
        <f t="shared" si="4"/>
        <v>HW</v>
      </c>
      <c r="T4" s="17" t="str">
        <f t="shared" si="5"/>
        <v>HL</v>
      </c>
      <c r="U4" s="17" t="str">
        <f t="shared" si="6"/>
        <v>O</v>
      </c>
      <c r="V4" s="17" t="str">
        <f t="shared" si="7"/>
        <v>O</v>
      </c>
      <c r="W4" s="17" t="str">
        <f t="shared" si="8"/>
        <v>U</v>
      </c>
      <c r="X4" s="17" t="str">
        <f t="shared" si="9"/>
        <v>T</v>
      </c>
      <c r="Z4">
        <v>56</v>
      </c>
      <c r="AA4" t="str">
        <f t="shared" si="10"/>
        <v>MIL/CHI</v>
      </c>
    </row>
    <row r="5" spans="1:27" x14ac:dyDescent="0.3">
      <c r="A5" s="3">
        <v>191115</v>
      </c>
      <c r="B5" s="1">
        <v>0.41666666666666669</v>
      </c>
      <c r="C5" t="s">
        <v>198</v>
      </c>
      <c r="D5" t="s">
        <v>199</v>
      </c>
      <c r="E5" s="16">
        <v>27</v>
      </c>
      <c r="F5" s="16">
        <v>31</v>
      </c>
      <c r="G5" s="16">
        <v>29</v>
      </c>
      <c r="H5" s="16">
        <v>19</v>
      </c>
      <c r="I5" s="16"/>
      <c r="J5" s="16">
        <v>23</v>
      </c>
      <c r="K5" s="16">
        <v>30</v>
      </c>
      <c r="L5" s="16">
        <v>34</v>
      </c>
      <c r="M5" s="16">
        <v>16</v>
      </c>
      <c r="O5" s="17">
        <f t="shared" si="0"/>
        <v>106</v>
      </c>
      <c r="P5" s="17">
        <f t="shared" si="1"/>
        <v>103</v>
      </c>
      <c r="Q5" s="17" t="str">
        <f t="shared" si="2"/>
        <v>HW</v>
      </c>
      <c r="R5" s="17" t="str">
        <f t="shared" si="3"/>
        <v>HW</v>
      </c>
      <c r="S5" s="17" t="str">
        <f t="shared" si="4"/>
        <v>HL</v>
      </c>
      <c r="T5" s="17" t="str">
        <f t="shared" si="5"/>
        <v>HW</v>
      </c>
      <c r="U5" s="17" t="str">
        <f t="shared" si="6"/>
        <v>U</v>
      </c>
      <c r="V5" s="17" t="str">
        <f t="shared" si="7"/>
        <v>O</v>
      </c>
      <c r="W5" s="17" t="str">
        <f t="shared" si="8"/>
        <v>O</v>
      </c>
      <c r="X5" s="17" t="str">
        <f t="shared" si="9"/>
        <v>U</v>
      </c>
      <c r="Z5">
        <v>55.5</v>
      </c>
      <c r="AA5" t="str">
        <f t="shared" si="10"/>
        <v>NYK/DAL</v>
      </c>
    </row>
    <row r="6" spans="1:27" x14ac:dyDescent="0.3">
      <c r="A6" s="3">
        <v>191115</v>
      </c>
      <c r="B6" s="1">
        <v>0.45833333333333331</v>
      </c>
      <c r="C6" t="s">
        <v>200</v>
      </c>
      <c r="D6" t="s">
        <v>201</v>
      </c>
      <c r="E6" s="17">
        <v>31</v>
      </c>
      <c r="F6" s="17">
        <v>36</v>
      </c>
      <c r="G6" s="17">
        <v>37</v>
      </c>
      <c r="H6" s="17">
        <v>24</v>
      </c>
      <c r="I6" s="17"/>
      <c r="J6" s="17">
        <v>33</v>
      </c>
      <c r="K6" s="17">
        <v>28</v>
      </c>
      <c r="L6" s="17">
        <v>29</v>
      </c>
      <c r="M6" s="17">
        <v>22</v>
      </c>
      <c r="O6" s="17">
        <f t="shared" si="0"/>
        <v>128</v>
      </c>
      <c r="P6" s="17">
        <f t="shared" si="1"/>
        <v>112</v>
      </c>
      <c r="Q6" s="17" t="str">
        <f t="shared" si="2"/>
        <v>HL</v>
      </c>
      <c r="R6" s="17" t="str">
        <f t="shared" si="3"/>
        <v>HW</v>
      </c>
      <c r="S6" s="17" t="str">
        <f t="shared" si="4"/>
        <v>HW</v>
      </c>
      <c r="T6" s="17" t="str">
        <f t="shared" si="5"/>
        <v>HW</v>
      </c>
      <c r="U6" s="17" t="str">
        <f t="shared" si="6"/>
        <v>O</v>
      </c>
      <c r="V6" s="17" t="str">
        <f t="shared" si="7"/>
        <v>O</v>
      </c>
      <c r="W6" s="17" t="str">
        <f t="shared" si="8"/>
        <v>O</v>
      </c>
      <c r="X6" s="17" t="str">
        <f t="shared" si="9"/>
        <v>U</v>
      </c>
      <c r="Z6">
        <v>59</v>
      </c>
      <c r="AA6" t="str">
        <f t="shared" si="10"/>
        <v>PHO/ATL</v>
      </c>
    </row>
    <row r="7" spans="1:27" x14ac:dyDescent="0.3">
      <c r="A7" s="3">
        <v>191115</v>
      </c>
      <c r="B7" s="1">
        <v>0.52083333333333337</v>
      </c>
      <c r="C7" t="s">
        <v>202</v>
      </c>
      <c r="D7" t="s">
        <v>203</v>
      </c>
      <c r="E7" s="13">
        <v>28</v>
      </c>
      <c r="F7" s="13">
        <v>21</v>
      </c>
      <c r="G7" s="13">
        <v>30</v>
      </c>
      <c r="H7" s="13">
        <v>22</v>
      </c>
      <c r="I7" s="13"/>
      <c r="J7" s="13">
        <v>35</v>
      </c>
      <c r="K7" s="13">
        <v>26</v>
      </c>
      <c r="L7" s="13">
        <v>18</v>
      </c>
      <c r="M7" s="13">
        <v>14</v>
      </c>
      <c r="O7" s="17">
        <f t="shared" si="0"/>
        <v>101</v>
      </c>
      <c r="P7" s="17">
        <f t="shared" si="1"/>
        <v>93</v>
      </c>
      <c r="Q7" s="17" t="str">
        <f t="shared" si="2"/>
        <v>HL</v>
      </c>
      <c r="R7" s="17" t="str">
        <f t="shared" si="3"/>
        <v>HL</v>
      </c>
      <c r="S7" s="17" t="str">
        <f t="shared" si="4"/>
        <v>HW</v>
      </c>
      <c r="T7" s="17" t="str">
        <f t="shared" si="5"/>
        <v>HW</v>
      </c>
      <c r="U7" s="17" t="str">
        <f t="shared" si="6"/>
        <v>O</v>
      </c>
      <c r="V7" s="17" t="str">
        <f t="shared" si="7"/>
        <v>U</v>
      </c>
      <c r="W7" s="17" t="str">
        <f t="shared" si="8"/>
        <v>U</v>
      </c>
      <c r="X7" s="17" t="str">
        <f t="shared" si="9"/>
        <v>U</v>
      </c>
      <c r="Z7">
        <v>54.5</v>
      </c>
      <c r="AA7" t="str">
        <f t="shared" si="10"/>
        <v>DEN/BKN</v>
      </c>
    </row>
    <row r="8" spans="1:27" x14ac:dyDescent="0.3">
      <c r="A8" s="17">
        <v>191116</v>
      </c>
      <c r="B8" s="1">
        <v>0.375</v>
      </c>
      <c r="C8" t="s">
        <v>204</v>
      </c>
      <c r="D8" t="s">
        <v>205</v>
      </c>
      <c r="E8">
        <v>24</v>
      </c>
      <c r="F8">
        <v>23</v>
      </c>
      <c r="G8">
        <v>32</v>
      </c>
      <c r="H8">
        <v>32</v>
      </c>
      <c r="J8">
        <v>31</v>
      </c>
      <c r="K8">
        <v>25</v>
      </c>
      <c r="L8">
        <v>26</v>
      </c>
      <c r="M8">
        <v>27</v>
      </c>
      <c r="O8" s="17">
        <f t="shared" si="0"/>
        <v>111</v>
      </c>
      <c r="P8" s="17">
        <f t="shared" si="1"/>
        <v>109</v>
      </c>
      <c r="Q8" s="17" t="str">
        <f t="shared" si="2"/>
        <v>HL</v>
      </c>
      <c r="R8" s="17" t="str">
        <f t="shared" si="3"/>
        <v>HL</v>
      </c>
      <c r="S8" s="17" t="str">
        <f t="shared" si="4"/>
        <v>HW</v>
      </c>
      <c r="T8" s="17" t="str">
        <f t="shared" si="5"/>
        <v>HW</v>
      </c>
      <c r="U8" s="17" t="str">
        <f t="shared" si="6"/>
        <v>O</v>
      </c>
      <c r="V8" s="17" t="str">
        <f t="shared" si="7"/>
        <v>U</v>
      </c>
      <c r="W8" s="17" t="str">
        <f t="shared" si="8"/>
        <v>O</v>
      </c>
      <c r="X8" s="17" t="str">
        <f t="shared" si="9"/>
        <v>O</v>
      </c>
      <c r="Z8">
        <v>52</v>
      </c>
      <c r="AA8" t="str">
        <f t="shared" si="10"/>
        <v>ORL/SAS</v>
      </c>
    </row>
    <row r="9" spans="1:27" x14ac:dyDescent="0.3">
      <c r="A9" s="17">
        <v>191116</v>
      </c>
      <c r="B9" s="1">
        <v>0.375</v>
      </c>
      <c r="C9" t="s">
        <v>206</v>
      </c>
      <c r="D9" t="s">
        <v>207</v>
      </c>
      <c r="E9">
        <v>25</v>
      </c>
      <c r="F9">
        <v>26</v>
      </c>
      <c r="G9">
        <v>32</v>
      </c>
      <c r="H9">
        <v>26</v>
      </c>
      <c r="J9">
        <v>35</v>
      </c>
      <c r="K9">
        <v>30</v>
      </c>
      <c r="L9">
        <v>18</v>
      </c>
      <c r="M9">
        <v>23</v>
      </c>
      <c r="O9" s="17">
        <f t="shared" si="0"/>
        <v>109</v>
      </c>
      <c r="P9" s="17">
        <f t="shared" si="1"/>
        <v>106</v>
      </c>
      <c r="Q9" s="17" t="str">
        <f t="shared" si="2"/>
        <v>HL</v>
      </c>
      <c r="R9" s="17" t="str">
        <f t="shared" si="3"/>
        <v>HL</v>
      </c>
      <c r="S9" s="17" t="str">
        <f t="shared" si="4"/>
        <v>HW</v>
      </c>
      <c r="T9" s="17" t="str">
        <f t="shared" si="5"/>
        <v>HW</v>
      </c>
      <c r="U9" s="17" t="str">
        <f t="shared" si="6"/>
        <v>O</v>
      </c>
      <c r="V9" s="17" t="str">
        <f t="shared" si="7"/>
        <v>U</v>
      </c>
      <c r="W9" s="17" t="str">
        <f t="shared" si="8"/>
        <v>U</v>
      </c>
      <c r="X9" s="17" t="str">
        <f t="shared" si="9"/>
        <v>U</v>
      </c>
      <c r="Z9">
        <v>56.5</v>
      </c>
      <c r="AA9" t="str">
        <f t="shared" si="10"/>
        <v>CHA/DET</v>
      </c>
    </row>
    <row r="10" spans="1:27" x14ac:dyDescent="0.3">
      <c r="A10" s="17">
        <v>191116</v>
      </c>
      <c r="B10" s="1">
        <v>0.41666666666666669</v>
      </c>
      <c r="C10" t="s">
        <v>208</v>
      </c>
      <c r="D10" t="s">
        <v>209</v>
      </c>
      <c r="E10">
        <v>26</v>
      </c>
      <c r="F10">
        <v>28</v>
      </c>
      <c r="G10">
        <v>26</v>
      </c>
      <c r="H10">
        <v>31</v>
      </c>
      <c r="J10">
        <v>22</v>
      </c>
      <c r="K10">
        <v>27</v>
      </c>
      <c r="L10">
        <v>30</v>
      </c>
      <c r="M10">
        <v>23</v>
      </c>
      <c r="O10" s="17">
        <f t="shared" si="0"/>
        <v>111</v>
      </c>
      <c r="P10" s="17">
        <f t="shared" si="1"/>
        <v>102</v>
      </c>
      <c r="Q10" s="17" t="str">
        <f t="shared" si="2"/>
        <v>HW</v>
      </c>
      <c r="R10" s="17" t="str">
        <f t="shared" si="3"/>
        <v>HW</v>
      </c>
      <c r="S10" s="17" t="str">
        <f t="shared" si="4"/>
        <v>HL</v>
      </c>
      <c r="T10" s="17" t="str">
        <f t="shared" si="5"/>
        <v>HW</v>
      </c>
      <c r="U10" s="17" t="str">
        <f t="shared" si="6"/>
        <v>U</v>
      </c>
      <c r="V10" s="17" t="str">
        <f t="shared" si="7"/>
        <v>U</v>
      </c>
      <c r="W10" s="17" t="str">
        <f t="shared" si="8"/>
        <v>U</v>
      </c>
      <c r="X10" s="17" t="str">
        <f t="shared" si="9"/>
        <v>U</v>
      </c>
      <c r="Z10">
        <v>58.5</v>
      </c>
      <c r="AA10" t="str">
        <f t="shared" si="10"/>
        <v>HOU/IND</v>
      </c>
    </row>
    <row r="11" spans="1:27" x14ac:dyDescent="0.3">
      <c r="A11" s="17">
        <v>191116</v>
      </c>
      <c r="B11" s="1">
        <v>0.41666666666666669</v>
      </c>
      <c r="C11" t="s">
        <v>210</v>
      </c>
      <c r="D11" t="s">
        <v>211</v>
      </c>
      <c r="E11">
        <v>30</v>
      </c>
      <c r="F11">
        <v>43</v>
      </c>
      <c r="G11">
        <v>19</v>
      </c>
      <c r="H11">
        <v>24</v>
      </c>
      <c r="J11">
        <v>39</v>
      </c>
      <c r="K11">
        <v>37</v>
      </c>
      <c r="L11">
        <v>26</v>
      </c>
      <c r="M11">
        <v>35</v>
      </c>
      <c r="O11" s="17">
        <f t="shared" si="0"/>
        <v>116</v>
      </c>
      <c r="P11" s="17">
        <f t="shared" si="1"/>
        <v>137</v>
      </c>
      <c r="Q11" s="17" t="str">
        <f t="shared" si="2"/>
        <v>HL</v>
      </c>
      <c r="R11" s="17" t="str">
        <f t="shared" si="3"/>
        <v>HW</v>
      </c>
      <c r="S11" s="17" t="str">
        <f t="shared" si="4"/>
        <v>HL</v>
      </c>
      <c r="T11" s="17" t="str">
        <f t="shared" si="5"/>
        <v>HL</v>
      </c>
      <c r="U11" s="17" t="str">
        <f t="shared" si="6"/>
        <v>O</v>
      </c>
      <c r="V11" s="17" t="str">
        <f t="shared" si="7"/>
        <v>O</v>
      </c>
      <c r="W11" s="17" t="str">
        <f t="shared" si="8"/>
        <v>U</v>
      </c>
      <c r="X11" s="17" t="str">
        <f t="shared" si="9"/>
        <v>U</v>
      </c>
      <c r="Z11">
        <v>61.5</v>
      </c>
      <c r="AA11" t="str">
        <f t="shared" si="10"/>
        <v>MIN/WAS</v>
      </c>
    </row>
    <row r="12" spans="1:27" x14ac:dyDescent="0.3">
      <c r="A12" s="17">
        <v>191116</v>
      </c>
      <c r="B12" s="1">
        <v>0.41666666666666669</v>
      </c>
      <c r="C12" t="s">
        <v>212</v>
      </c>
      <c r="D12" t="s">
        <v>213</v>
      </c>
      <c r="E12">
        <v>24</v>
      </c>
      <c r="F12">
        <v>30</v>
      </c>
      <c r="G12">
        <v>26</v>
      </c>
      <c r="H12">
        <v>27</v>
      </c>
      <c r="I12">
        <v>20</v>
      </c>
      <c r="J12">
        <v>29</v>
      </c>
      <c r="K12">
        <v>20</v>
      </c>
      <c r="L12">
        <v>34</v>
      </c>
      <c r="M12">
        <v>24</v>
      </c>
      <c r="N12">
        <v>12</v>
      </c>
      <c r="O12" s="17">
        <f t="shared" si="0"/>
        <v>127</v>
      </c>
      <c r="P12" s="17">
        <f t="shared" si="1"/>
        <v>119</v>
      </c>
      <c r="Q12" s="17" t="str">
        <f t="shared" si="2"/>
        <v>HL</v>
      </c>
      <c r="R12" s="17" t="str">
        <f t="shared" si="3"/>
        <v>HW</v>
      </c>
      <c r="S12" s="17" t="str">
        <f t="shared" si="4"/>
        <v>HL</v>
      </c>
      <c r="T12" s="17" t="str">
        <f t="shared" si="5"/>
        <v>HW</v>
      </c>
      <c r="U12" s="17" t="str">
        <f t="shared" si="6"/>
        <v>O</v>
      </c>
      <c r="V12" s="17" t="str">
        <f t="shared" si="7"/>
        <v>U</v>
      </c>
      <c r="W12" s="17" t="str">
        <f t="shared" si="8"/>
        <v>O</v>
      </c>
      <c r="X12" s="17" t="str">
        <f t="shared" si="9"/>
        <v>U</v>
      </c>
      <c r="Z12">
        <v>52.5</v>
      </c>
      <c r="AA12" t="str">
        <f t="shared" si="10"/>
        <v>OKC/PHI</v>
      </c>
    </row>
    <row r="13" spans="1:27" x14ac:dyDescent="0.3">
      <c r="A13" s="17">
        <v>191116</v>
      </c>
      <c r="B13" s="1">
        <v>0.41666666666666669</v>
      </c>
      <c r="C13" t="s">
        <v>214</v>
      </c>
      <c r="D13" t="s">
        <v>215</v>
      </c>
      <c r="E13">
        <v>23</v>
      </c>
      <c r="F13">
        <v>30</v>
      </c>
      <c r="G13">
        <v>24</v>
      </c>
      <c r="H13">
        <v>30</v>
      </c>
      <c r="J13">
        <v>26</v>
      </c>
      <c r="K13">
        <v>22</v>
      </c>
      <c r="L13">
        <v>31</v>
      </c>
      <c r="M13">
        <v>27</v>
      </c>
      <c r="O13" s="17">
        <f t="shared" si="0"/>
        <v>107</v>
      </c>
      <c r="P13" s="17">
        <f t="shared" si="1"/>
        <v>106</v>
      </c>
      <c r="Q13" s="17" t="str">
        <f t="shared" si="2"/>
        <v>HL</v>
      </c>
      <c r="R13" s="17" t="str">
        <f t="shared" si="3"/>
        <v>HW</v>
      </c>
      <c r="S13" s="17" t="str">
        <f t="shared" si="4"/>
        <v>HL</v>
      </c>
      <c r="T13" s="17" t="str">
        <f t="shared" si="5"/>
        <v>HW</v>
      </c>
      <c r="U13" s="17" t="str">
        <f t="shared" si="6"/>
        <v>U</v>
      </c>
      <c r="V13" s="17" t="str">
        <f t="shared" si="7"/>
        <v>U</v>
      </c>
      <c r="W13" s="17" t="str">
        <f t="shared" si="8"/>
        <v>O</v>
      </c>
      <c r="X13" s="17" t="str">
        <f t="shared" si="9"/>
        <v>O</v>
      </c>
      <c r="Z13">
        <v>53</v>
      </c>
      <c r="AA13" t="str">
        <f t="shared" si="10"/>
        <v>MEM/UTA</v>
      </c>
    </row>
    <row r="14" spans="1:27" x14ac:dyDescent="0.3">
      <c r="A14" s="17">
        <v>191116</v>
      </c>
      <c r="B14" s="1">
        <v>0.52083333333333337</v>
      </c>
      <c r="C14" t="s">
        <v>216</v>
      </c>
      <c r="D14" t="s">
        <v>217</v>
      </c>
      <c r="E14">
        <v>32</v>
      </c>
      <c r="F14">
        <v>19</v>
      </c>
      <c r="G14">
        <v>20</v>
      </c>
      <c r="H14">
        <v>29</v>
      </c>
      <c r="J14">
        <v>23</v>
      </c>
      <c r="K14">
        <v>29</v>
      </c>
      <c r="L14">
        <v>24</v>
      </c>
      <c r="M14">
        <v>29</v>
      </c>
      <c r="O14" s="17">
        <f t="shared" si="0"/>
        <v>100</v>
      </c>
      <c r="P14" s="17">
        <f t="shared" si="1"/>
        <v>105</v>
      </c>
      <c r="Q14" s="17" t="str">
        <f t="shared" si="2"/>
        <v>HW</v>
      </c>
      <c r="R14" s="17" t="str">
        <f t="shared" si="3"/>
        <v>HL</v>
      </c>
      <c r="S14" s="17" t="str">
        <f t="shared" si="4"/>
        <v>HL</v>
      </c>
      <c r="T14" s="17" t="str">
        <f t="shared" si="5"/>
        <v>TT</v>
      </c>
      <c r="U14" s="17" t="str">
        <f t="shared" si="6"/>
        <v>T</v>
      </c>
      <c r="V14" s="17" t="str">
        <f t="shared" si="7"/>
        <v>U</v>
      </c>
      <c r="W14" s="17" t="str">
        <f t="shared" si="8"/>
        <v>U</v>
      </c>
      <c r="X14" s="17" t="str">
        <f t="shared" si="9"/>
        <v>O</v>
      </c>
      <c r="Z14">
        <v>55</v>
      </c>
      <c r="AA14" t="str">
        <f t="shared" si="10"/>
        <v>GS/BOS</v>
      </c>
    </row>
    <row r="15" spans="1:27" x14ac:dyDescent="0.3">
      <c r="A15" s="17">
        <v>191116</v>
      </c>
      <c r="B15" s="1">
        <v>0.52083333333333337</v>
      </c>
      <c r="C15" t="s">
        <v>218</v>
      </c>
      <c r="D15" t="s">
        <v>219</v>
      </c>
      <c r="E15">
        <v>20</v>
      </c>
      <c r="F15">
        <v>29</v>
      </c>
      <c r="G15">
        <v>25</v>
      </c>
      <c r="H15">
        <v>25</v>
      </c>
      <c r="J15">
        <v>30</v>
      </c>
      <c r="K15">
        <v>20</v>
      </c>
      <c r="L15">
        <v>21</v>
      </c>
      <c r="M15">
        <v>26</v>
      </c>
      <c r="O15" s="17">
        <f t="shared" si="0"/>
        <v>99</v>
      </c>
      <c r="P15" s="17">
        <f t="shared" si="1"/>
        <v>97</v>
      </c>
      <c r="Q15" s="17" t="str">
        <f t="shared" si="2"/>
        <v>HL</v>
      </c>
      <c r="R15" s="17" t="str">
        <f t="shared" si="3"/>
        <v>HW</v>
      </c>
      <c r="S15" s="17" t="str">
        <f t="shared" si="4"/>
        <v>HW</v>
      </c>
      <c r="T15" s="17" t="str">
        <f t="shared" si="5"/>
        <v>HL</v>
      </c>
      <c r="U15" s="17" t="str">
        <f t="shared" si="6"/>
        <v>U</v>
      </c>
      <c r="V15" s="17" t="str">
        <f t="shared" si="7"/>
        <v>U</v>
      </c>
      <c r="W15" s="17" t="str">
        <f t="shared" si="8"/>
        <v>U</v>
      </c>
      <c r="X15" s="17" t="str">
        <f t="shared" si="9"/>
        <v>U</v>
      </c>
      <c r="Z15">
        <v>55.5</v>
      </c>
      <c r="AA15" t="str">
        <f t="shared" si="10"/>
        <v>LAL/SAC</v>
      </c>
    </row>
    <row r="16" spans="1:27" x14ac:dyDescent="0.3">
      <c r="A16" s="17">
        <v>191117</v>
      </c>
      <c r="B16" s="1">
        <v>0.33333333333333331</v>
      </c>
      <c r="C16" t="s">
        <v>220</v>
      </c>
      <c r="D16" t="s">
        <v>221</v>
      </c>
      <c r="AA16" t="str">
        <f t="shared" si="10"/>
        <v>CHI/BKN</v>
      </c>
    </row>
    <row r="17" spans="1:27" x14ac:dyDescent="0.3">
      <c r="A17" s="17">
        <v>191117</v>
      </c>
      <c r="B17" s="1">
        <v>0.375</v>
      </c>
      <c r="C17" t="s">
        <v>209</v>
      </c>
      <c r="D17" t="s">
        <v>222</v>
      </c>
      <c r="AA17" t="str">
        <f t="shared" si="10"/>
        <v>IND/MIL</v>
      </c>
    </row>
    <row r="18" spans="1:27" x14ac:dyDescent="0.3">
      <c r="A18" s="17">
        <v>191117</v>
      </c>
      <c r="B18" s="1">
        <v>0.39583333333333331</v>
      </c>
      <c r="C18" t="s">
        <v>223</v>
      </c>
      <c r="D18" t="s">
        <v>206</v>
      </c>
      <c r="AA18" t="str">
        <f t="shared" si="10"/>
        <v>NYK/CHA</v>
      </c>
    </row>
    <row r="19" spans="1:27" x14ac:dyDescent="0.3">
      <c r="A19" s="17">
        <v>191117</v>
      </c>
      <c r="B19" s="1">
        <v>0.41666666666666669</v>
      </c>
      <c r="C19" s="11" t="s">
        <v>224</v>
      </c>
      <c r="D19" t="s">
        <v>225</v>
      </c>
      <c r="AA19" t="str">
        <f t="shared" si="10"/>
        <v>MIA/NO</v>
      </c>
    </row>
    <row r="20" spans="1:27" x14ac:dyDescent="0.3">
      <c r="A20" s="17">
        <v>191117</v>
      </c>
      <c r="B20" s="1">
        <v>0.41666666666666669</v>
      </c>
      <c r="C20" t="s">
        <v>210</v>
      </c>
      <c r="D20" s="11" t="s">
        <v>208</v>
      </c>
      <c r="AA20" t="str">
        <f t="shared" si="10"/>
        <v>MIN/HOU</v>
      </c>
    </row>
    <row r="21" spans="1:27" x14ac:dyDescent="0.3">
      <c r="A21" s="17">
        <v>191117</v>
      </c>
      <c r="B21" s="1">
        <v>0.4375</v>
      </c>
      <c r="C21" t="s">
        <v>226</v>
      </c>
      <c r="D21" t="s">
        <v>227</v>
      </c>
      <c r="AA21" t="str">
        <f t="shared" si="10"/>
        <v>DAL/TOR</v>
      </c>
    </row>
    <row r="22" spans="1:27" x14ac:dyDescent="0.3">
      <c r="A22" s="17">
        <v>191117</v>
      </c>
      <c r="B22" s="1">
        <v>0.4375</v>
      </c>
      <c r="C22" t="s">
        <v>205</v>
      </c>
      <c r="D22" t="s">
        <v>228</v>
      </c>
      <c r="AA22" t="str">
        <f t="shared" si="10"/>
        <v>SAS/POR</v>
      </c>
    </row>
    <row r="23" spans="1:27" x14ac:dyDescent="0.3">
      <c r="A23" s="17">
        <v>191117</v>
      </c>
      <c r="B23" s="1">
        <v>0.52083333333333337</v>
      </c>
      <c r="C23" t="s">
        <v>229</v>
      </c>
      <c r="D23" t="s">
        <v>230</v>
      </c>
      <c r="AA23" t="str">
        <f t="shared" si="10"/>
        <v>LAC/ATL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T</vt:lpstr>
      <vt:lpstr>T (2)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2019-10-26T09:51:06Z</dcterms:created>
  <dcterms:modified xsi:type="dcterms:W3CDTF">2019-11-16T16:36:20Z</dcterms:modified>
</cp:coreProperties>
</file>