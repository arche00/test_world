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rche\Desktop\2020!!\NBA1920\0116\"/>
    </mc:Choice>
  </mc:AlternateContent>
  <xr:revisionPtr revIDLastSave="0" documentId="13_ncr:1_{E71380D0-9FE7-4A3F-9F46-408036027492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71" i="4" l="1"/>
  <c r="X71" i="4"/>
  <c r="W71" i="4"/>
  <c r="V71" i="4"/>
  <c r="U71" i="4"/>
  <c r="T71" i="4"/>
  <c r="S71" i="4"/>
  <c r="R71" i="4"/>
  <c r="Q71" i="4"/>
  <c r="P71" i="4"/>
  <c r="O71" i="4"/>
  <c r="AA70" i="4"/>
  <c r="X70" i="4"/>
  <c r="W70" i="4"/>
  <c r="V70" i="4"/>
  <c r="U70" i="4"/>
  <c r="T70" i="4"/>
  <c r="S70" i="4"/>
  <c r="R70" i="4"/>
  <c r="Q70" i="4"/>
  <c r="P70" i="4"/>
  <c r="O70" i="4"/>
  <c r="AA69" i="4"/>
  <c r="X69" i="4"/>
  <c r="W69" i="4"/>
  <c r="V69" i="4"/>
  <c r="U69" i="4"/>
  <c r="T69" i="4"/>
  <c r="S69" i="4"/>
  <c r="R69" i="4"/>
  <c r="Q69" i="4"/>
  <c r="P69" i="4"/>
  <c r="O69" i="4"/>
  <c r="AA68" i="4"/>
  <c r="X68" i="4"/>
  <c r="W68" i="4"/>
  <c r="V68" i="4"/>
  <c r="U68" i="4"/>
  <c r="T68" i="4"/>
  <c r="S68" i="4"/>
  <c r="R68" i="4"/>
  <c r="Q68" i="4"/>
  <c r="P68" i="4"/>
  <c r="O68" i="4"/>
  <c r="AA67" i="4"/>
  <c r="X67" i="4"/>
  <c r="W67" i="4"/>
  <c r="V67" i="4"/>
  <c r="U67" i="4"/>
  <c r="T67" i="4"/>
  <c r="S67" i="4"/>
  <c r="R67" i="4"/>
  <c r="Q67" i="4"/>
  <c r="P67" i="4"/>
  <c r="O67" i="4"/>
  <c r="AA66" i="4"/>
  <c r="X66" i="4"/>
  <c r="W66" i="4"/>
  <c r="V66" i="4"/>
  <c r="U66" i="4"/>
  <c r="T66" i="4"/>
  <c r="S66" i="4"/>
  <c r="R66" i="4"/>
  <c r="Q66" i="4"/>
  <c r="P66" i="4"/>
  <c r="O66" i="4"/>
  <c r="AA65" i="4"/>
  <c r="X65" i="4"/>
  <c r="W65" i="4"/>
  <c r="V65" i="4"/>
  <c r="U65" i="4"/>
  <c r="T65" i="4"/>
  <c r="S65" i="4"/>
  <c r="R65" i="4"/>
  <c r="Q65" i="4"/>
  <c r="P65" i="4"/>
  <c r="O65" i="4"/>
  <c r="AA64" i="4"/>
  <c r="X64" i="4"/>
  <c r="W64" i="4"/>
  <c r="V64" i="4"/>
  <c r="U64" i="4"/>
  <c r="T64" i="4"/>
  <c r="S64" i="4"/>
  <c r="R64" i="4"/>
  <c r="Q64" i="4"/>
  <c r="P64" i="4"/>
  <c r="O64" i="4"/>
  <c r="AA63" i="4"/>
  <c r="X63" i="4"/>
  <c r="W63" i="4"/>
  <c r="V63" i="4"/>
  <c r="U63" i="4"/>
  <c r="T63" i="4"/>
  <c r="S63" i="4"/>
  <c r="R63" i="4"/>
  <c r="Q63" i="4"/>
  <c r="P63" i="4"/>
  <c r="O63" i="4"/>
  <c r="AA62" i="4"/>
  <c r="X62" i="4"/>
  <c r="W62" i="4"/>
  <c r="V62" i="4"/>
  <c r="U62" i="4"/>
  <c r="T62" i="4"/>
  <c r="S62" i="4"/>
  <c r="R62" i="4"/>
  <c r="Q62" i="4"/>
  <c r="P62" i="4"/>
  <c r="O62" i="4"/>
  <c r="AA61" i="4"/>
  <c r="X61" i="4"/>
  <c r="W61" i="4"/>
  <c r="V61" i="4"/>
  <c r="U61" i="4"/>
  <c r="T61" i="4"/>
  <c r="S61" i="4"/>
  <c r="R61" i="4"/>
  <c r="Q61" i="4"/>
  <c r="P61" i="4"/>
  <c r="O61" i="4"/>
  <c r="AA60" i="4"/>
  <c r="X60" i="4"/>
  <c r="W60" i="4"/>
  <c r="V60" i="4"/>
  <c r="U60" i="4"/>
  <c r="T60" i="4"/>
  <c r="S60" i="4"/>
  <c r="R60" i="4"/>
  <c r="Q60" i="4"/>
  <c r="P60" i="4"/>
  <c r="O60" i="4"/>
  <c r="AA59" i="4"/>
  <c r="X59" i="4"/>
  <c r="W59" i="4"/>
  <c r="V59" i="4"/>
  <c r="U59" i="4"/>
  <c r="T59" i="4"/>
  <c r="S59" i="4"/>
  <c r="R59" i="4"/>
  <c r="Q59" i="4"/>
  <c r="P59" i="4"/>
  <c r="O59" i="4"/>
  <c r="AA58" i="4"/>
  <c r="X58" i="4"/>
  <c r="W58" i="4"/>
  <c r="V58" i="4"/>
  <c r="U58" i="4"/>
  <c r="T58" i="4"/>
  <c r="S58" i="4"/>
  <c r="R58" i="4"/>
  <c r="Q58" i="4"/>
  <c r="P58" i="4"/>
  <c r="O58" i="4"/>
  <c r="AA57" i="4"/>
  <c r="X57" i="4"/>
  <c r="W57" i="4"/>
  <c r="V57" i="4"/>
  <c r="U57" i="4"/>
  <c r="T57" i="4"/>
  <c r="S57" i="4"/>
  <c r="R57" i="4"/>
  <c r="Q57" i="4"/>
  <c r="P57" i="4"/>
  <c r="O57" i="4"/>
  <c r="AA56" i="4"/>
  <c r="X56" i="4"/>
  <c r="W56" i="4"/>
  <c r="V56" i="4"/>
  <c r="U56" i="4"/>
  <c r="T56" i="4"/>
  <c r="S56" i="4"/>
  <c r="R56" i="4"/>
  <c r="Q56" i="4"/>
  <c r="P56" i="4"/>
  <c r="O56" i="4"/>
  <c r="AA55" i="4"/>
  <c r="X55" i="4"/>
  <c r="W55" i="4"/>
  <c r="V55" i="4"/>
  <c r="U55" i="4"/>
  <c r="T55" i="4"/>
  <c r="S55" i="4"/>
  <c r="R55" i="4"/>
  <c r="Q55" i="4"/>
  <c r="P55" i="4"/>
  <c r="O55" i="4"/>
  <c r="AA54" i="4"/>
  <c r="X54" i="4"/>
  <c r="W54" i="4"/>
  <c r="V54" i="4"/>
  <c r="U54" i="4"/>
  <c r="T54" i="4"/>
  <c r="S54" i="4"/>
  <c r="R54" i="4"/>
  <c r="Q54" i="4"/>
  <c r="P54" i="4"/>
  <c r="O54" i="4"/>
  <c r="AA53" i="4"/>
  <c r="X53" i="4"/>
  <c r="W53" i="4"/>
  <c r="V53" i="4"/>
  <c r="U53" i="4"/>
  <c r="T53" i="4"/>
  <c r="S53" i="4"/>
  <c r="R53" i="4"/>
  <c r="Q53" i="4"/>
  <c r="P53" i="4"/>
  <c r="O53" i="4"/>
  <c r="AA52" i="4"/>
  <c r="X52" i="4"/>
  <c r="W52" i="4"/>
  <c r="V52" i="4"/>
  <c r="U52" i="4"/>
  <c r="T52" i="4"/>
  <c r="S52" i="4"/>
  <c r="R52" i="4"/>
  <c r="Q52" i="4"/>
  <c r="P52" i="4"/>
  <c r="O52" i="4"/>
  <c r="AA51" i="4"/>
  <c r="X51" i="4"/>
  <c r="W51" i="4"/>
  <c r="V51" i="4"/>
  <c r="U51" i="4"/>
  <c r="T51" i="4"/>
  <c r="S51" i="4"/>
  <c r="R51" i="4"/>
  <c r="Q51" i="4"/>
  <c r="P51" i="4"/>
  <c r="O51" i="4"/>
  <c r="AA50" i="4"/>
  <c r="X50" i="4"/>
  <c r="W50" i="4"/>
  <c r="V50" i="4"/>
  <c r="U50" i="4"/>
  <c r="T50" i="4"/>
  <c r="S50" i="4"/>
  <c r="R50" i="4"/>
  <c r="Q50" i="4"/>
  <c r="P50" i="4"/>
  <c r="O50" i="4"/>
  <c r="AA49" i="4"/>
  <c r="X49" i="4"/>
  <c r="W49" i="4"/>
  <c r="V49" i="4"/>
  <c r="U49" i="4"/>
  <c r="T49" i="4"/>
  <c r="S49" i="4"/>
  <c r="R49" i="4"/>
  <c r="Q49" i="4"/>
  <c r="P49" i="4"/>
  <c r="O49" i="4"/>
  <c r="AA48" i="4"/>
  <c r="X48" i="4"/>
  <c r="W48" i="4"/>
  <c r="V48" i="4"/>
  <c r="U48" i="4"/>
  <c r="T48" i="4"/>
  <c r="S48" i="4"/>
  <c r="R48" i="4"/>
  <c r="Q48" i="4"/>
  <c r="P48" i="4"/>
  <c r="O48" i="4"/>
  <c r="AA47" i="4"/>
  <c r="X47" i="4"/>
  <c r="W47" i="4"/>
  <c r="V47" i="4"/>
  <c r="U47" i="4"/>
  <c r="T47" i="4"/>
  <c r="S47" i="4"/>
  <c r="R47" i="4"/>
  <c r="Q47" i="4"/>
  <c r="P47" i="4"/>
  <c r="O47" i="4"/>
  <c r="AA46" i="4"/>
  <c r="X46" i="4"/>
  <c r="W46" i="4"/>
  <c r="V46" i="4"/>
  <c r="U46" i="4"/>
  <c r="T46" i="4"/>
  <c r="S46" i="4"/>
  <c r="R46" i="4"/>
  <c r="Q46" i="4"/>
  <c r="P46" i="4"/>
  <c r="O46" i="4"/>
  <c r="AA45" i="4"/>
  <c r="X45" i="4"/>
  <c r="W45" i="4"/>
  <c r="V45" i="4"/>
  <c r="U45" i="4"/>
  <c r="T45" i="4"/>
  <c r="S45" i="4"/>
  <c r="R45" i="4"/>
  <c r="Q45" i="4"/>
  <c r="P45" i="4"/>
  <c r="O45" i="4"/>
  <c r="AA44" i="4"/>
  <c r="X44" i="4"/>
  <c r="W44" i="4"/>
  <c r="V44" i="4"/>
  <c r="U44" i="4"/>
  <c r="T44" i="4"/>
  <c r="S44" i="4"/>
  <c r="R44" i="4"/>
  <c r="Q44" i="4"/>
  <c r="P44" i="4"/>
  <c r="O44" i="4"/>
  <c r="AA43" i="4"/>
  <c r="X43" i="4"/>
  <c r="W43" i="4"/>
  <c r="V43" i="4"/>
  <c r="U43" i="4"/>
  <c r="T43" i="4"/>
  <c r="S43" i="4"/>
  <c r="R43" i="4"/>
  <c r="Q43" i="4"/>
  <c r="P43" i="4"/>
  <c r="O43" i="4"/>
  <c r="AA42" i="4"/>
  <c r="X42" i="4"/>
  <c r="W42" i="4"/>
  <c r="V42" i="4"/>
  <c r="U42" i="4"/>
  <c r="T42" i="4"/>
  <c r="S42" i="4"/>
  <c r="R42" i="4"/>
  <c r="Q42" i="4"/>
  <c r="P42" i="4"/>
  <c r="O42" i="4"/>
  <c r="AA41" i="4"/>
  <c r="X41" i="4"/>
  <c r="W41" i="4"/>
  <c r="V41" i="4"/>
  <c r="U41" i="4"/>
  <c r="T41" i="4"/>
  <c r="S41" i="4"/>
  <c r="R41" i="4"/>
  <c r="Q41" i="4"/>
  <c r="P41" i="4"/>
  <c r="O41" i="4"/>
  <c r="AA40" i="4"/>
  <c r="X40" i="4"/>
  <c r="W40" i="4"/>
  <c r="V40" i="4"/>
  <c r="U40" i="4"/>
  <c r="T40" i="4"/>
  <c r="S40" i="4"/>
  <c r="R40" i="4"/>
  <c r="Q40" i="4"/>
  <c r="P40" i="4"/>
  <c r="O40" i="4"/>
  <c r="AA39" i="4"/>
  <c r="X39" i="4"/>
  <c r="W39" i="4"/>
  <c r="V39" i="4"/>
  <c r="U39" i="4"/>
  <c r="T39" i="4"/>
  <c r="S39" i="4"/>
  <c r="R39" i="4"/>
  <c r="Q39" i="4"/>
  <c r="P39" i="4"/>
  <c r="O39" i="4"/>
  <c r="AA38" i="4"/>
  <c r="X38" i="4"/>
  <c r="W38" i="4"/>
  <c r="V38" i="4"/>
  <c r="U38" i="4"/>
  <c r="T38" i="4"/>
  <c r="S38" i="4"/>
  <c r="R38" i="4"/>
  <c r="Q38" i="4"/>
  <c r="P38" i="4"/>
  <c r="O38" i="4"/>
  <c r="AA37" i="4"/>
  <c r="X37" i="4"/>
  <c r="W37" i="4"/>
  <c r="V37" i="4"/>
  <c r="U37" i="4"/>
  <c r="T37" i="4"/>
  <c r="S37" i="4"/>
  <c r="R37" i="4"/>
  <c r="Q37" i="4"/>
  <c r="P37" i="4"/>
  <c r="O37" i="4"/>
  <c r="AA36" i="4"/>
  <c r="X36" i="4"/>
  <c r="W36" i="4"/>
  <c r="V36" i="4"/>
  <c r="U36" i="4"/>
  <c r="T36" i="4"/>
  <c r="S36" i="4"/>
  <c r="R36" i="4"/>
  <c r="Q36" i="4"/>
  <c r="P36" i="4"/>
  <c r="O36" i="4"/>
  <c r="AA35" i="4"/>
  <c r="X35" i="4"/>
  <c r="W35" i="4"/>
  <c r="V35" i="4"/>
  <c r="U35" i="4"/>
  <c r="T35" i="4"/>
  <c r="S35" i="4"/>
  <c r="R35" i="4"/>
  <c r="Q35" i="4"/>
  <c r="P35" i="4"/>
  <c r="O35" i="4"/>
  <c r="AA34" i="4"/>
  <c r="X34" i="4"/>
  <c r="W34" i="4"/>
  <c r="V34" i="4"/>
  <c r="U34" i="4"/>
  <c r="T34" i="4"/>
  <c r="S34" i="4"/>
  <c r="R34" i="4"/>
  <c r="Q34" i="4"/>
  <c r="P34" i="4"/>
  <c r="O34" i="4"/>
  <c r="AA33" i="4"/>
  <c r="X33" i="4"/>
  <c r="W33" i="4"/>
  <c r="V33" i="4"/>
  <c r="U33" i="4"/>
  <c r="T33" i="4"/>
  <c r="S33" i="4"/>
  <c r="R33" i="4"/>
  <c r="Q33" i="4"/>
  <c r="P33" i="4"/>
  <c r="O33" i="4"/>
  <c r="AA32" i="4"/>
  <c r="X32" i="4"/>
  <c r="W32" i="4"/>
  <c r="V32" i="4"/>
  <c r="U32" i="4"/>
  <c r="T32" i="4"/>
  <c r="S32" i="4"/>
  <c r="R32" i="4"/>
  <c r="Q32" i="4"/>
  <c r="P32" i="4"/>
  <c r="O32" i="4"/>
  <c r="AA31" i="4"/>
  <c r="X31" i="4"/>
  <c r="W31" i="4"/>
  <c r="V31" i="4"/>
  <c r="U31" i="4"/>
  <c r="T31" i="4"/>
  <c r="S31" i="4"/>
  <c r="R31" i="4"/>
  <c r="Q31" i="4"/>
  <c r="P31" i="4"/>
  <c r="O31" i="4"/>
  <c r="AA30" i="4"/>
  <c r="X30" i="4"/>
  <c r="W30" i="4"/>
  <c r="V30" i="4"/>
  <c r="U30" i="4"/>
  <c r="T30" i="4"/>
  <c r="S30" i="4"/>
  <c r="R30" i="4"/>
  <c r="Q30" i="4"/>
  <c r="P30" i="4"/>
  <c r="O30" i="4"/>
  <c r="AA29" i="4"/>
  <c r="X29" i="4"/>
  <c r="W29" i="4"/>
  <c r="V29" i="4"/>
  <c r="U29" i="4"/>
  <c r="T29" i="4"/>
  <c r="S29" i="4"/>
  <c r="R29" i="4"/>
  <c r="Q29" i="4"/>
  <c r="P29" i="4"/>
  <c r="O29" i="4"/>
  <c r="AA28" i="4"/>
  <c r="X28" i="4"/>
  <c r="W28" i="4"/>
  <c r="V28" i="4"/>
  <c r="U28" i="4"/>
  <c r="T28" i="4"/>
  <c r="S28" i="4"/>
  <c r="R28" i="4"/>
  <c r="Q28" i="4"/>
  <c r="P28" i="4"/>
  <c r="O28" i="4"/>
  <c r="AA27" i="4"/>
  <c r="X27" i="4"/>
  <c r="W27" i="4"/>
  <c r="V27" i="4"/>
  <c r="U27" i="4"/>
  <c r="T27" i="4"/>
  <c r="S27" i="4"/>
  <c r="R27" i="4"/>
  <c r="Q27" i="4"/>
  <c r="P27" i="4"/>
  <c r="O27" i="4"/>
  <c r="AA26" i="4"/>
  <c r="X26" i="4"/>
  <c r="W26" i="4"/>
  <c r="V26" i="4"/>
  <c r="U26" i="4"/>
  <c r="T26" i="4"/>
  <c r="S26" i="4"/>
  <c r="R26" i="4"/>
  <c r="Q26" i="4"/>
  <c r="P26" i="4"/>
  <c r="O26" i="4"/>
  <c r="AA25" i="4"/>
  <c r="X25" i="4"/>
  <c r="W25" i="4"/>
  <c r="V25" i="4"/>
  <c r="U25" i="4"/>
  <c r="T25" i="4"/>
  <c r="S25" i="4"/>
  <c r="R25" i="4"/>
  <c r="Q25" i="4"/>
  <c r="P25" i="4"/>
  <c r="O25" i="4"/>
  <c r="AA24" i="4"/>
  <c r="X24" i="4"/>
  <c r="W24" i="4"/>
  <c r="V24" i="4"/>
  <c r="U24" i="4"/>
  <c r="T24" i="4"/>
  <c r="S24" i="4"/>
  <c r="R24" i="4"/>
  <c r="Q24" i="4"/>
  <c r="P24" i="4"/>
  <c r="O24" i="4"/>
  <c r="AA23" i="4"/>
  <c r="X23" i="4"/>
  <c r="W23" i="4"/>
  <c r="V23" i="4"/>
  <c r="U23" i="4"/>
  <c r="T23" i="4"/>
  <c r="S23" i="4"/>
  <c r="R23" i="4"/>
  <c r="Q23" i="4"/>
  <c r="P23" i="4"/>
  <c r="O23" i="4"/>
  <c r="AA22" i="4"/>
  <c r="X22" i="4"/>
  <c r="W22" i="4"/>
  <c r="V22" i="4"/>
  <c r="U22" i="4"/>
  <c r="T22" i="4"/>
  <c r="S22" i="4"/>
  <c r="R22" i="4"/>
  <c r="Q22" i="4"/>
  <c r="P22" i="4"/>
  <c r="O22" i="4"/>
  <c r="AA21" i="4"/>
  <c r="X21" i="4"/>
  <c r="W21" i="4"/>
  <c r="V21" i="4"/>
  <c r="U21" i="4"/>
  <c r="T21" i="4"/>
  <c r="S21" i="4"/>
  <c r="R21" i="4"/>
  <c r="Q21" i="4"/>
  <c r="P21" i="4"/>
  <c r="O21" i="4"/>
  <c r="AA20" i="4"/>
  <c r="X20" i="4"/>
  <c r="W20" i="4"/>
  <c r="V20" i="4"/>
  <c r="U20" i="4"/>
  <c r="T20" i="4"/>
  <c r="S20" i="4"/>
  <c r="R20" i="4"/>
  <c r="Q20" i="4"/>
  <c r="P20" i="4"/>
  <c r="O20" i="4"/>
  <c r="AA19" i="4"/>
  <c r="X19" i="4"/>
  <c r="W19" i="4"/>
  <c r="V19" i="4"/>
  <c r="U19" i="4"/>
  <c r="T19" i="4"/>
  <c r="S19" i="4"/>
  <c r="R19" i="4"/>
  <c r="Q19" i="4"/>
  <c r="P19" i="4"/>
  <c r="O19" i="4"/>
  <c r="AA18" i="4"/>
  <c r="X18" i="4"/>
  <c r="W18" i="4"/>
  <c r="V18" i="4"/>
  <c r="U18" i="4"/>
  <c r="T18" i="4"/>
  <c r="S18" i="4"/>
  <c r="R18" i="4"/>
  <c r="Q18" i="4"/>
  <c r="P18" i="4"/>
  <c r="O18" i="4"/>
  <c r="AA17" i="4"/>
  <c r="X17" i="4"/>
  <c r="W17" i="4"/>
  <c r="V17" i="4"/>
  <c r="U17" i="4"/>
  <c r="T17" i="4"/>
  <c r="S17" i="4"/>
  <c r="R17" i="4"/>
  <c r="Q17" i="4"/>
  <c r="P17" i="4"/>
  <c r="O17" i="4"/>
  <c r="AA16" i="4"/>
  <c r="X16" i="4"/>
  <c r="W16" i="4"/>
  <c r="V16" i="4"/>
  <c r="U16" i="4"/>
  <c r="T16" i="4"/>
  <c r="S16" i="4"/>
  <c r="R16" i="4"/>
  <c r="Q16" i="4"/>
  <c r="P16" i="4"/>
  <c r="O16" i="4"/>
  <c r="AA15" i="4"/>
  <c r="X15" i="4"/>
  <c r="W15" i="4"/>
  <c r="V15" i="4"/>
  <c r="U15" i="4"/>
  <c r="T15" i="4"/>
  <c r="S15" i="4"/>
  <c r="R15" i="4"/>
  <c r="Q15" i="4"/>
  <c r="P15" i="4"/>
  <c r="O15" i="4"/>
  <c r="AA14" i="4"/>
  <c r="X14" i="4"/>
  <c r="W14" i="4"/>
  <c r="V14" i="4"/>
  <c r="U14" i="4"/>
  <c r="T14" i="4"/>
  <c r="S14" i="4"/>
  <c r="R14" i="4"/>
  <c r="Q14" i="4"/>
  <c r="P14" i="4"/>
  <c r="O14" i="4"/>
  <c r="AA13" i="4"/>
  <c r="X13" i="4"/>
  <c r="W13" i="4"/>
  <c r="V13" i="4"/>
  <c r="U13" i="4"/>
  <c r="T13" i="4"/>
  <c r="S13" i="4"/>
  <c r="R13" i="4"/>
  <c r="Q13" i="4"/>
  <c r="P13" i="4"/>
  <c r="O13" i="4"/>
  <c r="AA12" i="4"/>
  <c r="X12" i="4"/>
  <c r="W12" i="4"/>
  <c r="V12" i="4"/>
  <c r="U12" i="4"/>
  <c r="T12" i="4"/>
  <c r="S12" i="4"/>
  <c r="R12" i="4"/>
  <c r="Q12" i="4"/>
  <c r="P12" i="4"/>
  <c r="O12" i="4"/>
  <c r="AA11" i="4"/>
  <c r="X11" i="4"/>
  <c r="W11" i="4"/>
  <c r="V11" i="4"/>
  <c r="U11" i="4"/>
  <c r="T11" i="4"/>
  <c r="S11" i="4"/>
  <c r="R11" i="4"/>
  <c r="Q11" i="4"/>
  <c r="P11" i="4"/>
  <c r="O11" i="4"/>
  <c r="AA10" i="4"/>
  <c r="X10" i="4"/>
  <c r="W10" i="4"/>
  <c r="V10" i="4"/>
  <c r="U10" i="4"/>
  <c r="T10" i="4"/>
  <c r="S10" i="4"/>
  <c r="R10" i="4"/>
  <c r="Q10" i="4"/>
  <c r="P10" i="4"/>
  <c r="O10" i="4"/>
  <c r="AA9" i="4"/>
  <c r="X9" i="4"/>
  <c r="W9" i="4"/>
  <c r="V9" i="4"/>
  <c r="U9" i="4"/>
  <c r="T9" i="4"/>
  <c r="S9" i="4"/>
  <c r="R9" i="4"/>
  <c r="Q9" i="4"/>
  <c r="P9" i="4"/>
  <c r="O9" i="4"/>
  <c r="AA8" i="4"/>
  <c r="X8" i="4"/>
  <c r="W8" i="4"/>
  <c r="V8" i="4"/>
  <c r="U8" i="4"/>
  <c r="T8" i="4"/>
  <c r="S8" i="4"/>
  <c r="R8" i="4"/>
  <c r="Q8" i="4"/>
  <c r="P8" i="4"/>
  <c r="O8" i="4"/>
  <c r="AA7" i="4"/>
  <c r="X7" i="4"/>
  <c r="W7" i="4"/>
  <c r="V7" i="4"/>
  <c r="U7" i="4"/>
  <c r="T7" i="4"/>
  <c r="S7" i="4"/>
  <c r="R7" i="4"/>
  <c r="Q7" i="4"/>
  <c r="P7" i="4"/>
  <c r="O7" i="4"/>
  <c r="AA6" i="4"/>
  <c r="X6" i="4"/>
  <c r="W6" i="4"/>
  <c r="V6" i="4"/>
  <c r="U6" i="4"/>
  <c r="T6" i="4"/>
  <c r="S6" i="4"/>
  <c r="R6" i="4"/>
  <c r="Q6" i="4"/>
  <c r="P6" i="4"/>
  <c r="O6" i="4"/>
  <c r="AA5" i="4"/>
  <c r="X5" i="4"/>
  <c r="W5" i="4"/>
  <c r="V5" i="4"/>
  <c r="U5" i="4"/>
  <c r="T5" i="4"/>
  <c r="S5" i="4"/>
  <c r="R5" i="4"/>
  <c r="Q5" i="4"/>
  <c r="P5" i="4"/>
  <c r="O5" i="4"/>
  <c r="AA4" i="4"/>
  <c r="X4" i="4"/>
  <c r="W4" i="4"/>
  <c r="V4" i="4"/>
  <c r="U4" i="4"/>
  <c r="T4" i="4"/>
  <c r="S4" i="4"/>
  <c r="R4" i="4"/>
  <c r="Q4" i="4"/>
  <c r="P4" i="4"/>
  <c r="O4" i="4"/>
  <c r="AA3" i="4"/>
  <c r="X3" i="4"/>
  <c r="W3" i="4"/>
  <c r="V3" i="4"/>
  <c r="U3" i="4"/>
  <c r="T3" i="4"/>
  <c r="S3" i="4"/>
  <c r="R3" i="4"/>
  <c r="Q3" i="4"/>
  <c r="P3" i="4"/>
  <c r="O3" i="4"/>
  <c r="AA2" i="4"/>
  <c r="X2" i="4"/>
  <c r="W2" i="4"/>
  <c r="V2" i="4"/>
  <c r="U2" i="4"/>
  <c r="T2" i="4"/>
  <c r="S2" i="4"/>
  <c r="R2" i="4"/>
  <c r="Q2" i="4"/>
  <c r="P2" i="4"/>
  <c r="O2" i="4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O535" i="3"/>
  <c r="P535" i="3"/>
  <c r="Q535" i="3"/>
  <c r="R535" i="3"/>
  <c r="S535" i="3"/>
  <c r="T535" i="3"/>
  <c r="U535" i="3"/>
  <c r="V535" i="3"/>
  <c r="W535" i="3"/>
  <c r="X535" i="3"/>
  <c r="O536" i="3"/>
  <c r="P536" i="3"/>
  <c r="Q536" i="3"/>
  <c r="R536" i="3"/>
  <c r="S536" i="3"/>
  <c r="T536" i="3"/>
  <c r="U536" i="3"/>
  <c r="V536" i="3"/>
  <c r="W536" i="3"/>
  <c r="X536" i="3"/>
  <c r="O537" i="3"/>
  <c r="P537" i="3"/>
  <c r="Q537" i="3"/>
  <c r="R537" i="3"/>
  <c r="S537" i="3"/>
  <c r="T537" i="3"/>
  <c r="U537" i="3"/>
  <c r="V537" i="3"/>
  <c r="W537" i="3"/>
  <c r="X537" i="3"/>
  <c r="O538" i="3"/>
  <c r="P538" i="3"/>
  <c r="Q538" i="3"/>
  <c r="R538" i="3"/>
  <c r="S538" i="3"/>
  <c r="T538" i="3"/>
  <c r="U538" i="3"/>
  <c r="V538" i="3"/>
  <c r="W538" i="3"/>
  <c r="X538" i="3"/>
  <c r="O539" i="3"/>
  <c r="P539" i="3"/>
  <c r="Q539" i="3"/>
  <c r="R539" i="3"/>
  <c r="S539" i="3"/>
  <c r="T539" i="3"/>
  <c r="U539" i="3"/>
  <c r="V539" i="3"/>
  <c r="W539" i="3"/>
  <c r="X539" i="3"/>
  <c r="O540" i="3"/>
  <c r="P540" i="3"/>
  <c r="Q540" i="3"/>
  <c r="R540" i="3"/>
  <c r="S540" i="3"/>
  <c r="T540" i="3"/>
  <c r="U540" i="3"/>
  <c r="V540" i="3"/>
  <c r="W540" i="3"/>
  <c r="X540" i="3"/>
  <c r="O541" i="3"/>
  <c r="P541" i="3"/>
  <c r="Q541" i="3"/>
  <c r="R541" i="3"/>
  <c r="S541" i="3"/>
  <c r="T541" i="3"/>
  <c r="U541" i="3"/>
  <c r="V541" i="3"/>
  <c r="W541" i="3"/>
  <c r="X541" i="3"/>
  <c r="O542" i="3"/>
  <c r="P542" i="3"/>
  <c r="Q542" i="3"/>
  <c r="R542" i="3"/>
  <c r="S542" i="3"/>
  <c r="T542" i="3"/>
  <c r="U542" i="3"/>
  <c r="V542" i="3"/>
  <c r="W542" i="3"/>
  <c r="X542" i="3"/>
  <c r="O543" i="3"/>
  <c r="P543" i="3"/>
  <c r="Q543" i="3"/>
  <c r="R543" i="3"/>
  <c r="S543" i="3"/>
  <c r="T543" i="3"/>
  <c r="U543" i="3"/>
  <c r="V543" i="3"/>
  <c r="W543" i="3"/>
  <c r="X543" i="3"/>
  <c r="O544" i="3"/>
  <c r="P544" i="3"/>
  <c r="Q544" i="3"/>
  <c r="R544" i="3"/>
  <c r="S544" i="3"/>
  <c r="T544" i="3"/>
  <c r="U544" i="3"/>
  <c r="V544" i="3"/>
  <c r="W544" i="3"/>
  <c r="X544" i="3"/>
  <c r="O545" i="3"/>
  <c r="P545" i="3"/>
  <c r="Q545" i="3"/>
  <c r="R545" i="3"/>
  <c r="S545" i="3"/>
  <c r="T545" i="3"/>
  <c r="U545" i="3"/>
  <c r="V545" i="3"/>
  <c r="W545" i="3"/>
  <c r="X545" i="3"/>
  <c r="O546" i="3"/>
  <c r="P546" i="3"/>
  <c r="Q546" i="3"/>
  <c r="R546" i="3"/>
  <c r="S546" i="3"/>
  <c r="T546" i="3"/>
  <c r="U546" i="3"/>
  <c r="V546" i="3"/>
  <c r="W546" i="3"/>
  <c r="X546" i="3"/>
  <c r="O547" i="3"/>
  <c r="P547" i="3"/>
  <c r="Q547" i="3"/>
  <c r="R547" i="3"/>
  <c r="S547" i="3"/>
  <c r="T547" i="3"/>
  <c r="U547" i="3"/>
  <c r="V547" i="3"/>
  <c r="W547" i="3"/>
  <c r="X547" i="3"/>
  <c r="O548" i="3"/>
  <c r="P548" i="3"/>
  <c r="Q548" i="3"/>
  <c r="R548" i="3"/>
  <c r="S548" i="3"/>
  <c r="T548" i="3"/>
  <c r="U548" i="3"/>
  <c r="V548" i="3"/>
  <c r="W548" i="3"/>
  <c r="X548" i="3"/>
  <c r="O549" i="3"/>
  <c r="P549" i="3"/>
  <c r="Q549" i="3"/>
  <c r="R549" i="3"/>
  <c r="S549" i="3"/>
  <c r="T549" i="3"/>
  <c r="U549" i="3"/>
  <c r="V549" i="3"/>
  <c r="W549" i="3"/>
  <c r="X549" i="3"/>
  <c r="O550" i="3"/>
  <c r="P550" i="3"/>
  <c r="Q550" i="3"/>
  <c r="R550" i="3"/>
  <c r="S550" i="3"/>
  <c r="T550" i="3"/>
  <c r="U550" i="3"/>
  <c r="V550" i="3"/>
  <c r="W550" i="3"/>
  <c r="X550" i="3"/>
  <c r="O551" i="3"/>
  <c r="P551" i="3"/>
  <c r="Q551" i="3"/>
  <c r="R551" i="3"/>
  <c r="S551" i="3"/>
  <c r="T551" i="3"/>
  <c r="U551" i="3"/>
  <c r="V551" i="3"/>
  <c r="W551" i="3"/>
  <c r="X551" i="3"/>
  <c r="O552" i="3"/>
  <c r="P552" i="3"/>
  <c r="Q552" i="3"/>
  <c r="R552" i="3"/>
  <c r="S552" i="3"/>
  <c r="T552" i="3"/>
  <c r="U552" i="3"/>
  <c r="V552" i="3"/>
  <c r="W552" i="3"/>
  <c r="X552" i="3"/>
  <c r="O553" i="3"/>
  <c r="P553" i="3"/>
  <c r="Q553" i="3"/>
  <c r="R553" i="3"/>
  <c r="S553" i="3"/>
  <c r="T553" i="3"/>
  <c r="U553" i="3"/>
  <c r="V553" i="3"/>
  <c r="W553" i="3"/>
  <c r="X553" i="3"/>
  <c r="O554" i="3"/>
  <c r="P554" i="3"/>
  <c r="Q554" i="3"/>
  <c r="R554" i="3"/>
  <c r="S554" i="3"/>
  <c r="T554" i="3"/>
  <c r="U554" i="3"/>
  <c r="V554" i="3"/>
  <c r="W554" i="3"/>
  <c r="X554" i="3"/>
  <c r="O555" i="3"/>
  <c r="P555" i="3"/>
  <c r="Q555" i="3"/>
  <c r="R555" i="3"/>
  <c r="S555" i="3"/>
  <c r="T555" i="3"/>
  <c r="U555" i="3"/>
  <c r="V555" i="3"/>
  <c r="W555" i="3"/>
  <c r="X555" i="3"/>
  <c r="O556" i="3"/>
  <c r="P556" i="3"/>
  <c r="Q556" i="3"/>
  <c r="R556" i="3"/>
  <c r="S556" i="3"/>
  <c r="T556" i="3"/>
  <c r="U556" i="3"/>
  <c r="V556" i="3"/>
  <c r="W556" i="3"/>
  <c r="X556" i="3"/>
  <c r="O557" i="3"/>
  <c r="P557" i="3"/>
  <c r="Q557" i="3"/>
  <c r="R557" i="3"/>
  <c r="S557" i="3"/>
  <c r="T557" i="3"/>
  <c r="U557" i="3"/>
  <c r="V557" i="3"/>
  <c r="W557" i="3"/>
  <c r="X557" i="3"/>
  <c r="O558" i="3"/>
  <c r="P558" i="3"/>
  <c r="Q558" i="3"/>
  <c r="R558" i="3"/>
  <c r="S558" i="3"/>
  <c r="T558" i="3"/>
  <c r="U558" i="3"/>
  <c r="V558" i="3"/>
  <c r="W558" i="3"/>
  <c r="X558" i="3"/>
  <c r="O559" i="3"/>
  <c r="P559" i="3"/>
  <c r="Q559" i="3"/>
  <c r="R559" i="3"/>
  <c r="S559" i="3"/>
  <c r="T559" i="3"/>
  <c r="U559" i="3"/>
  <c r="V559" i="3"/>
  <c r="W559" i="3"/>
  <c r="X559" i="3"/>
  <c r="O560" i="3"/>
  <c r="P560" i="3"/>
  <c r="Q560" i="3"/>
  <c r="R560" i="3"/>
  <c r="S560" i="3"/>
  <c r="T560" i="3"/>
  <c r="U560" i="3"/>
  <c r="V560" i="3"/>
  <c r="W560" i="3"/>
  <c r="X560" i="3"/>
  <c r="O561" i="3"/>
  <c r="P561" i="3"/>
  <c r="Q561" i="3"/>
  <c r="R561" i="3"/>
  <c r="S561" i="3"/>
  <c r="T561" i="3"/>
  <c r="U561" i="3"/>
  <c r="V561" i="3"/>
  <c r="W561" i="3"/>
  <c r="X561" i="3"/>
  <c r="O562" i="3"/>
  <c r="P562" i="3"/>
  <c r="Q562" i="3"/>
  <c r="R562" i="3"/>
  <c r="S562" i="3"/>
  <c r="T562" i="3"/>
  <c r="U562" i="3"/>
  <c r="V562" i="3"/>
  <c r="W562" i="3"/>
  <c r="X562" i="3"/>
  <c r="O563" i="3"/>
  <c r="P563" i="3"/>
  <c r="Q563" i="3"/>
  <c r="R563" i="3"/>
  <c r="S563" i="3"/>
  <c r="T563" i="3"/>
  <c r="U563" i="3"/>
  <c r="V563" i="3"/>
  <c r="W563" i="3"/>
  <c r="X563" i="3"/>
  <c r="O564" i="3"/>
  <c r="P564" i="3"/>
  <c r="Q564" i="3"/>
  <c r="R564" i="3"/>
  <c r="S564" i="3"/>
  <c r="T564" i="3"/>
  <c r="U564" i="3"/>
  <c r="V564" i="3"/>
  <c r="W564" i="3"/>
  <c r="X564" i="3"/>
  <c r="O565" i="3"/>
  <c r="P565" i="3"/>
  <c r="Q565" i="3"/>
  <c r="R565" i="3"/>
  <c r="S565" i="3"/>
  <c r="T565" i="3"/>
  <c r="U565" i="3"/>
  <c r="V565" i="3"/>
  <c r="W565" i="3"/>
  <c r="X565" i="3"/>
  <c r="O566" i="3"/>
  <c r="P566" i="3"/>
  <c r="Q566" i="3"/>
  <c r="R566" i="3"/>
  <c r="S566" i="3"/>
  <c r="T566" i="3"/>
  <c r="U566" i="3"/>
  <c r="V566" i="3"/>
  <c r="W566" i="3"/>
  <c r="X566" i="3"/>
  <c r="O567" i="3"/>
  <c r="P567" i="3"/>
  <c r="Q567" i="3"/>
  <c r="R567" i="3"/>
  <c r="S567" i="3"/>
  <c r="T567" i="3"/>
  <c r="U567" i="3"/>
  <c r="V567" i="3"/>
  <c r="W567" i="3"/>
  <c r="X567" i="3"/>
  <c r="O568" i="3"/>
  <c r="P568" i="3"/>
  <c r="Q568" i="3"/>
  <c r="R568" i="3"/>
  <c r="S568" i="3"/>
  <c r="T568" i="3"/>
  <c r="U568" i="3"/>
  <c r="V568" i="3"/>
  <c r="W568" i="3"/>
  <c r="X568" i="3"/>
  <c r="O569" i="3"/>
  <c r="P569" i="3"/>
  <c r="Q569" i="3"/>
  <c r="R569" i="3"/>
  <c r="S569" i="3"/>
  <c r="T569" i="3"/>
  <c r="U569" i="3"/>
  <c r="V569" i="3"/>
  <c r="W569" i="3"/>
  <c r="X569" i="3"/>
  <c r="O570" i="3"/>
  <c r="P570" i="3"/>
  <c r="Q570" i="3"/>
  <c r="R570" i="3"/>
  <c r="S570" i="3"/>
  <c r="T570" i="3"/>
  <c r="U570" i="3"/>
  <c r="V570" i="3"/>
  <c r="W570" i="3"/>
  <c r="X570" i="3"/>
  <c r="O571" i="3"/>
  <c r="P571" i="3"/>
  <c r="Q571" i="3"/>
  <c r="R571" i="3"/>
  <c r="S571" i="3"/>
  <c r="T571" i="3"/>
  <c r="U571" i="3"/>
  <c r="V571" i="3"/>
  <c r="W571" i="3"/>
  <c r="X571" i="3"/>
  <c r="O572" i="3"/>
  <c r="P572" i="3"/>
  <c r="Q572" i="3"/>
  <c r="R572" i="3"/>
  <c r="S572" i="3"/>
  <c r="T572" i="3"/>
  <c r="U572" i="3"/>
  <c r="V572" i="3"/>
  <c r="W572" i="3"/>
  <c r="X572" i="3"/>
  <c r="O573" i="3"/>
  <c r="P573" i="3"/>
  <c r="Q573" i="3"/>
  <c r="R573" i="3"/>
  <c r="S573" i="3"/>
  <c r="T573" i="3"/>
  <c r="U573" i="3"/>
  <c r="V573" i="3"/>
  <c r="W573" i="3"/>
  <c r="X573" i="3"/>
  <c r="O574" i="3"/>
  <c r="P574" i="3"/>
  <c r="Q574" i="3"/>
  <c r="R574" i="3"/>
  <c r="S574" i="3"/>
  <c r="T574" i="3"/>
  <c r="U574" i="3"/>
  <c r="V574" i="3"/>
  <c r="W574" i="3"/>
  <c r="X574" i="3"/>
  <c r="O575" i="3"/>
  <c r="P575" i="3"/>
  <c r="Q575" i="3"/>
  <c r="R575" i="3"/>
  <c r="S575" i="3"/>
  <c r="T575" i="3"/>
  <c r="U575" i="3"/>
  <c r="V575" i="3"/>
  <c r="W575" i="3"/>
  <c r="X575" i="3"/>
  <c r="O576" i="3"/>
  <c r="P576" i="3"/>
  <c r="Q576" i="3"/>
  <c r="R576" i="3"/>
  <c r="S576" i="3"/>
  <c r="T576" i="3"/>
  <c r="U576" i="3"/>
  <c r="V576" i="3"/>
  <c r="W576" i="3"/>
  <c r="X576" i="3"/>
  <c r="O577" i="3"/>
  <c r="P577" i="3"/>
  <c r="Q577" i="3"/>
  <c r="R577" i="3"/>
  <c r="S577" i="3"/>
  <c r="T577" i="3"/>
  <c r="U577" i="3"/>
  <c r="V577" i="3"/>
  <c r="W577" i="3"/>
  <c r="X577" i="3"/>
  <c r="O578" i="3"/>
  <c r="P578" i="3"/>
  <c r="Q578" i="3"/>
  <c r="R578" i="3"/>
  <c r="S578" i="3"/>
  <c r="T578" i="3"/>
  <c r="U578" i="3"/>
  <c r="V578" i="3"/>
  <c r="W578" i="3"/>
  <c r="X578" i="3"/>
  <c r="O579" i="3"/>
  <c r="P579" i="3"/>
  <c r="Q579" i="3"/>
  <c r="R579" i="3"/>
  <c r="S579" i="3"/>
  <c r="T579" i="3"/>
  <c r="U579" i="3"/>
  <c r="V579" i="3"/>
  <c r="W579" i="3"/>
  <c r="X579" i="3"/>
  <c r="O580" i="3"/>
  <c r="P580" i="3"/>
  <c r="Q580" i="3"/>
  <c r="R580" i="3"/>
  <c r="S580" i="3"/>
  <c r="T580" i="3"/>
  <c r="U580" i="3"/>
  <c r="V580" i="3"/>
  <c r="W580" i="3"/>
  <c r="X580" i="3"/>
  <c r="O581" i="3"/>
  <c r="P581" i="3"/>
  <c r="Q581" i="3"/>
  <c r="R581" i="3"/>
  <c r="S581" i="3"/>
  <c r="T581" i="3"/>
  <c r="U581" i="3"/>
  <c r="V581" i="3"/>
  <c r="W581" i="3"/>
  <c r="X581" i="3"/>
  <c r="O582" i="3"/>
  <c r="P582" i="3"/>
  <c r="Q582" i="3"/>
  <c r="R582" i="3"/>
  <c r="S582" i="3"/>
  <c r="T582" i="3"/>
  <c r="U582" i="3"/>
  <c r="V582" i="3"/>
  <c r="W582" i="3"/>
  <c r="X582" i="3"/>
  <c r="O583" i="3"/>
  <c r="P583" i="3"/>
  <c r="Q583" i="3"/>
  <c r="R583" i="3"/>
  <c r="S583" i="3"/>
  <c r="T583" i="3"/>
  <c r="U583" i="3"/>
  <c r="V583" i="3"/>
  <c r="W583" i="3"/>
  <c r="X583" i="3"/>
  <c r="O584" i="3"/>
  <c r="P584" i="3"/>
  <c r="Q584" i="3"/>
  <c r="R584" i="3"/>
  <c r="S584" i="3"/>
  <c r="T584" i="3"/>
  <c r="U584" i="3"/>
  <c r="V584" i="3"/>
  <c r="W584" i="3"/>
  <c r="X584" i="3"/>
  <c r="O585" i="3"/>
  <c r="P585" i="3"/>
  <c r="Q585" i="3"/>
  <c r="R585" i="3"/>
  <c r="S585" i="3"/>
  <c r="T585" i="3"/>
  <c r="U585" i="3"/>
  <c r="V585" i="3"/>
  <c r="W585" i="3"/>
  <c r="X585" i="3"/>
  <c r="O586" i="3"/>
  <c r="P586" i="3"/>
  <c r="Q586" i="3"/>
  <c r="R586" i="3"/>
  <c r="S586" i="3"/>
  <c r="T586" i="3"/>
  <c r="U586" i="3"/>
  <c r="V586" i="3"/>
  <c r="W586" i="3"/>
  <c r="X586" i="3"/>
  <c r="O587" i="3"/>
  <c r="P587" i="3"/>
  <c r="Q587" i="3"/>
  <c r="R587" i="3"/>
  <c r="S587" i="3"/>
  <c r="T587" i="3"/>
  <c r="U587" i="3"/>
  <c r="V587" i="3"/>
  <c r="W587" i="3"/>
  <c r="X587" i="3"/>
  <c r="O588" i="3"/>
  <c r="P588" i="3"/>
  <c r="Q588" i="3"/>
  <c r="R588" i="3"/>
  <c r="S588" i="3"/>
  <c r="T588" i="3"/>
  <c r="U588" i="3"/>
  <c r="V588" i="3"/>
  <c r="W588" i="3"/>
  <c r="X588" i="3"/>
  <c r="O589" i="3"/>
  <c r="P589" i="3"/>
  <c r="Q589" i="3"/>
  <c r="R589" i="3"/>
  <c r="S589" i="3"/>
  <c r="T589" i="3"/>
  <c r="U589" i="3"/>
  <c r="V589" i="3"/>
  <c r="W589" i="3"/>
  <c r="X589" i="3"/>
  <c r="O590" i="3"/>
  <c r="P590" i="3"/>
  <c r="Q590" i="3"/>
  <c r="R590" i="3"/>
  <c r="S590" i="3"/>
  <c r="T590" i="3"/>
  <c r="U590" i="3"/>
  <c r="V590" i="3"/>
  <c r="W590" i="3"/>
  <c r="X590" i="3"/>
  <c r="O591" i="3"/>
  <c r="P591" i="3"/>
  <c r="Q591" i="3"/>
  <c r="R591" i="3"/>
  <c r="S591" i="3"/>
  <c r="T591" i="3"/>
  <c r="U591" i="3"/>
  <c r="V591" i="3"/>
  <c r="W591" i="3"/>
  <c r="X591" i="3"/>
  <c r="O592" i="3"/>
  <c r="P592" i="3"/>
  <c r="Q592" i="3"/>
  <c r="R592" i="3"/>
  <c r="S592" i="3"/>
  <c r="T592" i="3"/>
  <c r="U592" i="3"/>
  <c r="V592" i="3"/>
  <c r="W592" i="3"/>
  <c r="X592" i="3"/>
  <c r="O593" i="3"/>
  <c r="P593" i="3"/>
  <c r="Q593" i="3"/>
  <c r="R593" i="3"/>
  <c r="S593" i="3"/>
  <c r="T593" i="3"/>
  <c r="U593" i="3"/>
  <c r="V593" i="3"/>
  <c r="W593" i="3"/>
  <c r="X593" i="3"/>
  <c r="O594" i="3"/>
  <c r="P594" i="3"/>
  <c r="Q594" i="3"/>
  <c r="R594" i="3"/>
  <c r="S594" i="3"/>
  <c r="T594" i="3"/>
  <c r="U594" i="3"/>
  <c r="V594" i="3"/>
  <c r="W594" i="3"/>
  <c r="X594" i="3"/>
  <c r="O595" i="3"/>
  <c r="P595" i="3"/>
  <c r="Q595" i="3"/>
  <c r="R595" i="3"/>
  <c r="S595" i="3"/>
  <c r="T595" i="3"/>
  <c r="U595" i="3"/>
  <c r="V595" i="3"/>
  <c r="W595" i="3"/>
  <c r="X595" i="3"/>
  <c r="O596" i="3"/>
  <c r="P596" i="3"/>
  <c r="Q596" i="3"/>
  <c r="R596" i="3"/>
  <c r="S596" i="3"/>
  <c r="T596" i="3"/>
  <c r="U596" i="3"/>
  <c r="V596" i="3"/>
  <c r="W596" i="3"/>
  <c r="X596" i="3"/>
  <c r="O597" i="3"/>
  <c r="P597" i="3"/>
  <c r="Q597" i="3"/>
  <c r="R597" i="3"/>
  <c r="S597" i="3"/>
  <c r="T597" i="3"/>
  <c r="U597" i="3"/>
  <c r="V597" i="3"/>
  <c r="W597" i="3"/>
  <c r="X597" i="3"/>
  <c r="O598" i="3"/>
  <c r="P598" i="3"/>
  <c r="Q598" i="3"/>
  <c r="R598" i="3"/>
  <c r="S598" i="3"/>
  <c r="T598" i="3"/>
  <c r="U598" i="3"/>
  <c r="V598" i="3"/>
  <c r="W598" i="3"/>
  <c r="X598" i="3"/>
  <c r="O599" i="3"/>
  <c r="P599" i="3"/>
  <c r="Q599" i="3"/>
  <c r="R599" i="3"/>
  <c r="S599" i="3"/>
  <c r="T599" i="3"/>
  <c r="U599" i="3"/>
  <c r="V599" i="3"/>
  <c r="W599" i="3"/>
  <c r="X599" i="3"/>
  <c r="O600" i="3"/>
  <c r="P600" i="3"/>
  <c r="Q600" i="3"/>
  <c r="R600" i="3"/>
  <c r="S600" i="3"/>
  <c r="T600" i="3"/>
  <c r="U600" i="3"/>
  <c r="V600" i="3"/>
  <c r="W600" i="3"/>
  <c r="X600" i="3"/>
  <c r="O601" i="3"/>
  <c r="P601" i="3"/>
  <c r="Q601" i="3"/>
  <c r="R601" i="3"/>
  <c r="S601" i="3"/>
  <c r="T601" i="3"/>
  <c r="U601" i="3"/>
  <c r="V601" i="3"/>
  <c r="W601" i="3"/>
  <c r="X601" i="3"/>
  <c r="O602" i="3"/>
  <c r="P602" i="3"/>
  <c r="Q602" i="3"/>
  <c r="R602" i="3"/>
  <c r="S602" i="3"/>
  <c r="T602" i="3"/>
  <c r="U602" i="3"/>
  <c r="V602" i="3"/>
  <c r="W602" i="3"/>
  <c r="X602" i="3"/>
  <c r="O603" i="3"/>
  <c r="P603" i="3"/>
  <c r="Q603" i="3"/>
  <c r="R603" i="3"/>
  <c r="S603" i="3"/>
  <c r="T603" i="3"/>
  <c r="U603" i="3"/>
  <c r="V603" i="3"/>
  <c r="W603" i="3"/>
  <c r="X603" i="3"/>
  <c r="O604" i="3"/>
  <c r="P604" i="3"/>
  <c r="Q604" i="3"/>
  <c r="R604" i="3"/>
  <c r="S604" i="3"/>
  <c r="T604" i="3"/>
  <c r="U604" i="3"/>
  <c r="V604" i="3"/>
  <c r="W604" i="3"/>
  <c r="X604" i="3"/>
  <c r="AD1" i="5"/>
  <c r="AC1" i="5"/>
  <c r="AC535" i="5"/>
  <c r="AD535" i="5"/>
  <c r="AC536" i="5"/>
  <c r="AD536" i="5"/>
  <c r="AC537" i="5"/>
  <c r="AD537" i="5"/>
  <c r="AC538" i="5"/>
  <c r="AD538" i="5"/>
  <c r="AC539" i="5"/>
  <c r="AD539" i="5"/>
  <c r="AC540" i="5"/>
  <c r="AD540" i="5"/>
  <c r="AC541" i="5"/>
  <c r="AD541" i="5"/>
  <c r="AC542" i="5"/>
  <c r="AD542" i="5"/>
  <c r="AC543" i="5"/>
  <c r="AD543" i="5"/>
  <c r="AC544" i="5"/>
  <c r="AD544" i="5"/>
  <c r="AC545" i="5"/>
  <c r="AD545" i="5"/>
  <c r="AC546" i="5"/>
  <c r="AD546" i="5"/>
  <c r="AC547" i="5"/>
  <c r="AD547" i="5"/>
  <c r="AC548" i="5"/>
  <c r="AD548" i="5"/>
  <c r="AC549" i="5"/>
  <c r="AD549" i="5"/>
  <c r="AC550" i="5"/>
  <c r="AD550" i="5"/>
  <c r="AC551" i="5"/>
  <c r="AD551" i="5"/>
  <c r="AC552" i="5"/>
  <c r="AD552" i="5"/>
  <c r="AC553" i="5"/>
  <c r="AD553" i="5"/>
  <c r="AC554" i="5"/>
  <c r="AD554" i="5"/>
  <c r="AC555" i="5"/>
  <c r="AD555" i="5"/>
  <c r="AC556" i="5"/>
  <c r="AD556" i="5"/>
  <c r="AC557" i="5"/>
  <c r="AD557" i="5"/>
  <c r="AC558" i="5"/>
  <c r="AD558" i="5"/>
  <c r="AC559" i="5"/>
  <c r="AD559" i="5"/>
  <c r="AC560" i="5"/>
  <c r="AD560" i="5"/>
  <c r="AC561" i="5"/>
  <c r="AD561" i="5"/>
  <c r="AC562" i="5"/>
  <c r="AD562" i="5"/>
  <c r="AC563" i="5"/>
  <c r="AD563" i="5"/>
  <c r="AC564" i="5"/>
  <c r="AD564" i="5"/>
  <c r="AC565" i="5"/>
  <c r="AD565" i="5"/>
  <c r="AC566" i="5"/>
  <c r="AD566" i="5"/>
  <c r="AC567" i="5"/>
  <c r="AD567" i="5"/>
  <c r="AC568" i="5"/>
  <c r="AD568" i="5"/>
  <c r="AC569" i="5"/>
  <c r="AD569" i="5"/>
  <c r="AC570" i="5"/>
  <c r="AD570" i="5"/>
  <c r="AC571" i="5"/>
  <c r="AD571" i="5"/>
  <c r="AC572" i="5"/>
  <c r="AD572" i="5"/>
  <c r="AC573" i="5"/>
  <c r="AD573" i="5"/>
  <c r="AC574" i="5"/>
  <c r="AD574" i="5"/>
  <c r="AC575" i="5"/>
  <c r="AD575" i="5"/>
  <c r="AC576" i="5"/>
  <c r="AD576" i="5"/>
  <c r="AC577" i="5"/>
  <c r="AD577" i="5"/>
  <c r="AC578" i="5"/>
  <c r="AD578" i="5"/>
  <c r="AC579" i="5"/>
  <c r="AD579" i="5"/>
  <c r="AC580" i="5"/>
  <c r="AD580" i="5"/>
  <c r="AC581" i="5"/>
  <c r="AD581" i="5"/>
  <c r="AC582" i="5"/>
  <c r="AD582" i="5"/>
  <c r="AC583" i="5"/>
  <c r="AD583" i="5"/>
  <c r="AC584" i="5"/>
  <c r="AD584" i="5"/>
  <c r="AC585" i="5"/>
  <c r="AD585" i="5"/>
  <c r="AC586" i="5"/>
  <c r="AD586" i="5"/>
  <c r="AC587" i="5"/>
  <c r="AD587" i="5"/>
  <c r="AC588" i="5"/>
  <c r="AD588" i="5"/>
  <c r="AC589" i="5"/>
  <c r="AD589" i="5"/>
  <c r="AC590" i="5"/>
  <c r="AD590" i="5"/>
  <c r="AC591" i="5"/>
  <c r="AD591" i="5"/>
  <c r="AC592" i="5"/>
  <c r="AD592" i="5"/>
  <c r="AC593" i="5"/>
  <c r="AD593" i="5"/>
  <c r="AC594" i="5"/>
  <c r="AD594" i="5"/>
  <c r="AC595" i="5"/>
  <c r="AD595" i="5"/>
  <c r="AC596" i="5"/>
  <c r="AD596" i="5"/>
  <c r="AC597" i="5"/>
  <c r="AD597" i="5"/>
  <c r="AC598" i="5"/>
  <c r="AD598" i="5"/>
  <c r="AC599" i="5"/>
  <c r="AD599" i="5"/>
  <c r="AC600" i="5"/>
  <c r="AD600" i="5"/>
  <c r="AC601" i="5"/>
  <c r="AD601" i="5"/>
  <c r="AC602" i="5"/>
  <c r="AD602" i="5"/>
  <c r="AC603" i="5"/>
  <c r="AD603" i="5"/>
  <c r="AC604" i="5"/>
  <c r="AD604" i="5"/>
  <c r="O535" i="5"/>
  <c r="P535" i="5"/>
  <c r="Q535" i="5"/>
  <c r="R535" i="5"/>
  <c r="S535" i="5"/>
  <c r="T535" i="5"/>
  <c r="U535" i="5"/>
  <c r="V535" i="5"/>
  <c r="W535" i="5"/>
  <c r="X535" i="5"/>
  <c r="O536" i="5"/>
  <c r="P536" i="5"/>
  <c r="Q536" i="5"/>
  <c r="R536" i="5"/>
  <c r="S536" i="5"/>
  <c r="T536" i="5"/>
  <c r="U536" i="5"/>
  <c r="V536" i="5"/>
  <c r="W536" i="5"/>
  <c r="X536" i="5"/>
  <c r="O537" i="5"/>
  <c r="P537" i="5"/>
  <c r="Q537" i="5"/>
  <c r="R537" i="5"/>
  <c r="S537" i="5"/>
  <c r="T537" i="5"/>
  <c r="U537" i="5"/>
  <c r="V537" i="5"/>
  <c r="W537" i="5"/>
  <c r="X537" i="5"/>
  <c r="O538" i="5"/>
  <c r="P538" i="5"/>
  <c r="Q538" i="5"/>
  <c r="R538" i="5"/>
  <c r="S538" i="5"/>
  <c r="T538" i="5"/>
  <c r="U538" i="5"/>
  <c r="V538" i="5"/>
  <c r="W538" i="5"/>
  <c r="X538" i="5"/>
  <c r="O539" i="5"/>
  <c r="P539" i="5"/>
  <c r="Q539" i="5"/>
  <c r="R539" i="5"/>
  <c r="S539" i="5"/>
  <c r="T539" i="5"/>
  <c r="U539" i="5"/>
  <c r="V539" i="5"/>
  <c r="W539" i="5"/>
  <c r="X539" i="5"/>
  <c r="O540" i="5"/>
  <c r="P540" i="5"/>
  <c r="Q540" i="5"/>
  <c r="R540" i="5"/>
  <c r="S540" i="5"/>
  <c r="T540" i="5"/>
  <c r="U540" i="5"/>
  <c r="V540" i="5"/>
  <c r="W540" i="5"/>
  <c r="X540" i="5"/>
  <c r="O541" i="5"/>
  <c r="P541" i="5"/>
  <c r="Q541" i="5"/>
  <c r="R541" i="5"/>
  <c r="S541" i="5"/>
  <c r="T541" i="5"/>
  <c r="U541" i="5"/>
  <c r="V541" i="5"/>
  <c r="W541" i="5"/>
  <c r="X541" i="5"/>
  <c r="O542" i="5"/>
  <c r="P542" i="5"/>
  <c r="Q542" i="5"/>
  <c r="R542" i="5"/>
  <c r="S542" i="5"/>
  <c r="T542" i="5"/>
  <c r="U542" i="5"/>
  <c r="V542" i="5"/>
  <c r="W542" i="5"/>
  <c r="X542" i="5"/>
  <c r="O543" i="5"/>
  <c r="P543" i="5"/>
  <c r="Q543" i="5"/>
  <c r="R543" i="5"/>
  <c r="S543" i="5"/>
  <c r="T543" i="5"/>
  <c r="U543" i="5"/>
  <c r="V543" i="5"/>
  <c r="W543" i="5"/>
  <c r="X543" i="5"/>
  <c r="O544" i="5"/>
  <c r="P544" i="5"/>
  <c r="Q544" i="5"/>
  <c r="R544" i="5"/>
  <c r="S544" i="5"/>
  <c r="T544" i="5"/>
  <c r="U544" i="5"/>
  <c r="V544" i="5"/>
  <c r="W544" i="5"/>
  <c r="X544" i="5"/>
  <c r="O545" i="5"/>
  <c r="P545" i="5"/>
  <c r="Q545" i="5"/>
  <c r="R545" i="5"/>
  <c r="S545" i="5"/>
  <c r="T545" i="5"/>
  <c r="U545" i="5"/>
  <c r="V545" i="5"/>
  <c r="W545" i="5"/>
  <c r="X545" i="5"/>
  <c r="O546" i="5"/>
  <c r="P546" i="5"/>
  <c r="Q546" i="5"/>
  <c r="R546" i="5"/>
  <c r="S546" i="5"/>
  <c r="T546" i="5"/>
  <c r="U546" i="5"/>
  <c r="V546" i="5"/>
  <c r="W546" i="5"/>
  <c r="X546" i="5"/>
  <c r="O547" i="5"/>
  <c r="P547" i="5"/>
  <c r="Q547" i="5"/>
  <c r="R547" i="5"/>
  <c r="S547" i="5"/>
  <c r="T547" i="5"/>
  <c r="U547" i="5"/>
  <c r="V547" i="5"/>
  <c r="W547" i="5"/>
  <c r="X547" i="5"/>
  <c r="O548" i="5"/>
  <c r="P548" i="5"/>
  <c r="Q548" i="5"/>
  <c r="R548" i="5"/>
  <c r="S548" i="5"/>
  <c r="T548" i="5"/>
  <c r="U548" i="5"/>
  <c r="V548" i="5"/>
  <c r="W548" i="5"/>
  <c r="X548" i="5"/>
  <c r="O549" i="5"/>
  <c r="P549" i="5"/>
  <c r="Q549" i="5"/>
  <c r="R549" i="5"/>
  <c r="S549" i="5"/>
  <c r="T549" i="5"/>
  <c r="U549" i="5"/>
  <c r="V549" i="5"/>
  <c r="W549" i="5"/>
  <c r="X549" i="5"/>
  <c r="O550" i="5"/>
  <c r="P550" i="5"/>
  <c r="Q550" i="5"/>
  <c r="R550" i="5"/>
  <c r="S550" i="5"/>
  <c r="T550" i="5"/>
  <c r="U550" i="5"/>
  <c r="V550" i="5"/>
  <c r="W550" i="5"/>
  <c r="X550" i="5"/>
  <c r="O551" i="5"/>
  <c r="P551" i="5"/>
  <c r="Q551" i="5"/>
  <c r="R551" i="5"/>
  <c r="S551" i="5"/>
  <c r="T551" i="5"/>
  <c r="U551" i="5"/>
  <c r="V551" i="5"/>
  <c r="W551" i="5"/>
  <c r="X551" i="5"/>
  <c r="O552" i="5"/>
  <c r="P552" i="5"/>
  <c r="Q552" i="5"/>
  <c r="R552" i="5"/>
  <c r="S552" i="5"/>
  <c r="T552" i="5"/>
  <c r="U552" i="5"/>
  <c r="V552" i="5"/>
  <c r="W552" i="5"/>
  <c r="X552" i="5"/>
  <c r="O553" i="5"/>
  <c r="P553" i="5"/>
  <c r="Q553" i="5"/>
  <c r="R553" i="5"/>
  <c r="S553" i="5"/>
  <c r="T553" i="5"/>
  <c r="U553" i="5"/>
  <c r="V553" i="5"/>
  <c r="W553" i="5"/>
  <c r="X553" i="5"/>
  <c r="O554" i="5"/>
  <c r="P554" i="5"/>
  <c r="Q554" i="5"/>
  <c r="R554" i="5"/>
  <c r="S554" i="5"/>
  <c r="T554" i="5"/>
  <c r="U554" i="5"/>
  <c r="V554" i="5"/>
  <c r="W554" i="5"/>
  <c r="X554" i="5"/>
  <c r="O555" i="5"/>
  <c r="P555" i="5"/>
  <c r="Q555" i="5"/>
  <c r="R555" i="5"/>
  <c r="S555" i="5"/>
  <c r="T555" i="5"/>
  <c r="U555" i="5"/>
  <c r="V555" i="5"/>
  <c r="W555" i="5"/>
  <c r="X555" i="5"/>
  <c r="O556" i="5"/>
  <c r="P556" i="5"/>
  <c r="Q556" i="5"/>
  <c r="R556" i="5"/>
  <c r="S556" i="5"/>
  <c r="T556" i="5"/>
  <c r="U556" i="5"/>
  <c r="V556" i="5"/>
  <c r="W556" i="5"/>
  <c r="X556" i="5"/>
  <c r="O557" i="5"/>
  <c r="P557" i="5"/>
  <c r="Q557" i="5"/>
  <c r="R557" i="5"/>
  <c r="S557" i="5"/>
  <c r="T557" i="5"/>
  <c r="U557" i="5"/>
  <c r="V557" i="5"/>
  <c r="W557" i="5"/>
  <c r="X557" i="5"/>
  <c r="O558" i="5"/>
  <c r="P558" i="5"/>
  <c r="Q558" i="5"/>
  <c r="R558" i="5"/>
  <c r="S558" i="5"/>
  <c r="T558" i="5"/>
  <c r="U558" i="5"/>
  <c r="V558" i="5"/>
  <c r="W558" i="5"/>
  <c r="X558" i="5"/>
  <c r="O559" i="5"/>
  <c r="P559" i="5"/>
  <c r="Q559" i="5"/>
  <c r="R559" i="5"/>
  <c r="S559" i="5"/>
  <c r="T559" i="5"/>
  <c r="U559" i="5"/>
  <c r="V559" i="5"/>
  <c r="W559" i="5"/>
  <c r="X559" i="5"/>
  <c r="O560" i="5"/>
  <c r="P560" i="5"/>
  <c r="Q560" i="5"/>
  <c r="R560" i="5"/>
  <c r="S560" i="5"/>
  <c r="T560" i="5"/>
  <c r="U560" i="5"/>
  <c r="V560" i="5"/>
  <c r="W560" i="5"/>
  <c r="X560" i="5"/>
  <c r="O561" i="5"/>
  <c r="P561" i="5"/>
  <c r="Q561" i="5"/>
  <c r="R561" i="5"/>
  <c r="S561" i="5"/>
  <c r="T561" i="5"/>
  <c r="U561" i="5"/>
  <c r="V561" i="5"/>
  <c r="W561" i="5"/>
  <c r="X561" i="5"/>
  <c r="O562" i="5"/>
  <c r="P562" i="5"/>
  <c r="Q562" i="5"/>
  <c r="R562" i="5"/>
  <c r="S562" i="5"/>
  <c r="T562" i="5"/>
  <c r="U562" i="5"/>
  <c r="V562" i="5"/>
  <c r="W562" i="5"/>
  <c r="X562" i="5"/>
  <c r="O563" i="5"/>
  <c r="P563" i="5"/>
  <c r="Q563" i="5"/>
  <c r="R563" i="5"/>
  <c r="S563" i="5"/>
  <c r="T563" i="5"/>
  <c r="U563" i="5"/>
  <c r="V563" i="5"/>
  <c r="W563" i="5"/>
  <c r="X563" i="5"/>
  <c r="O564" i="5"/>
  <c r="P564" i="5"/>
  <c r="Q564" i="5"/>
  <c r="R564" i="5"/>
  <c r="S564" i="5"/>
  <c r="T564" i="5"/>
  <c r="U564" i="5"/>
  <c r="V564" i="5"/>
  <c r="W564" i="5"/>
  <c r="X564" i="5"/>
  <c r="O565" i="5"/>
  <c r="P565" i="5"/>
  <c r="Q565" i="5"/>
  <c r="R565" i="5"/>
  <c r="S565" i="5"/>
  <c r="T565" i="5"/>
  <c r="U565" i="5"/>
  <c r="V565" i="5"/>
  <c r="W565" i="5"/>
  <c r="X565" i="5"/>
  <c r="O566" i="5"/>
  <c r="P566" i="5"/>
  <c r="Q566" i="5"/>
  <c r="R566" i="5"/>
  <c r="S566" i="5"/>
  <c r="T566" i="5"/>
  <c r="U566" i="5"/>
  <c r="V566" i="5"/>
  <c r="W566" i="5"/>
  <c r="X566" i="5"/>
  <c r="O567" i="5"/>
  <c r="P567" i="5"/>
  <c r="Q567" i="5"/>
  <c r="R567" i="5"/>
  <c r="S567" i="5"/>
  <c r="T567" i="5"/>
  <c r="U567" i="5"/>
  <c r="V567" i="5"/>
  <c r="W567" i="5"/>
  <c r="X567" i="5"/>
  <c r="O568" i="5"/>
  <c r="P568" i="5"/>
  <c r="Q568" i="5"/>
  <c r="R568" i="5"/>
  <c r="S568" i="5"/>
  <c r="T568" i="5"/>
  <c r="U568" i="5"/>
  <c r="V568" i="5"/>
  <c r="W568" i="5"/>
  <c r="X568" i="5"/>
  <c r="O569" i="5"/>
  <c r="P569" i="5"/>
  <c r="Q569" i="5"/>
  <c r="R569" i="5"/>
  <c r="S569" i="5"/>
  <c r="T569" i="5"/>
  <c r="U569" i="5"/>
  <c r="V569" i="5"/>
  <c r="W569" i="5"/>
  <c r="X569" i="5"/>
  <c r="O570" i="5"/>
  <c r="P570" i="5"/>
  <c r="Q570" i="5"/>
  <c r="R570" i="5"/>
  <c r="S570" i="5"/>
  <c r="T570" i="5"/>
  <c r="U570" i="5"/>
  <c r="V570" i="5"/>
  <c r="W570" i="5"/>
  <c r="X570" i="5"/>
  <c r="O571" i="5"/>
  <c r="P571" i="5"/>
  <c r="Q571" i="5"/>
  <c r="R571" i="5"/>
  <c r="S571" i="5"/>
  <c r="T571" i="5"/>
  <c r="U571" i="5"/>
  <c r="V571" i="5"/>
  <c r="W571" i="5"/>
  <c r="X571" i="5"/>
  <c r="O572" i="5"/>
  <c r="P572" i="5"/>
  <c r="Q572" i="5"/>
  <c r="R572" i="5"/>
  <c r="S572" i="5"/>
  <c r="T572" i="5"/>
  <c r="U572" i="5"/>
  <c r="V572" i="5"/>
  <c r="W572" i="5"/>
  <c r="X572" i="5"/>
  <c r="O573" i="5"/>
  <c r="P573" i="5"/>
  <c r="Q573" i="5"/>
  <c r="R573" i="5"/>
  <c r="S573" i="5"/>
  <c r="T573" i="5"/>
  <c r="U573" i="5"/>
  <c r="V573" i="5"/>
  <c r="W573" i="5"/>
  <c r="X573" i="5"/>
  <c r="O574" i="5"/>
  <c r="P574" i="5"/>
  <c r="Q574" i="5"/>
  <c r="R574" i="5"/>
  <c r="S574" i="5"/>
  <c r="T574" i="5"/>
  <c r="U574" i="5"/>
  <c r="V574" i="5"/>
  <c r="W574" i="5"/>
  <c r="X574" i="5"/>
  <c r="O575" i="5"/>
  <c r="P575" i="5"/>
  <c r="Q575" i="5"/>
  <c r="R575" i="5"/>
  <c r="S575" i="5"/>
  <c r="T575" i="5"/>
  <c r="U575" i="5"/>
  <c r="V575" i="5"/>
  <c r="W575" i="5"/>
  <c r="X575" i="5"/>
  <c r="O576" i="5"/>
  <c r="P576" i="5"/>
  <c r="Q576" i="5"/>
  <c r="R576" i="5"/>
  <c r="S576" i="5"/>
  <c r="T576" i="5"/>
  <c r="U576" i="5"/>
  <c r="V576" i="5"/>
  <c r="W576" i="5"/>
  <c r="X576" i="5"/>
  <c r="O577" i="5"/>
  <c r="P577" i="5"/>
  <c r="Q577" i="5"/>
  <c r="R577" i="5"/>
  <c r="S577" i="5"/>
  <c r="T577" i="5"/>
  <c r="U577" i="5"/>
  <c r="V577" i="5"/>
  <c r="W577" i="5"/>
  <c r="X577" i="5"/>
  <c r="O578" i="5"/>
  <c r="P578" i="5"/>
  <c r="Q578" i="5"/>
  <c r="R578" i="5"/>
  <c r="S578" i="5"/>
  <c r="T578" i="5"/>
  <c r="U578" i="5"/>
  <c r="V578" i="5"/>
  <c r="W578" i="5"/>
  <c r="X578" i="5"/>
  <c r="O579" i="5"/>
  <c r="P579" i="5"/>
  <c r="Q579" i="5"/>
  <c r="R579" i="5"/>
  <c r="S579" i="5"/>
  <c r="T579" i="5"/>
  <c r="U579" i="5"/>
  <c r="V579" i="5"/>
  <c r="W579" i="5"/>
  <c r="X579" i="5"/>
  <c r="O580" i="5"/>
  <c r="P580" i="5"/>
  <c r="Q580" i="5"/>
  <c r="R580" i="5"/>
  <c r="S580" i="5"/>
  <c r="T580" i="5"/>
  <c r="U580" i="5"/>
  <c r="V580" i="5"/>
  <c r="W580" i="5"/>
  <c r="X580" i="5"/>
  <c r="O581" i="5"/>
  <c r="P581" i="5"/>
  <c r="Q581" i="5"/>
  <c r="R581" i="5"/>
  <c r="S581" i="5"/>
  <c r="T581" i="5"/>
  <c r="U581" i="5"/>
  <c r="V581" i="5"/>
  <c r="W581" i="5"/>
  <c r="X581" i="5"/>
  <c r="O582" i="5"/>
  <c r="P582" i="5"/>
  <c r="Q582" i="5"/>
  <c r="R582" i="5"/>
  <c r="S582" i="5"/>
  <c r="T582" i="5"/>
  <c r="U582" i="5"/>
  <c r="V582" i="5"/>
  <c r="W582" i="5"/>
  <c r="X582" i="5"/>
  <c r="O583" i="5"/>
  <c r="P583" i="5"/>
  <c r="Q583" i="5"/>
  <c r="R583" i="5"/>
  <c r="S583" i="5"/>
  <c r="T583" i="5"/>
  <c r="U583" i="5"/>
  <c r="V583" i="5"/>
  <c r="W583" i="5"/>
  <c r="X583" i="5"/>
  <c r="O584" i="5"/>
  <c r="P584" i="5"/>
  <c r="Q584" i="5"/>
  <c r="R584" i="5"/>
  <c r="S584" i="5"/>
  <c r="T584" i="5"/>
  <c r="U584" i="5"/>
  <c r="V584" i="5"/>
  <c r="W584" i="5"/>
  <c r="X584" i="5"/>
  <c r="O585" i="5"/>
  <c r="P585" i="5"/>
  <c r="Q585" i="5"/>
  <c r="R585" i="5"/>
  <c r="S585" i="5"/>
  <c r="T585" i="5"/>
  <c r="U585" i="5"/>
  <c r="V585" i="5"/>
  <c r="W585" i="5"/>
  <c r="X585" i="5"/>
  <c r="O586" i="5"/>
  <c r="P586" i="5"/>
  <c r="Q586" i="5"/>
  <c r="R586" i="5"/>
  <c r="S586" i="5"/>
  <c r="T586" i="5"/>
  <c r="U586" i="5"/>
  <c r="V586" i="5"/>
  <c r="W586" i="5"/>
  <c r="X586" i="5"/>
  <c r="O587" i="5"/>
  <c r="P587" i="5"/>
  <c r="Q587" i="5"/>
  <c r="R587" i="5"/>
  <c r="S587" i="5"/>
  <c r="T587" i="5"/>
  <c r="U587" i="5"/>
  <c r="V587" i="5"/>
  <c r="W587" i="5"/>
  <c r="X587" i="5"/>
  <c r="O588" i="5"/>
  <c r="P588" i="5"/>
  <c r="Q588" i="5"/>
  <c r="R588" i="5"/>
  <c r="S588" i="5"/>
  <c r="T588" i="5"/>
  <c r="U588" i="5"/>
  <c r="V588" i="5"/>
  <c r="W588" i="5"/>
  <c r="X588" i="5"/>
  <c r="O589" i="5"/>
  <c r="P589" i="5"/>
  <c r="Q589" i="5"/>
  <c r="R589" i="5"/>
  <c r="S589" i="5"/>
  <c r="T589" i="5"/>
  <c r="U589" i="5"/>
  <c r="V589" i="5"/>
  <c r="W589" i="5"/>
  <c r="X589" i="5"/>
  <c r="O590" i="5"/>
  <c r="P590" i="5"/>
  <c r="Q590" i="5"/>
  <c r="R590" i="5"/>
  <c r="S590" i="5"/>
  <c r="T590" i="5"/>
  <c r="U590" i="5"/>
  <c r="V590" i="5"/>
  <c r="W590" i="5"/>
  <c r="X590" i="5"/>
  <c r="O591" i="5"/>
  <c r="P591" i="5"/>
  <c r="Q591" i="5"/>
  <c r="R591" i="5"/>
  <c r="S591" i="5"/>
  <c r="T591" i="5"/>
  <c r="U591" i="5"/>
  <c r="V591" i="5"/>
  <c r="W591" i="5"/>
  <c r="X591" i="5"/>
  <c r="O592" i="5"/>
  <c r="P592" i="5"/>
  <c r="Q592" i="5"/>
  <c r="R592" i="5"/>
  <c r="S592" i="5"/>
  <c r="T592" i="5"/>
  <c r="U592" i="5"/>
  <c r="V592" i="5"/>
  <c r="W592" i="5"/>
  <c r="X592" i="5"/>
  <c r="O593" i="5"/>
  <c r="P593" i="5"/>
  <c r="Q593" i="5"/>
  <c r="R593" i="5"/>
  <c r="S593" i="5"/>
  <c r="T593" i="5"/>
  <c r="U593" i="5"/>
  <c r="V593" i="5"/>
  <c r="W593" i="5"/>
  <c r="X593" i="5"/>
  <c r="O594" i="5"/>
  <c r="P594" i="5"/>
  <c r="Q594" i="5"/>
  <c r="R594" i="5"/>
  <c r="S594" i="5"/>
  <c r="T594" i="5"/>
  <c r="U594" i="5"/>
  <c r="V594" i="5"/>
  <c r="W594" i="5"/>
  <c r="X594" i="5"/>
  <c r="O595" i="5"/>
  <c r="P595" i="5"/>
  <c r="Q595" i="5"/>
  <c r="R595" i="5"/>
  <c r="S595" i="5"/>
  <c r="T595" i="5"/>
  <c r="U595" i="5"/>
  <c r="V595" i="5"/>
  <c r="W595" i="5"/>
  <c r="X595" i="5"/>
  <c r="O596" i="5"/>
  <c r="P596" i="5"/>
  <c r="Q596" i="5"/>
  <c r="R596" i="5"/>
  <c r="S596" i="5"/>
  <c r="T596" i="5"/>
  <c r="U596" i="5"/>
  <c r="V596" i="5"/>
  <c r="W596" i="5"/>
  <c r="X596" i="5"/>
  <c r="O597" i="5"/>
  <c r="P597" i="5"/>
  <c r="Q597" i="5"/>
  <c r="R597" i="5"/>
  <c r="S597" i="5"/>
  <c r="T597" i="5"/>
  <c r="U597" i="5"/>
  <c r="V597" i="5"/>
  <c r="W597" i="5"/>
  <c r="X597" i="5"/>
  <c r="O598" i="5"/>
  <c r="P598" i="5"/>
  <c r="Q598" i="5"/>
  <c r="R598" i="5"/>
  <c r="S598" i="5"/>
  <c r="T598" i="5"/>
  <c r="U598" i="5"/>
  <c r="V598" i="5"/>
  <c r="W598" i="5"/>
  <c r="X598" i="5"/>
  <c r="O599" i="5"/>
  <c r="P599" i="5"/>
  <c r="Q599" i="5"/>
  <c r="R599" i="5"/>
  <c r="S599" i="5"/>
  <c r="T599" i="5"/>
  <c r="U599" i="5"/>
  <c r="V599" i="5"/>
  <c r="W599" i="5"/>
  <c r="X599" i="5"/>
  <c r="O600" i="5"/>
  <c r="P600" i="5"/>
  <c r="Q600" i="5"/>
  <c r="R600" i="5"/>
  <c r="S600" i="5"/>
  <c r="T600" i="5"/>
  <c r="U600" i="5"/>
  <c r="V600" i="5"/>
  <c r="W600" i="5"/>
  <c r="X600" i="5"/>
  <c r="O601" i="5"/>
  <c r="P601" i="5"/>
  <c r="Q601" i="5"/>
  <c r="R601" i="5"/>
  <c r="S601" i="5"/>
  <c r="T601" i="5"/>
  <c r="U601" i="5"/>
  <c r="V601" i="5"/>
  <c r="W601" i="5"/>
  <c r="X601" i="5"/>
  <c r="O602" i="5"/>
  <c r="P602" i="5"/>
  <c r="Q602" i="5"/>
  <c r="R602" i="5"/>
  <c r="S602" i="5"/>
  <c r="T602" i="5"/>
  <c r="U602" i="5"/>
  <c r="V602" i="5"/>
  <c r="W602" i="5"/>
  <c r="X602" i="5"/>
  <c r="O603" i="5"/>
  <c r="P603" i="5"/>
  <c r="Q603" i="5"/>
  <c r="R603" i="5"/>
  <c r="S603" i="5"/>
  <c r="T603" i="5"/>
  <c r="U603" i="5"/>
  <c r="V603" i="5"/>
  <c r="W603" i="5"/>
  <c r="X603" i="5"/>
  <c r="O604" i="5"/>
  <c r="P604" i="5"/>
  <c r="Q604" i="5"/>
  <c r="R604" i="5"/>
  <c r="S604" i="5"/>
  <c r="T604" i="5"/>
  <c r="U604" i="5"/>
  <c r="V604" i="5"/>
  <c r="W604" i="5"/>
  <c r="X604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B580" i="5"/>
  <c r="AB581" i="5"/>
  <c r="AB582" i="5"/>
  <c r="AB583" i="5"/>
  <c r="AB584" i="5"/>
  <c r="AB585" i="5"/>
  <c r="AB586" i="5"/>
  <c r="AB587" i="5"/>
  <c r="AB588" i="5"/>
  <c r="AB589" i="5"/>
  <c r="AB590" i="5"/>
  <c r="AB591" i="5"/>
  <c r="AB592" i="5"/>
  <c r="AB593" i="5"/>
  <c r="AB594" i="5"/>
  <c r="AB595" i="5"/>
  <c r="AB596" i="5"/>
  <c r="AB597" i="5"/>
  <c r="AB598" i="5"/>
  <c r="AB599" i="5"/>
  <c r="AB600" i="5"/>
  <c r="AB601" i="5"/>
  <c r="AB602" i="5"/>
  <c r="AB603" i="5"/>
  <c r="AB604" i="5"/>
  <c r="AA535" i="3" l="1"/>
  <c r="AA536" i="3"/>
  <c r="AA537" i="3"/>
  <c r="AA538" i="3"/>
  <c r="AA539" i="3"/>
  <c r="O524" i="3" l="1"/>
  <c r="P524" i="3"/>
  <c r="Q524" i="3"/>
  <c r="R524" i="3"/>
  <c r="S524" i="3"/>
  <c r="T524" i="3"/>
  <c r="U524" i="3"/>
  <c r="V524" i="3"/>
  <c r="W524" i="3"/>
  <c r="X524" i="3"/>
  <c r="AA524" i="3"/>
  <c r="O525" i="3"/>
  <c r="P525" i="3"/>
  <c r="Q525" i="3"/>
  <c r="R525" i="3"/>
  <c r="S525" i="3"/>
  <c r="T525" i="3"/>
  <c r="U525" i="3"/>
  <c r="V525" i="3"/>
  <c r="W525" i="3"/>
  <c r="X525" i="3"/>
  <c r="AA525" i="3"/>
  <c r="O526" i="3"/>
  <c r="P526" i="3"/>
  <c r="Q526" i="3"/>
  <c r="R526" i="3"/>
  <c r="S526" i="3"/>
  <c r="T526" i="3"/>
  <c r="U526" i="3"/>
  <c r="V526" i="3"/>
  <c r="W526" i="3"/>
  <c r="X526" i="3"/>
  <c r="AA526" i="3"/>
  <c r="O527" i="3"/>
  <c r="P527" i="3"/>
  <c r="Q527" i="3"/>
  <c r="R527" i="3"/>
  <c r="S527" i="3"/>
  <c r="T527" i="3"/>
  <c r="U527" i="3"/>
  <c r="V527" i="3"/>
  <c r="W527" i="3"/>
  <c r="X527" i="3"/>
  <c r="AA527" i="3"/>
  <c r="O528" i="3"/>
  <c r="P528" i="3"/>
  <c r="Q528" i="3"/>
  <c r="R528" i="3"/>
  <c r="S528" i="3"/>
  <c r="T528" i="3"/>
  <c r="U528" i="3"/>
  <c r="V528" i="3"/>
  <c r="W528" i="3"/>
  <c r="X528" i="3"/>
  <c r="AA528" i="3"/>
  <c r="O529" i="3"/>
  <c r="P529" i="3"/>
  <c r="Q529" i="3"/>
  <c r="R529" i="3"/>
  <c r="S529" i="3"/>
  <c r="T529" i="3"/>
  <c r="U529" i="3"/>
  <c r="V529" i="3"/>
  <c r="W529" i="3"/>
  <c r="X529" i="3"/>
  <c r="AA529" i="3"/>
  <c r="O530" i="3"/>
  <c r="P530" i="3"/>
  <c r="Q530" i="3"/>
  <c r="R530" i="3"/>
  <c r="S530" i="3"/>
  <c r="T530" i="3"/>
  <c r="U530" i="3"/>
  <c r="V530" i="3"/>
  <c r="W530" i="3"/>
  <c r="X530" i="3"/>
  <c r="AA530" i="3"/>
  <c r="O531" i="3"/>
  <c r="P531" i="3"/>
  <c r="Q531" i="3"/>
  <c r="R531" i="3"/>
  <c r="S531" i="3"/>
  <c r="T531" i="3"/>
  <c r="U531" i="3"/>
  <c r="V531" i="3"/>
  <c r="W531" i="3"/>
  <c r="X531" i="3"/>
  <c r="AA531" i="3"/>
  <c r="O532" i="3"/>
  <c r="P532" i="3"/>
  <c r="Q532" i="3"/>
  <c r="R532" i="3"/>
  <c r="S532" i="3"/>
  <c r="T532" i="3"/>
  <c r="U532" i="3"/>
  <c r="V532" i="3"/>
  <c r="W532" i="3"/>
  <c r="X532" i="3"/>
  <c r="AA532" i="3"/>
  <c r="O533" i="3"/>
  <c r="P533" i="3"/>
  <c r="Q533" i="3"/>
  <c r="R533" i="3"/>
  <c r="S533" i="3"/>
  <c r="T533" i="3"/>
  <c r="U533" i="3"/>
  <c r="V533" i="3"/>
  <c r="W533" i="3"/>
  <c r="X533" i="3"/>
  <c r="AA533" i="3"/>
  <c r="O534" i="3"/>
  <c r="P534" i="3"/>
  <c r="Q534" i="3"/>
  <c r="R534" i="3"/>
  <c r="S534" i="3"/>
  <c r="T534" i="3"/>
  <c r="U534" i="3"/>
  <c r="V534" i="3"/>
  <c r="W534" i="3"/>
  <c r="X534" i="3"/>
  <c r="AA534" i="3"/>
  <c r="AB535" i="5"/>
  <c r="AB536" i="5"/>
  <c r="AB537" i="5"/>
  <c r="AB538" i="5"/>
  <c r="AB539" i="5"/>
  <c r="O524" i="5"/>
  <c r="P524" i="5"/>
  <c r="Q524" i="5"/>
  <c r="R524" i="5"/>
  <c r="S524" i="5"/>
  <c r="T524" i="5"/>
  <c r="U524" i="5"/>
  <c r="V524" i="5"/>
  <c r="W524" i="5"/>
  <c r="AC524" i="5" s="1"/>
  <c r="X524" i="5"/>
  <c r="AB524" i="5"/>
  <c r="AD524" i="5"/>
  <c r="O525" i="5"/>
  <c r="P525" i="5"/>
  <c r="Q525" i="5"/>
  <c r="R525" i="5"/>
  <c r="S525" i="5"/>
  <c r="T525" i="5"/>
  <c r="U525" i="5"/>
  <c r="V525" i="5"/>
  <c r="AC525" i="5" s="1"/>
  <c r="W525" i="5"/>
  <c r="X525" i="5"/>
  <c r="AB525" i="5"/>
  <c r="O526" i="5"/>
  <c r="P526" i="5"/>
  <c r="Q526" i="5"/>
  <c r="R526" i="5"/>
  <c r="S526" i="5"/>
  <c r="T526" i="5"/>
  <c r="U526" i="5"/>
  <c r="V526" i="5"/>
  <c r="W526" i="5"/>
  <c r="X526" i="5"/>
  <c r="AD526" i="5" s="1"/>
  <c r="AB526" i="5"/>
  <c r="O527" i="5"/>
  <c r="P527" i="5"/>
  <c r="Q527" i="5"/>
  <c r="R527" i="5"/>
  <c r="S527" i="5"/>
  <c r="T527" i="5"/>
  <c r="U527" i="5"/>
  <c r="AC527" i="5" s="1"/>
  <c r="V527" i="5"/>
  <c r="W527" i="5"/>
  <c r="X527" i="5"/>
  <c r="AB527" i="5"/>
  <c r="O528" i="5"/>
  <c r="P528" i="5"/>
  <c r="Q528" i="5"/>
  <c r="R528" i="5"/>
  <c r="S528" i="5"/>
  <c r="T528" i="5"/>
  <c r="U528" i="5"/>
  <c r="V528" i="5"/>
  <c r="W528" i="5"/>
  <c r="X528" i="5"/>
  <c r="AB528" i="5"/>
  <c r="AD528" i="5"/>
  <c r="O529" i="5"/>
  <c r="P529" i="5"/>
  <c r="Q529" i="5"/>
  <c r="R529" i="5"/>
  <c r="S529" i="5"/>
  <c r="T529" i="5"/>
  <c r="U529" i="5"/>
  <c r="V529" i="5"/>
  <c r="W529" i="5"/>
  <c r="AC529" i="5" s="1"/>
  <c r="X529" i="5"/>
  <c r="AB529" i="5"/>
  <c r="O530" i="5"/>
  <c r="P530" i="5"/>
  <c r="Q530" i="5"/>
  <c r="R530" i="5"/>
  <c r="S530" i="5"/>
  <c r="T530" i="5"/>
  <c r="U530" i="5"/>
  <c r="V530" i="5"/>
  <c r="W530" i="5"/>
  <c r="X530" i="5"/>
  <c r="AB530" i="5"/>
  <c r="O531" i="5"/>
  <c r="P531" i="5"/>
  <c r="Q531" i="5"/>
  <c r="R531" i="5"/>
  <c r="S531" i="5"/>
  <c r="T531" i="5"/>
  <c r="U531" i="5"/>
  <c r="V531" i="5"/>
  <c r="W531" i="5"/>
  <c r="X531" i="5"/>
  <c r="AB531" i="5"/>
  <c r="O532" i="5"/>
  <c r="P532" i="5"/>
  <c r="Q532" i="5"/>
  <c r="R532" i="5"/>
  <c r="S532" i="5"/>
  <c r="T532" i="5"/>
  <c r="U532" i="5"/>
  <c r="V532" i="5"/>
  <c r="W532" i="5"/>
  <c r="X532" i="5"/>
  <c r="AB532" i="5"/>
  <c r="O533" i="5"/>
  <c r="P533" i="5"/>
  <c r="Q533" i="5"/>
  <c r="R533" i="5"/>
  <c r="S533" i="5"/>
  <c r="T533" i="5"/>
  <c r="U533" i="5"/>
  <c r="V533" i="5"/>
  <c r="W533" i="5"/>
  <c r="AC533" i="5" s="1"/>
  <c r="X533" i="5"/>
  <c r="AB533" i="5"/>
  <c r="O534" i="5"/>
  <c r="P534" i="5"/>
  <c r="Q534" i="5"/>
  <c r="R534" i="5"/>
  <c r="S534" i="5"/>
  <c r="T534" i="5"/>
  <c r="U534" i="5"/>
  <c r="V534" i="5"/>
  <c r="W534" i="5"/>
  <c r="X534" i="5"/>
  <c r="AB534" i="5"/>
  <c r="AD532" i="5" l="1"/>
  <c r="AC531" i="5"/>
  <c r="AD529" i="5"/>
  <c r="AC530" i="5"/>
  <c r="AD527" i="5"/>
  <c r="AD525" i="5"/>
  <c r="AC534" i="5"/>
  <c r="AC532" i="5"/>
  <c r="AD533" i="5"/>
  <c r="AC528" i="5"/>
  <c r="AC526" i="5"/>
  <c r="AD531" i="5"/>
  <c r="AD534" i="5"/>
  <c r="AD530" i="5"/>
  <c r="AD518" i="5"/>
  <c r="AD522" i="5"/>
  <c r="O518" i="5"/>
  <c r="P518" i="5"/>
  <c r="Q518" i="5"/>
  <c r="R518" i="5"/>
  <c r="S518" i="5"/>
  <c r="T518" i="5"/>
  <c r="U518" i="5"/>
  <c r="AC518" i="5" s="1"/>
  <c r="V518" i="5"/>
  <c r="W518" i="5"/>
  <c r="X518" i="5"/>
  <c r="O519" i="5"/>
  <c r="P519" i="5"/>
  <c r="Q519" i="5"/>
  <c r="R519" i="5"/>
  <c r="S519" i="5"/>
  <c r="T519" i="5"/>
  <c r="U519" i="5"/>
  <c r="AC519" i="5" s="1"/>
  <c r="V519" i="5"/>
  <c r="W519" i="5"/>
  <c r="X519" i="5"/>
  <c r="O520" i="5"/>
  <c r="P520" i="5"/>
  <c r="Q520" i="5"/>
  <c r="R520" i="5"/>
  <c r="S520" i="5"/>
  <c r="T520" i="5"/>
  <c r="U520" i="5"/>
  <c r="AC520" i="5" s="1"/>
  <c r="V520" i="5"/>
  <c r="W520" i="5"/>
  <c r="X520" i="5"/>
  <c r="O521" i="5"/>
  <c r="P521" i="5"/>
  <c r="Q521" i="5"/>
  <c r="R521" i="5"/>
  <c r="S521" i="5"/>
  <c r="T521" i="5"/>
  <c r="U521" i="5"/>
  <c r="AC521" i="5" s="1"/>
  <c r="V521" i="5"/>
  <c r="W521" i="5"/>
  <c r="X521" i="5"/>
  <c r="O522" i="5"/>
  <c r="P522" i="5"/>
  <c r="Q522" i="5"/>
  <c r="R522" i="5"/>
  <c r="S522" i="5"/>
  <c r="T522" i="5"/>
  <c r="U522" i="5"/>
  <c r="AC522" i="5" s="1"/>
  <c r="V522" i="5"/>
  <c r="W522" i="5"/>
  <c r="X522" i="5"/>
  <c r="O523" i="5"/>
  <c r="P523" i="5"/>
  <c r="Q523" i="5"/>
  <c r="R523" i="5"/>
  <c r="S523" i="5"/>
  <c r="T523" i="5"/>
  <c r="U523" i="5"/>
  <c r="AC523" i="5" s="1"/>
  <c r="V523" i="5"/>
  <c r="W523" i="5"/>
  <c r="X523" i="5"/>
  <c r="O518" i="3"/>
  <c r="P518" i="3"/>
  <c r="Q518" i="3"/>
  <c r="R518" i="3"/>
  <c r="S518" i="3"/>
  <c r="T518" i="3"/>
  <c r="U518" i="3"/>
  <c r="V518" i="3"/>
  <c r="W518" i="3"/>
  <c r="X518" i="3"/>
  <c r="O519" i="3"/>
  <c r="P519" i="3"/>
  <c r="Q519" i="3"/>
  <c r="R519" i="3"/>
  <c r="S519" i="3"/>
  <c r="T519" i="3"/>
  <c r="U519" i="3"/>
  <c r="V519" i="3"/>
  <c r="W519" i="3"/>
  <c r="X519" i="3"/>
  <c r="O520" i="3"/>
  <c r="P520" i="3"/>
  <c r="Q520" i="3"/>
  <c r="R520" i="3"/>
  <c r="S520" i="3"/>
  <c r="T520" i="3"/>
  <c r="U520" i="3"/>
  <c r="V520" i="3"/>
  <c r="W520" i="3"/>
  <c r="X520" i="3"/>
  <c r="O521" i="3"/>
  <c r="P521" i="3"/>
  <c r="Q521" i="3"/>
  <c r="R521" i="3"/>
  <c r="S521" i="3"/>
  <c r="T521" i="3"/>
  <c r="U521" i="3"/>
  <c r="V521" i="3"/>
  <c r="W521" i="3"/>
  <c r="X521" i="3"/>
  <c r="O522" i="3"/>
  <c r="P522" i="3"/>
  <c r="Q522" i="3"/>
  <c r="R522" i="3"/>
  <c r="S522" i="3"/>
  <c r="T522" i="3"/>
  <c r="U522" i="3"/>
  <c r="V522" i="3"/>
  <c r="W522" i="3"/>
  <c r="X522" i="3"/>
  <c r="O523" i="3"/>
  <c r="P523" i="3"/>
  <c r="Q523" i="3"/>
  <c r="R523" i="3"/>
  <c r="S523" i="3"/>
  <c r="T523" i="3"/>
  <c r="U523" i="3"/>
  <c r="V523" i="3"/>
  <c r="W523" i="3"/>
  <c r="X523" i="3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O431" i="5"/>
  <c r="P431" i="5"/>
  <c r="Q431" i="5"/>
  <c r="R431" i="5"/>
  <c r="S431" i="5"/>
  <c r="T431" i="5"/>
  <c r="U431" i="5"/>
  <c r="AC431" i="5" s="1"/>
  <c r="V431" i="5"/>
  <c r="W431" i="5"/>
  <c r="X431" i="5"/>
  <c r="O432" i="5"/>
  <c r="P432" i="5"/>
  <c r="Q432" i="5"/>
  <c r="R432" i="5"/>
  <c r="S432" i="5"/>
  <c r="T432" i="5"/>
  <c r="U432" i="5"/>
  <c r="AC432" i="5" s="1"/>
  <c r="V432" i="5"/>
  <c r="W432" i="5"/>
  <c r="X432" i="5"/>
  <c r="O433" i="5"/>
  <c r="P433" i="5"/>
  <c r="Q433" i="5"/>
  <c r="R433" i="5"/>
  <c r="S433" i="5"/>
  <c r="T433" i="5"/>
  <c r="U433" i="5"/>
  <c r="AC433" i="5" s="1"/>
  <c r="V433" i="5"/>
  <c r="W433" i="5"/>
  <c r="X433" i="5"/>
  <c r="AD433" i="5" s="1"/>
  <c r="O434" i="5"/>
  <c r="P434" i="5"/>
  <c r="Q434" i="5"/>
  <c r="R434" i="5"/>
  <c r="S434" i="5"/>
  <c r="T434" i="5"/>
  <c r="U434" i="5"/>
  <c r="AC434" i="5" s="1"/>
  <c r="V434" i="5"/>
  <c r="W434" i="5"/>
  <c r="X434" i="5"/>
  <c r="O435" i="5"/>
  <c r="P435" i="5"/>
  <c r="Q435" i="5"/>
  <c r="R435" i="5"/>
  <c r="S435" i="5"/>
  <c r="T435" i="5"/>
  <c r="U435" i="5"/>
  <c r="AC435" i="5" s="1"/>
  <c r="V435" i="5"/>
  <c r="W435" i="5"/>
  <c r="X435" i="5"/>
  <c r="O436" i="5"/>
  <c r="P436" i="5"/>
  <c r="Q436" i="5"/>
  <c r="R436" i="5"/>
  <c r="S436" i="5"/>
  <c r="T436" i="5"/>
  <c r="U436" i="5"/>
  <c r="AC436" i="5" s="1"/>
  <c r="V436" i="5"/>
  <c r="W436" i="5"/>
  <c r="X436" i="5"/>
  <c r="O437" i="5"/>
  <c r="P437" i="5"/>
  <c r="Q437" i="5"/>
  <c r="R437" i="5"/>
  <c r="S437" i="5"/>
  <c r="T437" i="5"/>
  <c r="U437" i="5"/>
  <c r="AC437" i="5" s="1"/>
  <c r="V437" i="5"/>
  <c r="W437" i="5"/>
  <c r="X437" i="5"/>
  <c r="AD437" i="5" s="1"/>
  <c r="O438" i="5"/>
  <c r="P438" i="5"/>
  <c r="Q438" i="5"/>
  <c r="R438" i="5"/>
  <c r="S438" i="5"/>
  <c r="T438" i="5"/>
  <c r="U438" i="5"/>
  <c r="AC438" i="5" s="1"/>
  <c r="V438" i="5"/>
  <c r="W438" i="5"/>
  <c r="X438" i="5"/>
  <c r="O439" i="5"/>
  <c r="P439" i="5"/>
  <c r="Q439" i="5"/>
  <c r="R439" i="5"/>
  <c r="S439" i="5"/>
  <c r="T439" i="5"/>
  <c r="U439" i="5"/>
  <c r="AC439" i="5" s="1"/>
  <c r="V439" i="5"/>
  <c r="W439" i="5"/>
  <c r="X439" i="5"/>
  <c r="O440" i="5"/>
  <c r="P440" i="5"/>
  <c r="Q440" i="5"/>
  <c r="R440" i="5"/>
  <c r="S440" i="5"/>
  <c r="T440" i="5"/>
  <c r="U440" i="5"/>
  <c r="AC440" i="5" s="1"/>
  <c r="V440" i="5"/>
  <c r="W440" i="5"/>
  <c r="X440" i="5"/>
  <c r="O441" i="5"/>
  <c r="P441" i="5"/>
  <c r="Q441" i="5"/>
  <c r="R441" i="5"/>
  <c r="S441" i="5"/>
  <c r="T441" i="5"/>
  <c r="U441" i="5"/>
  <c r="AC441" i="5" s="1"/>
  <c r="V441" i="5"/>
  <c r="W441" i="5"/>
  <c r="X441" i="5"/>
  <c r="AD441" i="5" s="1"/>
  <c r="O442" i="5"/>
  <c r="P442" i="5"/>
  <c r="Q442" i="5"/>
  <c r="R442" i="5"/>
  <c r="S442" i="5"/>
  <c r="T442" i="5"/>
  <c r="U442" i="5"/>
  <c r="AC442" i="5" s="1"/>
  <c r="V442" i="5"/>
  <c r="W442" i="5"/>
  <c r="X442" i="5"/>
  <c r="O443" i="5"/>
  <c r="P443" i="5"/>
  <c r="Q443" i="5"/>
  <c r="R443" i="5"/>
  <c r="S443" i="5"/>
  <c r="T443" i="5"/>
  <c r="U443" i="5"/>
  <c r="AC443" i="5" s="1"/>
  <c r="V443" i="5"/>
  <c r="W443" i="5"/>
  <c r="X443" i="5"/>
  <c r="O444" i="5"/>
  <c r="P444" i="5"/>
  <c r="Q444" i="5"/>
  <c r="R444" i="5"/>
  <c r="S444" i="5"/>
  <c r="T444" i="5"/>
  <c r="U444" i="5"/>
  <c r="AC444" i="5" s="1"/>
  <c r="V444" i="5"/>
  <c r="W444" i="5"/>
  <c r="X444" i="5"/>
  <c r="O445" i="5"/>
  <c r="P445" i="5"/>
  <c r="Q445" i="5"/>
  <c r="R445" i="5"/>
  <c r="S445" i="5"/>
  <c r="T445" i="5"/>
  <c r="U445" i="5"/>
  <c r="AC445" i="5" s="1"/>
  <c r="V445" i="5"/>
  <c r="W445" i="5"/>
  <c r="X445" i="5"/>
  <c r="AD445" i="5" s="1"/>
  <c r="O446" i="5"/>
  <c r="P446" i="5"/>
  <c r="Q446" i="5"/>
  <c r="R446" i="5"/>
  <c r="S446" i="5"/>
  <c r="T446" i="5"/>
  <c r="U446" i="5"/>
  <c r="AC446" i="5" s="1"/>
  <c r="V446" i="5"/>
  <c r="W446" i="5"/>
  <c r="X446" i="5"/>
  <c r="O447" i="5"/>
  <c r="P447" i="5"/>
  <c r="Q447" i="5"/>
  <c r="R447" i="5"/>
  <c r="S447" i="5"/>
  <c r="T447" i="5"/>
  <c r="U447" i="5"/>
  <c r="AC447" i="5" s="1"/>
  <c r="V447" i="5"/>
  <c r="W447" i="5"/>
  <c r="X447" i="5"/>
  <c r="O448" i="5"/>
  <c r="P448" i="5"/>
  <c r="Q448" i="5"/>
  <c r="R448" i="5"/>
  <c r="S448" i="5"/>
  <c r="T448" i="5"/>
  <c r="U448" i="5"/>
  <c r="AC448" i="5" s="1"/>
  <c r="V448" i="5"/>
  <c r="W448" i="5"/>
  <c r="X448" i="5"/>
  <c r="O449" i="5"/>
  <c r="P449" i="5"/>
  <c r="Q449" i="5"/>
  <c r="R449" i="5"/>
  <c r="S449" i="5"/>
  <c r="T449" i="5"/>
  <c r="U449" i="5"/>
  <c r="AC449" i="5" s="1"/>
  <c r="V449" i="5"/>
  <c r="W449" i="5"/>
  <c r="X449" i="5"/>
  <c r="AD449" i="5" s="1"/>
  <c r="O450" i="5"/>
  <c r="P450" i="5"/>
  <c r="Q450" i="5"/>
  <c r="R450" i="5"/>
  <c r="S450" i="5"/>
  <c r="T450" i="5"/>
  <c r="U450" i="5"/>
  <c r="AC450" i="5" s="1"/>
  <c r="V450" i="5"/>
  <c r="W450" i="5"/>
  <c r="X450" i="5"/>
  <c r="O451" i="5"/>
  <c r="P451" i="5"/>
  <c r="Q451" i="5"/>
  <c r="R451" i="5"/>
  <c r="S451" i="5"/>
  <c r="T451" i="5"/>
  <c r="U451" i="5"/>
  <c r="AC451" i="5" s="1"/>
  <c r="V451" i="5"/>
  <c r="W451" i="5"/>
  <c r="X451" i="5"/>
  <c r="O452" i="5"/>
  <c r="P452" i="5"/>
  <c r="Q452" i="5"/>
  <c r="R452" i="5"/>
  <c r="S452" i="5"/>
  <c r="T452" i="5"/>
  <c r="U452" i="5"/>
  <c r="AC452" i="5" s="1"/>
  <c r="V452" i="5"/>
  <c r="W452" i="5"/>
  <c r="X452" i="5"/>
  <c r="O453" i="5"/>
  <c r="P453" i="5"/>
  <c r="Q453" i="5"/>
  <c r="R453" i="5"/>
  <c r="S453" i="5"/>
  <c r="T453" i="5"/>
  <c r="U453" i="5"/>
  <c r="AC453" i="5" s="1"/>
  <c r="V453" i="5"/>
  <c r="W453" i="5"/>
  <c r="X453" i="5"/>
  <c r="AD453" i="5" s="1"/>
  <c r="O454" i="5"/>
  <c r="P454" i="5"/>
  <c r="Q454" i="5"/>
  <c r="R454" i="5"/>
  <c r="S454" i="5"/>
  <c r="T454" i="5"/>
  <c r="U454" i="5"/>
  <c r="AC454" i="5" s="1"/>
  <c r="V454" i="5"/>
  <c r="W454" i="5"/>
  <c r="X454" i="5"/>
  <c r="O455" i="5"/>
  <c r="P455" i="5"/>
  <c r="Q455" i="5"/>
  <c r="R455" i="5"/>
  <c r="S455" i="5"/>
  <c r="T455" i="5"/>
  <c r="U455" i="5"/>
  <c r="AC455" i="5" s="1"/>
  <c r="V455" i="5"/>
  <c r="W455" i="5"/>
  <c r="X455" i="5"/>
  <c r="O456" i="5"/>
  <c r="P456" i="5"/>
  <c r="Q456" i="5"/>
  <c r="R456" i="5"/>
  <c r="S456" i="5"/>
  <c r="T456" i="5"/>
  <c r="U456" i="5"/>
  <c r="AC456" i="5" s="1"/>
  <c r="V456" i="5"/>
  <c r="W456" i="5"/>
  <c r="X456" i="5"/>
  <c r="O457" i="5"/>
  <c r="P457" i="5"/>
  <c r="Q457" i="5"/>
  <c r="R457" i="5"/>
  <c r="S457" i="5"/>
  <c r="T457" i="5"/>
  <c r="U457" i="5"/>
  <c r="AC457" i="5" s="1"/>
  <c r="V457" i="5"/>
  <c r="W457" i="5"/>
  <c r="X457" i="5"/>
  <c r="AD457" i="5" s="1"/>
  <c r="O458" i="5"/>
  <c r="P458" i="5"/>
  <c r="Q458" i="5"/>
  <c r="R458" i="5"/>
  <c r="S458" i="5"/>
  <c r="T458" i="5"/>
  <c r="U458" i="5"/>
  <c r="AC458" i="5" s="1"/>
  <c r="V458" i="5"/>
  <c r="W458" i="5"/>
  <c r="X458" i="5"/>
  <c r="O459" i="5"/>
  <c r="P459" i="5"/>
  <c r="Q459" i="5"/>
  <c r="R459" i="5"/>
  <c r="S459" i="5"/>
  <c r="T459" i="5"/>
  <c r="U459" i="5"/>
  <c r="AC459" i="5" s="1"/>
  <c r="V459" i="5"/>
  <c r="W459" i="5"/>
  <c r="X459" i="5"/>
  <c r="O460" i="5"/>
  <c r="P460" i="5"/>
  <c r="Q460" i="5"/>
  <c r="R460" i="5"/>
  <c r="S460" i="5"/>
  <c r="T460" i="5"/>
  <c r="U460" i="5"/>
  <c r="AC460" i="5" s="1"/>
  <c r="V460" i="5"/>
  <c r="W460" i="5"/>
  <c r="X460" i="5"/>
  <c r="O461" i="5"/>
  <c r="P461" i="5"/>
  <c r="Q461" i="5"/>
  <c r="R461" i="5"/>
  <c r="S461" i="5"/>
  <c r="T461" i="5"/>
  <c r="U461" i="5"/>
  <c r="AC461" i="5" s="1"/>
  <c r="V461" i="5"/>
  <c r="W461" i="5"/>
  <c r="X461" i="5"/>
  <c r="AD461" i="5" s="1"/>
  <c r="O462" i="5"/>
  <c r="P462" i="5"/>
  <c r="Q462" i="5"/>
  <c r="R462" i="5"/>
  <c r="S462" i="5"/>
  <c r="T462" i="5"/>
  <c r="U462" i="5"/>
  <c r="AC462" i="5" s="1"/>
  <c r="V462" i="5"/>
  <c r="W462" i="5"/>
  <c r="X462" i="5"/>
  <c r="O463" i="5"/>
  <c r="P463" i="5"/>
  <c r="Q463" i="5"/>
  <c r="R463" i="5"/>
  <c r="S463" i="5"/>
  <c r="T463" i="5"/>
  <c r="U463" i="5"/>
  <c r="AC463" i="5" s="1"/>
  <c r="V463" i="5"/>
  <c r="W463" i="5"/>
  <c r="X463" i="5"/>
  <c r="O464" i="5"/>
  <c r="P464" i="5"/>
  <c r="Q464" i="5"/>
  <c r="R464" i="5"/>
  <c r="S464" i="5"/>
  <c r="T464" i="5"/>
  <c r="U464" i="5"/>
  <c r="AC464" i="5" s="1"/>
  <c r="V464" i="5"/>
  <c r="W464" i="5"/>
  <c r="X464" i="5"/>
  <c r="O465" i="5"/>
  <c r="P465" i="5"/>
  <c r="Q465" i="5"/>
  <c r="R465" i="5"/>
  <c r="S465" i="5"/>
  <c r="T465" i="5"/>
  <c r="U465" i="5"/>
  <c r="AC465" i="5" s="1"/>
  <c r="V465" i="5"/>
  <c r="W465" i="5"/>
  <c r="X465" i="5"/>
  <c r="AD465" i="5" s="1"/>
  <c r="O466" i="5"/>
  <c r="P466" i="5"/>
  <c r="Q466" i="5"/>
  <c r="R466" i="5"/>
  <c r="S466" i="5"/>
  <c r="T466" i="5"/>
  <c r="U466" i="5"/>
  <c r="AC466" i="5" s="1"/>
  <c r="V466" i="5"/>
  <c r="W466" i="5"/>
  <c r="X466" i="5"/>
  <c r="O467" i="5"/>
  <c r="P467" i="5"/>
  <c r="Q467" i="5"/>
  <c r="R467" i="5"/>
  <c r="S467" i="5"/>
  <c r="T467" i="5"/>
  <c r="U467" i="5"/>
  <c r="AC467" i="5" s="1"/>
  <c r="V467" i="5"/>
  <c r="W467" i="5"/>
  <c r="X467" i="5"/>
  <c r="O468" i="5"/>
  <c r="P468" i="5"/>
  <c r="Q468" i="5"/>
  <c r="R468" i="5"/>
  <c r="S468" i="5"/>
  <c r="T468" i="5"/>
  <c r="U468" i="5"/>
  <c r="AC468" i="5" s="1"/>
  <c r="V468" i="5"/>
  <c r="W468" i="5"/>
  <c r="X468" i="5"/>
  <c r="O469" i="5"/>
  <c r="P469" i="5"/>
  <c r="Q469" i="5"/>
  <c r="R469" i="5"/>
  <c r="S469" i="5"/>
  <c r="T469" i="5"/>
  <c r="U469" i="5"/>
  <c r="AC469" i="5" s="1"/>
  <c r="V469" i="5"/>
  <c r="W469" i="5"/>
  <c r="X469" i="5"/>
  <c r="AD469" i="5" s="1"/>
  <c r="O470" i="5"/>
  <c r="P470" i="5"/>
  <c r="Q470" i="5"/>
  <c r="R470" i="5"/>
  <c r="S470" i="5"/>
  <c r="T470" i="5"/>
  <c r="U470" i="5"/>
  <c r="AC470" i="5" s="1"/>
  <c r="V470" i="5"/>
  <c r="W470" i="5"/>
  <c r="X470" i="5"/>
  <c r="O471" i="5"/>
  <c r="P471" i="5"/>
  <c r="Q471" i="5"/>
  <c r="R471" i="5"/>
  <c r="S471" i="5"/>
  <c r="T471" i="5"/>
  <c r="U471" i="5"/>
  <c r="AC471" i="5" s="1"/>
  <c r="V471" i="5"/>
  <c r="W471" i="5"/>
  <c r="X471" i="5"/>
  <c r="O472" i="5"/>
  <c r="P472" i="5"/>
  <c r="Q472" i="5"/>
  <c r="R472" i="5"/>
  <c r="S472" i="5"/>
  <c r="T472" i="5"/>
  <c r="U472" i="5"/>
  <c r="AC472" i="5" s="1"/>
  <c r="V472" i="5"/>
  <c r="W472" i="5"/>
  <c r="X472" i="5"/>
  <c r="O473" i="5"/>
  <c r="P473" i="5"/>
  <c r="Q473" i="5"/>
  <c r="R473" i="5"/>
  <c r="S473" i="5"/>
  <c r="T473" i="5"/>
  <c r="U473" i="5"/>
  <c r="AC473" i="5" s="1"/>
  <c r="V473" i="5"/>
  <c r="W473" i="5"/>
  <c r="X473" i="5"/>
  <c r="AD473" i="5" s="1"/>
  <c r="O474" i="5"/>
  <c r="P474" i="5"/>
  <c r="Q474" i="5"/>
  <c r="R474" i="5"/>
  <c r="S474" i="5"/>
  <c r="T474" i="5"/>
  <c r="U474" i="5"/>
  <c r="AC474" i="5" s="1"/>
  <c r="V474" i="5"/>
  <c r="W474" i="5"/>
  <c r="X474" i="5"/>
  <c r="O475" i="5"/>
  <c r="P475" i="5"/>
  <c r="Q475" i="5"/>
  <c r="R475" i="5"/>
  <c r="S475" i="5"/>
  <c r="T475" i="5"/>
  <c r="U475" i="5"/>
  <c r="AC475" i="5" s="1"/>
  <c r="V475" i="5"/>
  <c r="W475" i="5"/>
  <c r="X475" i="5"/>
  <c r="O476" i="5"/>
  <c r="P476" i="5"/>
  <c r="Q476" i="5"/>
  <c r="R476" i="5"/>
  <c r="S476" i="5"/>
  <c r="T476" i="5"/>
  <c r="U476" i="5"/>
  <c r="AC476" i="5" s="1"/>
  <c r="V476" i="5"/>
  <c r="W476" i="5"/>
  <c r="X476" i="5"/>
  <c r="O477" i="5"/>
  <c r="P477" i="5"/>
  <c r="Q477" i="5"/>
  <c r="R477" i="5"/>
  <c r="S477" i="5"/>
  <c r="T477" i="5"/>
  <c r="U477" i="5"/>
  <c r="AC477" i="5" s="1"/>
  <c r="V477" i="5"/>
  <c r="W477" i="5"/>
  <c r="X477" i="5"/>
  <c r="AD477" i="5" s="1"/>
  <c r="O478" i="5"/>
  <c r="P478" i="5"/>
  <c r="Q478" i="5"/>
  <c r="R478" i="5"/>
  <c r="S478" i="5"/>
  <c r="T478" i="5"/>
  <c r="U478" i="5"/>
  <c r="AC478" i="5" s="1"/>
  <c r="V478" i="5"/>
  <c r="W478" i="5"/>
  <c r="X478" i="5"/>
  <c r="O479" i="5"/>
  <c r="P479" i="5"/>
  <c r="Q479" i="5"/>
  <c r="R479" i="5"/>
  <c r="S479" i="5"/>
  <c r="T479" i="5"/>
  <c r="U479" i="5"/>
  <c r="AC479" i="5" s="1"/>
  <c r="V479" i="5"/>
  <c r="W479" i="5"/>
  <c r="X479" i="5"/>
  <c r="O480" i="5"/>
  <c r="P480" i="5"/>
  <c r="Q480" i="5"/>
  <c r="R480" i="5"/>
  <c r="S480" i="5"/>
  <c r="T480" i="5"/>
  <c r="U480" i="5"/>
  <c r="AC480" i="5" s="1"/>
  <c r="V480" i="5"/>
  <c r="W480" i="5"/>
  <c r="X480" i="5"/>
  <c r="O481" i="5"/>
  <c r="P481" i="5"/>
  <c r="Q481" i="5"/>
  <c r="R481" i="5"/>
  <c r="S481" i="5"/>
  <c r="T481" i="5"/>
  <c r="U481" i="5"/>
  <c r="AC481" i="5" s="1"/>
  <c r="V481" i="5"/>
  <c r="W481" i="5"/>
  <c r="X481" i="5"/>
  <c r="AD481" i="5" s="1"/>
  <c r="O482" i="5"/>
  <c r="P482" i="5"/>
  <c r="Q482" i="5"/>
  <c r="R482" i="5"/>
  <c r="S482" i="5"/>
  <c r="T482" i="5"/>
  <c r="U482" i="5"/>
  <c r="AC482" i="5" s="1"/>
  <c r="V482" i="5"/>
  <c r="W482" i="5"/>
  <c r="X482" i="5"/>
  <c r="O483" i="5"/>
  <c r="P483" i="5"/>
  <c r="Q483" i="5"/>
  <c r="R483" i="5"/>
  <c r="S483" i="5"/>
  <c r="T483" i="5"/>
  <c r="U483" i="5"/>
  <c r="AC483" i="5" s="1"/>
  <c r="V483" i="5"/>
  <c r="W483" i="5"/>
  <c r="X483" i="5"/>
  <c r="O484" i="5"/>
  <c r="P484" i="5"/>
  <c r="Q484" i="5"/>
  <c r="R484" i="5"/>
  <c r="S484" i="5"/>
  <c r="T484" i="5"/>
  <c r="U484" i="5"/>
  <c r="AC484" i="5" s="1"/>
  <c r="V484" i="5"/>
  <c r="W484" i="5"/>
  <c r="X484" i="5"/>
  <c r="O485" i="5"/>
  <c r="P485" i="5"/>
  <c r="Q485" i="5"/>
  <c r="R485" i="5"/>
  <c r="S485" i="5"/>
  <c r="T485" i="5"/>
  <c r="U485" i="5"/>
  <c r="AC485" i="5" s="1"/>
  <c r="V485" i="5"/>
  <c r="W485" i="5"/>
  <c r="X485" i="5"/>
  <c r="AD485" i="5" s="1"/>
  <c r="O486" i="5"/>
  <c r="P486" i="5"/>
  <c r="Q486" i="5"/>
  <c r="R486" i="5"/>
  <c r="S486" i="5"/>
  <c r="T486" i="5"/>
  <c r="U486" i="5"/>
  <c r="AC486" i="5" s="1"/>
  <c r="V486" i="5"/>
  <c r="W486" i="5"/>
  <c r="X486" i="5"/>
  <c r="O487" i="5"/>
  <c r="P487" i="5"/>
  <c r="Q487" i="5"/>
  <c r="R487" i="5"/>
  <c r="S487" i="5"/>
  <c r="T487" i="5"/>
  <c r="U487" i="5"/>
  <c r="AC487" i="5" s="1"/>
  <c r="V487" i="5"/>
  <c r="W487" i="5"/>
  <c r="X487" i="5"/>
  <c r="O488" i="5"/>
  <c r="P488" i="5"/>
  <c r="Q488" i="5"/>
  <c r="R488" i="5"/>
  <c r="S488" i="5"/>
  <c r="T488" i="5"/>
  <c r="U488" i="5"/>
  <c r="AC488" i="5" s="1"/>
  <c r="V488" i="5"/>
  <c r="W488" i="5"/>
  <c r="X488" i="5"/>
  <c r="O489" i="5"/>
  <c r="P489" i="5"/>
  <c r="Q489" i="5"/>
  <c r="R489" i="5"/>
  <c r="S489" i="5"/>
  <c r="T489" i="5"/>
  <c r="U489" i="5"/>
  <c r="AC489" i="5" s="1"/>
  <c r="V489" i="5"/>
  <c r="W489" i="5"/>
  <c r="X489" i="5"/>
  <c r="AD489" i="5" s="1"/>
  <c r="O490" i="5"/>
  <c r="P490" i="5"/>
  <c r="Q490" i="5"/>
  <c r="R490" i="5"/>
  <c r="S490" i="5"/>
  <c r="T490" i="5"/>
  <c r="U490" i="5"/>
  <c r="AC490" i="5" s="1"/>
  <c r="V490" i="5"/>
  <c r="W490" i="5"/>
  <c r="X490" i="5"/>
  <c r="O491" i="5"/>
  <c r="P491" i="5"/>
  <c r="Q491" i="5"/>
  <c r="R491" i="5"/>
  <c r="S491" i="5"/>
  <c r="T491" i="5"/>
  <c r="U491" i="5"/>
  <c r="AC491" i="5" s="1"/>
  <c r="V491" i="5"/>
  <c r="W491" i="5"/>
  <c r="X491" i="5"/>
  <c r="O492" i="5"/>
  <c r="P492" i="5"/>
  <c r="Q492" i="5"/>
  <c r="R492" i="5"/>
  <c r="S492" i="5"/>
  <c r="T492" i="5"/>
  <c r="U492" i="5"/>
  <c r="AC492" i="5" s="1"/>
  <c r="V492" i="5"/>
  <c r="W492" i="5"/>
  <c r="X492" i="5"/>
  <c r="O493" i="5"/>
  <c r="P493" i="5"/>
  <c r="Q493" i="5"/>
  <c r="R493" i="5"/>
  <c r="S493" i="5"/>
  <c r="T493" i="5"/>
  <c r="U493" i="5"/>
  <c r="AC493" i="5" s="1"/>
  <c r="V493" i="5"/>
  <c r="W493" i="5"/>
  <c r="X493" i="5"/>
  <c r="AD493" i="5" s="1"/>
  <c r="O494" i="5"/>
  <c r="P494" i="5"/>
  <c r="Q494" i="5"/>
  <c r="R494" i="5"/>
  <c r="S494" i="5"/>
  <c r="T494" i="5"/>
  <c r="U494" i="5"/>
  <c r="AC494" i="5" s="1"/>
  <c r="V494" i="5"/>
  <c r="W494" i="5"/>
  <c r="X494" i="5"/>
  <c r="O495" i="5"/>
  <c r="P495" i="5"/>
  <c r="Q495" i="5"/>
  <c r="R495" i="5"/>
  <c r="S495" i="5"/>
  <c r="T495" i="5"/>
  <c r="U495" i="5"/>
  <c r="AC495" i="5" s="1"/>
  <c r="V495" i="5"/>
  <c r="W495" i="5"/>
  <c r="X495" i="5"/>
  <c r="O496" i="5"/>
  <c r="P496" i="5"/>
  <c r="Q496" i="5"/>
  <c r="R496" i="5"/>
  <c r="S496" i="5"/>
  <c r="T496" i="5"/>
  <c r="U496" i="5"/>
  <c r="AC496" i="5" s="1"/>
  <c r="V496" i="5"/>
  <c r="W496" i="5"/>
  <c r="X496" i="5"/>
  <c r="O497" i="5"/>
  <c r="P497" i="5"/>
  <c r="Q497" i="5"/>
  <c r="R497" i="5"/>
  <c r="S497" i="5"/>
  <c r="T497" i="5"/>
  <c r="U497" i="5"/>
  <c r="AC497" i="5" s="1"/>
  <c r="V497" i="5"/>
  <c r="W497" i="5"/>
  <c r="X497" i="5"/>
  <c r="AD497" i="5" s="1"/>
  <c r="O498" i="5"/>
  <c r="P498" i="5"/>
  <c r="Q498" i="5"/>
  <c r="R498" i="5"/>
  <c r="S498" i="5"/>
  <c r="T498" i="5"/>
  <c r="U498" i="5"/>
  <c r="AC498" i="5" s="1"/>
  <c r="V498" i="5"/>
  <c r="W498" i="5"/>
  <c r="X498" i="5"/>
  <c r="O499" i="5"/>
  <c r="P499" i="5"/>
  <c r="Q499" i="5"/>
  <c r="R499" i="5"/>
  <c r="S499" i="5"/>
  <c r="T499" i="5"/>
  <c r="U499" i="5"/>
  <c r="AC499" i="5" s="1"/>
  <c r="V499" i="5"/>
  <c r="W499" i="5"/>
  <c r="X499" i="5"/>
  <c r="O500" i="5"/>
  <c r="P500" i="5"/>
  <c r="Q500" i="5"/>
  <c r="R500" i="5"/>
  <c r="S500" i="5"/>
  <c r="T500" i="5"/>
  <c r="U500" i="5"/>
  <c r="AC500" i="5" s="1"/>
  <c r="V500" i="5"/>
  <c r="W500" i="5"/>
  <c r="X500" i="5"/>
  <c r="O501" i="5"/>
  <c r="P501" i="5"/>
  <c r="Q501" i="5"/>
  <c r="R501" i="5"/>
  <c r="S501" i="5"/>
  <c r="T501" i="5"/>
  <c r="U501" i="5"/>
  <c r="AC501" i="5" s="1"/>
  <c r="V501" i="5"/>
  <c r="W501" i="5"/>
  <c r="X501" i="5"/>
  <c r="AD501" i="5" s="1"/>
  <c r="O502" i="5"/>
  <c r="P502" i="5"/>
  <c r="Q502" i="5"/>
  <c r="R502" i="5"/>
  <c r="S502" i="5"/>
  <c r="T502" i="5"/>
  <c r="U502" i="5"/>
  <c r="AC502" i="5" s="1"/>
  <c r="V502" i="5"/>
  <c r="W502" i="5"/>
  <c r="X502" i="5"/>
  <c r="O503" i="5"/>
  <c r="P503" i="5"/>
  <c r="Q503" i="5"/>
  <c r="R503" i="5"/>
  <c r="S503" i="5"/>
  <c r="T503" i="5"/>
  <c r="U503" i="5"/>
  <c r="AC503" i="5" s="1"/>
  <c r="V503" i="5"/>
  <c r="W503" i="5"/>
  <c r="X503" i="5"/>
  <c r="O504" i="5"/>
  <c r="P504" i="5"/>
  <c r="Q504" i="5"/>
  <c r="R504" i="5"/>
  <c r="S504" i="5"/>
  <c r="T504" i="5"/>
  <c r="U504" i="5"/>
  <c r="AC504" i="5" s="1"/>
  <c r="V504" i="5"/>
  <c r="W504" i="5"/>
  <c r="X504" i="5"/>
  <c r="O505" i="5"/>
  <c r="P505" i="5"/>
  <c r="Q505" i="5"/>
  <c r="R505" i="5"/>
  <c r="S505" i="5"/>
  <c r="T505" i="5"/>
  <c r="U505" i="5"/>
  <c r="AC505" i="5" s="1"/>
  <c r="V505" i="5"/>
  <c r="W505" i="5"/>
  <c r="X505" i="5"/>
  <c r="AD505" i="5" s="1"/>
  <c r="O506" i="5"/>
  <c r="P506" i="5"/>
  <c r="Q506" i="5"/>
  <c r="R506" i="5"/>
  <c r="S506" i="5"/>
  <c r="T506" i="5"/>
  <c r="U506" i="5"/>
  <c r="AC506" i="5" s="1"/>
  <c r="V506" i="5"/>
  <c r="W506" i="5"/>
  <c r="X506" i="5"/>
  <c r="O507" i="5"/>
  <c r="P507" i="5"/>
  <c r="Q507" i="5"/>
  <c r="R507" i="5"/>
  <c r="S507" i="5"/>
  <c r="T507" i="5"/>
  <c r="U507" i="5"/>
  <c r="AC507" i="5" s="1"/>
  <c r="V507" i="5"/>
  <c r="W507" i="5"/>
  <c r="X507" i="5"/>
  <c r="O508" i="5"/>
  <c r="P508" i="5"/>
  <c r="Q508" i="5"/>
  <c r="R508" i="5"/>
  <c r="S508" i="5"/>
  <c r="T508" i="5"/>
  <c r="U508" i="5"/>
  <c r="AC508" i="5" s="1"/>
  <c r="V508" i="5"/>
  <c r="W508" i="5"/>
  <c r="X508" i="5"/>
  <c r="O509" i="5"/>
  <c r="P509" i="5"/>
  <c r="Q509" i="5"/>
  <c r="R509" i="5"/>
  <c r="S509" i="5"/>
  <c r="T509" i="5"/>
  <c r="U509" i="5"/>
  <c r="AC509" i="5" s="1"/>
  <c r="V509" i="5"/>
  <c r="W509" i="5"/>
  <c r="X509" i="5"/>
  <c r="AD509" i="5" s="1"/>
  <c r="O510" i="5"/>
  <c r="P510" i="5"/>
  <c r="Q510" i="5"/>
  <c r="R510" i="5"/>
  <c r="S510" i="5"/>
  <c r="T510" i="5"/>
  <c r="U510" i="5"/>
  <c r="AC510" i="5" s="1"/>
  <c r="V510" i="5"/>
  <c r="W510" i="5"/>
  <c r="X510" i="5"/>
  <c r="O511" i="5"/>
  <c r="P511" i="5"/>
  <c r="Q511" i="5"/>
  <c r="R511" i="5"/>
  <c r="S511" i="5"/>
  <c r="T511" i="5"/>
  <c r="U511" i="5"/>
  <c r="AC511" i="5" s="1"/>
  <c r="V511" i="5"/>
  <c r="W511" i="5"/>
  <c r="X511" i="5"/>
  <c r="O512" i="5"/>
  <c r="P512" i="5"/>
  <c r="Q512" i="5"/>
  <c r="R512" i="5"/>
  <c r="S512" i="5"/>
  <c r="T512" i="5"/>
  <c r="U512" i="5"/>
  <c r="AC512" i="5" s="1"/>
  <c r="V512" i="5"/>
  <c r="W512" i="5"/>
  <c r="X512" i="5"/>
  <c r="O513" i="5"/>
  <c r="P513" i="5"/>
  <c r="Q513" i="5"/>
  <c r="R513" i="5"/>
  <c r="S513" i="5"/>
  <c r="T513" i="5"/>
  <c r="U513" i="5"/>
  <c r="AC513" i="5" s="1"/>
  <c r="V513" i="5"/>
  <c r="W513" i="5"/>
  <c r="X513" i="5"/>
  <c r="AD513" i="5" s="1"/>
  <c r="O514" i="5"/>
  <c r="P514" i="5"/>
  <c r="Q514" i="5"/>
  <c r="R514" i="5"/>
  <c r="S514" i="5"/>
  <c r="T514" i="5"/>
  <c r="U514" i="5"/>
  <c r="AC514" i="5" s="1"/>
  <c r="V514" i="5"/>
  <c r="W514" i="5"/>
  <c r="X514" i="5"/>
  <c r="O515" i="5"/>
  <c r="P515" i="5"/>
  <c r="Q515" i="5"/>
  <c r="R515" i="5"/>
  <c r="S515" i="5"/>
  <c r="T515" i="5"/>
  <c r="U515" i="5"/>
  <c r="AC515" i="5" s="1"/>
  <c r="V515" i="5"/>
  <c r="W515" i="5"/>
  <c r="X515" i="5"/>
  <c r="O516" i="5"/>
  <c r="P516" i="5"/>
  <c r="Q516" i="5"/>
  <c r="R516" i="5"/>
  <c r="S516" i="5"/>
  <c r="T516" i="5"/>
  <c r="U516" i="5"/>
  <c r="AC516" i="5" s="1"/>
  <c r="V516" i="5"/>
  <c r="W516" i="5"/>
  <c r="X516" i="5"/>
  <c r="O517" i="5"/>
  <c r="P517" i="5"/>
  <c r="Q517" i="5"/>
  <c r="R517" i="5"/>
  <c r="S517" i="5"/>
  <c r="T517" i="5"/>
  <c r="U517" i="5"/>
  <c r="AC517" i="5" s="1"/>
  <c r="V517" i="5"/>
  <c r="W517" i="5"/>
  <c r="X517" i="5"/>
  <c r="AD517" i="5" s="1"/>
  <c r="O431" i="3"/>
  <c r="P431" i="3"/>
  <c r="Q431" i="3"/>
  <c r="R431" i="3"/>
  <c r="S431" i="3"/>
  <c r="T431" i="3"/>
  <c r="U431" i="3"/>
  <c r="V431" i="3"/>
  <c r="W431" i="3"/>
  <c r="X431" i="3"/>
  <c r="O432" i="3"/>
  <c r="P432" i="3"/>
  <c r="Q432" i="3"/>
  <c r="R432" i="3"/>
  <c r="S432" i="3"/>
  <c r="T432" i="3"/>
  <c r="U432" i="3"/>
  <c r="V432" i="3"/>
  <c r="W432" i="3"/>
  <c r="X432" i="3"/>
  <c r="O433" i="3"/>
  <c r="P433" i="3"/>
  <c r="Q433" i="3"/>
  <c r="R433" i="3"/>
  <c r="S433" i="3"/>
  <c r="T433" i="3"/>
  <c r="U433" i="3"/>
  <c r="V433" i="3"/>
  <c r="W433" i="3"/>
  <c r="X433" i="3"/>
  <c r="O434" i="3"/>
  <c r="P434" i="3"/>
  <c r="Q434" i="3"/>
  <c r="R434" i="3"/>
  <c r="S434" i="3"/>
  <c r="T434" i="3"/>
  <c r="U434" i="3"/>
  <c r="V434" i="3"/>
  <c r="W434" i="3"/>
  <c r="X434" i="3"/>
  <c r="O435" i="3"/>
  <c r="P435" i="3"/>
  <c r="Q435" i="3"/>
  <c r="R435" i="3"/>
  <c r="S435" i="3"/>
  <c r="T435" i="3"/>
  <c r="U435" i="3"/>
  <c r="V435" i="3"/>
  <c r="W435" i="3"/>
  <c r="X435" i="3"/>
  <c r="O436" i="3"/>
  <c r="P436" i="3"/>
  <c r="Q436" i="3"/>
  <c r="R436" i="3"/>
  <c r="S436" i="3"/>
  <c r="T436" i="3"/>
  <c r="U436" i="3"/>
  <c r="V436" i="3"/>
  <c r="W436" i="3"/>
  <c r="X436" i="3"/>
  <c r="O437" i="3"/>
  <c r="P437" i="3"/>
  <c r="Q437" i="3"/>
  <c r="R437" i="3"/>
  <c r="S437" i="3"/>
  <c r="T437" i="3"/>
  <c r="U437" i="3"/>
  <c r="V437" i="3"/>
  <c r="W437" i="3"/>
  <c r="X437" i="3"/>
  <c r="O438" i="3"/>
  <c r="P438" i="3"/>
  <c r="Q438" i="3"/>
  <c r="R438" i="3"/>
  <c r="S438" i="3"/>
  <c r="T438" i="3"/>
  <c r="U438" i="3"/>
  <c r="V438" i="3"/>
  <c r="W438" i="3"/>
  <c r="X438" i="3"/>
  <c r="O439" i="3"/>
  <c r="P439" i="3"/>
  <c r="Q439" i="3"/>
  <c r="R439" i="3"/>
  <c r="S439" i="3"/>
  <c r="T439" i="3"/>
  <c r="U439" i="3"/>
  <c r="V439" i="3"/>
  <c r="W439" i="3"/>
  <c r="X439" i="3"/>
  <c r="O440" i="3"/>
  <c r="P440" i="3"/>
  <c r="Q440" i="3"/>
  <c r="R440" i="3"/>
  <c r="S440" i="3"/>
  <c r="T440" i="3"/>
  <c r="U440" i="3"/>
  <c r="V440" i="3"/>
  <c r="W440" i="3"/>
  <c r="X440" i="3"/>
  <c r="O441" i="3"/>
  <c r="P441" i="3"/>
  <c r="Q441" i="3"/>
  <c r="R441" i="3"/>
  <c r="S441" i="3"/>
  <c r="T441" i="3"/>
  <c r="U441" i="3"/>
  <c r="V441" i="3"/>
  <c r="W441" i="3"/>
  <c r="X441" i="3"/>
  <c r="O442" i="3"/>
  <c r="P442" i="3"/>
  <c r="Q442" i="3"/>
  <c r="R442" i="3"/>
  <c r="S442" i="3"/>
  <c r="T442" i="3"/>
  <c r="U442" i="3"/>
  <c r="V442" i="3"/>
  <c r="W442" i="3"/>
  <c r="X442" i="3"/>
  <c r="O443" i="3"/>
  <c r="P443" i="3"/>
  <c r="Q443" i="3"/>
  <c r="R443" i="3"/>
  <c r="S443" i="3"/>
  <c r="T443" i="3"/>
  <c r="U443" i="3"/>
  <c r="V443" i="3"/>
  <c r="W443" i="3"/>
  <c r="X443" i="3"/>
  <c r="O444" i="3"/>
  <c r="P444" i="3"/>
  <c r="Q444" i="3"/>
  <c r="R444" i="3"/>
  <c r="S444" i="3"/>
  <c r="T444" i="3"/>
  <c r="U444" i="3"/>
  <c r="V444" i="3"/>
  <c r="W444" i="3"/>
  <c r="X444" i="3"/>
  <c r="O445" i="3"/>
  <c r="P445" i="3"/>
  <c r="Q445" i="3"/>
  <c r="R445" i="3"/>
  <c r="S445" i="3"/>
  <c r="T445" i="3"/>
  <c r="U445" i="3"/>
  <c r="V445" i="3"/>
  <c r="W445" i="3"/>
  <c r="X445" i="3"/>
  <c r="O446" i="3"/>
  <c r="P446" i="3"/>
  <c r="Q446" i="3"/>
  <c r="R446" i="3"/>
  <c r="S446" i="3"/>
  <c r="T446" i="3"/>
  <c r="U446" i="3"/>
  <c r="V446" i="3"/>
  <c r="W446" i="3"/>
  <c r="X446" i="3"/>
  <c r="O447" i="3"/>
  <c r="P447" i="3"/>
  <c r="Q447" i="3"/>
  <c r="R447" i="3"/>
  <c r="S447" i="3"/>
  <c r="T447" i="3"/>
  <c r="U447" i="3"/>
  <c r="V447" i="3"/>
  <c r="W447" i="3"/>
  <c r="X447" i="3"/>
  <c r="O448" i="3"/>
  <c r="P448" i="3"/>
  <c r="Q448" i="3"/>
  <c r="R448" i="3"/>
  <c r="S448" i="3"/>
  <c r="T448" i="3"/>
  <c r="U448" i="3"/>
  <c r="V448" i="3"/>
  <c r="W448" i="3"/>
  <c r="X448" i="3"/>
  <c r="O449" i="3"/>
  <c r="P449" i="3"/>
  <c r="Q449" i="3"/>
  <c r="R449" i="3"/>
  <c r="S449" i="3"/>
  <c r="T449" i="3"/>
  <c r="U449" i="3"/>
  <c r="V449" i="3"/>
  <c r="W449" i="3"/>
  <c r="X449" i="3"/>
  <c r="O450" i="3"/>
  <c r="P450" i="3"/>
  <c r="Q450" i="3"/>
  <c r="R450" i="3"/>
  <c r="S450" i="3"/>
  <c r="T450" i="3"/>
  <c r="U450" i="3"/>
  <c r="V450" i="3"/>
  <c r="W450" i="3"/>
  <c r="X450" i="3"/>
  <c r="O451" i="3"/>
  <c r="P451" i="3"/>
  <c r="Q451" i="3"/>
  <c r="R451" i="3"/>
  <c r="S451" i="3"/>
  <c r="T451" i="3"/>
  <c r="U451" i="3"/>
  <c r="V451" i="3"/>
  <c r="W451" i="3"/>
  <c r="X451" i="3"/>
  <c r="O452" i="3"/>
  <c r="P452" i="3"/>
  <c r="Q452" i="3"/>
  <c r="R452" i="3"/>
  <c r="S452" i="3"/>
  <c r="T452" i="3"/>
  <c r="U452" i="3"/>
  <c r="V452" i="3"/>
  <c r="W452" i="3"/>
  <c r="X452" i="3"/>
  <c r="O453" i="3"/>
  <c r="P453" i="3"/>
  <c r="Q453" i="3"/>
  <c r="R453" i="3"/>
  <c r="S453" i="3"/>
  <c r="T453" i="3"/>
  <c r="U453" i="3"/>
  <c r="V453" i="3"/>
  <c r="W453" i="3"/>
  <c r="X453" i="3"/>
  <c r="O454" i="3"/>
  <c r="P454" i="3"/>
  <c r="Q454" i="3"/>
  <c r="R454" i="3"/>
  <c r="S454" i="3"/>
  <c r="T454" i="3"/>
  <c r="U454" i="3"/>
  <c r="V454" i="3"/>
  <c r="W454" i="3"/>
  <c r="X454" i="3"/>
  <c r="O455" i="3"/>
  <c r="P455" i="3"/>
  <c r="Q455" i="3"/>
  <c r="R455" i="3"/>
  <c r="S455" i="3"/>
  <c r="T455" i="3"/>
  <c r="U455" i="3"/>
  <c r="V455" i="3"/>
  <c r="W455" i="3"/>
  <c r="X455" i="3"/>
  <c r="O456" i="3"/>
  <c r="P456" i="3"/>
  <c r="Q456" i="3"/>
  <c r="R456" i="3"/>
  <c r="S456" i="3"/>
  <c r="T456" i="3"/>
  <c r="U456" i="3"/>
  <c r="V456" i="3"/>
  <c r="W456" i="3"/>
  <c r="X456" i="3"/>
  <c r="O457" i="3"/>
  <c r="P457" i="3"/>
  <c r="Q457" i="3"/>
  <c r="R457" i="3"/>
  <c r="S457" i="3"/>
  <c r="T457" i="3"/>
  <c r="U457" i="3"/>
  <c r="V457" i="3"/>
  <c r="W457" i="3"/>
  <c r="X457" i="3"/>
  <c r="O458" i="3"/>
  <c r="P458" i="3"/>
  <c r="Q458" i="3"/>
  <c r="R458" i="3"/>
  <c r="S458" i="3"/>
  <c r="T458" i="3"/>
  <c r="U458" i="3"/>
  <c r="V458" i="3"/>
  <c r="W458" i="3"/>
  <c r="X458" i="3"/>
  <c r="O459" i="3"/>
  <c r="P459" i="3"/>
  <c r="Q459" i="3"/>
  <c r="R459" i="3"/>
  <c r="S459" i="3"/>
  <c r="T459" i="3"/>
  <c r="U459" i="3"/>
  <c r="V459" i="3"/>
  <c r="W459" i="3"/>
  <c r="X459" i="3"/>
  <c r="O460" i="3"/>
  <c r="P460" i="3"/>
  <c r="Q460" i="3"/>
  <c r="R460" i="3"/>
  <c r="S460" i="3"/>
  <c r="T460" i="3"/>
  <c r="U460" i="3"/>
  <c r="V460" i="3"/>
  <c r="W460" i="3"/>
  <c r="X460" i="3"/>
  <c r="O461" i="3"/>
  <c r="P461" i="3"/>
  <c r="Q461" i="3"/>
  <c r="R461" i="3"/>
  <c r="S461" i="3"/>
  <c r="T461" i="3"/>
  <c r="U461" i="3"/>
  <c r="V461" i="3"/>
  <c r="W461" i="3"/>
  <c r="X461" i="3"/>
  <c r="O462" i="3"/>
  <c r="P462" i="3"/>
  <c r="Q462" i="3"/>
  <c r="R462" i="3"/>
  <c r="S462" i="3"/>
  <c r="T462" i="3"/>
  <c r="U462" i="3"/>
  <c r="V462" i="3"/>
  <c r="W462" i="3"/>
  <c r="X462" i="3"/>
  <c r="O463" i="3"/>
  <c r="P463" i="3"/>
  <c r="Q463" i="3"/>
  <c r="R463" i="3"/>
  <c r="S463" i="3"/>
  <c r="T463" i="3"/>
  <c r="U463" i="3"/>
  <c r="V463" i="3"/>
  <c r="W463" i="3"/>
  <c r="X463" i="3"/>
  <c r="O464" i="3"/>
  <c r="P464" i="3"/>
  <c r="Q464" i="3"/>
  <c r="R464" i="3"/>
  <c r="S464" i="3"/>
  <c r="T464" i="3"/>
  <c r="U464" i="3"/>
  <c r="V464" i="3"/>
  <c r="W464" i="3"/>
  <c r="X464" i="3"/>
  <c r="O465" i="3"/>
  <c r="P465" i="3"/>
  <c r="Q465" i="3"/>
  <c r="R465" i="3"/>
  <c r="S465" i="3"/>
  <c r="T465" i="3"/>
  <c r="U465" i="3"/>
  <c r="V465" i="3"/>
  <c r="W465" i="3"/>
  <c r="X465" i="3"/>
  <c r="O466" i="3"/>
  <c r="P466" i="3"/>
  <c r="Q466" i="3"/>
  <c r="R466" i="3"/>
  <c r="S466" i="3"/>
  <c r="T466" i="3"/>
  <c r="U466" i="3"/>
  <c r="V466" i="3"/>
  <c r="W466" i="3"/>
  <c r="X466" i="3"/>
  <c r="O467" i="3"/>
  <c r="P467" i="3"/>
  <c r="Q467" i="3"/>
  <c r="R467" i="3"/>
  <c r="S467" i="3"/>
  <c r="T467" i="3"/>
  <c r="U467" i="3"/>
  <c r="V467" i="3"/>
  <c r="W467" i="3"/>
  <c r="X467" i="3"/>
  <c r="O468" i="3"/>
  <c r="P468" i="3"/>
  <c r="Q468" i="3"/>
  <c r="R468" i="3"/>
  <c r="S468" i="3"/>
  <c r="T468" i="3"/>
  <c r="U468" i="3"/>
  <c r="V468" i="3"/>
  <c r="W468" i="3"/>
  <c r="X468" i="3"/>
  <c r="O469" i="3"/>
  <c r="P469" i="3"/>
  <c r="Q469" i="3"/>
  <c r="R469" i="3"/>
  <c r="S469" i="3"/>
  <c r="T469" i="3"/>
  <c r="U469" i="3"/>
  <c r="V469" i="3"/>
  <c r="W469" i="3"/>
  <c r="X469" i="3"/>
  <c r="O470" i="3"/>
  <c r="P470" i="3"/>
  <c r="Q470" i="3"/>
  <c r="R470" i="3"/>
  <c r="S470" i="3"/>
  <c r="T470" i="3"/>
  <c r="U470" i="3"/>
  <c r="V470" i="3"/>
  <c r="W470" i="3"/>
  <c r="X470" i="3"/>
  <c r="O471" i="3"/>
  <c r="P471" i="3"/>
  <c r="Q471" i="3"/>
  <c r="R471" i="3"/>
  <c r="S471" i="3"/>
  <c r="T471" i="3"/>
  <c r="U471" i="3"/>
  <c r="V471" i="3"/>
  <c r="W471" i="3"/>
  <c r="X471" i="3"/>
  <c r="O472" i="3"/>
  <c r="P472" i="3"/>
  <c r="Q472" i="3"/>
  <c r="R472" i="3"/>
  <c r="S472" i="3"/>
  <c r="T472" i="3"/>
  <c r="U472" i="3"/>
  <c r="V472" i="3"/>
  <c r="W472" i="3"/>
  <c r="X472" i="3"/>
  <c r="O473" i="3"/>
  <c r="P473" i="3"/>
  <c r="Q473" i="3"/>
  <c r="R473" i="3"/>
  <c r="S473" i="3"/>
  <c r="T473" i="3"/>
  <c r="U473" i="3"/>
  <c r="V473" i="3"/>
  <c r="W473" i="3"/>
  <c r="X473" i="3"/>
  <c r="O474" i="3"/>
  <c r="P474" i="3"/>
  <c r="Q474" i="3"/>
  <c r="R474" i="3"/>
  <c r="S474" i="3"/>
  <c r="T474" i="3"/>
  <c r="U474" i="3"/>
  <c r="V474" i="3"/>
  <c r="W474" i="3"/>
  <c r="X474" i="3"/>
  <c r="O475" i="3"/>
  <c r="P475" i="3"/>
  <c r="Q475" i="3"/>
  <c r="R475" i="3"/>
  <c r="S475" i="3"/>
  <c r="T475" i="3"/>
  <c r="U475" i="3"/>
  <c r="V475" i="3"/>
  <c r="W475" i="3"/>
  <c r="X475" i="3"/>
  <c r="O476" i="3"/>
  <c r="P476" i="3"/>
  <c r="Q476" i="3"/>
  <c r="R476" i="3"/>
  <c r="S476" i="3"/>
  <c r="T476" i="3"/>
  <c r="U476" i="3"/>
  <c r="V476" i="3"/>
  <c r="W476" i="3"/>
  <c r="X476" i="3"/>
  <c r="O477" i="3"/>
  <c r="P477" i="3"/>
  <c r="Q477" i="3"/>
  <c r="R477" i="3"/>
  <c r="S477" i="3"/>
  <c r="T477" i="3"/>
  <c r="U477" i="3"/>
  <c r="V477" i="3"/>
  <c r="W477" i="3"/>
  <c r="X477" i="3"/>
  <c r="O478" i="3"/>
  <c r="P478" i="3"/>
  <c r="Q478" i="3"/>
  <c r="R478" i="3"/>
  <c r="S478" i="3"/>
  <c r="T478" i="3"/>
  <c r="U478" i="3"/>
  <c r="V478" i="3"/>
  <c r="W478" i="3"/>
  <c r="X478" i="3"/>
  <c r="O479" i="3"/>
  <c r="P479" i="3"/>
  <c r="Q479" i="3"/>
  <c r="R479" i="3"/>
  <c r="S479" i="3"/>
  <c r="T479" i="3"/>
  <c r="U479" i="3"/>
  <c r="V479" i="3"/>
  <c r="W479" i="3"/>
  <c r="X479" i="3"/>
  <c r="O480" i="3"/>
  <c r="P480" i="3"/>
  <c r="Q480" i="3"/>
  <c r="R480" i="3"/>
  <c r="S480" i="3"/>
  <c r="T480" i="3"/>
  <c r="U480" i="3"/>
  <c r="V480" i="3"/>
  <c r="W480" i="3"/>
  <c r="X480" i="3"/>
  <c r="O481" i="3"/>
  <c r="P481" i="3"/>
  <c r="Q481" i="3"/>
  <c r="R481" i="3"/>
  <c r="S481" i="3"/>
  <c r="T481" i="3"/>
  <c r="U481" i="3"/>
  <c r="V481" i="3"/>
  <c r="W481" i="3"/>
  <c r="X481" i="3"/>
  <c r="O482" i="3"/>
  <c r="P482" i="3"/>
  <c r="Q482" i="3"/>
  <c r="R482" i="3"/>
  <c r="S482" i="3"/>
  <c r="T482" i="3"/>
  <c r="U482" i="3"/>
  <c r="V482" i="3"/>
  <c r="W482" i="3"/>
  <c r="X482" i="3"/>
  <c r="O483" i="3"/>
  <c r="P483" i="3"/>
  <c r="Q483" i="3"/>
  <c r="R483" i="3"/>
  <c r="S483" i="3"/>
  <c r="T483" i="3"/>
  <c r="U483" i="3"/>
  <c r="V483" i="3"/>
  <c r="W483" i="3"/>
  <c r="X483" i="3"/>
  <c r="O484" i="3"/>
  <c r="P484" i="3"/>
  <c r="Q484" i="3"/>
  <c r="R484" i="3"/>
  <c r="S484" i="3"/>
  <c r="T484" i="3"/>
  <c r="U484" i="3"/>
  <c r="V484" i="3"/>
  <c r="W484" i="3"/>
  <c r="X484" i="3"/>
  <c r="O485" i="3"/>
  <c r="P485" i="3"/>
  <c r="Q485" i="3"/>
  <c r="R485" i="3"/>
  <c r="S485" i="3"/>
  <c r="T485" i="3"/>
  <c r="U485" i="3"/>
  <c r="V485" i="3"/>
  <c r="W485" i="3"/>
  <c r="X485" i="3"/>
  <c r="O486" i="3"/>
  <c r="P486" i="3"/>
  <c r="Q486" i="3"/>
  <c r="R486" i="3"/>
  <c r="S486" i="3"/>
  <c r="T486" i="3"/>
  <c r="U486" i="3"/>
  <c r="V486" i="3"/>
  <c r="W486" i="3"/>
  <c r="X486" i="3"/>
  <c r="O487" i="3"/>
  <c r="P487" i="3"/>
  <c r="Q487" i="3"/>
  <c r="R487" i="3"/>
  <c r="S487" i="3"/>
  <c r="T487" i="3"/>
  <c r="U487" i="3"/>
  <c r="V487" i="3"/>
  <c r="W487" i="3"/>
  <c r="X487" i="3"/>
  <c r="O488" i="3"/>
  <c r="P488" i="3"/>
  <c r="Q488" i="3"/>
  <c r="R488" i="3"/>
  <c r="S488" i="3"/>
  <c r="T488" i="3"/>
  <c r="U488" i="3"/>
  <c r="V488" i="3"/>
  <c r="W488" i="3"/>
  <c r="X488" i="3"/>
  <c r="O489" i="3"/>
  <c r="P489" i="3"/>
  <c r="Q489" i="3"/>
  <c r="R489" i="3"/>
  <c r="S489" i="3"/>
  <c r="T489" i="3"/>
  <c r="U489" i="3"/>
  <c r="V489" i="3"/>
  <c r="W489" i="3"/>
  <c r="X489" i="3"/>
  <c r="O490" i="3"/>
  <c r="P490" i="3"/>
  <c r="Q490" i="3"/>
  <c r="R490" i="3"/>
  <c r="S490" i="3"/>
  <c r="T490" i="3"/>
  <c r="U490" i="3"/>
  <c r="V490" i="3"/>
  <c r="W490" i="3"/>
  <c r="X490" i="3"/>
  <c r="O491" i="3"/>
  <c r="P491" i="3"/>
  <c r="Q491" i="3"/>
  <c r="R491" i="3"/>
  <c r="S491" i="3"/>
  <c r="T491" i="3"/>
  <c r="U491" i="3"/>
  <c r="V491" i="3"/>
  <c r="W491" i="3"/>
  <c r="X491" i="3"/>
  <c r="O492" i="3"/>
  <c r="P492" i="3"/>
  <c r="Q492" i="3"/>
  <c r="R492" i="3"/>
  <c r="S492" i="3"/>
  <c r="T492" i="3"/>
  <c r="U492" i="3"/>
  <c r="V492" i="3"/>
  <c r="W492" i="3"/>
  <c r="X492" i="3"/>
  <c r="O493" i="3"/>
  <c r="P493" i="3"/>
  <c r="Q493" i="3"/>
  <c r="R493" i="3"/>
  <c r="S493" i="3"/>
  <c r="T493" i="3"/>
  <c r="U493" i="3"/>
  <c r="V493" i="3"/>
  <c r="W493" i="3"/>
  <c r="X493" i="3"/>
  <c r="O494" i="3"/>
  <c r="P494" i="3"/>
  <c r="Q494" i="3"/>
  <c r="R494" i="3"/>
  <c r="S494" i="3"/>
  <c r="T494" i="3"/>
  <c r="U494" i="3"/>
  <c r="V494" i="3"/>
  <c r="W494" i="3"/>
  <c r="X494" i="3"/>
  <c r="O495" i="3"/>
  <c r="P495" i="3"/>
  <c r="Q495" i="3"/>
  <c r="R495" i="3"/>
  <c r="S495" i="3"/>
  <c r="T495" i="3"/>
  <c r="U495" i="3"/>
  <c r="V495" i="3"/>
  <c r="W495" i="3"/>
  <c r="X495" i="3"/>
  <c r="O496" i="3"/>
  <c r="P496" i="3"/>
  <c r="Q496" i="3"/>
  <c r="R496" i="3"/>
  <c r="S496" i="3"/>
  <c r="T496" i="3"/>
  <c r="U496" i="3"/>
  <c r="V496" i="3"/>
  <c r="W496" i="3"/>
  <c r="X496" i="3"/>
  <c r="O497" i="3"/>
  <c r="P497" i="3"/>
  <c r="Q497" i="3"/>
  <c r="R497" i="3"/>
  <c r="S497" i="3"/>
  <c r="T497" i="3"/>
  <c r="U497" i="3"/>
  <c r="V497" i="3"/>
  <c r="W497" i="3"/>
  <c r="X497" i="3"/>
  <c r="O498" i="3"/>
  <c r="P498" i="3"/>
  <c r="Q498" i="3"/>
  <c r="R498" i="3"/>
  <c r="S498" i="3"/>
  <c r="T498" i="3"/>
  <c r="U498" i="3"/>
  <c r="V498" i="3"/>
  <c r="W498" i="3"/>
  <c r="X498" i="3"/>
  <c r="O499" i="3"/>
  <c r="P499" i="3"/>
  <c r="Q499" i="3"/>
  <c r="R499" i="3"/>
  <c r="S499" i="3"/>
  <c r="T499" i="3"/>
  <c r="U499" i="3"/>
  <c r="V499" i="3"/>
  <c r="W499" i="3"/>
  <c r="X499" i="3"/>
  <c r="O500" i="3"/>
  <c r="P500" i="3"/>
  <c r="Q500" i="3"/>
  <c r="R500" i="3"/>
  <c r="S500" i="3"/>
  <c r="T500" i="3"/>
  <c r="U500" i="3"/>
  <c r="V500" i="3"/>
  <c r="W500" i="3"/>
  <c r="X500" i="3"/>
  <c r="O501" i="3"/>
  <c r="P501" i="3"/>
  <c r="Q501" i="3"/>
  <c r="R501" i="3"/>
  <c r="S501" i="3"/>
  <c r="T501" i="3"/>
  <c r="U501" i="3"/>
  <c r="V501" i="3"/>
  <c r="W501" i="3"/>
  <c r="X501" i="3"/>
  <c r="O502" i="3"/>
  <c r="P502" i="3"/>
  <c r="Q502" i="3"/>
  <c r="R502" i="3"/>
  <c r="S502" i="3"/>
  <c r="T502" i="3"/>
  <c r="U502" i="3"/>
  <c r="V502" i="3"/>
  <c r="W502" i="3"/>
  <c r="X502" i="3"/>
  <c r="O503" i="3"/>
  <c r="P503" i="3"/>
  <c r="Q503" i="3"/>
  <c r="R503" i="3"/>
  <c r="S503" i="3"/>
  <c r="T503" i="3"/>
  <c r="U503" i="3"/>
  <c r="V503" i="3"/>
  <c r="W503" i="3"/>
  <c r="X503" i="3"/>
  <c r="O504" i="3"/>
  <c r="P504" i="3"/>
  <c r="Q504" i="3"/>
  <c r="R504" i="3"/>
  <c r="S504" i="3"/>
  <c r="T504" i="3"/>
  <c r="U504" i="3"/>
  <c r="V504" i="3"/>
  <c r="W504" i="3"/>
  <c r="X504" i="3"/>
  <c r="O505" i="3"/>
  <c r="P505" i="3"/>
  <c r="Q505" i="3"/>
  <c r="R505" i="3"/>
  <c r="S505" i="3"/>
  <c r="T505" i="3"/>
  <c r="U505" i="3"/>
  <c r="V505" i="3"/>
  <c r="W505" i="3"/>
  <c r="X505" i="3"/>
  <c r="O506" i="3"/>
  <c r="P506" i="3"/>
  <c r="Q506" i="3"/>
  <c r="R506" i="3"/>
  <c r="S506" i="3"/>
  <c r="T506" i="3"/>
  <c r="U506" i="3"/>
  <c r="V506" i="3"/>
  <c r="W506" i="3"/>
  <c r="X506" i="3"/>
  <c r="O507" i="3"/>
  <c r="P507" i="3"/>
  <c r="Q507" i="3"/>
  <c r="R507" i="3"/>
  <c r="S507" i="3"/>
  <c r="T507" i="3"/>
  <c r="U507" i="3"/>
  <c r="V507" i="3"/>
  <c r="W507" i="3"/>
  <c r="X507" i="3"/>
  <c r="O508" i="3"/>
  <c r="P508" i="3"/>
  <c r="Q508" i="3"/>
  <c r="R508" i="3"/>
  <c r="S508" i="3"/>
  <c r="T508" i="3"/>
  <c r="U508" i="3"/>
  <c r="V508" i="3"/>
  <c r="W508" i="3"/>
  <c r="X508" i="3"/>
  <c r="O509" i="3"/>
  <c r="P509" i="3"/>
  <c r="Q509" i="3"/>
  <c r="R509" i="3"/>
  <c r="S509" i="3"/>
  <c r="T509" i="3"/>
  <c r="U509" i="3"/>
  <c r="V509" i="3"/>
  <c r="W509" i="3"/>
  <c r="X509" i="3"/>
  <c r="O510" i="3"/>
  <c r="P510" i="3"/>
  <c r="Q510" i="3"/>
  <c r="R510" i="3"/>
  <c r="S510" i="3"/>
  <c r="T510" i="3"/>
  <c r="U510" i="3"/>
  <c r="V510" i="3"/>
  <c r="W510" i="3"/>
  <c r="X510" i="3"/>
  <c r="O511" i="3"/>
  <c r="P511" i="3"/>
  <c r="Q511" i="3"/>
  <c r="R511" i="3"/>
  <c r="S511" i="3"/>
  <c r="T511" i="3"/>
  <c r="U511" i="3"/>
  <c r="V511" i="3"/>
  <c r="W511" i="3"/>
  <c r="X511" i="3"/>
  <c r="O512" i="3"/>
  <c r="P512" i="3"/>
  <c r="Q512" i="3"/>
  <c r="R512" i="3"/>
  <c r="S512" i="3"/>
  <c r="T512" i="3"/>
  <c r="U512" i="3"/>
  <c r="V512" i="3"/>
  <c r="W512" i="3"/>
  <c r="X512" i="3"/>
  <c r="O513" i="3"/>
  <c r="P513" i="3"/>
  <c r="Q513" i="3"/>
  <c r="R513" i="3"/>
  <c r="S513" i="3"/>
  <c r="T513" i="3"/>
  <c r="U513" i="3"/>
  <c r="V513" i="3"/>
  <c r="W513" i="3"/>
  <c r="X513" i="3"/>
  <c r="O514" i="3"/>
  <c r="P514" i="3"/>
  <c r="Q514" i="3"/>
  <c r="R514" i="3"/>
  <c r="S514" i="3"/>
  <c r="T514" i="3"/>
  <c r="U514" i="3"/>
  <c r="V514" i="3"/>
  <c r="W514" i="3"/>
  <c r="X514" i="3"/>
  <c r="O515" i="3"/>
  <c r="P515" i="3"/>
  <c r="Q515" i="3"/>
  <c r="R515" i="3"/>
  <c r="S515" i="3"/>
  <c r="T515" i="3"/>
  <c r="U515" i="3"/>
  <c r="V515" i="3"/>
  <c r="W515" i="3"/>
  <c r="X515" i="3"/>
  <c r="O516" i="3"/>
  <c r="P516" i="3"/>
  <c r="Q516" i="3"/>
  <c r="R516" i="3"/>
  <c r="S516" i="3"/>
  <c r="T516" i="3"/>
  <c r="U516" i="3"/>
  <c r="V516" i="3"/>
  <c r="W516" i="3"/>
  <c r="X516" i="3"/>
  <c r="O517" i="3"/>
  <c r="P517" i="3"/>
  <c r="Q517" i="3"/>
  <c r="R517" i="3"/>
  <c r="S517" i="3"/>
  <c r="T517" i="3"/>
  <c r="U517" i="3"/>
  <c r="V517" i="3"/>
  <c r="W517" i="3"/>
  <c r="X51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D516" i="5" l="1"/>
  <c r="AD512" i="5"/>
  <c r="AD508" i="5"/>
  <c r="AD504" i="5"/>
  <c r="AD500" i="5"/>
  <c r="AD496" i="5"/>
  <c r="AD492" i="5"/>
  <c r="AD488" i="5"/>
  <c r="AD484" i="5"/>
  <c r="AD480" i="5"/>
  <c r="AD476" i="5"/>
  <c r="AD472" i="5"/>
  <c r="AD468" i="5"/>
  <c r="AD464" i="5"/>
  <c r="AD460" i="5"/>
  <c r="AD456" i="5"/>
  <c r="AD452" i="5"/>
  <c r="AD448" i="5"/>
  <c r="AD444" i="5"/>
  <c r="AD440" i="5"/>
  <c r="AD436" i="5"/>
  <c r="AD432" i="5"/>
  <c r="AD521" i="5"/>
  <c r="AD515" i="5"/>
  <c r="AD511" i="5"/>
  <c r="AD507" i="5"/>
  <c r="AD503" i="5"/>
  <c r="AD499" i="5"/>
  <c r="AD495" i="5"/>
  <c r="AD491" i="5"/>
  <c r="AD487" i="5"/>
  <c r="AD483" i="5"/>
  <c r="AD479" i="5"/>
  <c r="AD475" i="5"/>
  <c r="AD471" i="5"/>
  <c r="AD467" i="5"/>
  <c r="AD463" i="5"/>
  <c r="AD459" i="5"/>
  <c r="AD455" i="5"/>
  <c r="AD451" i="5"/>
  <c r="AD447" i="5"/>
  <c r="AD443" i="5"/>
  <c r="AD439" i="5"/>
  <c r="AD435" i="5"/>
  <c r="AD431" i="5"/>
  <c r="AD520" i="5"/>
  <c r="AD514" i="5"/>
  <c r="AD510" i="5"/>
  <c r="AD506" i="5"/>
  <c r="AD502" i="5"/>
  <c r="AD498" i="5"/>
  <c r="AD494" i="5"/>
  <c r="AD490" i="5"/>
  <c r="AD486" i="5"/>
  <c r="AD482" i="5"/>
  <c r="AD478" i="5"/>
  <c r="AD474" i="5"/>
  <c r="AD470" i="5"/>
  <c r="AD466" i="5"/>
  <c r="AD462" i="5"/>
  <c r="AD458" i="5"/>
  <c r="AD454" i="5"/>
  <c r="AD450" i="5"/>
  <c r="AD446" i="5"/>
  <c r="AD442" i="5"/>
  <c r="AD438" i="5"/>
  <c r="AD434" i="5"/>
  <c r="AD523" i="5"/>
  <c r="AD519" i="5"/>
  <c r="O408" i="5"/>
  <c r="P408" i="5"/>
  <c r="Q408" i="5"/>
  <c r="R408" i="5"/>
  <c r="S408" i="5"/>
  <c r="T408" i="5"/>
  <c r="U408" i="5"/>
  <c r="V408" i="5"/>
  <c r="W408" i="5"/>
  <c r="AC408" i="5" s="1"/>
  <c r="X408" i="5"/>
  <c r="O409" i="5"/>
  <c r="P409" i="5"/>
  <c r="Q409" i="5"/>
  <c r="R409" i="5"/>
  <c r="S409" i="5"/>
  <c r="T409" i="5"/>
  <c r="U409" i="5"/>
  <c r="AD409" i="5" s="1"/>
  <c r="V409" i="5"/>
  <c r="W409" i="5"/>
  <c r="X409" i="5"/>
  <c r="O410" i="5"/>
  <c r="P410" i="5"/>
  <c r="Q410" i="5"/>
  <c r="R410" i="5"/>
  <c r="S410" i="5"/>
  <c r="T410" i="5"/>
  <c r="U410" i="5"/>
  <c r="V410" i="5"/>
  <c r="W410" i="5"/>
  <c r="X410" i="5"/>
  <c r="O411" i="5"/>
  <c r="P411" i="5"/>
  <c r="Q411" i="5"/>
  <c r="R411" i="5"/>
  <c r="S411" i="5"/>
  <c r="T411" i="5"/>
  <c r="U411" i="5"/>
  <c r="V411" i="5"/>
  <c r="W411" i="5"/>
  <c r="X411" i="5"/>
  <c r="O412" i="5"/>
  <c r="P412" i="5"/>
  <c r="Q412" i="5"/>
  <c r="R412" i="5"/>
  <c r="S412" i="5"/>
  <c r="T412" i="5"/>
  <c r="U412" i="5"/>
  <c r="V412" i="5"/>
  <c r="W412" i="5"/>
  <c r="AC412" i="5" s="1"/>
  <c r="X412" i="5"/>
  <c r="O413" i="5"/>
  <c r="P413" i="5"/>
  <c r="Q413" i="5"/>
  <c r="R413" i="5"/>
  <c r="S413" i="5"/>
  <c r="T413" i="5"/>
  <c r="U413" i="5"/>
  <c r="AD413" i="5" s="1"/>
  <c r="V413" i="5"/>
  <c r="W413" i="5"/>
  <c r="X413" i="5"/>
  <c r="O414" i="5"/>
  <c r="P414" i="5"/>
  <c r="Q414" i="5"/>
  <c r="R414" i="5"/>
  <c r="S414" i="5"/>
  <c r="T414" i="5"/>
  <c r="U414" i="5"/>
  <c r="V414" i="5"/>
  <c r="W414" i="5"/>
  <c r="X414" i="5"/>
  <c r="O415" i="5"/>
  <c r="P415" i="5"/>
  <c r="Q415" i="5"/>
  <c r="R415" i="5"/>
  <c r="S415" i="5"/>
  <c r="T415" i="5"/>
  <c r="U415" i="5"/>
  <c r="V415" i="5"/>
  <c r="W415" i="5"/>
  <c r="X415" i="5"/>
  <c r="O416" i="5"/>
  <c r="P416" i="5"/>
  <c r="Q416" i="5"/>
  <c r="R416" i="5"/>
  <c r="S416" i="5"/>
  <c r="T416" i="5"/>
  <c r="U416" i="5"/>
  <c r="V416" i="5"/>
  <c r="W416" i="5"/>
  <c r="AC416" i="5" s="1"/>
  <c r="X416" i="5"/>
  <c r="O417" i="5"/>
  <c r="P417" i="5"/>
  <c r="Q417" i="5"/>
  <c r="R417" i="5"/>
  <c r="S417" i="5"/>
  <c r="T417" i="5"/>
  <c r="U417" i="5"/>
  <c r="AD417" i="5" s="1"/>
  <c r="V417" i="5"/>
  <c r="W417" i="5"/>
  <c r="X417" i="5"/>
  <c r="O418" i="5"/>
  <c r="P418" i="5"/>
  <c r="Q418" i="5"/>
  <c r="R418" i="5"/>
  <c r="S418" i="5"/>
  <c r="T418" i="5"/>
  <c r="U418" i="5"/>
  <c r="V418" i="5"/>
  <c r="W418" i="5"/>
  <c r="X418" i="5"/>
  <c r="O419" i="5"/>
  <c r="P419" i="5"/>
  <c r="Q419" i="5"/>
  <c r="R419" i="5"/>
  <c r="S419" i="5"/>
  <c r="T419" i="5"/>
  <c r="U419" i="5"/>
  <c r="V419" i="5"/>
  <c r="W419" i="5"/>
  <c r="X419" i="5"/>
  <c r="O420" i="5"/>
  <c r="P420" i="5"/>
  <c r="Q420" i="5"/>
  <c r="R420" i="5"/>
  <c r="S420" i="5"/>
  <c r="T420" i="5"/>
  <c r="U420" i="5"/>
  <c r="V420" i="5"/>
  <c r="W420" i="5"/>
  <c r="AC420" i="5" s="1"/>
  <c r="X420" i="5"/>
  <c r="O421" i="5"/>
  <c r="P421" i="5"/>
  <c r="Q421" i="5"/>
  <c r="R421" i="5"/>
  <c r="S421" i="5"/>
  <c r="T421" i="5"/>
  <c r="U421" i="5"/>
  <c r="AD421" i="5" s="1"/>
  <c r="V421" i="5"/>
  <c r="W421" i="5"/>
  <c r="X421" i="5"/>
  <c r="O422" i="5"/>
  <c r="P422" i="5"/>
  <c r="Q422" i="5"/>
  <c r="R422" i="5"/>
  <c r="S422" i="5"/>
  <c r="T422" i="5"/>
  <c r="U422" i="5"/>
  <c r="V422" i="5"/>
  <c r="W422" i="5"/>
  <c r="X422" i="5"/>
  <c r="O423" i="5"/>
  <c r="P423" i="5"/>
  <c r="Q423" i="5"/>
  <c r="R423" i="5"/>
  <c r="S423" i="5"/>
  <c r="T423" i="5"/>
  <c r="U423" i="5"/>
  <c r="V423" i="5"/>
  <c r="W423" i="5"/>
  <c r="X423" i="5"/>
  <c r="O424" i="5"/>
  <c r="P424" i="5"/>
  <c r="Q424" i="5"/>
  <c r="R424" i="5"/>
  <c r="S424" i="5"/>
  <c r="T424" i="5"/>
  <c r="U424" i="5"/>
  <c r="V424" i="5"/>
  <c r="W424" i="5"/>
  <c r="AC424" i="5" s="1"/>
  <c r="X424" i="5"/>
  <c r="O425" i="5"/>
  <c r="P425" i="5"/>
  <c r="Q425" i="5"/>
  <c r="R425" i="5"/>
  <c r="S425" i="5"/>
  <c r="T425" i="5"/>
  <c r="U425" i="5"/>
  <c r="AD425" i="5" s="1"/>
  <c r="V425" i="5"/>
  <c r="W425" i="5"/>
  <c r="X425" i="5"/>
  <c r="O426" i="5"/>
  <c r="P426" i="5"/>
  <c r="Q426" i="5"/>
  <c r="R426" i="5"/>
  <c r="S426" i="5"/>
  <c r="T426" i="5"/>
  <c r="U426" i="5"/>
  <c r="V426" i="5"/>
  <c r="W426" i="5"/>
  <c r="X426" i="5"/>
  <c r="O427" i="5"/>
  <c r="P427" i="5"/>
  <c r="Q427" i="5"/>
  <c r="R427" i="5"/>
  <c r="S427" i="5"/>
  <c r="T427" i="5"/>
  <c r="U427" i="5"/>
  <c r="V427" i="5"/>
  <c r="W427" i="5"/>
  <c r="X427" i="5"/>
  <c r="O428" i="5"/>
  <c r="P428" i="5"/>
  <c r="Q428" i="5"/>
  <c r="R428" i="5"/>
  <c r="S428" i="5"/>
  <c r="T428" i="5"/>
  <c r="U428" i="5"/>
  <c r="V428" i="5"/>
  <c r="W428" i="5"/>
  <c r="AC428" i="5" s="1"/>
  <c r="X428" i="5"/>
  <c r="O429" i="5"/>
  <c r="P429" i="5"/>
  <c r="Q429" i="5"/>
  <c r="R429" i="5"/>
  <c r="S429" i="5"/>
  <c r="T429" i="5"/>
  <c r="U429" i="5"/>
  <c r="AD429" i="5" s="1"/>
  <c r="V429" i="5"/>
  <c r="W429" i="5"/>
  <c r="X429" i="5"/>
  <c r="O430" i="5"/>
  <c r="P430" i="5"/>
  <c r="Q430" i="5"/>
  <c r="R430" i="5"/>
  <c r="S430" i="5"/>
  <c r="T430" i="5"/>
  <c r="U430" i="5"/>
  <c r="V430" i="5"/>
  <c r="W430" i="5"/>
  <c r="X430" i="5"/>
  <c r="AB408" i="5"/>
  <c r="AB409" i="5"/>
  <c r="AB410" i="5"/>
  <c r="AC410" i="5"/>
  <c r="AB411" i="5"/>
  <c r="AD411" i="5"/>
  <c r="AB412" i="5"/>
  <c r="AB413" i="5"/>
  <c r="AB414" i="5"/>
  <c r="AC414" i="5"/>
  <c r="AB415" i="5"/>
  <c r="AD415" i="5"/>
  <c r="AB416" i="5"/>
  <c r="AB417" i="5"/>
  <c r="AB418" i="5"/>
  <c r="AC418" i="5"/>
  <c r="AB419" i="5"/>
  <c r="AD419" i="5"/>
  <c r="AB420" i="5"/>
  <c r="AB421" i="5"/>
  <c r="AB422" i="5"/>
  <c r="AC422" i="5"/>
  <c r="AB423" i="5"/>
  <c r="AD423" i="5"/>
  <c r="AB424" i="5"/>
  <c r="AB425" i="5"/>
  <c r="AB426" i="5"/>
  <c r="AC426" i="5"/>
  <c r="AB427" i="5"/>
  <c r="AD427" i="5"/>
  <c r="AB428" i="5"/>
  <c r="AB429" i="5"/>
  <c r="AB430" i="5"/>
  <c r="AC430" i="5"/>
  <c r="AA431" i="3"/>
  <c r="AA432" i="3"/>
  <c r="AA433" i="3"/>
  <c r="AA434" i="3"/>
  <c r="AA435" i="3"/>
  <c r="AA436" i="3"/>
  <c r="AA437" i="3"/>
  <c r="AA438" i="3"/>
  <c r="AA439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O408" i="3"/>
  <c r="P408" i="3"/>
  <c r="Q408" i="3"/>
  <c r="R408" i="3"/>
  <c r="S408" i="3"/>
  <c r="T408" i="3"/>
  <c r="U408" i="3"/>
  <c r="V408" i="3"/>
  <c r="W408" i="3"/>
  <c r="X408" i="3"/>
  <c r="O409" i="3"/>
  <c r="P409" i="3"/>
  <c r="Q409" i="3"/>
  <c r="R409" i="3"/>
  <c r="S409" i="3"/>
  <c r="T409" i="3"/>
  <c r="U409" i="3"/>
  <c r="V409" i="3"/>
  <c r="W409" i="3"/>
  <c r="X409" i="3"/>
  <c r="O410" i="3"/>
  <c r="P410" i="3"/>
  <c r="Q410" i="3"/>
  <c r="R410" i="3"/>
  <c r="S410" i="3"/>
  <c r="T410" i="3"/>
  <c r="U410" i="3"/>
  <c r="V410" i="3"/>
  <c r="W410" i="3"/>
  <c r="X410" i="3"/>
  <c r="O411" i="3"/>
  <c r="P411" i="3"/>
  <c r="Q411" i="3"/>
  <c r="R411" i="3"/>
  <c r="S411" i="3"/>
  <c r="T411" i="3"/>
  <c r="U411" i="3"/>
  <c r="V411" i="3"/>
  <c r="W411" i="3"/>
  <c r="X411" i="3"/>
  <c r="O412" i="3"/>
  <c r="P412" i="3"/>
  <c r="Q412" i="3"/>
  <c r="R412" i="3"/>
  <c r="S412" i="3"/>
  <c r="T412" i="3"/>
  <c r="U412" i="3"/>
  <c r="V412" i="3"/>
  <c r="W412" i="3"/>
  <c r="X412" i="3"/>
  <c r="O413" i="3"/>
  <c r="P413" i="3"/>
  <c r="Q413" i="3"/>
  <c r="R413" i="3"/>
  <c r="S413" i="3"/>
  <c r="T413" i="3"/>
  <c r="U413" i="3"/>
  <c r="V413" i="3"/>
  <c r="W413" i="3"/>
  <c r="X413" i="3"/>
  <c r="O414" i="3"/>
  <c r="P414" i="3"/>
  <c r="Q414" i="3"/>
  <c r="R414" i="3"/>
  <c r="S414" i="3"/>
  <c r="T414" i="3"/>
  <c r="U414" i="3"/>
  <c r="V414" i="3"/>
  <c r="W414" i="3"/>
  <c r="X414" i="3"/>
  <c r="O415" i="3"/>
  <c r="P415" i="3"/>
  <c r="Q415" i="3"/>
  <c r="R415" i="3"/>
  <c r="S415" i="3"/>
  <c r="T415" i="3"/>
  <c r="U415" i="3"/>
  <c r="V415" i="3"/>
  <c r="W415" i="3"/>
  <c r="X415" i="3"/>
  <c r="O416" i="3"/>
  <c r="P416" i="3"/>
  <c r="Q416" i="3"/>
  <c r="R416" i="3"/>
  <c r="S416" i="3"/>
  <c r="T416" i="3"/>
  <c r="U416" i="3"/>
  <c r="V416" i="3"/>
  <c r="W416" i="3"/>
  <c r="X416" i="3"/>
  <c r="O417" i="3"/>
  <c r="P417" i="3"/>
  <c r="Q417" i="3"/>
  <c r="R417" i="3"/>
  <c r="S417" i="3"/>
  <c r="T417" i="3"/>
  <c r="U417" i="3"/>
  <c r="V417" i="3"/>
  <c r="W417" i="3"/>
  <c r="X417" i="3"/>
  <c r="O418" i="3"/>
  <c r="P418" i="3"/>
  <c r="Q418" i="3"/>
  <c r="R418" i="3"/>
  <c r="S418" i="3"/>
  <c r="T418" i="3"/>
  <c r="U418" i="3"/>
  <c r="V418" i="3"/>
  <c r="W418" i="3"/>
  <c r="X418" i="3"/>
  <c r="O419" i="3"/>
  <c r="P419" i="3"/>
  <c r="Q419" i="3"/>
  <c r="R419" i="3"/>
  <c r="S419" i="3"/>
  <c r="T419" i="3"/>
  <c r="U419" i="3"/>
  <c r="V419" i="3"/>
  <c r="W419" i="3"/>
  <c r="X419" i="3"/>
  <c r="O420" i="3"/>
  <c r="P420" i="3"/>
  <c r="Q420" i="3"/>
  <c r="R420" i="3"/>
  <c r="S420" i="3"/>
  <c r="T420" i="3"/>
  <c r="U420" i="3"/>
  <c r="V420" i="3"/>
  <c r="W420" i="3"/>
  <c r="X420" i="3"/>
  <c r="O421" i="3"/>
  <c r="P421" i="3"/>
  <c r="Q421" i="3"/>
  <c r="R421" i="3"/>
  <c r="S421" i="3"/>
  <c r="T421" i="3"/>
  <c r="U421" i="3"/>
  <c r="V421" i="3"/>
  <c r="W421" i="3"/>
  <c r="X421" i="3"/>
  <c r="O422" i="3"/>
  <c r="P422" i="3"/>
  <c r="Q422" i="3"/>
  <c r="R422" i="3"/>
  <c r="S422" i="3"/>
  <c r="T422" i="3"/>
  <c r="U422" i="3"/>
  <c r="V422" i="3"/>
  <c r="W422" i="3"/>
  <c r="X422" i="3"/>
  <c r="O423" i="3"/>
  <c r="P423" i="3"/>
  <c r="Q423" i="3"/>
  <c r="R423" i="3"/>
  <c r="S423" i="3"/>
  <c r="T423" i="3"/>
  <c r="U423" i="3"/>
  <c r="V423" i="3"/>
  <c r="W423" i="3"/>
  <c r="X423" i="3"/>
  <c r="O424" i="3"/>
  <c r="P424" i="3"/>
  <c r="Q424" i="3"/>
  <c r="R424" i="3"/>
  <c r="S424" i="3"/>
  <c r="T424" i="3"/>
  <c r="U424" i="3"/>
  <c r="V424" i="3"/>
  <c r="W424" i="3"/>
  <c r="X424" i="3"/>
  <c r="O425" i="3"/>
  <c r="P425" i="3"/>
  <c r="Q425" i="3"/>
  <c r="R425" i="3"/>
  <c r="S425" i="3"/>
  <c r="T425" i="3"/>
  <c r="U425" i="3"/>
  <c r="V425" i="3"/>
  <c r="W425" i="3"/>
  <c r="X425" i="3"/>
  <c r="O426" i="3"/>
  <c r="P426" i="3"/>
  <c r="Q426" i="3"/>
  <c r="R426" i="3"/>
  <c r="S426" i="3"/>
  <c r="T426" i="3"/>
  <c r="U426" i="3"/>
  <c r="V426" i="3"/>
  <c r="W426" i="3"/>
  <c r="X426" i="3"/>
  <c r="O427" i="3"/>
  <c r="P427" i="3"/>
  <c r="Q427" i="3"/>
  <c r="R427" i="3"/>
  <c r="S427" i="3"/>
  <c r="T427" i="3"/>
  <c r="U427" i="3"/>
  <c r="V427" i="3"/>
  <c r="W427" i="3"/>
  <c r="X427" i="3"/>
  <c r="O428" i="3"/>
  <c r="P428" i="3"/>
  <c r="Q428" i="3"/>
  <c r="R428" i="3"/>
  <c r="S428" i="3"/>
  <c r="T428" i="3"/>
  <c r="U428" i="3"/>
  <c r="V428" i="3"/>
  <c r="W428" i="3"/>
  <c r="X428" i="3"/>
  <c r="O429" i="3"/>
  <c r="P429" i="3"/>
  <c r="Q429" i="3"/>
  <c r="R429" i="3"/>
  <c r="S429" i="3"/>
  <c r="T429" i="3"/>
  <c r="U429" i="3"/>
  <c r="V429" i="3"/>
  <c r="W429" i="3"/>
  <c r="X429" i="3"/>
  <c r="O430" i="3"/>
  <c r="P430" i="3"/>
  <c r="Q430" i="3"/>
  <c r="R430" i="3"/>
  <c r="S430" i="3"/>
  <c r="T430" i="3"/>
  <c r="U430" i="3"/>
  <c r="V430" i="3"/>
  <c r="W430" i="3"/>
  <c r="X430" i="3"/>
  <c r="AD408" i="5" l="1"/>
  <c r="AC427" i="5"/>
  <c r="AC423" i="5"/>
  <c r="AC419" i="5"/>
  <c r="AC415" i="5"/>
  <c r="AC411" i="5"/>
  <c r="AC429" i="5"/>
  <c r="AC425" i="5"/>
  <c r="AC421" i="5"/>
  <c r="AC417" i="5"/>
  <c r="AC413" i="5"/>
  <c r="AC409" i="5"/>
  <c r="AD430" i="5"/>
  <c r="AD428" i="5"/>
  <c r="AD426" i="5"/>
  <c r="AD424" i="5"/>
  <c r="AD422" i="5"/>
  <c r="AD420" i="5"/>
  <c r="AD418" i="5"/>
  <c r="AD416" i="5"/>
  <c r="AD414" i="5"/>
  <c r="AD412" i="5"/>
  <c r="AD410" i="5"/>
  <c r="AA412" i="3"/>
  <c r="AA413" i="3"/>
  <c r="AA414" i="3"/>
  <c r="AA415" i="3"/>
  <c r="AA416" i="3"/>
  <c r="AA408" i="3"/>
  <c r="AA409" i="3"/>
  <c r="AA410" i="3"/>
  <c r="AA411" i="3"/>
  <c r="AB321" i="5" l="1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V324" i="5"/>
  <c r="W324" i="5"/>
  <c r="X324" i="5"/>
  <c r="O325" i="5"/>
  <c r="P325" i="5"/>
  <c r="Q325" i="5"/>
  <c r="R325" i="5"/>
  <c r="S325" i="5"/>
  <c r="T325" i="5"/>
  <c r="U325" i="5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V328" i="5"/>
  <c r="W328" i="5"/>
  <c r="X328" i="5"/>
  <c r="O329" i="5"/>
  <c r="P329" i="5"/>
  <c r="Q329" i="5"/>
  <c r="R329" i="5"/>
  <c r="S329" i="5"/>
  <c r="T329" i="5"/>
  <c r="U329" i="5"/>
  <c r="V329" i="5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V337" i="5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V345" i="5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V353" i="5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V361" i="5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V369" i="5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V377" i="5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V385" i="5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V393" i="5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C401" i="5" l="1"/>
  <c r="AC393" i="5"/>
  <c r="AC385" i="5"/>
  <c r="AC377" i="5"/>
  <c r="AC369" i="5"/>
  <c r="AC361" i="5"/>
  <c r="AC353" i="5"/>
  <c r="AC345" i="5"/>
  <c r="AC337" i="5"/>
  <c r="AC329" i="5"/>
  <c r="AD405" i="5"/>
  <c r="AD397" i="5"/>
  <c r="AD393" i="5"/>
  <c r="AD389" i="5"/>
  <c r="AD385" i="5"/>
  <c r="AD381" i="5"/>
  <c r="AD377" i="5"/>
  <c r="AD373" i="5"/>
  <c r="AD369" i="5"/>
  <c r="AD365" i="5"/>
  <c r="AD361" i="5"/>
  <c r="AD357" i="5"/>
  <c r="AD353" i="5"/>
  <c r="AD349" i="5"/>
  <c r="AD345" i="5"/>
  <c r="AD341" i="5"/>
  <c r="AD337" i="5"/>
  <c r="AD333" i="5"/>
  <c r="AD329" i="5"/>
  <c r="AD325" i="5"/>
  <c r="AC321" i="5"/>
  <c r="AC328" i="5"/>
  <c r="AC324" i="5"/>
  <c r="AC407" i="5"/>
  <c r="AC399" i="5"/>
  <c r="AD395" i="5"/>
  <c r="AC391" i="5"/>
  <c r="AD387" i="5"/>
  <c r="AC383" i="5"/>
  <c r="AD379" i="5"/>
  <c r="AC375" i="5"/>
  <c r="AD371" i="5"/>
  <c r="AC367" i="5"/>
  <c r="AD363" i="5"/>
  <c r="AC359" i="5"/>
  <c r="AD403" i="5"/>
  <c r="AD394" i="5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V310" i="5"/>
  <c r="W310" i="5"/>
  <c r="X310" i="5"/>
  <c r="O311" i="5"/>
  <c r="P311" i="5"/>
  <c r="Q311" i="5"/>
  <c r="R311" i="5"/>
  <c r="S311" i="5"/>
  <c r="T311" i="5"/>
  <c r="U311" i="5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AD313" i="5" s="1"/>
  <c r="V313" i="5"/>
  <c r="W313" i="5"/>
  <c r="X313" i="5"/>
  <c r="O314" i="5"/>
  <c r="P314" i="5"/>
  <c r="Q314" i="5"/>
  <c r="R314" i="5"/>
  <c r="S314" i="5"/>
  <c r="T314" i="5"/>
  <c r="U314" i="5"/>
  <c r="V314" i="5"/>
  <c r="W314" i="5"/>
  <c r="X314" i="5"/>
  <c r="O315" i="5"/>
  <c r="P315" i="5"/>
  <c r="Q315" i="5"/>
  <c r="R315" i="5"/>
  <c r="S315" i="5"/>
  <c r="T315" i="5"/>
  <c r="U315" i="5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AC320" i="5" s="1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D318" i="5" l="1"/>
  <c r="AD314" i="5"/>
  <c r="AC313" i="5"/>
  <c r="AD310" i="5"/>
  <c r="AC316" i="5"/>
  <c r="AC308" i="5"/>
  <c r="AC311" i="5"/>
  <c r="AC315" i="5"/>
  <c r="AC314" i="5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B302" i="5"/>
  <c r="AB303" i="5"/>
  <c r="AB304" i="5"/>
  <c r="AB305" i="5"/>
  <c r="AC305" i="5"/>
  <c r="AB306" i="5"/>
  <c r="O300" i="5"/>
  <c r="P300" i="5"/>
  <c r="Q300" i="5"/>
  <c r="R300" i="5"/>
  <c r="S300" i="5"/>
  <c r="T300" i="5"/>
  <c r="U300" i="5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W303" i="5"/>
  <c r="X303" i="5"/>
  <c r="O304" i="5"/>
  <c r="P304" i="5"/>
  <c r="Q304" i="5"/>
  <c r="R304" i="5"/>
  <c r="S304" i="5"/>
  <c r="T304" i="5"/>
  <c r="U304" i="5"/>
  <c r="V304" i="5"/>
  <c r="W304" i="5"/>
  <c r="X304" i="5"/>
  <c r="O305" i="5"/>
  <c r="P305" i="5"/>
  <c r="Q305" i="5"/>
  <c r="R305" i="5"/>
  <c r="S305" i="5"/>
  <c r="T305" i="5"/>
  <c r="U305" i="5"/>
  <c r="AD305" i="5" s="1"/>
  <c r="V305" i="5"/>
  <c r="W305" i="5"/>
  <c r="X305" i="5"/>
  <c r="O306" i="5"/>
  <c r="P306" i="5"/>
  <c r="Q306" i="5"/>
  <c r="R306" i="5"/>
  <c r="S306" i="5"/>
  <c r="T306" i="5"/>
  <c r="U306" i="5"/>
  <c r="V306" i="5"/>
  <c r="AC306" i="5" s="1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D301" i="5" l="1"/>
  <c r="AC304" i="5"/>
  <c r="AD300" i="5"/>
  <c r="AC303" i="5"/>
  <c r="AD306" i="5"/>
  <c r="AC302" i="5"/>
  <c r="AC300" i="5"/>
  <c r="AD302" i="5"/>
  <c r="AD304" i="5"/>
  <c r="AA306" i="3"/>
  <c r="AA305" i="3"/>
  <c r="AA304" i="3"/>
  <c r="AA303" i="3"/>
  <c r="AA302" i="3"/>
  <c r="AA301" i="3"/>
  <c r="AA300" i="3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AC282" i="5" s="1"/>
  <c r="V282" i="5"/>
  <c r="W282" i="5"/>
  <c r="X282" i="5"/>
  <c r="O283" i="5"/>
  <c r="P283" i="5"/>
  <c r="Q283" i="5"/>
  <c r="R283" i="5"/>
  <c r="S283" i="5"/>
  <c r="T283" i="5"/>
  <c r="U283" i="5"/>
  <c r="AC283" i="5" s="1"/>
  <c r="V283" i="5"/>
  <c r="W283" i="5"/>
  <c r="X283" i="5"/>
  <c r="O284" i="5"/>
  <c r="P284" i="5"/>
  <c r="Q284" i="5"/>
  <c r="R284" i="5"/>
  <c r="S284" i="5"/>
  <c r="T284" i="5"/>
  <c r="U284" i="5"/>
  <c r="AC284" i="5" s="1"/>
  <c r="V284" i="5"/>
  <c r="W284" i="5"/>
  <c r="AD284" i="5" s="1"/>
  <c r="X284" i="5"/>
  <c r="O285" i="5"/>
  <c r="P285" i="5"/>
  <c r="Q285" i="5"/>
  <c r="R285" i="5"/>
  <c r="S285" i="5"/>
  <c r="T285" i="5"/>
  <c r="U285" i="5"/>
  <c r="AC285" i="5" s="1"/>
  <c r="V285" i="5"/>
  <c r="W285" i="5"/>
  <c r="X285" i="5"/>
  <c r="O286" i="5"/>
  <c r="P286" i="5"/>
  <c r="Q286" i="5"/>
  <c r="R286" i="5"/>
  <c r="S286" i="5"/>
  <c r="T286" i="5"/>
  <c r="U286" i="5"/>
  <c r="AC286" i="5" s="1"/>
  <c r="V286" i="5"/>
  <c r="W286" i="5"/>
  <c r="X286" i="5"/>
  <c r="O287" i="5"/>
  <c r="P287" i="5"/>
  <c r="Q287" i="5"/>
  <c r="R287" i="5"/>
  <c r="S287" i="5"/>
  <c r="T287" i="5"/>
  <c r="U287" i="5"/>
  <c r="AC287" i="5" s="1"/>
  <c r="V287" i="5"/>
  <c r="W287" i="5"/>
  <c r="X287" i="5"/>
  <c r="O288" i="5"/>
  <c r="P288" i="5"/>
  <c r="Q288" i="5"/>
  <c r="R288" i="5"/>
  <c r="S288" i="5"/>
  <c r="T288" i="5"/>
  <c r="U288" i="5"/>
  <c r="AC288" i="5" s="1"/>
  <c r="V288" i="5"/>
  <c r="W288" i="5"/>
  <c r="AD288" i="5" s="1"/>
  <c r="X288" i="5"/>
  <c r="O289" i="5"/>
  <c r="P289" i="5"/>
  <c r="Q289" i="5"/>
  <c r="R289" i="5"/>
  <c r="S289" i="5"/>
  <c r="T289" i="5"/>
  <c r="U289" i="5"/>
  <c r="AC289" i="5" s="1"/>
  <c r="V289" i="5"/>
  <c r="W289" i="5"/>
  <c r="X289" i="5"/>
  <c r="O290" i="5"/>
  <c r="P290" i="5"/>
  <c r="Q290" i="5"/>
  <c r="R290" i="5"/>
  <c r="S290" i="5"/>
  <c r="T290" i="5"/>
  <c r="U290" i="5"/>
  <c r="AC290" i="5" s="1"/>
  <c r="V290" i="5"/>
  <c r="W290" i="5"/>
  <c r="X290" i="5"/>
  <c r="O291" i="5"/>
  <c r="P291" i="5"/>
  <c r="Q291" i="5"/>
  <c r="R291" i="5"/>
  <c r="S291" i="5"/>
  <c r="T291" i="5"/>
  <c r="U291" i="5"/>
  <c r="AC291" i="5" s="1"/>
  <c r="V291" i="5"/>
  <c r="W291" i="5"/>
  <c r="X291" i="5"/>
  <c r="O292" i="5"/>
  <c r="P292" i="5"/>
  <c r="Q292" i="5"/>
  <c r="R292" i="5"/>
  <c r="S292" i="5"/>
  <c r="T292" i="5"/>
  <c r="U292" i="5"/>
  <c r="AC292" i="5" s="1"/>
  <c r="V292" i="5"/>
  <c r="W292" i="5"/>
  <c r="AD292" i="5" s="1"/>
  <c r="X292" i="5"/>
  <c r="O293" i="5"/>
  <c r="P293" i="5"/>
  <c r="Q293" i="5"/>
  <c r="R293" i="5"/>
  <c r="S293" i="5"/>
  <c r="T293" i="5"/>
  <c r="U293" i="5"/>
  <c r="AC293" i="5" s="1"/>
  <c r="V293" i="5"/>
  <c r="W293" i="5"/>
  <c r="X293" i="5"/>
  <c r="O294" i="5"/>
  <c r="P294" i="5"/>
  <c r="Q294" i="5"/>
  <c r="R294" i="5"/>
  <c r="S294" i="5"/>
  <c r="T294" i="5"/>
  <c r="U294" i="5"/>
  <c r="AC294" i="5" s="1"/>
  <c r="V294" i="5"/>
  <c r="W294" i="5"/>
  <c r="X294" i="5"/>
  <c r="O295" i="5"/>
  <c r="P295" i="5"/>
  <c r="Q295" i="5"/>
  <c r="R295" i="5"/>
  <c r="S295" i="5"/>
  <c r="T295" i="5"/>
  <c r="U295" i="5"/>
  <c r="AC295" i="5" s="1"/>
  <c r="V295" i="5"/>
  <c r="W295" i="5"/>
  <c r="X295" i="5"/>
  <c r="O296" i="5"/>
  <c r="P296" i="5"/>
  <c r="Q296" i="5"/>
  <c r="R296" i="5"/>
  <c r="S296" i="5"/>
  <c r="T296" i="5"/>
  <c r="U296" i="5"/>
  <c r="AC296" i="5" s="1"/>
  <c r="V296" i="5"/>
  <c r="W296" i="5"/>
  <c r="X296" i="5"/>
  <c r="O297" i="5"/>
  <c r="P297" i="5"/>
  <c r="Q297" i="5"/>
  <c r="R297" i="5"/>
  <c r="S297" i="5"/>
  <c r="T297" i="5"/>
  <c r="U297" i="5"/>
  <c r="AC297" i="5" s="1"/>
  <c r="V297" i="5"/>
  <c r="W297" i="5"/>
  <c r="X297" i="5"/>
  <c r="O298" i="5"/>
  <c r="P298" i="5"/>
  <c r="Q298" i="5"/>
  <c r="R298" i="5"/>
  <c r="S298" i="5"/>
  <c r="T298" i="5"/>
  <c r="U298" i="5"/>
  <c r="AC298" i="5" s="1"/>
  <c r="V298" i="5"/>
  <c r="W298" i="5"/>
  <c r="X298" i="5"/>
  <c r="O299" i="5"/>
  <c r="P299" i="5"/>
  <c r="Q299" i="5"/>
  <c r="R299" i="5"/>
  <c r="S299" i="5"/>
  <c r="T299" i="5"/>
  <c r="U299" i="5"/>
  <c r="AC299" i="5" s="1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D297" i="5" l="1"/>
  <c r="AD289" i="5"/>
  <c r="AD294" i="5"/>
  <c r="AD286" i="5"/>
  <c r="AD299" i="5"/>
  <c r="AD291" i="5"/>
  <c r="AD283" i="5"/>
  <c r="AD296" i="5"/>
  <c r="AD293" i="5"/>
  <c r="AD285" i="5"/>
  <c r="AD298" i="5"/>
  <c r="AD290" i="5"/>
  <c r="AD282" i="5"/>
  <c r="AD295" i="5"/>
  <c r="AD287" i="5"/>
  <c r="AB281" i="5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AD265" i="5" s="1"/>
  <c r="V265" i="5"/>
  <c r="W265" i="5"/>
  <c r="X265" i="5"/>
  <c r="AB265" i="5"/>
  <c r="O266" i="5"/>
  <c r="P266" i="5"/>
  <c r="Q266" i="5"/>
  <c r="R266" i="5"/>
  <c r="S266" i="5"/>
  <c r="T266" i="5"/>
  <c r="U266" i="5"/>
  <c r="V266" i="5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6" i="5" l="1"/>
  <c r="AC262" i="5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V221" i="5"/>
  <c r="W221" i="5"/>
  <c r="X221" i="5"/>
  <c r="O222" i="5"/>
  <c r="P222" i="5"/>
  <c r="Q222" i="5"/>
  <c r="R222" i="5"/>
  <c r="S222" i="5"/>
  <c r="T222" i="5"/>
  <c r="U222" i="5"/>
  <c r="V222" i="5"/>
  <c r="W222" i="5"/>
  <c r="X222" i="5"/>
  <c r="O223" i="5"/>
  <c r="P223" i="5"/>
  <c r="Q223" i="5"/>
  <c r="R223" i="5"/>
  <c r="S223" i="5"/>
  <c r="T223" i="5"/>
  <c r="U223" i="5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V225" i="5"/>
  <c r="W225" i="5"/>
  <c r="X225" i="5"/>
  <c r="O226" i="5"/>
  <c r="P226" i="5"/>
  <c r="Q226" i="5"/>
  <c r="R226" i="5"/>
  <c r="S226" i="5"/>
  <c r="T226" i="5"/>
  <c r="U226" i="5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V229" i="5"/>
  <c r="W229" i="5"/>
  <c r="X229" i="5"/>
  <c r="O230" i="5"/>
  <c r="P230" i="5"/>
  <c r="Q230" i="5"/>
  <c r="R230" i="5"/>
  <c r="S230" i="5"/>
  <c r="T230" i="5"/>
  <c r="U230" i="5"/>
  <c r="V230" i="5"/>
  <c r="W230" i="5"/>
  <c r="X230" i="5"/>
  <c r="O231" i="5"/>
  <c r="P231" i="5"/>
  <c r="Q231" i="5"/>
  <c r="R231" i="5"/>
  <c r="S231" i="5"/>
  <c r="T231" i="5"/>
  <c r="U231" i="5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V233" i="5"/>
  <c r="W233" i="5"/>
  <c r="X233" i="5"/>
  <c r="O234" i="5"/>
  <c r="P234" i="5"/>
  <c r="Q234" i="5"/>
  <c r="R234" i="5"/>
  <c r="S234" i="5"/>
  <c r="T234" i="5"/>
  <c r="U234" i="5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V237" i="5"/>
  <c r="W237" i="5"/>
  <c r="X237" i="5"/>
  <c r="O238" i="5"/>
  <c r="P238" i="5"/>
  <c r="Q238" i="5"/>
  <c r="R238" i="5"/>
  <c r="S238" i="5"/>
  <c r="T238" i="5"/>
  <c r="U238" i="5"/>
  <c r="V238" i="5"/>
  <c r="W238" i="5"/>
  <c r="X238" i="5"/>
  <c r="O239" i="5"/>
  <c r="P239" i="5"/>
  <c r="Q239" i="5"/>
  <c r="R239" i="5"/>
  <c r="S239" i="5"/>
  <c r="T239" i="5"/>
  <c r="U239" i="5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V246" i="5"/>
  <c r="W246" i="5"/>
  <c r="X246" i="5"/>
  <c r="O247" i="5"/>
  <c r="P247" i="5"/>
  <c r="Q247" i="5"/>
  <c r="R247" i="5"/>
  <c r="S247" i="5"/>
  <c r="T247" i="5"/>
  <c r="U247" i="5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27" i="5" l="1"/>
  <c r="AC243" i="5"/>
  <c r="AD231" i="5"/>
  <c r="AC223" i="5"/>
  <c r="AC219" i="5"/>
  <c r="AC215" i="5"/>
  <c r="AD230" i="5"/>
  <c r="AD251" i="5"/>
  <c r="AC238" i="5"/>
  <c r="AD234" i="5"/>
  <c r="AC230" i="5"/>
  <c r="AC226" i="5"/>
  <c r="AC222" i="5"/>
  <c r="AC247" i="5"/>
  <c r="AC246" i="5"/>
  <c r="AD239" i="5"/>
  <c r="AC249" i="5"/>
  <c r="AC241" i="5"/>
  <c r="AC237" i="5"/>
  <c r="AC233" i="5"/>
  <c r="AC229" i="5"/>
  <c r="AC225" i="5"/>
  <c r="AD221" i="5"/>
  <c r="AD235" i="5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08" i="5" l="1"/>
  <c r="AC212" i="5"/>
  <c r="AC206" i="5"/>
  <c r="AC211" i="5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49" i="5" l="1"/>
  <c r="AC154" i="5"/>
  <c r="AD156" i="5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A36" i="3" l="1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<sst xmlns="http://schemas.openxmlformats.org/spreadsheetml/2006/main" count="3265" uniqueCount="438">
  <si>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</si>
  <si>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</si>
  <si>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</si>
  <si>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</si>
  <si>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</si>
  <si>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</si>
  <si>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</si>
  <si>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</si>
  <si>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</si>
  <si>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</si>
  <si>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</si>
  <si>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</si>
  <si>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</si>
  <si>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</si>
  <si>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</si>
  <si>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</si>
  <si>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</si>
  <si>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</si>
  <si>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</si>
  <si>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</si>
  <si>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</si>
  <si>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</si>
  <si>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</si>
  <si>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</si>
  <si>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</si>
  <si>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</si>
  <si>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</si>
  <si>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</si>
  <si>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</si>
  <si>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</si>
  <si>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</si>
  <si>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</si>
  <si>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</si>
  <si>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</si>
  <si>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</si>
  <si>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</si>
  <si>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</si>
  <si>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</si>
  <si>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</si>
  <si>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</si>
  <si>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</si>
  <si>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</si>
  <si>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</si>
  <si>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</si>
  <si>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</si>
  <si>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</si>
  <si>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</si>
  <si>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</si>
  <si>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</si>
  <si>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</si>
  <si>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</si>
  <si>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</si>
  <si>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</si>
  <si>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</si>
  <si>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</si>
  <si>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</si>
  <si>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</si>
  <si>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</si>
  <si>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</si>
  <si>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</si>
  <si>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</si>
  <si>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</si>
  <si>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</si>
  <si>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</si>
  <si>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</si>
  <si>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</si>
  <si>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</si>
  <si>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</si>
  <si>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</si>
  <si>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</si>
  <si>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</si>
  <si>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</si>
  <si>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</si>
  <si>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</si>
  <si>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</si>
  <si>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</si>
  <si>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</si>
  <si>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</si>
  <si>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</si>
  <si>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</si>
  <si>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</si>
  <si>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</si>
  <si>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</si>
  <si>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</si>
  <si>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</si>
  <si>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</si>
  <si>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</si>
  <si>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</si>
  <si>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</si>
  <si>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</si>
  <si>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</si>
  <si>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</si>
  <si>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</si>
  <si>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</si>
  <si>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</si>
  <si>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</si>
  <si>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</si>
  <si>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</si>
  <si>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</si>
  <si>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</si>
  <si>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</si>
  <si>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</si>
  <si>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</si>
  <si>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</si>
  <si>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</si>
  <si>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</si>
  <si>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</si>
  <si>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</si>
  <si>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</si>
  <si>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</si>
  <si>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</si>
  <si>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</si>
  <si>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</si>
  <si>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</si>
  <si>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</si>
  <si>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</si>
  <si>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</si>
  <si>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</si>
  <si>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</si>
  <si>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</si>
  <si>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</si>
  <si>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</si>
  <si>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</si>
  <si>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</si>
  <si>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</si>
  <si>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</si>
  <si>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</si>
  <si>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</si>
  <si>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</si>
  <si>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</si>
  <si>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</si>
  <si>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</si>
  <si>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</si>
  <si>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</si>
  <si>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</si>
  <si>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</si>
  <si>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</si>
  <si>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</si>
  <si>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</si>
  <si>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</si>
  <si>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</si>
  <si>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</si>
  <si>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</si>
  <si>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</si>
  <si>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</si>
  <si>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</si>
  <si>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</si>
  <si>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</si>
  <si>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</si>
  <si>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</si>
  <si>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</si>
  <si>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</si>
  <si>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</si>
  <si>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</si>
  <si>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</si>
  <si>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</si>
  <si>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</si>
  <si>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</si>
  <si>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</si>
  <si>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</si>
  <si>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</si>
  <si>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</si>
  <si>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</si>
  <si>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</si>
  <si>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</si>
  <si>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</si>
  <si>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</si>
  <si>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</si>
  <si>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</si>
  <si>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</si>
  <si>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</si>
  <si>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</si>
  <si>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</si>
  <si>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</si>
  <si>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</si>
  <si>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</si>
  <si>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</si>
  <si>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</si>
  <si>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</si>
  <si>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</si>
  <si>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</si>
  <si>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</si>
  <si>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</si>
  <si>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</si>
  <si>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</si>
  <si>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</si>
  <si>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</si>
  <si>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</si>
  <si>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</si>
  <si>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</si>
  <si>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</si>
  <si>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</si>
  <si>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</si>
  <si>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</si>
  <si>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</si>
  <si>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</si>
  <si>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</si>
  <si>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</si>
  <si>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</si>
  <si>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</si>
  <si>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</si>
  <si>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</si>
  <si>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</si>
  <si>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</si>
  <si>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</si>
  <si>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</si>
  <si>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</si>
  <si>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</si>
  <si>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</si>
  <si>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</si>
  <si>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</si>
  <si>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</si>
  <si>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</si>
  <si>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</si>
  <si>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</si>
  <si>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</si>
  <si>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</si>
  <si>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</si>
  <si>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</si>
  <si>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</si>
  <si>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</si>
  <si>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</si>
  <si>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</si>
  <si>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</si>
  <si>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</si>
  <si>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</si>
  <si>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</si>
  <si>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</si>
  <si>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</si>
  <si>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</si>
  <si>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</si>
  <si>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</si>
  <si>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</si>
  <si>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</si>
  <si>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</si>
  <si>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</si>
  <si>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</si>
  <si>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</si>
  <si>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</si>
  <si>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</si>
  <si>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</si>
  <si>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</si>
  <si>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</si>
  <si>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</si>
  <si>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</si>
  <si>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</si>
  <si>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</si>
  <si>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</si>
  <si>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</si>
  <si>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</si>
  <si>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</si>
  <si>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</si>
  <si>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</si>
  <si>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</si>
  <si>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</si>
  <si>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</si>
  <si>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</si>
  <si>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</si>
  <si>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</si>
  <si>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</si>
  <si>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</si>
  <si>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</si>
  <si>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</si>
  <si>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</si>
  <si>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</si>
  <si>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</si>
  <si>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</si>
  <si>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</si>
  <si>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</si>
  <si>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</si>
  <si>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</si>
  <si>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</si>
  <si>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</si>
  <si>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</si>
  <si>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</si>
  <si>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</si>
  <si>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</si>
  <si>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</si>
  <si>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</si>
  <si>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</si>
  <si>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</si>
  <si>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</si>
  <si>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</si>
  <si>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</si>
  <si>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</si>
  <si>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</si>
  <si>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</si>
  <si>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</si>
  <si>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</si>
  <si>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</si>
  <si>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</si>
  <si>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</si>
  <si>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</si>
  <si>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</si>
  <si>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</si>
  <si>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</si>
  <si>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</si>
  <si>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</si>
  <si>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</si>
  <si>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</si>
  <si>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</si>
  <si>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</si>
  <si>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</si>
  <si>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</si>
  <si>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</si>
  <si>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</si>
  <si>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</si>
  <si>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</si>
  <si>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</si>
  <si>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</si>
  <si>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</si>
  <si>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</si>
  <si>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</si>
  <si>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</si>
  <si>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</si>
  <si>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</si>
  <si>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</si>
  <si>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</si>
  <si>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</si>
  <si>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</si>
  <si>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</si>
  <si>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</si>
  <si>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</si>
  <si>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</si>
  <si>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</si>
  <si>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</si>
  <si>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</si>
  <si>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</si>
  <si>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</si>
  <si>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</si>
  <si>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</si>
  <si>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</si>
  <si>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</si>
  <si>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</si>
  <si>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</si>
  <si>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</si>
  <si>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</si>
  <si>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</si>
  <si>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</si>
  <si>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</si>
  <si>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</si>
  <si>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</si>
  <si>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</si>
  <si>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</si>
  <si>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</si>
  <si>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</si>
  <si>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</si>
  <si>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</si>
  <si>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</si>
  <si>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</si>
  <si>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</si>
  <si>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</si>
  <si>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</si>
  <si>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</si>
  <si>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</si>
  <si>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</si>
  <si>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</si>
  <si>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</si>
  <si>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</si>
  <si>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</si>
  <si>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</si>
  <si>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</si>
  <si>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</si>
  <si>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</si>
  <si>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</si>
  <si>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</si>
  <si>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</si>
  <si>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</si>
  <si>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</si>
  <si>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</si>
  <si>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</si>
  <si>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</si>
  <si>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</si>
  <si>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</si>
  <si>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</si>
  <si>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</si>
  <si>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</si>
  <si>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</si>
  <si>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</si>
  <si>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</si>
  <si>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</si>
  <si>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</si>
  <si>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</si>
  <si>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</si>
  <si>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</si>
  <si>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</si>
  <si>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</si>
  <si>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</si>
  <si>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</si>
  <si>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</si>
  <si>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</si>
  <si>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</si>
  <si>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</si>
  <si>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</si>
  <si>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</si>
  <si>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</si>
  <si>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</si>
  <si>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</si>
  <si>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</si>
  <si>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</si>
  <si>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</si>
  <si>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</si>
  <si>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</si>
  <si>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</si>
  <si>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</si>
  <si>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</si>
  <si>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</si>
  <si>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</si>
  <si>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</si>
  <si>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</si>
  <si>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</si>
  <si>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</si>
  <si>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</si>
  <si>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</si>
  <si>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</si>
  <si>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</si>
  <si>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</si>
  <si>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</si>
  <si>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</si>
  <si>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</si>
  <si>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</si>
  <si>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</si>
  <si>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</si>
  <si>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</si>
  <si>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</si>
  <si>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</si>
  <si>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</si>
  <si>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</si>
  <si>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CHA</t>
    <phoneticPr fontId="1" type="noConversion"/>
  </si>
  <si>
    <t>NYK</t>
    <phoneticPr fontId="1" type="noConversion"/>
  </si>
  <si>
    <t>PHO</t>
    <phoneticPr fontId="1" type="noConversion"/>
  </si>
  <si>
    <t>ORL</t>
    <phoneticPr fontId="1" type="noConversion"/>
  </si>
  <si>
    <t>CHI</t>
    <phoneticPr fontId="1" type="noConversion"/>
  </si>
  <si>
    <t>WAS</t>
    <phoneticPr fontId="1" type="noConversion"/>
  </si>
  <si>
    <t>DAL</t>
    <phoneticPr fontId="1" type="noConversion"/>
  </si>
  <si>
    <t>PHO</t>
    <phoneticPr fontId="1" type="noConversion"/>
  </si>
  <si>
    <t>CHI</t>
    <phoneticPr fontId="1" type="noConversion"/>
  </si>
  <si>
    <t>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</si>
</sst>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614"/>
  <sheetViews>
    <sheetView tabSelected="1" zoomScale="85" zoomScaleNormal="85" workbookViewId="0">
      <pane xSplit="1" ySplit="1" topLeftCell="B599" activePane="bottomRight" state="frozen"/>
      <selection pane="topRight" activeCell="B1" sqref="B1"/>
      <selection pane="bottomLeft" activeCell="A2" sqref="A2"/>
      <selection pane="bottomRight" activeCell="G612" sqref="G612"/>
    </sheetView>
  </sheetViews>
  <sheetFormatPr defaultRowHeight="17" x14ac:dyDescent="0.45"/>
  <cols>
    <col min="1" max="1" width="7.5" bestFit="1" customWidth="1"/>
    <col min="2" max="2" width="10" style="3" bestFit="1" customWidth="1"/>
    <col min="3" max="3" width="6.33203125" bestFit="1" customWidth="1"/>
    <col min="4" max="4" width="5.75" bestFit="1" customWidth="1"/>
    <col min="5" max="8" width="4.75" bestFit="1" customWidth="1"/>
    <col min="9" max="9" width="4.33203125" bestFit="1" customWidth="1"/>
    <col min="10" max="13" width="4.58203125" bestFit="1" customWidth="1"/>
    <col min="14" max="14" width="4.58203125" style="2" customWidth="1"/>
    <col min="15" max="15" width="5" bestFit="1" customWidth="1"/>
    <col min="16" max="16" width="4.83203125" bestFit="1" customWidth="1"/>
    <col min="17" max="20" width="5.5" bestFit="1" customWidth="1"/>
    <col min="21" max="24" width="5.83203125" bestFit="1" customWidth="1"/>
    <col min="25" max="25" width="6.75" customWidth="1"/>
    <col min="26" max="26" width="16.33203125" customWidth="1"/>
    <col min="27" max="27" width="13.5" bestFit="1" customWidth="1"/>
  </cols>
  <sheetData>
    <row r="1" spans="1:30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59" si="215">C396&amp;"/"&amp;D396</f>
        <v>TOR/CLE</v>
      </c>
    </row>
    <row r="397" spans="1:27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x14ac:dyDescent="0.45">
      <c r="A408" s="50">
        <v>191219</v>
      </c>
      <c r="B408" s="44">
        <v>0.375</v>
      </c>
      <c r="C408" s="50" t="s">
        <v>402</v>
      </c>
      <c r="D408" s="50" t="s">
        <v>409</v>
      </c>
      <c r="E408" s="52">
        <v>29</v>
      </c>
      <c r="F408" s="52">
        <v>24</v>
      </c>
      <c r="G408" s="52">
        <v>23</v>
      </c>
      <c r="H408" s="52">
        <v>24</v>
      </c>
      <c r="I408" s="52"/>
      <c r="J408" s="52">
        <v>21</v>
      </c>
      <c r="K408" s="52">
        <v>20</v>
      </c>
      <c r="L408" s="52">
        <v>23</v>
      </c>
      <c r="M408" s="52">
        <v>34</v>
      </c>
      <c r="N408" s="52" t="s">
        <v>427</v>
      </c>
      <c r="O408" s="74">
        <f t="shared" ref="O408:O430" si="216">SUM(E408:I408)</f>
        <v>100</v>
      </c>
      <c r="P408" s="74">
        <f t="shared" ref="P408:P430" si="217">SUM(J408:N408)</f>
        <v>98</v>
      </c>
      <c r="Q408" s="74" t="str">
        <f t="shared" ref="Q408:Q430" si="218">IF(E408=J408,"TT",IF(E408&gt;J408,"HW","HL"))</f>
        <v>HW</v>
      </c>
      <c r="R408" s="74" t="str">
        <f t="shared" ref="R408:R430" si="219">IF(F408=K408,"TT",IF(F408&gt;K408,"HW","HL"))</f>
        <v>HW</v>
      </c>
      <c r="S408" s="74" t="str">
        <f t="shared" ref="S408:S430" si="220">IF(G408=L408,"TT",IF(G408&gt;L408,"HW","HL"))</f>
        <v>TT</v>
      </c>
      <c r="T408" s="74" t="str">
        <f t="shared" ref="T408:T430" si="221">IF(H408=M408,"TT",IF(H408&gt;M408,"HW","HL"))</f>
        <v>HL</v>
      </c>
      <c r="U408" s="74" t="str">
        <f t="shared" ref="U408:U430" si="222">IF(SUM(E408,J408)=$Z408,"T",IF(SUM(E408,J408)&gt;$Z408,"O","U"))</f>
        <v>U</v>
      </c>
      <c r="V408" s="74" t="str">
        <f t="shared" ref="V408:V430" si="223">IF(SUM(F408,K408)=$Z408,"T",IF(SUM(F408,K408)&gt;$Z408,"O","U"))</f>
        <v>U</v>
      </c>
      <c r="W408" s="74" t="str">
        <f t="shared" ref="W408:W430" si="224">IF(SUM(G408,L408)=$Z408,"T",IF(SUM(G408,L408)&gt;$Z408,"O","U"))</f>
        <v>U</v>
      </c>
      <c r="X408" s="74" t="str">
        <f t="shared" ref="X408:X430" si="225">IF(SUM(H408,M408)=$Z408,"T",IF(SUM(H408,M408)&gt;$Z408,"O","U"))</f>
        <v>O</v>
      </c>
      <c r="Z408">
        <v>54.5</v>
      </c>
      <c r="AA408" s="42" t="str">
        <f t="shared" si="215"/>
        <v>CLE/CHA</v>
      </c>
    </row>
    <row r="409" spans="1:27" x14ac:dyDescent="0.45">
      <c r="A409" s="50">
        <v>191219</v>
      </c>
      <c r="B409" s="44">
        <v>0.375</v>
      </c>
      <c r="C409" s="15" t="s">
        <v>422</v>
      </c>
      <c r="D409" s="15" t="s">
        <v>413</v>
      </c>
      <c r="E409" s="55">
        <v>29</v>
      </c>
      <c r="F409" s="55">
        <v>35</v>
      </c>
      <c r="G409" s="55">
        <v>15</v>
      </c>
      <c r="H409" s="55">
        <v>20</v>
      </c>
      <c r="I409" s="55"/>
      <c r="J409" s="55">
        <v>30</v>
      </c>
      <c r="K409" s="55">
        <v>40</v>
      </c>
      <c r="L409" s="55">
        <v>26</v>
      </c>
      <c r="M409" s="55">
        <v>16</v>
      </c>
      <c r="N409" s="55" t="s">
        <v>427</v>
      </c>
      <c r="O409" s="74">
        <f t="shared" si="216"/>
        <v>99</v>
      </c>
      <c r="P409" s="74">
        <f t="shared" si="217"/>
        <v>112</v>
      </c>
      <c r="Q409" s="74" t="str">
        <f t="shared" si="218"/>
        <v>HL</v>
      </c>
      <c r="R409" s="74" t="str">
        <f t="shared" si="219"/>
        <v>HL</v>
      </c>
      <c r="S409" s="74" t="str">
        <f t="shared" si="220"/>
        <v>HL</v>
      </c>
      <c r="T409" s="74" t="str">
        <f t="shared" si="221"/>
        <v>HW</v>
      </c>
      <c r="U409" s="74" t="str">
        <f t="shared" si="222"/>
        <v>O</v>
      </c>
      <c r="V409" s="74" t="str">
        <f t="shared" si="223"/>
        <v>O</v>
      </c>
      <c r="W409" s="74" t="str">
        <f t="shared" si="224"/>
        <v>U</v>
      </c>
      <c r="X409" s="74" t="str">
        <f t="shared" si="225"/>
        <v>U</v>
      </c>
      <c r="Z409">
        <v>56</v>
      </c>
      <c r="AA409" s="42" t="str">
        <f t="shared" si="215"/>
        <v>DET/TOR</v>
      </c>
    </row>
    <row r="410" spans="1:27" x14ac:dyDescent="0.45">
      <c r="A410" s="50">
        <v>191219</v>
      </c>
      <c r="B410" s="44">
        <v>0.375</v>
      </c>
      <c r="C410" s="15" t="s">
        <v>401</v>
      </c>
      <c r="D410" s="15" t="s">
        <v>411</v>
      </c>
      <c r="E410" s="58">
        <v>29</v>
      </c>
      <c r="F410" s="58">
        <v>19</v>
      </c>
      <c r="G410" s="58">
        <v>26</v>
      </c>
      <c r="H410" s="58">
        <v>30</v>
      </c>
      <c r="I410" s="58"/>
      <c r="J410" s="58">
        <v>19</v>
      </c>
      <c r="K410" s="58">
        <v>37</v>
      </c>
      <c r="L410" s="58">
        <v>26</v>
      </c>
      <c r="M410" s="58">
        <v>26</v>
      </c>
      <c r="N410" s="58" t="s">
        <v>427</v>
      </c>
      <c r="O410" s="74">
        <f t="shared" si="216"/>
        <v>104</v>
      </c>
      <c r="P410" s="74">
        <f t="shared" si="217"/>
        <v>108</v>
      </c>
      <c r="Q410" s="74" t="str">
        <f t="shared" si="218"/>
        <v>HW</v>
      </c>
      <c r="R410" s="74" t="str">
        <f t="shared" si="219"/>
        <v>HL</v>
      </c>
      <c r="S410" s="74" t="str">
        <f t="shared" si="220"/>
        <v>TT</v>
      </c>
      <c r="T410" s="74" t="str">
        <f t="shared" si="221"/>
        <v>HW</v>
      </c>
      <c r="U410" s="74" t="str">
        <f t="shared" si="222"/>
        <v>U</v>
      </c>
      <c r="V410" s="74" t="str">
        <f t="shared" si="223"/>
        <v>O</v>
      </c>
      <c r="W410" s="74" t="str">
        <f t="shared" si="224"/>
        <v>U</v>
      </c>
      <c r="X410" s="74" t="str">
        <f t="shared" si="225"/>
        <v>O</v>
      </c>
      <c r="Z410">
        <v>54.5</v>
      </c>
      <c r="AA410" s="42" t="str">
        <f t="shared" si="215"/>
        <v>PHI/MIA</v>
      </c>
    </row>
    <row r="411" spans="1:27" x14ac:dyDescent="0.45">
      <c r="A411" s="50">
        <v>191219</v>
      </c>
      <c r="B411" s="44">
        <v>0.375</v>
      </c>
      <c r="C411" s="50" t="s">
        <v>414</v>
      </c>
      <c r="D411" s="50" t="s">
        <v>412</v>
      </c>
      <c r="E411" s="60">
        <v>27</v>
      </c>
      <c r="F411" s="60">
        <v>31</v>
      </c>
      <c r="G411" s="60">
        <v>27</v>
      </c>
      <c r="H411" s="60">
        <v>13</v>
      </c>
      <c r="I411" s="60">
        <v>11</v>
      </c>
      <c r="J411" s="60">
        <v>23</v>
      </c>
      <c r="K411" s="60">
        <v>29</v>
      </c>
      <c r="L411" s="60">
        <v>21</v>
      </c>
      <c r="M411" s="60">
        <v>25</v>
      </c>
      <c r="N411" s="60">
        <v>12</v>
      </c>
      <c r="O411" s="74">
        <f t="shared" si="216"/>
        <v>109</v>
      </c>
      <c r="P411" s="74">
        <f t="shared" si="217"/>
        <v>110</v>
      </c>
      <c r="Q411" s="74" t="str">
        <f t="shared" si="218"/>
        <v>HW</v>
      </c>
      <c r="R411" s="74" t="str">
        <f t="shared" si="219"/>
        <v>HW</v>
      </c>
      <c r="S411" s="74" t="str">
        <f t="shared" si="220"/>
        <v>HW</v>
      </c>
      <c r="T411" s="74" t="str">
        <f t="shared" si="221"/>
        <v>HL</v>
      </c>
      <c r="U411" s="74" t="str">
        <f t="shared" si="222"/>
        <v>U</v>
      </c>
      <c r="V411" s="74" t="str">
        <f t="shared" si="223"/>
        <v>O</v>
      </c>
      <c r="W411" s="74" t="str">
        <f t="shared" si="224"/>
        <v>U</v>
      </c>
      <c r="X411" s="74" t="str">
        <f t="shared" si="225"/>
        <v>U</v>
      </c>
      <c r="Z411">
        <v>59</v>
      </c>
      <c r="AA411" s="42" t="str">
        <f t="shared" si="215"/>
        <v>WAS/CHI</v>
      </c>
    </row>
    <row r="412" spans="1:27" x14ac:dyDescent="0.45">
      <c r="A412" s="50">
        <v>191219</v>
      </c>
      <c r="B412" s="44">
        <v>0.41666666666666669</v>
      </c>
      <c r="C412" s="15" t="s">
        <v>420</v>
      </c>
      <c r="D412" s="13" t="s">
        <v>398</v>
      </c>
      <c r="E412" s="56">
        <v>25</v>
      </c>
      <c r="F412" s="56">
        <v>25</v>
      </c>
      <c r="G412" s="56">
        <v>22</v>
      </c>
      <c r="H412" s="56">
        <v>27</v>
      </c>
      <c r="I412" s="56"/>
      <c r="J412" s="56">
        <v>32</v>
      </c>
      <c r="K412" s="56">
        <v>31</v>
      </c>
      <c r="L412" s="56">
        <v>24</v>
      </c>
      <c r="M412" s="56">
        <v>20</v>
      </c>
      <c r="N412" s="56" t="s">
        <v>427</v>
      </c>
      <c r="O412" s="74">
        <f t="shared" si="216"/>
        <v>99</v>
      </c>
      <c r="P412" s="74">
        <f t="shared" si="217"/>
        <v>107</v>
      </c>
      <c r="Q412" s="74" t="str">
        <f t="shared" si="218"/>
        <v>HL</v>
      </c>
      <c r="R412" s="74" t="str">
        <f t="shared" si="219"/>
        <v>HL</v>
      </c>
      <c r="S412" s="74" t="str">
        <f t="shared" si="220"/>
        <v>HL</v>
      </c>
      <c r="T412" s="74" t="str">
        <f t="shared" si="221"/>
        <v>HW</v>
      </c>
      <c r="U412" s="74" t="str">
        <f t="shared" si="222"/>
        <v>U</v>
      </c>
      <c r="V412" s="74" t="str">
        <f t="shared" si="223"/>
        <v>U</v>
      </c>
      <c r="W412" s="74" t="str">
        <f t="shared" si="224"/>
        <v>U</v>
      </c>
      <c r="X412" s="74" t="str">
        <f t="shared" si="225"/>
        <v>U</v>
      </c>
      <c r="Z412">
        <v>59</v>
      </c>
      <c r="AA412" s="42" t="str">
        <f t="shared" si="215"/>
        <v>MIN/NO</v>
      </c>
    </row>
    <row r="413" spans="1:27" x14ac:dyDescent="0.45">
      <c r="A413" s="50">
        <v>191219</v>
      </c>
      <c r="B413" s="44">
        <v>0.41666666666666669</v>
      </c>
      <c r="C413" s="5" t="s">
        <v>418</v>
      </c>
      <c r="D413" s="5" t="s">
        <v>406</v>
      </c>
      <c r="E413" s="57">
        <v>27</v>
      </c>
      <c r="F413" s="57">
        <v>32</v>
      </c>
      <c r="G413" s="57">
        <v>34</v>
      </c>
      <c r="H413" s="57">
        <v>33</v>
      </c>
      <c r="I413" s="57"/>
      <c r="J413" s="57">
        <v>32</v>
      </c>
      <c r="K413" s="57">
        <v>36</v>
      </c>
      <c r="L413" s="57">
        <v>32</v>
      </c>
      <c r="M413" s="57">
        <v>22</v>
      </c>
      <c r="N413" s="57" t="s">
        <v>427</v>
      </c>
      <c r="O413" s="74">
        <f t="shared" si="216"/>
        <v>126</v>
      </c>
      <c r="P413" s="74">
        <f t="shared" si="217"/>
        <v>122</v>
      </c>
      <c r="Q413" s="74" t="str">
        <f t="shared" si="218"/>
        <v>HL</v>
      </c>
      <c r="R413" s="74" t="str">
        <f t="shared" si="219"/>
        <v>HL</v>
      </c>
      <c r="S413" s="74" t="str">
        <f t="shared" si="220"/>
        <v>HW</v>
      </c>
      <c r="T413" s="74" t="str">
        <f t="shared" si="221"/>
        <v>HW</v>
      </c>
      <c r="U413" s="74" t="str">
        <f t="shared" si="222"/>
        <v>O</v>
      </c>
      <c r="V413" s="74" t="str">
        <f t="shared" si="223"/>
        <v>O</v>
      </c>
      <c r="W413" s="74" t="str">
        <f t="shared" si="224"/>
        <v>O</v>
      </c>
      <c r="X413" s="74" t="str">
        <f t="shared" si="225"/>
        <v>O</v>
      </c>
      <c r="Z413">
        <v>54</v>
      </c>
      <c r="AA413" s="42" t="str">
        <f t="shared" si="215"/>
        <v>OKC/MEM</v>
      </c>
    </row>
    <row r="414" spans="1:27" x14ac:dyDescent="0.45">
      <c r="A414" s="50">
        <v>191219</v>
      </c>
      <c r="B414" s="44">
        <v>0.45833333333333331</v>
      </c>
      <c r="C414" s="13" t="s">
        <v>46</v>
      </c>
      <c r="D414" s="15" t="s">
        <v>424</v>
      </c>
      <c r="E414" s="54">
        <v>27</v>
      </c>
      <c r="F414" s="54">
        <v>18</v>
      </c>
      <c r="G414" s="54">
        <v>39</v>
      </c>
      <c r="H414" s="54">
        <v>29</v>
      </c>
      <c r="I414" s="54"/>
      <c r="J414" s="54">
        <v>32</v>
      </c>
      <c r="K414" s="54">
        <v>28</v>
      </c>
      <c r="L414" s="54">
        <v>16</v>
      </c>
      <c r="M414" s="54">
        <v>28</v>
      </c>
      <c r="N414" s="54" t="s">
        <v>427</v>
      </c>
      <c r="O414" s="74">
        <f t="shared" si="216"/>
        <v>113</v>
      </c>
      <c r="P414" s="74">
        <f t="shared" si="217"/>
        <v>104</v>
      </c>
      <c r="Q414" s="74" t="str">
        <f t="shared" si="218"/>
        <v>HL</v>
      </c>
      <c r="R414" s="74" t="str">
        <f t="shared" si="219"/>
        <v>HL</v>
      </c>
      <c r="S414" s="74" t="str">
        <f t="shared" si="220"/>
        <v>HW</v>
      </c>
      <c r="T414" s="74" t="str">
        <f t="shared" si="221"/>
        <v>HW</v>
      </c>
      <c r="U414" s="74" t="str">
        <f t="shared" si="222"/>
        <v>O</v>
      </c>
      <c r="V414" s="74" t="str">
        <f t="shared" si="223"/>
        <v>U</v>
      </c>
      <c r="W414" s="74" t="str">
        <f t="shared" si="224"/>
        <v>O</v>
      </c>
      <c r="X414" s="74" t="str">
        <f t="shared" si="225"/>
        <v>O</v>
      </c>
      <c r="Z414">
        <v>52.5</v>
      </c>
      <c r="AA414" s="42" t="str">
        <f t="shared" si="215"/>
        <v>DEN/ORL</v>
      </c>
    </row>
    <row r="415" spans="1:27" x14ac:dyDescent="0.45">
      <c r="A415" s="50">
        <v>191219</v>
      </c>
      <c r="B415" s="44">
        <v>0.47916666666666669</v>
      </c>
      <c r="C415" s="15" t="s">
        <v>98</v>
      </c>
      <c r="D415" s="48" t="s">
        <v>421</v>
      </c>
      <c r="E415" s="53">
        <v>29</v>
      </c>
      <c r="F415" s="53">
        <v>26</v>
      </c>
      <c r="G415" s="53">
        <v>18</v>
      </c>
      <c r="H415" s="53">
        <v>30</v>
      </c>
      <c r="I415" s="53"/>
      <c r="J415" s="53">
        <v>29</v>
      </c>
      <c r="K415" s="53">
        <v>21</v>
      </c>
      <c r="L415" s="53">
        <v>26</v>
      </c>
      <c r="M415" s="53">
        <v>33</v>
      </c>
      <c r="N415" s="53" t="s">
        <v>427</v>
      </c>
      <c r="O415" s="74">
        <f t="shared" si="216"/>
        <v>103</v>
      </c>
      <c r="P415" s="74">
        <f t="shared" si="217"/>
        <v>109</v>
      </c>
      <c r="Q415" s="74" t="str">
        <f t="shared" si="218"/>
        <v>TT</v>
      </c>
      <c r="R415" s="74" t="str">
        <f t="shared" si="219"/>
        <v>HW</v>
      </c>
      <c r="S415" s="74" t="str">
        <f t="shared" si="220"/>
        <v>HL</v>
      </c>
      <c r="T415" s="74" t="str">
        <f t="shared" si="221"/>
        <v>HL</v>
      </c>
      <c r="U415" s="74" t="str">
        <f t="shared" si="222"/>
        <v>O</v>
      </c>
      <c r="V415" s="74" t="str">
        <f t="shared" si="223"/>
        <v>U</v>
      </c>
      <c r="W415" s="74" t="str">
        <f t="shared" si="224"/>
        <v>U</v>
      </c>
      <c r="X415" s="74" t="str">
        <f t="shared" si="225"/>
        <v>O</v>
      </c>
      <c r="Z415">
        <v>52.5</v>
      </c>
      <c r="AA415" s="42" t="str">
        <f t="shared" si="215"/>
        <v>DAL/BOS</v>
      </c>
    </row>
    <row r="416" spans="1:27" x14ac:dyDescent="0.45">
      <c r="A416" s="50">
        <v>191219</v>
      </c>
      <c r="B416" s="44">
        <v>0.5</v>
      </c>
      <c r="C416" s="50" t="s">
        <v>417</v>
      </c>
      <c r="D416" s="50" t="s">
        <v>425</v>
      </c>
      <c r="E416" s="59">
        <v>40</v>
      </c>
      <c r="F416" s="59">
        <v>27</v>
      </c>
      <c r="G416" s="59">
        <v>30</v>
      </c>
      <c r="H416" s="59">
        <v>25</v>
      </c>
      <c r="I416" s="59"/>
      <c r="J416" s="59">
        <v>29</v>
      </c>
      <c r="K416" s="59">
        <v>37</v>
      </c>
      <c r="L416" s="59">
        <v>26</v>
      </c>
      <c r="M416" s="59">
        <v>20</v>
      </c>
      <c r="N416" s="59" t="s">
        <v>427</v>
      </c>
      <c r="O416" s="74">
        <f t="shared" si="216"/>
        <v>122</v>
      </c>
      <c r="P416" s="74">
        <f t="shared" si="217"/>
        <v>112</v>
      </c>
      <c r="Q416" s="74" t="str">
        <f t="shared" si="218"/>
        <v>HW</v>
      </c>
      <c r="R416" s="74" t="str">
        <f t="shared" si="219"/>
        <v>HL</v>
      </c>
      <c r="S416" s="74" t="str">
        <f t="shared" si="220"/>
        <v>HW</v>
      </c>
      <c r="T416" s="74" t="str">
        <f t="shared" si="221"/>
        <v>HW</v>
      </c>
      <c r="U416" s="74" t="str">
        <f t="shared" si="222"/>
        <v>O</v>
      </c>
      <c r="V416" s="74" t="str">
        <f t="shared" si="223"/>
        <v>O</v>
      </c>
      <c r="W416" s="74" t="str">
        <f t="shared" si="224"/>
        <v>U</v>
      </c>
      <c r="X416" s="74" t="str">
        <f t="shared" si="225"/>
        <v>U</v>
      </c>
      <c r="Z416">
        <v>56.5</v>
      </c>
      <c r="AA416" s="42" t="str">
        <f t="shared" si="215"/>
        <v>POR/GS</v>
      </c>
    </row>
    <row r="417" spans="1:27" x14ac:dyDescent="0.45">
      <c r="A417" s="50">
        <v>191220</v>
      </c>
      <c r="B417" s="51">
        <v>0.39583333333333331</v>
      </c>
      <c r="C417" s="50" t="s">
        <v>410</v>
      </c>
      <c r="D417" s="50" t="s">
        <v>405</v>
      </c>
      <c r="E417" s="61">
        <v>30</v>
      </c>
      <c r="F417" s="61">
        <v>26</v>
      </c>
      <c r="G417" s="61">
        <v>28</v>
      </c>
      <c r="H417" s="61">
        <v>22</v>
      </c>
      <c r="I417" s="61"/>
      <c r="J417" s="61">
        <v>28</v>
      </c>
      <c r="K417" s="61">
        <v>24</v>
      </c>
      <c r="L417" s="61">
        <v>31</v>
      </c>
      <c r="M417" s="61">
        <v>28</v>
      </c>
      <c r="N417" s="61" t="s">
        <v>427</v>
      </c>
      <c r="O417" s="74">
        <f t="shared" si="216"/>
        <v>106</v>
      </c>
      <c r="P417" s="74">
        <f t="shared" si="217"/>
        <v>111</v>
      </c>
      <c r="Q417" s="74" t="str">
        <f t="shared" si="218"/>
        <v>HW</v>
      </c>
      <c r="R417" s="74" t="str">
        <f t="shared" si="219"/>
        <v>HW</v>
      </c>
      <c r="S417" s="74" t="str">
        <f t="shared" si="220"/>
        <v>HL</v>
      </c>
      <c r="T417" s="74" t="str">
        <f t="shared" si="221"/>
        <v>HL</v>
      </c>
      <c r="U417" s="74" t="str">
        <f t="shared" si="222"/>
        <v>O</v>
      </c>
      <c r="V417" s="74" t="str">
        <f t="shared" si="223"/>
        <v>U</v>
      </c>
      <c r="W417" s="74" t="str">
        <f t="shared" si="224"/>
        <v>O</v>
      </c>
      <c r="X417" s="74" t="str">
        <f t="shared" si="225"/>
        <v>U</v>
      </c>
      <c r="Z417">
        <v>55</v>
      </c>
      <c r="AA417" s="74" t="str">
        <f t="shared" si="215"/>
        <v>ATL/UTA</v>
      </c>
    </row>
    <row r="418" spans="1:27" x14ac:dyDescent="0.45">
      <c r="A418" s="50">
        <v>191220</v>
      </c>
      <c r="B418" s="51">
        <v>0.41666666666666669</v>
      </c>
      <c r="C418" s="50" t="s">
        <v>423</v>
      </c>
      <c r="D418" s="50" t="s">
        <v>419</v>
      </c>
      <c r="E418" s="63">
        <v>23</v>
      </c>
      <c r="F418" s="63">
        <v>42</v>
      </c>
      <c r="G418" s="63">
        <v>24</v>
      </c>
      <c r="H418" s="63">
        <v>22</v>
      </c>
      <c r="I418" s="63"/>
      <c r="J418" s="63">
        <v>17</v>
      </c>
      <c r="K418" s="63">
        <v>29</v>
      </c>
      <c r="L418" s="63">
        <v>35</v>
      </c>
      <c r="M418" s="63">
        <v>23</v>
      </c>
      <c r="N418" s="63" t="s">
        <v>427</v>
      </c>
      <c r="O418" s="74">
        <f t="shared" si="216"/>
        <v>111</v>
      </c>
      <c r="P418" s="74">
        <f t="shared" si="217"/>
        <v>104</v>
      </c>
      <c r="Q418" s="74" t="str">
        <f t="shared" si="218"/>
        <v>HW</v>
      </c>
      <c r="R418" s="74" t="str">
        <f t="shared" si="219"/>
        <v>HW</v>
      </c>
      <c r="S418" s="74" t="str">
        <f t="shared" si="220"/>
        <v>HL</v>
      </c>
      <c r="T418" s="74" t="str">
        <f t="shared" si="221"/>
        <v>HL</v>
      </c>
      <c r="U418" s="74" t="str">
        <f t="shared" si="222"/>
        <v>U</v>
      </c>
      <c r="V418" s="74" t="str">
        <f t="shared" si="223"/>
        <v>O</v>
      </c>
      <c r="W418" s="74" t="str">
        <f t="shared" si="224"/>
        <v>O</v>
      </c>
      <c r="X418" s="74" t="str">
        <f t="shared" si="225"/>
        <v>U</v>
      </c>
      <c r="Z418">
        <v>58.5</v>
      </c>
      <c r="AA418" s="74" t="str">
        <f t="shared" si="215"/>
        <v>MIL/LAL</v>
      </c>
    </row>
    <row r="419" spans="1:27" x14ac:dyDescent="0.45">
      <c r="A419" s="50">
        <v>191220</v>
      </c>
      <c r="B419" s="51">
        <v>0.4375</v>
      </c>
      <c r="C419" s="50" t="s">
        <v>426</v>
      </c>
      <c r="D419" s="50" t="s">
        <v>407</v>
      </c>
      <c r="E419" s="64">
        <v>27</v>
      </c>
      <c r="F419" s="64">
        <v>23</v>
      </c>
      <c r="G419" s="64">
        <v>33</v>
      </c>
      <c r="H419" s="64">
        <v>35</v>
      </c>
      <c r="I419" s="64"/>
      <c r="J419" s="64">
        <v>33</v>
      </c>
      <c r="K419" s="64">
        <v>23</v>
      </c>
      <c r="L419" s="64">
        <v>25</v>
      </c>
      <c r="M419" s="64">
        <v>24</v>
      </c>
      <c r="N419" s="64" t="s">
        <v>427</v>
      </c>
      <c r="O419" s="74">
        <f t="shared" si="216"/>
        <v>118</v>
      </c>
      <c r="P419" s="74">
        <f t="shared" si="217"/>
        <v>105</v>
      </c>
      <c r="Q419" s="74" t="str">
        <f t="shared" si="218"/>
        <v>HL</v>
      </c>
      <c r="R419" s="74" t="str">
        <f t="shared" si="219"/>
        <v>TT</v>
      </c>
      <c r="S419" s="74" t="str">
        <f t="shared" si="220"/>
        <v>HW</v>
      </c>
      <c r="T419" s="74" t="str">
        <f t="shared" si="221"/>
        <v>HW</v>
      </c>
      <c r="U419" s="74" t="str">
        <f t="shared" si="222"/>
        <v>O</v>
      </c>
      <c r="V419" s="74" t="str">
        <f t="shared" si="223"/>
        <v>U</v>
      </c>
      <c r="W419" s="74" t="str">
        <f t="shared" si="224"/>
        <v>O</v>
      </c>
      <c r="X419" s="74" t="str">
        <f t="shared" si="225"/>
        <v>O</v>
      </c>
      <c r="Z419">
        <v>53.5</v>
      </c>
      <c r="AA419" s="74" t="str">
        <f t="shared" si="215"/>
        <v>SAS/BKN</v>
      </c>
    </row>
    <row r="420" spans="1:27" x14ac:dyDescent="0.45">
      <c r="A420" s="50">
        <v>191220</v>
      </c>
      <c r="B420" s="51">
        <v>0.52083333333333337</v>
      </c>
      <c r="C420" s="50" t="s">
        <v>415</v>
      </c>
      <c r="D420" s="50" t="s">
        <v>403</v>
      </c>
      <c r="E420" s="62">
        <v>28</v>
      </c>
      <c r="F420" s="62">
        <v>41</v>
      </c>
      <c r="G420" s="62">
        <v>18</v>
      </c>
      <c r="H420" s="62">
        <v>30</v>
      </c>
      <c r="I420" s="62"/>
      <c r="J420" s="62">
        <v>27</v>
      </c>
      <c r="K420" s="62">
        <v>27</v>
      </c>
      <c r="L420" s="62">
        <v>36</v>
      </c>
      <c r="M420" s="62">
        <v>32</v>
      </c>
      <c r="N420" s="62" t="s">
        <v>427</v>
      </c>
      <c r="O420" s="74">
        <f t="shared" si="216"/>
        <v>117</v>
      </c>
      <c r="P420" s="74">
        <f t="shared" si="217"/>
        <v>122</v>
      </c>
      <c r="Q420" s="74" t="str">
        <f t="shared" si="218"/>
        <v>HW</v>
      </c>
      <c r="R420" s="74" t="str">
        <f t="shared" si="219"/>
        <v>HW</v>
      </c>
      <c r="S420" s="74" t="str">
        <f t="shared" si="220"/>
        <v>HL</v>
      </c>
      <c r="T420" s="74" t="str">
        <f t="shared" si="221"/>
        <v>HL</v>
      </c>
      <c r="U420" s="74" t="str">
        <f t="shared" si="222"/>
        <v>U</v>
      </c>
      <c r="V420" s="74" t="str">
        <f t="shared" si="223"/>
        <v>O</v>
      </c>
      <c r="W420" s="74" t="str">
        <f t="shared" si="224"/>
        <v>U</v>
      </c>
      <c r="X420" s="74" t="str">
        <f t="shared" si="225"/>
        <v>O</v>
      </c>
      <c r="Z420">
        <v>60.5</v>
      </c>
      <c r="AA420" s="74" t="str">
        <f t="shared" si="215"/>
        <v>LAC/HOU</v>
      </c>
    </row>
    <row r="421" spans="1:27" x14ac:dyDescent="0.45">
      <c r="A421" s="50">
        <v>191221</v>
      </c>
      <c r="B421" s="51">
        <v>0.375</v>
      </c>
      <c r="C421" s="50" t="s">
        <v>402</v>
      </c>
      <c r="D421" s="50" t="s">
        <v>406</v>
      </c>
      <c r="E421" s="66">
        <v>25</v>
      </c>
      <c r="F421" s="66">
        <v>30</v>
      </c>
      <c r="G421" s="66">
        <v>26</v>
      </c>
      <c r="H421" s="66">
        <v>33</v>
      </c>
      <c r="I421" s="66"/>
      <c r="J421" s="66">
        <v>27</v>
      </c>
      <c r="K421" s="66">
        <v>24</v>
      </c>
      <c r="L421" s="66">
        <v>36</v>
      </c>
      <c r="M421" s="66">
        <v>20</v>
      </c>
      <c r="N421" s="66" t="s">
        <v>427</v>
      </c>
      <c r="O421" s="74">
        <f t="shared" si="216"/>
        <v>114</v>
      </c>
      <c r="P421" s="74">
        <f t="shared" si="217"/>
        <v>107</v>
      </c>
      <c r="Q421" s="74" t="str">
        <f t="shared" si="218"/>
        <v>HL</v>
      </c>
      <c r="R421" s="74" t="str">
        <f t="shared" si="219"/>
        <v>HW</v>
      </c>
      <c r="S421" s="74" t="str">
        <f t="shared" si="220"/>
        <v>HL</v>
      </c>
      <c r="T421" s="74" t="str">
        <f t="shared" si="221"/>
        <v>HW</v>
      </c>
      <c r="U421" s="74" t="str">
        <f t="shared" si="222"/>
        <v>U</v>
      </c>
      <c r="V421" s="74" t="str">
        <f t="shared" si="223"/>
        <v>U</v>
      </c>
      <c r="W421" s="74" t="str">
        <f t="shared" si="224"/>
        <v>O</v>
      </c>
      <c r="X421" s="74" t="str">
        <f t="shared" si="225"/>
        <v>U</v>
      </c>
      <c r="Z421">
        <v>55</v>
      </c>
      <c r="AA421" s="74" t="str">
        <f t="shared" si="215"/>
        <v>CLE/MEM</v>
      </c>
    </row>
    <row r="422" spans="1:27" x14ac:dyDescent="0.45">
      <c r="A422" s="50">
        <v>191221</v>
      </c>
      <c r="B422" s="51">
        <v>0.375</v>
      </c>
      <c r="C422" s="50" t="s">
        <v>400</v>
      </c>
      <c r="D422" s="50" t="s">
        <v>416</v>
      </c>
      <c r="E422" s="69">
        <v>30</v>
      </c>
      <c r="F422" s="69">
        <v>38</v>
      </c>
      <c r="G422" s="69">
        <v>24</v>
      </c>
      <c r="H422" s="69">
        <v>27</v>
      </c>
      <c r="I422" s="69"/>
      <c r="J422" s="69">
        <v>32</v>
      </c>
      <c r="K422" s="69">
        <v>25</v>
      </c>
      <c r="L422" s="69">
        <v>22</v>
      </c>
      <c r="M422" s="69">
        <v>26</v>
      </c>
      <c r="N422" s="69" t="s">
        <v>427</v>
      </c>
      <c r="O422" s="74">
        <f t="shared" si="216"/>
        <v>119</v>
      </c>
      <c r="P422" s="74">
        <f t="shared" si="217"/>
        <v>105</v>
      </c>
      <c r="Q422" s="74" t="str">
        <f t="shared" si="218"/>
        <v>HL</v>
      </c>
      <c r="R422" s="74" t="str">
        <f t="shared" si="219"/>
        <v>HW</v>
      </c>
      <c r="S422" s="74" t="str">
        <f t="shared" si="220"/>
        <v>HW</v>
      </c>
      <c r="T422" s="74" t="str">
        <f t="shared" si="221"/>
        <v>HW</v>
      </c>
      <c r="U422" s="74" t="str">
        <f t="shared" si="222"/>
        <v>O</v>
      </c>
      <c r="V422" s="74" t="str">
        <f t="shared" si="223"/>
        <v>O</v>
      </c>
      <c r="W422" s="74" t="str">
        <f t="shared" si="224"/>
        <v>U</v>
      </c>
      <c r="X422" s="74" t="str">
        <f t="shared" si="225"/>
        <v>U</v>
      </c>
      <c r="Z422">
        <v>54</v>
      </c>
      <c r="AA422" s="74" t="str">
        <f t="shared" si="215"/>
        <v>IND/SAC</v>
      </c>
    </row>
    <row r="423" spans="1:27" x14ac:dyDescent="0.45">
      <c r="A423" s="50">
        <v>191221</v>
      </c>
      <c r="B423" s="51">
        <v>0.39583333333333331</v>
      </c>
      <c r="C423" s="50" t="s">
        <v>421</v>
      </c>
      <c r="D423" s="50" t="s">
        <v>422</v>
      </c>
      <c r="E423" s="65">
        <v>28</v>
      </c>
      <c r="F423" s="65">
        <v>32</v>
      </c>
      <c r="G423" s="65">
        <v>31</v>
      </c>
      <c r="H423" s="65">
        <v>23</v>
      </c>
      <c r="I423" s="65"/>
      <c r="J423" s="65">
        <v>26</v>
      </c>
      <c r="K423" s="65">
        <v>22</v>
      </c>
      <c r="L423" s="65">
        <v>21</v>
      </c>
      <c r="M423" s="65">
        <v>24</v>
      </c>
      <c r="N423" s="65" t="s">
        <v>427</v>
      </c>
      <c r="O423" s="74">
        <f t="shared" si="216"/>
        <v>114</v>
      </c>
      <c r="P423" s="74">
        <f t="shared" si="217"/>
        <v>93</v>
      </c>
      <c r="Q423" s="74" t="str">
        <f t="shared" si="218"/>
        <v>HW</v>
      </c>
      <c r="R423" s="74" t="str">
        <f t="shared" si="219"/>
        <v>HW</v>
      </c>
      <c r="S423" s="74" t="str">
        <f t="shared" si="220"/>
        <v>HW</v>
      </c>
      <c r="T423" s="74" t="str">
        <f t="shared" si="221"/>
        <v>HL</v>
      </c>
      <c r="U423" s="74" t="str">
        <f t="shared" si="222"/>
        <v>U</v>
      </c>
      <c r="V423" s="74" t="str">
        <f t="shared" si="223"/>
        <v>U</v>
      </c>
      <c r="W423" s="74" t="str">
        <f t="shared" si="224"/>
        <v>U</v>
      </c>
      <c r="X423" s="74" t="str">
        <f t="shared" si="225"/>
        <v>U</v>
      </c>
      <c r="Z423">
        <v>54.5</v>
      </c>
      <c r="AA423" s="74" t="str">
        <f t="shared" si="215"/>
        <v>BOS/DET</v>
      </c>
    </row>
    <row r="424" spans="1:27" x14ac:dyDescent="0.45">
      <c r="A424" s="50">
        <v>191221</v>
      </c>
      <c r="B424" s="51">
        <v>0.39583333333333331</v>
      </c>
      <c r="C424" s="50" t="s">
        <v>413</v>
      </c>
      <c r="D424" s="50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16"/>
        <v>122</v>
      </c>
      <c r="P424" s="74">
        <f t="shared" si="217"/>
        <v>118</v>
      </c>
      <c r="Q424" s="74" t="str">
        <f t="shared" si="218"/>
        <v>HW</v>
      </c>
      <c r="R424" s="74" t="str">
        <f t="shared" si="219"/>
        <v>HL</v>
      </c>
      <c r="S424" s="74" t="str">
        <f t="shared" si="220"/>
        <v>HL</v>
      </c>
      <c r="T424" s="74" t="str">
        <f t="shared" si="221"/>
        <v>HL</v>
      </c>
      <c r="U424" s="74" t="str">
        <f t="shared" si="222"/>
        <v>O</v>
      </c>
      <c r="V424" s="74" t="str">
        <f t="shared" si="223"/>
        <v>U</v>
      </c>
      <c r="W424" s="74" t="str">
        <f t="shared" si="224"/>
        <v>O</v>
      </c>
      <c r="X424" s="74" t="str">
        <f t="shared" si="225"/>
        <v>T</v>
      </c>
      <c r="Z424">
        <v>59</v>
      </c>
      <c r="AA424" s="74" t="str">
        <f t="shared" si="215"/>
        <v>TOR/WAS</v>
      </c>
    </row>
    <row r="425" spans="1:27" x14ac:dyDescent="0.45">
      <c r="A425" s="50">
        <v>191221</v>
      </c>
      <c r="B425" s="51">
        <v>0.41666666666666669</v>
      </c>
      <c r="C425" s="50" t="s">
        <v>411</v>
      </c>
      <c r="D425" s="50" t="s">
        <v>399</v>
      </c>
      <c r="E425" s="70">
        <v>39</v>
      </c>
      <c r="F425" s="70">
        <v>31</v>
      </c>
      <c r="G425" s="70">
        <v>28</v>
      </c>
      <c r="H425" s="70">
        <v>31</v>
      </c>
      <c r="I425" s="70"/>
      <c r="J425" s="70">
        <v>20</v>
      </c>
      <c r="K425" s="70">
        <v>27</v>
      </c>
      <c r="L425" s="70">
        <v>27</v>
      </c>
      <c r="M425" s="70">
        <v>40</v>
      </c>
      <c r="N425" s="70" t="s">
        <v>427</v>
      </c>
      <c r="O425" s="74">
        <f t="shared" si="216"/>
        <v>129</v>
      </c>
      <c r="P425" s="74">
        <f t="shared" si="217"/>
        <v>114</v>
      </c>
      <c r="Q425" s="74" t="str">
        <f t="shared" si="218"/>
        <v>HW</v>
      </c>
      <c r="R425" s="74" t="str">
        <f t="shared" si="219"/>
        <v>HW</v>
      </c>
      <c r="S425" s="74" t="str">
        <f t="shared" si="220"/>
        <v>HW</v>
      </c>
      <c r="T425" s="74" t="str">
        <f t="shared" si="221"/>
        <v>HL</v>
      </c>
      <c r="U425" s="74" t="str">
        <f t="shared" si="222"/>
        <v>O</v>
      </c>
      <c r="V425" s="74" t="str">
        <f t="shared" si="223"/>
        <v>O</v>
      </c>
      <c r="W425" s="74" t="str">
        <f t="shared" si="224"/>
        <v>U</v>
      </c>
      <c r="X425" s="74" t="str">
        <f t="shared" si="225"/>
        <v>O</v>
      </c>
      <c r="Z425">
        <v>55.5</v>
      </c>
      <c r="AA425" s="74" t="str">
        <f t="shared" si="215"/>
        <v>MIA/NYK</v>
      </c>
    </row>
    <row r="426" spans="1:27" x14ac:dyDescent="0.45">
      <c r="A426" s="50">
        <v>191221</v>
      </c>
      <c r="B426" s="51">
        <v>0.41666666666666669</v>
      </c>
      <c r="C426" s="50" t="s">
        <v>401</v>
      </c>
      <c r="D426" s="50" t="s">
        <v>397</v>
      </c>
      <c r="E426" s="72">
        <v>28</v>
      </c>
      <c r="F426" s="72">
        <v>29</v>
      </c>
      <c r="G426" s="72">
        <v>20</v>
      </c>
      <c r="H426" s="72">
        <v>21</v>
      </c>
      <c r="I426" s="72"/>
      <c r="J426" s="72">
        <v>35</v>
      </c>
      <c r="K426" s="72">
        <v>28</v>
      </c>
      <c r="L426" s="72">
        <v>25</v>
      </c>
      <c r="M426" s="72">
        <v>29</v>
      </c>
      <c r="N426" s="72" t="s">
        <v>427</v>
      </c>
      <c r="O426" s="74">
        <f t="shared" si="216"/>
        <v>98</v>
      </c>
      <c r="P426" s="74">
        <f t="shared" si="217"/>
        <v>117</v>
      </c>
      <c r="Q426" s="74" t="str">
        <f t="shared" si="218"/>
        <v>HL</v>
      </c>
      <c r="R426" s="74" t="str">
        <f t="shared" si="219"/>
        <v>HW</v>
      </c>
      <c r="S426" s="74" t="str">
        <f t="shared" si="220"/>
        <v>HL</v>
      </c>
      <c r="T426" s="74" t="str">
        <f t="shared" si="221"/>
        <v>HL</v>
      </c>
      <c r="U426" s="74" t="str">
        <f t="shared" si="222"/>
        <v>O</v>
      </c>
      <c r="V426" s="74" t="str">
        <f t="shared" si="223"/>
        <v>O</v>
      </c>
      <c r="W426" s="74" t="str">
        <f t="shared" si="224"/>
        <v>U</v>
      </c>
      <c r="X426" s="74" t="str">
        <f t="shared" si="225"/>
        <v>U</v>
      </c>
      <c r="Z426">
        <v>54.5</v>
      </c>
      <c r="AA426" s="74" t="str">
        <f t="shared" si="215"/>
        <v>PHI/DAL</v>
      </c>
    </row>
    <row r="427" spans="1:27" x14ac:dyDescent="0.45">
      <c r="A427" s="50">
        <v>191221</v>
      </c>
      <c r="B427" s="51">
        <v>0.41666666666666669</v>
      </c>
      <c r="C427" s="50" t="s">
        <v>418</v>
      </c>
      <c r="D427" s="50" t="s">
        <v>404</v>
      </c>
      <c r="E427" s="71">
        <v>26</v>
      </c>
      <c r="F427" s="71">
        <v>31</v>
      </c>
      <c r="G427" s="71">
        <v>44</v>
      </c>
      <c r="H427" s="71">
        <v>25</v>
      </c>
      <c r="I427" s="71"/>
      <c r="J427" s="71">
        <v>23</v>
      </c>
      <c r="K427" s="71">
        <v>27</v>
      </c>
      <c r="L427" s="71">
        <v>41</v>
      </c>
      <c r="M427" s="71">
        <v>17</v>
      </c>
      <c r="N427" s="71" t="s">
        <v>427</v>
      </c>
      <c r="O427" s="74">
        <f t="shared" si="216"/>
        <v>126</v>
      </c>
      <c r="P427" s="74">
        <f t="shared" si="217"/>
        <v>108</v>
      </c>
      <c r="Q427" s="74" t="str">
        <f t="shared" si="218"/>
        <v>HW</v>
      </c>
      <c r="R427" s="74" t="str">
        <f t="shared" si="219"/>
        <v>HW</v>
      </c>
      <c r="S427" s="74" t="str">
        <f t="shared" si="220"/>
        <v>HW</v>
      </c>
      <c r="T427" s="74" t="str">
        <f t="shared" si="221"/>
        <v>HW</v>
      </c>
      <c r="U427" s="74" t="str">
        <f t="shared" si="222"/>
        <v>U</v>
      </c>
      <c r="V427" s="74" t="str">
        <f t="shared" si="223"/>
        <v>O</v>
      </c>
      <c r="W427" s="74" t="str">
        <f t="shared" si="224"/>
        <v>O</v>
      </c>
      <c r="X427" s="74" t="str">
        <f t="shared" si="225"/>
        <v>U</v>
      </c>
      <c r="Z427">
        <v>54</v>
      </c>
      <c r="AA427" s="74" t="str">
        <f t="shared" si="215"/>
        <v>OKC/PHO</v>
      </c>
    </row>
    <row r="428" spans="1:27" x14ac:dyDescent="0.45">
      <c r="A428" s="50">
        <v>191221</v>
      </c>
      <c r="B428" s="51">
        <v>0.45833333333333331</v>
      </c>
      <c r="C428" s="50" t="s">
        <v>408</v>
      </c>
      <c r="D428" s="50" t="s">
        <v>420</v>
      </c>
      <c r="E428" s="67">
        <v>33</v>
      </c>
      <c r="F428" s="67">
        <v>28</v>
      </c>
      <c r="G428" s="67">
        <v>21</v>
      </c>
      <c r="H428" s="67">
        <v>27</v>
      </c>
      <c r="I428" s="67"/>
      <c r="J428" s="67">
        <v>20</v>
      </c>
      <c r="K428" s="67">
        <v>31</v>
      </c>
      <c r="L428" s="67">
        <v>24</v>
      </c>
      <c r="M428" s="67">
        <v>25</v>
      </c>
      <c r="N428" s="67" t="s">
        <v>427</v>
      </c>
      <c r="O428" s="74">
        <f t="shared" si="216"/>
        <v>109</v>
      </c>
      <c r="P428" s="74">
        <f t="shared" si="217"/>
        <v>100</v>
      </c>
      <c r="Q428" s="74" t="str">
        <f t="shared" si="218"/>
        <v>HW</v>
      </c>
      <c r="R428" s="74" t="str">
        <f t="shared" si="219"/>
        <v>HL</v>
      </c>
      <c r="S428" s="74" t="str">
        <f t="shared" si="220"/>
        <v>HL</v>
      </c>
      <c r="T428" s="74" t="str">
        <f t="shared" si="221"/>
        <v>HW</v>
      </c>
      <c r="U428" s="74" t="str">
        <f t="shared" si="222"/>
        <v>U</v>
      </c>
      <c r="V428" s="74" t="str">
        <f t="shared" si="223"/>
        <v>O</v>
      </c>
      <c r="W428" s="74" t="str">
        <f t="shared" si="224"/>
        <v>U</v>
      </c>
      <c r="X428" s="74" t="str">
        <f t="shared" si="225"/>
        <v>U</v>
      </c>
      <c r="Z428">
        <v>55.5</v>
      </c>
      <c r="AA428" s="74" t="str">
        <f t="shared" si="215"/>
        <v>DEN/MIN</v>
      </c>
    </row>
    <row r="429" spans="1:27" x14ac:dyDescent="0.45">
      <c r="A429" s="50">
        <v>191221</v>
      </c>
      <c r="B429" s="51">
        <v>0.5</v>
      </c>
      <c r="C429" s="50" t="s">
        <v>417</v>
      </c>
      <c r="D429" s="50" t="s">
        <v>424</v>
      </c>
      <c r="E429" s="73">
        <v>31</v>
      </c>
      <c r="F429" s="73">
        <v>26</v>
      </c>
      <c r="G429" s="73">
        <v>36</v>
      </c>
      <c r="H429" s="73">
        <v>25</v>
      </c>
      <c r="I429" s="73"/>
      <c r="J429" s="73">
        <v>13</v>
      </c>
      <c r="K429" s="73">
        <v>31</v>
      </c>
      <c r="L429" s="73">
        <v>31</v>
      </c>
      <c r="M429" s="73">
        <v>28</v>
      </c>
      <c r="N429" s="73" t="s">
        <v>427</v>
      </c>
      <c r="O429" s="74">
        <f t="shared" si="216"/>
        <v>118</v>
      </c>
      <c r="P429" s="74">
        <f t="shared" si="217"/>
        <v>103</v>
      </c>
      <c r="Q429" s="74" t="str">
        <f t="shared" si="218"/>
        <v>HW</v>
      </c>
      <c r="R429" s="74" t="str">
        <f t="shared" si="219"/>
        <v>HL</v>
      </c>
      <c r="S429" s="74" t="str">
        <f t="shared" si="220"/>
        <v>HW</v>
      </c>
      <c r="T429" s="74" t="str">
        <f t="shared" si="221"/>
        <v>HL</v>
      </c>
      <c r="U429" s="74" t="str">
        <f t="shared" si="222"/>
        <v>U</v>
      </c>
      <c r="V429" s="74" t="str">
        <f t="shared" si="223"/>
        <v>O</v>
      </c>
      <c r="W429" s="74" t="str">
        <f t="shared" si="224"/>
        <v>O</v>
      </c>
      <c r="X429" s="74" t="str">
        <f t="shared" si="225"/>
        <v>U</v>
      </c>
      <c r="Z429">
        <v>56</v>
      </c>
      <c r="AA429" s="74" t="str">
        <f t="shared" si="215"/>
        <v>POR/ORL</v>
      </c>
    </row>
    <row r="430" spans="1:27" x14ac:dyDescent="0.45">
      <c r="A430" s="50">
        <v>191221</v>
      </c>
      <c r="B430" s="51">
        <v>0.52083333333333337</v>
      </c>
      <c r="C430" s="50" t="s">
        <v>425</v>
      </c>
      <c r="D430" s="50" t="s">
        <v>398</v>
      </c>
      <c r="E430" s="68">
        <v>31</v>
      </c>
      <c r="F430" s="68">
        <v>25</v>
      </c>
      <c r="G430" s="68">
        <v>22</v>
      </c>
      <c r="H430" s="68">
        <v>28</v>
      </c>
      <c r="I430" s="68"/>
      <c r="J430" s="68">
        <v>16</v>
      </c>
      <c r="K430" s="68">
        <v>28</v>
      </c>
      <c r="L430" s="68">
        <v>37</v>
      </c>
      <c r="M430" s="68">
        <v>21</v>
      </c>
      <c r="N430" s="68" t="s">
        <v>427</v>
      </c>
      <c r="O430" s="74">
        <f t="shared" si="216"/>
        <v>106</v>
      </c>
      <c r="P430" s="74">
        <f t="shared" si="217"/>
        <v>102</v>
      </c>
      <c r="Q430" s="74" t="str">
        <f t="shared" si="218"/>
        <v>HW</v>
      </c>
      <c r="R430" s="74" t="str">
        <f t="shared" si="219"/>
        <v>HL</v>
      </c>
      <c r="S430" s="74" t="str">
        <f t="shared" si="220"/>
        <v>HL</v>
      </c>
      <c r="T430" s="74" t="str">
        <f t="shared" si="221"/>
        <v>HW</v>
      </c>
      <c r="U430" s="74" t="str">
        <f t="shared" si="222"/>
        <v>U</v>
      </c>
      <c r="V430" s="74" t="str">
        <f t="shared" si="223"/>
        <v>U</v>
      </c>
      <c r="W430" s="74" t="str">
        <f t="shared" si="224"/>
        <v>O</v>
      </c>
      <c r="X430" s="74" t="str">
        <f t="shared" si="225"/>
        <v>U</v>
      </c>
      <c r="Z430">
        <v>57.5</v>
      </c>
      <c r="AA430" s="74" t="str">
        <f t="shared" si="215"/>
        <v>GS/NO</v>
      </c>
    </row>
    <row r="431" spans="1:27" x14ac:dyDescent="0.45">
      <c r="A431" s="50">
        <v>191222</v>
      </c>
      <c r="B431" s="51">
        <v>0.29166666666666669</v>
      </c>
      <c r="C431" s="13" t="s">
        <v>428</v>
      </c>
      <c r="D431" s="15" t="s">
        <v>405</v>
      </c>
      <c r="E431" s="186">
        <v>33</v>
      </c>
      <c r="F431" s="186">
        <v>31</v>
      </c>
      <c r="G431" s="186">
        <v>22</v>
      </c>
      <c r="H431" s="186">
        <v>21</v>
      </c>
      <c r="I431" s="186"/>
      <c r="J431" s="186">
        <v>31</v>
      </c>
      <c r="K431" s="186">
        <v>25</v>
      </c>
      <c r="L431" s="186">
        <v>28</v>
      </c>
      <c r="M431" s="186">
        <v>30</v>
      </c>
      <c r="N431" s="186" t="s">
        <v>427</v>
      </c>
      <c r="O431" s="186">
        <f t="shared" ref="O431:O494" si="226">SUM(E431:I431)</f>
        <v>107</v>
      </c>
      <c r="P431" s="186">
        <f t="shared" ref="P431:P494" si="227">SUM(J431:N431)</f>
        <v>114</v>
      </c>
      <c r="Q431" s="186" t="str">
        <f t="shared" ref="Q431:Q494" si="228">IF(E431=J431,"TT",IF(E431&gt;J431,"HW","HL"))</f>
        <v>HW</v>
      </c>
      <c r="R431" s="186" t="str">
        <f t="shared" ref="R431:R494" si="229">IF(F431=K431,"TT",IF(F431&gt;K431,"HW","HL"))</f>
        <v>HW</v>
      </c>
      <c r="S431" s="186" t="str">
        <f t="shared" ref="S431:S494" si="230">IF(G431=L431,"TT",IF(G431&gt;L431,"HW","HL"))</f>
        <v>HL</v>
      </c>
      <c r="T431" s="186" t="str">
        <f t="shared" ref="T431:T494" si="231">IF(H431=M431,"TT",IF(H431&gt;M431,"HW","HL"))</f>
        <v>HL</v>
      </c>
      <c r="U431" s="186" t="str">
        <f t="shared" ref="U431:U494" si="232">IF(SUM(E431,J431)=$Z431,"T",IF(SUM(E431,J431)&gt;$Z431,"O","U"))</f>
        <v>O</v>
      </c>
      <c r="V431" s="186" t="str">
        <f t="shared" ref="V431:V494" si="233">IF(SUM(F431,K431)=$Z431,"T",IF(SUM(F431,K431)&gt;$Z431,"O","U"))</f>
        <v>O</v>
      </c>
      <c r="W431" s="186" t="str">
        <f t="shared" ref="W431:W494" si="234">IF(SUM(G431,L431)=$Z431,"T",IF(SUM(G431,L431)&gt;$Z431,"O","U"))</f>
        <v>U</v>
      </c>
      <c r="X431" s="186" t="str">
        <f t="shared" ref="X431:X494" si="235">IF(SUM(H431,M431)=$Z431,"T",IF(SUM(H431,M431)&gt;$Z431,"O","U"))</f>
        <v>U</v>
      </c>
      <c r="Y431">
        <v>208.5</v>
      </c>
      <c r="Z431">
        <v>52.5</v>
      </c>
      <c r="AA431" s="74" t="str">
        <f t="shared" si="215"/>
        <v>CHA/UTA</v>
      </c>
    </row>
    <row r="432" spans="1:27" x14ac:dyDescent="0.45">
      <c r="A432" s="50">
        <v>191222</v>
      </c>
      <c r="B432" s="51">
        <v>0.33333333333333331</v>
      </c>
      <c r="C432" s="15" t="s">
        <v>407</v>
      </c>
      <c r="D432" s="50" t="s">
        <v>410</v>
      </c>
      <c r="E432" s="186">
        <v>34</v>
      </c>
      <c r="F432" s="186">
        <v>26</v>
      </c>
      <c r="G432" s="186">
        <v>25</v>
      </c>
      <c r="H432" s="186">
        <v>37</v>
      </c>
      <c r="I432" s="186"/>
      <c r="J432" s="186">
        <v>34</v>
      </c>
      <c r="K432" s="186">
        <v>39</v>
      </c>
      <c r="L432" s="186">
        <v>25</v>
      </c>
      <c r="M432" s="186">
        <v>14</v>
      </c>
      <c r="N432" s="186"/>
      <c r="O432" s="186">
        <f t="shared" si="226"/>
        <v>122</v>
      </c>
      <c r="P432" s="186">
        <f t="shared" si="227"/>
        <v>112</v>
      </c>
      <c r="Q432" s="186" t="str">
        <f t="shared" si="228"/>
        <v>TT</v>
      </c>
      <c r="R432" s="186" t="str">
        <f t="shared" si="229"/>
        <v>HL</v>
      </c>
      <c r="S432" s="186" t="str">
        <f t="shared" si="230"/>
        <v>TT</v>
      </c>
      <c r="T432" s="186" t="str">
        <f t="shared" si="231"/>
        <v>HW</v>
      </c>
      <c r="U432" s="186" t="str">
        <f t="shared" si="232"/>
        <v>O</v>
      </c>
      <c r="V432" s="186" t="str">
        <f t="shared" si="233"/>
        <v>O</v>
      </c>
      <c r="W432" s="186" t="str">
        <f t="shared" si="234"/>
        <v>U</v>
      </c>
      <c r="X432" s="186" t="str">
        <f t="shared" si="235"/>
        <v>U</v>
      </c>
      <c r="Y432">
        <v>231</v>
      </c>
      <c r="Z432" s="98">
        <v>58</v>
      </c>
      <c r="AA432" s="74" t="str">
        <f t="shared" si="215"/>
        <v>BKN/ATL</v>
      </c>
    </row>
    <row r="433" spans="1:27" x14ac:dyDescent="0.45">
      <c r="A433" s="50">
        <v>191222</v>
      </c>
      <c r="B433" s="51">
        <v>0.375</v>
      </c>
      <c r="C433" s="15" t="s">
        <v>422</v>
      </c>
      <c r="D433" s="13" t="s">
        <v>412</v>
      </c>
      <c r="E433" s="186">
        <v>28</v>
      </c>
      <c r="F433" s="186">
        <v>31</v>
      </c>
      <c r="G433" s="186">
        <v>30</v>
      </c>
      <c r="H433" s="186">
        <v>18</v>
      </c>
      <c r="I433" s="186"/>
      <c r="J433" s="186">
        <v>25</v>
      </c>
      <c r="K433" s="186">
        <v>28</v>
      </c>
      <c r="L433" s="186">
        <v>40</v>
      </c>
      <c r="M433" s="186">
        <v>26</v>
      </c>
      <c r="N433" s="186" t="s">
        <v>427</v>
      </c>
      <c r="O433" s="186">
        <f t="shared" si="226"/>
        <v>107</v>
      </c>
      <c r="P433" s="186">
        <f t="shared" si="227"/>
        <v>119</v>
      </c>
      <c r="Q433" s="186" t="str">
        <f t="shared" si="228"/>
        <v>HW</v>
      </c>
      <c r="R433" s="186" t="str">
        <f t="shared" si="229"/>
        <v>HW</v>
      </c>
      <c r="S433" s="186" t="str">
        <f t="shared" si="230"/>
        <v>HL</v>
      </c>
      <c r="T433" s="186" t="str">
        <f t="shared" si="231"/>
        <v>HL</v>
      </c>
      <c r="U433" s="186" t="str">
        <f t="shared" si="232"/>
        <v>O</v>
      </c>
      <c r="V433" s="186" t="str">
        <f t="shared" si="233"/>
        <v>O</v>
      </c>
      <c r="W433" s="186" t="str">
        <f t="shared" si="234"/>
        <v>O</v>
      </c>
      <c r="X433" s="186" t="str">
        <f t="shared" si="235"/>
        <v>U</v>
      </c>
      <c r="Y433">
        <v>209</v>
      </c>
      <c r="Z433" s="98">
        <v>52.5</v>
      </c>
      <c r="AA433" s="74" t="str">
        <f t="shared" si="215"/>
        <v>DET/CHI</v>
      </c>
    </row>
    <row r="434" spans="1:27" x14ac:dyDescent="0.45">
      <c r="A434" s="50">
        <v>191222</v>
      </c>
      <c r="B434" s="51">
        <v>0.375</v>
      </c>
      <c r="C434" s="5" t="s">
        <v>401</v>
      </c>
      <c r="D434" s="50" t="s">
        <v>414</v>
      </c>
      <c r="E434" s="186">
        <v>32</v>
      </c>
      <c r="F434" s="186">
        <v>33</v>
      </c>
      <c r="G434" s="186">
        <v>23</v>
      </c>
      <c r="H434" s="186">
        <v>37</v>
      </c>
      <c r="I434" s="186"/>
      <c r="J434" s="186">
        <v>25</v>
      </c>
      <c r="K434" s="186">
        <v>28</v>
      </c>
      <c r="L434" s="186">
        <v>27</v>
      </c>
      <c r="M434" s="186">
        <v>28</v>
      </c>
      <c r="N434" s="186" t="s">
        <v>427</v>
      </c>
      <c r="O434" s="186">
        <f t="shared" si="226"/>
        <v>125</v>
      </c>
      <c r="P434" s="186">
        <f t="shared" si="227"/>
        <v>108</v>
      </c>
      <c r="Q434" s="186" t="str">
        <f t="shared" si="228"/>
        <v>HW</v>
      </c>
      <c r="R434" s="186" t="str">
        <f t="shared" si="229"/>
        <v>HW</v>
      </c>
      <c r="S434" s="186" t="str">
        <f t="shared" si="230"/>
        <v>HL</v>
      </c>
      <c r="T434" s="186" t="str">
        <f t="shared" si="231"/>
        <v>HW</v>
      </c>
      <c r="U434" s="186" t="str">
        <f t="shared" si="232"/>
        <v>T</v>
      </c>
      <c r="V434" s="186" t="str">
        <f t="shared" si="233"/>
        <v>O</v>
      </c>
      <c r="W434" s="186" t="str">
        <f t="shared" si="234"/>
        <v>U</v>
      </c>
      <c r="X434" s="186" t="str">
        <f t="shared" si="235"/>
        <v>O</v>
      </c>
      <c r="Y434">
        <v>227</v>
      </c>
      <c r="Z434" s="98">
        <v>57</v>
      </c>
      <c r="AA434" s="74" t="str">
        <f t="shared" si="215"/>
        <v>PHI/WAS</v>
      </c>
    </row>
    <row r="435" spans="1:27" x14ac:dyDescent="0.45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86">
        <v>23</v>
      </c>
      <c r="F435" s="186">
        <v>31</v>
      </c>
      <c r="G435" s="186">
        <v>16</v>
      </c>
      <c r="H435" s="186">
        <v>32</v>
      </c>
      <c r="I435" s="186"/>
      <c r="J435" s="186">
        <v>37</v>
      </c>
      <c r="K435" s="186">
        <v>31</v>
      </c>
      <c r="L435" s="186">
        <v>27</v>
      </c>
      <c r="M435" s="186">
        <v>28</v>
      </c>
      <c r="N435" s="186" t="s">
        <v>427</v>
      </c>
      <c r="O435" s="186">
        <f t="shared" si="226"/>
        <v>102</v>
      </c>
      <c r="P435" s="186">
        <f t="shared" si="227"/>
        <v>123</v>
      </c>
      <c r="Q435" s="186" t="str">
        <f t="shared" si="228"/>
        <v>HL</v>
      </c>
      <c r="R435" s="186" t="str">
        <f t="shared" si="229"/>
        <v>TT</v>
      </c>
      <c r="S435" s="186" t="str">
        <f t="shared" si="230"/>
        <v>HL</v>
      </c>
      <c r="T435" s="186" t="str">
        <f t="shared" si="231"/>
        <v>HW</v>
      </c>
      <c r="U435" s="186" t="str">
        <f t="shared" si="232"/>
        <v>O</v>
      </c>
      <c r="V435" s="186" t="str">
        <f t="shared" si="233"/>
        <v>O</v>
      </c>
      <c r="W435" s="186" t="str">
        <f t="shared" si="234"/>
        <v>U</v>
      </c>
      <c r="X435" s="186" t="str">
        <f t="shared" si="235"/>
        <v>O</v>
      </c>
      <c r="Y435">
        <v>227</v>
      </c>
      <c r="Z435" s="98">
        <v>57</v>
      </c>
      <c r="AA435" s="74" t="str">
        <f t="shared" si="215"/>
        <v>NYK/MIL</v>
      </c>
    </row>
    <row r="436" spans="1:27" x14ac:dyDescent="0.45">
      <c r="A436" s="50">
        <v>191222</v>
      </c>
      <c r="B436" s="51">
        <v>0.41666666666666669</v>
      </c>
      <c r="C436" s="5" t="s">
        <v>406</v>
      </c>
      <c r="D436" s="50" t="s">
        <v>416</v>
      </c>
      <c r="E436" s="186">
        <v>23</v>
      </c>
      <c r="F436" s="186">
        <v>37</v>
      </c>
      <c r="G436" s="186">
        <v>31</v>
      </c>
      <c r="H436" s="186">
        <v>28</v>
      </c>
      <c r="I436" s="186"/>
      <c r="J436" s="186">
        <v>21</v>
      </c>
      <c r="K436" s="186">
        <v>29</v>
      </c>
      <c r="L436" s="186">
        <v>28</v>
      </c>
      <c r="M436" s="186">
        <v>37</v>
      </c>
      <c r="N436" s="186" t="s">
        <v>427</v>
      </c>
      <c r="O436" s="186">
        <f t="shared" si="226"/>
        <v>119</v>
      </c>
      <c r="P436" s="186">
        <f t="shared" si="227"/>
        <v>115</v>
      </c>
      <c r="Q436" s="186" t="str">
        <f t="shared" si="228"/>
        <v>HW</v>
      </c>
      <c r="R436" s="186" t="str">
        <f t="shared" si="229"/>
        <v>HW</v>
      </c>
      <c r="S436" s="186" t="str">
        <f t="shared" si="230"/>
        <v>HW</v>
      </c>
      <c r="T436" s="186" t="str">
        <f t="shared" si="231"/>
        <v>HL</v>
      </c>
      <c r="U436" s="186" t="str">
        <f t="shared" si="232"/>
        <v>U</v>
      </c>
      <c r="V436" s="186" t="str">
        <f t="shared" si="233"/>
        <v>O</v>
      </c>
      <c r="W436" s="186" t="str">
        <f t="shared" si="234"/>
        <v>O</v>
      </c>
      <c r="X436" s="186" t="str">
        <f t="shared" si="235"/>
        <v>O</v>
      </c>
      <c r="Y436">
        <v>221.5</v>
      </c>
      <c r="Z436" s="98">
        <v>55.5</v>
      </c>
      <c r="AA436" s="74" t="str">
        <f t="shared" si="215"/>
        <v>MEM/SAC</v>
      </c>
    </row>
    <row r="437" spans="1:27" x14ac:dyDescent="0.45">
      <c r="A437" s="50">
        <v>191222</v>
      </c>
      <c r="B437" s="51">
        <v>0.4375</v>
      </c>
      <c r="C437" s="15" t="s">
        <v>426</v>
      </c>
      <c r="D437" s="11" t="s">
        <v>415</v>
      </c>
      <c r="E437" s="186">
        <v>31</v>
      </c>
      <c r="F437" s="186">
        <v>30</v>
      </c>
      <c r="G437" s="186">
        <v>22</v>
      </c>
      <c r="H437" s="186">
        <v>26</v>
      </c>
      <c r="I437" s="186"/>
      <c r="J437" s="186">
        <v>33</v>
      </c>
      <c r="K437" s="186">
        <v>39</v>
      </c>
      <c r="L437" s="186">
        <v>38</v>
      </c>
      <c r="M437" s="186">
        <v>24</v>
      </c>
      <c r="N437" s="186" t="s">
        <v>427</v>
      </c>
      <c r="O437" s="186">
        <f t="shared" si="226"/>
        <v>109</v>
      </c>
      <c r="P437" s="186">
        <f t="shared" si="227"/>
        <v>134</v>
      </c>
      <c r="Q437" s="186" t="str">
        <f t="shared" si="228"/>
        <v>HL</v>
      </c>
      <c r="R437" s="186" t="str">
        <f t="shared" si="229"/>
        <v>HL</v>
      </c>
      <c r="S437" s="186" t="str">
        <f t="shared" si="230"/>
        <v>HL</v>
      </c>
      <c r="T437" s="186" t="str">
        <f t="shared" si="231"/>
        <v>HW</v>
      </c>
      <c r="U437" s="186" t="str">
        <f t="shared" si="232"/>
        <v>O</v>
      </c>
      <c r="V437" s="186" t="str">
        <f t="shared" si="233"/>
        <v>O</v>
      </c>
      <c r="W437" s="186" t="str">
        <f t="shared" si="234"/>
        <v>O</v>
      </c>
      <c r="X437" s="186" t="str">
        <f t="shared" si="235"/>
        <v>U</v>
      </c>
      <c r="Y437">
        <v>226</v>
      </c>
      <c r="Z437" s="98">
        <v>56.5</v>
      </c>
      <c r="AA437" s="74" t="str">
        <f t="shared" si="215"/>
        <v>SAS/LAC</v>
      </c>
    </row>
    <row r="438" spans="1:27" x14ac:dyDescent="0.45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86">
        <v>35</v>
      </c>
      <c r="F438" s="186">
        <v>30</v>
      </c>
      <c r="G438" s="186">
        <v>30</v>
      </c>
      <c r="H438" s="186">
        <v>30</v>
      </c>
      <c r="I438" s="186"/>
      <c r="J438" s="186">
        <v>36</v>
      </c>
      <c r="K438" s="186">
        <v>34</v>
      </c>
      <c r="L438" s="186">
        <v>36</v>
      </c>
      <c r="M438" s="186">
        <v>33</v>
      </c>
      <c r="N438" s="186" t="s">
        <v>427</v>
      </c>
      <c r="O438" s="186">
        <f t="shared" si="226"/>
        <v>125</v>
      </c>
      <c r="P438" s="186">
        <f t="shared" si="227"/>
        <v>139</v>
      </c>
      <c r="Q438" s="186" t="str">
        <f t="shared" si="228"/>
        <v>HL</v>
      </c>
      <c r="R438" s="186" t="str">
        <f t="shared" si="229"/>
        <v>HL</v>
      </c>
      <c r="S438" s="186" t="str">
        <f t="shared" si="230"/>
        <v>HL</v>
      </c>
      <c r="T438" s="186" t="str">
        <f t="shared" si="231"/>
        <v>HL</v>
      </c>
      <c r="U438" s="186" t="str">
        <f t="shared" si="232"/>
        <v>O</v>
      </c>
      <c r="V438" s="186" t="str">
        <f t="shared" si="233"/>
        <v>O</v>
      </c>
      <c r="W438" s="186" t="str">
        <f t="shared" si="234"/>
        <v>O</v>
      </c>
      <c r="X438" s="186" t="str">
        <f t="shared" si="235"/>
        <v>O</v>
      </c>
      <c r="Y438">
        <v>235</v>
      </c>
      <c r="Z438" s="98">
        <v>59</v>
      </c>
      <c r="AA438" s="74" t="str">
        <f t="shared" si="215"/>
        <v>PHO/HOU</v>
      </c>
    </row>
    <row r="439" spans="1:27" x14ac:dyDescent="0.45">
      <c r="A439" s="50">
        <v>191222</v>
      </c>
      <c r="B439" s="51">
        <v>0.5</v>
      </c>
      <c r="C439" s="50" t="s">
        <v>417</v>
      </c>
      <c r="D439" s="50" t="s">
        <v>420</v>
      </c>
      <c r="E439" s="186">
        <v>27</v>
      </c>
      <c r="F439" s="186">
        <v>34</v>
      </c>
      <c r="G439" s="186">
        <v>22</v>
      </c>
      <c r="H439" s="186">
        <v>30</v>
      </c>
      <c r="I439" s="186"/>
      <c r="J439" s="186">
        <v>23</v>
      </c>
      <c r="K439" s="186">
        <v>29</v>
      </c>
      <c r="L439" s="186">
        <v>28</v>
      </c>
      <c r="M439" s="186">
        <v>26</v>
      </c>
      <c r="N439" s="186" t="s">
        <v>427</v>
      </c>
      <c r="O439" s="186">
        <f t="shared" si="226"/>
        <v>113</v>
      </c>
      <c r="P439" s="186">
        <f t="shared" si="227"/>
        <v>106</v>
      </c>
      <c r="Q439" s="186" t="str">
        <f t="shared" si="228"/>
        <v>HW</v>
      </c>
      <c r="R439" s="186" t="str">
        <f t="shared" si="229"/>
        <v>HW</v>
      </c>
      <c r="S439" s="186" t="str">
        <f t="shared" si="230"/>
        <v>HL</v>
      </c>
      <c r="T439" s="186" t="str">
        <f t="shared" si="231"/>
        <v>HW</v>
      </c>
      <c r="U439" s="186" t="str">
        <f t="shared" si="232"/>
        <v>U</v>
      </c>
      <c r="V439" s="186" t="str">
        <f t="shared" si="233"/>
        <v>O</v>
      </c>
      <c r="W439" s="186" t="str">
        <f t="shared" si="234"/>
        <v>U</v>
      </c>
      <c r="X439" s="186" t="str">
        <f t="shared" si="235"/>
        <v>U</v>
      </c>
      <c r="Y439">
        <v>228</v>
      </c>
      <c r="Z439" s="98">
        <v>57</v>
      </c>
      <c r="AA439" s="74" t="str">
        <f t="shared" si="215"/>
        <v>POR/MIN</v>
      </c>
    </row>
    <row r="440" spans="1:27" x14ac:dyDescent="0.45">
      <c r="A440" s="74">
        <v>191223</v>
      </c>
      <c r="B440" s="77">
        <v>0.22916666666666666</v>
      </c>
      <c r="C440" s="76" t="s">
        <v>413</v>
      </c>
      <c r="D440" s="76" t="s">
        <v>397</v>
      </c>
      <c r="E440" s="186">
        <v>20</v>
      </c>
      <c r="F440" s="186">
        <v>22</v>
      </c>
      <c r="G440" s="186">
        <v>21</v>
      </c>
      <c r="H440" s="186">
        <v>47</v>
      </c>
      <c r="I440" s="186"/>
      <c r="J440" s="186">
        <v>17</v>
      </c>
      <c r="K440" s="186">
        <v>34</v>
      </c>
      <c r="L440" s="186">
        <v>35</v>
      </c>
      <c r="M440" s="186">
        <v>21</v>
      </c>
      <c r="N440" s="186" t="s">
        <v>427</v>
      </c>
      <c r="O440" s="186">
        <f t="shared" si="226"/>
        <v>110</v>
      </c>
      <c r="P440" s="186">
        <f t="shared" si="227"/>
        <v>107</v>
      </c>
      <c r="Q440" s="186" t="str">
        <f t="shared" si="228"/>
        <v>HW</v>
      </c>
      <c r="R440" s="186" t="str">
        <f t="shared" si="229"/>
        <v>HL</v>
      </c>
      <c r="S440" s="186" t="str">
        <f t="shared" si="230"/>
        <v>HL</v>
      </c>
      <c r="T440" s="186" t="str">
        <f t="shared" si="231"/>
        <v>HW</v>
      </c>
      <c r="U440" s="186" t="str">
        <f t="shared" si="232"/>
        <v>U</v>
      </c>
      <c r="V440" s="186" t="str">
        <f t="shared" si="233"/>
        <v>O</v>
      </c>
      <c r="W440" s="186" t="str">
        <f t="shared" si="234"/>
        <v>O</v>
      </c>
      <c r="X440" s="186" t="str">
        <f t="shared" si="235"/>
        <v>O</v>
      </c>
      <c r="Y440">
        <v>218.5</v>
      </c>
      <c r="Z440" s="98">
        <v>55</v>
      </c>
      <c r="AA440" s="90" t="str">
        <f t="shared" si="215"/>
        <v>TOR/DAL</v>
      </c>
    </row>
    <row r="441" spans="1:27" x14ac:dyDescent="0.45">
      <c r="A441" s="76">
        <v>191223</v>
      </c>
      <c r="B441" s="77">
        <v>0.33333333333333331</v>
      </c>
      <c r="C441" s="76" t="s">
        <v>421</v>
      </c>
      <c r="D441" s="76" t="s">
        <v>409</v>
      </c>
      <c r="E441" s="186">
        <v>30</v>
      </c>
      <c r="F441" s="186">
        <v>29</v>
      </c>
      <c r="G441" s="186">
        <v>25</v>
      </c>
      <c r="H441" s="186">
        <v>35</v>
      </c>
      <c r="I441" s="186"/>
      <c r="J441" s="186">
        <v>37</v>
      </c>
      <c r="K441" s="186">
        <v>19</v>
      </c>
      <c r="L441" s="186">
        <v>21</v>
      </c>
      <c r="M441" s="186">
        <v>16</v>
      </c>
      <c r="N441" s="186" t="s">
        <v>427</v>
      </c>
      <c r="O441" s="186">
        <f t="shared" si="226"/>
        <v>119</v>
      </c>
      <c r="P441" s="186">
        <f t="shared" si="227"/>
        <v>93</v>
      </c>
      <c r="Q441" s="186" t="str">
        <f t="shared" si="228"/>
        <v>HL</v>
      </c>
      <c r="R441" s="186" t="str">
        <f t="shared" si="229"/>
        <v>HW</v>
      </c>
      <c r="S441" s="186" t="str">
        <f t="shared" si="230"/>
        <v>HW</v>
      </c>
      <c r="T441" s="186" t="str">
        <f t="shared" si="231"/>
        <v>HW</v>
      </c>
      <c r="U441" s="186" t="str">
        <f t="shared" si="232"/>
        <v>O</v>
      </c>
      <c r="V441" s="186" t="str">
        <f t="shared" si="233"/>
        <v>U</v>
      </c>
      <c r="W441" s="186" t="str">
        <f t="shared" si="234"/>
        <v>U</v>
      </c>
      <c r="X441" s="186" t="str">
        <f t="shared" si="235"/>
        <v>U</v>
      </c>
      <c r="Y441">
        <v>209.5</v>
      </c>
      <c r="Z441" s="98">
        <v>52.5</v>
      </c>
      <c r="AA441" s="90" t="str">
        <f t="shared" si="215"/>
        <v>BOS/CHA</v>
      </c>
    </row>
    <row r="442" spans="1:27" x14ac:dyDescent="0.45">
      <c r="A442" s="76">
        <v>191223</v>
      </c>
      <c r="B442" s="77">
        <v>0.375</v>
      </c>
      <c r="C442" s="76" t="s">
        <v>423</v>
      </c>
      <c r="D442" s="76" t="s">
        <v>400</v>
      </c>
      <c r="E442" s="186">
        <v>21</v>
      </c>
      <c r="F442" s="186">
        <v>38</v>
      </c>
      <c r="G442" s="186">
        <v>24</v>
      </c>
      <c r="H442" s="186">
        <v>34</v>
      </c>
      <c r="I442" s="186"/>
      <c r="J442" s="186">
        <v>22</v>
      </c>
      <c r="K442" s="186">
        <v>33</v>
      </c>
      <c r="L442" s="186">
        <v>18</v>
      </c>
      <c r="M442" s="186">
        <v>16</v>
      </c>
      <c r="N442" s="186"/>
      <c r="O442" s="186">
        <f t="shared" si="226"/>
        <v>117</v>
      </c>
      <c r="P442" s="186">
        <f t="shared" si="227"/>
        <v>89</v>
      </c>
      <c r="Q442" s="186" t="str">
        <f t="shared" si="228"/>
        <v>HL</v>
      </c>
      <c r="R442" s="186" t="str">
        <f t="shared" si="229"/>
        <v>HW</v>
      </c>
      <c r="S442" s="186" t="str">
        <f t="shared" si="230"/>
        <v>HW</v>
      </c>
      <c r="T442" s="186" t="str">
        <f t="shared" si="231"/>
        <v>HW</v>
      </c>
      <c r="U442" s="186" t="str">
        <f t="shared" si="232"/>
        <v>U</v>
      </c>
      <c r="V442" s="186" t="str">
        <f t="shared" si="233"/>
        <v>O</v>
      </c>
      <c r="W442" s="186" t="str">
        <f t="shared" si="234"/>
        <v>U</v>
      </c>
      <c r="X442" s="186" t="str">
        <f t="shared" si="235"/>
        <v>U</v>
      </c>
      <c r="Y442">
        <v>221</v>
      </c>
      <c r="Z442" s="98">
        <v>55.5</v>
      </c>
      <c r="AA442" s="90" t="str">
        <f t="shared" si="215"/>
        <v>MIL/IND</v>
      </c>
    </row>
    <row r="443" spans="1:27" x14ac:dyDescent="0.45">
      <c r="A443" s="76">
        <v>191223</v>
      </c>
      <c r="B443" s="77">
        <v>0.375</v>
      </c>
      <c r="C443" s="76" t="s">
        <v>418</v>
      </c>
      <c r="D443" s="76" t="s">
        <v>415</v>
      </c>
      <c r="E443" s="186">
        <v>27</v>
      </c>
      <c r="F443" s="186">
        <v>30</v>
      </c>
      <c r="G443" s="186">
        <v>29</v>
      </c>
      <c r="H443" s="186">
        <v>32</v>
      </c>
      <c r="I443" s="186"/>
      <c r="J443" s="186">
        <v>33</v>
      </c>
      <c r="K443" s="186">
        <v>30</v>
      </c>
      <c r="L443" s="186">
        <v>26</v>
      </c>
      <c r="M443" s="186">
        <v>23</v>
      </c>
      <c r="N443" s="186" t="s">
        <v>427</v>
      </c>
      <c r="O443" s="186">
        <f t="shared" si="226"/>
        <v>118</v>
      </c>
      <c r="P443" s="186">
        <f t="shared" si="227"/>
        <v>112</v>
      </c>
      <c r="Q443" s="186" t="str">
        <f t="shared" si="228"/>
        <v>HL</v>
      </c>
      <c r="R443" s="186" t="str">
        <f t="shared" si="229"/>
        <v>TT</v>
      </c>
      <c r="S443" s="186" t="str">
        <f t="shared" si="230"/>
        <v>HW</v>
      </c>
      <c r="T443" s="186" t="str">
        <f t="shared" si="231"/>
        <v>HW</v>
      </c>
      <c r="U443" s="186" t="str">
        <f t="shared" si="232"/>
        <v>O</v>
      </c>
      <c r="V443" s="186" t="str">
        <f t="shared" si="233"/>
        <v>O</v>
      </c>
      <c r="W443" s="186" t="str">
        <f t="shared" si="234"/>
        <v>U</v>
      </c>
      <c r="X443" s="186" t="str">
        <f t="shared" si="235"/>
        <v>U</v>
      </c>
      <c r="Y443">
        <v>223.5</v>
      </c>
      <c r="Z443" s="98">
        <v>56</v>
      </c>
      <c r="AA443" s="90" t="str">
        <f t="shared" si="215"/>
        <v>OKC/LAC</v>
      </c>
    </row>
    <row r="444" spans="1:27" x14ac:dyDescent="0.45">
      <c r="A444" s="76">
        <v>191223</v>
      </c>
      <c r="B444" s="77">
        <v>0.47916666666666669</v>
      </c>
      <c r="C444" s="76" t="s">
        <v>419</v>
      </c>
      <c r="D444" s="76" t="s">
        <v>408</v>
      </c>
      <c r="E444" s="186">
        <v>28</v>
      </c>
      <c r="F444" s="186">
        <v>25</v>
      </c>
      <c r="G444" s="186">
        <v>25</v>
      </c>
      <c r="H444" s="186">
        <v>26</v>
      </c>
      <c r="I444" s="186"/>
      <c r="J444" s="186">
        <v>23</v>
      </c>
      <c r="K444" s="186">
        <v>32</v>
      </c>
      <c r="L444" s="186">
        <v>36</v>
      </c>
      <c r="M444" s="186">
        <v>37</v>
      </c>
      <c r="N444" s="186" t="s">
        <v>427</v>
      </c>
      <c r="O444" s="186">
        <f t="shared" si="226"/>
        <v>104</v>
      </c>
      <c r="P444" s="186">
        <f t="shared" si="227"/>
        <v>128</v>
      </c>
      <c r="Q444" s="186" t="str">
        <f t="shared" si="228"/>
        <v>HW</v>
      </c>
      <c r="R444" s="186" t="str">
        <f t="shared" si="229"/>
        <v>HL</v>
      </c>
      <c r="S444" s="186" t="str">
        <f t="shared" si="230"/>
        <v>HL</v>
      </c>
      <c r="T444" s="186" t="str">
        <f t="shared" si="231"/>
        <v>HL</v>
      </c>
      <c r="U444" s="186" t="str">
        <f t="shared" si="232"/>
        <v>U</v>
      </c>
      <c r="V444" s="186" t="str">
        <f t="shared" si="233"/>
        <v>O</v>
      </c>
      <c r="W444" s="186" t="str">
        <f t="shared" si="234"/>
        <v>O</v>
      </c>
      <c r="X444" s="186" t="str">
        <f t="shared" si="235"/>
        <v>O</v>
      </c>
      <c r="Y444">
        <v>208</v>
      </c>
      <c r="Z444" s="98">
        <v>52</v>
      </c>
      <c r="AA444" s="90" t="str">
        <f t="shared" si="215"/>
        <v>LAL/DEN</v>
      </c>
    </row>
    <row r="445" spans="1:27" x14ac:dyDescent="0.45">
      <c r="A445" s="76">
        <v>191224</v>
      </c>
      <c r="B445" s="79">
        <v>0.375</v>
      </c>
      <c r="C445" s="78" t="s">
        <v>402</v>
      </c>
      <c r="D445" s="78" t="s">
        <v>410</v>
      </c>
      <c r="E445" s="186">
        <v>42</v>
      </c>
      <c r="F445" s="186">
        <v>29</v>
      </c>
      <c r="G445" s="186">
        <v>23</v>
      </c>
      <c r="H445" s="186">
        <v>27</v>
      </c>
      <c r="I445" s="186"/>
      <c r="J445" s="186">
        <v>32</v>
      </c>
      <c r="K445" s="186">
        <v>32</v>
      </c>
      <c r="L445" s="186">
        <v>30</v>
      </c>
      <c r="M445" s="186">
        <v>24</v>
      </c>
      <c r="N445" s="186" t="s">
        <v>427</v>
      </c>
      <c r="O445" s="186">
        <f t="shared" si="226"/>
        <v>121</v>
      </c>
      <c r="P445" s="186">
        <f t="shared" si="227"/>
        <v>118</v>
      </c>
      <c r="Q445" s="186" t="str">
        <f t="shared" si="228"/>
        <v>HW</v>
      </c>
      <c r="R445" s="186" t="str">
        <f t="shared" si="229"/>
        <v>HL</v>
      </c>
      <c r="S445" s="186" t="str">
        <f t="shared" si="230"/>
        <v>HL</v>
      </c>
      <c r="T445" s="186" t="str">
        <f t="shared" si="231"/>
        <v>HW</v>
      </c>
      <c r="U445" s="186" t="str">
        <f t="shared" si="232"/>
        <v>O</v>
      </c>
      <c r="V445" s="186" t="str">
        <f t="shared" si="233"/>
        <v>O</v>
      </c>
      <c r="W445" s="186" t="str">
        <f t="shared" si="234"/>
        <v>U</v>
      </c>
      <c r="X445" s="186" t="str">
        <f t="shared" si="235"/>
        <v>U</v>
      </c>
      <c r="Y445">
        <v>229.5</v>
      </c>
      <c r="Z445" s="98">
        <v>57.5</v>
      </c>
      <c r="AA445" s="90" t="str">
        <f t="shared" si="215"/>
        <v>CLE/ATL</v>
      </c>
    </row>
    <row r="446" spans="1:27" x14ac:dyDescent="0.45">
      <c r="A446" s="78">
        <v>191224</v>
      </c>
      <c r="B446" s="79">
        <v>0.375</v>
      </c>
      <c r="C446" s="78" t="s">
        <v>422</v>
      </c>
      <c r="D446" s="78" t="s">
        <v>401</v>
      </c>
      <c r="E446" s="186">
        <v>23</v>
      </c>
      <c r="F446" s="186">
        <v>29</v>
      </c>
      <c r="G446" s="186">
        <v>34</v>
      </c>
      <c r="H446" s="186">
        <v>23</v>
      </c>
      <c r="I446" s="186"/>
      <c r="J446" s="186">
        <v>30</v>
      </c>
      <c r="K446" s="186">
        <v>30</v>
      </c>
      <c r="L446" s="186">
        <v>34</v>
      </c>
      <c r="M446" s="186">
        <v>31</v>
      </c>
      <c r="N446" s="186" t="s">
        <v>427</v>
      </c>
      <c r="O446" s="186">
        <f t="shared" si="226"/>
        <v>109</v>
      </c>
      <c r="P446" s="186">
        <f t="shared" si="227"/>
        <v>125</v>
      </c>
      <c r="Q446" s="186" t="str">
        <f t="shared" si="228"/>
        <v>HL</v>
      </c>
      <c r="R446" s="186" t="str">
        <f t="shared" si="229"/>
        <v>HL</v>
      </c>
      <c r="S446" s="186" t="str">
        <f t="shared" si="230"/>
        <v>TT</v>
      </c>
      <c r="T446" s="186" t="str">
        <f t="shared" si="231"/>
        <v>HL</v>
      </c>
      <c r="U446" s="186" t="str">
        <f t="shared" si="232"/>
        <v>U</v>
      </c>
      <c r="V446" s="186" t="str">
        <f t="shared" si="233"/>
        <v>O</v>
      </c>
      <c r="W446" s="186" t="str">
        <f t="shared" si="234"/>
        <v>O</v>
      </c>
      <c r="X446" s="186" t="str">
        <f t="shared" si="235"/>
        <v>T</v>
      </c>
      <c r="Y446">
        <v>215</v>
      </c>
      <c r="Z446" s="98">
        <v>54</v>
      </c>
      <c r="AA446" s="90" t="str">
        <f t="shared" si="215"/>
        <v>DET/PHI</v>
      </c>
    </row>
    <row r="447" spans="1:27" x14ac:dyDescent="0.45">
      <c r="A447" s="78">
        <v>191224</v>
      </c>
      <c r="B447" s="79">
        <v>0.375</v>
      </c>
      <c r="C447" s="78" t="s">
        <v>400</v>
      </c>
      <c r="D447" s="78" t="s">
        <v>413</v>
      </c>
      <c r="E447" s="186">
        <v>30</v>
      </c>
      <c r="F447" s="186">
        <v>24</v>
      </c>
      <c r="G447" s="186">
        <v>24</v>
      </c>
      <c r="H447" s="186">
        <v>29</v>
      </c>
      <c r="I447" s="186">
        <v>13</v>
      </c>
      <c r="J447" s="186">
        <v>19</v>
      </c>
      <c r="K447" s="186">
        <v>25</v>
      </c>
      <c r="L447" s="186">
        <v>35</v>
      </c>
      <c r="M447" s="186">
        <v>28</v>
      </c>
      <c r="N447" s="186">
        <v>8</v>
      </c>
      <c r="O447" s="186">
        <f t="shared" si="226"/>
        <v>120</v>
      </c>
      <c r="P447" s="186">
        <f t="shared" si="227"/>
        <v>115</v>
      </c>
      <c r="Q447" s="186" t="str">
        <f t="shared" si="228"/>
        <v>HW</v>
      </c>
      <c r="R447" s="186" t="str">
        <f t="shared" si="229"/>
        <v>HL</v>
      </c>
      <c r="S447" s="186" t="str">
        <f t="shared" si="230"/>
        <v>HL</v>
      </c>
      <c r="T447" s="186" t="str">
        <f t="shared" si="231"/>
        <v>HW</v>
      </c>
      <c r="U447" s="186" t="str">
        <f t="shared" si="232"/>
        <v>U</v>
      </c>
      <c r="V447" s="186" t="str">
        <f t="shared" si="233"/>
        <v>U</v>
      </c>
      <c r="W447" s="186" t="str">
        <f t="shared" si="234"/>
        <v>O</v>
      </c>
      <c r="X447" s="186" t="str">
        <f t="shared" si="235"/>
        <v>O</v>
      </c>
      <c r="Y447">
        <v>209.5</v>
      </c>
      <c r="Z447" s="98">
        <v>52.5</v>
      </c>
      <c r="AA447" s="90" t="str">
        <f t="shared" si="215"/>
        <v>IND/TOR</v>
      </c>
    </row>
    <row r="448" spans="1:27" x14ac:dyDescent="0.45">
      <c r="A448" s="78">
        <v>191224</v>
      </c>
      <c r="B448" s="79">
        <v>0.375</v>
      </c>
      <c r="C448" s="78" t="s">
        <v>399</v>
      </c>
      <c r="D448" s="78" t="s">
        <v>414</v>
      </c>
      <c r="E448" s="186">
        <v>37</v>
      </c>
      <c r="F448" s="186">
        <v>27</v>
      </c>
      <c r="G448" s="186">
        <v>27</v>
      </c>
      <c r="H448" s="186">
        <v>24</v>
      </c>
      <c r="I448" s="186"/>
      <c r="J448" s="186">
        <v>32</v>
      </c>
      <c r="K448" s="186">
        <v>31</v>
      </c>
      <c r="L448" s="186">
        <v>31</v>
      </c>
      <c r="M448" s="186">
        <v>27</v>
      </c>
      <c r="N448" s="186" t="s">
        <v>427</v>
      </c>
      <c r="O448" s="186">
        <f t="shared" si="226"/>
        <v>115</v>
      </c>
      <c r="P448" s="186">
        <f t="shared" si="227"/>
        <v>121</v>
      </c>
      <c r="Q448" s="186" t="str">
        <f t="shared" si="228"/>
        <v>HW</v>
      </c>
      <c r="R448" s="186" t="str">
        <f t="shared" si="229"/>
        <v>HL</v>
      </c>
      <c r="S448" s="186" t="str">
        <f t="shared" si="230"/>
        <v>HL</v>
      </c>
      <c r="T448" s="186" t="str">
        <f t="shared" si="231"/>
        <v>HL</v>
      </c>
      <c r="U448" s="186" t="str">
        <f t="shared" si="232"/>
        <v>O</v>
      </c>
      <c r="V448" s="186" t="str">
        <f t="shared" si="233"/>
        <v>O</v>
      </c>
      <c r="W448" s="186" t="str">
        <f t="shared" si="234"/>
        <v>O</v>
      </c>
      <c r="X448" s="186" t="str">
        <f t="shared" si="235"/>
        <v>U</v>
      </c>
      <c r="Y448">
        <v>228</v>
      </c>
      <c r="Z448" s="98">
        <v>57</v>
      </c>
      <c r="AA448" s="90" t="str">
        <f t="shared" si="215"/>
        <v>NYK/WAS</v>
      </c>
    </row>
    <row r="449" spans="1:27" x14ac:dyDescent="0.45">
      <c r="A449" s="78">
        <v>191224</v>
      </c>
      <c r="B449" s="79">
        <v>0.375</v>
      </c>
      <c r="C449" s="78" t="s">
        <v>424</v>
      </c>
      <c r="D449" s="78" t="s">
        <v>412</v>
      </c>
      <c r="E449" s="186">
        <v>28</v>
      </c>
      <c r="F449" s="186">
        <v>23</v>
      </c>
      <c r="G449" s="186">
        <v>32</v>
      </c>
      <c r="H449" s="186">
        <v>20</v>
      </c>
      <c r="I449" s="186"/>
      <c r="J449" s="186">
        <v>28</v>
      </c>
      <c r="K449" s="186">
        <v>26</v>
      </c>
      <c r="L449" s="186">
        <v>27</v>
      </c>
      <c r="M449" s="186">
        <v>14</v>
      </c>
      <c r="N449" s="186" t="s">
        <v>427</v>
      </c>
      <c r="O449" s="186">
        <f t="shared" si="226"/>
        <v>103</v>
      </c>
      <c r="P449" s="186">
        <f t="shared" si="227"/>
        <v>95</v>
      </c>
      <c r="Q449" s="186" t="str">
        <f t="shared" si="228"/>
        <v>TT</v>
      </c>
      <c r="R449" s="186" t="str">
        <f t="shared" si="229"/>
        <v>HL</v>
      </c>
      <c r="S449" s="186" t="str">
        <f t="shared" si="230"/>
        <v>HW</v>
      </c>
      <c r="T449" s="186" t="str">
        <f t="shared" si="231"/>
        <v>HW</v>
      </c>
      <c r="U449" s="186" t="str">
        <f t="shared" si="232"/>
        <v>O</v>
      </c>
      <c r="V449" s="186" t="str">
        <f t="shared" si="233"/>
        <v>U</v>
      </c>
      <c r="W449" s="186" t="str">
        <f t="shared" si="234"/>
        <v>O</v>
      </c>
      <c r="X449" s="186" t="str">
        <f t="shared" si="235"/>
        <v>U</v>
      </c>
      <c r="Y449">
        <v>205</v>
      </c>
      <c r="Z449" s="98">
        <v>51.5</v>
      </c>
      <c r="AA449" s="90" t="str">
        <f t="shared" si="215"/>
        <v>ORL/CHI</v>
      </c>
    </row>
    <row r="450" spans="1:27" x14ac:dyDescent="0.45">
      <c r="A450" s="78">
        <v>191224</v>
      </c>
      <c r="B450" s="79">
        <v>0.39583333333333331</v>
      </c>
      <c r="C450" s="78" t="s">
        <v>411</v>
      </c>
      <c r="D450" s="78" t="s">
        <v>405</v>
      </c>
      <c r="E450" s="186">
        <v>32</v>
      </c>
      <c r="F450" s="186">
        <v>21</v>
      </c>
      <c r="G450" s="186">
        <v>23</v>
      </c>
      <c r="H450" s="186">
        <v>31</v>
      </c>
      <c r="I450" s="186"/>
      <c r="J450" s="186">
        <v>28</v>
      </c>
      <c r="K450" s="186">
        <v>24</v>
      </c>
      <c r="L450" s="186">
        <v>29</v>
      </c>
      <c r="M450" s="186">
        <v>23</v>
      </c>
      <c r="N450" s="186" t="s">
        <v>427</v>
      </c>
      <c r="O450" s="186">
        <f t="shared" si="226"/>
        <v>107</v>
      </c>
      <c r="P450" s="186">
        <f t="shared" si="227"/>
        <v>104</v>
      </c>
      <c r="Q450" s="186" t="str">
        <f t="shared" si="228"/>
        <v>HW</v>
      </c>
      <c r="R450" s="186" t="str">
        <f t="shared" si="229"/>
        <v>HL</v>
      </c>
      <c r="S450" s="186" t="str">
        <f t="shared" si="230"/>
        <v>HL</v>
      </c>
      <c r="T450" s="186" t="str">
        <f t="shared" si="231"/>
        <v>HW</v>
      </c>
      <c r="U450" s="186" t="str">
        <f t="shared" si="232"/>
        <v>O</v>
      </c>
      <c r="V450" s="186" t="str">
        <f t="shared" si="233"/>
        <v>U</v>
      </c>
      <c r="W450" s="186" t="str">
        <f t="shared" si="234"/>
        <v>U</v>
      </c>
      <c r="X450" s="186" t="str">
        <f t="shared" si="235"/>
        <v>O</v>
      </c>
      <c r="Y450">
        <v>213.5</v>
      </c>
      <c r="Z450" s="98">
        <v>53.5</v>
      </c>
      <c r="AA450" s="90" t="str">
        <f t="shared" si="215"/>
        <v>MIA/UTA</v>
      </c>
    </row>
    <row r="451" spans="1:27" x14ac:dyDescent="0.45">
      <c r="A451" s="78">
        <v>191224</v>
      </c>
      <c r="B451" s="79">
        <v>0.41666666666666669</v>
      </c>
      <c r="C451" s="78" t="s">
        <v>406</v>
      </c>
      <c r="D451" s="78" t="s">
        <v>426</v>
      </c>
      <c r="E451" s="186">
        <v>31</v>
      </c>
      <c r="F451" s="186">
        <v>30</v>
      </c>
      <c r="G451" s="186">
        <v>28</v>
      </c>
      <c r="H451" s="186">
        <v>26</v>
      </c>
      <c r="I451" s="186"/>
      <c r="J451" s="186">
        <v>46</v>
      </c>
      <c r="K451" s="186">
        <v>26</v>
      </c>
      <c r="L451" s="186">
        <v>36</v>
      </c>
      <c r="M451" s="186">
        <v>37</v>
      </c>
      <c r="N451" s="186" t="s">
        <v>427</v>
      </c>
      <c r="O451" s="186">
        <f t="shared" si="226"/>
        <v>115</v>
      </c>
      <c r="P451" s="186">
        <f t="shared" si="227"/>
        <v>145</v>
      </c>
      <c r="Q451" s="186" t="str">
        <f t="shared" si="228"/>
        <v>HL</v>
      </c>
      <c r="R451" s="186" t="str">
        <f t="shared" si="229"/>
        <v>HW</v>
      </c>
      <c r="S451" s="186" t="str">
        <f t="shared" si="230"/>
        <v>HL</v>
      </c>
      <c r="T451" s="186" t="str">
        <f t="shared" si="231"/>
        <v>HL</v>
      </c>
      <c r="U451" s="186" t="str">
        <f t="shared" si="232"/>
        <v>O</v>
      </c>
      <c r="V451" s="186" t="str">
        <f t="shared" si="233"/>
        <v>U</v>
      </c>
      <c r="W451" s="186" t="str">
        <f t="shared" si="234"/>
        <v>O</v>
      </c>
      <c r="X451" s="186" t="str">
        <f t="shared" si="235"/>
        <v>O</v>
      </c>
      <c r="Y451">
        <v>227</v>
      </c>
      <c r="Z451" s="98">
        <v>57</v>
      </c>
      <c r="AA451" s="90" t="str">
        <f t="shared" si="215"/>
        <v>MEM/SAS</v>
      </c>
    </row>
    <row r="452" spans="1:27" x14ac:dyDescent="0.45">
      <c r="A452" s="78">
        <v>191224</v>
      </c>
      <c r="B452" s="79">
        <v>0.45833333333333331</v>
      </c>
      <c r="C452" s="78" t="s">
        <v>404</v>
      </c>
      <c r="D452" s="78" t="s">
        <v>408</v>
      </c>
      <c r="E452" s="186">
        <v>22</v>
      </c>
      <c r="F452" s="186">
        <v>27</v>
      </c>
      <c r="G452" s="186">
        <v>32</v>
      </c>
      <c r="H452" s="186">
        <v>30</v>
      </c>
      <c r="I452" s="186"/>
      <c r="J452" s="186">
        <v>34</v>
      </c>
      <c r="K452" s="186">
        <v>22</v>
      </c>
      <c r="L452" s="186">
        <v>26</v>
      </c>
      <c r="M452" s="186">
        <v>31</v>
      </c>
      <c r="N452" s="186" t="s">
        <v>427</v>
      </c>
      <c r="O452" s="186">
        <f t="shared" si="226"/>
        <v>111</v>
      </c>
      <c r="P452" s="186">
        <f t="shared" si="227"/>
        <v>113</v>
      </c>
      <c r="Q452" s="186" t="str">
        <f t="shared" si="228"/>
        <v>HL</v>
      </c>
      <c r="R452" s="186" t="str">
        <f t="shared" si="229"/>
        <v>HW</v>
      </c>
      <c r="S452" s="186" t="str">
        <f t="shared" si="230"/>
        <v>HW</v>
      </c>
      <c r="T452" s="186" t="str">
        <f t="shared" si="231"/>
        <v>HL</v>
      </c>
      <c r="U452" s="186" t="str">
        <f t="shared" si="232"/>
        <v>O</v>
      </c>
      <c r="V452" s="186" t="str">
        <f t="shared" si="233"/>
        <v>U</v>
      </c>
      <c r="W452" s="186" t="str">
        <f t="shared" si="234"/>
        <v>O</v>
      </c>
      <c r="X452" s="186" t="str">
        <f t="shared" si="235"/>
        <v>O</v>
      </c>
      <c r="Y452">
        <v>218.5</v>
      </c>
      <c r="Z452" s="98">
        <v>55</v>
      </c>
      <c r="AA452" s="90" t="str">
        <f t="shared" si="215"/>
        <v>PHO/DEN</v>
      </c>
    </row>
    <row r="453" spans="1:27" x14ac:dyDescent="0.45">
      <c r="A453" s="78">
        <v>191224</v>
      </c>
      <c r="B453" s="79">
        <v>0.5</v>
      </c>
      <c r="C453" s="78" t="s">
        <v>417</v>
      </c>
      <c r="D453" s="78" t="s">
        <v>398</v>
      </c>
      <c r="E453" s="186">
        <v>31</v>
      </c>
      <c r="F453" s="186">
        <v>25</v>
      </c>
      <c r="G453" s="186">
        <v>21</v>
      </c>
      <c r="H453" s="186">
        <v>17</v>
      </c>
      <c r="I453" s="186"/>
      <c r="J453" s="186">
        <v>31</v>
      </c>
      <c r="K453" s="186">
        <v>23</v>
      </c>
      <c r="L453" s="186">
        <v>28</v>
      </c>
      <c r="M453" s="186">
        <v>20</v>
      </c>
      <c r="N453" s="186" t="s">
        <v>427</v>
      </c>
      <c r="O453" s="186">
        <f t="shared" si="226"/>
        <v>94</v>
      </c>
      <c r="P453" s="186">
        <f t="shared" si="227"/>
        <v>102</v>
      </c>
      <c r="Q453" s="186" t="str">
        <f t="shared" si="228"/>
        <v>TT</v>
      </c>
      <c r="R453" s="186" t="str">
        <f t="shared" si="229"/>
        <v>HW</v>
      </c>
      <c r="S453" s="186" t="str">
        <f t="shared" si="230"/>
        <v>HL</v>
      </c>
      <c r="T453" s="186" t="str">
        <f t="shared" si="231"/>
        <v>HL</v>
      </c>
      <c r="U453" s="186" t="str">
        <f t="shared" si="232"/>
        <v>O</v>
      </c>
      <c r="V453" s="186" t="str">
        <f t="shared" si="233"/>
        <v>U</v>
      </c>
      <c r="W453" s="186" t="str">
        <f t="shared" si="234"/>
        <v>U</v>
      </c>
      <c r="X453" s="186" t="str">
        <f t="shared" si="235"/>
        <v>U</v>
      </c>
      <c r="Y453">
        <v>230</v>
      </c>
      <c r="Z453" s="98">
        <v>57.5</v>
      </c>
      <c r="AA453" s="90" t="str">
        <f t="shared" si="215"/>
        <v>POR/NO</v>
      </c>
    </row>
    <row r="454" spans="1:27" x14ac:dyDescent="0.45">
      <c r="A454" s="78">
        <v>191224</v>
      </c>
      <c r="B454" s="79">
        <v>0.5</v>
      </c>
      <c r="C454" s="78" t="s">
        <v>416</v>
      </c>
      <c r="D454" s="78" t="s">
        <v>403</v>
      </c>
      <c r="E454" s="186">
        <v>21</v>
      </c>
      <c r="F454" s="186">
        <v>36</v>
      </c>
      <c r="G454" s="186">
        <v>22</v>
      </c>
      <c r="H454" s="186">
        <v>25</v>
      </c>
      <c r="I454" s="186"/>
      <c r="J454" s="186">
        <v>37</v>
      </c>
      <c r="K454" s="186">
        <v>28</v>
      </c>
      <c r="L454" s="186">
        <v>32</v>
      </c>
      <c r="M454" s="186">
        <v>16</v>
      </c>
      <c r="N454" s="186" t="s">
        <v>427</v>
      </c>
      <c r="O454" s="186">
        <f t="shared" si="226"/>
        <v>104</v>
      </c>
      <c r="P454" s="186">
        <f t="shared" si="227"/>
        <v>113</v>
      </c>
      <c r="Q454" s="186" t="str">
        <f t="shared" si="228"/>
        <v>HL</v>
      </c>
      <c r="R454" s="186" t="str">
        <f t="shared" si="229"/>
        <v>HW</v>
      </c>
      <c r="S454" s="186" t="str">
        <f t="shared" si="230"/>
        <v>HL</v>
      </c>
      <c r="T454" s="186" t="str">
        <f t="shared" si="231"/>
        <v>HW</v>
      </c>
      <c r="U454" s="186" t="str">
        <f t="shared" si="232"/>
        <v>O</v>
      </c>
      <c r="V454" s="186" t="str">
        <f t="shared" si="233"/>
        <v>O</v>
      </c>
      <c r="W454" s="186" t="str">
        <f t="shared" si="234"/>
        <v>U</v>
      </c>
      <c r="X454" s="186" t="str">
        <f t="shared" si="235"/>
        <v>U</v>
      </c>
      <c r="Y454">
        <v>230</v>
      </c>
      <c r="Z454" s="98">
        <v>57.5</v>
      </c>
      <c r="AA454" s="90" t="str">
        <f t="shared" si="215"/>
        <v>SAC/HOU</v>
      </c>
    </row>
    <row r="455" spans="1:27" x14ac:dyDescent="0.45">
      <c r="A455" s="78">
        <v>191224</v>
      </c>
      <c r="B455" s="79">
        <v>0.52083333333333337</v>
      </c>
      <c r="C455" s="78" t="s">
        <v>425</v>
      </c>
      <c r="D455" s="78" t="s">
        <v>420</v>
      </c>
      <c r="E455" s="186">
        <v>22</v>
      </c>
      <c r="F455" s="186">
        <v>35</v>
      </c>
      <c r="G455" s="186">
        <v>27</v>
      </c>
      <c r="H455" s="186">
        <v>29</v>
      </c>
      <c r="I455" s="186"/>
      <c r="J455" s="186">
        <v>22</v>
      </c>
      <c r="K455" s="186">
        <v>21</v>
      </c>
      <c r="L455" s="186">
        <v>24</v>
      </c>
      <c r="M455" s="186">
        <v>37</v>
      </c>
      <c r="N455" s="186" t="s">
        <v>427</v>
      </c>
      <c r="O455" s="186">
        <f t="shared" si="226"/>
        <v>113</v>
      </c>
      <c r="P455" s="186">
        <f t="shared" si="227"/>
        <v>104</v>
      </c>
      <c r="Q455" s="186" t="str">
        <f t="shared" si="228"/>
        <v>TT</v>
      </c>
      <c r="R455" s="186" t="str">
        <f t="shared" si="229"/>
        <v>HW</v>
      </c>
      <c r="S455" s="186" t="str">
        <f t="shared" si="230"/>
        <v>HW</v>
      </c>
      <c r="T455" s="186" t="str">
        <f t="shared" si="231"/>
        <v>HL</v>
      </c>
      <c r="U455" s="186" t="str">
        <f t="shared" si="232"/>
        <v>U</v>
      </c>
      <c r="V455" s="186" t="str">
        <f t="shared" si="233"/>
        <v>T</v>
      </c>
      <c r="W455" s="186" t="str">
        <f t="shared" si="234"/>
        <v>U</v>
      </c>
      <c r="X455" s="186" t="str">
        <f t="shared" si="235"/>
        <v>O</v>
      </c>
      <c r="Y455">
        <v>222.5</v>
      </c>
      <c r="Z455" s="98">
        <v>56</v>
      </c>
      <c r="AA455" s="90" t="str">
        <f t="shared" si="215"/>
        <v>GS/MIN</v>
      </c>
    </row>
    <row r="456" spans="1:27" x14ac:dyDescent="0.45">
      <c r="A456" s="78">
        <v>191226</v>
      </c>
      <c r="B456" s="81">
        <v>8.3333333333333329E-2</v>
      </c>
      <c r="C456" s="80" t="s">
        <v>413</v>
      </c>
      <c r="D456" s="80" t="s">
        <v>421</v>
      </c>
      <c r="E456" s="186">
        <v>19</v>
      </c>
      <c r="F456" s="186">
        <v>28</v>
      </c>
      <c r="G456" s="186">
        <v>22</v>
      </c>
      <c r="H456" s="186">
        <v>33</v>
      </c>
      <c r="I456" s="186"/>
      <c r="J456" s="186">
        <v>28</v>
      </c>
      <c r="K456" s="186">
        <v>27</v>
      </c>
      <c r="L456" s="186">
        <v>33</v>
      </c>
      <c r="M456" s="186">
        <v>30</v>
      </c>
      <c r="N456" s="186" t="s">
        <v>427</v>
      </c>
      <c r="O456" s="186">
        <f t="shared" si="226"/>
        <v>102</v>
      </c>
      <c r="P456" s="186">
        <f t="shared" si="227"/>
        <v>118</v>
      </c>
      <c r="Q456" s="186" t="str">
        <f t="shared" si="228"/>
        <v>HL</v>
      </c>
      <c r="R456" s="186" t="str">
        <f t="shared" si="229"/>
        <v>HW</v>
      </c>
      <c r="S456" s="186" t="str">
        <f t="shared" si="230"/>
        <v>HL</v>
      </c>
      <c r="T456" s="186" t="str">
        <f t="shared" si="231"/>
        <v>HW</v>
      </c>
      <c r="U456" s="186" t="str">
        <f t="shared" si="232"/>
        <v>U</v>
      </c>
      <c r="V456" s="186" t="str">
        <f t="shared" si="233"/>
        <v>O</v>
      </c>
      <c r="W456" s="186" t="str">
        <f t="shared" si="234"/>
        <v>O</v>
      </c>
      <c r="X456" s="186" t="str">
        <f t="shared" si="235"/>
        <v>O</v>
      </c>
      <c r="Z456">
        <v>53</v>
      </c>
      <c r="AA456" s="90" t="str">
        <f t="shared" si="215"/>
        <v>TOR/BOS</v>
      </c>
    </row>
    <row r="457" spans="1:27" x14ac:dyDescent="0.45">
      <c r="A457" s="80">
        <v>191226</v>
      </c>
      <c r="B457" s="81">
        <v>0.1875</v>
      </c>
      <c r="C457" s="80" t="s">
        <v>401</v>
      </c>
      <c r="D457" s="80" t="s">
        <v>423</v>
      </c>
      <c r="E457" s="186">
        <v>38</v>
      </c>
      <c r="F457" s="186">
        <v>31</v>
      </c>
      <c r="G457" s="186">
        <v>31</v>
      </c>
      <c r="H457" s="186">
        <v>21</v>
      </c>
      <c r="I457" s="186"/>
      <c r="J457" s="186">
        <v>30</v>
      </c>
      <c r="K457" s="186">
        <v>18</v>
      </c>
      <c r="L457" s="186">
        <v>25</v>
      </c>
      <c r="M457" s="186">
        <v>36</v>
      </c>
      <c r="N457" s="186" t="s">
        <v>427</v>
      </c>
      <c r="O457" s="186">
        <f t="shared" si="226"/>
        <v>121</v>
      </c>
      <c r="P457" s="186">
        <f t="shared" si="227"/>
        <v>109</v>
      </c>
      <c r="Q457" s="186" t="str">
        <f t="shared" si="228"/>
        <v>HW</v>
      </c>
      <c r="R457" s="186" t="str">
        <f t="shared" si="229"/>
        <v>HW</v>
      </c>
      <c r="S457" s="186" t="str">
        <f t="shared" si="230"/>
        <v>HW</v>
      </c>
      <c r="T457" s="186" t="str">
        <f t="shared" si="231"/>
        <v>HL</v>
      </c>
      <c r="U457" s="186" t="str">
        <f t="shared" si="232"/>
        <v>O</v>
      </c>
      <c r="V457" s="186" t="str">
        <f t="shared" si="233"/>
        <v>U</v>
      </c>
      <c r="W457" s="186" t="str">
        <f t="shared" si="234"/>
        <v>O</v>
      </c>
      <c r="X457" s="186" t="str">
        <f t="shared" si="235"/>
        <v>O</v>
      </c>
      <c r="Z457">
        <v>54.5</v>
      </c>
      <c r="AA457" s="90" t="str">
        <f t="shared" si="215"/>
        <v>PHI/MIL</v>
      </c>
    </row>
    <row r="458" spans="1:27" x14ac:dyDescent="0.45">
      <c r="A458" s="80">
        <v>191226</v>
      </c>
      <c r="B458" s="81">
        <v>0.29166666666666669</v>
      </c>
      <c r="C458" s="80" t="s">
        <v>425</v>
      </c>
      <c r="D458" s="80" t="s">
        <v>403</v>
      </c>
      <c r="E458" s="186">
        <v>28</v>
      </c>
      <c r="F458" s="186">
        <v>36</v>
      </c>
      <c r="G458" s="186">
        <v>28</v>
      </c>
      <c r="H458" s="186">
        <v>24</v>
      </c>
      <c r="I458" s="186"/>
      <c r="J458" s="186">
        <v>29</v>
      </c>
      <c r="K458" s="186">
        <v>39</v>
      </c>
      <c r="L458" s="186">
        <v>19</v>
      </c>
      <c r="M458" s="186">
        <v>17</v>
      </c>
      <c r="N458" s="186" t="s">
        <v>427</v>
      </c>
      <c r="O458" s="186">
        <f t="shared" si="226"/>
        <v>116</v>
      </c>
      <c r="P458" s="186">
        <f t="shared" si="227"/>
        <v>104</v>
      </c>
      <c r="Q458" s="186" t="str">
        <f t="shared" si="228"/>
        <v>HL</v>
      </c>
      <c r="R458" s="186" t="str">
        <f t="shared" si="229"/>
        <v>HL</v>
      </c>
      <c r="S458" s="186" t="str">
        <f t="shared" si="230"/>
        <v>HW</v>
      </c>
      <c r="T458" s="186" t="str">
        <f t="shared" si="231"/>
        <v>HW</v>
      </c>
      <c r="U458" s="186" t="str">
        <f t="shared" si="232"/>
        <v>U</v>
      </c>
      <c r="V458" s="186" t="str">
        <f t="shared" si="233"/>
        <v>O</v>
      </c>
      <c r="W458" s="186" t="str">
        <f t="shared" si="234"/>
        <v>U</v>
      </c>
      <c r="X458" s="186" t="str">
        <f t="shared" si="235"/>
        <v>U</v>
      </c>
      <c r="Z458">
        <v>59</v>
      </c>
      <c r="AA458" s="90" t="str">
        <f t="shared" si="215"/>
        <v>GS/HOU</v>
      </c>
    </row>
    <row r="459" spans="1:27" x14ac:dyDescent="0.45">
      <c r="A459" s="80">
        <v>191226</v>
      </c>
      <c r="B459" s="81">
        <v>0.41666666666666669</v>
      </c>
      <c r="C459" s="80" t="s">
        <v>419</v>
      </c>
      <c r="D459" s="80" t="s">
        <v>415</v>
      </c>
      <c r="E459" s="186">
        <v>33</v>
      </c>
      <c r="F459" s="186">
        <v>30</v>
      </c>
      <c r="G459" s="186">
        <v>23</v>
      </c>
      <c r="H459" s="186">
        <v>20</v>
      </c>
      <c r="I459" s="186"/>
      <c r="J459" s="186">
        <v>31</v>
      </c>
      <c r="K459" s="186">
        <v>20</v>
      </c>
      <c r="L459" s="186">
        <v>35</v>
      </c>
      <c r="M459" s="186">
        <v>25</v>
      </c>
      <c r="N459" s="186" t="s">
        <v>427</v>
      </c>
      <c r="O459" s="186">
        <f t="shared" si="226"/>
        <v>106</v>
      </c>
      <c r="P459" s="186">
        <f t="shared" si="227"/>
        <v>111</v>
      </c>
      <c r="Q459" s="186" t="str">
        <f t="shared" si="228"/>
        <v>HW</v>
      </c>
      <c r="R459" s="186" t="str">
        <f t="shared" si="229"/>
        <v>HW</v>
      </c>
      <c r="S459" s="186" t="str">
        <f t="shared" si="230"/>
        <v>HL</v>
      </c>
      <c r="T459" s="186" t="str">
        <f t="shared" si="231"/>
        <v>HL</v>
      </c>
      <c r="U459" s="186" t="str">
        <f t="shared" si="232"/>
        <v>O</v>
      </c>
      <c r="V459" s="186" t="str">
        <f t="shared" si="233"/>
        <v>U</v>
      </c>
      <c r="W459" s="186" t="str">
        <f t="shared" si="234"/>
        <v>T</v>
      </c>
      <c r="X459" s="186" t="str">
        <f t="shared" si="235"/>
        <v>U</v>
      </c>
      <c r="Z459">
        <v>58</v>
      </c>
      <c r="AA459" s="90" t="str">
        <f t="shared" si="215"/>
        <v>LAL/LAC</v>
      </c>
    </row>
    <row r="460" spans="1:27" x14ac:dyDescent="0.45">
      <c r="A460" s="80">
        <v>191226</v>
      </c>
      <c r="B460" s="81">
        <v>0.52083333333333337</v>
      </c>
      <c r="C460" s="80" t="s">
        <v>408</v>
      </c>
      <c r="D460" s="80" t="s">
        <v>398</v>
      </c>
      <c r="E460" s="186">
        <v>26</v>
      </c>
      <c r="F460" s="186">
        <v>29</v>
      </c>
      <c r="G460" s="186">
        <v>25</v>
      </c>
      <c r="H460" s="186">
        <v>20</v>
      </c>
      <c r="I460" s="186"/>
      <c r="J460" s="186">
        <v>29</v>
      </c>
      <c r="K460" s="186">
        <v>29</v>
      </c>
      <c r="L460" s="186">
        <v>26</v>
      </c>
      <c r="M460" s="186">
        <v>28</v>
      </c>
      <c r="N460" s="186" t="s">
        <v>427</v>
      </c>
      <c r="O460" s="186">
        <f t="shared" si="226"/>
        <v>100</v>
      </c>
      <c r="P460" s="186">
        <f t="shared" si="227"/>
        <v>112</v>
      </c>
      <c r="Q460" s="186" t="str">
        <f t="shared" si="228"/>
        <v>HL</v>
      </c>
      <c r="R460" s="186" t="str">
        <f t="shared" si="229"/>
        <v>TT</v>
      </c>
      <c r="S460" s="186" t="str">
        <f t="shared" si="230"/>
        <v>HL</v>
      </c>
      <c r="T460" s="186" t="str">
        <f t="shared" si="231"/>
        <v>HL</v>
      </c>
      <c r="U460" s="186" t="str">
        <f t="shared" si="232"/>
        <v>U</v>
      </c>
      <c r="V460" s="186" t="str">
        <f t="shared" si="233"/>
        <v>O</v>
      </c>
      <c r="W460" s="186" t="str">
        <f t="shared" si="234"/>
        <v>U</v>
      </c>
      <c r="X460" s="186" t="str">
        <f t="shared" si="235"/>
        <v>U</v>
      </c>
      <c r="Z460">
        <v>56</v>
      </c>
      <c r="AA460" s="90" t="str">
        <f t="shared" ref="AA460:AA523" si="236">C460&amp;"/"&amp;D460</f>
        <v>DEN/NO</v>
      </c>
    </row>
    <row r="461" spans="1:27" x14ac:dyDescent="0.45">
      <c r="A461" s="80">
        <v>191227</v>
      </c>
      <c r="B461" s="83">
        <v>0.375</v>
      </c>
      <c r="C461" s="82" t="s">
        <v>422</v>
      </c>
      <c r="D461" s="82" t="s">
        <v>414</v>
      </c>
      <c r="E461" s="186">
        <v>31</v>
      </c>
      <c r="F461" s="186">
        <v>37</v>
      </c>
      <c r="G461" s="186">
        <v>38</v>
      </c>
      <c r="H461" s="186">
        <v>26</v>
      </c>
      <c r="I461" s="186"/>
      <c r="J461" s="186">
        <v>23</v>
      </c>
      <c r="K461" s="186">
        <v>25</v>
      </c>
      <c r="L461" s="186">
        <v>28</v>
      </c>
      <c r="M461" s="186">
        <v>26</v>
      </c>
      <c r="N461" s="186" t="s">
        <v>427</v>
      </c>
      <c r="O461" s="186">
        <f t="shared" si="226"/>
        <v>132</v>
      </c>
      <c r="P461" s="186">
        <f t="shared" si="227"/>
        <v>102</v>
      </c>
      <c r="Q461" s="186" t="str">
        <f t="shared" si="228"/>
        <v>HW</v>
      </c>
      <c r="R461" s="186" t="str">
        <f t="shared" si="229"/>
        <v>HW</v>
      </c>
      <c r="S461" s="186" t="str">
        <f t="shared" si="230"/>
        <v>HW</v>
      </c>
      <c r="T461" s="186" t="str">
        <f t="shared" si="231"/>
        <v>TT</v>
      </c>
      <c r="U461" s="186" t="str">
        <f t="shared" si="232"/>
        <v>U</v>
      </c>
      <c r="V461" s="186" t="str">
        <f t="shared" si="233"/>
        <v>O</v>
      </c>
      <c r="W461" s="186" t="str">
        <f t="shared" si="234"/>
        <v>O</v>
      </c>
      <c r="X461" s="186" t="str">
        <f t="shared" si="235"/>
        <v>U</v>
      </c>
      <c r="Z461">
        <v>59</v>
      </c>
      <c r="AA461" s="90" t="str">
        <f t="shared" si="236"/>
        <v>DET/WAS</v>
      </c>
    </row>
    <row r="462" spans="1:27" x14ac:dyDescent="0.45">
      <c r="A462" s="82">
        <v>191227</v>
      </c>
      <c r="B462" s="83">
        <v>0.39583333333333331</v>
      </c>
      <c r="C462" s="82" t="s">
        <v>407</v>
      </c>
      <c r="D462" s="82" t="s">
        <v>399</v>
      </c>
      <c r="E462" s="186">
        <v>15</v>
      </c>
      <c r="F462" s="186">
        <v>26</v>
      </c>
      <c r="G462" s="186">
        <v>20</v>
      </c>
      <c r="H462" s="186">
        <v>21</v>
      </c>
      <c r="I462" s="186"/>
      <c r="J462" s="186">
        <v>24</v>
      </c>
      <c r="K462" s="186">
        <v>22</v>
      </c>
      <c r="L462" s="186">
        <v>33</v>
      </c>
      <c r="M462" s="186">
        <v>15</v>
      </c>
      <c r="N462" s="186" t="s">
        <v>427</v>
      </c>
      <c r="O462" s="186">
        <f t="shared" si="226"/>
        <v>82</v>
      </c>
      <c r="P462" s="186">
        <f t="shared" si="227"/>
        <v>94</v>
      </c>
      <c r="Q462" s="186" t="str">
        <f t="shared" si="228"/>
        <v>HL</v>
      </c>
      <c r="R462" s="186" t="str">
        <f t="shared" si="229"/>
        <v>HW</v>
      </c>
      <c r="S462" s="186" t="str">
        <f t="shared" si="230"/>
        <v>HL</v>
      </c>
      <c r="T462" s="186" t="str">
        <f t="shared" si="231"/>
        <v>HW</v>
      </c>
      <c r="U462" s="186" t="str">
        <f t="shared" si="232"/>
        <v>U</v>
      </c>
      <c r="V462" s="186" t="str">
        <f t="shared" si="233"/>
        <v>U</v>
      </c>
      <c r="W462" s="186" t="str">
        <f t="shared" si="234"/>
        <v>U</v>
      </c>
      <c r="X462" s="186" t="str">
        <f t="shared" si="235"/>
        <v>U</v>
      </c>
      <c r="Z462">
        <v>58</v>
      </c>
      <c r="AA462" s="90" t="str">
        <f t="shared" si="236"/>
        <v>BKN/NYK</v>
      </c>
    </row>
    <row r="463" spans="1:27" x14ac:dyDescent="0.45">
      <c r="A463" s="82">
        <v>191227</v>
      </c>
      <c r="B463" s="83">
        <v>0.41666666666666669</v>
      </c>
      <c r="C463" s="82" t="s">
        <v>397</v>
      </c>
      <c r="D463" s="82" t="s">
        <v>426</v>
      </c>
      <c r="E463" s="186">
        <v>20</v>
      </c>
      <c r="F463" s="186">
        <v>32</v>
      </c>
      <c r="G463" s="186">
        <v>27</v>
      </c>
      <c r="H463" s="186">
        <v>23</v>
      </c>
      <c r="I463" s="186"/>
      <c r="J463" s="186">
        <v>24</v>
      </c>
      <c r="K463" s="186">
        <v>23</v>
      </c>
      <c r="L463" s="186">
        <v>27</v>
      </c>
      <c r="M463" s="186">
        <v>24</v>
      </c>
      <c r="N463" s="186" t="s">
        <v>427</v>
      </c>
      <c r="O463" s="186">
        <f t="shared" si="226"/>
        <v>102</v>
      </c>
      <c r="P463" s="186">
        <f t="shared" si="227"/>
        <v>98</v>
      </c>
      <c r="Q463" s="186" t="str">
        <f t="shared" si="228"/>
        <v>HL</v>
      </c>
      <c r="R463" s="186" t="str">
        <f t="shared" si="229"/>
        <v>HW</v>
      </c>
      <c r="S463" s="186" t="str">
        <f t="shared" si="230"/>
        <v>TT</v>
      </c>
      <c r="T463" s="186" t="str">
        <f t="shared" si="231"/>
        <v>HL</v>
      </c>
      <c r="U463" s="186" t="str">
        <f t="shared" si="232"/>
        <v>U</v>
      </c>
      <c r="V463" s="186" t="str">
        <f t="shared" si="233"/>
        <v>U</v>
      </c>
      <c r="W463" s="186" t="str">
        <f t="shared" si="234"/>
        <v>U</v>
      </c>
      <c r="X463" s="186" t="str">
        <f t="shared" si="235"/>
        <v>U</v>
      </c>
      <c r="Z463">
        <v>56</v>
      </c>
      <c r="AA463" s="90" t="str">
        <f t="shared" si="236"/>
        <v>DAL/SAS</v>
      </c>
    </row>
    <row r="464" spans="1:27" x14ac:dyDescent="0.45">
      <c r="A464" s="82">
        <v>191227</v>
      </c>
      <c r="B464" s="83">
        <v>0.41666666666666669</v>
      </c>
      <c r="C464" s="82" t="s">
        <v>418</v>
      </c>
      <c r="D464" s="82" t="s">
        <v>406</v>
      </c>
      <c r="E464" s="186">
        <v>18</v>
      </c>
      <c r="F464" s="186">
        <v>29</v>
      </c>
      <c r="G464" s="186">
        <v>27</v>
      </c>
      <c r="H464" s="186">
        <v>23</v>
      </c>
      <c r="I464" s="186"/>
      <c r="J464" s="186">
        <v>23</v>
      </c>
      <c r="K464" s="186">
        <v>26</v>
      </c>
      <c r="L464" s="186">
        <v>37</v>
      </c>
      <c r="M464" s="186">
        <v>24</v>
      </c>
      <c r="N464" s="186" t="s">
        <v>427</v>
      </c>
      <c r="O464" s="186">
        <f t="shared" si="226"/>
        <v>97</v>
      </c>
      <c r="P464" s="186">
        <f t="shared" si="227"/>
        <v>110</v>
      </c>
      <c r="Q464" s="186" t="str">
        <f t="shared" si="228"/>
        <v>HL</v>
      </c>
      <c r="R464" s="186" t="str">
        <f t="shared" si="229"/>
        <v>HW</v>
      </c>
      <c r="S464" s="186" t="str">
        <f t="shared" si="230"/>
        <v>HL</v>
      </c>
      <c r="T464" s="186" t="str">
        <f t="shared" si="231"/>
        <v>HL</v>
      </c>
      <c r="U464" s="186" t="str">
        <f t="shared" si="232"/>
        <v>U</v>
      </c>
      <c r="V464" s="186" t="str">
        <f t="shared" si="233"/>
        <v>T</v>
      </c>
      <c r="W464" s="186" t="str">
        <f t="shared" si="234"/>
        <v>O</v>
      </c>
      <c r="X464" s="186" t="str">
        <f t="shared" si="235"/>
        <v>U</v>
      </c>
      <c r="Z464">
        <v>55</v>
      </c>
      <c r="AA464" s="90" t="str">
        <f t="shared" si="236"/>
        <v>OKC/MEM</v>
      </c>
    </row>
    <row r="465" spans="1:27" x14ac:dyDescent="0.45">
      <c r="A465" s="82">
        <v>191227</v>
      </c>
      <c r="B465" s="83">
        <v>0.5</v>
      </c>
      <c r="C465" s="82" t="s">
        <v>416</v>
      </c>
      <c r="D465" s="82" t="s">
        <v>420</v>
      </c>
      <c r="E465" s="186">
        <v>26</v>
      </c>
      <c r="F465" s="186">
        <v>22</v>
      </c>
      <c r="G465" s="186">
        <v>31</v>
      </c>
      <c r="H465" s="186">
        <v>11</v>
      </c>
      <c r="I465" s="186">
        <v>14</v>
      </c>
      <c r="J465" s="186">
        <v>21</v>
      </c>
      <c r="K465" s="186">
        <v>29</v>
      </c>
      <c r="L465" s="186">
        <v>21</v>
      </c>
      <c r="M465" s="186">
        <v>19</v>
      </c>
      <c r="N465" s="186">
        <v>15</v>
      </c>
      <c r="O465" s="186">
        <f t="shared" si="226"/>
        <v>104</v>
      </c>
      <c r="P465" s="186">
        <f t="shared" si="227"/>
        <v>105</v>
      </c>
      <c r="Q465" s="186" t="str">
        <f t="shared" si="228"/>
        <v>HW</v>
      </c>
      <c r="R465" s="186" t="str">
        <f t="shared" si="229"/>
        <v>HL</v>
      </c>
      <c r="S465" s="186" t="str">
        <f t="shared" si="230"/>
        <v>HW</v>
      </c>
      <c r="T465" s="186" t="str">
        <f t="shared" si="231"/>
        <v>HL</v>
      </c>
      <c r="U465" s="186" t="str">
        <f t="shared" si="232"/>
        <v>U</v>
      </c>
      <c r="V465" s="186" t="str">
        <f t="shared" si="233"/>
        <v>U</v>
      </c>
      <c r="W465" s="186" t="str">
        <f t="shared" si="234"/>
        <v>U</v>
      </c>
      <c r="X465" s="186" t="str">
        <f t="shared" si="235"/>
        <v>U</v>
      </c>
      <c r="Z465">
        <v>57</v>
      </c>
      <c r="AA465" s="90" t="str">
        <f t="shared" si="236"/>
        <v>SAC/MIN</v>
      </c>
    </row>
    <row r="466" spans="1:27" x14ac:dyDescent="0.45">
      <c r="A466" s="82">
        <v>191227</v>
      </c>
      <c r="B466" s="83">
        <v>0.52083333333333337</v>
      </c>
      <c r="C466" s="82" t="s">
        <v>405</v>
      </c>
      <c r="D466" s="82" t="s">
        <v>417</v>
      </c>
      <c r="E466" s="186">
        <v>37</v>
      </c>
      <c r="F466" s="186">
        <v>25</v>
      </c>
      <c r="G466" s="186">
        <v>34</v>
      </c>
      <c r="H466" s="186">
        <v>25</v>
      </c>
      <c r="I466" s="186"/>
      <c r="J466" s="186">
        <v>22</v>
      </c>
      <c r="K466" s="186">
        <v>30</v>
      </c>
      <c r="L466" s="186">
        <v>24</v>
      </c>
      <c r="M466" s="186">
        <v>39</v>
      </c>
      <c r="N466" s="186" t="s">
        <v>427</v>
      </c>
      <c r="O466" s="186">
        <f t="shared" si="226"/>
        <v>121</v>
      </c>
      <c r="P466" s="186">
        <f t="shared" si="227"/>
        <v>115</v>
      </c>
      <c r="Q466" s="186" t="str">
        <f t="shared" si="228"/>
        <v>HW</v>
      </c>
      <c r="R466" s="186" t="str">
        <f t="shared" si="229"/>
        <v>HL</v>
      </c>
      <c r="S466" s="186" t="str">
        <f t="shared" si="230"/>
        <v>HW</v>
      </c>
      <c r="T466" s="186" t="str">
        <f t="shared" si="231"/>
        <v>HL</v>
      </c>
      <c r="U466" s="186" t="str">
        <f t="shared" si="232"/>
        <v>O</v>
      </c>
      <c r="V466" s="186" t="str">
        <f t="shared" si="233"/>
        <v>U</v>
      </c>
      <c r="W466" s="186" t="str">
        <f t="shared" si="234"/>
        <v>O</v>
      </c>
      <c r="X466" s="186" t="str">
        <f t="shared" si="235"/>
        <v>O</v>
      </c>
      <c r="Z466">
        <v>56.5</v>
      </c>
      <c r="AA466" s="90" t="str">
        <f t="shared" si="236"/>
        <v>UTA/POR</v>
      </c>
    </row>
    <row r="467" spans="1:27" x14ac:dyDescent="0.45">
      <c r="A467" s="82">
        <v>191228</v>
      </c>
      <c r="B467" s="85">
        <v>0.25</v>
      </c>
      <c r="C467" s="84" t="s">
        <v>421</v>
      </c>
      <c r="D467" s="84" t="s">
        <v>402</v>
      </c>
      <c r="E467" s="186">
        <v>33</v>
      </c>
      <c r="F467" s="186">
        <v>29</v>
      </c>
      <c r="G467" s="186">
        <v>30</v>
      </c>
      <c r="H467" s="186">
        <v>37</v>
      </c>
      <c r="I467" s="186"/>
      <c r="J467" s="186">
        <v>22</v>
      </c>
      <c r="K467" s="186">
        <v>25</v>
      </c>
      <c r="L467" s="186">
        <v>34</v>
      </c>
      <c r="M467" s="186">
        <v>36</v>
      </c>
      <c r="N467" s="186" t="s">
        <v>427</v>
      </c>
      <c r="O467" s="186">
        <f t="shared" si="226"/>
        <v>129</v>
      </c>
      <c r="P467" s="186">
        <f t="shared" si="227"/>
        <v>117</v>
      </c>
      <c r="Q467" s="186" t="str">
        <f t="shared" si="228"/>
        <v>HW</v>
      </c>
      <c r="R467" s="186" t="str">
        <f t="shared" si="229"/>
        <v>HW</v>
      </c>
      <c r="S467" s="186" t="str">
        <f t="shared" si="230"/>
        <v>HL</v>
      </c>
      <c r="T467" s="186" t="str">
        <f t="shared" si="231"/>
        <v>HW</v>
      </c>
      <c r="U467" s="186" t="str">
        <f t="shared" si="232"/>
        <v>O</v>
      </c>
      <c r="V467" s="186" t="str">
        <f t="shared" si="233"/>
        <v>O</v>
      </c>
      <c r="W467" s="186" t="str">
        <f t="shared" si="234"/>
        <v>O</v>
      </c>
      <c r="X467" s="186" t="str">
        <f t="shared" si="235"/>
        <v>O</v>
      </c>
      <c r="Z467">
        <v>53.5</v>
      </c>
      <c r="AA467" s="90" t="str">
        <f t="shared" si="236"/>
        <v>BOS/CLE</v>
      </c>
    </row>
    <row r="468" spans="1:27" x14ac:dyDescent="0.45">
      <c r="A468" s="84">
        <v>191228</v>
      </c>
      <c r="B468" s="85">
        <v>0.375</v>
      </c>
      <c r="C468" s="84" t="s">
        <v>424</v>
      </c>
      <c r="D468" s="84" t="s">
        <v>401</v>
      </c>
      <c r="E468" s="186">
        <v>19</v>
      </c>
      <c r="F468" s="186">
        <v>27</v>
      </c>
      <c r="G468" s="186">
        <v>25</v>
      </c>
      <c r="H468" s="186">
        <v>27</v>
      </c>
      <c r="I468" s="186"/>
      <c r="J468" s="186">
        <v>21</v>
      </c>
      <c r="K468" s="186">
        <v>26</v>
      </c>
      <c r="L468" s="186">
        <v>21</v>
      </c>
      <c r="M468" s="186">
        <v>29</v>
      </c>
      <c r="N468" s="186" t="s">
        <v>427</v>
      </c>
      <c r="O468" s="186">
        <f t="shared" si="226"/>
        <v>98</v>
      </c>
      <c r="P468" s="186">
        <f t="shared" si="227"/>
        <v>97</v>
      </c>
      <c r="Q468" s="186" t="str">
        <f t="shared" si="228"/>
        <v>HL</v>
      </c>
      <c r="R468" s="186" t="str">
        <f t="shared" si="229"/>
        <v>HW</v>
      </c>
      <c r="S468" s="186" t="str">
        <f t="shared" si="230"/>
        <v>HW</v>
      </c>
      <c r="T468" s="186" t="str">
        <f t="shared" si="231"/>
        <v>HL</v>
      </c>
      <c r="U468" s="186" t="str">
        <f t="shared" si="232"/>
        <v>U</v>
      </c>
      <c r="V468" s="186" t="str">
        <f t="shared" si="233"/>
        <v>O</v>
      </c>
      <c r="W468" s="186" t="str">
        <f t="shared" si="234"/>
        <v>U</v>
      </c>
      <c r="X468" s="186" t="str">
        <f t="shared" si="235"/>
        <v>O</v>
      </c>
      <c r="Z468">
        <v>52</v>
      </c>
      <c r="AA468" s="90" t="str">
        <f t="shared" si="236"/>
        <v>ORL/PHI</v>
      </c>
    </row>
    <row r="469" spans="1:27" x14ac:dyDescent="0.45">
      <c r="A469" s="84">
        <v>191228</v>
      </c>
      <c r="B469" s="85">
        <v>0.375</v>
      </c>
      <c r="C469" s="84" t="s">
        <v>409</v>
      </c>
      <c r="D469" s="84" t="s">
        <v>418</v>
      </c>
      <c r="E469" s="186">
        <v>18</v>
      </c>
      <c r="F469" s="186">
        <v>25</v>
      </c>
      <c r="G469" s="186">
        <v>22</v>
      </c>
      <c r="H469" s="186">
        <v>29</v>
      </c>
      <c r="I469" s="186">
        <v>8</v>
      </c>
      <c r="J469" s="186">
        <v>26</v>
      </c>
      <c r="K469" s="186">
        <v>27</v>
      </c>
      <c r="L469" s="186">
        <v>19</v>
      </c>
      <c r="M469" s="186">
        <v>22</v>
      </c>
      <c r="N469" s="186">
        <v>10</v>
      </c>
      <c r="O469" s="186">
        <f t="shared" si="226"/>
        <v>102</v>
      </c>
      <c r="P469" s="186">
        <f t="shared" si="227"/>
        <v>104</v>
      </c>
      <c r="Q469" s="186" t="str">
        <f t="shared" si="228"/>
        <v>HL</v>
      </c>
      <c r="R469" s="186" t="str">
        <f t="shared" si="229"/>
        <v>HL</v>
      </c>
      <c r="S469" s="186" t="str">
        <f t="shared" si="230"/>
        <v>HW</v>
      </c>
      <c r="T469" s="186" t="str">
        <f t="shared" si="231"/>
        <v>HW</v>
      </c>
      <c r="U469" s="186" t="str">
        <f t="shared" si="232"/>
        <v>U</v>
      </c>
      <c r="V469" s="186" t="str">
        <f t="shared" si="233"/>
        <v>U</v>
      </c>
      <c r="W469" s="186" t="str">
        <f t="shared" si="234"/>
        <v>U</v>
      </c>
      <c r="X469" s="186" t="str">
        <f t="shared" si="235"/>
        <v>U</v>
      </c>
      <c r="Z469">
        <v>53.5</v>
      </c>
      <c r="AA469" s="90" t="str">
        <f t="shared" si="236"/>
        <v>CHA/OKC</v>
      </c>
    </row>
    <row r="470" spans="1:27" x14ac:dyDescent="0.45">
      <c r="A470" s="84">
        <v>191228</v>
      </c>
      <c r="B470" s="85">
        <v>0.39583333333333331</v>
      </c>
      <c r="C470" s="84" t="s">
        <v>410</v>
      </c>
      <c r="D470" s="84" t="s">
        <v>423</v>
      </c>
      <c r="E470" s="186">
        <v>19</v>
      </c>
      <c r="F470" s="186">
        <v>21</v>
      </c>
      <c r="G470" s="186">
        <v>23</v>
      </c>
      <c r="H470" s="186">
        <v>23</v>
      </c>
      <c r="I470" s="186"/>
      <c r="J470" s="186">
        <v>32</v>
      </c>
      <c r="K470" s="186">
        <v>31</v>
      </c>
      <c r="L470" s="186">
        <v>21</v>
      </c>
      <c r="M470" s="186">
        <v>28</v>
      </c>
      <c r="N470" s="186" t="s">
        <v>427</v>
      </c>
      <c r="O470" s="186">
        <f t="shared" si="226"/>
        <v>86</v>
      </c>
      <c r="P470" s="186">
        <f t="shared" si="227"/>
        <v>112</v>
      </c>
      <c r="Q470" s="186" t="str">
        <f t="shared" si="228"/>
        <v>HL</v>
      </c>
      <c r="R470" s="186" t="str">
        <f t="shared" si="229"/>
        <v>HL</v>
      </c>
      <c r="S470" s="186" t="str">
        <f t="shared" si="230"/>
        <v>HW</v>
      </c>
      <c r="T470" s="186" t="str">
        <f t="shared" si="231"/>
        <v>HL</v>
      </c>
      <c r="U470" s="186" t="str">
        <f t="shared" si="232"/>
        <v>U</v>
      </c>
      <c r="V470" s="186" t="str">
        <f t="shared" si="233"/>
        <v>U</v>
      </c>
      <c r="W470" s="186" t="str">
        <f t="shared" si="234"/>
        <v>U</v>
      </c>
      <c r="X470" s="186" t="str">
        <f t="shared" si="235"/>
        <v>U</v>
      </c>
      <c r="Z470">
        <v>58</v>
      </c>
      <c r="AA470" s="90" t="str">
        <f t="shared" si="236"/>
        <v>ATL/MIL</v>
      </c>
    </row>
    <row r="471" spans="1:27" x14ac:dyDescent="0.45">
      <c r="A471" s="84">
        <v>191228</v>
      </c>
      <c r="B471" s="85">
        <v>0.41666666666666669</v>
      </c>
      <c r="C471" s="84" t="s">
        <v>411</v>
      </c>
      <c r="D471" s="84" t="s">
        <v>400</v>
      </c>
      <c r="E471" s="186">
        <v>25</v>
      </c>
      <c r="F471" s="186">
        <v>33</v>
      </c>
      <c r="G471" s="186">
        <v>26</v>
      </c>
      <c r="H471" s="186">
        <v>29</v>
      </c>
      <c r="I471" s="186"/>
      <c r="J471" s="186">
        <v>27</v>
      </c>
      <c r="K471" s="186">
        <v>28</v>
      </c>
      <c r="L471" s="186">
        <v>27</v>
      </c>
      <c r="M471" s="186">
        <v>30</v>
      </c>
      <c r="N471" s="186" t="s">
        <v>427</v>
      </c>
      <c r="O471" s="186">
        <f t="shared" si="226"/>
        <v>113</v>
      </c>
      <c r="P471" s="186">
        <f t="shared" si="227"/>
        <v>112</v>
      </c>
      <c r="Q471" s="186" t="str">
        <f t="shared" si="228"/>
        <v>HL</v>
      </c>
      <c r="R471" s="186" t="str">
        <f t="shared" si="229"/>
        <v>HW</v>
      </c>
      <c r="S471" s="186" t="str">
        <f t="shared" si="230"/>
        <v>HL</v>
      </c>
      <c r="T471" s="186" t="str">
        <f t="shared" si="231"/>
        <v>HL</v>
      </c>
      <c r="U471" s="186" t="str">
        <f t="shared" si="232"/>
        <v>U</v>
      </c>
      <c r="V471" s="186" t="str">
        <f t="shared" si="233"/>
        <v>O</v>
      </c>
      <c r="W471" s="186" t="str">
        <f t="shared" si="234"/>
        <v>U</v>
      </c>
      <c r="X471" s="186" t="str">
        <f t="shared" si="235"/>
        <v>O</v>
      </c>
      <c r="Z471">
        <v>54.5</v>
      </c>
      <c r="AA471" s="90" t="str">
        <f t="shared" si="236"/>
        <v>MIA/IND</v>
      </c>
    </row>
    <row r="472" spans="1:27" x14ac:dyDescent="0.45">
      <c r="A472" s="84">
        <v>191228</v>
      </c>
      <c r="B472" s="85">
        <v>0.52083333333333337</v>
      </c>
      <c r="C472" s="84" t="s">
        <v>425</v>
      </c>
      <c r="D472" s="84" t="s">
        <v>404</v>
      </c>
      <c r="E472" s="186">
        <v>25</v>
      </c>
      <c r="F472" s="186">
        <v>18</v>
      </c>
      <c r="G472" s="186">
        <v>23</v>
      </c>
      <c r="H472" s="186">
        <v>39</v>
      </c>
      <c r="I472" s="186"/>
      <c r="J472" s="186">
        <v>29</v>
      </c>
      <c r="K472" s="186">
        <v>22</v>
      </c>
      <c r="L472" s="186">
        <v>27</v>
      </c>
      <c r="M472" s="186">
        <v>18</v>
      </c>
      <c r="N472" s="186" t="s">
        <v>427</v>
      </c>
      <c r="O472" s="186">
        <f t="shared" si="226"/>
        <v>105</v>
      </c>
      <c r="P472" s="186">
        <f t="shared" si="227"/>
        <v>96</v>
      </c>
      <c r="Q472" s="186" t="str">
        <f t="shared" si="228"/>
        <v>HL</v>
      </c>
      <c r="R472" s="186" t="str">
        <f t="shared" si="229"/>
        <v>HL</v>
      </c>
      <c r="S472" s="186" t="str">
        <f t="shared" si="230"/>
        <v>HL</v>
      </c>
      <c r="T472" s="186" t="str">
        <f t="shared" si="231"/>
        <v>HW</v>
      </c>
      <c r="U472" s="186" t="str">
        <f t="shared" si="232"/>
        <v>U</v>
      </c>
      <c r="V472" s="186" t="str">
        <f t="shared" si="233"/>
        <v>U</v>
      </c>
      <c r="W472" s="186" t="str">
        <f t="shared" si="234"/>
        <v>U</v>
      </c>
      <c r="X472" s="186" t="str">
        <f t="shared" si="235"/>
        <v>O</v>
      </c>
      <c r="Z472">
        <v>55.5</v>
      </c>
      <c r="AA472" s="90" t="str">
        <f t="shared" si="236"/>
        <v>GS/PHO</v>
      </c>
    </row>
    <row r="473" spans="1:27" x14ac:dyDescent="0.45">
      <c r="A473" s="84">
        <v>191229</v>
      </c>
      <c r="B473" s="87">
        <v>0.29166666666666669</v>
      </c>
      <c r="C473" s="86" t="s">
        <v>408</v>
      </c>
      <c r="D473" s="86" t="s">
        <v>406</v>
      </c>
      <c r="E473" s="186">
        <v>26</v>
      </c>
      <c r="F473" s="186">
        <v>24</v>
      </c>
      <c r="G473" s="186">
        <v>32</v>
      </c>
      <c r="H473" s="186">
        <v>37</v>
      </c>
      <c r="I473" s="186"/>
      <c r="J473" s="186">
        <v>11</v>
      </c>
      <c r="K473" s="186">
        <v>28</v>
      </c>
      <c r="L473" s="186">
        <v>29</v>
      </c>
      <c r="M473" s="186">
        <v>42</v>
      </c>
      <c r="N473" s="186" t="s">
        <v>427</v>
      </c>
      <c r="O473" s="186">
        <f t="shared" si="226"/>
        <v>119</v>
      </c>
      <c r="P473" s="186">
        <f t="shared" si="227"/>
        <v>110</v>
      </c>
      <c r="Q473" s="186" t="str">
        <f t="shared" si="228"/>
        <v>HW</v>
      </c>
      <c r="R473" s="186" t="str">
        <f t="shared" si="229"/>
        <v>HL</v>
      </c>
      <c r="S473" s="186" t="str">
        <f t="shared" si="230"/>
        <v>HW</v>
      </c>
      <c r="T473" s="186" t="str">
        <f t="shared" si="231"/>
        <v>HL</v>
      </c>
      <c r="U473" s="186" t="str">
        <f t="shared" si="232"/>
        <v>U</v>
      </c>
      <c r="V473" s="186" t="str">
        <f t="shared" si="233"/>
        <v>U</v>
      </c>
      <c r="W473" s="186" t="str">
        <f t="shared" si="234"/>
        <v>O</v>
      </c>
      <c r="X473" s="186" t="str">
        <f t="shared" si="235"/>
        <v>O</v>
      </c>
      <c r="Z473">
        <v>54.5</v>
      </c>
      <c r="AA473" s="90" t="str">
        <f t="shared" si="236"/>
        <v>DEN/MEM</v>
      </c>
    </row>
    <row r="474" spans="1:27" x14ac:dyDescent="0.45">
      <c r="A474" s="86">
        <v>191229</v>
      </c>
      <c r="B474" s="87">
        <v>0.375</v>
      </c>
      <c r="C474" s="86" t="s">
        <v>421</v>
      </c>
      <c r="D474" s="86" t="s">
        <v>413</v>
      </c>
      <c r="E474" s="186">
        <v>25</v>
      </c>
      <c r="F474" s="186">
        <v>29</v>
      </c>
      <c r="G474" s="186">
        <v>25</v>
      </c>
      <c r="H474" s="186">
        <v>18</v>
      </c>
      <c r="I474" s="186"/>
      <c r="J474" s="186">
        <v>36</v>
      </c>
      <c r="K474" s="186">
        <v>23</v>
      </c>
      <c r="L474" s="186">
        <v>30</v>
      </c>
      <c r="M474" s="186">
        <v>24</v>
      </c>
      <c r="N474" s="186" t="s">
        <v>427</v>
      </c>
      <c r="O474" s="186">
        <f t="shared" si="226"/>
        <v>97</v>
      </c>
      <c r="P474" s="186">
        <f t="shared" si="227"/>
        <v>113</v>
      </c>
      <c r="Q474" s="186" t="str">
        <f t="shared" si="228"/>
        <v>HL</v>
      </c>
      <c r="R474" s="186" t="str">
        <f t="shared" si="229"/>
        <v>HW</v>
      </c>
      <c r="S474" s="186" t="str">
        <f t="shared" si="230"/>
        <v>HL</v>
      </c>
      <c r="T474" s="186" t="str">
        <f t="shared" si="231"/>
        <v>HL</v>
      </c>
      <c r="U474" s="186" t="str">
        <f t="shared" si="232"/>
        <v>O</v>
      </c>
      <c r="V474" s="186" t="str">
        <f t="shared" si="233"/>
        <v>U</v>
      </c>
      <c r="W474" s="186" t="str">
        <f t="shared" si="234"/>
        <v>U</v>
      </c>
      <c r="X474" s="186" t="str">
        <f t="shared" si="235"/>
        <v>U</v>
      </c>
      <c r="Z474">
        <v>55.5</v>
      </c>
      <c r="AA474" s="90" t="str">
        <f t="shared" si="236"/>
        <v>BOS/TOR</v>
      </c>
    </row>
    <row r="475" spans="1:27" x14ac:dyDescent="0.45">
      <c r="A475" s="86">
        <v>191229</v>
      </c>
      <c r="B475" s="87">
        <v>0.375</v>
      </c>
      <c r="C475" s="86" t="s">
        <v>398</v>
      </c>
      <c r="D475" s="86" t="s">
        <v>400</v>
      </c>
      <c r="E475" s="186">
        <v>19</v>
      </c>
      <c r="F475" s="186">
        <v>29</v>
      </c>
      <c r="G475" s="186">
        <v>38</v>
      </c>
      <c r="H475" s="186">
        <v>34</v>
      </c>
      <c r="I475" s="186"/>
      <c r="J475" s="186">
        <v>32</v>
      </c>
      <c r="K475" s="186">
        <v>13</v>
      </c>
      <c r="L475" s="186">
        <v>23</v>
      </c>
      <c r="M475" s="186">
        <v>30</v>
      </c>
      <c r="N475" s="186" t="s">
        <v>427</v>
      </c>
      <c r="O475" s="186">
        <f t="shared" si="226"/>
        <v>120</v>
      </c>
      <c r="P475" s="186">
        <f t="shared" si="227"/>
        <v>98</v>
      </c>
      <c r="Q475" s="186" t="str">
        <f t="shared" si="228"/>
        <v>HL</v>
      </c>
      <c r="R475" s="186" t="str">
        <f t="shared" si="229"/>
        <v>HW</v>
      </c>
      <c r="S475" s="186" t="str">
        <f t="shared" si="230"/>
        <v>HW</v>
      </c>
      <c r="T475" s="186" t="str">
        <f t="shared" si="231"/>
        <v>HW</v>
      </c>
      <c r="U475" s="186" t="str">
        <f t="shared" si="232"/>
        <v>U</v>
      </c>
      <c r="V475" s="186" t="str">
        <f t="shared" si="233"/>
        <v>U</v>
      </c>
      <c r="W475" s="186" t="str">
        <f t="shared" si="234"/>
        <v>O</v>
      </c>
      <c r="X475" s="186" t="str">
        <f t="shared" si="235"/>
        <v>O</v>
      </c>
      <c r="Z475">
        <v>56.5</v>
      </c>
      <c r="AA475" s="90" t="str">
        <f t="shared" si="236"/>
        <v>NO/IND</v>
      </c>
    </row>
    <row r="476" spans="1:27" x14ac:dyDescent="0.45">
      <c r="A476" s="86">
        <v>191229</v>
      </c>
      <c r="B476" s="87">
        <v>0.41666666666666669</v>
      </c>
      <c r="C476" s="86" t="s">
        <v>412</v>
      </c>
      <c r="D476" s="86" t="s">
        <v>410</v>
      </c>
      <c r="E476" s="186">
        <v>35</v>
      </c>
      <c r="F476" s="186">
        <v>29</v>
      </c>
      <c r="G476" s="186">
        <v>19</v>
      </c>
      <c r="H476" s="186">
        <v>33</v>
      </c>
      <c r="I476" s="186"/>
      <c r="J476" s="186">
        <v>19</v>
      </c>
      <c r="K476" s="186">
        <v>24</v>
      </c>
      <c r="L476" s="186">
        <v>22</v>
      </c>
      <c r="M476" s="186">
        <v>16</v>
      </c>
      <c r="N476" s="186" t="s">
        <v>427</v>
      </c>
      <c r="O476" s="186">
        <f t="shared" si="226"/>
        <v>116</v>
      </c>
      <c r="P476" s="186">
        <f t="shared" si="227"/>
        <v>81</v>
      </c>
      <c r="Q476" s="186" t="str">
        <f t="shared" si="228"/>
        <v>HW</v>
      </c>
      <c r="R476" s="186" t="str">
        <f t="shared" si="229"/>
        <v>HW</v>
      </c>
      <c r="S476" s="186" t="str">
        <f t="shared" si="230"/>
        <v>HL</v>
      </c>
      <c r="T476" s="186" t="str">
        <f t="shared" si="231"/>
        <v>HW</v>
      </c>
      <c r="U476" s="186" t="str">
        <f t="shared" si="232"/>
        <v>U</v>
      </c>
      <c r="V476" s="186" t="str">
        <f t="shared" si="233"/>
        <v>U</v>
      </c>
      <c r="W476" s="186" t="str">
        <f t="shared" si="234"/>
        <v>U</v>
      </c>
      <c r="X476" s="186" t="str">
        <f t="shared" si="235"/>
        <v>U</v>
      </c>
      <c r="Z476">
        <v>55.5</v>
      </c>
      <c r="AA476" s="90" t="str">
        <f t="shared" si="236"/>
        <v>CHI/ATL</v>
      </c>
    </row>
    <row r="477" spans="1:27" x14ac:dyDescent="0.45">
      <c r="A477" s="86">
        <v>191229</v>
      </c>
      <c r="B477" s="87">
        <v>0.41666666666666669</v>
      </c>
      <c r="C477" s="86" t="s">
        <v>403</v>
      </c>
      <c r="D477" s="86" t="s">
        <v>407</v>
      </c>
      <c r="E477" s="186">
        <v>42</v>
      </c>
      <c r="F477" s="186">
        <v>21</v>
      </c>
      <c r="G477" s="186">
        <v>25</v>
      </c>
      <c r="H477" s="186">
        <v>20</v>
      </c>
      <c r="I477" s="186"/>
      <c r="J477" s="186">
        <v>20</v>
      </c>
      <c r="K477" s="186">
        <v>34</v>
      </c>
      <c r="L477" s="186">
        <v>25</v>
      </c>
      <c r="M477" s="186">
        <v>19</v>
      </c>
      <c r="N477" s="186" t="s">
        <v>427</v>
      </c>
      <c r="O477" s="186">
        <f t="shared" si="226"/>
        <v>108</v>
      </c>
      <c r="P477" s="186">
        <f t="shared" si="227"/>
        <v>98</v>
      </c>
      <c r="Q477" s="186" t="str">
        <f t="shared" si="228"/>
        <v>HW</v>
      </c>
      <c r="R477" s="186" t="str">
        <f t="shared" si="229"/>
        <v>HL</v>
      </c>
      <c r="S477" s="186" t="str">
        <f t="shared" si="230"/>
        <v>TT</v>
      </c>
      <c r="T477" s="186" t="str">
        <f t="shared" si="231"/>
        <v>HW</v>
      </c>
      <c r="U477" s="186" t="str">
        <f t="shared" si="232"/>
        <v>O</v>
      </c>
      <c r="V477" s="186" t="str">
        <f t="shared" si="233"/>
        <v>U</v>
      </c>
      <c r="W477" s="186" t="str">
        <f t="shared" si="234"/>
        <v>U</v>
      </c>
      <c r="X477" s="186" t="str">
        <f t="shared" si="235"/>
        <v>U</v>
      </c>
      <c r="Z477">
        <v>57.5</v>
      </c>
      <c r="AA477" s="90" t="str">
        <f t="shared" si="236"/>
        <v>HOU/BKN</v>
      </c>
    </row>
    <row r="478" spans="1:27" x14ac:dyDescent="0.45">
      <c r="A478" s="86">
        <v>191229</v>
      </c>
      <c r="B478" s="87">
        <v>0.41666666666666669</v>
      </c>
      <c r="C478" s="86" t="s">
        <v>411</v>
      </c>
      <c r="D478" s="86" t="s">
        <v>401</v>
      </c>
      <c r="E478" s="186">
        <v>28</v>
      </c>
      <c r="F478" s="186">
        <v>26</v>
      </c>
      <c r="G478" s="186">
        <v>31</v>
      </c>
      <c r="H478" s="186">
        <v>23</v>
      </c>
      <c r="I478" s="186">
        <v>9</v>
      </c>
      <c r="J478" s="186">
        <v>33</v>
      </c>
      <c r="K478" s="186">
        <v>26</v>
      </c>
      <c r="L478" s="186">
        <v>20</v>
      </c>
      <c r="M478" s="186">
        <v>29</v>
      </c>
      <c r="N478" s="186">
        <v>8</v>
      </c>
      <c r="O478" s="186">
        <f t="shared" si="226"/>
        <v>117</v>
      </c>
      <c r="P478" s="186">
        <f t="shared" si="227"/>
        <v>116</v>
      </c>
      <c r="Q478" s="186" t="str">
        <f t="shared" si="228"/>
        <v>HL</v>
      </c>
      <c r="R478" s="186" t="str">
        <f t="shared" si="229"/>
        <v>TT</v>
      </c>
      <c r="S478" s="186" t="str">
        <f t="shared" si="230"/>
        <v>HW</v>
      </c>
      <c r="T478" s="186" t="str">
        <f t="shared" si="231"/>
        <v>HL</v>
      </c>
      <c r="U478" s="186" t="str">
        <f t="shared" si="232"/>
        <v>O</v>
      </c>
      <c r="V478" s="186" t="str">
        <f t="shared" si="233"/>
        <v>U</v>
      </c>
      <c r="W478" s="186" t="str">
        <f t="shared" si="234"/>
        <v>U</v>
      </c>
      <c r="X478" s="186" t="str">
        <f t="shared" si="235"/>
        <v>U</v>
      </c>
      <c r="Z478">
        <v>52.5</v>
      </c>
      <c r="AA478" s="90" t="str">
        <f t="shared" si="236"/>
        <v>MIA/PHI</v>
      </c>
    </row>
    <row r="479" spans="1:27" x14ac:dyDescent="0.45">
      <c r="A479" s="86">
        <v>191229</v>
      </c>
      <c r="B479" s="87">
        <v>0.41666666666666669</v>
      </c>
      <c r="C479" s="86" t="s">
        <v>420</v>
      </c>
      <c r="D479" s="86" t="s">
        <v>402</v>
      </c>
      <c r="E479" s="186">
        <v>21</v>
      </c>
      <c r="F479" s="186">
        <v>22</v>
      </c>
      <c r="G479" s="186">
        <v>17</v>
      </c>
      <c r="H479" s="186">
        <v>28</v>
      </c>
      <c r="I479" s="186"/>
      <c r="J479" s="186">
        <v>27</v>
      </c>
      <c r="K479" s="186">
        <v>22</v>
      </c>
      <c r="L479" s="186">
        <v>18</v>
      </c>
      <c r="M479" s="186">
        <v>27</v>
      </c>
      <c r="N479" s="186" t="s">
        <v>427</v>
      </c>
      <c r="O479" s="186">
        <f t="shared" si="226"/>
        <v>88</v>
      </c>
      <c r="P479" s="186">
        <f t="shared" si="227"/>
        <v>94</v>
      </c>
      <c r="Q479" s="186" t="str">
        <f t="shared" si="228"/>
        <v>HL</v>
      </c>
      <c r="R479" s="186" t="str">
        <f t="shared" si="229"/>
        <v>TT</v>
      </c>
      <c r="S479" s="186" t="str">
        <f t="shared" si="230"/>
        <v>HL</v>
      </c>
      <c r="T479" s="186" t="str">
        <f t="shared" si="231"/>
        <v>HW</v>
      </c>
      <c r="U479" s="186" t="str">
        <f t="shared" si="232"/>
        <v>U</v>
      </c>
      <c r="V479" s="186" t="str">
        <f t="shared" si="233"/>
        <v>U</v>
      </c>
      <c r="W479" s="186" t="str">
        <f t="shared" si="234"/>
        <v>U</v>
      </c>
      <c r="X479" s="186" t="str">
        <f t="shared" si="235"/>
        <v>O</v>
      </c>
      <c r="Z479">
        <v>53.5</v>
      </c>
      <c r="AA479" s="90" t="str">
        <f t="shared" si="236"/>
        <v>MIN/CLE</v>
      </c>
    </row>
    <row r="480" spans="1:27" x14ac:dyDescent="0.45">
      <c r="A480" s="86">
        <v>191229</v>
      </c>
      <c r="B480" s="87">
        <v>0.41666666666666669</v>
      </c>
      <c r="C480" s="86" t="s">
        <v>414</v>
      </c>
      <c r="D480" s="86" t="s">
        <v>399</v>
      </c>
      <c r="E480" s="186">
        <v>23</v>
      </c>
      <c r="F480" s="186">
        <v>35</v>
      </c>
      <c r="G480" s="186">
        <v>20</v>
      </c>
      <c r="H480" s="186">
        <v>22</v>
      </c>
      <c r="I480" s="186"/>
      <c r="J480" s="186">
        <v>33</v>
      </c>
      <c r="K480" s="186">
        <v>26</v>
      </c>
      <c r="L480" s="186">
        <v>27</v>
      </c>
      <c r="M480" s="186">
        <v>21</v>
      </c>
      <c r="N480" s="186" t="s">
        <v>427</v>
      </c>
      <c r="O480" s="186">
        <f t="shared" si="226"/>
        <v>100</v>
      </c>
      <c r="P480" s="186">
        <f t="shared" si="227"/>
        <v>107</v>
      </c>
      <c r="Q480" s="186" t="str">
        <f t="shared" si="228"/>
        <v>HL</v>
      </c>
      <c r="R480" s="186" t="str">
        <f t="shared" si="229"/>
        <v>HW</v>
      </c>
      <c r="S480" s="186" t="str">
        <f t="shared" si="230"/>
        <v>HL</v>
      </c>
      <c r="T480" s="186" t="str">
        <f t="shared" si="231"/>
        <v>HW</v>
      </c>
      <c r="U480" s="186" t="str">
        <f t="shared" si="232"/>
        <v>U</v>
      </c>
      <c r="V480" s="186" t="str">
        <f t="shared" si="233"/>
        <v>O</v>
      </c>
      <c r="W480" s="186" t="str">
        <f t="shared" si="234"/>
        <v>U</v>
      </c>
      <c r="X480" s="186" t="str">
        <f t="shared" si="235"/>
        <v>U</v>
      </c>
      <c r="Z480">
        <v>58</v>
      </c>
      <c r="AA480" s="90" t="str">
        <f t="shared" si="236"/>
        <v>WAS/NYK</v>
      </c>
    </row>
    <row r="481" spans="1:27" x14ac:dyDescent="0.45">
      <c r="A481" s="86">
        <v>191229</v>
      </c>
      <c r="B481" s="87">
        <v>0.4375</v>
      </c>
      <c r="C481" s="86" t="s">
        <v>425</v>
      </c>
      <c r="D481" s="86" t="s">
        <v>397</v>
      </c>
      <c r="E481" s="186">
        <v>41</v>
      </c>
      <c r="F481" s="186">
        <v>33</v>
      </c>
      <c r="G481" s="186">
        <v>24</v>
      </c>
      <c r="H481" s="186">
        <v>23</v>
      </c>
      <c r="I481" s="186"/>
      <c r="J481" s="186">
        <v>41</v>
      </c>
      <c r="K481" s="186">
        <v>31</v>
      </c>
      <c r="L481" s="186">
        <v>45</v>
      </c>
      <c r="M481" s="186">
        <v>24</v>
      </c>
      <c r="N481" s="186" t="s">
        <v>427</v>
      </c>
      <c r="O481" s="186">
        <f t="shared" si="226"/>
        <v>121</v>
      </c>
      <c r="P481" s="186">
        <f t="shared" si="227"/>
        <v>141</v>
      </c>
      <c r="Q481" s="186" t="str">
        <f t="shared" si="228"/>
        <v>TT</v>
      </c>
      <c r="R481" s="186" t="str">
        <f t="shared" si="229"/>
        <v>HW</v>
      </c>
      <c r="S481" s="186" t="str">
        <f t="shared" si="230"/>
        <v>HL</v>
      </c>
      <c r="T481" s="186" t="str">
        <f t="shared" si="231"/>
        <v>HL</v>
      </c>
      <c r="U481" s="186" t="str">
        <f t="shared" si="232"/>
        <v>O</v>
      </c>
      <c r="V481" s="186" t="str">
        <f t="shared" si="233"/>
        <v>O</v>
      </c>
      <c r="W481" s="186" t="str">
        <f t="shared" si="234"/>
        <v>O</v>
      </c>
      <c r="X481" s="186" t="str">
        <f t="shared" si="235"/>
        <v>U</v>
      </c>
      <c r="Z481">
        <v>56</v>
      </c>
      <c r="AA481" s="90" t="str">
        <f t="shared" si="236"/>
        <v>GS/DAL</v>
      </c>
    </row>
    <row r="482" spans="1:27" x14ac:dyDescent="0.45">
      <c r="A482" s="86">
        <v>191229</v>
      </c>
      <c r="B482" s="87">
        <v>0.4375</v>
      </c>
      <c r="C482" s="86" t="s">
        <v>423</v>
      </c>
      <c r="D482" s="86" t="s">
        <v>424</v>
      </c>
      <c r="E482" s="186">
        <v>37</v>
      </c>
      <c r="F482" s="186">
        <v>19</v>
      </c>
      <c r="G482" s="186">
        <v>22</v>
      </c>
      <c r="H482" s="186">
        <v>33</v>
      </c>
      <c r="I482" s="186"/>
      <c r="J482" s="186">
        <v>25</v>
      </c>
      <c r="K482" s="186">
        <v>21</v>
      </c>
      <c r="L482" s="186">
        <v>28</v>
      </c>
      <c r="M482" s="186">
        <v>26</v>
      </c>
      <c r="N482" s="186" t="s">
        <v>427</v>
      </c>
      <c r="O482" s="186">
        <f t="shared" si="226"/>
        <v>111</v>
      </c>
      <c r="P482" s="186">
        <f t="shared" si="227"/>
        <v>100</v>
      </c>
      <c r="Q482" s="186" t="str">
        <f t="shared" si="228"/>
        <v>HW</v>
      </c>
      <c r="R482" s="186" t="str">
        <f t="shared" si="229"/>
        <v>HL</v>
      </c>
      <c r="S482" s="186" t="str">
        <f t="shared" si="230"/>
        <v>HL</v>
      </c>
      <c r="T482" s="186" t="str">
        <f t="shared" si="231"/>
        <v>HW</v>
      </c>
      <c r="U482" s="186" t="str">
        <f t="shared" si="232"/>
        <v>O</v>
      </c>
      <c r="V482" s="186" t="str">
        <f t="shared" si="233"/>
        <v>U</v>
      </c>
      <c r="W482" s="186" t="str">
        <f t="shared" si="234"/>
        <v>U</v>
      </c>
      <c r="X482" s="186" t="str">
        <f t="shared" si="235"/>
        <v>O</v>
      </c>
      <c r="Z482">
        <v>55.5</v>
      </c>
      <c r="AA482" s="90" t="str">
        <f t="shared" si="236"/>
        <v>MIL/ORL</v>
      </c>
    </row>
    <row r="483" spans="1:27" x14ac:dyDescent="0.45">
      <c r="A483" s="86">
        <v>191229</v>
      </c>
      <c r="B483" s="87">
        <v>0.4375</v>
      </c>
      <c r="C483" s="86" t="s">
        <v>426</v>
      </c>
      <c r="D483" s="86" t="s">
        <v>422</v>
      </c>
      <c r="E483" s="186">
        <v>30</v>
      </c>
      <c r="F483" s="186">
        <v>29</v>
      </c>
      <c r="G483" s="186">
        <v>42</v>
      </c>
      <c r="H483" s="186">
        <v>35</v>
      </c>
      <c r="I483" s="186"/>
      <c r="J483" s="186">
        <v>28</v>
      </c>
      <c r="K483" s="186">
        <v>27</v>
      </c>
      <c r="L483" s="186">
        <v>25</v>
      </c>
      <c r="M483" s="186">
        <v>29</v>
      </c>
      <c r="N483" s="186" t="s">
        <v>427</v>
      </c>
      <c r="O483" s="186">
        <f t="shared" si="226"/>
        <v>136</v>
      </c>
      <c r="P483" s="186">
        <f t="shared" si="227"/>
        <v>109</v>
      </c>
      <c r="Q483" s="186" t="str">
        <f t="shared" si="228"/>
        <v>HW</v>
      </c>
      <c r="R483" s="186" t="str">
        <f t="shared" si="229"/>
        <v>HW</v>
      </c>
      <c r="S483" s="186" t="str">
        <f t="shared" si="230"/>
        <v>HW</v>
      </c>
      <c r="T483" s="186" t="str">
        <f t="shared" si="231"/>
        <v>HW</v>
      </c>
      <c r="U483" s="186" t="str">
        <f t="shared" si="232"/>
        <v>O</v>
      </c>
      <c r="V483" s="186" t="str">
        <f t="shared" si="233"/>
        <v>U</v>
      </c>
      <c r="W483" s="186" t="str">
        <f t="shared" si="234"/>
        <v>O</v>
      </c>
      <c r="X483" s="186" t="str">
        <f t="shared" si="235"/>
        <v>O</v>
      </c>
      <c r="Z483">
        <v>57</v>
      </c>
      <c r="AA483" s="90" t="str">
        <f t="shared" si="236"/>
        <v>SAS/DET</v>
      </c>
    </row>
    <row r="484" spans="1:27" x14ac:dyDescent="0.45">
      <c r="A484" s="86">
        <v>191229</v>
      </c>
      <c r="B484" s="87">
        <v>0.45833333333333331</v>
      </c>
      <c r="C484" s="86" t="s">
        <v>416</v>
      </c>
      <c r="D484" s="86" t="s">
        <v>404</v>
      </c>
      <c r="E484" s="186">
        <v>30</v>
      </c>
      <c r="F484" s="186">
        <v>19</v>
      </c>
      <c r="G484" s="186">
        <v>28</v>
      </c>
      <c r="H484" s="186">
        <v>33</v>
      </c>
      <c r="I484" s="186"/>
      <c r="J484" s="186">
        <v>31</v>
      </c>
      <c r="K484" s="186">
        <v>28</v>
      </c>
      <c r="L484" s="186">
        <v>22</v>
      </c>
      <c r="M484" s="186">
        <v>31</v>
      </c>
      <c r="N484" s="186" t="s">
        <v>427</v>
      </c>
      <c r="O484" s="186">
        <f t="shared" si="226"/>
        <v>110</v>
      </c>
      <c r="P484" s="186">
        <f t="shared" si="227"/>
        <v>112</v>
      </c>
      <c r="Q484" s="186" t="str">
        <f t="shared" si="228"/>
        <v>HL</v>
      </c>
      <c r="R484" s="186" t="str">
        <f t="shared" si="229"/>
        <v>HL</v>
      </c>
      <c r="S484" s="186" t="str">
        <f t="shared" si="230"/>
        <v>HW</v>
      </c>
      <c r="T484" s="186" t="str">
        <f t="shared" si="231"/>
        <v>HW</v>
      </c>
      <c r="U484" s="186" t="str">
        <f t="shared" si="232"/>
        <v>O</v>
      </c>
      <c r="V484" s="186" t="str">
        <f t="shared" si="233"/>
        <v>U</v>
      </c>
      <c r="W484" s="186" t="str">
        <f t="shared" si="234"/>
        <v>U</v>
      </c>
      <c r="X484" s="186" t="str">
        <f t="shared" si="235"/>
        <v>O</v>
      </c>
      <c r="Z484">
        <v>53.5</v>
      </c>
      <c r="AA484" s="90" t="str">
        <f t="shared" si="236"/>
        <v>SAC/PHO</v>
      </c>
    </row>
    <row r="485" spans="1:27" x14ac:dyDescent="0.45">
      <c r="A485" s="86">
        <v>191229</v>
      </c>
      <c r="B485" s="87">
        <v>0.5</v>
      </c>
      <c r="C485" s="86" t="s">
        <v>417</v>
      </c>
      <c r="D485" s="86" t="s">
        <v>419</v>
      </c>
      <c r="E485" s="186">
        <v>32</v>
      </c>
      <c r="F485" s="186">
        <v>32</v>
      </c>
      <c r="G485" s="186">
        <v>31</v>
      </c>
      <c r="H485" s="186">
        <v>25</v>
      </c>
      <c r="I485" s="186"/>
      <c r="J485" s="186">
        <v>34</v>
      </c>
      <c r="K485" s="186">
        <v>37</v>
      </c>
      <c r="L485" s="186">
        <v>32</v>
      </c>
      <c r="M485" s="186">
        <v>25</v>
      </c>
      <c r="N485" s="186" t="s">
        <v>427</v>
      </c>
      <c r="O485" s="186">
        <f t="shared" si="226"/>
        <v>120</v>
      </c>
      <c r="P485" s="186">
        <f t="shared" si="227"/>
        <v>128</v>
      </c>
      <c r="Q485" s="186" t="str">
        <f t="shared" si="228"/>
        <v>HL</v>
      </c>
      <c r="R485" s="186" t="str">
        <f t="shared" si="229"/>
        <v>HL</v>
      </c>
      <c r="S485" s="186" t="str">
        <f t="shared" si="230"/>
        <v>HL</v>
      </c>
      <c r="T485" s="186" t="str">
        <f t="shared" si="231"/>
        <v>TT</v>
      </c>
      <c r="U485" s="186" t="str">
        <f t="shared" si="232"/>
        <v>O</v>
      </c>
      <c r="V485" s="186" t="str">
        <f t="shared" si="233"/>
        <v>O</v>
      </c>
      <c r="W485" s="186" t="str">
        <f t="shared" si="234"/>
        <v>O</v>
      </c>
      <c r="X485" s="186" t="str">
        <f t="shared" si="235"/>
        <v>U</v>
      </c>
      <c r="Z485">
        <v>57.5</v>
      </c>
      <c r="AA485" s="90" t="str">
        <f t="shared" si="236"/>
        <v>POR/LAL</v>
      </c>
    </row>
    <row r="486" spans="1:27" x14ac:dyDescent="0.45">
      <c r="A486" s="86">
        <v>191229</v>
      </c>
      <c r="B486" s="87">
        <v>0.52083333333333337</v>
      </c>
      <c r="C486" s="86" t="s">
        <v>415</v>
      </c>
      <c r="D486" s="86" t="s">
        <v>405</v>
      </c>
      <c r="E486" s="186">
        <v>32</v>
      </c>
      <c r="F486" s="186">
        <v>31</v>
      </c>
      <c r="G486" s="186">
        <v>29</v>
      </c>
      <c r="H486" s="186">
        <v>15</v>
      </c>
      <c r="I486" s="186"/>
      <c r="J486" s="186">
        <v>22</v>
      </c>
      <c r="K486" s="186">
        <v>39</v>
      </c>
      <c r="L486" s="186">
        <v>32</v>
      </c>
      <c r="M486" s="186">
        <v>27</v>
      </c>
      <c r="N486" s="186" t="s">
        <v>427</v>
      </c>
      <c r="O486" s="186">
        <f t="shared" si="226"/>
        <v>107</v>
      </c>
      <c r="P486" s="186">
        <f t="shared" si="227"/>
        <v>120</v>
      </c>
      <c r="Q486" s="186" t="str">
        <f t="shared" si="228"/>
        <v>HW</v>
      </c>
      <c r="R486" s="186" t="str">
        <f t="shared" si="229"/>
        <v>HL</v>
      </c>
      <c r="S486" s="186" t="str">
        <f t="shared" si="230"/>
        <v>HL</v>
      </c>
      <c r="T486" s="186" t="str">
        <f t="shared" si="231"/>
        <v>HL</v>
      </c>
      <c r="U486" s="186" t="str">
        <f t="shared" si="232"/>
        <v>U</v>
      </c>
      <c r="V486" s="186" t="str">
        <f t="shared" si="233"/>
        <v>O</v>
      </c>
      <c r="W486" s="186" t="str">
        <f t="shared" si="234"/>
        <v>O</v>
      </c>
      <c r="X486" s="186" t="str">
        <f t="shared" si="235"/>
        <v>U</v>
      </c>
      <c r="Z486">
        <v>55</v>
      </c>
      <c r="AA486" s="90" t="str">
        <f t="shared" si="236"/>
        <v>LAC/UTA</v>
      </c>
    </row>
    <row r="487" spans="1:27" x14ac:dyDescent="0.45">
      <c r="A487" s="86">
        <v>191230</v>
      </c>
      <c r="B487" s="89">
        <v>0.33333333333333331</v>
      </c>
      <c r="C487" s="88" t="s">
        <v>413</v>
      </c>
      <c r="D487" s="88" t="s">
        <v>418</v>
      </c>
      <c r="E487" s="186">
        <v>20</v>
      </c>
      <c r="F487" s="186">
        <v>27</v>
      </c>
      <c r="G487" s="186">
        <v>33</v>
      </c>
      <c r="H487" s="186">
        <v>17</v>
      </c>
      <c r="I487" s="186"/>
      <c r="J487" s="186">
        <v>22</v>
      </c>
      <c r="K487" s="186">
        <v>25</v>
      </c>
      <c r="L487" s="186">
        <v>29</v>
      </c>
      <c r="M487" s="186">
        <v>22</v>
      </c>
      <c r="N487" s="186" t="s">
        <v>427</v>
      </c>
      <c r="O487" s="186">
        <f t="shared" si="226"/>
        <v>97</v>
      </c>
      <c r="P487" s="186">
        <f t="shared" si="227"/>
        <v>98</v>
      </c>
      <c r="Q487" s="186" t="str">
        <f t="shared" si="228"/>
        <v>HL</v>
      </c>
      <c r="R487" s="186" t="str">
        <f t="shared" si="229"/>
        <v>HW</v>
      </c>
      <c r="S487" s="186" t="str">
        <f t="shared" si="230"/>
        <v>HW</v>
      </c>
      <c r="T487" s="186" t="str">
        <f t="shared" si="231"/>
        <v>HL</v>
      </c>
      <c r="U487" s="186" t="str">
        <f t="shared" si="232"/>
        <v>U</v>
      </c>
      <c r="V487" s="186" t="str">
        <f t="shared" si="233"/>
        <v>U</v>
      </c>
      <c r="W487" s="186" t="str">
        <f t="shared" si="234"/>
        <v>O</v>
      </c>
      <c r="X487" s="186" t="str">
        <f t="shared" si="235"/>
        <v>U</v>
      </c>
      <c r="Z487">
        <v>54</v>
      </c>
      <c r="AA487" s="90" t="str">
        <f t="shared" si="236"/>
        <v>TOR/OKC</v>
      </c>
    </row>
    <row r="488" spans="1:27" x14ac:dyDescent="0.45">
      <c r="A488" s="88">
        <v>191230</v>
      </c>
      <c r="B488" s="89">
        <v>0.41666666666666669</v>
      </c>
      <c r="C488" s="88" t="s">
        <v>398</v>
      </c>
      <c r="D488" s="88" t="s">
        <v>403</v>
      </c>
      <c r="E488" s="186">
        <v>36</v>
      </c>
      <c r="F488" s="186">
        <v>28</v>
      </c>
      <c r="G488" s="186">
        <v>22</v>
      </c>
      <c r="H488" s="186">
        <v>41</v>
      </c>
      <c r="I488" s="186"/>
      <c r="J488" s="186">
        <v>37</v>
      </c>
      <c r="K488" s="186">
        <v>27</v>
      </c>
      <c r="L488" s="186">
        <v>29</v>
      </c>
      <c r="M488" s="186">
        <v>19</v>
      </c>
      <c r="N488" s="186" t="s">
        <v>427</v>
      </c>
      <c r="O488" s="186">
        <f t="shared" si="226"/>
        <v>127</v>
      </c>
      <c r="P488" s="186">
        <f t="shared" si="227"/>
        <v>112</v>
      </c>
      <c r="Q488" s="186" t="str">
        <f t="shared" si="228"/>
        <v>HL</v>
      </c>
      <c r="R488" s="186" t="str">
        <f t="shared" si="229"/>
        <v>HW</v>
      </c>
      <c r="S488" s="186" t="str">
        <f t="shared" si="230"/>
        <v>HL</v>
      </c>
      <c r="T488" s="186" t="str">
        <f t="shared" si="231"/>
        <v>HW</v>
      </c>
      <c r="U488" s="186" t="str">
        <f t="shared" si="232"/>
        <v>O</v>
      </c>
      <c r="V488" s="186" t="str">
        <f t="shared" si="233"/>
        <v>U</v>
      </c>
      <c r="W488" s="186" t="str">
        <f t="shared" si="234"/>
        <v>U</v>
      </c>
      <c r="X488" s="186" t="str">
        <f t="shared" si="235"/>
        <v>O</v>
      </c>
      <c r="Z488">
        <v>57.5</v>
      </c>
      <c r="AA488" s="90" t="str">
        <f t="shared" si="236"/>
        <v>NO/HOU</v>
      </c>
    </row>
    <row r="489" spans="1:27" x14ac:dyDescent="0.45">
      <c r="A489" s="88">
        <v>191230</v>
      </c>
      <c r="B489" s="89">
        <v>0.41666666666666669</v>
      </c>
      <c r="C489" s="88" t="s">
        <v>408</v>
      </c>
      <c r="D489" s="88" t="s">
        <v>416</v>
      </c>
      <c r="E489" s="186">
        <v>31</v>
      </c>
      <c r="F489" s="186">
        <v>31</v>
      </c>
      <c r="G489" s="186">
        <v>26</v>
      </c>
      <c r="H489" s="186">
        <v>32</v>
      </c>
      <c r="I489" s="186"/>
      <c r="J489" s="186">
        <v>32</v>
      </c>
      <c r="K489" s="186">
        <v>25</v>
      </c>
      <c r="L489" s="186">
        <v>24</v>
      </c>
      <c r="M489" s="186">
        <v>34</v>
      </c>
      <c r="N489" s="186" t="s">
        <v>427</v>
      </c>
      <c r="O489" s="186">
        <f t="shared" si="226"/>
        <v>120</v>
      </c>
      <c r="P489" s="186">
        <f t="shared" si="227"/>
        <v>115</v>
      </c>
      <c r="Q489" s="186" t="str">
        <f t="shared" si="228"/>
        <v>HL</v>
      </c>
      <c r="R489" s="186" t="str">
        <f t="shared" si="229"/>
        <v>HW</v>
      </c>
      <c r="S489" s="186" t="str">
        <f t="shared" si="230"/>
        <v>HW</v>
      </c>
      <c r="T489" s="186" t="str">
        <f t="shared" si="231"/>
        <v>HL</v>
      </c>
      <c r="U489" s="186" t="str">
        <f t="shared" si="232"/>
        <v>O</v>
      </c>
      <c r="V489" s="186" t="str">
        <f t="shared" si="233"/>
        <v>O</v>
      </c>
      <c r="W489" s="186" t="str">
        <f t="shared" si="234"/>
        <v>U</v>
      </c>
      <c r="X489" s="186" t="str">
        <f t="shared" si="235"/>
        <v>O</v>
      </c>
      <c r="Z489">
        <v>54</v>
      </c>
      <c r="AA489" s="90" t="str">
        <f t="shared" si="236"/>
        <v>DEN/SAC</v>
      </c>
    </row>
    <row r="490" spans="1:27" x14ac:dyDescent="0.45">
      <c r="A490" s="88">
        <v>191230</v>
      </c>
      <c r="B490" s="89">
        <v>0.41666666666666669</v>
      </c>
      <c r="C490" s="88" t="s">
        <v>406</v>
      </c>
      <c r="D490" s="88" t="s">
        <v>409</v>
      </c>
      <c r="E490" s="186">
        <v>31</v>
      </c>
      <c r="F490" s="186">
        <v>25</v>
      </c>
      <c r="G490" s="186">
        <v>30</v>
      </c>
      <c r="H490" s="186">
        <v>31</v>
      </c>
      <c r="I490" s="186"/>
      <c r="J490" s="186">
        <v>20</v>
      </c>
      <c r="K490" s="186">
        <v>26</v>
      </c>
      <c r="L490" s="186">
        <v>29</v>
      </c>
      <c r="M490" s="186">
        <v>29</v>
      </c>
      <c r="N490" s="186" t="s">
        <v>427</v>
      </c>
      <c r="O490" s="186">
        <f t="shared" si="226"/>
        <v>117</v>
      </c>
      <c r="P490" s="186">
        <f t="shared" si="227"/>
        <v>104</v>
      </c>
      <c r="Q490" s="186" t="str">
        <f t="shared" si="228"/>
        <v>HW</v>
      </c>
      <c r="R490" s="186" t="str">
        <f t="shared" si="229"/>
        <v>HL</v>
      </c>
      <c r="S490" s="186" t="str">
        <f t="shared" si="230"/>
        <v>HW</v>
      </c>
      <c r="T490" s="186" t="str">
        <f t="shared" si="231"/>
        <v>HW</v>
      </c>
      <c r="U490" s="186" t="str">
        <f t="shared" si="232"/>
        <v>U</v>
      </c>
      <c r="V490" s="186" t="str">
        <f t="shared" si="233"/>
        <v>U</v>
      </c>
      <c r="W490" s="186" t="str">
        <f t="shared" si="234"/>
        <v>O</v>
      </c>
      <c r="X490" s="186" t="str">
        <f t="shared" si="235"/>
        <v>O</v>
      </c>
      <c r="Z490">
        <v>56.5</v>
      </c>
      <c r="AA490" s="90" t="str">
        <f t="shared" si="236"/>
        <v>MEM/CHA</v>
      </c>
    </row>
    <row r="491" spans="1:27" x14ac:dyDescent="0.45">
      <c r="A491" s="88">
        <v>191230</v>
      </c>
      <c r="B491" s="89">
        <v>0.47916666666666669</v>
      </c>
      <c r="C491" s="88" t="s">
        <v>419</v>
      </c>
      <c r="D491" s="88" t="s">
        <v>397</v>
      </c>
      <c r="E491" s="186">
        <v>25</v>
      </c>
      <c r="F491" s="186">
        <v>29</v>
      </c>
      <c r="G491" s="186">
        <v>30</v>
      </c>
      <c r="H491" s="186">
        <v>24</v>
      </c>
      <c r="I491" s="186"/>
      <c r="J491" s="186">
        <v>19</v>
      </c>
      <c r="K491" s="186">
        <v>24</v>
      </c>
      <c r="L491" s="186">
        <v>26</v>
      </c>
      <c r="M491" s="186">
        <v>26</v>
      </c>
      <c r="N491" s="186" t="s">
        <v>427</v>
      </c>
      <c r="O491" s="186">
        <f t="shared" si="226"/>
        <v>108</v>
      </c>
      <c r="P491" s="186">
        <f t="shared" si="227"/>
        <v>95</v>
      </c>
      <c r="Q491" s="186" t="str">
        <f t="shared" si="228"/>
        <v>HW</v>
      </c>
      <c r="R491" s="186" t="str">
        <f t="shared" si="229"/>
        <v>HW</v>
      </c>
      <c r="S491" s="186" t="str">
        <f t="shared" si="230"/>
        <v>HW</v>
      </c>
      <c r="T491" s="186" t="str">
        <f t="shared" si="231"/>
        <v>HL</v>
      </c>
      <c r="U491" s="186" t="str">
        <f t="shared" si="232"/>
        <v>U</v>
      </c>
      <c r="V491" s="186" t="str">
        <f t="shared" si="233"/>
        <v>U</v>
      </c>
      <c r="W491" s="186" t="str">
        <f t="shared" si="234"/>
        <v>U</v>
      </c>
      <c r="X491" s="186" t="str">
        <f t="shared" si="235"/>
        <v>U</v>
      </c>
      <c r="Z491">
        <v>58</v>
      </c>
      <c r="AA491" s="90" t="str">
        <f t="shared" si="236"/>
        <v>LAL/DAL</v>
      </c>
    </row>
    <row r="492" spans="1:27" x14ac:dyDescent="0.45">
      <c r="A492" s="88">
        <v>191231</v>
      </c>
      <c r="B492" s="91">
        <v>0.375</v>
      </c>
      <c r="C492" s="90" t="s">
        <v>424</v>
      </c>
      <c r="D492" s="90" t="s">
        <v>410</v>
      </c>
      <c r="E492" s="186">
        <v>21</v>
      </c>
      <c r="F492" s="186">
        <v>36</v>
      </c>
      <c r="G492" s="186">
        <v>15</v>
      </c>
      <c r="H492" s="186">
        <v>21</v>
      </c>
      <c r="I492" s="186"/>
      <c r="J492" s="186">
        <v>25</v>
      </c>
      <c r="K492" s="186">
        <v>22</v>
      </c>
      <c r="L492" s="186">
        <v>27</v>
      </c>
      <c r="M492" s="186">
        <v>27</v>
      </c>
      <c r="N492" s="186" t="s">
        <v>427</v>
      </c>
      <c r="O492" s="186">
        <f t="shared" si="226"/>
        <v>93</v>
      </c>
      <c r="P492" s="186">
        <f t="shared" si="227"/>
        <v>101</v>
      </c>
      <c r="Q492" s="186" t="str">
        <f t="shared" si="228"/>
        <v>HL</v>
      </c>
      <c r="R492" s="186" t="str">
        <f t="shared" si="229"/>
        <v>HW</v>
      </c>
      <c r="S492" s="186" t="str">
        <f t="shared" si="230"/>
        <v>HL</v>
      </c>
      <c r="T492" s="186" t="str">
        <f t="shared" si="231"/>
        <v>HL</v>
      </c>
      <c r="U492" s="186" t="str">
        <f t="shared" si="232"/>
        <v>U</v>
      </c>
      <c r="V492" s="186" t="str">
        <f t="shared" si="233"/>
        <v>O</v>
      </c>
      <c r="W492" s="186" t="str">
        <f t="shared" si="234"/>
        <v>U</v>
      </c>
      <c r="X492" s="186" t="str">
        <f t="shared" si="235"/>
        <v>U</v>
      </c>
      <c r="Z492">
        <v>54</v>
      </c>
      <c r="AA492" s="90" t="str">
        <f t="shared" si="236"/>
        <v>ORL/ATL</v>
      </c>
    </row>
    <row r="493" spans="1:27" x14ac:dyDescent="0.45">
      <c r="A493" s="90">
        <v>191231</v>
      </c>
      <c r="B493" s="91">
        <v>0.375</v>
      </c>
      <c r="C493" s="90" t="s">
        <v>414</v>
      </c>
      <c r="D493" s="90" t="s">
        <v>411</v>
      </c>
      <c r="E493" s="186">
        <v>29</v>
      </c>
      <c r="F493" s="186">
        <v>42</v>
      </c>
      <c r="G493" s="186">
        <v>19</v>
      </c>
      <c r="H493" s="186">
        <v>33</v>
      </c>
      <c r="I493" s="186"/>
      <c r="J493" s="186">
        <v>39</v>
      </c>
      <c r="K493" s="186">
        <v>24</v>
      </c>
      <c r="L493" s="186">
        <v>18</v>
      </c>
      <c r="M493" s="186">
        <v>24</v>
      </c>
      <c r="N493" s="186" t="s">
        <v>427</v>
      </c>
      <c r="O493" s="186">
        <f t="shared" si="226"/>
        <v>123</v>
      </c>
      <c r="P493" s="186">
        <f t="shared" si="227"/>
        <v>105</v>
      </c>
      <c r="Q493" s="186" t="str">
        <f t="shared" si="228"/>
        <v>HL</v>
      </c>
      <c r="R493" s="186" t="str">
        <f t="shared" si="229"/>
        <v>HW</v>
      </c>
      <c r="S493" s="186" t="str">
        <f t="shared" si="230"/>
        <v>HW</v>
      </c>
      <c r="T493" s="186" t="str">
        <f t="shared" si="231"/>
        <v>HW</v>
      </c>
      <c r="U493" s="186" t="str">
        <f t="shared" si="232"/>
        <v>O</v>
      </c>
      <c r="V493" s="186" t="str">
        <f t="shared" si="233"/>
        <v>O</v>
      </c>
      <c r="W493" s="186" t="str">
        <f t="shared" si="234"/>
        <v>U</v>
      </c>
      <c r="X493" s="186" t="str">
        <f t="shared" si="235"/>
        <v>U</v>
      </c>
      <c r="Z493">
        <v>57.5</v>
      </c>
      <c r="AA493" s="90" t="str">
        <f t="shared" si="236"/>
        <v>WAS/MIA</v>
      </c>
    </row>
    <row r="494" spans="1:27" x14ac:dyDescent="0.45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86">
        <v>20</v>
      </c>
      <c r="F494" s="186">
        <v>32</v>
      </c>
      <c r="G494" s="186">
        <v>25</v>
      </c>
      <c r="H494" s="186">
        <v>25</v>
      </c>
      <c r="I494" s="186"/>
      <c r="J494" s="186">
        <v>31</v>
      </c>
      <c r="K494" s="186">
        <v>24</v>
      </c>
      <c r="L494" s="186">
        <v>40</v>
      </c>
      <c r="M494" s="186">
        <v>28</v>
      </c>
      <c r="N494" s="186" t="s">
        <v>427</v>
      </c>
      <c r="O494" s="186">
        <f t="shared" si="226"/>
        <v>102</v>
      </c>
      <c r="P494" s="186">
        <f t="shared" si="227"/>
        <v>123</v>
      </c>
      <c r="Q494" s="186" t="str">
        <f t="shared" si="228"/>
        <v>HL</v>
      </c>
      <c r="R494" s="186" t="str">
        <f t="shared" si="229"/>
        <v>HW</v>
      </c>
      <c r="S494" s="186" t="str">
        <f t="shared" si="230"/>
        <v>HL</v>
      </c>
      <c r="T494" s="186" t="str">
        <f t="shared" si="231"/>
        <v>HL</v>
      </c>
      <c r="U494" s="186" t="str">
        <f t="shared" si="232"/>
        <v>U</v>
      </c>
      <c r="V494" s="186" t="str">
        <f t="shared" si="233"/>
        <v>O</v>
      </c>
      <c r="W494" s="186" t="str">
        <f t="shared" si="234"/>
        <v>O</v>
      </c>
      <c r="X494" s="186" t="str">
        <f t="shared" si="235"/>
        <v>U</v>
      </c>
      <c r="Z494">
        <v>55</v>
      </c>
      <c r="AA494" s="90" t="str">
        <f t="shared" si="236"/>
        <v>CHI/MIL</v>
      </c>
    </row>
    <row r="495" spans="1:27" x14ac:dyDescent="0.45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86">
        <v>27</v>
      </c>
      <c r="F495" s="186">
        <v>22</v>
      </c>
      <c r="G495" s="186">
        <v>25</v>
      </c>
      <c r="H495" s="186">
        <v>29</v>
      </c>
      <c r="I495" s="186">
        <v>19</v>
      </c>
      <c r="J495" s="186">
        <v>29</v>
      </c>
      <c r="K495" s="186">
        <v>21</v>
      </c>
      <c r="L495" s="186">
        <v>30</v>
      </c>
      <c r="M495" s="186">
        <v>23</v>
      </c>
      <c r="N495" s="186">
        <v>12</v>
      </c>
      <c r="O495" s="186">
        <f t="shared" ref="O495:O517" si="237">SUM(E495:I495)</f>
        <v>122</v>
      </c>
      <c r="P495" s="186">
        <f t="shared" ref="P495:P517" si="238">SUM(J495:N495)</f>
        <v>115</v>
      </c>
      <c r="Q495" s="186" t="str">
        <f t="shared" ref="Q495:Q517" si="239">IF(E495=J495,"TT",IF(E495&gt;J495,"HW","HL"))</f>
        <v>HL</v>
      </c>
      <c r="R495" s="186" t="str">
        <f t="shared" ref="R495:R517" si="240">IF(F495=K495,"TT",IF(F495&gt;K495,"HW","HL"))</f>
        <v>HW</v>
      </c>
      <c r="S495" s="186" t="str">
        <f t="shared" ref="S495:S517" si="241">IF(G495=L495,"TT",IF(G495&gt;L495,"HW","HL"))</f>
        <v>HL</v>
      </c>
      <c r="T495" s="186" t="str">
        <f t="shared" ref="T495:T517" si="242">IF(H495=M495,"TT",IF(H495&gt;M495,"HW","HL"))</f>
        <v>HW</v>
      </c>
      <c r="U495" s="186" t="str">
        <f t="shared" ref="U495:U517" si="243">IF(SUM(E495,J495)=$Z495,"T",IF(SUM(E495,J495)&gt;$Z495,"O","U"))</f>
        <v>O</v>
      </c>
      <c r="V495" s="186" t="str">
        <f t="shared" ref="V495:V517" si="244">IF(SUM(F495,K495)=$Z495,"T",IF(SUM(F495,K495)&gt;$Z495,"O","U"))</f>
        <v>U</v>
      </c>
      <c r="W495" s="186" t="str">
        <f t="shared" ref="W495:W517" si="245">IF(SUM(G495,L495)=$Z495,"T",IF(SUM(G495,L495)&gt;$Z495,"O","U"))</f>
        <v>O</v>
      </c>
      <c r="X495" s="186" t="str">
        <f t="shared" ref="X495:X517" si="246">IF(SUM(H495,M495)=$Z495,"T",IF(SUM(H495,M495)&gt;$Z495,"O","U"))</f>
        <v>U</v>
      </c>
      <c r="Z495">
        <v>53.5</v>
      </c>
      <c r="AA495" s="90" t="str">
        <f t="shared" si="236"/>
        <v>MIN/BKN</v>
      </c>
    </row>
    <row r="496" spans="1:27" x14ac:dyDescent="0.45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86">
        <v>19</v>
      </c>
      <c r="F496" s="186">
        <v>20</v>
      </c>
      <c r="G496" s="186">
        <v>29</v>
      </c>
      <c r="H496" s="186">
        <v>36</v>
      </c>
      <c r="I496" s="186"/>
      <c r="J496" s="186">
        <v>21</v>
      </c>
      <c r="K496" s="186">
        <v>19</v>
      </c>
      <c r="L496" s="186">
        <v>18</v>
      </c>
      <c r="M496" s="186">
        <v>23</v>
      </c>
      <c r="N496" s="186" t="s">
        <v>427</v>
      </c>
      <c r="O496" s="186">
        <f t="shared" si="237"/>
        <v>104</v>
      </c>
      <c r="P496" s="186">
        <f t="shared" si="238"/>
        <v>81</v>
      </c>
      <c r="Q496" s="186" t="str">
        <f t="shared" si="239"/>
        <v>HL</v>
      </c>
      <c r="R496" s="186" t="str">
        <f t="shared" si="240"/>
        <v>HW</v>
      </c>
      <c r="S496" s="186" t="str">
        <f t="shared" si="241"/>
        <v>HW</v>
      </c>
      <c r="T496" s="186" t="str">
        <f t="shared" si="242"/>
        <v>HW</v>
      </c>
      <c r="U496" s="186" t="str">
        <f t="shared" si="243"/>
        <v>U</v>
      </c>
      <c r="V496" s="186" t="str">
        <f t="shared" si="244"/>
        <v>U</v>
      </c>
      <c r="W496" s="186" t="str">
        <f t="shared" si="245"/>
        <v>U</v>
      </c>
      <c r="X496" s="186" t="str">
        <f t="shared" si="246"/>
        <v>O</v>
      </c>
      <c r="Z496">
        <v>56</v>
      </c>
      <c r="AA496" s="90" t="str">
        <f t="shared" si="236"/>
        <v>UTA/DET</v>
      </c>
    </row>
    <row r="497" spans="1:27" x14ac:dyDescent="0.45">
      <c r="A497" s="90">
        <v>191231</v>
      </c>
      <c r="B497" s="91">
        <v>0.5</v>
      </c>
      <c r="C497" s="90" t="s">
        <v>417</v>
      </c>
      <c r="D497" s="90" t="s">
        <v>404</v>
      </c>
      <c r="E497" s="186">
        <v>38</v>
      </c>
      <c r="F497" s="186">
        <v>26</v>
      </c>
      <c r="G497" s="186">
        <v>25</v>
      </c>
      <c r="H497" s="186">
        <v>27</v>
      </c>
      <c r="I497" s="186"/>
      <c r="J497" s="186">
        <v>19</v>
      </c>
      <c r="K497" s="186">
        <v>36</v>
      </c>
      <c r="L497" s="186">
        <v>28</v>
      </c>
      <c r="M497" s="186">
        <v>39</v>
      </c>
      <c r="N497" s="186" t="s">
        <v>427</v>
      </c>
      <c r="O497" s="186">
        <f t="shared" si="237"/>
        <v>116</v>
      </c>
      <c r="P497" s="186">
        <f t="shared" si="238"/>
        <v>122</v>
      </c>
      <c r="Q497" s="186" t="str">
        <f t="shared" si="239"/>
        <v>HW</v>
      </c>
      <c r="R497" s="186" t="str">
        <f t="shared" si="240"/>
        <v>HL</v>
      </c>
      <c r="S497" s="186" t="str">
        <f t="shared" si="241"/>
        <v>HL</v>
      </c>
      <c r="T497" s="186" t="str">
        <f t="shared" si="242"/>
        <v>HL</v>
      </c>
      <c r="U497" s="186" t="str">
        <f t="shared" si="243"/>
        <v>O</v>
      </c>
      <c r="V497" s="186" t="str">
        <f t="shared" si="244"/>
        <v>O</v>
      </c>
      <c r="W497" s="186" t="str">
        <f t="shared" si="245"/>
        <v>U</v>
      </c>
      <c r="X497" s="186" t="str">
        <f t="shared" si="246"/>
        <v>O</v>
      </c>
      <c r="Z497">
        <v>56.5</v>
      </c>
      <c r="AA497" s="90" t="str">
        <f t="shared" si="236"/>
        <v>POR/PHO</v>
      </c>
    </row>
    <row r="498" spans="1:27" x14ac:dyDescent="0.45">
      <c r="A498">
        <v>200101</v>
      </c>
      <c r="B498" s="93">
        <v>0.20833333333333334</v>
      </c>
      <c r="C498" s="92" t="s">
        <v>400</v>
      </c>
      <c r="D498" s="92" t="s">
        <v>401</v>
      </c>
      <c r="E498" s="186">
        <v>29</v>
      </c>
      <c r="F498" s="186">
        <v>38</v>
      </c>
      <c r="G498" s="186">
        <v>29</v>
      </c>
      <c r="H498" s="186">
        <v>19</v>
      </c>
      <c r="I498" s="186"/>
      <c r="J498" s="186">
        <v>27</v>
      </c>
      <c r="K498" s="186">
        <v>16</v>
      </c>
      <c r="L498" s="186">
        <v>23</v>
      </c>
      <c r="M498" s="186">
        <v>31</v>
      </c>
      <c r="N498" s="186" t="s">
        <v>427</v>
      </c>
      <c r="O498" s="186">
        <f t="shared" si="237"/>
        <v>115</v>
      </c>
      <c r="P498" s="186">
        <f t="shared" si="238"/>
        <v>97</v>
      </c>
      <c r="Q498" s="186" t="str">
        <f t="shared" si="239"/>
        <v>HW</v>
      </c>
      <c r="R498" s="186" t="str">
        <f t="shared" si="240"/>
        <v>HW</v>
      </c>
      <c r="S498" s="186" t="str">
        <f t="shared" si="241"/>
        <v>HW</v>
      </c>
      <c r="T498" s="186" t="str">
        <f t="shared" si="242"/>
        <v>HL</v>
      </c>
      <c r="U498" s="186" t="str">
        <f t="shared" si="243"/>
        <v>O</v>
      </c>
      <c r="V498" s="186" t="str">
        <f t="shared" si="244"/>
        <v>O</v>
      </c>
      <c r="W498" s="186" t="str">
        <f t="shared" si="245"/>
        <v>U</v>
      </c>
      <c r="X498" s="186" t="str">
        <f t="shared" si="246"/>
        <v>U</v>
      </c>
      <c r="Z498">
        <v>53</v>
      </c>
      <c r="AA498" s="98" t="str">
        <f t="shared" si="236"/>
        <v>IND/PHI</v>
      </c>
    </row>
    <row r="499" spans="1:27" x14ac:dyDescent="0.45">
      <c r="A499" s="92">
        <v>200101</v>
      </c>
      <c r="B499" s="93">
        <v>0.20833333333333334</v>
      </c>
      <c r="C499" s="92" t="s">
        <v>409</v>
      </c>
      <c r="D499" s="92" t="s">
        <v>421</v>
      </c>
      <c r="E499" s="186">
        <v>18</v>
      </c>
      <c r="F499" s="186">
        <v>25</v>
      </c>
      <c r="G499" s="186">
        <v>30</v>
      </c>
      <c r="H499" s="186">
        <v>19</v>
      </c>
      <c r="I499" s="186"/>
      <c r="J499" s="186">
        <v>24</v>
      </c>
      <c r="K499" s="186">
        <v>26</v>
      </c>
      <c r="L499" s="186">
        <v>30</v>
      </c>
      <c r="M499" s="186">
        <v>29</v>
      </c>
      <c r="N499" s="186" t="s">
        <v>427</v>
      </c>
      <c r="O499" s="186">
        <f t="shared" si="237"/>
        <v>92</v>
      </c>
      <c r="P499" s="186">
        <f t="shared" si="238"/>
        <v>109</v>
      </c>
      <c r="Q499" s="186" t="str">
        <f t="shared" si="239"/>
        <v>HL</v>
      </c>
      <c r="R499" s="186" t="str">
        <f t="shared" si="240"/>
        <v>HL</v>
      </c>
      <c r="S499" s="186" t="str">
        <f t="shared" si="241"/>
        <v>TT</v>
      </c>
      <c r="T499" s="186" t="str">
        <f t="shared" si="242"/>
        <v>HL</v>
      </c>
      <c r="U499" s="186" t="str">
        <f t="shared" si="243"/>
        <v>U</v>
      </c>
      <c r="V499" s="186" t="str">
        <f t="shared" si="244"/>
        <v>U</v>
      </c>
      <c r="W499" s="186" t="str">
        <f t="shared" si="245"/>
        <v>O</v>
      </c>
      <c r="X499" s="186" t="str">
        <f t="shared" si="246"/>
        <v>U</v>
      </c>
      <c r="Z499">
        <v>52.5</v>
      </c>
      <c r="AA499" s="98" t="str">
        <f t="shared" si="236"/>
        <v>CHA/BOS</v>
      </c>
    </row>
    <row r="500" spans="1:27" x14ac:dyDescent="0.45">
      <c r="A500" s="92">
        <v>200101</v>
      </c>
      <c r="B500" s="93">
        <v>0.29166666666666669</v>
      </c>
      <c r="C500" s="92" t="s">
        <v>416</v>
      </c>
      <c r="D500" s="92" t="s">
        <v>415</v>
      </c>
      <c r="E500" s="186">
        <v>23</v>
      </c>
      <c r="F500" s="186">
        <v>17</v>
      </c>
      <c r="G500" s="186">
        <v>33</v>
      </c>
      <c r="H500" s="186">
        <v>14</v>
      </c>
      <c r="I500" s="186"/>
      <c r="J500" s="186">
        <v>28</v>
      </c>
      <c r="K500" s="186">
        <v>29</v>
      </c>
      <c r="L500" s="186">
        <v>31</v>
      </c>
      <c r="M500" s="186">
        <v>17</v>
      </c>
      <c r="N500" s="186" t="s">
        <v>427</v>
      </c>
      <c r="O500" s="186">
        <f t="shared" si="237"/>
        <v>87</v>
      </c>
      <c r="P500" s="186">
        <f t="shared" si="238"/>
        <v>105</v>
      </c>
      <c r="Q500" s="186" t="str">
        <f t="shared" si="239"/>
        <v>HL</v>
      </c>
      <c r="R500" s="186" t="str">
        <f t="shared" si="240"/>
        <v>HL</v>
      </c>
      <c r="S500" s="186" t="str">
        <f t="shared" si="241"/>
        <v>HW</v>
      </c>
      <c r="T500" s="186" t="str">
        <f t="shared" si="242"/>
        <v>HL</v>
      </c>
      <c r="U500" s="186" t="str">
        <f t="shared" si="243"/>
        <v>U</v>
      </c>
      <c r="V500" s="186" t="str">
        <f t="shared" si="244"/>
        <v>U</v>
      </c>
      <c r="W500" s="186" t="str">
        <f t="shared" si="245"/>
        <v>O</v>
      </c>
      <c r="X500" s="186" t="str">
        <f t="shared" si="246"/>
        <v>U</v>
      </c>
      <c r="Z500">
        <v>57</v>
      </c>
      <c r="AA500" s="98" t="str">
        <f t="shared" si="236"/>
        <v>SAC/LAC</v>
      </c>
    </row>
    <row r="501" spans="1:27" x14ac:dyDescent="0.45">
      <c r="A501" s="92">
        <v>200101</v>
      </c>
      <c r="B501" s="93">
        <v>0.375</v>
      </c>
      <c r="C501" s="92" t="s">
        <v>403</v>
      </c>
      <c r="D501" s="92" t="s">
        <v>408</v>
      </c>
      <c r="E501" s="186">
        <v>38</v>
      </c>
      <c r="F501" s="186">
        <v>31</v>
      </c>
      <c r="G501" s="186">
        <v>23</v>
      </c>
      <c r="H501" s="186">
        <v>38</v>
      </c>
      <c r="I501" s="186"/>
      <c r="J501" s="186">
        <v>26</v>
      </c>
      <c r="K501" s="186">
        <v>26</v>
      </c>
      <c r="L501" s="186">
        <v>37</v>
      </c>
      <c r="M501" s="186">
        <v>15</v>
      </c>
      <c r="N501" s="186" t="s">
        <v>427</v>
      </c>
      <c r="O501" s="186">
        <f t="shared" si="237"/>
        <v>130</v>
      </c>
      <c r="P501" s="186">
        <f t="shared" si="238"/>
        <v>104</v>
      </c>
      <c r="Q501" s="186" t="str">
        <f t="shared" si="239"/>
        <v>HW</v>
      </c>
      <c r="R501" s="186" t="str">
        <f t="shared" si="240"/>
        <v>HW</v>
      </c>
      <c r="S501" s="186" t="str">
        <f t="shared" si="241"/>
        <v>HL</v>
      </c>
      <c r="T501" s="186" t="str">
        <f t="shared" si="242"/>
        <v>HW</v>
      </c>
      <c r="U501" s="186" t="str">
        <f t="shared" si="243"/>
        <v>O</v>
      </c>
      <c r="V501" s="186" t="str">
        <f t="shared" si="244"/>
        <v>U</v>
      </c>
      <c r="W501" s="186" t="str">
        <f t="shared" si="245"/>
        <v>O</v>
      </c>
      <c r="X501" s="186" t="str">
        <f t="shared" si="246"/>
        <v>U</v>
      </c>
      <c r="Z501">
        <v>58</v>
      </c>
      <c r="AA501" s="98" t="str">
        <f t="shared" si="236"/>
        <v>HOU/DEN</v>
      </c>
    </row>
    <row r="502" spans="1:27" x14ac:dyDescent="0.45">
      <c r="A502" s="92">
        <v>200101</v>
      </c>
      <c r="B502" s="93">
        <v>0.375</v>
      </c>
      <c r="C502" s="92" t="s">
        <v>426</v>
      </c>
      <c r="D502" s="92" t="s">
        <v>425</v>
      </c>
      <c r="E502" s="186">
        <v>25</v>
      </c>
      <c r="F502" s="186">
        <v>28</v>
      </c>
      <c r="G502" s="186">
        <v>24</v>
      </c>
      <c r="H502" s="186">
        <v>23</v>
      </c>
      <c r="I502" s="186">
        <v>17</v>
      </c>
      <c r="J502" s="186">
        <v>32</v>
      </c>
      <c r="K502" s="186">
        <v>23</v>
      </c>
      <c r="L502" s="186">
        <v>20</v>
      </c>
      <c r="M502" s="186">
        <v>25</v>
      </c>
      <c r="N502" s="186">
        <v>13</v>
      </c>
      <c r="O502" s="186">
        <f t="shared" si="237"/>
        <v>117</v>
      </c>
      <c r="P502" s="186">
        <f t="shared" si="238"/>
        <v>113</v>
      </c>
      <c r="Q502" s="186" t="str">
        <f t="shared" si="239"/>
        <v>HL</v>
      </c>
      <c r="R502" s="186" t="str">
        <f t="shared" si="240"/>
        <v>HW</v>
      </c>
      <c r="S502" s="186" t="str">
        <f t="shared" si="241"/>
        <v>HW</v>
      </c>
      <c r="T502" s="186" t="str">
        <f t="shared" si="242"/>
        <v>HL</v>
      </c>
      <c r="U502" s="186" t="str">
        <f t="shared" si="243"/>
        <v>O</v>
      </c>
      <c r="V502" s="186" t="str">
        <f t="shared" si="244"/>
        <v>U</v>
      </c>
      <c r="W502" s="186" t="str">
        <f t="shared" si="245"/>
        <v>U</v>
      </c>
      <c r="X502" s="186" t="str">
        <f t="shared" si="246"/>
        <v>U</v>
      </c>
      <c r="Z502">
        <v>56</v>
      </c>
      <c r="AA502" s="98" t="str">
        <f t="shared" si="236"/>
        <v>SAS/GS</v>
      </c>
    </row>
    <row r="503" spans="1:27" x14ac:dyDescent="0.45">
      <c r="A503" s="92">
        <v>200101</v>
      </c>
      <c r="B503" s="93">
        <v>0.375</v>
      </c>
      <c r="C503" s="92" t="s">
        <v>413</v>
      </c>
      <c r="D503" s="92" t="s">
        <v>402</v>
      </c>
      <c r="E503" s="186">
        <v>27</v>
      </c>
      <c r="F503" s="186">
        <v>32</v>
      </c>
      <c r="G503" s="186">
        <v>27</v>
      </c>
      <c r="H503" s="186">
        <v>31</v>
      </c>
      <c r="I503" s="186"/>
      <c r="J503" s="186">
        <v>25</v>
      </c>
      <c r="K503" s="186">
        <v>18</v>
      </c>
      <c r="L503" s="186">
        <v>26</v>
      </c>
      <c r="M503" s="186">
        <v>28</v>
      </c>
      <c r="N503" s="186" t="s">
        <v>427</v>
      </c>
      <c r="O503" s="186">
        <f t="shared" si="237"/>
        <v>117</v>
      </c>
      <c r="P503" s="186">
        <f t="shared" si="238"/>
        <v>97</v>
      </c>
      <c r="Q503" s="186" t="str">
        <f t="shared" si="239"/>
        <v>HW</v>
      </c>
      <c r="R503" s="186" t="str">
        <f t="shared" si="240"/>
        <v>HW</v>
      </c>
      <c r="S503" s="186" t="str">
        <f t="shared" si="241"/>
        <v>HW</v>
      </c>
      <c r="T503" s="186" t="str">
        <f t="shared" si="242"/>
        <v>HW</v>
      </c>
      <c r="U503" s="186" t="str">
        <f t="shared" si="243"/>
        <v>U</v>
      </c>
      <c r="V503" s="186" t="str">
        <f t="shared" si="244"/>
        <v>U</v>
      </c>
      <c r="W503" s="186" t="str">
        <f t="shared" si="245"/>
        <v>U</v>
      </c>
      <c r="X503" s="186" t="str">
        <f t="shared" si="246"/>
        <v>O</v>
      </c>
      <c r="Z503">
        <v>53.5</v>
      </c>
      <c r="AA503" s="98" t="str">
        <f t="shared" si="236"/>
        <v>TOR/CLE</v>
      </c>
    </row>
    <row r="504" spans="1:27" x14ac:dyDescent="0.45">
      <c r="A504" s="92">
        <v>200101</v>
      </c>
      <c r="B504" s="93">
        <v>0.41666666666666669</v>
      </c>
      <c r="C504" s="92" t="s">
        <v>418</v>
      </c>
      <c r="D504" s="92" t="s">
        <v>397</v>
      </c>
      <c r="E504" s="186">
        <v>20</v>
      </c>
      <c r="F504" s="186">
        <v>30</v>
      </c>
      <c r="G504" s="186">
        <v>27</v>
      </c>
      <c r="H504" s="186">
        <v>29</v>
      </c>
      <c r="I504" s="186"/>
      <c r="J504" s="186">
        <v>32</v>
      </c>
      <c r="K504" s="186">
        <v>19</v>
      </c>
      <c r="L504" s="186">
        <v>27</v>
      </c>
      <c r="M504" s="186">
        <v>23</v>
      </c>
      <c r="N504" s="186" t="s">
        <v>427</v>
      </c>
      <c r="O504" s="186">
        <f t="shared" si="237"/>
        <v>106</v>
      </c>
      <c r="P504" s="186">
        <f t="shared" si="238"/>
        <v>101</v>
      </c>
      <c r="Q504" s="186" t="str">
        <f t="shared" si="239"/>
        <v>HL</v>
      </c>
      <c r="R504" s="186" t="str">
        <f t="shared" si="240"/>
        <v>HW</v>
      </c>
      <c r="S504" s="186" t="str">
        <f t="shared" si="241"/>
        <v>TT</v>
      </c>
      <c r="T504" s="186" t="str">
        <f t="shared" si="242"/>
        <v>HW</v>
      </c>
      <c r="U504" s="186" t="str">
        <f t="shared" si="243"/>
        <v>U</v>
      </c>
      <c r="V504" s="186" t="str">
        <f t="shared" si="244"/>
        <v>U</v>
      </c>
      <c r="W504" s="186" t="str">
        <f t="shared" si="245"/>
        <v>U</v>
      </c>
      <c r="X504" s="186" t="str">
        <f t="shared" si="246"/>
        <v>U</v>
      </c>
      <c r="Z504">
        <v>56.5</v>
      </c>
      <c r="AA504" s="98" t="str">
        <f t="shared" si="236"/>
        <v>OKC/DAL</v>
      </c>
    </row>
    <row r="505" spans="1:27" x14ac:dyDescent="0.45">
      <c r="A505" s="92">
        <v>200102</v>
      </c>
      <c r="B505" s="95">
        <v>0.33333333333333331</v>
      </c>
      <c r="C505" s="94" t="s">
        <v>414</v>
      </c>
      <c r="D505" s="94" t="s">
        <v>424</v>
      </c>
      <c r="E505" s="186">
        <v>29</v>
      </c>
      <c r="F505" s="186">
        <v>29</v>
      </c>
      <c r="G505" s="186">
        <v>25</v>
      </c>
      <c r="H505" s="186">
        <v>18</v>
      </c>
      <c r="I505" s="186"/>
      <c r="J505" s="186">
        <v>31</v>
      </c>
      <c r="K505" s="186">
        <v>31</v>
      </c>
      <c r="L505" s="186">
        <v>32</v>
      </c>
      <c r="M505" s="186">
        <v>28</v>
      </c>
      <c r="N505" s="186" t="s">
        <v>427</v>
      </c>
      <c r="O505" s="186">
        <f t="shared" si="237"/>
        <v>101</v>
      </c>
      <c r="P505" s="186">
        <f t="shared" si="238"/>
        <v>122</v>
      </c>
      <c r="Q505" s="186" t="str">
        <f t="shared" si="239"/>
        <v>HL</v>
      </c>
      <c r="R505" s="186" t="str">
        <f t="shared" si="240"/>
        <v>HL</v>
      </c>
      <c r="S505" s="186" t="str">
        <f t="shared" si="241"/>
        <v>HL</v>
      </c>
      <c r="T505" s="186" t="str">
        <f t="shared" si="242"/>
        <v>HL</v>
      </c>
      <c r="U505" s="186" t="str">
        <f t="shared" si="243"/>
        <v>O</v>
      </c>
      <c r="V505" s="186" t="str">
        <f t="shared" si="244"/>
        <v>O</v>
      </c>
      <c r="W505" s="186" t="str">
        <f t="shared" si="245"/>
        <v>T</v>
      </c>
      <c r="X505" s="186" t="str">
        <f t="shared" si="246"/>
        <v>U</v>
      </c>
      <c r="Z505">
        <v>57</v>
      </c>
      <c r="AA505" s="98" t="str">
        <f t="shared" si="236"/>
        <v>WAS/ORL</v>
      </c>
    </row>
    <row r="506" spans="1:27" x14ac:dyDescent="0.45">
      <c r="A506" s="94">
        <v>200102</v>
      </c>
      <c r="B506" s="95">
        <v>0.39583333333333331</v>
      </c>
      <c r="C506" s="94" t="s">
        <v>399</v>
      </c>
      <c r="D506" s="94" t="s">
        <v>417</v>
      </c>
      <c r="E506" s="186">
        <v>25</v>
      </c>
      <c r="F506" s="186">
        <v>26</v>
      </c>
      <c r="G506" s="186">
        <v>32</v>
      </c>
      <c r="H506" s="186">
        <v>34</v>
      </c>
      <c r="I506" s="186"/>
      <c r="J506" s="186">
        <v>27</v>
      </c>
      <c r="K506" s="186">
        <v>21</v>
      </c>
      <c r="L506" s="186">
        <v>29</v>
      </c>
      <c r="M506" s="186">
        <v>16</v>
      </c>
      <c r="N506" s="186" t="s">
        <v>427</v>
      </c>
      <c r="O506" s="186">
        <f t="shared" si="237"/>
        <v>117</v>
      </c>
      <c r="P506" s="186">
        <f t="shared" si="238"/>
        <v>93</v>
      </c>
      <c r="Q506" s="186" t="str">
        <f t="shared" si="239"/>
        <v>HL</v>
      </c>
      <c r="R506" s="186" t="str">
        <f t="shared" si="240"/>
        <v>HW</v>
      </c>
      <c r="S506" s="186" t="str">
        <f t="shared" si="241"/>
        <v>HW</v>
      </c>
      <c r="T506" s="186" t="str">
        <f t="shared" si="242"/>
        <v>HW</v>
      </c>
      <c r="U506" s="186" t="str">
        <f t="shared" si="243"/>
        <v>U</v>
      </c>
      <c r="V506" s="186" t="str">
        <f t="shared" si="244"/>
        <v>U</v>
      </c>
      <c r="W506" s="186" t="str">
        <f t="shared" si="245"/>
        <v>O</v>
      </c>
      <c r="X506" s="186" t="str">
        <f t="shared" si="246"/>
        <v>U</v>
      </c>
      <c r="Z506">
        <v>57.5</v>
      </c>
      <c r="AA506" s="98" t="str">
        <f t="shared" si="236"/>
        <v>NYK/POR</v>
      </c>
    </row>
    <row r="507" spans="1:27" x14ac:dyDescent="0.45">
      <c r="A507" s="94">
        <v>200102</v>
      </c>
      <c r="B507" s="95">
        <v>0.41666666666666669</v>
      </c>
      <c r="C507" s="94" t="s">
        <v>423</v>
      </c>
      <c r="D507" s="94" t="s">
        <v>420</v>
      </c>
      <c r="E507" s="186">
        <v>19</v>
      </c>
      <c r="F507" s="186">
        <v>33</v>
      </c>
      <c r="G507" s="186">
        <v>25</v>
      </c>
      <c r="H507" s="186">
        <v>29</v>
      </c>
      <c r="I507" s="186"/>
      <c r="J507" s="186">
        <v>23</v>
      </c>
      <c r="K507" s="186">
        <v>28</v>
      </c>
      <c r="L507" s="186">
        <v>20</v>
      </c>
      <c r="M507" s="186">
        <v>33</v>
      </c>
      <c r="N507" s="186" t="s">
        <v>427</v>
      </c>
      <c r="O507" s="186">
        <f t="shared" si="237"/>
        <v>106</v>
      </c>
      <c r="P507" s="186">
        <f t="shared" si="238"/>
        <v>104</v>
      </c>
      <c r="Q507" s="186" t="str">
        <f t="shared" si="239"/>
        <v>HL</v>
      </c>
      <c r="R507" s="186" t="str">
        <f t="shared" si="240"/>
        <v>HW</v>
      </c>
      <c r="S507" s="186" t="str">
        <f t="shared" si="241"/>
        <v>HW</v>
      </c>
      <c r="T507" s="186" t="str">
        <f t="shared" si="242"/>
        <v>HL</v>
      </c>
      <c r="U507" s="186" t="str">
        <f t="shared" si="243"/>
        <v>U</v>
      </c>
      <c r="V507" s="186" t="str">
        <f t="shared" si="244"/>
        <v>O</v>
      </c>
      <c r="W507" s="186" t="str">
        <f t="shared" si="245"/>
        <v>U</v>
      </c>
      <c r="X507" s="186" t="str">
        <f t="shared" si="246"/>
        <v>O</v>
      </c>
      <c r="Z507">
        <v>57</v>
      </c>
      <c r="AA507" s="98" t="str">
        <f t="shared" si="236"/>
        <v>MIL/MIN</v>
      </c>
    </row>
    <row r="508" spans="1:27" x14ac:dyDescent="0.45">
      <c r="A508" s="94">
        <v>200102</v>
      </c>
      <c r="B508" s="95">
        <v>0.52083333333333337</v>
      </c>
      <c r="C508" s="94" t="s">
        <v>419</v>
      </c>
      <c r="D508" s="94" t="s">
        <v>404</v>
      </c>
      <c r="E508" s="186">
        <v>43</v>
      </c>
      <c r="F508" s="186">
        <v>31</v>
      </c>
      <c r="G508" s="186">
        <v>27</v>
      </c>
      <c r="H508" s="186">
        <v>16</v>
      </c>
      <c r="I508" s="186"/>
      <c r="J508" s="186">
        <v>17</v>
      </c>
      <c r="K508" s="186">
        <v>24</v>
      </c>
      <c r="L508" s="186">
        <v>38</v>
      </c>
      <c r="M508" s="186">
        <v>28</v>
      </c>
      <c r="N508" s="186" t="s">
        <v>427</v>
      </c>
      <c r="O508" s="186">
        <f t="shared" si="237"/>
        <v>117</v>
      </c>
      <c r="P508" s="186">
        <f t="shared" si="238"/>
        <v>107</v>
      </c>
      <c r="Q508" s="186" t="str">
        <f t="shared" si="239"/>
        <v>HW</v>
      </c>
      <c r="R508" s="186" t="str">
        <f t="shared" si="240"/>
        <v>HW</v>
      </c>
      <c r="S508" s="186" t="str">
        <f t="shared" si="241"/>
        <v>HL</v>
      </c>
      <c r="T508" s="186" t="str">
        <f t="shared" si="242"/>
        <v>HL</v>
      </c>
      <c r="U508" s="186" t="str">
        <f t="shared" si="243"/>
        <v>O</v>
      </c>
      <c r="V508" s="186" t="str">
        <f t="shared" si="244"/>
        <v>U</v>
      </c>
      <c r="W508" s="186" t="str">
        <f t="shared" si="245"/>
        <v>O</v>
      </c>
      <c r="X508" s="186" t="str">
        <f t="shared" si="246"/>
        <v>U</v>
      </c>
      <c r="Z508">
        <v>56</v>
      </c>
      <c r="AA508" s="98" t="str">
        <f t="shared" si="236"/>
        <v>LAL/PHO</v>
      </c>
    </row>
    <row r="509" spans="1:27" x14ac:dyDescent="0.45">
      <c r="A509" s="94">
        <v>200103</v>
      </c>
      <c r="B509" s="97">
        <v>0.375</v>
      </c>
      <c r="C509" s="96" t="s">
        <v>402</v>
      </c>
      <c r="D509" s="96" t="s">
        <v>409</v>
      </c>
      <c r="E509" s="186">
        <v>29</v>
      </c>
      <c r="F509" s="186">
        <v>30</v>
      </c>
      <c r="G509" s="186">
        <v>26</v>
      </c>
      <c r="H509" s="186">
        <v>21</v>
      </c>
      <c r="I509" s="186"/>
      <c r="J509" s="186">
        <v>31</v>
      </c>
      <c r="K509" s="186">
        <v>21</v>
      </c>
      <c r="L509" s="186">
        <v>30</v>
      </c>
      <c r="M509" s="186">
        <v>27</v>
      </c>
      <c r="N509" s="186" t="s">
        <v>427</v>
      </c>
      <c r="O509" s="186">
        <f t="shared" si="237"/>
        <v>106</v>
      </c>
      <c r="P509" s="186">
        <f t="shared" si="238"/>
        <v>109</v>
      </c>
      <c r="Q509" s="186" t="str">
        <f t="shared" si="239"/>
        <v>HL</v>
      </c>
      <c r="R509" s="186" t="str">
        <f t="shared" si="240"/>
        <v>HW</v>
      </c>
      <c r="S509" s="186" t="str">
        <f t="shared" si="241"/>
        <v>HL</v>
      </c>
      <c r="T509" s="186" t="str">
        <f t="shared" si="242"/>
        <v>HL</v>
      </c>
      <c r="U509" s="186" t="str">
        <f t="shared" si="243"/>
        <v>O</v>
      </c>
      <c r="V509" s="186" t="str">
        <f t="shared" si="244"/>
        <v>U</v>
      </c>
      <c r="W509" s="186" t="str">
        <f t="shared" si="245"/>
        <v>O</v>
      </c>
      <c r="X509" s="186" t="str">
        <f t="shared" si="246"/>
        <v>U</v>
      </c>
      <c r="Z509">
        <v>54.5</v>
      </c>
      <c r="AA509" s="98" t="str">
        <f t="shared" si="236"/>
        <v>CLE/CHA</v>
      </c>
    </row>
    <row r="510" spans="1:27" x14ac:dyDescent="0.45">
      <c r="A510" s="96">
        <v>200103</v>
      </c>
      <c r="B510" s="97">
        <v>0.375</v>
      </c>
      <c r="C510" s="96" t="s">
        <v>400</v>
      </c>
      <c r="D510" s="96" t="s">
        <v>408</v>
      </c>
      <c r="E510" s="186">
        <v>37</v>
      </c>
      <c r="F510" s="186">
        <v>27</v>
      </c>
      <c r="G510" s="186">
        <v>24</v>
      </c>
      <c r="H510" s="186">
        <v>28</v>
      </c>
      <c r="I510" s="186"/>
      <c r="J510" s="186">
        <v>27</v>
      </c>
      <c r="K510" s="186">
        <v>35</v>
      </c>
      <c r="L510" s="186">
        <v>30</v>
      </c>
      <c r="M510" s="186">
        <v>32</v>
      </c>
      <c r="N510" s="186" t="s">
        <v>427</v>
      </c>
      <c r="O510" s="186">
        <f t="shared" si="237"/>
        <v>116</v>
      </c>
      <c r="P510" s="186">
        <f t="shared" si="238"/>
        <v>124</v>
      </c>
      <c r="Q510" s="186" t="str">
        <f t="shared" si="239"/>
        <v>HW</v>
      </c>
      <c r="R510" s="186" t="str">
        <f t="shared" si="240"/>
        <v>HL</v>
      </c>
      <c r="S510" s="186" t="str">
        <f t="shared" si="241"/>
        <v>HL</v>
      </c>
      <c r="T510" s="186" t="str">
        <f t="shared" si="242"/>
        <v>HL</v>
      </c>
      <c r="U510" s="186" t="str">
        <f t="shared" si="243"/>
        <v>O</v>
      </c>
      <c r="V510" s="186" t="str">
        <f t="shared" si="244"/>
        <v>O</v>
      </c>
      <c r="W510" s="186" t="str">
        <f t="shared" si="245"/>
        <v>O</v>
      </c>
      <c r="X510" s="186" t="str">
        <f t="shared" si="246"/>
        <v>O</v>
      </c>
      <c r="Z510">
        <v>53.5</v>
      </c>
      <c r="AA510" s="98" t="str">
        <f t="shared" si="236"/>
        <v>IND/DEN</v>
      </c>
    </row>
    <row r="511" spans="1:27" x14ac:dyDescent="0.45">
      <c r="A511" s="96">
        <v>200103</v>
      </c>
      <c r="B511" s="97">
        <v>0.39583333333333331</v>
      </c>
      <c r="C511" s="96" t="s">
        <v>411</v>
      </c>
      <c r="D511" s="96" t="s">
        <v>413</v>
      </c>
      <c r="E511" s="186">
        <v>18</v>
      </c>
      <c r="F511" s="186">
        <v>24</v>
      </c>
      <c r="G511" s="186">
        <v>21</v>
      </c>
      <c r="H511" s="186">
        <v>21</v>
      </c>
      <c r="I511" s="186"/>
      <c r="J511" s="186">
        <v>20</v>
      </c>
      <c r="K511" s="186">
        <v>19</v>
      </c>
      <c r="L511" s="186">
        <v>21</v>
      </c>
      <c r="M511" s="186">
        <v>16</v>
      </c>
      <c r="N511" s="186" t="s">
        <v>427</v>
      </c>
      <c r="O511" s="186">
        <f t="shared" si="237"/>
        <v>84</v>
      </c>
      <c r="P511" s="186">
        <f t="shared" si="238"/>
        <v>76</v>
      </c>
      <c r="Q511" s="186" t="str">
        <f t="shared" si="239"/>
        <v>HL</v>
      </c>
      <c r="R511" s="186" t="str">
        <f t="shared" si="240"/>
        <v>HW</v>
      </c>
      <c r="S511" s="186" t="str">
        <f t="shared" si="241"/>
        <v>TT</v>
      </c>
      <c r="T511" s="186" t="str">
        <f t="shared" si="242"/>
        <v>HW</v>
      </c>
      <c r="U511" s="186" t="str">
        <f t="shared" si="243"/>
        <v>U</v>
      </c>
      <c r="V511" s="186" t="str">
        <f t="shared" si="244"/>
        <v>U</v>
      </c>
      <c r="W511" s="186" t="str">
        <f t="shared" si="245"/>
        <v>U</v>
      </c>
      <c r="X511" s="186" t="str">
        <f t="shared" si="246"/>
        <v>U</v>
      </c>
      <c r="Z511">
        <v>55.5</v>
      </c>
      <c r="AA511" s="98" t="str">
        <f t="shared" si="236"/>
        <v>MIA/TOR</v>
      </c>
    </row>
    <row r="512" spans="1:27" x14ac:dyDescent="0.45">
      <c r="A512" s="96">
        <v>200103</v>
      </c>
      <c r="B512" s="97">
        <v>0.41666666666666669</v>
      </c>
      <c r="C512" s="96" t="s">
        <v>412</v>
      </c>
      <c r="D512" s="96" t="s">
        <v>405</v>
      </c>
      <c r="E512" s="186">
        <v>22</v>
      </c>
      <c r="F512" s="186">
        <v>29</v>
      </c>
      <c r="G512" s="186">
        <v>19</v>
      </c>
      <c r="H512" s="186">
        <v>28</v>
      </c>
      <c r="I512" s="186"/>
      <c r="J512" s="186">
        <v>25</v>
      </c>
      <c r="K512" s="186">
        <v>22</v>
      </c>
      <c r="L512" s="186">
        <v>29</v>
      </c>
      <c r="M512" s="186">
        <v>26</v>
      </c>
      <c r="N512" s="186" t="s">
        <v>427</v>
      </c>
      <c r="O512" s="186">
        <f t="shared" si="237"/>
        <v>98</v>
      </c>
      <c r="P512" s="186">
        <f t="shared" si="238"/>
        <v>102</v>
      </c>
      <c r="Q512" s="186" t="str">
        <f t="shared" si="239"/>
        <v>HL</v>
      </c>
      <c r="R512" s="186" t="str">
        <f t="shared" si="240"/>
        <v>HW</v>
      </c>
      <c r="S512" s="186" t="str">
        <f t="shared" si="241"/>
        <v>HL</v>
      </c>
      <c r="T512" s="186" t="str">
        <f t="shared" si="242"/>
        <v>HW</v>
      </c>
      <c r="U512" s="186" t="str">
        <f t="shared" si="243"/>
        <v>U</v>
      </c>
      <c r="V512" s="186" t="str">
        <f t="shared" si="244"/>
        <v>U</v>
      </c>
      <c r="W512" s="186" t="str">
        <f t="shared" si="245"/>
        <v>U</v>
      </c>
      <c r="X512" s="186" t="str">
        <f t="shared" si="246"/>
        <v>O</v>
      </c>
      <c r="Z512">
        <v>51.5</v>
      </c>
      <c r="AA512" s="98" t="str">
        <f t="shared" si="236"/>
        <v>CHI/UTA</v>
      </c>
    </row>
    <row r="513" spans="1:27" x14ac:dyDescent="0.45">
      <c r="A513" s="96">
        <v>200103</v>
      </c>
      <c r="B513" s="97">
        <v>0.41666666666666669</v>
      </c>
      <c r="C513" s="96" t="s">
        <v>420</v>
      </c>
      <c r="D513" s="96" t="s">
        <v>425</v>
      </c>
      <c r="E513" s="186">
        <v>34</v>
      </c>
      <c r="F513" s="186">
        <v>24</v>
      </c>
      <c r="G513" s="186">
        <v>23</v>
      </c>
      <c r="H513" s="186">
        <v>18</v>
      </c>
      <c r="I513" s="186"/>
      <c r="J513" s="186">
        <v>19</v>
      </c>
      <c r="K513" s="186">
        <v>22</v>
      </c>
      <c r="L513" s="186">
        <v>26</v>
      </c>
      <c r="M513" s="186">
        <v>17</v>
      </c>
      <c r="N513" s="186" t="s">
        <v>427</v>
      </c>
      <c r="O513" s="186">
        <f t="shared" si="237"/>
        <v>99</v>
      </c>
      <c r="P513" s="186">
        <f t="shared" si="238"/>
        <v>84</v>
      </c>
      <c r="Q513" s="186" t="str">
        <f t="shared" si="239"/>
        <v>HW</v>
      </c>
      <c r="R513" s="186" t="str">
        <f t="shared" si="240"/>
        <v>HW</v>
      </c>
      <c r="S513" s="186" t="str">
        <f t="shared" si="241"/>
        <v>HL</v>
      </c>
      <c r="T513" s="186" t="str">
        <f t="shared" si="242"/>
        <v>HW</v>
      </c>
      <c r="U513" s="186" t="str">
        <f t="shared" si="243"/>
        <v>U</v>
      </c>
      <c r="V513" s="186" t="str">
        <f t="shared" si="244"/>
        <v>U</v>
      </c>
      <c r="W513" s="186" t="str">
        <f t="shared" si="245"/>
        <v>U</v>
      </c>
      <c r="X513" s="186" t="str">
        <f t="shared" si="246"/>
        <v>U</v>
      </c>
      <c r="Z513">
        <v>54.5</v>
      </c>
      <c r="AA513" s="98" t="str">
        <f t="shared" si="236"/>
        <v>MIN/GS</v>
      </c>
    </row>
    <row r="514" spans="1:27" x14ac:dyDescent="0.45">
      <c r="A514" s="96">
        <v>200103</v>
      </c>
      <c r="B514" s="97">
        <v>0.4375</v>
      </c>
      <c r="C514" s="96" t="s">
        <v>397</v>
      </c>
      <c r="D514" s="96" t="s">
        <v>407</v>
      </c>
      <c r="E514" s="186">
        <v>31</v>
      </c>
      <c r="F514" s="186">
        <v>29</v>
      </c>
      <c r="G514" s="186">
        <v>33</v>
      </c>
      <c r="H514" s="186">
        <v>30</v>
      </c>
      <c r="I514" s="186"/>
      <c r="J514" s="186">
        <v>30</v>
      </c>
      <c r="K514" s="186">
        <v>35</v>
      </c>
      <c r="L514" s="186">
        <v>28</v>
      </c>
      <c r="M514" s="186">
        <v>18</v>
      </c>
      <c r="N514" s="186" t="s">
        <v>427</v>
      </c>
      <c r="O514" s="186">
        <f t="shared" si="237"/>
        <v>123</v>
      </c>
      <c r="P514" s="186">
        <f t="shared" si="238"/>
        <v>111</v>
      </c>
      <c r="Q514" s="186" t="str">
        <f t="shared" si="239"/>
        <v>HW</v>
      </c>
      <c r="R514" s="186" t="str">
        <f t="shared" si="240"/>
        <v>HL</v>
      </c>
      <c r="S514" s="186" t="str">
        <f t="shared" si="241"/>
        <v>HW</v>
      </c>
      <c r="T514" s="186" t="str">
        <f t="shared" si="242"/>
        <v>HW</v>
      </c>
      <c r="U514" s="186" t="str">
        <f t="shared" si="243"/>
        <v>O</v>
      </c>
      <c r="V514" s="186" t="str">
        <f t="shared" si="244"/>
        <v>O</v>
      </c>
      <c r="W514" s="186" t="str">
        <f t="shared" si="245"/>
        <v>O</v>
      </c>
      <c r="X514" s="186" t="str">
        <f t="shared" si="246"/>
        <v>U</v>
      </c>
      <c r="Z514">
        <v>54.5</v>
      </c>
      <c r="AA514" s="98" t="str">
        <f t="shared" si="236"/>
        <v>DAL/BKN</v>
      </c>
    </row>
    <row r="515" spans="1:27" x14ac:dyDescent="0.45">
      <c r="A515" s="96">
        <v>200103</v>
      </c>
      <c r="B515" s="97">
        <v>0.4375</v>
      </c>
      <c r="C515" s="96" t="s">
        <v>426</v>
      </c>
      <c r="D515" s="96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7"/>
        <v>103</v>
      </c>
      <c r="P515" s="186">
        <f t="shared" si="238"/>
        <v>109</v>
      </c>
      <c r="Q515" s="186" t="str">
        <f t="shared" si="239"/>
        <v>TT</v>
      </c>
      <c r="R515" s="186" t="str">
        <f t="shared" si="240"/>
        <v>HW</v>
      </c>
      <c r="S515" s="186" t="str">
        <f t="shared" si="241"/>
        <v>HL</v>
      </c>
      <c r="T515" s="186" t="str">
        <f t="shared" si="242"/>
        <v>HL</v>
      </c>
      <c r="U515" s="186" t="str">
        <f t="shared" si="243"/>
        <v>U</v>
      </c>
      <c r="V515" s="186" t="str">
        <f t="shared" si="244"/>
        <v>U</v>
      </c>
      <c r="W515" s="186" t="str">
        <f t="shared" si="245"/>
        <v>U</v>
      </c>
      <c r="X515" s="186" t="str">
        <f t="shared" si="246"/>
        <v>O</v>
      </c>
      <c r="Z515">
        <v>56</v>
      </c>
      <c r="AA515" s="98" t="str">
        <f t="shared" si="236"/>
        <v>SAS/OKC</v>
      </c>
    </row>
    <row r="516" spans="1:27" x14ac:dyDescent="0.45">
      <c r="A516" s="96">
        <v>200103</v>
      </c>
      <c r="B516" s="97">
        <v>0.5</v>
      </c>
      <c r="C516" s="96" t="s">
        <v>416</v>
      </c>
      <c r="D516" s="96" t="s">
        <v>406</v>
      </c>
      <c r="E516" s="186">
        <v>26</v>
      </c>
      <c r="F516" s="186">
        <v>37</v>
      </c>
      <c r="G516" s="186">
        <v>27</v>
      </c>
      <c r="H516" s="186">
        <v>38</v>
      </c>
      <c r="I516" s="186"/>
      <c r="J516" s="186">
        <v>42</v>
      </c>
      <c r="K516" s="186">
        <v>18</v>
      </c>
      <c r="L516" s="186">
        <v>37</v>
      </c>
      <c r="M516" s="186">
        <v>26</v>
      </c>
      <c r="N516" s="186" t="s">
        <v>427</v>
      </c>
      <c r="O516" s="186">
        <f t="shared" si="237"/>
        <v>128</v>
      </c>
      <c r="P516" s="186">
        <f t="shared" si="238"/>
        <v>123</v>
      </c>
      <c r="Q516" s="186" t="str">
        <f t="shared" si="239"/>
        <v>HL</v>
      </c>
      <c r="R516" s="186" t="str">
        <f t="shared" si="240"/>
        <v>HW</v>
      </c>
      <c r="S516" s="186" t="str">
        <f t="shared" si="241"/>
        <v>HL</v>
      </c>
      <c r="T516" s="186" t="str">
        <f t="shared" si="242"/>
        <v>HW</v>
      </c>
      <c r="U516" s="186" t="str">
        <f t="shared" si="243"/>
        <v>O</v>
      </c>
      <c r="V516" s="186" t="str">
        <f t="shared" si="244"/>
        <v>T</v>
      </c>
      <c r="W516" s="186" t="str">
        <f t="shared" si="245"/>
        <v>O</v>
      </c>
      <c r="X516" s="186" t="str">
        <f t="shared" si="246"/>
        <v>O</v>
      </c>
      <c r="Z516">
        <v>55</v>
      </c>
      <c r="AA516" s="98" t="str">
        <f t="shared" si="236"/>
        <v>SAC/MEM</v>
      </c>
    </row>
    <row r="517" spans="1:27" x14ac:dyDescent="0.45">
      <c r="A517" s="96">
        <v>200103</v>
      </c>
      <c r="B517" s="97">
        <v>0.52083333333333337</v>
      </c>
      <c r="C517" s="96" t="s">
        <v>415</v>
      </c>
      <c r="D517" s="96" t="s">
        <v>422</v>
      </c>
      <c r="E517" s="186">
        <v>30</v>
      </c>
      <c r="F517" s="186">
        <v>39</v>
      </c>
      <c r="G517" s="186">
        <v>37</v>
      </c>
      <c r="H517" s="186">
        <v>20</v>
      </c>
      <c r="I517" s="186"/>
      <c r="J517" s="186">
        <v>33</v>
      </c>
      <c r="K517" s="186">
        <v>30</v>
      </c>
      <c r="L517" s="186">
        <v>16</v>
      </c>
      <c r="M517" s="186">
        <v>33</v>
      </c>
      <c r="N517" s="186" t="s">
        <v>427</v>
      </c>
      <c r="O517" s="186">
        <f t="shared" si="237"/>
        <v>126</v>
      </c>
      <c r="P517" s="186">
        <f t="shared" si="238"/>
        <v>112</v>
      </c>
      <c r="Q517" s="186" t="str">
        <f t="shared" si="239"/>
        <v>HL</v>
      </c>
      <c r="R517" s="186" t="str">
        <f t="shared" si="240"/>
        <v>HW</v>
      </c>
      <c r="S517" s="186" t="str">
        <f t="shared" si="241"/>
        <v>HW</v>
      </c>
      <c r="T517" s="186" t="str">
        <f t="shared" si="242"/>
        <v>HL</v>
      </c>
      <c r="U517" s="186" t="str">
        <f t="shared" si="243"/>
        <v>O</v>
      </c>
      <c r="V517" s="186" t="str">
        <f t="shared" si="244"/>
        <v>O</v>
      </c>
      <c r="W517" s="186" t="str">
        <f t="shared" si="245"/>
        <v>U</v>
      </c>
      <c r="X517" s="186" t="str">
        <f t="shared" si="246"/>
        <v>U</v>
      </c>
      <c r="Z517">
        <v>58.5</v>
      </c>
      <c r="AA517" s="98" t="str">
        <f t="shared" si="236"/>
        <v>LAC/DET</v>
      </c>
    </row>
    <row r="518" spans="1:27" x14ac:dyDescent="0.45">
      <c r="A518" s="96">
        <v>200104</v>
      </c>
      <c r="B518" s="99">
        <v>0.375</v>
      </c>
      <c r="C518" s="98" t="s">
        <v>421</v>
      </c>
      <c r="D518" s="98" t="s">
        <v>410</v>
      </c>
      <c r="E518" s="187">
        <v>19</v>
      </c>
      <c r="F518" s="187">
        <v>34</v>
      </c>
      <c r="G518" s="187">
        <v>29</v>
      </c>
      <c r="H518" s="187">
        <v>27</v>
      </c>
      <c r="I518" s="187"/>
      <c r="J518" s="187">
        <v>32</v>
      </c>
      <c r="K518" s="187">
        <v>23</v>
      </c>
      <c r="L518" s="187">
        <v>25</v>
      </c>
      <c r="M518" s="187">
        <v>26</v>
      </c>
      <c r="N518" s="187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>
        <v>58</v>
      </c>
      <c r="AA518" s="98" t="str">
        <f t="shared" si="236"/>
        <v>BOS/ATL</v>
      </c>
    </row>
    <row r="519" spans="1:27" x14ac:dyDescent="0.45">
      <c r="A519" s="98">
        <v>200104</v>
      </c>
      <c r="B519" s="99">
        <v>0.375</v>
      </c>
      <c r="C519" s="98" t="s">
        <v>424</v>
      </c>
      <c r="D519" s="98" t="s">
        <v>411</v>
      </c>
      <c r="E519" s="190">
        <v>27</v>
      </c>
      <c r="F519" s="190">
        <v>29</v>
      </c>
      <c r="G519" s="190">
        <v>28</v>
      </c>
      <c r="H519" s="190">
        <v>21</v>
      </c>
      <c r="I519" s="190"/>
      <c r="J519" s="190">
        <v>22</v>
      </c>
      <c r="K519" s="190">
        <v>22</v>
      </c>
      <c r="L519" s="190">
        <v>35</v>
      </c>
      <c r="M519" s="190">
        <v>6</v>
      </c>
      <c r="N519" s="190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>
        <v>53</v>
      </c>
      <c r="AA519" s="98" t="str">
        <f t="shared" si="236"/>
        <v>ORL/MIA</v>
      </c>
    </row>
    <row r="520" spans="1:27" x14ac:dyDescent="0.45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>
        <v>60</v>
      </c>
      <c r="AA520" s="98" t="str">
        <f t="shared" si="236"/>
        <v>WAS/POR</v>
      </c>
    </row>
    <row r="521" spans="1:27" x14ac:dyDescent="0.45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88">
        <v>20</v>
      </c>
      <c r="F521" s="188">
        <v>40</v>
      </c>
      <c r="G521" s="188">
        <v>36</v>
      </c>
      <c r="H521" s="188">
        <v>22</v>
      </c>
      <c r="I521" s="188"/>
      <c r="J521" s="188">
        <v>27</v>
      </c>
      <c r="K521" s="188">
        <v>26</v>
      </c>
      <c r="L521" s="188">
        <v>31</v>
      </c>
      <c r="M521" s="188">
        <v>24</v>
      </c>
      <c r="N521" s="188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>
        <v>57</v>
      </c>
      <c r="AA521" s="98" t="str">
        <f t="shared" si="236"/>
        <v>HOU/PHI</v>
      </c>
    </row>
    <row r="522" spans="1:27" x14ac:dyDescent="0.45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1">
        <v>29</v>
      </c>
      <c r="F522" s="191">
        <v>22</v>
      </c>
      <c r="G522" s="191">
        <v>32</v>
      </c>
      <c r="H522" s="191">
        <v>37</v>
      </c>
      <c r="I522" s="191"/>
      <c r="J522" s="191">
        <v>37</v>
      </c>
      <c r="K522" s="191">
        <v>24</v>
      </c>
      <c r="L522" s="191">
        <v>26</v>
      </c>
      <c r="M522" s="191">
        <v>25</v>
      </c>
      <c r="N522" s="191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>
        <v>58</v>
      </c>
      <c r="AA522" s="98" t="str">
        <f t="shared" si="236"/>
        <v>PHO/NYK</v>
      </c>
    </row>
    <row r="523" spans="1:27" x14ac:dyDescent="0.45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89">
        <v>42</v>
      </c>
      <c r="F523" s="189">
        <v>32</v>
      </c>
      <c r="G523" s="189">
        <v>31</v>
      </c>
      <c r="H523" s="189">
        <v>18</v>
      </c>
      <c r="I523" s="189"/>
      <c r="J523" s="189">
        <v>30</v>
      </c>
      <c r="K523" s="189">
        <v>32</v>
      </c>
      <c r="L523" s="189">
        <v>21</v>
      </c>
      <c r="M523" s="189">
        <v>30</v>
      </c>
      <c r="N523" s="189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206">
        <v>58</v>
      </c>
      <c r="AA523" s="98" t="str">
        <f t="shared" si="236"/>
        <v>LAL/NO</v>
      </c>
    </row>
    <row r="524" spans="1:27" x14ac:dyDescent="0.45">
      <c r="A524" s="193">
        <v>200105</v>
      </c>
      <c r="B524" s="194">
        <v>0.22916666666666666</v>
      </c>
      <c r="C524" s="193" t="s">
        <v>415</v>
      </c>
      <c r="D524" s="193" t="s">
        <v>406</v>
      </c>
      <c r="E524" s="201">
        <v>27</v>
      </c>
      <c r="F524" s="201">
        <v>30</v>
      </c>
      <c r="G524" s="201">
        <v>23</v>
      </c>
      <c r="H524" s="201">
        <v>34</v>
      </c>
      <c r="I524" s="201"/>
      <c r="J524" s="201">
        <v>40</v>
      </c>
      <c r="K524" s="201">
        <v>25</v>
      </c>
      <c r="L524" s="201">
        <v>39</v>
      </c>
      <c r="M524" s="201">
        <v>36</v>
      </c>
      <c r="N524" s="201" t="s">
        <v>427</v>
      </c>
      <c r="O524" s="206">
        <f t="shared" ref="O524:O534" si="257">SUM(E524:I524)</f>
        <v>114</v>
      </c>
      <c r="P524" s="206">
        <f t="shared" ref="P524:P534" si="258">SUM(J524:N524)</f>
        <v>140</v>
      </c>
      <c r="Q524" s="206" t="str">
        <f t="shared" ref="Q524:Q534" si="259">IF(E524=J524,"TT",IF(E524&gt;J524,"HW","HL"))</f>
        <v>HL</v>
      </c>
      <c r="R524" s="206" t="str">
        <f t="shared" ref="R524:R534" si="260">IF(F524=K524,"TT",IF(F524&gt;K524,"HW","HL"))</f>
        <v>HW</v>
      </c>
      <c r="S524" s="206" t="str">
        <f t="shared" ref="S524:S534" si="261">IF(G524=L524,"TT",IF(G524&gt;L524,"HW","HL"))</f>
        <v>HL</v>
      </c>
      <c r="T524" s="206" t="str">
        <f t="shared" ref="T524:T534" si="262">IF(H524=M524,"TT",IF(H524&gt;M524,"HW","HL"))</f>
        <v>HL</v>
      </c>
      <c r="U524" s="206" t="str">
        <f t="shared" ref="U524:U534" si="263">IF(SUM(E524,J524)=$Z524,"T",IF(SUM(E524,J524)&gt;$Z524,"O","U"))</f>
        <v>O</v>
      </c>
      <c r="V524" s="206" t="str">
        <f t="shared" ref="V524:V534" si="264">IF(SUM(F524,K524)=$Z524,"T",IF(SUM(F524,K524)&gt;$Z524,"O","U"))</f>
        <v>U</v>
      </c>
      <c r="W524" s="206" t="str">
        <f t="shared" ref="W524:W534" si="265">IF(SUM(G524,L524)=$Z524,"T",IF(SUM(G524,L524)&gt;$Z524,"O","U"))</f>
        <v>O</v>
      </c>
      <c r="X524" s="206" t="str">
        <f t="shared" ref="X524:X534" si="266">IF(SUM(H524,M524)=$Z524,"T",IF(SUM(H524,M524)&gt;$Z524,"O","U"))</f>
        <v>O</v>
      </c>
      <c r="Y524" s="206"/>
      <c r="Z524" s="206">
        <v>56</v>
      </c>
      <c r="AA524" s="206" t="str">
        <f t="shared" ref="AA524:AA587" si="267">C524&amp;"/"&amp;D524</f>
        <v>LAC/MEM</v>
      </c>
    </row>
    <row r="525" spans="1:27" x14ac:dyDescent="0.45">
      <c r="A525" s="193">
        <v>200105</v>
      </c>
      <c r="B525" s="194">
        <v>0.33333333333333331</v>
      </c>
      <c r="C525" s="14" t="s">
        <v>407</v>
      </c>
      <c r="D525" s="193" t="s">
        <v>413</v>
      </c>
      <c r="E525" s="196">
        <v>33</v>
      </c>
      <c r="F525" s="196">
        <v>19</v>
      </c>
      <c r="G525" s="196">
        <v>28</v>
      </c>
      <c r="H525" s="196">
        <v>22</v>
      </c>
      <c r="I525" s="196"/>
      <c r="J525" s="196">
        <v>24</v>
      </c>
      <c r="K525" s="196">
        <v>24</v>
      </c>
      <c r="L525" s="196">
        <v>35</v>
      </c>
      <c r="M525" s="196">
        <v>38</v>
      </c>
      <c r="N525" s="196" t="s">
        <v>427</v>
      </c>
      <c r="O525" s="206">
        <f t="shared" si="257"/>
        <v>102</v>
      </c>
      <c r="P525" s="206">
        <f t="shared" si="258"/>
        <v>121</v>
      </c>
      <c r="Q525" s="206" t="str">
        <f t="shared" si="259"/>
        <v>HW</v>
      </c>
      <c r="R525" s="206" t="str">
        <f t="shared" si="260"/>
        <v>HL</v>
      </c>
      <c r="S525" s="206" t="str">
        <f t="shared" si="261"/>
        <v>HL</v>
      </c>
      <c r="T525" s="206" t="str">
        <f t="shared" si="262"/>
        <v>HL</v>
      </c>
      <c r="U525" s="206" t="str">
        <f t="shared" si="263"/>
        <v>O</v>
      </c>
      <c r="V525" s="206" t="str">
        <f t="shared" si="264"/>
        <v>U</v>
      </c>
      <c r="W525" s="206" t="str">
        <f t="shared" si="265"/>
        <v>O</v>
      </c>
      <c r="X525" s="206" t="str">
        <f t="shared" si="266"/>
        <v>O</v>
      </c>
      <c r="Y525" s="206"/>
      <c r="Z525" s="206">
        <v>55</v>
      </c>
      <c r="AA525" s="206" t="str">
        <f t="shared" si="267"/>
        <v>BKN/TOR</v>
      </c>
    </row>
    <row r="526" spans="1:27" x14ac:dyDescent="0.45">
      <c r="A526" s="193">
        <v>200105</v>
      </c>
      <c r="B526" s="194">
        <v>0.375</v>
      </c>
      <c r="C526" s="193" t="s">
        <v>431</v>
      </c>
      <c r="D526" s="193" t="s">
        <v>405</v>
      </c>
      <c r="E526" s="203">
        <v>25</v>
      </c>
      <c r="F526" s="203">
        <v>22</v>
      </c>
      <c r="G526" s="203">
        <v>28</v>
      </c>
      <c r="H526" s="203">
        <v>21</v>
      </c>
      <c r="I526" s="203"/>
      <c r="J526" s="203">
        <v>33</v>
      </c>
      <c r="K526" s="203">
        <v>19</v>
      </c>
      <c r="L526" s="203">
        <v>24</v>
      </c>
      <c r="M526" s="203">
        <v>33</v>
      </c>
      <c r="N526" s="203" t="s">
        <v>427</v>
      </c>
      <c r="O526" s="206">
        <f t="shared" si="257"/>
        <v>96</v>
      </c>
      <c r="P526" s="206">
        <f t="shared" si="258"/>
        <v>109</v>
      </c>
      <c r="Q526" s="206" t="str">
        <f t="shared" si="259"/>
        <v>HL</v>
      </c>
      <c r="R526" s="206" t="str">
        <f t="shared" si="260"/>
        <v>HW</v>
      </c>
      <c r="S526" s="206" t="str">
        <f t="shared" si="261"/>
        <v>HW</v>
      </c>
      <c r="T526" s="206" t="str">
        <f t="shared" si="262"/>
        <v>HL</v>
      </c>
      <c r="U526" s="206" t="str">
        <f t="shared" si="263"/>
        <v>O</v>
      </c>
      <c r="V526" s="206" t="str">
        <f t="shared" si="264"/>
        <v>U</v>
      </c>
      <c r="W526" s="206" t="str">
        <f t="shared" si="265"/>
        <v>O</v>
      </c>
      <c r="X526" s="206" t="str">
        <f t="shared" si="266"/>
        <v>O</v>
      </c>
      <c r="Y526" s="206"/>
      <c r="Z526" s="206">
        <v>50.5</v>
      </c>
      <c r="AA526" s="206" t="str">
        <f t="shared" si="267"/>
        <v>ORL/UTA</v>
      </c>
    </row>
    <row r="527" spans="1:27" x14ac:dyDescent="0.45">
      <c r="A527" s="193">
        <v>200105</v>
      </c>
      <c r="B527" s="194">
        <v>0.39583333333333331</v>
      </c>
      <c r="C527" s="14" t="s">
        <v>410</v>
      </c>
      <c r="D527" s="14" t="s">
        <v>400</v>
      </c>
      <c r="E527" s="195">
        <v>43</v>
      </c>
      <c r="F527" s="195">
        <v>21</v>
      </c>
      <c r="G527" s="195">
        <v>32</v>
      </c>
      <c r="H527" s="195">
        <v>20</v>
      </c>
      <c r="I527" s="195"/>
      <c r="J527" s="195">
        <v>26</v>
      </c>
      <c r="K527" s="195">
        <v>34</v>
      </c>
      <c r="L527" s="195">
        <v>35</v>
      </c>
      <c r="M527" s="195">
        <v>16</v>
      </c>
      <c r="N527" s="195" t="s">
        <v>427</v>
      </c>
      <c r="O527" s="206">
        <f t="shared" si="257"/>
        <v>116</v>
      </c>
      <c r="P527" s="206">
        <f t="shared" si="258"/>
        <v>111</v>
      </c>
      <c r="Q527" s="206" t="str">
        <f t="shared" si="259"/>
        <v>HW</v>
      </c>
      <c r="R527" s="206" t="str">
        <f t="shared" si="260"/>
        <v>HL</v>
      </c>
      <c r="S527" s="206" t="str">
        <f t="shared" si="261"/>
        <v>HL</v>
      </c>
      <c r="T527" s="206" t="str">
        <f t="shared" si="262"/>
        <v>HW</v>
      </c>
      <c r="U527" s="206" t="str">
        <f t="shared" si="263"/>
        <v>O</v>
      </c>
      <c r="V527" s="206" t="str">
        <f t="shared" si="264"/>
        <v>U</v>
      </c>
      <c r="W527" s="206" t="str">
        <f t="shared" si="265"/>
        <v>O</v>
      </c>
      <c r="X527" s="206" t="str">
        <f t="shared" si="266"/>
        <v>U</v>
      </c>
      <c r="Y527" s="206"/>
      <c r="Z527" s="206">
        <v>56.5</v>
      </c>
      <c r="AA527" s="206" t="str">
        <f t="shared" si="267"/>
        <v>ATL/IND</v>
      </c>
    </row>
    <row r="528" spans="1:27" x14ac:dyDescent="0.45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198">
        <v>27</v>
      </c>
      <c r="F528" s="198">
        <v>26</v>
      </c>
      <c r="G528" s="198">
        <v>26</v>
      </c>
      <c r="H528" s="198">
        <v>27</v>
      </c>
      <c r="I528" s="198"/>
      <c r="J528" s="198">
        <v>34</v>
      </c>
      <c r="K528" s="198">
        <v>32</v>
      </c>
      <c r="L528" s="198">
        <v>25</v>
      </c>
      <c r="M528" s="198">
        <v>30</v>
      </c>
      <c r="N528" s="198" t="s">
        <v>427</v>
      </c>
      <c r="O528" s="206">
        <f t="shared" si="257"/>
        <v>106</v>
      </c>
      <c r="P528" s="206">
        <f t="shared" si="258"/>
        <v>121</v>
      </c>
      <c r="Q528" s="206" t="str">
        <f t="shared" si="259"/>
        <v>HL</v>
      </c>
      <c r="R528" s="206" t="str">
        <f t="shared" si="260"/>
        <v>HL</v>
      </c>
      <c r="S528" s="206" t="str">
        <f t="shared" si="261"/>
        <v>HW</v>
      </c>
      <c r="T528" s="206" t="str">
        <f t="shared" si="262"/>
        <v>HL</v>
      </c>
      <c r="U528" s="206" t="str">
        <f t="shared" si="263"/>
        <v>O</v>
      </c>
      <c r="V528" s="206" t="str">
        <f t="shared" si="264"/>
        <v>O</v>
      </c>
      <c r="W528" s="206" t="str">
        <f t="shared" si="265"/>
        <v>U</v>
      </c>
      <c r="X528" s="206" t="str">
        <f t="shared" si="266"/>
        <v>O</v>
      </c>
      <c r="Y528" s="206"/>
      <c r="Z528" s="206">
        <v>55</v>
      </c>
      <c r="AA528" s="206" t="str">
        <f t="shared" si="267"/>
        <v>CLE/OKC</v>
      </c>
    </row>
    <row r="529" spans="1:27" x14ac:dyDescent="0.45">
      <c r="A529" s="193">
        <v>200105</v>
      </c>
      <c r="B529" s="194">
        <v>0.41666666666666669</v>
      </c>
      <c r="C529" s="14" t="s">
        <v>432</v>
      </c>
      <c r="D529" s="193" t="s">
        <v>421</v>
      </c>
      <c r="E529" s="197">
        <v>28</v>
      </c>
      <c r="F529" s="197">
        <v>24</v>
      </c>
      <c r="G529" s="197">
        <v>21</v>
      </c>
      <c r="H529" s="197">
        <v>31</v>
      </c>
      <c r="I529" s="197"/>
      <c r="J529" s="197">
        <v>30</v>
      </c>
      <c r="K529" s="197">
        <v>25</v>
      </c>
      <c r="L529" s="197">
        <v>30</v>
      </c>
      <c r="M529" s="197">
        <v>26</v>
      </c>
      <c r="N529" s="197" t="s">
        <v>427</v>
      </c>
      <c r="O529" s="206">
        <f t="shared" si="257"/>
        <v>104</v>
      </c>
      <c r="P529" s="206">
        <f t="shared" si="258"/>
        <v>111</v>
      </c>
      <c r="Q529" s="206" t="str">
        <f t="shared" si="259"/>
        <v>HL</v>
      </c>
      <c r="R529" s="206" t="str">
        <f t="shared" si="260"/>
        <v>HL</v>
      </c>
      <c r="S529" s="206" t="str">
        <f t="shared" si="261"/>
        <v>HL</v>
      </c>
      <c r="T529" s="206" t="str">
        <f t="shared" si="262"/>
        <v>HW</v>
      </c>
      <c r="U529" s="206" t="str">
        <f t="shared" si="263"/>
        <v>O</v>
      </c>
      <c r="V529" s="206" t="str">
        <f t="shared" si="264"/>
        <v>U</v>
      </c>
      <c r="W529" s="206" t="str">
        <f t="shared" si="265"/>
        <v>T</v>
      </c>
      <c r="X529" s="206" t="str">
        <f t="shared" si="266"/>
        <v>O</v>
      </c>
      <c r="Y529" s="206"/>
      <c r="Z529" s="206">
        <v>51</v>
      </c>
      <c r="AA529" s="206" t="str">
        <f t="shared" si="267"/>
        <v>CHI/BOS</v>
      </c>
    </row>
    <row r="530" spans="1:27" x14ac:dyDescent="0.45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5">
        <v>31</v>
      </c>
      <c r="F530" s="205">
        <v>30</v>
      </c>
      <c r="G530" s="205">
        <v>34</v>
      </c>
      <c r="H530" s="205">
        <v>33</v>
      </c>
      <c r="I530" s="205"/>
      <c r="J530" s="205">
        <v>19</v>
      </c>
      <c r="K530" s="205">
        <v>36</v>
      </c>
      <c r="L530" s="205">
        <v>35</v>
      </c>
      <c r="M530" s="205">
        <v>24</v>
      </c>
      <c r="N530" s="205" t="s">
        <v>427</v>
      </c>
      <c r="O530" s="206">
        <f t="shared" si="257"/>
        <v>128</v>
      </c>
      <c r="P530" s="206">
        <f t="shared" si="258"/>
        <v>114</v>
      </c>
      <c r="Q530" s="206" t="str">
        <f t="shared" si="259"/>
        <v>HW</v>
      </c>
      <c r="R530" s="206" t="str">
        <f t="shared" si="260"/>
        <v>HL</v>
      </c>
      <c r="S530" s="206" t="str">
        <f t="shared" si="261"/>
        <v>HL</v>
      </c>
      <c r="T530" s="206" t="str">
        <f t="shared" si="262"/>
        <v>HW</v>
      </c>
      <c r="U530" s="206" t="str">
        <f t="shared" si="263"/>
        <v>U</v>
      </c>
      <c r="V530" s="206" t="str">
        <f t="shared" si="264"/>
        <v>O</v>
      </c>
      <c r="W530" s="206" t="str">
        <f t="shared" si="265"/>
        <v>O</v>
      </c>
      <c r="X530" s="206" t="str">
        <f t="shared" si="266"/>
        <v>T</v>
      </c>
      <c r="Y530" s="206"/>
      <c r="Z530" s="206">
        <v>57</v>
      </c>
      <c r="AA530" s="206" t="str">
        <f t="shared" si="267"/>
        <v>WAS/DEN</v>
      </c>
    </row>
    <row r="531" spans="1:27" x14ac:dyDescent="0.45">
      <c r="A531" s="193">
        <v>200105</v>
      </c>
      <c r="B531" s="194">
        <v>0.4375</v>
      </c>
      <c r="C531" s="14" t="s">
        <v>434</v>
      </c>
      <c r="D531" s="14" t="s">
        <v>409</v>
      </c>
      <c r="E531" s="199">
        <v>20</v>
      </c>
      <c r="F531" s="199">
        <v>24</v>
      </c>
      <c r="G531" s="199">
        <v>40</v>
      </c>
      <c r="H531" s="199">
        <v>19</v>
      </c>
      <c r="I531" s="199">
        <v>17</v>
      </c>
      <c r="J531" s="199">
        <v>32</v>
      </c>
      <c r="K531" s="199">
        <v>25</v>
      </c>
      <c r="L531" s="199">
        <v>23</v>
      </c>
      <c r="M531" s="199">
        <v>23</v>
      </c>
      <c r="N531" s="199">
        <v>20</v>
      </c>
      <c r="O531" s="206">
        <f t="shared" si="257"/>
        <v>120</v>
      </c>
      <c r="P531" s="206">
        <f t="shared" si="258"/>
        <v>123</v>
      </c>
      <c r="Q531" s="206" t="str">
        <f t="shared" si="259"/>
        <v>HL</v>
      </c>
      <c r="R531" s="206" t="str">
        <f t="shared" si="260"/>
        <v>HL</v>
      </c>
      <c r="S531" s="206" t="str">
        <f t="shared" si="261"/>
        <v>HW</v>
      </c>
      <c r="T531" s="206" t="str">
        <f t="shared" si="262"/>
        <v>HL</v>
      </c>
      <c r="U531" s="206" t="str">
        <f t="shared" si="263"/>
        <v>U</v>
      </c>
      <c r="V531" s="206" t="str">
        <f t="shared" si="264"/>
        <v>U</v>
      </c>
      <c r="W531" s="206" t="str">
        <f t="shared" si="265"/>
        <v>O</v>
      </c>
      <c r="X531" s="206" t="str">
        <f t="shared" si="266"/>
        <v>U</v>
      </c>
      <c r="Y531" s="206"/>
      <c r="Z531" s="206">
        <v>55.5</v>
      </c>
      <c r="AA531" s="206" t="str">
        <f t="shared" si="267"/>
        <v>DAL/CHA</v>
      </c>
    </row>
    <row r="532" spans="1:27" x14ac:dyDescent="0.45">
      <c r="A532" s="193">
        <v>200105</v>
      </c>
      <c r="B532" s="194">
        <v>0.4375</v>
      </c>
      <c r="C532" s="193" t="s">
        <v>425</v>
      </c>
      <c r="D532" s="193" t="s">
        <v>422</v>
      </c>
      <c r="E532" s="200">
        <v>23</v>
      </c>
      <c r="F532" s="200">
        <v>36</v>
      </c>
      <c r="G532" s="200">
        <v>21</v>
      </c>
      <c r="H532" s="200">
        <v>24</v>
      </c>
      <c r="I532" s="200"/>
      <c r="J532" s="200">
        <v>25</v>
      </c>
      <c r="K532" s="200">
        <v>31</v>
      </c>
      <c r="L532" s="200">
        <v>27</v>
      </c>
      <c r="M532" s="200">
        <v>28</v>
      </c>
      <c r="N532" s="200" t="s">
        <v>427</v>
      </c>
      <c r="O532" s="206">
        <f t="shared" si="257"/>
        <v>104</v>
      </c>
      <c r="P532" s="206">
        <f t="shared" si="258"/>
        <v>111</v>
      </c>
      <c r="Q532" s="206" t="str">
        <f t="shared" si="259"/>
        <v>HL</v>
      </c>
      <c r="R532" s="206" t="str">
        <f t="shared" si="260"/>
        <v>HW</v>
      </c>
      <c r="S532" s="206" t="str">
        <f t="shared" si="261"/>
        <v>HL</v>
      </c>
      <c r="T532" s="206" t="str">
        <f t="shared" si="262"/>
        <v>HL</v>
      </c>
      <c r="U532" s="206" t="str">
        <f t="shared" si="263"/>
        <v>U</v>
      </c>
      <c r="V532" s="206" t="str">
        <f t="shared" si="264"/>
        <v>O</v>
      </c>
      <c r="W532" s="206" t="str">
        <f t="shared" si="265"/>
        <v>U</v>
      </c>
      <c r="X532" s="206" t="str">
        <f t="shared" si="266"/>
        <v>U</v>
      </c>
      <c r="Y532" s="206"/>
      <c r="Z532" s="206">
        <v>55</v>
      </c>
      <c r="AA532" s="206" t="str">
        <f t="shared" si="267"/>
        <v>GS/DET</v>
      </c>
    </row>
    <row r="533" spans="1:27" x14ac:dyDescent="0.45">
      <c r="A533" s="193">
        <v>200105</v>
      </c>
      <c r="B533" s="194">
        <v>0.4375</v>
      </c>
      <c r="C533" s="193" t="s">
        <v>423</v>
      </c>
      <c r="D533" s="193" t="s">
        <v>426</v>
      </c>
      <c r="E533" s="202">
        <v>29</v>
      </c>
      <c r="F533" s="202">
        <v>42</v>
      </c>
      <c r="G533" s="202">
        <v>32</v>
      </c>
      <c r="H533" s="202">
        <v>24</v>
      </c>
      <c r="I533" s="202"/>
      <c r="J533" s="202">
        <v>31</v>
      </c>
      <c r="K533" s="202">
        <v>35</v>
      </c>
      <c r="L533" s="202">
        <v>25</v>
      </c>
      <c r="M533" s="202">
        <v>27</v>
      </c>
      <c r="N533" s="202" t="s">
        <v>427</v>
      </c>
      <c r="O533" s="206">
        <f t="shared" si="257"/>
        <v>127</v>
      </c>
      <c r="P533" s="206">
        <f t="shared" si="258"/>
        <v>118</v>
      </c>
      <c r="Q533" s="206" t="str">
        <f t="shared" si="259"/>
        <v>HL</v>
      </c>
      <c r="R533" s="206" t="str">
        <f t="shared" si="260"/>
        <v>HW</v>
      </c>
      <c r="S533" s="206" t="str">
        <f t="shared" si="261"/>
        <v>HW</v>
      </c>
      <c r="T533" s="206" t="str">
        <f t="shared" si="262"/>
        <v>HL</v>
      </c>
      <c r="U533" s="206" t="str">
        <f t="shared" si="263"/>
        <v>O</v>
      </c>
      <c r="V533" s="206" t="str">
        <f t="shared" si="264"/>
        <v>O</v>
      </c>
      <c r="W533" s="206" t="str">
        <f t="shared" si="265"/>
        <v>O</v>
      </c>
      <c r="X533" s="206" t="str">
        <f t="shared" si="266"/>
        <v>U</v>
      </c>
      <c r="Y533" s="206"/>
      <c r="Z533" s="206">
        <v>56</v>
      </c>
      <c r="AA533" s="206" t="str">
        <f t="shared" si="267"/>
        <v>MIL/SAS</v>
      </c>
    </row>
    <row r="534" spans="1:27" x14ac:dyDescent="0.45">
      <c r="A534" s="193">
        <v>200105</v>
      </c>
      <c r="B534" s="194">
        <v>0.5</v>
      </c>
      <c r="C534" s="11" t="s">
        <v>416</v>
      </c>
      <c r="D534" s="11" t="s">
        <v>398</v>
      </c>
      <c r="E534" s="204">
        <v>26</v>
      </c>
      <c r="F534" s="204">
        <v>22</v>
      </c>
      <c r="G534" s="204">
        <v>32</v>
      </c>
      <c r="H534" s="204">
        <v>35</v>
      </c>
      <c r="I534" s="204"/>
      <c r="J534" s="204">
        <v>25</v>
      </c>
      <c r="K534" s="204">
        <v>27</v>
      </c>
      <c r="L534" s="204">
        <v>24</v>
      </c>
      <c r="M534" s="204">
        <v>41</v>
      </c>
      <c r="N534" s="204" t="s">
        <v>427</v>
      </c>
      <c r="O534" s="206">
        <f t="shared" si="257"/>
        <v>115</v>
      </c>
      <c r="P534" s="206">
        <f t="shared" si="258"/>
        <v>117</v>
      </c>
      <c r="Q534" s="206" t="str">
        <f t="shared" si="259"/>
        <v>HW</v>
      </c>
      <c r="R534" s="206" t="str">
        <f t="shared" si="260"/>
        <v>HL</v>
      </c>
      <c r="S534" s="206" t="str">
        <f t="shared" si="261"/>
        <v>HW</v>
      </c>
      <c r="T534" s="206" t="str">
        <f t="shared" si="262"/>
        <v>HL</v>
      </c>
      <c r="U534" s="206" t="str">
        <f t="shared" si="263"/>
        <v>U</v>
      </c>
      <c r="V534" s="206" t="str">
        <f t="shared" si="264"/>
        <v>U</v>
      </c>
      <c r="W534" s="206" t="str">
        <f t="shared" si="265"/>
        <v>U</v>
      </c>
      <c r="X534" s="206" t="str">
        <f t="shared" si="266"/>
        <v>O</v>
      </c>
      <c r="Y534" s="206"/>
      <c r="Z534" s="206">
        <v>58</v>
      </c>
      <c r="AA534" s="206" t="str">
        <f t="shared" si="267"/>
        <v>SAC/NO</v>
      </c>
    </row>
    <row r="535" spans="1:27" x14ac:dyDescent="0.45">
      <c r="A535" s="206">
        <v>200106</v>
      </c>
      <c r="B535" s="207">
        <v>0.22916666666666666</v>
      </c>
      <c r="C535" s="206" t="s">
        <v>415</v>
      </c>
      <c r="D535" s="206" t="s">
        <v>399</v>
      </c>
      <c r="E535" s="206">
        <v>29</v>
      </c>
      <c r="F535" s="206">
        <v>47</v>
      </c>
      <c r="G535" s="206">
        <v>38</v>
      </c>
      <c r="H535" s="206">
        <v>21</v>
      </c>
      <c r="I535" s="206"/>
      <c r="J535" s="206">
        <v>45</v>
      </c>
      <c r="K535" s="206">
        <v>24</v>
      </c>
      <c r="L535" s="206">
        <v>31</v>
      </c>
      <c r="M535" s="206">
        <v>32</v>
      </c>
      <c r="N535" s="206" t="s">
        <v>427</v>
      </c>
      <c r="O535" s="206">
        <f t="shared" ref="O535:O598" si="268">SUM(E535:I535)</f>
        <v>135</v>
      </c>
      <c r="P535" s="206">
        <f t="shared" ref="P535:P598" si="269">SUM(J535:N535)</f>
        <v>132</v>
      </c>
      <c r="Q535" s="206" t="str">
        <f t="shared" ref="Q535:Q598" si="270">IF(E535=J535,"TT",IF(E535&gt;J535,"HW","HL"))</f>
        <v>HL</v>
      </c>
      <c r="R535" s="206" t="str">
        <f t="shared" ref="R535:R598" si="271">IF(F535=K535,"TT",IF(F535&gt;K535,"HW","HL"))</f>
        <v>HW</v>
      </c>
      <c r="S535" s="206" t="str">
        <f t="shared" ref="S535:S598" si="272">IF(G535=L535,"TT",IF(G535&gt;L535,"HW","HL"))</f>
        <v>HW</v>
      </c>
      <c r="T535" s="206" t="str">
        <f t="shared" ref="T535:T598" si="273">IF(H535=M535,"TT",IF(H535&gt;M535,"HW","HL"))</f>
        <v>HL</v>
      </c>
      <c r="U535" s="206" t="str">
        <f t="shared" ref="U535:U598" si="274">IF(SUM(E535,J535)=$Z535,"T",IF(SUM(E535,J535)&gt;$Z535,"O","U"))</f>
        <v>O</v>
      </c>
      <c r="V535" s="206" t="str">
        <f t="shared" ref="V535:V598" si="275">IF(SUM(F535,K535)=$Z535,"T",IF(SUM(F535,K535)&gt;$Z535,"O","U"))</f>
        <v>O</v>
      </c>
      <c r="W535" s="206" t="str">
        <f t="shared" ref="W535:W598" si="276">IF(SUM(G535,L535)=$Z535,"T",IF(SUM(G535,L535)&gt;$Z535,"O","U"))</f>
        <v>O</v>
      </c>
      <c r="X535" s="206" t="str">
        <f t="shared" ref="X535:X598" si="277">IF(SUM(H535,M535)=$Z535,"T",IF(SUM(H535,M535)&gt;$Z535,"O","U"))</f>
        <v>U</v>
      </c>
      <c r="Y535" s="206"/>
      <c r="Z535" s="206">
        <v>57</v>
      </c>
      <c r="AA535" s="206" t="str">
        <f t="shared" si="267"/>
        <v>LAC/NYK</v>
      </c>
    </row>
    <row r="536" spans="1:27" x14ac:dyDescent="0.45">
      <c r="A536" s="206">
        <v>200106</v>
      </c>
      <c r="B536" s="207">
        <v>0.33333333333333331</v>
      </c>
      <c r="C536" s="15" t="s">
        <v>411</v>
      </c>
      <c r="D536" s="206" t="s">
        <v>417</v>
      </c>
      <c r="E536" s="206">
        <v>31</v>
      </c>
      <c r="F536" s="206">
        <v>34</v>
      </c>
      <c r="G536" s="206">
        <v>29</v>
      </c>
      <c r="H536" s="206">
        <v>28</v>
      </c>
      <c r="I536" s="206"/>
      <c r="J536" s="206">
        <v>19</v>
      </c>
      <c r="K536" s="206">
        <v>27</v>
      </c>
      <c r="L536" s="206">
        <v>35</v>
      </c>
      <c r="M536" s="206">
        <v>30</v>
      </c>
      <c r="N536" s="206" t="s">
        <v>427</v>
      </c>
      <c r="O536" s="206">
        <f t="shared" si="268"/>
        <v>122</v>
      </c>
      <c r="P536" s="206">
        <f t="shared" si="269"/>
        <v>111</v>
      </c>
      <c r="Q536" s="206" t="str">
        <f t="shared" si="270"/>
        <v>HW</v>
      </c>
      <c r="R536" s="206" t="str">
        <f t="shared" si="271"/>
        <v>HW</v>
      </c>
      <c r="S536" s="206" t="str">
        <f t="shared" si="272"/>
        <v>HL</v>
      </c>
      <c r="T536" s="206" t="str">
        <f t="shared" si="273"/>
        <v>HL</v>
      </c>
      <c r="U536" s="206" t="str">
        <f t="shared" si="274"/>
        <v>U</v>
      </c>
      <c r="V536" s="206" t="str">
        <f t="shared" si="275"/>
        <v>O</v>
      </c>
      <c r="W536" s="206" t="str">
        <f t="shared" si="276"/>
        <v>O</v>
      </c>
      <c r="X536" s="206" t="str">
        <f t="shared" si="277"/>
        <v>O</v>
      </c>
      <c r="Y536" s="206"/>
      <c r="Z536">
        <v>55.5</v>
      </c>
      <c r="AA536" s="206" t="str">
        <f t="shared" si="267"/>
        <v>MIA/POR</v>
      </c>
    </row>
    <row r="537" spans="1:27" x14ac:dyDescent="0.45">
      <c r="A537" s="206">
        <v>200106</v>
      </c>
      <c r="B537" s="207">
        <v>0.39583333333333331</v>
      </c>
      <c r="C537" s="206" t="s">
        <v>402</v>
      </c>
      <c r="D537" s="206" t="s">
        <v>420</v>
      </c>
      <c r="E537" s="206">
        <v>20</v>
      </c>
      <c r="F537" s="206">
        <v>28</v>
      </c>
      <c r="G537" s="206">
        <v>31</v>
      </c>
      <c r="H537" s="206">
        <v>24</v>
      </c>
      <c r="I537" s="206"/>
      <c r="J537" s="206">
        <v>24</v>
      </c>
      <c r="K537" s="206">
        <v>42</v>
      </c>
      <c r="L537" s="206">
        <v>28</v>
      </c>
      <c r="M537" s="206">
        <v>24</v>
      </c>
      <c r="N537" s="206" t="s">
        <v>427</v>
      </c>
      <c r="O537" s="206">
        <f t="shared" si="268"/>
        <v>103</v>
      </c>
      <c r="P537" s="206">
        <f t="shared" si="269"/>
        <v>118</v>
      </c>
      <c r="Q537" s="206" t="str">
        <f t="shared" si="270"/>
        <v>HL</v>
      </c>
      <c r="R537" s="206" t="str">
        <f t="shared" si="271"/>
        <v>HL</v>
      </c>
      <c r="S537" s="206" t="str">
        <f t="shared" si="272"/>
        <v>HW</v>
      </c>
      <c r="T537" s="206" t="str">
        <f t="shared" si="273"/>
        <v>TT</v>
      </c>
      <c r="U537" s="206" t="str">
        <f t="shared" si="274"/>
        <v>U</v>
      </c>
      <c r="V537" s="206" t="str">
        <f t="shared" si="275"/>
        <v>O</v>
      </c>
      <c r="W537" s="206" t="str">
        <f t="shared" si="276"/>
        <v>O</v>
      </c>
      <c r="X537" s="206" t="str">
        <f t="shared" si="277"/>
        <v>U</v>
      </c>
      <c r="Y537" s="206"/>
      <c r="Z537">
        <v>55.5</v>
      </c>
      <c r="AA537" s="206" t="str">
        <f t="shared" si="267"/>
        <v>CLE/MIN</v>
      </c>
    </row>
    <row r="538" spans="1:27" x14ac:dyDescent="0.45">
      <c r="A538" s="206">
        <v>200106</v>
      </c>
      <c r="B538" s="207">
        <v>0.41666666666666669</v>
      </c>
      <c r="C538" s="208" t="s">
        <v>435</v>
      </c>
      <c r="D538" s="208" t="s">
        <v>406</v>
      </c>
      <c r="E538" s="206">
        <v>31</v>
      </c>
      <c r="F538" s="206">
        <v>26</v>
      </c>
      <c r="G538" s="206">
        <v>20</v>
      </c>
      <c r="H538" s="206">
        <v>37</v>
      </c>
      <c r="I538" s="206"/>
      <c r="J538" s="206">
        <v>27</v>
      </c>
      <c r="K538" s="206">
        <v>35</v>
      </c>
      <c r="L538" s="206">
        <v>34</v>
      </c>
      <c r="M538" s="206">
        <v>25</v>
      </c>
      <c r="N538" s="206" t="s">
        <v>427</v>
      </c>
      <c r="O538" s="206">
        <f t="shared" si="268"/>
        <v>114</v>
      </c>
      <c r="P538" s="206">
        <f t="shared" si="269"/>
        <v>121</v>
      </c>
      <c r="Q538" s="206" t="str">
        <f t="shared" si="270"/>
        <v>HW</v>
      </c>
      <c r="R538" s="206" t="str">
        <f t="shared" si="271"/>
        <v>HL</v>
      </c>
      <c r="S538" s="206" t="str">
        <f t="shared" si="272"/>
        <v>HL</v>
      </c>
      <c r="T538" s="206" t="str">
        <f t="shared" si="273"/>
        <v>HW</v>
      </c>
      <c r="U538" s="206" t="str">
        <f t="shared" si="274"/>
        <v>O</v>
      </c>
      <c r="V538" s="206" t="str">
        <f t="shared" si="275"/>
        <v>O</v>
      </c>
      <c r="W538" s="206" t="str">
        <f t="shared" si="276"/>
        <v>U</v>
      </c>
      <c r="X538" s="206" t="str">
        <f t="shared" si="277"/>
        <v>O</v>
      </c>
      <c r="Y538" s="206"/>
      <c r="Z538">
        <v>57.5</v>
      </c>
      <c r="AA538" s="206" t="str">
        <f t="shared" si="267"/>
        <v>PHO/MEM</v>
      </c>
    </row>
    <row r="539" spans="1:27" x14ac:dyDescent="0.45">
      <c r="A539" s="206">
        <v>200106</v>
      </c>
      <c r="B539" s="207">
        <v>0.5</v>
      </c>
      <c r="C539" s="11" t="s">
        <v>419</v>
      </c>
      <c r="D539" s="11" t="s">
        <v>422</v>
      </c>
      <c r="E539" s="206">
        <v>23</v>
      </c>
      <c r="F539" s="206">
        <v>33</v>
      </c>
      <c r="G539" s="206">
        <v>19</v>
      </c>
      <c r="H539" s="206">
        <v>31</v>
      </c>
      <c r="I539" s="206"/>
      <c r="J539" s="206">
        <v>22</v>
      </c>
      <c r="K539" s="206">
        <v>25</v>
      </c>
      <c r="L539" s="206">
        <v>32</v>
      </c>
      <c r="M539" s="206">
        <v>20</v>
      </c>
      <c r="N539" s="206" t="s">
        <v>427</v>
      </c>
      <c r="O539" s="206">
        <f t="shared" si="268"/>
        <v>106</v>
      </c>
      <c r="P539" s="206">
        <f t="shared" si="269"/>
        <v>99</v>
      </c>
      <c r="Q539" s="206" t="str">
        <f t="shared" si="270"/>
        <v>HW</v>
      </c>
      <c r="R539" s="206" t="str">
        <f t="shared" si="271"/>
        <v>HW</v>
      </c>
      <c r="S539" s="206" t="str">
        <f t="shared" si="272"/>
        <v>HL</v>
      </c>
      <c r="T539" s="206" t="str">
        <f t="shared" si="273"/>
        <v>HW</v>
      </c>
      <c r="U539" s="206" t="str">
        <f t="shared" si="274"/>
        <v>U</v>
      </c>
      <c r="V539" s="206" t="str">
        <f t="shared" si="275"/>
        <v>O</v>
      </c>
      <c r="W539" s="206" t="str">
        <f t="shared" si="276"/>
        <v>U</v>
      </c>
      <c r="X539" s="206" t="str">
        <f t="shared" si="277"/>
        <v>U</v>
      </c>
      <c r="Y539" s="206"/>
      <c r="Z539">
        <v>57.5</v>
      </c>
      <c r="AA539" s="206" t="str">
        <f t="shared" si="267"/>
        <v>LAL/DET</v>
      </c>
    </row>
    <row r="540" spans="1:27" x14ac:dyDescent="0.45">
      <c r="A540" s="206">
        <v>200107</v>
      </c>
      <c r="B540" s="44">
        <v>0.375</v>
      </c>
      <c r="C540" s="206" t="s">
        <v>424</v>
      </c>
      <c r="D540" s="206" t="s">
        <v>407</v>
      </c>
      <c r="E540" s="206">
        <v>20</v>
      </c>
      <c r="F540" s="206">
        <v>32</v>
      </c>
      <c r="G540" s="206">
        <v>23</v>
      </c>
      <c r="H540" s="206">
        <v>26</v>
      </c>
      <c r="I540" s="206"/>
      <c r="J540" s="206">
        <v>22</v>
      </c>
      <c r="K540" s="206">
        <v>17</v>
      </c>
      <c r="L540" s="206">
        <v>32</v>
      </c>
      <c r="M540" s="206">
        <v>18</v>
      </c>
      <c r="N540" s="206" t="s">
        <v>427</v>
      </c>
      <c r="O540" s="206">
        <f t="shared" si="268"/>
        <v>101</v>
      </c>
      <c r="P540" s="206">
        <f t="shared" si="269"/>
        <v>89</v>
      </c>
      <c r="Q540" s="206" t="str">
        <f t="shared" si="270"/>
        <v>HL</v>
      </c>
      <c r="R540" s="206" t="str">
        <f t="shared" si="271"/>
        <v>HW</v>
      </c>
      <c r="S540" s="206" t="str">
        <f t="shared" si="272"/>
        <v>HL</v>
      </c>
      <c r="T540" s="206" t="str">
        <f t="shared" si="273"/>
        <v>HW</v>
      </c>
      <c r="U540" s="206" t="str">
        <f t="shared" si="274"/>
        <v>U</v>
      </c>
      <c r="V540" s="206" t="str">
        <f t="shared" si="275"/>
        <v>U</v>
      </c>
      <c r="W540" s="206" t="str">
        <f t="shared" si="276"/>
        <v>O</v>
      </c>
      <c r="X540" s="206" t="str">
        <f t="shared" si="277"/>
        <v>U</v>
      </c>
      <c r="Y540" s="206"/>
      <c r="Z540" s="206">
        <v>52</v>
      </c>
      <c r="AA540" s="206" t="str">
        <f t="shared" si="267"/>
        <v>ORL/BKN</v>
      </c>
    </row>
    <row r="541" spans="1:27" x14ac:dyDescent="0.45">
      <c r="A541" s="206">
        <v>200107</v>
      </c>
      <c r="B541" s="44">
        <v>0.375</v>
      </c>
      <c r="C541" s="206" t="s">
        <v>401</v>
      </c>
      <c r="D541" s="206" t="s">
        <v>418</v>
      </c>
      <c r="E541" s="206">
        <v>31</v>
      </c>
      <c r="F541" s="206">
        <v>31</v>
      </c>
      <c r="G541" s="206">
        <v>28</v>
      </c>
      <c r="H541" s="206">
        <v>30</v>
      </c>
      <c r="I541" s="206"/>
      <c r="J541" s="206">
        <v>31</v>
      </c>
      <c r="K541" s="206">
        <v>21</v>
      </c>
      <c r="L541" s="206">
        <v>34</v>
      </c>
      <c r="M541" s="206">
        <v>27</v>
      </c>
      <c r="N541" s="206" t="s">
        <v>427</v>
      </c>
      <c r="O541" s="206">
        <f t="shared" si="268"/>
        <v>120</v>
      </c>
      <c r="P541" s="206">
        <f t="shared" si="269"/>
        <v>113</v>
      </c>
      <c r="Q541" s="206" t="str">
        <f t="shared" si="270"/>
        <v>TT</v>
      </c>
      <c r="R541" s="206" t="str">
        <f t="shared" si="271"/>
        <v>HW</v>
      </c>
      <c r="S541" s="206" t="str">
        <f t="shared" si="272"/>
        <v>HL</v>
      </c>
      <c r="T541" s="206" t="str">
        <f t="shared" si="273"/>
        <v>HW</v>
      </c>
      <c r="U541" s="206" t="str">
        <f t="shared" si="274"/>
        <v>O</v>
      </c>
      <c r="V541" s="206" t="str">
        <f t="shared" si="275"/>
        <v>U</v>
      </c>
      <c r="W541" s="206" t="str">
        <f t="shared" si="276"/>
        <v>O</v>
      </c>
      <c r="X541" s="206" t="str">
        <f t="shared" si="277"/>
        <v>O</v>
      </c>
      <c r="Y541" s="206"/>
      <c r="Z541" s="206">
        <v>55</v>
      </c>
      <c r="AA541" s="206" t="str">
        <f t="shared" si="267"/>
        <v>PHI/OKC</v>
      </c>
    </row>
    <row r="542" spans="1:27" x14ac:dyDescent="0.45">
      <c r="A542" s="206">
        <v>200107</v>
      </c>
      <c r="B542" s="44">
        <v>0.375</v>
      </c>
      <c r="C542" s="206" t="s">
        <v>414</v>
      </c>
      <c r="D542" s="206" t="s">
        <v>421</v>
      </c>
      <c r="E542" s="206">
        <v>26</v>
      </c>
      <c r="F542" s="206">
        <v>25</v>
      </c>
      <c r="G542" s="206">
        <v>23</v>
      </c>
      <c r="H542" s="206">
        <v>25</v>
      </c>
      <c r="I542" s="206"/>
      <c r="J542" s="206">
        <v>17</v>
      </c>
      <c r="K542" s="206">
        <v>23</v>
      </c>
      <c r="L542" s="206">
        <v>32</v>
      </c>
      <c r="M542" s="206">
        <v>22</v>
      </c>
      <c r="N542" s="206" t="s">
        <v>427</v>
      </c>
      <c r="O542" s="206">
        <f t="shared" si="268"/>
        <v>99</v>
      </c>
      <c r="P542" s="206">
        <f t="shared" si="269"/>
        <v>94</v>
      </c>
      <c r="Q542" s="206" t="str">
        <f t="shared" si="270"/>
        <v>HW</v>
      </c>
      <c r="R542" s="206" t="str">
        <f t="shared" si="271"/>
        <v>HW</v>
      </c>
      <c r="S542" s="206" t="str">
        <f t="shared" si="272"/>
        <v>HL</v>
      </c>
      <c r="T542" s="206" t="str">
        <f t="shared" si="273"/>
        <v>HW</v>
      </c>
      <c r="U542" s="206" t="str">
        <f t="shared" si="274"/>
        <v>U</v>
      </c>
      <c r="V542" s="206" t="str">
        <f t="shared" si="275"/>
        <v>U</v>
      </c>
      <c r="W542" s="206" t="str">
        <f t="shared" si="276"/>
        <v>T</v>
      </c>
      <c r="X542" s="206" t="str">
        <f t="shared" si="277"/>
        <v>U</v>
      </c>
      <c r="Y542" s="206"/>
      <c r="Z542" s="206">
        <v>55</v>
      </c>
      <c r="AA542" s="206" t="str">
        <f t="shared" si="267"/>
        <v>WAS/BOS</v>
      </c>
    </row>
    <row r="543" spans="1:27" x14ac:dyDescent="0.45">
      <c r="A543" s="206">
        <v>200107</v>
      </c>
      <c r="B543" s="44">
        <v>0.375</v>
      </c>
      <c r="C543" s="206" t="s">
        <v>409</v>
      </c>
      <c r="D543" s="206" t="s">
        <v>400</v>
      </c>
      <c r="E543" s="206">
        <v>29</v>
      </c>
      <c r="F543" s="206">
        <v>15</v>
      </c>
      <c r="G543" s="206">
        <v>21</v>
      </c>
      <c r="H543" s="206">
        <v>39</v>
      </c>
      <c r="I543" s="206"/>
      <c r="J543" s="206">
        <v>27</v>
      </c>
      <c r="K543" s="206">
        <v>15</v>
      </c>
      <c r="L543" s="206">
        <v>37</v>
      </c>
      <c r="M543" s="206">
        <v>36</v>
      </c>
      <c r="N543" s="206" t="s">
        <v>427</v>
      </c>
      <c r="O543" s="206">
        <f t="shared" si="268"/>
        <v>104</v>
      </c>
      <c r="P543" s="206">
        <f t="shared" si="269"/>
        <v>115</v>
      </c>
      <c r="Q543" s="206" t="str">
        <f t="shared" si="270"/>
        <v>HW</v>
      </c>
      <c r="R543" s="206" t="str">
        <f t="shared" si="271"/>
        <v>TT</v>
      </c>
      <c r="S543" s="206" t="str">
        <f t="shared" si="272"/>
        <v>HL</v>
      </c>
      <c r="T543" s="206" t="str">
        <f t="shared" si="273"/>
        <v>HW</v>
      </c>
      <c r="U543" s="206" t="str">
        <f t="shared" si="274"/>
        <v>O</v>
      </c>
      <c r="V543" s="206" t="str">
        <f t="shared" si="275"/>
        <v>U</v>
      </c>
      <c r="W543" s="206" t="str">
        <f t="shared" si="276"/>
        <v>O</v>
      </c>
      <c r="X543" s="206" t="str">
        <f t="shared" si="277"/>
        <v>O</v>
      </c>
      <c r="Y543" s="206"/>
      <c r="Z543" s="206">
        <v>54</v>
      </c>
      <c r="AA543" s="206" t="str">
        <f t="shared" si="267"/>
        <v>CHA/IND</v>
      </c>
    </row>
    <row r="544" spans="1:27" x14ac:dyDescent="0.45">
      <c r="A544" s="206">
        <v>200107</v>
      </c>
      <c r="B544" s="44">
        <v>0.39583333333333331</v>
      </c>
      <c r="C544" s="206" t="s">
        <v>410</v>
      </c>
      <c r="D544" s="206" t="s">
        <v>408</v>
      </c>
      <c r="E544" s="206">
        <v>31</v>
      </c>
      <c r="F544" s="206">
        <v>25</v>
      </c>
      <c r="G544" s="206">
        <v>30</v>
      </c>
      <c r="H544" s="206">
        <v>29</v>
      </c>
      <c r="I544" s="206"/>
      <c r="J544" s="206">
        <v>29</v>
      </c>
      <c r="K544" s="206">
        <v>35</v>
      </c>
      <c r="L544" s="206">
        <v>27</v>
      </c>
      <c r="M544" s="206">
        <v>32</v>
      </c>
      <c r="N544" s="206" t="s">
        <v>427</v>
      </c>
      <c r="O544" s="206">
        <f t="shared" si="268"/>
        <v>115</v>
      </c>
      <c r="P544" s="206">
        <f t="shared" si="269"/>
        <v>123</v>
      </c>
      <c r="Q544" s="206" t="str">
        <f t="shared" si="270"/>
        <v>HW</v>
      </c>
      <c r="R544" s="206" t="str">
        <f t="shared" si="271"/>
        <v>HL</v>
      </c>
      <c r="S544" s="206" t="str">
        <f t="shared" si="272"/>
        <v>HW</v>
      </c>
      <c r="T544" s="206" t="str">
        <f t="shared" si="273"/>
        <v>HL</v>
      </c>
      <c r="U544" s="206" t="str">
        <f t="shared" si="274"/>
        <v>O</v>
      </c>
      <c r="V544" s="206" t="str">
        <f t="shared" si="275"/>
        <v>O</v>
      </c>
      <c r="W544" s="206" t="str">
        <f t="shared" si="276"/>
        <v>U</v>
      </c>
      <c r="X544" s="206" t="str">
        <f t="shared" si="277"/>
        <v>O</v>
      </c>
      <c r="Y544" s="206"/>
      <c r="Z544" s="206">
        <v>58</v>
      </c>
      <c r="AA544" s="206" t="str">
        <f t="shared" si="267"/>
        <v>ATL/DEN</v>
      </c>
    </row>
    <row r="545" spans="1:27" x14ac:dyDescent="0.45">
      <c r="A545" s="206">
        <v>200107</v>
      </c>
      <c r="B545" s="44">
        <v>0.41666666666666669</v>
      </c>
      <c r="C545" s="206" t="s">
        <v>398</v>
      </c>
      <c r="D545" s="206" t="s">
        <v>405</v>
      </c>
      <c r="E545" s="206">
        <v>36</v>
      </c>
      <c r="F545" s="206">
        <v>28</v>
      </c>
      <c r="G545" s="206">
        <v>33</v>
      </c>
      <c r="H545" s="206">
        <v>29</v>
      </c>
      <c r="I545" s="206"/>
      <c r="J545" s="206">
        <v>35</v>
      </c>
      <c r="K545" s="206">
        <v>33</v>
      </c>
      <c r="L545" s="206">
        <v>27</v>
      </c>
      <c r="M545" s="206">
        <v>33</v>
      </c>
      <c r="N545" s="206" t="s">
        <v>427</v>
      </c>
      <c r="O545" s="206">
        <f t="shared" si="268"/>
        <v>126</v>
      </c>
      <c r="P545" s="206">
        <f t="shared" si="269"/>
        <v>128</v>
      </c>
      <c r="Q545" s="206" t="str">
        <f t="shared" si="270"/>
        <v>HW</v>
      </c>
      <c r="R545" s="206" t="str">
        <f t="shared" si="271"/>
        <v>HL</v>
      </c>
      <c r="S545" s="206" t="str">
        <f t="shared" si="272"/>
        <v>HW</v>
      </c>
      <c r="T545" s="206" t="str">
        <f t="shared" si="273"/>
        <v>HL</v>
      </c>
      <c r="U545" s="206" t="str">
        <f t="shared" si="274"/>
        <v>O</v>
      </c>
      <c r="V545" s="206" t="str">
        <f t="shared" si="275"/>
        <v>O</v>
      </c>
      <c r="W545" s="206" t="str">
        <f t="shared" si="276"/>
        <v>O</v>
      </c>
      <c r="X545" s="206" t="str">
        <f t="shared" si="277"/>
        <v>O</v>
      </c>
      <c r="Y545" s="206"/>
      <c r="Z545" s="206">
        <v>54</v>
      </c>
      <c r="AA545" s="206" t="str">
        <f t="shared" si="267"/>
        <v>NO/UTA</v>
      </c>
    </row>
    <row r="546" spans="1:27" x14ac:dyDescent="0.45">
      <c r="A546" s="206">
        <v>200107</v>
      </c>
      <c r="B546" s="44">
        <v>0.4375</v>
      </c>
      <c r="C546" s="206" t="s">
        <v>397</v>
      </c>
      <c r="D546" s="206" t="s">
        <v>412</v>
      </c>
      <c r="E546" s="206">
        <v>33</v>
      </c>
      <c r="F546" s="206">
        <v>28</v>
      </c>
      <c r="G546" s="206">
        <v>27</v>
      </c>
      <c r="H546" s="206">
        <v>30</v>
      </c>
      <c r="I546" s="206"/>
      <c r="J546" s="206">
        <v>27</v>
      </c>
      <c r="K546" s="206">
        <v>28</v>
      </c>
      <c r="L546" s="206">
        <v>27</v>
      </c>
      <c r="M546" s="206">
        <v>28</v>
      </c>
      <c r="N546" s="206" t="s">
        <v>427</v>
      </c>
      <c r="O546" s="206">
        <f t="shared" si="268"/>
        <v>118</v>
      </c>
      <c r="P546" s="206">
        <f t="shared" si="269"/>
        <v>110</v>
      </c>
      <c r="Q546" s="206" t="str">
        <f t="shared" si="270"/>
        <v>HW</v>
      </c>
      <c r="R546" s="206" t="str">
        <f t="shared" si="271"/>
        <v>TT</v>
      </c>
      <c r="S546" s="206" t="str">
        <f t="shared" si="272"/>
        <v>TT</v>
      </c>
      <c r="T546" s="206" t="str">
        <f t="shared" si="273"/>
        <v>HW</v>
      </c>
      <c r="U546" s="206" t="str">
        <f t="shared" si="274"/>
        <v>O</v>
      </c>
      <c r="V546" s="206" t="str">
        <f t="shared" si="275"/>
        <v>T</v>
      </c>
      <c r="W546" s="206" t="str">
        <f t="shared" si="276"/>
        <v>U</v>
      </c>
      <c r="X546" s="206" t="str">
        <f t="shared" si="277"/>
        <v>O</v>
      </c>
      <c r="Y546" s="206"/>
      <c r="Z546" s="206">
        <v>56</v>
      </c>
      <c r="AA546" s="206" t="str">
        <f t="shared" si="267"/>
        <v>DAL/CHI</v>
      </c>
    </row>
    <row r="547" spans="1:27" x14ac:dyDescent="0.45">
      <c r="A547" s="206">
        <v>200107</v>
      </c>
      <c r="B547" s="44">
        <v>0.4375</v>
      </c>
      <c r="C547" s="206" t="s">
        <v>426</v>
      </c>
      <c r="D547" s="206" t="s">
        <v>423</v>
      </c>
      <c r="E547" s="206">
        <v>27</v>
      </c>
      <c r="F547" s="206">
        <v>38</v>
      </c>
      <c r="G547" s="206">
        <v>26</v>
      </c>
      <c r="H547" s="206">
        <v>35</v>
      </c>
      <c r="I547" s="206"/>
      <c r="J547" s="206">
        <v>22</v>
      </c>
      <c r="K547" s="206">
        <v>30</v>
      </c>
      <c r="L547" s="206">
        <v>29</v>
      </c>
      <c r="M547" s="206">
        <v>23</v>
      </c>
      <c r="N547" s="206" t="s">
        <v>427</v>
      </c>
      <c r="O547" s="206">
        <f t="shared" si="268"/>
        <v>126</v>
      </c>
      <c r="P547" s="206">
        <f t="shared" si="269"/>
        <v>104</v>
      </c>
      <c r="Q547" s="206" t="str">
        <f t="shared" si="270"/>
        <v>HW</v>
      </c>
      <c r="R547" s="206" t="str">
        <f t="shared" si="271"/>
        <v>HW</v>
      </c>
      <c r="S547" s="206" t="str">
        <f t="shared" si="272"/>
        <v>HL</v>
      </c>
      <c r="T547" s="206" t="str">
        <f t="shared" si="273"/>
        <v>HW</v>
      </c>
      <c r="U547" s="206" t="str">
        <f t="shared" si="274"/>
        <v>U</v>
      </c>
      <c r="V547" s="206" t="str">
        <f t="shared" si="275"/>
        <v>O</v>
      </c>
      <c r="W547" s="206" t="str">
        <f t="shared" si="276"/>
        <v>U</v>
      </c>
      <c r="X547" s="206" t="str">
        <f t="shared" si="277"/>
        <v>O</v>
      </c>
      <c r="Y547" s="206"/>
      <c r="Z547" s="206">
        <v>56.5</v>
      </c>
      <c r="AA547" s="206" t="str">
        <f t="shared" si="267"/>
        <v>SAS/MIL</v>
      </c>
    </row>
    <row r="548" spans="1:27" x14ac:dyDescent="0.45">
      <c r="A548" s="206">
        <v>200107</v>
      </c>
      <c r="B548" s="44">
        <v>0.5</v>
      </c>
      <c r="C548" s="206" t="s">
        <v>416</v>
      </c>
      <c r="D548" s="206" t="s">
        <v>425</v>
      </c>
      <c r="E548" s="206">
        <v>26</v>
      </c>
      <c r="F548" s="206">
        <v>26</v>
      </c>
      <c r="G548" s="206">
        <v>38</v>
      </c>
      <c r="H548" s="206">
        <v>21</v>
      </c>
      <c r="I548" s="206"/>
      <c r="J548" s="206">
        <v>19</v>
      </c>
      <c r="K548" s="206">
        <v>21</v>
      </c>
      <c r="L548" s="206">
        <v>24</v>
      </c>
      <c r="M548" s="206">
        <v>34</v>
      </c>
      <c r="N548" s="206" t="s">
        <v>427</v>
      </c>
      <c r="O548" s="206">
        <f t="shared" si="268"/>
        <v>111</v>
      </c>
      <c r="P548" s="206">
        <f t="shared" si="269"/>
        <v>98</v>
      </c>
      <c r="Q548" s="206" t="str">
        <f t="shared" si="270"/>
        <v>HW</v>
      </c>
      <c r="R548" s="206" t="str">
        <f t="shared" si="271"/>
        <v>HW</v>
      </c>
      <c r="S548" s="206" t="str">
        <f t="shared" si="272"/>
        <v>HW</v>
      </c>
      <c r="T548" s="206" t="str">
        <f t="shared" si="273"/>
        <v>HL</v>
      </c>
      <c r="U548" s="206" t="str">
        <f t="shared" si="274"/>
        <v>U</v>
      </c>
      <c r="V548" s="206" t="str">
        <f t="shared" si="275"/>
        <v>U</v>
      </c>
      <c r="W548" s="206" t="str">
        <f t="shared" si="276"/>
        <v>O</v>
      </c>
      <c r="X548" s="206" t="str">
        <f t="shared" si="277"/>
        <v>T</v>
      </c>
      <c r="Y548" s="206"/>
      <c r="Z548" s="206">
        <v>55</v>
      </c>
      <c r="AA548" s="206" t="str">
        <f t="shared" si="267"/>
        <v>SAC/GS</v>
      </c>
    </row>
    <row r="549" spans="1:27" x14ac:dyDescent="0.45">
      <c r="A549" s="206">
        <v>200108</v>
      </c>
      <c r="B549" s="44">
        <v>0.375</v>
      </c>
      <c r="C549" s="206" t="s">
        <v>402</v>
      </c>
      <c r="D549" s="206" t="s">
        <v>422</v>
      </c>
      <c r="E549" s="206">
        <v>29</v>
      </c>
      <c r="F549" s="206">
        <v>38</v>
      </c>
      <c r="G549" s="206">
        <v>28</v>
      </c>
      <c r="H549" s="206">
        <v>18</v>
      </c>
      <c r="I549" s="206"/>
      <c r="J549" s="206">
        <v>27</v>
      </c>
      <c r="K549" s="206">
        <v>27</v>
      </c>
      <c r="L549" s="206">
        <v>30</v>
      </c>
      <c r="M549" s="206">
        <v>31</v>
      </c>
      <c r="N549" s="206" t="s">
        <v>427</v>
      </c>
      <c r="O549" s="206">
        <f t="shared" si="268"/>
        <v>113</v>
      </c>
      <c r="P549" s="206">
        <f t="shared" si="269"/>
        <v>115</v>
      </c>
      <c r="Q549" s="206" t="str">
        <f t="shared" si="270"/>
        <v>HW</v>
      </c>
      <c r="R549" s="206" t="str">
        <f t="shared" si="271"/>
        <v>HW</v>
      </c>
      <c r="S549" s="206" t="str">
        <f t="shared" si="272"/>
        <v>HL</v>
      </c>
      <c r="T549" s="206" t="str">
        <f t="shared" si="273"/>
        <v>HL</v>
      </c>
      <c r="U549" s="206" t="str">
        <f t="shared" si="274"/>
        <v>U</v>
      </c>
      <c r="V549" s="206" t="str">
        <f t="shared" si="275"/>
        <v>O</v>
      </c>
      <c r="W549" s="206" t="str">
        <f t="shared" si="276"/>
        <v>O</v>
      </c>
      <c r="X549" s="206" t="str">
        <f t="shared" si="277"/>
        <v>U</v>
      </c>
      <c r="Y549" s="206"/>
      <c r="Z549" s="206">
        <v>56.5</v>
      </c>
      <c r="AA549" s="206" t="str">
        <f t="shared" si="267"/>
        <v>CLE/DET</v>
      </c>
    </row>
    <row r="550" spans="1:27" x14ac:dyDescent="0.45">
      <c r="A550" s="206">
        <v>200108</v>
      </c>
      <c r="B550" s="44">
        <v>0.375</v>
      </c>
      <c r="C550" s="206" t="s">
        <v>413</v>
      </c>
      <c r="D550" s="206" t="s">
        <v>417</v>
      </c>
      <c r="E550" s="206">
        <v>24</v>
      </c>
      <c r="F550" s="206">
        <v>32</v>
      </c>
      <c r="G550" s="206">
        <v>22</v>
      </c>
      <c r="H550" s="206">
        <v>21</v>
      </c>
      <c r="I550" s="206"/>
      <c r="J550" s="206">
        <v>15</v>
      </c>
      <c r="K550" s="206">
        <v>31</v>
      </c>
      <c r="L550" s="206">
        <v>23</v>
      </c>
      <c r="M550" s="206">
        <v>32</v>
      </c>
      <c r="N550" s="206" t="s">
        <v>427</v>
      </c>
      <c r="O550" s="206">
        <f t="shared" si="268"/>
        <v>99</v>
      </c>
      <c r="P550" s="206">
        <f t="shared" si="269"/>
        <v>101</v>
      </c>
      <c r="Q550" s="206" t="str">
        <f t="shared" si="270"/>
        <v>HW</v>
      </c>
      <c r="R550" s="206" t="str">
        <f t="shared" si="271"/>
        <v>HW</v>
      </c>
      <c r="S550" s="206" t="str">
        <f t="shared" si="272"/>
        <v>HL</v>
      </c>
      <c r="T550" s="206" t="str">
        <f t="shared" si="273"/>
        <v>HL</v>
      </c>
      <c r="U550" s="206" t="str">
        <f t="shared" si="274"/>
        <v>U</v>
      </c>
      <c r="V550" s="206" t="str">
        <f t="shared" si="275"/>
        <v>O</v>
      </c>
      <c r="W550" s="206" t="str">
        <f t="shared" si="276"/>
        <v>U</v>
      </c>
      <c r="X550" s="206" t="str">
        <f t="shared" si="277"/>
        <v>U</v>
      </c>
      <c r="Y550" s="206"/>
      <c r="Z550" s="206">
        <v>57.5</v>
      </c>
      <c r="AA550" s="206" t="str">
        <f t="shared" si="267"/>
        <v>TOR/POR</v>
      </c>
    </row>
    <row r="551" spans="1:27" x14ac:dyDescent="0.45">
      <c r="A551" s="206">
        <v>200108</v>
      </c>
      <c r="B551" s="44">
        <v>0.39583333333333331</v>
      </c>
      <c r="C551" s="206" t="s">
        <v>407</v>
      </c>
      <c r="D551" s="206" t="s">
        <v>418</v>
      </c>
      <c r="E551" s="206">
        <v>23</v>
      </c>
      <c r="F551" s="206">
        <v>25</v>
      </c>
      <c r="G551" s="206">
        <v>29</v>
      </c>
      <c r="H551" s="206">
        <v>24</v>
      </c>
      <c r="I551" s="206">
        <v>2</v>
      </c>
      <c r="J551" s="206">
        <v>27</v>
      </c>
      <c r="K551" s="206">
        <v>22</v>
      </c>
      <c r="L551" s="206">
        <v>25</v>
      </c>
      <c r="M551" s="206">
        <v>27</v>
      </c>
      <c r="N551" s="206">
        <v>10</v>
      </c>
      <c r="O551" s="206">
        <f t="shared" si="268"/>
        <v>103</v>
      </c>
      <c r="P551" s="206">
        <f t="shared" si="269"/>
        <v>111</v>
      </c>
      <c r="Q551" s="206" t="str">
        <f t="shared" si="270"/>
        <v>HL</v>
      </c>
      <c r="R551" s="206" t="str">
        <f t="shared" si="271"/>
        <v>HW</v>
      </c>
      <c r="S551" s="206" t="str">
        <f t="shared" si="272"/>
        <v>HW</v>
      </c>
      <c r="T551" s="206" t="str">
        <f t="shared" si="273"/>
        <v>HL</v>
      </c>
      <c r="U551" s="206" t="str">
        <f t="shared" si="274"/>
        <v>U</v>
      </c>
      <c r="V551" s="206" t="str">
        <f t="shared" si="275"/>
        <v>U</v>
      </c>
      <c r="W551" s="206" t="str">
        <f t="shared" si="276"/>
        <v>U</v>
      </c>
      <c r="X551" s="206" t="str">
        <f t="shared" si="277"/>
        <v>U</v>
      </c>
      <c r="Y551" s="206"/>
      <c r="Z551" s="206">
        <v>55.5</v>
      </c>
      <c r="AA551" s="206" t="str">
        <f t="shared" si="267"/>
        <v>BKN/OKC</v>
      </c>
    </row>
    <row r="552" spans="1:27" x14ac:dyDescent="0.45">
      <c r="A552" s="206">
        <v>200108</v>
      </c>
      <c r="B552" s="44">
        <v>0.41666666666666669</v>
      </c>
      <c r="C552" s="206" t="s">
        <v>406</v>
      </c>
      <c r="D552" s="206" t="s">
        <v>420</v>
      </c>
      <c r="E552" s="206">
        <v>27</v>
      </c>
      <c r="F552" s="206">
        <v>24</v>
      </c>
      <c r="G552" s="206">
        <v>31</v>
      </c>
      <c r="H552" s="206">
        <v>37</v>
      </c>
      <c r="I552" s="206"/>
      <c r="J552" s="206">
        <v>32</v>
      </c>
      <c r="K552" s="206">
        <v>24</v>
      </c>
      <c r="L552" s="206">
        <v>28</v>
      </c>
      <c r="M552" s="206">
        <v>28</v>
      </c>
      <c r="N552" s="206" t="s">
        <v>427</v>
      </c>
      <c r="O552" s="206">
        <f t="shared" si="268"/>
        <v>119</v>
      </c>
      <c r="P552" s="206">
        <f t="shared" si="269"/>
        <v>112</v>
      </c>
      <c r="Q552" s="206" t="str">
        <f t="shared" si="270"/>
        <v>HL</v>
      </c>
      <c r="R552" s="206" t="str">
        <f t="shared" si="271"/>
        <v>TT</v>
      </c>
      <c r="S552" s="206" t="str">
        <f t="shared" si="272"/>
        <v>HW</v>
      </c>
      <c r="T552" s="206" t="str">
        <f t="shared" si="273"/>
        <v>HW</v>
      </c>
      <c r="U552" s="206" t="str">
        <f t="shared" si="274"/>
        <v>O</v>
      </c>
      <c r="V552" s="206" t="str">
        <f t="shared" si="275"/>
        <v>U</v>
      </c>
      <c r="W552" s="206" t="str">
        <f t="shared" si="276"/>
        <v>O</v>
      </c>
      <c r="X552" s="206" t="str">
        <f t="shared" si="277"/>
        <v>O</v>
      </c>
      <c r="Y552" s="206"/>
      <c r="Z552" s="206">
        <v>58.5</v>
      </c>
      <c r="AA552" s="206" t="str">
        <f t="shared" si="267"/>
        <v>MEM/MIN</v>
      </c>
    </row>
    <row r="553" spans="1:27" x14ac:dyDescent="0.45">
      <c r="A553" s="206">
        <v>200108</v>
      </c>
      <c r="B553" s="44">
        <v>0.45833333333333331</v>
      </c>
      <c r="C553" s="206" t="s">
        <v>404</v>
      </c>
      <c r="D553" s="206" t="s">
        <v>416</v>
      </c>
      <c r="E553" s="206">
        <v>29</v>
      </c>
      <c r="F553" s="206">
        <v>24</v>
      </c>
      <c r="G553" s="206">
        <v>34</v>
      </c>
      <c r="H553" s="206">
        <v>16</v>
      </c>
      <c r="I553" s="206"/>
      <c r="J553" s="206">
        <v>26</v>
      </c>
      <c r="K553" s="206">
        <v>27</v>
      </c>
      <c r="L553" s="206">
        <v>25</v>
      </c>
      <c r="M553" s="206">
        <v>36</v>
      </c>
      <c r="N553" s="206" t="s">
        <v>427</v>
      </c>
      <c r="O553" s="206">
        <f t="shared" si="268"/>
        <v>103</v>
      </c>
      <c r="P553" s="206">
        <f t="shared" si="269"/>
        <v>114</v>
      </c>
      <c r="Q553" s="206" t="str">
        <f t="shared" si="270"/>
        <v>HW</v>
      </c>
      <c r="R553" s="206" t="str">
        <f t="shared" si="271"/>
        <v>HL</v>
      </c>
      <c r="S553" s="206" t="str">
        <f t="shared" si="272"/>
        <v>HW</v>
      </c>
      <c r="T553" s="206" t="str">
        <f t="shared" si="273"/>
        <v>HL</v>
      </c>
      <c r="U553" s="206" t="str">
        <f t="shared" si="274"/>
        <v>U</v>
      </c>
      <c r="V553" s="206" t="str">
        <f t="shared" si="275"/>
        <v>U</v>
      </c>
      <c r="W553" s="206" t="str">
        <f t="shared" si="276"/>
        <v>O</v>
      </c>
      <c r="X553" s="206" t="str">
        <f t="shared" si="277"/>
        <v>U</v>
      </c>
      <c r="Y553" s="206"/>
      <c r="Z553" s="206">
        <v>58</v>
      </c>
      <c r="AA553" s="206" t="str">
        <f t="shared" si="267"/>
        <v>PHO/SAC</v>
      </c>
    </row>
    <row r="554" spans="1:27" x14ac:dyDescent="0.45">
      <c r="A554" s="206">
        <v>200108</v>
      </c>
      <c r="B554" s="44">
        <v>0.52083333333333337</v>
      </c>
      <c r="C554" s="206" t="s">
        <v>419</v>
      </c>
      <c r="D554" s="206" t="s">
        <v>399</v>
      </c>
      <c r="E554" s="206">
        <v>26</v>
      </c>
      <c r="F554" s="206">
        <v>36</v>
      </c>
      <c r="G554" s="206">
        <v>23</v>
      </c>
      <c r="H554" s="206">
        <v>32</v>
      </c>
      <c r="I554" s="206"/>
      <c r="J554" s="206">
        <v>21</v>
      </c>
      <c r="K554" s="206">
        <v>24</v>
      </c>
      <c r="L554" s="206">
        <v>25</v>
      </c>
      <c r="M554" s="206">
        <v>17</v>
      </c>
      <c r="N554" s="206" t="s">
        <v>427</v>
      </c>
      <c r="O554" s="206">
        <f t="shared" si="268"/>
        <v>117</v>
      </c>
      <c r="P554" s="206">
        <f t="shared" si="269"/>
        <v>87</v>
      </c>
      <c r="Q554" s="206" t="str">
        <f t="shared" si="270"/>
        <v>HW</v>
      </c>
      <c r="R554" s="206" t="str">
        <f t="shared" si="271"/>
        <v>HW</v>
      </c>
      <c r="S554" s="206" t="str">
        <f t="shared" si="272"/>
        <v>HL</v>
      </c>
      <c r="T554" s="206" t="str">
        <f t="shared" si="273"/>
        <v>HW</v>
      </c>
      <c r="U554" s="206" t="str">
        <f t="shared" si="274"/>
        <v>U</v>
      </c>
      <c r="V554" s="206" t="str">
        <f t="shared" si="275"/>
        <v>O</v>
      </c>
      <c r="W554" s="206" t="str">
        <f t="shared" si="276"/>
        <v>U</v>
      </c>
      <c r="X554" s="206" t="str">
        <f t="shared" si="277"/>
        <v>U</v>
      </c>
      <c r="Y554" s="206"/>
      <c r="Z554" s="206">
        <v>57.5</v>
      </c>
      <c r="AA554" s="206" t="str">
        <f t="shared" si="267"/>
        <v>LAL/NYK</v>
      </c>
    </row>
    <row r="555" spans="1:27" x14ac:dyDescent="0.45">
      <c r="A555" s="206">
        <v>200109</v>
      </c>
      <c r="B555" s="44">
        <v>0.375</v>
      </c>
      <c r="C555" s="206" t="s">
        <v>421</v>
      </c>
      <c r="D555" s="206" t="s">
        <v>426</v>
      </c>
      <c r="E555" s="206">
        <v>22</v>
      </c>
      <c r="F555" s="206">
        <v>25</v>
      </c>
      <c r="G555" s="206">
        <v>36</v>
      </c>
      <c r="H555" s="206">
        <v>31</v>
      </c>
      <c r="I555" s="206"/>
      <c r="J555" s="206">
        <v>34</v>
      </c>
      <c r="K555" s="206">
        <v>31</v>
      </c>
      <c r="L555" s="206">
        <v>34</v>
      </c>
      <c r="M555" s="206">
        <v>30</v>
      </c>
      <c r="N555" s="206" t="s">
        <v>427</v>
      </c>
      <c r="O555" s="206">
        <f t="shared" si="268"/>
        <v>114</v>
      </c>
      <c r="P555" s="206">
        <f t="shared" si="269"/>
        <v>129</v>
      </c>
      <c r="Q555" s="206" t="str">
        <f t="shared" si="270"/>
        <v>HL</v>
      </c>
      <c r="R555" s="206" t="str">
        <f t="shared" si="271"/>
        <v>HL</v>
      </c>
      <c r="S555" s="206" t="str">
        <f t="shared" si="272"/>
        <v>HW</v>
      </c>
      <c r="T555" s="206" t="str">
        <f t="shared" si="273"/>
        <v>HW</v>
      </c>
      <c r="U555" s="206" t="str">
        <f t="shared" si="274"/>
        <v>O</v>
      </c>
      <c r="V555" s="206" t="str">
        <f t="shared" si="275"/>
        <v>O</v>
      </c>
      <c r="W555" s="206" t="str">
        <f t="shared" si="276"/>
        <v>O</v>
      </c>
      <c r="X555" s="206" t="str">
        <f t="shared" si="277"/>
        <v>O</v>
      </c>
      <c r="Y555" s="206"/>
      <c r="Z555" s="206">
        <v>54</v>
      </c>
      <c r="AA555" s="206" t="str">
        <f t="shared" si="267"/>
        <v>BOS/SAS</v>
      </c>
    </row>
    <row r="556" spans="1:27" x14ac:dyDescent="0.45">
      <c r="A556" s="206">
        <v>200109</v>
      </c>
      <c r="B556" s="44">
        <v>0.375</v>
      </c>
      <c r="C556" s="206" t="s">
        <v>400</v>
      </c>
      <c r="D556" s="206" t="s">
        <v>411</v>
      </c>
      <c r="E556" s="206">
        <v>23</v>
      </c>
      <c r="F556" s="206">
        <v>26</v>
      </c>
      <c r="G556" s="206">
        <v>23</v>
      </c>
      <c r="H556" s="206">
        <v>36</v>
      </c>
      <c r="I556" s="206"/>
      <c r="J556" s="206">
        <v>31</v>
      </c>
      <c r="K556" s="206">
        <v>31</v>
      </c>
      <c r="L556" s="206">
        <v>38</v>
      </c>
      <c r="M556" s="206">
        <v>22</v>
      </c>
      <c r="N556" s="206" t="s">
        <v>427</v>
      </c>
      <c r="O556" s="206">
        <f t="shared" si="268"/>
        <v>108</v>
      </c>
      <c r="P556" s="206">
        <f t="shared" si="269"/>
        <v>122</v>
      </c>
      <c r="Q556" s="206" t="str">
        <f t="shared" si="270"/>
        <v>HL</v>
      </c>
      <c r="R556" s="206" t="str">
        <f t="shared" si="271"/>
        <v>HL</v>
      </c>
      <c r="S556" s="206" t="str">
        <f t="shared" si="272"/>
        <v>HL</v>
      </c>
      <c r="T556" s="206" t="str">
        <f t="shared" si="273"/>
        <v>HW</v>
      </c>
      <c r="U556" s="206" t="str">
        <f t="shared" si="274"/>
        <v>U</v>
      </c>
      <c r="V556" s="206" t="str">
        <f t="shared" si="275"/>
        <v>O</v>
      </c>
      <c r="W556" s="206" t="str">
        <f t="shared" si="276"/>
        <v>O</v>
      </c>
      <c r="X556" s="206" t="str">
        <f t="shared" si="277"/>
        <v>O</v>
      </c>
      <c r="Y556" s="206"/>
      <c r="Z556" s="206">
        <v>54.5</v>
      </c>
      <c r="AA556" s="206" t="str">
        <f t="shared" si="267"/>
        <v>IND/MIA</v>
      </c>
    </row>
    <row r="557" spans="1:27" x14ac:dyDescent="0.45">
      <c r="A557" s="206">
        <v>200109</v>
      </c>
      <c r="B557" s="44">
        <v>0.375</v>
      </c>
      <c r="C557" s="206" t="s">
        <v>424</v>
      </c>
      <c r="D557" s="206" t="s">
        <v>414</v>
      </c>
      <c r="E557" s="206">
        <v>32</v>
      </c>
      <c r="F557" s="206">
        <v>37</v>
      </c>
      <c r="G557" s="206">
        <v>28</v>
      </c>
      <c r="H557" s="206">
        <v>26</v>
      </c>
      <c r="I557" s="206"/>
      <c r="J557" s="206">
        <v>23</v>
      </c>
      <c r="K557" s="206">
        <v>29</v>
      </c>
      <c r="L557" s="206">
        <v>20</v>
      </c>
      <c r="M557" s="206">
        <v>17</v>
      </c>
      <c r="N557" s="206" t="s">
        <v>427</v>
      </c>
      <c r="O557" s="206">
        <f t="shared" si="268"/>
        <v>123</v>
      </c>
      <c r="P557" s="206">
        <f t="shared" si="269"/>
        <v>89</v>
      </c>
      <c r="Q557" s="206" t="str">
        <f t="shared" si="270"/>
        <v>HW</v>
      </c>
      <c r="R557" s="206" t="str">
        <f t="shared" si="271"/>
        <v>HW</v>
      </c>
      <c r="S557" s="206" t="str">
        <f t="shared" si="272"/>
        <v>HW</v>
      </c>
      <c r="T557" s="206" t="str">
        <f t="shared" si="273"/>
        <v>HW</v>
      </c>
      <c r="U557" s="206" t="str">
        <f t="shared" si="274"/>
        <v>U</v>
      </c>
      <c r="V557" s="206" t="str">
        <f t="shared" si="275"/>
        <v>O</v>
      </c>
      <c r="W557" s="206" t="str">
        <f t="shared" si="276"/>
        <v>U</v>
      </c>
      <c r="X557" s="206" t="str">
        <f t="shared" si="277"/>
        <v>U</v>
      </c>
      <c r="Y557" s="206"/>
      <c r="Z557" s="206">
        <v>56.5</v>
      </c>
      <c r="AA557" s="206" t="str">
        <f t="shared" si="267"/>
        <v>ORL/WAS</v>
      </c>
    </row>
    <row r="558" spans="1:27" x14ac:dyDescent="0.45">
      <c r="A558" s="206">
        <v>200109</v>
      </c>
      <c r="B558" s="44">
        <v>0.375</v>
      </c>
      <c r="C558" s="206" t="s">
        <v>409</v>
      </c>
      <c r="D558" s="206" t="s">
        <v>413</v>
      </c>
      <c r="E558" s="206">
        <v>31</v>
      </c>
      <c r="F558" s="206">
        <v>24</v>
      </c>
      <c r="G558" s="206">
        <v>26</v>
      </c>
      <c r="H558" s="206">
        <v>19</v>
      </c>
      <c r="I558" s="206">
        <v>10</v>
      </c>
      <c r="J558" s="206">
        <v>29</v>
      </c>
      <c r="K558" s="206">
        <v>31</v>
      </c>
      <c r="L558" s="206">
        <v>22</v>
      </c>
      <c r="M558" s="206">
        <v>18</v>
      </c>
      <c r="N558" s="206">
        <v>12</v>
      </c>
      <c r="O558" s="206">
        <f t="shared" si="268"/>
        <v>110</v>
      </c>
      <c r="P558" s="206">
        <f t="shared" si="269"/>
        <v>112</v>
      </c>
      <c r="Q558" s="206" t="str">
        <f t="shared" si="270"/>
        <v>HW</v>
      </c>
      <c r="R558" s="206" t="str">
        <f t="shared" si="271"/>
        <v>HL</v>
      </c>
      <c r="S558" s="206" t="str">
        <f t="shared" si="272"/>
        <v>HW</v>
      </c>
      <c r="T558" s="206" t="str">
        <f t="shared" si="273"/>
        <v>HW</v>
      </c>
      <c r="U558" s="206" t="str">
        <f t="shared" si="274"/>
        <v>O</v>
      </c>
      <c r="V558" s="206" t="str">
        <f t="shared" si="275"/>
        <v>O</v>
      </c>
      <c r="W558" s="206" t="str">
        <f t="shared" si="276"/>
        <v>U</v>
      </c>
      <c r="X558" s="206" t="str">
        <f t="shared" si="277"/>
        <v>U</v>
      </c>
      <c r="Y558" s="206"/>
      <c r="Z558" s="206">
        <v>53.5</v>
      </c>
      <c r="AA558" s="206" t="str">
        <f t="shared" si="267"/>
        <v>CHA/TOR</v>
      </c>
    </row>
    <row r="559" spans="1:27" x14ac:dyDescent="0.45">
      <c r="A559" s="206">
        <v>200109</v>
      </c>
      <c r="B559" s="44">
        <v>0.39583333333333331</v>
      </c>
      <c r="C559" s="206" t="s">
        <v>410</v>
      </c>
      <c r="D559" s="206" t="s">
        <v>403</v>
      </c>
      <c r="E559" s="206">
        <v>29</v>
      </c>
      <c r="F559" s="206">
        <v>33</v>
      </c>
      <c r="G559" s="206">
        <v>23</v>
      </c>
      <c r="H559" s="206">
        <v>30</v>
      </c>
      <c r="I559" s="206"/>
      <c r="J559" s="206">
        <v>45</v>
      </c>
      <c r="K559" s="206">
        <v>32</v>
      </c>
      <c r="L559" s="206">
        <v>22</v>
      </c>
      <c r="M559" s="206">
        <v>23</v>
      </c>
      <c r="N559" s="206" t="s">
        <v>427</v>
      </c>
      <c r="O559" s="206">
        <f t="shared" si="268"/>
        <v>115</v>
      </c>
      <c r="P559" s="206">
        <f t="shared" si="269"/>
        <v>122</v>
      </c>
      <c r="Q559" s="206" t="str">
        <f t="shared" si="270"/>
        <v>HL</v>
      </c>
      <c r="R559" s="206" t="str">
        <f t="shared" si="271"/>
        <v>HW</v>
      </c>
      <c r="S559" s="206" t="str">
        <f t="shared" si="272"/>
        <v>HW</v>
      </c>
      <c r="T559" s="206" t="str">
        <f t="shared" si="273"/>
        <v>HW</v>
      </c>
      <c r="U559" s="206" t="str">
        <f t="shared" si="274"/>
        <v>O</v>
      </c>
      <c r="V559" s="206" t="str">
        <f t="shared" si="275"/>
        <v>O</v>
      </c>
      <c r="W559" s="206" t="str">
        <f t="shared" si="276"/>
        <v>U</v>
      </c>
      <c r="X559" s="206" t="str">
        <f t="shared" si="277"/>
        <v>U</v>
      </c>
      <c r="Y559" s="206"/>
      <c r="Z559" s="206">
        <v>60.5</v>
      </c>
      <c r="AA559" s="206" t="str">
        <f t="shared" si="267"/>
        <v>ATL/HOU</v>
      </c>
    </row>
    <row r="560" spans="1:27" x14ac:dyDescent="0.45">
      <c r="A560" s="206">
        <v>200109</v>
      </c>
      <c r="B560" s="44">
        <v>0.39583333333333331</v>
      </c>
      <c r="C560" s="206" t="s">
        <v>397</v>
      </c>
      <c r="D560" s="206" t="s">
        <v>408</v>
      </c>
      <c r="E560" s="206">
        <v>32</v>
      </c>
      <c r="F560" s="206">
        <v>27</v>
      </c>
      <c r="G560" s="206">
        <v>30</v>
      </c>
      <c r="H560" s="206">
        <v>17</v>
      </c>
      <c r="I560" s="206"/>
      <c r="J560" s="206">
        <v>27</v>
      </c>
      <c r="K560" s="206">
        <v>29</v>
      </c>
      <c r="L560" s="206">
        <v>30</v>
      </c>
      <c r="M560" s="206">
        <v>21</v>
      </c>
      <c r="N560" s="206" t="s">
        <v>427</v>
      </c>
      <c r="O560" s="206">
        <f t="shared" si="268"/>
        <v>106</v>
      </c>
      <c r="P560" s="206">
        <f t="shared" si="269"/>
        <v>107</v>
      </c>
      <c r="Q560" s="206" t="str">
        <f t="shared" si="270"/>
        <v>HW</v>
      </c>
      <c r="R560" s="206" t="str">
        <f t="shared" si="271"/>
        <v>HL</v>
      </c>
      <c r="S560" s="206" t="str">
        <f t="shared" si="272"/>
        <v>TT</v>
      </c>
      <c r="T560" s="206" t="str">
        <f t="shared" si="273"/>
        <v>HL</v>
      </c>
      <c r="U560" s="206" t="str">
        <f t="shared" si="274"/>
        <v>O</v>
      </c>
      <c r="V560" s="206" t="str">
        <f t="shared" si="275"/>
        <v>U</v>
      </c>
      <c r="W560" s="206" t="str">
        <f t="shared" si="276"/>
        <v>O</v>
      </c>
      <c r="X560" s="206" t="str">
        <f t="shared" si="277"/>
        <v>U</v>
      </c>
      <c r="Y560" s="206"/>
      <c r="Z560" s="206">
        <v>56.5</v>
      </c>
      <c r="AA560" s="206" t="str">
        <f t="shared" si="267"/>
        <v>DAL/DEN</v>
      </c>
    </row>
    <row r="561" spans="1:27" x14ac:dyDescent="0.45">
      <c r="A561" s="206">
        <v>200109</v>
      </c>
      <c r="B561" s="44">
        <v>0.41666666666666669</v>
      </c>
      <c r="C561" s="206" t="s">
        <v>398</v>
      </c>
      <c r="D561" s="206" t="s">
        <v>412</v>
      </c>
      <c r="E561" s="206">
        <v>23</v>
      </c>
      <c r="F561" s="206">
        <v>25</v>
      </c>
      <c r="G561" s="206">
        <v>44</v>
      </c>
      <c r="H561" s="206">
        <v>31</v>
      </c>
      <c r="I561" s="206"/>
      <c r="J561" s="206">
        <v>21</v>
      </c>
      <c r="K561" s="206">
        <v>27</v>
      </c>
      <c r="L561" s="206">
        <v>27</v>
      </c>
      <c r="M561" s="206">
        <v>33</v>
      </c>
      <c r="N561" s="206" t="s">
        <v>427</v>
      </c>
      <c r="O561" s="206">
        <f t="shared" si="268"/>
        <v>123</v>
      </c>
      <c r="P561" s="206">
        <f t="shared" si="269"/>
        <v>108</v>
      </c>
      <c r="Q561" s="206" t="str">
        <f t="shared" si="270"/>
        <v>HW</v>
      </c>
      <c r="R561" s="206" t="str">
        <f t="shared" si="271"/>
        <v>HL</v>
      </c>
      <c r="S561" s="206" t="str">
        <f t="shared" si="272"/>
        <v>HW</v>
      </c>
      <c r="T561" s="206" t="str">
        <f t="shared" si="273"/>
        <v>HL</v>
      </c>
      <c r="U561" s="206" t="str">
        <f t="shared" si="274"/>
        <v>U</v>
      </c>
      <c r="V561" s="206" t="str">
        <f t="shared" si="275"/>
        <v>U</v>
      </c>
      <c r="W561" s="206" t="str">
        <f t="shared" si="276"/>
        <v>O</v>
      </c>
      <c r="X561" s="206" t="str">
        <f t="shared" si="277"/>
        <v>O</v>
      </c>
      <c r="Y561" s="206"/>
      <c r="Z561" s="206">
        <v>58</v>
      </c>
      <c r="AA561" s="206" t="str">
        <f t="shared" si="267"/>
        <v>NO/CHI</v>
      </c>
    </row>
    <row r="562" spans="1:27" x14ac:dyDescent="0.45">
      <c r="A562" s="206">
        <v>200109</v>
      </c>
      <c r="B562" s="44">
        <v>0.45833333333333331</v>
      </c>
      <c r="C562" s="206" t="s">
        <v>405</v>
      </c>
      <c r="D562" s="206" t="s">
        <v>399</v>
      </c>
      <c r="E562" s="206">
        <v>39</v>
      </c>
      <c r="F562" s="206">
        <v>33</v>
      </c>
      <c r="G562" s="206">
        <v>23</v>
      </c>
      <c r="H562" s="206">
        <v>33</v>
      </c>
      <c r="I562" s="206"/>
      <c r="J562" s="206">
        <v>29</v>
      </c>
      <c r="K562" s="206">
        <v>24</v>
      </c>
      <c r="L562" s="206">
        <v>16</v>
      </c>
      <c r="M562" s="206">
        <v>35</v>
      </c>
      <c r="N562" s="206" t="s">
        <v>427</v>
      </c>
      <c r="O562" s="206">
        <f t="shared" si="268"/>
        <v>128</v>
      </c>
      <c r="P562" s="206">
        <f t="shared" si="269"/>
        <v>104</v>
      </c>
      <c r="Q562" s="206" t="str">
        <f t="shared" si="270"/>
        <v>HW</v>
      </c>
      <c r="R562" s="206" t="str">
        <f t="shared" si="271"/>
        <v>HW</v>
      </c>
      <c r="S562" s="206" t="str">
        <f t="shared" si="272"/>
        <v>HW</v>
      </c>
      <c r="T562" s="206" t="str">
        <f t="shared" si="273"/>
        <v>HL</v>
      </c>
      <c r="U562" s="206" t="str">
        <f t="shared" si="274"/>
        <v>O</v>
      </c>
      <c r="V562" s="206" t="str">
        <f t="shared" si="275"/>
        <v>O</v>
      </c>
      <c r="W562" s="206" t="str">
        <f t="shared" si="276"/>
        <v>U</v>
      </c>
      <c r="X562" s="206" t="str">
        <f t="shared" si="277"/>
        <v>O</v>
      </c>
      <c r="Y562" s="206"/>
      <c r="Z562" s="206">
        <v>55.5</v>
      </c>
      <c r="AA562" s="206" t="str">
        <f t="shared" si="267"/>
        <v>UTA/NYK</v>
      </c>
    </row>
    <row r="563" spans="1:27" x14ac:dyDescent="0.45">
      <c r="A563" s="206">
        <v>200109</v>
      </c>
      <c r="B563" s="44">
        <v>0.5</v>
      </c>
      <c r="C563" s="206" t="s">
        <v>425</v>
      </c>
      <c r="D563" s="206" t="s">
        <v>423</v>
      </c>
      <c r="E563" s="206">
        <v>19</v>
      </c>
      <c r="F563" s="206">
        <v>20</v>
      </c>
      <c r="G563" s="206">
        <v>33</v>
      </c>
      <c r="H563" s="206">
        <v>26</v>
      </c>
      <c r="I563" s="206"/>
      <c r="J563" s="206">
        <v>19</v>
      </c>
      <c r="K563" s="206">
        <v>28</v>
      </c>
      <c r="L563" s="206">
        <v>34</v>
      </c>
      <c r="M563" s="206">
        <v>26</v>
      </c>
      <c r="N563" s="206" t="s">
        <v>427</v>
      </c>
      <c r="O563" s="206">
        <f t="shared" si="268"/>
        <v>98</v>
      </c>
      <c r="P563" s="206">
        <f t="shared" si="269"/>
        <v>107</v>
      </c>
      <c r="Q563" s="206" t="str">
        <f t="shared" si="270"/>
        <v>TT</v>
      </c>
      <c r="R563" s="206" t="str">
        <f t="shared" si="271"/>
        <v>HL</v>
      </c>
      <c r="S563" s="206" t="str">
        <f t="shared" si="272"/>
        <v>HL</v>
      </c>
      <c r="T563" s="206" t="str">
        <f t="shared" si="273"/>
        <v>TT</v>
      </c>
      <c r="U563" s="206" t="str">
        <f t="shared" si="274"/>
        <v>U</v>
      </c>
      <c r="V563" s="206" t="str">
        <f t="shared" si="275"/>
        <v>U</v>
      </c>
      <c r="W563" s="206" t="str">
        <f t="shared" si="276"/>
        <v>O</v>
      </c>
      <c r="X563" s="206" t="str">
        <f t="shared" si="277"/>
        <v>U</v>
      </c>
      <c r="Y563" s="206"/>
      <c r="Z563" s="206">
        <v>53</v>
      </c>
      <c r="AA563" s="206" t="str">
        <f t="shared" si="267"/>
        <v>GS/MIL</v>
      </c>
    </row>
    <row r="564" spans="1:27" x14ac:dyDescent="0.45">
      <c r="A564" s="206">
        <v>200110</v>
      </c>
      <c r="B564" s="44">
        <v>0.375</v>
      </c>
      <c r="C564" s="206" t="s">
        <v>422</v>
      </c>
      <c r="D564" s="206" t="s">
        <v>402</v>
      </c>
      <c r="E564" s="206">
        <v>32</v>
      </c>
      <c r="F564" s="206">
        <v>29</v>
      </c>
      <c r="G564" s="206">
        <v>22</v>
      </c>
      <c r="H564" s="206">
        <v>19</v>
      </c>
      <c r="I564" s="206">
        <v>10</v>
      </c>
      <c r="J564" s="206">
        <v>26</v>
      </c>
      <c r="K564" s="206">
        <v>24</v>
      </c>
      <c r="L564" s="206">
        <v>31</v>
      </c>
      <c r="M564" s="206">
        <v>21</v>
      </c>
      <c r="N564" s="206">
        <v>13</v>
      </c>
      <c r="O564" s="206">
        <f t="shared" si="268"/>
        <v>112</v>
      </c>
      <c r="P564" s="206">
        <f t="shared" si="269"/>
        <v>115</v>
      </c>
      <c r="Q564" s="206" t="str">
        <f t="shared" si="270"/>
        <v>HW</v>
      </c>
      <c r="R564" s="206" t="str">
        <f t="shared" si="271"/>
        <v>HW</v>
      </c>
      <c r="S564" s="206" t="str">
        <f t="shared" si="272"/>
        <v>HL</v>
      </c>
      <c r="T564" s="206" t="str">
        <f t="shared" si="273"/>
        <v>HL</v>
      </c>
      <c r="U564" s="206" t="str">
        <f t="shared" si="274"/>
        <v>O</v>
      </c>
      <c r="V564" s="206" t="str">
        <f t="shared" si="275"/>
        <v>U</v>
      </c>
      <c r="W564" s="206" t="str">
        <f t="shared" si="276"/>
        <v>U</v>
      </c>
      <c r="X564" s="206" t="str">
        <f t="shared" si="277"/>
        <v>U</v>
      </c>
      <c r="Y564" s="206"/>
      <c r="Z564" s="206">
        <v>54</v>
      </c>
      <c r="AA564" s="206" t="str">
        <f t="shared" si="267"/>
        <v>DET/CLE</v>
      </c>
    </row>
    <row r="565" spans="1:27" x14ac:dyDescent="0.45">
      <c r="A565" s="206">
        <v>200110</v>
      </c>
      <c r="B565" s="44">
        <v>0.375</v>
      </c>
      <c r="C565" s="206" t="s">
        <v>401</v>
      </c>
      <c r="D565" s="206" t="s">
        <v>421</v>
      </c>
      <c r="E565" s="206">
        <v>26</v>
      </c>
      <c r="F565" s="206">
        <v>22</v>
      </c>
      <c r="G565" s="206">
        <v>29</v>
      </c>
      <c r="H565" s="206">
        <v>32</v>
      </c>
      <c r="I565" s="206"/>
      <c r="J565" s="206">
        <v>35</v>
      </c>
      <c r="K565" s="206">
        <v>20</v>
      </c>
      <c r="L565" s="206">
        <v>25</v>
      </c>
      <c r="M565" s="206">
        <v>18</v>
      </c>
      <c r="N565" s="206" t="s">
        <v>427</v>
      </c>
      <c r="O565" s="206">
        <f t="shared" si="268"/>
        <v>109</v>
      </c>
      <c r="P565" s="206">
        <f t="shared" si="269"/>
        <v>98</v>
      </c>
      <c r="Q565" s="206" t="str">
        <f t="shared" si="270"/>
        <v>HL</v>
      </c>
      <c r="R565" s="206" t="str">
        <f t="shared" si="271"/>
        <v>HW</v>
      </c>
      <c r="S565" s="206" t="str">
        <f t="shared" si="272"/>
        <v>HW</v>
      </c>
      <c r="T565" s="206" t="str">
        <f t="shared" si="273"/>
        <v>HW</v>
      </c>
      <c r="U565" s="206" t="str">
        <f t="shared" si="274"/>
        <v>O</v>
      </c>
      <c r="V565" s="206" t="str">
        <f t="shared" si="275"/>
        <v>U</v>
      </c>
      <c r="W565" s="206" t="str">
        <f t="shared" si="276"/>
        <v>U</v>
      </c>
      <c r="X565" s="206" t="str">
        <f t="shared" si="277"/>
        <v>U</v>
      </c>
      <c r="Y565" s="206"/>
      <c r="Z565" s="206">
        <v>54.5</v>
      </c>
      <c r="AA565" s="206" t="str">
        <f t="shared" si="267"/>
        <v>PHI/BOS</v>
      </c>
    </row>
    <row r="566" spans="1:27" x14ac:dyDescent="0.45">
      <c r="A566" s="206">
        <v>200110</v>
      </c>
      <c r="B566" s="44">
        <v>0.41666666666666669</v>
      </c>
      <c r="C566" s="206" t="s">
        <v>420</v>
      </c>
      <c r="D566" s="206" t="s">
        <v>417</v>
      </c>
      <c r="E566" s="206">
        <v>28</v>
      </c>
      <c r="F566" s="206">
        <v>31</v>
      </c>
      <c r="G566" s="206">
        <v>41</v>
      </c>
      <c r="H566" s="206">
        <v>16</v>
      </c>
      <c r="I566" s="206"/>
      <c r="J566" s="206">
        <v>34</v>
      </c>
      <c r="K566" s="206">
        <v>13</v>
      </c>
      <c r="L566" s="206">
        <v>27</v>
      </c>
      <c r="M566" s="206">
        <v>28</v>
      </c>
      <c r="N566" s="206" t="s">
        <v>427</v>
      </c>
      <c r="O566" s="206">
        <f t="shared" si="268"/>
        <v>116</v>
      </c>
      <c r="P566" s="206">
        <f t="shared" si="269"/>
        <v>102</v>
      </c>
      <c r="Q566" s="206" t="str">
        <f t="shared" si="270"/>
        <v>HL</v>
      </c>
      <c r="R566" s="206" t="str">
        <f t="shared" si="271"/>
        <v>HW</v>
      </c>
      <c r="S566" s="206" t="str">
        <f t="shared" si="272"/>
        <v>HW</v>
      </c>
      <c r="T566" s="206" t="str">
        <f t="shared" si="273"/>
        <v>HL</v>
      </c>
      <c r="U566" s="206" t="str">
        <f t="shared" si="274"/>
        <v>O</v>
      </c>
      <c r="V566" s="206" t="str">
        <f t="shared" si="275"/>
        <v>U</v>
      </c>
      <c r="W566" s="206" t="str">
        <f t="shared" si="276"/>
        <v>O</v>
      </c>
      <c r="X566" s="206" t="str">
        <f t="shared" si="277"/>
        <v>U</v>
      </c>
      <c r="Y566" s="206"/>
      <c r="Z566" s="206">
        <v>58</v>
      </c>
      <c r="AA566" s="206" t="str">
        <f t="shared" si="267"/>
        <v>MIN/POR</v>
      </c>
    </row>
    <row r="567" spans="1:27" x14ac:dyDescent="0.45">
      <c r="A567" s="206">
        <v>200110</v>
      </c>
      <c r="B567" s="44">
        <v>0.47916666666666669</v>
      </c>
      <c r="C567" s="206" t="s">
        <v>418</v>
      </c>
      <c r="D567" s="206" t="s">
        <v>403</v>
      </c>
      <c r="E567" s="206">
        <v>37</v>
      </c>
      <c r="F567" s="206">
        <v>23</v>
      </c>
      <c r="G567" s="206">
        <v>29</v>
      </c>
      <c r="H567" s="206">
        <v>24</v>
      </c>
      <c r="I567" s="206"/>
      <c r="J567" s="206">
        <v>21</v>
      </c>
      <c r="K567" s="206">
        <v>27</v>
      </c>
      <c r="L567" s="206">
        <v>19</v>
      </c>
      <c r="M567" s="206">
        <v>25</v>
      </c>
      <c r="N567" s="206" t="s">
        <v>427</v>
      </c>
      <c r="O567" s="206">
        <f t="shared" si="268"/>
        <v>113</v>
      </c>
      <c r="P567" s="206">
        <f t="shared" si="269"/>
        <v>92</v>
      </c>
      <c r="Q567" s="206" t="str">
        <f t="shared" si="270"/>
        <v>HW</v>
      </c>
      <c r="R567" s="206" t="str">
        <f t="shared" si="271"/>
        <v>HL</v>
      </c>
      <c r="S567" s="206" t="str">
        <f t="shared" si="272"/>
        <v>HW</v>
      </c>
      <c r="T567" s="206" t="str">
        <f t="shared" si="273"/>
        <v>HL</v>
      </c>
      <c r="U567" s="206" t="str">
        <f t="shared" si="274"/>
        <v>U</v>
      </c>
      <c r="V567" s="206" t="str">
        <f t="shared" si="275"/>
        <v>U</v>
      </c>
      <c r="W567" s="206" t="str">
        <f t="shared" si="276"/>
        <v>U</v>
      </c>
      <c r="X567" s="206" t="str">
        <f t="shared" si="277"/>
        <v>U</v>
      </c>
      <c r="Y567" s="206"/>
      <c r="Z567" s="206">
        <v>59</v>
      </c>
      <c r="AA567" s="206" t="str">
        <f t="shared" si="267"/>
        <v>OKC/HOU</v>
      </c>
    </row>
    <row r="568" spans="1:27" x14ac:dyDescent="0.45">
      <c r="A568" s="206">
        <v>200111</v>
      </c>
      <c r="B568" s="44">
        <v>0.375</v>
      </c>
      <c r="C568" s="206" t="s">
        <v>414</v>
      </c>
      <c r="D568" s="206" t="s">
        <v>410</v>
      </c>
      <c r="E568" s="206">
        <v>30</v>
      </c>
      <c r="F568" s="206">
        <v>26</v>
      </c>
      <c r="G568" s="206">
        <v>25</v>
      </c>
      <c r="H568" s="206">
        <v>30</v>
      </c>
      <c r="I568" s="206"/>
      <c r="J568" s="206">
        <v>21</v>
      </c>
      <c r="K568" s="206">
        <v>30</v>
      </c>
      <c r="L568" s="206">
        <v>28</v>
      </c>
      <c r="M568" s="206">
        <v>22</v>
      </c>
      <c r="N568" s="206" t="s">
        <v>427</v>
      </c>
      <c r="O568" s="206">
        <f t="shared" si="268"/>
        <v>111</v>
      </c>
      <c r="P568" s="206">
        <f t="shared" si="269"/>
        <v>101</v>
      </c>
      <c r="Q568" s="206" t="str">
        <f t="shared" si="270"/>
        <v>HW</v>
      </c>
      <c r="R568" s="206" t="str">
        <f t="shared" si="271"/>
        <v>HL</v>
      </c>
      <c r="S568" s="206" t="str">
        <f t="shared" si="272"/>
        <v>HL</v>
      </c>
      <c r="T568" s="206" t="str">
        <f t="shared" si="273"/>
        <v>HW</v>
      </c>
      <c r="U568" s="206" t="str">
        <f t="shared" si="274"/>
        <v>U</v>
      </c>
      <c r="V568" s="206" t="str">
        <f t="shared" si="275"/>
        <v>U</v>
      </c>
      <c r="W568" s="206" t="str">
        <f t="shared" si="276"/>
        <v>U</v>
      </c>
      <c r="X568" s="206" t="str">
        <f t="shared" si="277"/>
        <v>U</v>
      </c>
      <c r="Y568" s="206"/>
      <c r="Z568" s="206">
        <v>61.5</v>
      </c>
      <c r="AA568" s="206" t="str">
        <f t="shared" si="267"/>
        <v>WAS/ATL</v>
      </c>
    </row>
    <row r="569" spans="1:27" x14ac:dyDescent="0.45">
      <c r="A569" s="206">
        <v>200111</v>
      </c>
      <c r="B569" s="44">
        <v>0.38541666666666669</v>
      </c>
      <c r="C569" s="206" t="s">
        <v>399</v>
      </c>
      <c r="D569" s="206" t="s">
        <v>398</v>
      </c>
      <c r="E569" s="206">
        <v>31</v>
      </c>
      <c r="F569" s="206">
        <v>30</v>
      </c>
      <c r="G569" s="206">
        <v>25</v>
      </c>
      <c r="H569" s="206">
        <v>25</v>
      </c>
      <c r="I569" s="206"/>
      <c r="J569" s="206">
        <v>33</v>
      </c>
      <c r="K569" s="206">
        <v>34</v>
      </c>
      <c r="L569" s="206">
        <v>28</v>
      </c>
      <c r="M569" s="206">
        <v>28</v>
      </c>
      <c r="N569" s="206" t="s">
        <v>427</v>
      </c>
      <c r="O569" s="206">
        <f t="shared" si="268"/>
        <v>111</v>
      </c>
      <c r="P569" s="206">
        <f t="shared" si="269"/>
        <v>123</v>
      </c>
      <c r="Q569" s="206" t="str">
        <f t="shared" si="270"/>
        <v>HL</v>
      </c>
      <c r="R569" s="206" t="str">
        <f t="shared" si="271"/>
        <v>HL</v>
      </c>
      <c r="S569" s="206" t="str">
        <f t="shared" si="272"/>
        <v>HL</v>
      </c>
      <c r="T569" s="206" t="str">
        <f t="shared" si="273"/>
        <v>HL</v>
      </c>
      <c r="U569" s="206" t="str">
        <f t="shared" si="274"/>
        <v>O</v>
      </c>
      <c r="V569" s="206" t="str">
        <f t="shared" si="275"/>
        <v>O</v>
      </c>
      <c r="W569" s="206" t="str">
        <f t="shared" si="276"/>
        <v>U</v>
      </c>
      <c r="X569" s="206" t="str">
        <f t="shared" si="277"/>
        <v>U</v>
      </c>
      <c r="Y569" s="206"/>
      <c r="Z569" s="206">
        <v>58.5</v>
      </c>
      <c r="AA569" s="206" t="str">
        <f t="shared" si="267"/>
        <v>NYK/NO</v>
      </c>
    </row>
    <row r="570" spans="1:27" x14ac:dyDescent="0.45">
      <c r="A570" s="206">
        <v>200111</v>
      </c>
      <c r="B570" s="44">
        <v>0.39583333333333331</v>
      </c>
      <c r="C570" s="206" t="s">
        <v>407</v>
      </c>
      <c r="D570" s="206" t="s">
        <v>411</v>
      </c>
      <c r="E570" s="206">
        <v>32</v>
      </c>
      <c r="F570" s="206">
        <v>25</v>
      </c>
      <c r="G570" s="206">
        <v>32</v>
      </c>
      <c r="H570" s="206">
        <v>28</v>
      </c>
      <c r="I570" s="206"/>
      <c r="J570" s="206">
        <v>42</v>
      </c>
      <c r="K570" s="206">
        <v>27</v>
      </c>
      <c r="L570" s="206">
        <v>20</v>
      </c>
      <c r="M570" s="206">
        <v>24</v>
      </c>
      <c r="N570" s="206" t="s">
        <v>427</v>
      </c>
      <c r="O570" s="206">
        <f t="shared" si="268"/>
        <v>117</v>
      </c>
      <c r="P570" s="206">
        <f t="shared" si="269"/>
        <v>113</v>
      </c>
      <c r="Q570" s="206" t="str">
        <f t="shared" si="270"/>
        <v>HL</v>
      </c>
      <c r="R570" s="206" t="str">
        <f t="shared" si="271"/>
        <v>HL</v>
      </c>
      <c r="S570" s="206" t="str">
        <f t="shared" si="272"/>
        <v>HW</v>
      </c>
      <c r="T570" s="206" t="str">
        <f t="shared" si="273"/>
        <v>HW</v>
      </c>
      <c r="U570" s="206" t="str">
        <f t="shared" si="274"/>
        <v>O</v>
      </c>
      <c r="V570" s="206" t="str">
        <f t="shared" si="275"/>
        <v>U</v>
      </c>
      <c r="W570" s="206" t="str">
        <f t="shared" si="276"/>
        <v>U</v>
      </c>
      <c r="X570" s="206" t="str">
        <f t="shared" si="277"/>
        <v>U</v>
      </c>
      <c r="Y570" s="206"/>
      <c r="Z570" s="206">
        <v>56</v>
      </c>
      <c r="AA570" s="206" t="str">
        <f t="shared" si="267"/>
        <v>BKN/MIA</v>
      </c>
    </row>
    <row r="571" spans="1:27" x14ac:dyDescent="0.45">
      <c r="A571" s="206">
        <v>200111</v>
      </c>
      <c r="B571" s="44">
        <v>0.41666666666666669</v>
      </c>
      <c r="C571" s="206" t="s">
        <v>412</v>
      </c>
      <c r="D571" s="206" t="s">
        <v>400</v>
      </c>
      <c r="E571" s="206">
        <v>27</v>
      </c>
      <c r="F571" s="206">
        <v>19</v>
      </c>
      <c r="G571" s="206">
        <v>26</v>
      </c>
      <c r="H571" s="206">
        <v>33</v>
      </c>
      <c r="I571" s="206"/>
      <c r="J571" s="206">
        <v>29</v>
      </c>
      <c r="K571" s="206">
        <v>25</v>
      </c>
      <c r="L571" s="206">
        <v>25</v>
      </c>
      <c r="M571" s="206">
        <v>37</v>
      </c>
      <c r="N571" s="206" t="s">
        <v>427</v>
      </c>
      <c r="O571" s="206">
        <f t="shared" si="268"/>
        <v>105</v>
      </c>
      <c r="P571" s="206">
        <f t="shared" si="269"/>
        <v>116</v>
      </c>
      <c r="Q571" s="206" t="str">
        <f t="shared" si="270"/>
        <v>HL</v>
      </c>
      <c r="R571" s="206" t="str">
        <f t="shared" si="271"/>
        <v>HL</v>
      </c>
      <c r="S571" s="206" t="str">
        <f t="shared" si="272"/>
        <v>HW</v>
      </c>
      <c r="T571" s="206" t="str">
        <f t="shared" si="273"/>
        <v>HL</v>
      </c>
      <c r="U571" s="206" t="str">
        <f t="shared" si="274"/>
        <v>O</v>
      </c>
      <c r="V571" s="206" t="str">
        <f t="shared" si="275"/>
        <v>U</v>
      </c>
      <c r="W571" s="206" t="str">
        <f t="shared" si="276"/>
        <v>U</v>
      </c>
      <c r="X571" s="206" t="str">
        <f t="shared" si="277"/>
        <v>O</v>
      </c>
      <c r="Y571" s="206"/>
      <c r="Z571" s="206">
        <v>54.5</v>
      </c>
      <c r="AA571" s="206" t="str">
        <f t="shared" si="267"/>
        <v>CHI/IND</v>
      </c>
    </row>
    <row r="572" spans="1:27" x14ac:dyDescent="0.45">
      <c r="A572" s="206">
        <v>200111</v>
      </c>
      <c r="B572" s="44">
        <v>0.41666666666666669</v>
      </c>
      <c r="C572" s="206" t="s">
        <v>406</v>
      </c>
      <c r="D572" s="206" t="s">
        <v>426</v>
      </c>
      <c r="E572" s="206">
        <v>37</v>
      </c>
      <c r="F572" s="206">
        <v>26</v>
      </c>
      <c r="G572" s="206">
        <v>37</v>
      </c>
      <c r="H572" s="206">
        <v>34</v>
      </c>
      <c r="I572" s="206"/>
      <c r="J572" s="206">
        <v>32</v>
      </c>
      <c r="K572" s="206">
        <v>25</v>
      </c>
      <c r="L572" s="206">
        <v>41</v>
      </c>
      <c r="M572" s="206">
        <v>23</v>
      </c>
      <c r="N572" s="206" t="s">
        <v>427</v>
      </c>
      <c r="O572" s="206">
        <f t="shared" si="268"/>
        <v>134</v>
      </c>
      <c r="P572" s="206">
        <f t="shared" si="269"/>
        <v>121</v>
      </c>
      <c r="Q572" s="206" t="str">
        <f t="shared" si="270"/>
        <v>HW</v>
      </c>
      <c r="R572" s="206" t="str">
        <f t="shared" si="271"/>
        <v>HW</v>
      </c>
      <c r="S572" s="206" t="str">
        <f t="shared" si="272"/>
        <v>HL</v>
      </c>
      <c r="T572" s="206" t="str">
        <f t="shared" si="273"/>
        <v>HW</v>
      </c>
      <c r="U572" s="206" t="str">
        <f t="shared" si="274"/>
        <v>O</v>
      </c>
      <c r="V572" s="206" t="str">
        <f t="shared" si="275"/>
        <v>U</v>
      </c>
      <c r="W572" s="206" t="str">
        <f t="shared" si="276"/>
        <v>O</v>
      </c>
      <c r="X572" s="206" t="str">
        <f t="shared" si="277"/>
        <v>O</v>
      </c>
      <c r="Y572" s="206"/>
      <c r="Z572" s="206">
        <v>56</v>
      </c>
      <c r="AA572" s="206" t="str">
        <f t="shared" si="267"/>
        <v>MEM/SAS</v>
      </c>
    </row>
    <row r="573" spans="1:27" x14ac:dyDescent="0.45">
      <c r="A573" s="206">
        <v>200111</v>
      </c>
      <c r="B573" s="44">
        <v>0.45833333333333331</v>
      </c>
      <c r="C573" s="206" t="s">
        <v>404</v>
      </c>
      <c r="D573" s="206" t="s">
        <v>424</v>
      </c>
      <c r="E573" s="206">
        <v>27</v>
      </c>
      <c r="F573" s="206">
        <v>31</v>
      </c>
      <c r="G573" s="206">
        <v>19</v>
      </c>
      <c r="H573" s="206">
        <v>21</v>
      </c>
      <c r="I573" s="206"/>
      <c r="J573" s="206">
        <v>25</v>
      </c>
      <c r="K573" s="206">
        <v>23</v>
      </c>
      <c r="L573" s="206">
        <v>27</v>
      </c>
      <c r="M573" s="206">
        <v>19</v>
      </c>
      <c r="N573" s="206" t="s">
        <v>427</v>
      </c>
      <c r="O573" s="206">
        <f t="shared" si="268"/>
        <v>98</v>
      </c>
      <c r="P573" s="206">
        <f t="shared" si="269"/>
        <v>94</v>
      </c>
      <c r="Q573" s="206" t="str">
        <f t="shared" si="270"/>
        <v>HW</v>
      </c>
      <c r="R573" s="206" t="str">
        <f t="shared" si="271"/>
        <v>HW</v>
      </c>
      <c r="S573" s="206" t="str">
        <f t="shared" si="272"/>
        <v>HL</v>
      </c>
      <c r="T573" s="206" t="str">
        <f t="shared" si="273"/>
        <v>HW</v>
      </c>
      <c r="U573" s="206" t="str">
        <f t="shared" si="274"/>
        <v>U</v>
      </c>
      <c r="V573" s="206" t="str">
        <f t="shared" si="275"/>
        <v>U</v>
      </c>
      <c r="W573" s="206" t="str">
        <f t="shared" si="276"/>
        <v>U</v>
      </c>
      <c r="X573" s="206" t="str">
        <f t="shared" si="277"/>
        <v>U</v>
      </c>
      <c r="Y573" s="206"/>
      <c r="Z573" s="206">
        <v>55.5</v>
      </c>
      <c r="AA573" s="206" t="str">
        <f t="shared" si="267"/>
        <v>PHO/ORL</v>
      </c>
    </row>
    <row r="574" spans="1:27" x14ac:dyDescent="0.45">
      <c r="A574" s="206">
        <v>200111</v>
      </c>
      <c r="B574" s="44">
        <v>0.45833333333333331</v>
      </c>
      <c r="C574" s="206" t="s">
        <v>405</v>
      </c>
      <c r="D574" s="206" t="s">
        <v>409</v>
      </c>
      <c r="E574" s="206">
        <v>29</v>
      </c>
      <c r="F574" s="206">
        <v>32</v>
      </c>
      <c r="G574" s="206">
        <v>26</v>
      </c>
      <c r="H574" s="206">
        <v>22</v>
      </c>
      <c r="I574" s="206"/>
      <c r="J574" s="206">
        <v>13</v>
      </c>
      <c r="K574" s="206">
        <v>25</v>
      </c>
      <c r="L574" s="206">
        <v>24</v>
      </c>
      <c r="M574" s="206">
        <v>30</v>
      </c>
      <c r="N574" s="206" t="s">
        <v>427</v>
      </c>
      <c r="O574" s="206">
        <f t="shared" si="268"/>
        <v>109</v>
      </c>
      <c r="P574" s="206">
        <f t="shared" si="269"/>
        <v>92</v>
      </c>
      <c r="Q574" s="206" t="str">
        <f t="shared" si="270"/>
        <v>HW</v>
      </c>
      <c r="R574" s="206" t="str">
        <f t="shared" si="271"/>
        <v>HW</v>
      </c>
      <c r="S574" s="206" t="str">
        <f t="shared" si="272"/>
        <v>HW</v>
      </c>
      <c r="T574" s="206" t="str">
        <f t="shared" si="273"/>
        <v>HL</v>
      </c>
      <c r="U574" s="206" t="str">
        <f t="shared" si="274"/>
        <v>U</v>
      </c>
      <c r="V574" s="206" t="str">
        <f t="shared" si="275"/>
        <v>O</v>
      </c>
      <c r="W574" s="206" t="str">
        <f t="shared" si="276"/>
        <v>U</v>
      </c>
      <c r="X574" s="206" t="str">
        <f t="shared" si="277"/>
        <v>U</v>
      </c>
      <c r="Y574" s="206"/>
      <c r="Z574" s="206">
        <v>54.5</v>
      </c>
      <c r="AA574" s="206" t="str">
        <f t="shared" si="267"/>
        <v>UTA/CHA</v>
      </c>
    </row>
    <row r="575" spans="1:27" x14ac:dyDescent="0.45">
      <c r="A575" s="206">
        <v>200111</v>
      </c>
      <c r="B575" s="44">
        <v>0.48958333333333331</v>
      </c>
      <c r="C575" s="206" t="s">
        <v>397</v>
      </c>
      <c r="D575" s="206" t="s">
        <v>419</v>
      </c>
      <c r="E575" s="206">
        <v>27</v>
      </c>
      <c r="F575" s="206">
        <v>31</v>
      </c>
      <c r="G575" s="206">
        <v>28</v>
      </c>
      <c r="H575" s="206">
        <v>28</v>
      </c>
      <c r="I575" s="206"/>
      <c r="J575" s="206">
        <v>45</v>
      </c>
      <c r="K575" s="206">
        <v>34</v>
      </c>
      <c r="L575" s="206">
        <v>20</v>
      </c>
      <c r="M575" s="206">
        <v>30</v>
      </c>
      <c r="N575" s="206" t="s">
        <v>427</v>
      </c>
      <c r="O575" s="206">
        <f t="shared" si="268"/>
        <v>114</v>
      </c>
      <c r="P575" s="206">
        <f t="shared" si="269"/>
        <v>129</v>
      </c>
      <c r="Q575" s="206" t="str">
        <f t="shared" si="270"/>
        <v>HL</v>
      </c>
      <c r="R575" s="206" t="str">
        <f t="shared" si="271"/>
        <v>HL</v>
      </c>
      <c r="S575" s="206" t="str">
        <f t="shared" si="272"/>
        <v>HW</v>
      </c>
      <c r="T575" s="206" t="str">
        <f t="shared" si="273"/>
        <v>HL</v>
      </c>
      <c r="U575" s="206" t="str">
        <f t="shared" si="274"/>
        <v>O</v>
      </c>
      <c r="V575" s="206" t="str">
        <f t="shared" si="275"/>
        <v>O</v>
      </c>
      <c r="W575" s="206" t="str">
        <f t="shared" si="276"/>
        <v>U</v>
      </c>
      <c r="X575" s="206" t="str">
        <f t="shared" si="277"/>
        <v>O</v>
      </c>
      <c r="Y575" s="206"/>
      <c r="Z575" s="206">
        <v>57</v>
      </c>
      <c r="AA575" s="206" t="str">
        <f t="shared" si="267"/>
        <v>DAL/LAL</v>
      </c>
    </row>
    <row r="576" spans="1:27" x14ac:dyDescent="0.45">
      <c r="A576" s="206">
        <v>200111</v>
      </c>
      <c r="B576" s="44">
        <v>0.5</v>
      </c>
      <c r="C576" s="206" t="s">
        <v>416</v>
      </c>
      <c r="D576" s="206" t="s">
        <v>423</v>
      </c>
      <c r="E576" s="206">
        <v>18</v>
      </c>
      <c r="F576" s="206">
        <v>26</v>
      </c>
      <c r="G576" s="206">
        <v>31</v>
      </c>
      <c r="H576" s="206">
        <v>31</v>
      </c>
      <c r="I576" s="206"/>
      <c r="J576" s="206">
        <v>34</v>
      </c>
      <c r="K576" s="206">
        <v>19</v>
      </c>
      <c r="L576" s="206">
        <v>37</v>
      </c>
      <c r="M576" s="206">
        <v>37</v>
      </c>
      <c r="N576" s="206" t="s">
        <v>427</v>
      </c>
      <c r="O576" s="206">
        <f t="shared" si="268"/>
        <v>106</v>
      </c>
      <c r="P576" s="206">
        <f t="shared" si="269"/>
        <v>127</v>
      </c>
      <c r="Q576" s="206" t="str">
        <f t="shared" si="270"/>
        <v>HL</v>
      </c>
      <c r="R576" s="206" t="str">
        <f t="shared" si="271"/>
        <v>HW</v>
      </c>
      <c r="S576" s="206" t="str">
        <f t="shared" si="272"/>
        <v>HL</v>
      </c>
      <c r="T576" s="206" t="str">
        <f t="shared" si="273"/>
        <v>HL</v>
      </c>
      <c r="U576" s="206" t="str">
        <f t="shared" si="274"/>
        <v>U</v>
      </c>
      <c r="V576" s="206" t="str">
        <f t="shared" si="275"/>
        <v>U</v>
      </c>
      <c r="W576" s="206" t="str">
        <f t="shared" si="276"/>
        <v>O</v>
      </c>
      <c r="X576" s="206" t="str">
        <f t="shared" si="277"/>
        <v>O</v>
      </c>
      <c r="Y576" s="206"/>
      <c r="Z576" s="206">
        <v>55</v>
      </c>
      <c r="AA576" s="206" t="str">
        <f t="shared" si="267"/>
        <v>SAC/MIL</v>
      </c>
    </row>
    <row r="577" spans="1:27" x14ac:dyDescent="0.45">
      <c r="A577" s="206">
        <v>200111</v>
      </c>
      <c r="B577" s="44">
        <v>0.52083333333333337</v>
      </c>
      <c r="C577" s="206" t="s">
        <v>415</v>
      </c>
      <c r="D577" s="206" t="s">
        <v>425</v>
      </c>
      <c r="E577" s="206">
        <v>22</v>
      </c>
      <c r="F577" s="206">
        <v>26</v>
      </c>
      <c r="G577" s="206">
        <v>25</v>
      </c>
      <c r="H577" s="206">
        <v>36</v>
      </c>
      <c r="I577" s="206"/>
      <c r="J577" s="206">
        <v>20</v>
      </c>
      <c r="K577" s="206">
        <v>33</v>
      </c>
      <c r="L577" s="206">
        <v>30</v>
      </c>
      <c r="M577" s="206">
        <v>17</v>
      </c>
      <c r="N577" s="206" t="s">
        <v>427</v>
      </c>
      <c r="O577" s="206">
        <f t="shared" si="268"/>
        <v>109</v>
      </c>
      <c r="P577" s="206">
        <f t="shared" si="269"/>
        <v>100</v>
      </c>
      <c r="Q577" s="206" t="str">
        <f t="shared" si="270"/>
        <v>HW</v>
      </c>
      <c r="R577" s="206" t="str">
        <f t="shared" si="271"/>
        <v>HL</v>
      </c>
      <c r="S577" s="206" t="str">
        <f t="shared" si="272"/>
        <v>HL</v>
      </c>
      <c r="T577" s="206" t="str">
        <f t="shared" si="273"/>
        <v>HW</v>
      </c>
      <c r="U577" s="206" t="str">
        <f t="shared" si="274"/>
        <v>U</v>
      </c>
      <c r="V577" s="206" t="str">
        <f t="shared" si="275"/>
        <v>O</v>
      </c>
      <c r="W577" s="206" t="str">
        <f t="shared" si="276"/>
        <v>U</v>
      </c>
      <c r="X577" s="206" t="str">
        <f t="shared" si="277"/>
        <v>U</v>
      </c>
      <c r="Y577" s="206"/>
      <c r="Z577" s="206">
        <v>56</v>
      </c>
      <c r="AA577" s="206" t="str">
        <f t="shared" si="267"/>
        <v>LAC/GS</v>
      </c>
    </row>
    <row r="578" spans="1:27" x14ac:dyDescent="0.45">
      <c r="A578" s="206">
        <v>200112</v>
      </c>
      <c r="B578" s="44">
        <v>0.29166666666666669</v>
      </c>
      <c r="C578" s="206" t="s">
        <v>403</v>
      </c>
      <c r="D578" s="206" t="s">
        <v>420</v>
      </c>
      <c r="E578" s="206">
        <v>22</v>
      </c>
      <c r="F578" s="206">
        <v>35</v>
      </c>
      <c r="G578" s="206">
        <v>45</v>
      </c>
      <c r="H578" s="206">
        <v>37</v>
      </c>
      <c r="I578" s="206"/>
      <c r="J578" s="206">
        <v>20</v>
      </c>
      <c r="K578" s="206">
        <v>21</v>
      </c>
      <c r="L578" s="206">
        <v>35</v>
      </c>
      <c r="M578" s="206">
        <v>33</v>
      </c>
      <c r="N578" s="206" t="s">
        <v>427</v>
      </c>
      <c r="O578" s="206">
        <f t="shared" si="268"/>
        <v>139</v>
      </c>
      <c r="P578" s="206">
        <f t="shared" si="269"/>
        <v>109</v>
      </c>
      <c r="Q578" s="206" t="str">
        <f t="shared" si="270"/>
        <v>HW</v>
      </c>
      <c r="R578" s="206" t="str">
        <f t="shared" si="271"/>
        <v>HW</v>
      </c>
      <c r="S578" s="206" t="str">
        <f t="shared" si="272"/>
        <v>HW</v>
      </c>
      <c r="T578" s="206" t="str">
        <f t="shared" si="273"/>
        <v>HW</v>
      </c>
      <c r="U578" s="206" t="str">
        <f t="shared" si="274"/>
        <v>U</v>
      </c>
      <c r="V578" s="206" t="str">
        <f t="shared" si="275"/>
        <v>U</v>
      </c>
      <c r="W578" s="206" t="str">
        <f t="shared" si="276"/>
        <v>O</v>
      </c>
      <c r="X578" s="206" t="str">
        <f t="shared" si="277"/>
        <v>O</v>
      </c>
      <c r="Y578" s="206"/>
      <c r="Z578" s="206">
        <v>60</v>
      </c>
      <c r="AA578" s="206" t="str">
        <f t="shared" si="267"/>
        <v>HOU/MIN</v>
      </c>
    </row>
    <row r="579" spans="1:27" x14ac:dyDescent="0.45">
      <c r="A579" s="206">
        <v>200112</v>
      </c>
      <c r="B579" s="44">
        <v>0.375</v>
      </c>
      <c r="C579" s="206" t="s">
        <v>421</v>
      </c>
      <c r="D579" s="206" t="s">
        <v>398</v>
      </c>
      <c r="E579" s="206">
        <v>41</v>
      </c>
      <c r="F579" s="206">
        <v>31</v>
      </c>
      <c r="G579" s="206">
        <v>42</v>
      </c>
      <c r="H579" s="206">
        <v>26</v>
      </c>
      <c r="I579" s="206"/>
      <c r="J579" s="206">
        <v>24</v>
      </c>
      <c r="K579" s="206">
        <v>33</v>
      </c>
      <c r="L579" s="206">
        <v>25</v>
      </c>
      <c r="M579" s="206">
        <v>23</v>
      </c>
      <c r="N579" s="206" t="s">
        <v>427</v>
      </c>
      <c r="O579" s="206">
        <f t="shared" si="268"/>
        <v>140</v>
      </c>
      <c r="P579" s="206">
        <f t="shared" si="269"/>
        <v>105</v>
      </c>
      <c r="Q579" s="206" t="str">
        <f t="shared" si="270"/>
        <v>HW</v>
      </c>
      <c r="R579" s="206" t="str">
        <f t="shared" si="271"/>
        <v>HL</v>
      </c>
      <c r="S579" s="206" t="str">
        <f t="shared" si="272"/>
        <v>HW</v>
      </c>
      <c r="T579" s="206" t="str">
        <f t="shared" si="273"/>
        <v>HW</v>
      </c>
      <c r="U579" s="206" t="str">
        <f t="shared" si="274"/>
        <v>O</v>
      </c>
      <c r="V579" s="206" t="str">
        <f t="shared" si="275"/>
        <v>O</v>
      </c>
      <c r="W579" s="206" t="str">
        <f t="shared" si="276"/>
        <v>O</v>
      </c>
      <c r="X579" s="206" t="str">
        <f t="shared" si="277"/>
        <v>U</v>
      </c>
      <c r="Y579" s="206"/>
      <c r="Z579" s="206">
        <v>57.5</v>
      </c>
      <c r="AA579" s="206" t="str">
        <f t="shared" si="267"/>
        <v>BOS/NO</v>
      </c>
    </row>
    <row r="580" spans="1:27" x14ac:dyDescent="0.45">
      <c r="A580" s="206">
        <v>200112</v>
      </c>
      <c r="B580" s="44">
        <v>0.375</v>
      </c>
      <c r="C580" s="206" t="s">
        <v>422</v>
      </c>
      <c r="D580" s="206" t="s">
        <v>412</v>
      </c>
      <c r="E580" s="206">
        <v>20</v>
      </c>
      <c r="F580" s="206">
        <v>29</v>
      </c>
      <c r="G580" s="206">
        <v>22</v>
      </c>
      <c r="H580" s="206">
        <v>28</v>
      </c>
      <c r="I580" s="206"/>
      <c r="J580" s="206">
        <v>35</v>
      </c>
      <c r="K580" s="206">
        <v>26</v>
      </c>
      <c r="L580" s="206">
        <v>20</v>
      </c>
      <c r="M580" s="206">
        <v>27</v>
      </c>
      <c r="N580" s="206" t="s">
        <v>427</v>
      </c>
      <c r="O580" s="206">
        <f t="shared" si="268"/>
        <v>99</v>
      </c>
      <c r="P580" s="206">
        <f t="shared" si="269"/>
        <v>108</v>
      </c>
      <c r="Q580" s="206" t="str">
        <f t="shared" si="270"/>
        <v>HL</v>
      </c>
      <c r="R580" s="206" t="str">
        <f t="shared" si="271"/>
        <v>HW</v>
      </c>
      <c r="S580" s="206" t="str">
        <f t="shared" si="272"/>
        <v>HW</v>
      </c>
      <c r="T580" s="206" t="str">
        <f t="shared" si="273"/>
        <v>HW</v>
      </c>
      <c r="U580" s="206" t="str">
        <f t="shared" si="274"/>
        <v>U</v>
      </c>
      <c r="V580" s="206" t="str">
        <f t="shared" si="275"/>
        <v>U</v>
      </c>
      <c r="W580" s="206" t="str">
        <f t="shared" si="276"/>
        <v>U</v>
      </c>
      <c r="X580" s="206" t="str">
        <f t="shared" si="277"/>
        <v>U</v>
      </c>
      <c r="Y580" s="206"/>
      <c r="Z580" s="206">
        <v>55.5</v>
      </c>
      <c r="AA580" s="206" t="str">
        <f t="shared" si="267"/>
        <v>DET/CHI</v>
      </c>
    </row>
    <row r="581" spans="1:27" x14ac:dyDescent="0.45">
      <c r="A581" s="206">
        <v>200112</v>
      </c>
      <c r="B581" s="44">
        <v>0.41666666666666669</v>
      </c>
      <c r="C581" s="206" t="s">
        <v>418</v>
      </c>
      <c r="D581" s="206" t="s">
        <v>419</v>
      </c>
      <c r="E581" s="206">
        <v>19</v>
      </c>
      <c r="F581" s="206">
        <v>30</v>
      </c>
      <c r="G581" s="206">
        <v>33</v>
      </c>
      <c r="H581" s="206">
        <v>28</v>
      </c>
      <c r="I581" s="206"/>
      <c r="J581" s="206">
        <v>41</v>
      </c>
      <c r="K581" s="206">
        <v>32</v>
      </c>
      <c r="L581" s="206">
        <v>29</v>
      </c>
      <c r="M581" s="206">
        <v>23</v>
      </c>
      <c r="N581" s="206" t="s">
        <v>427</v>
      </c>
      <c r="O581" s="206">
        <f t="shared" si="268"/>
        <v>110</v>
      </c>
      <c r="P581" s="206">
        <f t="shared" si="269"/>
        <v>125</v>
      </c>
      <c r="Q581" s="206" t="str">
        <f t="shared" si="270"/>
        <v>HL</v>
      </c>
      <c r="R581" s="206" t="str">
        <f t="shared" si="271"/>
        <v>HL</v>
      </c>
      <c r="S581" s="206" t="str">
        <f t="shared" si="272"/>
        <v>HW</v>
      </c>
      <c r="T581" s="206" t="str">
        <f t="shared" si="273"/>
        <v>HW</v>
      </c>
      <c r="U581" s="206" t="str">
        <f t="shared" si="274"/>
        <v>O</v>
      </c>
      <c r="V581" s="206" t="str">
        <f t="shared" si="275"/>
        <v>O</v>
      </c>
      <c r="W581" s="206" t="str">
        <f t="shared" si="276"/>
        <v>O</v>
      </c>
      <c r="X581" s="206" t="str">
        <f t="shared" si="277"/>
        <v>U</v>
      </c>
      <c r="Y581" s="206"/>
      <c r="Z581" s="206">
        <v>55</v>
      </c>
      <c r="AA581" s="206" t="str">
        <f t="shared" si="267"/>
        <v>OKC/LAL</v>
      </c>
    </row>
    <row r="582" spans="1:27" x14ac:dyDescent="0.45">
      <c r="A582" s="206">
        <v>200112</v>
      </c>
      <c r="B582" s="44">
        <v>0.4375</v>
      </c>
      <c r="C582" s="206" t="s">
        <v>397</v>
      </c>
      <c r="D582" s="206" t="s">
        <v>401</v>
      </c>
      <c r="E582" s="206">
        <v>20</v>
      </c>
      <c r="F582" s="206">
        <v>21</v>
      </c>
      <c r="G582" s="206">
        <v>32</v>
      </c>
      <c r="H582" s="206">
        <v>36</v>
      </c>
      <c r="I582" s="206"/>
      <c r="J582" s="206">
        <v>22</v>
      </c>
      <c r="K582" s="206">
        <v>28</v>
      </c>
      <c r="L582" s="206">
        <v>16</v>
      </c>
      <c r="M582" s="206">
        <v>25</v>
      </c>
      <c r="N582" s="206" t="s">
        <v>427</v>
      </c>
      <c r="O582" s="206">
        <f t="shared" si="268"/>
        <v>109</v>
      </c>
      <c r="P582" s="206">
        <f t="shared" si="269"/>
        <v>91</v>
      </c>
      <c r="Q582" s="206" t="str">
        <f t="shared" si="270"/>
        <v>HL</v>
      </c>
      <c r="R582" s="206" t="str">
        <f t="shared" si="271"/>
        <v>HL</v>
      </c>
      <c r="S582" s="206" t="str">
        <f t="shared" si="272"/>
        <v>HW</v>
      </c>
      <c r="T582" s="206" t="str">
        <f t="shared" si="273"/>
        <v>HW</v>
      </c>
      <c r="U582" s="206" t="str">
        <f t="shared" si="274"/>
        <v>U</v>
      </c>
      <c r="V582" s="206" t="str">
        <f t="shared" si="275"/>
        <v>U</v>
      </c>
      <c r="W582" s="206" t="str">
        <f t="shared" si="276"/>
        <v>U</v>
      </c>
      <c r="X582" s="206" t="str">
        <f t="shared" si="277"/>
        <v>O</v>
      </c>
      <c r="Y582" s="206"/>
      <c r="Z582" s="206">
        <v>55.5</v>
      </c>
      <c r="AA582" s="206" t="str">
        <f t="shared" si="267"/>
        <v>DAL/PHI</v>
      </c>
    </row>
    <row r="583" spans="1:27" x14ac:dyDescent="0.45">
      <c r="A583" s="206">
        <v>200112</v>
      </c>
      <c r="B583" s="44">
        <v>0.45833333333333331</v>
      </c>
      <c r="C583" s="206" t="s">
        <v>408</v>
      </c>
      <c r="D583" s="206" t="s">
        <v>402</v>
      </c>
      <c r="E583" s="206">
        <v>18</v>
      </c>
      <c r="F583" s="206">
        <v>24</v>
      </c>
      <c r="G583" s="206">
        <v>29</v>
      </c>
      <c r="H583" s="206">
        <v>32</v>
      </c>
      <c r="I583" s="206"/>
      <c r="J583" s="206">
        <v>23</v>
      </c>
      <c r="K583" s="206">
        <v>28</v>
      </c>
      <c r="L583" s="206">
        <v>34</v>
      </c>
      <c r="M583" s="206">
        <v>26</v>
      </c>
      <c r="N583" s="206" t="s">
        <v>427</v>
      </c>
      <c r="O583" s="206">
        <f t="shared" si="268"/>
        <v>103</v>
      </c>
      <c r="P583" s="206">
        <f t="shared" si="269"/>
        <v>111</v>
      </c>
      <c r="Q583" s="206" t="str">
        <f t="shared" si="270"/>
        <v>HL</v>
      </c>
      <c r="R583" s="206" t="str">
        <f t="shared" si="271"/>
        <v>HL</v>
      </c>
      <c r="S583" s="206" t="str">
        <f t="shared" si="272"/>
        <v>HL</v>
      </c>
      <c r="T583" s="206" t="str">
        <f t="shared" si="273"/>
        <v>HW</v>
      </c>
      <c r="U583" s="206" t="str">
        <f t="shared" si="274"/>
        <v>U</v>
      </c>
      <c r="V583" s="206" t="str">
        <f t="shared" si="275"/>
        <v>U</v>
      </c>
      <c r="W583" s="206" t="str">
        <f t="shared" si="276"/>
        <v>O</v>
      </c>
      <c r="X583" s="206" t="str">
        <f t="shared" si="277"/>
        <v>O</v>
      </c>
      <c r="Y583" s="206"/>
      <c r="Z583" s="206">
        <v>53</v>
      </c>
      <c r="AA583" s="206" t="str">
        <f t="shared" si="267"/>
        <v>DEN/CLE</v>
      </c>
    </row>
    <row r="584" spans="1:27" x14ac:dyDescent="0.45">
      <c r="A584" s="206">
        <v>200112</v>
      </c>
      <c r="B584" s="44">
        <v>0.5</v>
      </c>
      <c r="C584" s="206" t="s">
        <v>417</v>
      </c>
      <c r="D584" s="206" t="s">
        <v>423</v>
      </c>
      <c r="E584" s="206">
        <v>24</v>
      </c>
      <c r="F584" s="206">
        <v>31</v>
      </c>
      <c r="G584" s="206">
        <v>25</v>
      </c>
      <c r="H584" s="206">
        <v>21</v>
      </c>
      <c r="I584" s="206"/>
      <c r="J584" s="206">
        <v>32</v>
      </c>
      <c r="K584" s="206">
        <v>32</v>
      </c>
      <c r="L584" s="206">
        <v>33</v>
      </c>
      <c r="M584" s="206">
        <v>25</v>
      </c>
      <c r="N584" s="206" t="s">
        <v>427</v>
      </c>
      <c r="O584" s="206">
        <f t="shared" si="268"/>
        <v>101</v>
      </c>
      <c r="P584" s="206">
        <f t="shared" si="269"/>
        <v>122</v>
      </c>
      <c r="Q584" s="206" t="str">
        <f t="shared" si="270"/>
        <v>HL</v>
      </c>
      <c r="R584" s="206" t="str">
        <f t="shared" si="271"/>
        <v>HL</v>
      </c>
      <c r="S584" s="206" t="str">
        <f t="shared" si="272"/>
        <v>HL</v>
      </c>
      <c r="T584" s="206" t="str">
        <f t="shared" si="273"/>
        <v>HL</v>
      </c>
      <c r="U584" s="206" t="str">
        <f t="shared" si="274"/>
        <v>U</v>
      </c>
      <c r="V584" s="206" t="str">
        <f t="shared" si="275"/>
        <v>O</v>
      </c>
      <c r="W584" s="206" t="str">
        <f t="shared" si="276"/>
        <v>O</v>
      </c>
      <c r="X584" s="206" t="str">
        <f t="shared" si="277"/>
        <v>U</v>
      </c>
      <c r="Y584" s="206"/>
      <c r="Z584" s="206">
        <v>57</v>
      </c>
      <c r="AA584" s="206" t="str">
        <f t="shared" si="267"/>
        <v>POR/MIL</v>
      </c>
    </row>
    <row r="585" spans="1:27" x14ac:dyDescent="0.45">
      <c r="A585" s="206">
        <v>200113</v>
      </c>
      <c r="B585" s="44">
        <v>0.22916666666666666</v>
      </c>
      <c r="C585" s="206" t="s">
        <v>399</v>
      </c>
      <c r="D585" s="206" t="s">
        <v>411</v>
      </c>
      <c r="E585" s="206">
        <v>27</v>
      </c>
      <c r="F585" s="206">
        <v>28</v>
      </c>
      <c r="G585" s="206">
        <v>29</v>
      </c>
      <c r="H585" s="206">
        <v>40</v>
      </c>
      <c r="I585" s="206"/>
      <c r="J585" s="206">
        <v>31</v>
      </c>
      <c r="K585" s="206">
        <v>29</v>
      </c>
      <c r="L585" s="206">
        <v>34</v>
      </c>
      <c r="M585" s="206">
        <v>27</v>
      </c>
      <c r="N585" s="206" t="s">
        <v>427</v>
      </c>
      <c r="O585" s="206">
        <f t="shared" si="268"/>
        <v>124</v>
      </c>
      <c r="P585" s="206">
        <f t="shared" si="269"/>
        <v>121</v>
      </c>
      <c r="Q585" s="206" t="str">
        <f t="shared" si="270"/>
        <v>HL</v>
      </c>
      <c r="R585" s="206" t="str">
        <f t="shared" si="271"/>
        <v>HL</v>
      </c>
      <c r="S585" s="206" t="str">
        <f t="shared" si="272"/>
        <v>HL</v>
      </c>
      <c r="T585" s="206" t="str">
        <f t="shared" si="273"/>
        <v>HW</v>
      </c>
      <c r="U585" s="206" t="str">
        <f t="shared" si="274"/>
        <v>O</v>
      </c>
      <c r="V585" s="206" t="str">
        <f t="shared" si="275"/>
        <v>O</v>
      </c>
      <c r="W585" s="206" t="str">
        <f t="shared" si="276"/>
        <v>O</v>
      </c>
      <c r="X585" s="206" t="str">
        <f t="shared" si="277"/>
        <v>O</v>
      </c>
      <c r="Y585" s="206"/>
      <c r="Z585" s="206">
        <v>56</v>
      </c>
      <c r="AA585" s="206" t="str">
        <f t="shared" si="267"/>
        <v>NYK/MIA</v>
      </c>
    </row>
    <row r="586" spans="1:27" x14ac:dyDescent="0.45">
      <c r="A586" s="206">
        <v>200113</v>
      </c>
      <c r="B586" s="44">
        <v>0.22916666666666666</v>
      </c>
      <c r="C586" s="206" t="s">
        <v>414</v>
      </c>
      <c r="D586" s="206" t="s">
        <v>405</v>
      </c>
      <c r="E586" s="206">
        <v>34</v>
      </c>
      <c r="F586" s="206">
        <v>32</v>
      </c>
      <c r="G586" s="206">
        <v>25</v>
      </c>
      <c r="H586" s="206">
        <v>25</v>
      </c>
      <c r="I586" s="206"/>
      <c r="J586" s="206">
        <v>23</v>
      </c>
      <c r="K586" s="206">
        <v>32</v>
      </c>
      <c r="L586" s="206">
        <v>38</v>
      </c>
      <c r="M586" s="206">
        <v>34</v>
      </c>
      <c r="N586" s="206" t="s">
        <v>427</v>
      </c>
      <c r="O586" s="206">
        <f t="shared" si="268"/>
        <v>116</v>
      </c>
      <c r="P586" s="206">
        <f t="shared" si="269"/>
        <v>127</v>
      </c>
      <c r="Q586" s="206" t="str">
        <f t="shared" si="270"/>
        <v>HW</v>
      </c>
      <c r="R586" s="206" t="str">
        <f t="shared" si="271"/>
        <v>TT</v>
      </c>
      <c r="S586" s="206" t="str">
        <f t="shared" si="272"/>
        <v>HL</v>
      </c>
      <c r="T586" s="206" t="str">
        <f t="shared" si="273"/>
        <v>HL</v>
      </c>
      <c r="U586" s="206" t="str">
        <f t="shared" si="274"/>
        <v>O</v>
      </c>
      <c r="V586" s="206" t="str">
        <f t="shared" si="275"/>
        <v>O</v>
      </c>
      <c r="W586" s="206" t="str">
        <f t="shared" si="276"/>
        <v>O</v>
      </c>
      <c r="X586" s="206" t="str">
        <f t="shared" si="277"/>
        <v>O</v>
      </c>
      <c r="Y586" s="206"/>
      <c r="Z586" s="206">
        <v>55</v>
      </c>
      <c r="AA586" s="206" t="str">
        <f t="shared" si="267"/>
        <v>WAS/UTA</v>
      </c>
    </row>
    <row r="587" spans="1:27" x14ac:dyDescent="0.45">
      <c r="A587" s="206">
        <v>200113</v>
      </c>
      <c r="B587" s="44">
        <v>0.33333333333333331</v>
      </c>
      <c r="C587" s="206" t="s">
        <v>407</v>
      </c>
      <c r="D587" s="206" t="s">
        <v>410</v>
      </c>
      <c r="E587" s="206">
        <v>37</v>
      </c>
      <c r="F587" s="206">
        <v>33</v>
      </c>
      <c r="G587" s="206">
        <v>22</v>
      </c>
      <c r="H587" s="206">
        <v>16</v>
      </c>
      <c r="I587" s="206"/>
      <c r="J587" s="206">
        <v>16</v>
      </c>
      <c r="K587" s="206">
        <v>30</v>
      </c>
      <c r="L587" s="206">
        <v>20</v>
      </c>
      <c r="M587" s="206">
        <v>20</v>
      </c>
      <c r="N587" s="206" t="s">
        <v>427</v>
      </c>
      <c r="O587" s="206">
        <f t="shared" si="268"/>
        <v>108</v>
      </c>
      <c r="P587" s="206">
        <f t="shared" si="269"/>
        <v>86</v>
      </c>
      <c r="Q587" s="206" t="str">
        <f t="shared" si="270"/>
        <v>HW</v>
      </c>
      <c r="R587" s="206" t="str">
        <f t="shared" si="271"/>
        <v>HW</v>
      </c>
      <c r="S587" s="206" t="str">
        <f t="shared" si="272"/>
        <v>HW</v>
      </c>
      <c r="T587" s="206" t="str">
        <f t="shared" si="273"/>
        <v>HL</v>
      </c>
      <c r="U587" s="206" t="str">
        <f t="shared" si="274"/>
        <v>U</v>
      </c>
      <c r="V587" s="206" t="str">
        <f t="shared" si="275"/>
        <v>O</v>
      </c>
      <c r="W587" s="206" t="str">
        <f t="shared" si="276"/>
        <v>U</v>
      </c>
      <c r="X587" s="206" t="str">
        <f t="shared" si="277"/>
        <v>U</v>
      </c>
      <c r="Y587" s="206"/>
      <c r="Z587" s="206">
        <v>58</v>
      </c>
      <c r="AA587" s="206" t="str">
        <f t="shared" si="267"/>
        <v>BKN/ATL</v>
      </c>
    </row>
    <row r="588" spans="1:27" x14ac:dyDescent="0.45">
      <c r="A588" s="206">
        <v>200113</v>
      </c>
      <c r="B588" s="44">
        <v>0.33333333333333331</v>
      </c>
      <c r="C588" s="206" t="s">
        <v>413</v>
      </c>
      <c r="D588" s="206" t="s">
        <v>426</v>
      </c>
      <c r="E588" s="206">
        <v>28</v>
      </c>
      <c r="F588" s="206">
        <v>23</v>
      </c>
      <c r="G588" s="206">
        <v>31</v>
      </c>
      <c r="H588" s="206">
        <v>22</v>
      </c>
      <c r="I588" s="206"/>
      <c r="J588" s="206">
        <v>21</v>
      </c>
      <c r="K588" s="206">
        <v>22</v>
      </c>
      <c r="L588" s="206">
        <v>26</v>
      </c>
      <c r="M588" s="206">
        <v>36</v>
      </c>
      <c r="N588" s="206" t="s">
        <v>427</v>
      </c>
      <c r="O588" s="206">
        <f t="shared" si="268"/>
        <v>104</v>
      </c>
      <c r="P588" s="206">
        <f t="shared" si="269"/>
        <v>105</v>
      </c>
      <c r="Q588" s="206" t="str">
        <f t="shared" si="270"/>
        <v>HW</v>
      </c>
      <c r="R588" s="206" t="str">
        <f t="shared" si="271"/>
        <v>HW</v>
      </c>
      <c r="S588" s="206" t="str">
        <f t="shared" si="272"/>
        <v>HW</v>
      </c>
      <c r="T588" s="206" t="str">
        <f t="shared" si="273"/>
        <v>HL</v>
      </c>
      <c r="U588" s="206" t="str">
        <f t="shared" si="274"/>
        <v>U</v>
      </c>
      <c r="V588" s="206" t="str">
        <f t="shared" si="275"/>
        <v>U</v>
      </c>
      <c r="W588" s="206" t="str">
        <f t="shared" si="276"/>
        <v>O</v>
      </c>
      <c r="X588" s="206" t="str">
        <f t="shared" si="277"/>
        <v>O</v>
      </c>
      <c r="Y588" s="206"/>
      <c r="Z588" s="206">
        <v>54.5</v>
      </c>
      <c r="AA588" s="206" t="str">
        <f t="shared" ref="AA588:AA604" si="278">C588&amp;"/"&amp;D588</f>
        <v>TOR/SAS</v>
      </c>
    </row>
    <row r="589" spans="1:27" x14ac:dyDescent="0.45">
      <c r="A589" s="206">
        <v>200113</v>
      </c>
      <c r="B589" s="44">
        <v>0.33333333333333331</v>
      </c>
      <c r="C589" s="206" t="s">
        <v>406</v>
      </c>
      <c r="D589" s="206" t="s">
        <v>425</v>
      </c>
      <c r="E589" s="206">
        <v>27</v>
      </c>
      <c r="F589" s="206">
        <v>33</v>
      </c>
      <c r="G589" s="206">
        <v>35</v>
      </c>
      <c r="H589" s="206">
        <v>27</v>
      </c>
      <c r="I589" s="206"/>
      <c r="J589" s="206">
        <v>26</v>
      </c>
      <c r="K589" s="206">
        <v>33</v>
      </c>
      <c r="L589" s="206">
        <v>17</v>
      </c>
      <c r="M589" s="206">
        <v>26</v>
      </c>
      <c r="N589" s="206" t="s">
        <v>427</v>
      </c>
      <c r="O589" s="206">
        <f t="shared" si="268"/>
        <v>122</v>
      </c>
      <c r="P589" s="206">
        <f t="shared" si="269"/>
        <v>102</v>
      </c>
      <c r="Q589" s="206" t="str">
        <f t="shared" si="270"/>
        <v>HW</v>
      </c>
      <c r="R589" s="206" t="str">
        <f t="shared" si="271"/>
        <v>TT</v>
      </c>
      <c r="S589" s="206" t="str">
        <f t="shared" si="272"/>
        <v>HW</v>
      </c>
      <c r="T589" s="206" t="str">
        <f t="shared" si="273"/>
        <v>HW</v>
      </c>
      <c r="U589" s="206" t="str">
        <f t="shared" si="274"/>
        <v>U</v>
      </c>
      <c r="V589" s="206" t="str">
        <f t="shared" si="275"/>
        <v>O</v>
      </c>
      <c r="W589" s="206" t="str">
        <f t="shared" si="276"/>
        <v>U</v>
      </c>
      <c r="X589" s="206" t="str">
        <f t="shared" si="277"/>
        <v>U</v>
      </c>
      <c r="Y589" s="206"/>
      <c r="Z589" s="206">
        <v>57.5</v>
      </c>
      <c r="AA589" s="206" t="str">
        <f t="shared" si="278"/>
        <v>MEM/GS</v>
      </c>
    </row>
    <row r="590" spans="1:27" x14ac:dyDescent="0.45">
      <c r="A590" s="206">
        <v>200113</v>
      </c>
      <c r="B590" s="44">
        <v>0.41666666666666669</v>
      </c>
      <c r="C590" s="206" t="s">
        <v>408</v>
      </c>
      <c r="D590" s="206" t="s">
        <v>415</v>
      </c>
      <c r="E590" s="206">
        <v>29</v>
      </c>
      <c r="F590" s="206">
        <v>37</v>
      </c>
      <c r="G590" s="206">
        <v>23</v>
      </c>
      <c r="H590" s="206">
        <v>25</v>
      </c>
      <c r="I590" s="206"/>
      <c r="J590" s="206">
        <v>30</v>
      </c>
      <c r="K590" s="206">
        <v>22</v>
      </c>
      <c r="L590" s="206">
        <v>22</v>
      </c>
      <c r="M590" s="206">
        <v>30</v>
      </c>
      <c r="N590" s="206" t="s">
        <v>427</v>
      </c>
      <c r="O590" s="206">
        <f t="shared" si="268"/>
        <v>114</v>
      </c>
      <c r="P590" s="206">
        <f t="shared" si="269"/>
        <v>104</v>
      </c>
      <c r="Q590" s="206" t="str">
        <f t="shared" si="270"/>
        <v>HL</v>
      </c>
      <c r="R590" s="206" t="str">
        <f t="shared" si="271"/>
        <v>HW</v>
      </c>
      <c r="S590" s="206" t="str">
        <f t="shared" si="272"/>
        <v>HW</v>
      </c>
      <c r="T590" s="206" t="str">
        <f t="shared" si="273"/>
        <v>HL</v>
      </c>
      <c r="U590" s="206" t="str">
        <f t="shared" si="274"/>
        <v>O</v>
      </c>
      <c r="V590" s="206" t="str">
        <f t="shared" si="275"/>
        <v>O</v>
      </c>
      <c r="W590" s="206" t="str">
        <f t="shared" si="276"/>
        <v>U</v>
      </c>
      <c r="X590" s="206" t="str">
        <f t="shared" si="277"/>
        <v>U</v>
      </c>
      <c r="Y590" s="206"/>
      <c r="Z590" s="206">
        <v>57</v>
      </c>
      <c r="AA590" s="206" t="str">
        <f t="shared" si="278"/>
        <v>DEN/LAC</v>
      </c>
    </row>
    <row r="591" spans="1:27" x14ac:dyDescent="0.45">
      <c r="A591" s="206">
        <v>200113</v>
      </c>
      <c r="B591" s="44">
        <v>0.41666666666666669</v>
      </c>
      <c r="C591" s="206" t="s">
        <v>404</v>
      </c>
      <c r="D591" s="206" t="s">
        <v>409</v>
      </c>
      <c r="E591" s="206">
        <v>18</v>
      </c>
      <c r="F591" s="206">
        <v>28</v>
      </c>
      <c r="G591" s="206">
        <v>25</v>
      </c>
      <c r="H591" s="206">
        <v>29</v>
      </c>
      <c r="I591" s="206"/>
      <c r="J591" s="206">
        <v>24</v>
      </c>
      <c r="K591" s="206">
        <v>21</v>
      </c>
      <c r="L591" s="206">
        <v>26</v>
      </c>
      <c r="M591" s="206">
        <v>21</v>
      </c>
      <c r="N591" s="206" t="s">
        <v>427</v>
      </c>
      <c r="O591" s="206">
        <f t="shared" si="268"/>
        <v>100</v>
      </c>
      <c r="P591" s="206">
        <f t="shared" si="269"/>
        <v>92</v>
      </c>
      <c r="Q591" s="206" t="str">
        <f t="shared" si="270"/>
        <v>HL</v>
      </c>
      <c r="R591" s="206" t="str">
        <f t="shared" si="271"/>
        <v>HW</v>
      </c>
      <c r="S591" s="206" t="str">
        <f t="shared" si="272"/>
        <v>HL</v>
      </c>
      <c r="T591" s="206" t="str">
        <f t="shared" si="273"/>
        <v>HW</v>
      </c>
      <c r="U591" s="206" t="str">
        <f t="shared" si="274"/>
        <v>U</v>
      </c>
      <c r="V591" s="206" t="str">
        <f t="shared" si="275"/>
        <v>U</v>
      </c>
      <c r="W591" s="206" t="str">
        <f t="shared" si="276"/>
        <v>U</v>
      </c>
      <c r="X591" s="206" t="str">
        <f t="shared" si="277"/>
        <v>U</v>
      </c>
      <c r="Y591" s="206"/>
      <c r="Z591" s="206">
        <v>55.5</v>
      </c>
      <c r="AA591" s="206" t="str">
        <f t="shared" si="278"/>
        <v>PHO/CHA</v>
      </c>
    </row>
    <row r="592" spans="1:27" x14ac:dyDescent="0.45">
      <c r="A592" s="206">
        <v>200114</v>
      </c>
      <c r="B592" s="44">
        <v>0.375</v>
      </c>
      <c r="C592" s="206" t="s">
        <v>422</v>
      </c>
      <c r="D592" s="206" t="s">
        <v>398</v>
      </c>
      <c r="E592" s="206">
        <v>23</v>
      </c>
      <c r="F592" s="206">
        <v>29</v>
      </c>
      <c r="G592" s="206">
        <v>25</v>
      </c>
      <c r="H592" s="206">
        <v>25</v>
      </c>
      <c r="I592" s="206">
        <v>8</v>
      </c>
      <c r="J592" s="206">
        <v>32</v>
      </c>
      <c r="K592" s="206">
        <v>31</v>
      </c>
      <c r="L592" s="206">
        <v>26</v>
      </c>
      <c r="M592" s="206">
        <v>13</v>
      </c>
      <c r="N592" s="206">
        <v>15</v>
      </c>
      <c r="O592" s="206">
        <f t="shared" si="268"/>
        <v>110</v>
      </c>
      <c r="P592" s="206">
        <f t="shared" si="269"/>
        <v>117</v>
      </c>
      <c r="Q592" s="206" t="str">
        <f t="shared" si="270"/>
        <v>HL</v>
      </c>
      <c r="R592" s="206" t="str">
        <f t="shared" si="271"/>
        <v>HL</v>
      </c>
      <c r="S592" s="206" t="str">
        <f t="shared" si="272"/>
        <v>HL</v>
      </c>
      <c r="T592" s="206" t="str">
        <f t="shared" si="273"/>
        <v>HW</v>
      </c>
      <c r="U592" s="206" t="str">
        <f t="shared" si="274"/>
        <v>U</v>
      </c>
      <c r="V592" s="206" t="str">
        <f t="shared" si="275"/>
        <v>O</v>
      </c>
      <c r="W592" s="206" t="str">
        <f t="shared" si="276"/>
        <v>U</v>
      </c>
      <c r="X592" s="206" t="str">
        <f t="shared" si="277"/>
        <v>U</v>
      </c>
      <c r="Y592" s="206"/>
      <c r="Z592" s="206">
        <v>57</v>
      </c>
      <c r="AA592" s="206" t="str">
        <f t="shared" si="278"/>
        <v>DET/NO</v>
      </c>
    </row>
    <row r="593" spans="1:27" x14ac:dyDescent="0.45">
      <c r="A593" s="206">
        <v>200114</v>
      </c>
      <c r="B593" s="44">
        <v>0.375</v>
      </c>
      <c r="C593" s="206" t="s">
        <v>400</v>
      </c>
      <c r="D593" s="206" t="s">
        <v>401</v>
      </c>
      <c r="E593" s="206">
        <v>22</v>
      </c>
      <c r="F593" s="206">
        <v>18</v>
      </c>
      <c r="G593" s="206">
        <v>29</v>
      </c>
      <c r="H593" s="206">
        <v>32</v>
      </c>
      <c r="I593" s="206"/>
      <c r="J593" s="206">
        <v>23</v>
      </c>
      <c r="K593" s="206">
        <v>26</v>
      </c>
      <c r="L593" s="206">
        <v>20</v>
      </c>
      <c r="M593" s="206">
        <v>26</v>
      </c>
      <c r="N593" s="206" t="s">
        <v>427</v>
      </c>
      <c r="O593" s="206">
        <f t="shared" si="268"/>
        <v>101</v>
      </c>
      <c r="P593" s="206">
        <f t="shared" si="269"/>
        <v>95</v>
      </c>
      <c r="Q593" s="206" t="str">
        <f t="shared" si="270"/>
        <v>HL</v>
      </c>
      <c r="R593" s="206" t="str">
        <f t="shared" si="271"/>
        <v>HL</v>
      </c>
      <c r="S593" s="206" t="str">
        <f t="shared" si="272"/>
        <v>HW</v>
      </c>
      <c r="T593" s="206" t="str">
        <f t="shared" si="273"/>
        <v>HW</v>
      </c>
      <c r="U593" s="206" t="str">
        <f t="shared" si="274"/>
        <v>U</v>
      </c>
      <c r="V593" s="206" t="str">
        <f t="shared" si="275"/>
        <v>U</v>
      </c>
      <c r="W593" s="206" t="str">
        <f t="shared" si="276"/>
        <v>U</v>
      </c>
      <c r="X593" s="206" t="str">
        <f t="shared" si="277"/>
        <v>O</v>
      </c>
      <c r="Y593" s="206"/>
      <c r="Z593" s="206">
        <v>53</v>
      </c>
      <c r="AA593" s="206" t="str">
        <f t="shared" si="278"/>
        <v>IND/PHI</v>
      </c>
    </row>
    <row r="594" spans="1:27" x14ac:dyDescent="0.45">
      <c r="A594" s="206">
        <v>200114</v>
      </c>
      <c r="B594" s="44">
        <v>0.39583333333333331</v>
      </c>
      <c r="C594" s="206" t="s">
        <v>421</v>
      </c>
      <c r="D594" s="206" t="s">
        <v>412</v>
      </c>
      <c r="E594" s="206">
        <v>28</v>
      </c>
      <c r="F594" s="206">
        <v>27</v>
      </c>
      <c r="G594" s="206">
        <v>28</v>
      </c>
      <c r="H594" s="206">
        <v>30</v>
      </c>
      <c r="I594" s="206"/>
      <c r="J594" s="206">
        <v>14</v>
      </c>
      <c r="K594" s="206">
        <v>23</v>
      </c>
      <c r="L594" s="206">
        <v>34</v>
      </c>
      <c r="M594" s="206">
        <v>30</v>
      </c>
      <c r="N594" s="206" t="s">
        <v>427</v>
      </c>
      <c r="O594" s="206">
        <f t="shared" si="268"/>
        <v>113</v>
      </c>
      <c r="P594" s="206">
        <f t="shared" si="269"/>
        <v>101</v>
      </c>
      <c r="Q594" s="206" t="str">
        <f t="shared" si="270"/>
        <v>HW</v>
      </c>
      <c r="R594" s="206" t="str">
        <f t="shared" si="271"/>
        <v>HW</v>
      </c>
      <c r="S594" s="206" t="str">
        <f t="shared" si="272"/>
        <v>HL</v>
      </c>
      <c r="T594" s="206" t="str">
        <f t="shared" si="273"/>
        <v>TT</v>
      </c>
      <c r="U594" s="206" t="str">
        <f t="shared" si="274"/>
        <v>U</v>
      </c>
      <c r="V594" s="206" t="str">
        <f t="shared" si="275"/>
        <v>U</v>
      </c>
      <c r="W594" s="206" t="str">
        <f t="shared" si="276"/>
        <v>O</v>
      </c>
      <c r="X594" s="206" t="str">
        <f t="shared" si="277"/>
        <v>O</v>
      </c>
      <c r="Y594" s="206"/>
      <c r="Z594" s="206">
        <v>55.5</v>
      </c>
      <c r="AA594" s="206" t="str">
        <f t="shared" si="278"/>
        <v>BOS/CHI</v>
      </c>
    </row>
    <row r="595" spans="1:27" x14ac:dyDescent="0.45">
      <c r="A595" s="206">
        <v>200114</v>
      </c>
      <c r="B595" s="44">
        <v>0.41666666666666669</v>
      </c>
      <c r="C595" s="206" t="s">
        <v>420</v>
      </c>
      <c r="D595" s="206" t="s">
        <v>418</v>
      </c>
      <c r="E595" s="206">
        <v>33</v>
      </c>
      <c r="F595" s="206">
        <v>27</v>
      </c>
      <c r="G595" s="206">
        <v>19</v>
      </c>
      <c r="H595" s="206">
        <v>25</v>
      </c>
      <c r="I595" s="206"/>
      <c r="J595" s="206">
        <v>30</v>
      </c>
      <c r="K595" s="206">
        <v>33</v>
      </c>
      <c r="L595" s="206">
        <v>29</v>
      </c>
      <c r="M595" s="206">
        <v>25</v>
      </c>
      <c r="N595" s="206" t="s">
        <v>427</v>
      </c>
      <c r="O595" s="206">
        <f t="shared" si="268"/>
        <v>104</v>
      </c>
      <c r="P595" s="206">
        <f t="shared" si="269"/>
        <v>117</v>
      </c>
      <c r="Q595" s="206" t="str">
        <f t="shared" si="270"/>
        <v>HW</v>
      </c>
      <c r="R595" s="206" t="str">
        <f t="shared" si="271"/>
        <v>HL</v>
      </c>
      <c r="S595" s="206" t="str">
        <f t="shared" si="272"/>
        <v>HL</v>
      </c>
      <c r="T595" s="206" t="str">
        <f t="shared" si="273"/>
        <v>TT</v>
      </c>
      <c r="U595" s="206" t="str">
        <f t="shared" si="274"/>
        <v>O</v>
      </c>
      <c r="V595" s="206" t="str">
        <f t="shared" si="275"/>
        <v>O</v>
      </c>
      <c r="W595" s="206" t="str">
        <f t="shared" si="276"/>
        <v>U</v>
      </c>
      <c r="X595" s="206" t="str">
        <f t="shared" si="277"/>
        <v>U</v>
      </c>
      <c r="Y595" s="206"/>
      <c r="Z595" s="206">
        <v>56</v>
      </c>
      <c r="AA595" s="206" t="str">
        <f t="shared" si="278"/>
        <v>MIN/OKC</v>
      </c>
    </row>
    <row r="596" spans="1:27" x14ac:dyDescent="0.45">
      <c r="A596" s="206">
        <v>200114</v>
      </c>
      <c r="B596" s="44">
        <v>0.5</v>
      </c>
      <c r="C596" s="206" t="s">
        <v>417</v>
      </c>
      <c r="D596" s="206" t="s">
        <v>409</v>
      </c>
      <c r="E596" s="206">
        <v>25</v>
      </c>
      <c r="F596" s="206">
        <v>37</v>
      </c>
      <c r="G596" s="206">
        <v>29</v>
      </c>
      <c r="H596" s="206">
        <v>24</v>
      </c>
      <c r="I596" s="206"/>
      <c r="J596" s="206">
        <v>26</v>
      </c>
      <c r="K596" s="206">
        <v>20</v>
      </c>
      <c r="L596" s="206">
        <v>43</v>
      </c>
      <c r="M596" s="206">
        <v>23</v>
      </c>
      <c r="N596" s="206" t="s">
        <v>427</v>
      </c>
      <c r="O596" s="206">
        <f t="shared" si="268"/>
        <v>115</v>
      </c>
      <c r="P596" s="206">
        <f t="shared" si="269"/>
        <v>112</v>
      </c>
      <c r="Q596" s="206" t="str">
        <f t="shared" si="270"/>
        <v>HL</v>
      </c>
      <c r="R596" s="206" t="str">
        <f t="shared" si="271"/>
        <v>HW</v>
      </c>
      <c r="S596" s="206" t="str">
        <f t="shared" si="272"/>
        <v>HL</v>
      </c>
      <c r="T596" s="206" t="str">
        <f t="shared" si="273"/>
        <v>HW</v>
      </c>
      <c r="U596" s="206" t="str">
        <f t="shared" si="274"/>
        <v>U</v>
      </c>
      <c r="V596" s="206" t="str">
        <f t="shared" si="275"/>
        <v>O</v>
      </c>
      <c r="W596" s="206" t="str">
        <f t="shared" si="276"/>
        <v>O</v>
      </c>
      <c r="X596" s="206" t="str">
        <f t="shared" si="277"/>
        <v>U</v>
      </c>
      <c r="Y596" s="206"/>
      <c r="Z596" s="206">
        <v>55.5</v>
      </c>
      <c r="AA596" s="206" t="str">
        <f t="shared" si="278"/>
        <v>POR/CHA</v>
      </c>
    </row>
    <row r="597" spans="1:27" x14ac:dyDescent="0.45">
      <c r="A597" s="206">
        <v>200114</v>
      </c>
      <c r="B597" s="44">
        <v>0.5</v>
      </c>
      <c r="C597" s="206" t="s">
        <v>416</v>
      </c>
      <c r="D597" s="206" t="s">
        <v>424</v>
      </c>
      <c r="E597" s="206">
        <v>25</v>
      </c>
      <c r="F597" s="206">
        <v>27</v>
      </c>
      <c r="G597" s="206">
        <v>33</v>
      </c>
      <c r="H597" s="206">
        <v>27</v>
      </c>
      <c r="I597" s="206"/>
      <c r="J597" s="206">
        <v>33</v>
      </c>
      <c r="K597" s="206">
        <v>32</v>
      </c>
      <c r="L597" s="206">
        <v>21</v>
      </c>
      <c r="M597" s="206">
        <v>28</v>
      </c>
      <c r="N597" s="206" t="s">
        <v>427</v>
      </c>
      <c r="O597" s="206">
        <f t="shared" si="268"/>
        <v>112</v>
      </c>
      <c r="P597" s="206">
        <f t="shared" si="269"/>
        <v>114</v>
      </c>
      <c r="Q597" s="206" t="str">
        <f t="shared" si="270"/>
        <v>HL</v>
      </c>
      <c r="R597" s="206" t="str">
        <f t="shared" si="271"/>
        <v>HL</v>
      </c>
      <c r="S597" s="206" t="str">
        <f t="shared" si="272"/>
        <v>HW</v>
      </c>
      <c r="T597" s="206" t="str">
        <f t="shared" si="273"/>
        <v>HL</v>
      </c>
      <c r="U597" s="206" t="str">
        <f t="shared" si="274"/>
        <v>O</v>
      </c>
      <c r="V597" s="206" t="str">
        <f t="shared" si="275"/>
        <v>O</v>
      </c>
      <c r="W597" s="206" t="str">
        <f t="shared" si="276"/>
        <v>U</v>
      </c>
      <c r="X597" s="206" t="str">
        <f t="shared" si="277"/>
        <v>O</v>
      </c>
      <c r="Y597" s="206"/>
      <c r="Z597" s="206">
        <v>54.5</v>
      </c>
      <c r="AA597" s="206" t="str">
        <f t="shared" si="278"/>
        <v>SAC/ORL</v>
      </c>
    </row>
    <row r="598" spans="1:27" x14ac:dyDescent="0.45">
      <c r="A598" s="206">
        <v>200114</v>
      </c>
      <c r="B598" s="44">
        <v>0.52083333333333337</v>
      </c>
      <c r="C598" s="206" t="s">
        <v>419</v>
      </c>
      <c r="D598" s="206" t="s">
        <v>402</v>
      </c>
      <c r="E598" s="206">
        <v>21</v>
      </c>
      <c r="F598" s="206">
        <v>26</v>
      </c>
      <c r="G598" s="206">
        <v>37</v>
      </c>
      <c r="H598" s="206">
        <v>44</v>
      </c>
      <c r="I598" s="206"/>
      <c r="J598" s="206">
        <v>27</v>
      </c>
      <c r="K598" s="206">
        <v>21</v>
      </c>
      <c r="L598" s="206">
        <v>22</v>
      </c>
      <c r="M598" s="206">
        <v>29</v>
      </c>
      <c r="N598" s="206" t="s">
        <v>427</v>
      </c>
      <c r="O598" s="206">
        <f t="shared" si="268"/>
        <v>128</v>
      </c>
      <c r="P598" s="206">
        <f t="shared" si="269"/>
        <v>99</v>
      </c>
      <c r="Q598" s="206" t="str">
        <f t="shared" si="270"/>
        <v>HL</v>
      </c>
      <c r="R598" s="206" t="str">
        <f t="shared" si="271"/>
        <v>HW</v>
      </c>
      <c r="S598" s="206" t="str">
        <f t="shared" si="272"/>
        <v>HW</v>
      </c>
      <c r="T598" s="206" t="str">
        <f t="shared" si="273"/>
        <v>HW</v>
      </c>
      <c r="U598" s="206" t="str">
        <f t="shared" si="274"/>
        <v>U</v>
      </c>
      <c r="V598" s="206" t="str">
        <f t="shared" si="275"/>
        <v>U</v>
      </c>
      <c r="W598" s="206" t="str">
        <f t="shared" si="276"/>
        <v>O</v>
      </c>
      <c r="X598" s="206" t="str">
        <f t="shared" si="277"/>
        <v>O</v>
      </c>
      <c r="Y598" s="206"/>
      <c r="Z598" s="206">
        <v>55</v>
      </c>
      <c r="AA598" s="206" t="str">
        <f t="shared" si="278"/>
        <v>LAL/CLE</v>
      </c>
    </row>
    <row r="599" spans="1:27" x14ac:dyDescent="0.45">
      <c r="A599" s="206">
        <v>200115</v>
      </c>
      <c r="B599" s="44">
        <v>0.39583333333333331</v>
      </c>
      <c r="C599" s="206" t="s">
        <v>410</v>
      </c>
      <c r="D599" s="206" t="s">
        <v>404</v>
      </c>
      <c r="E599" s="206">
        <v>28</v>
      </c>
      <c r="F599" s="206">
        <v>28</v>
      </c>
      <c r="G599" s="206">
        <v>28</v>
      </c>
      <c r="H599" s="206">
        <v>39</v>
      </c>
      <c r="I599" s="206"/>
      <c r="J599" s="206">
        <v>25</v>
      </c>
      <c r="K599" s="206">
        <v>26</v>
      </c>
      <c r="L599" s="206">
        <v>32</v>
      </c>
      <c r="M599" s="206">
        <v>27</v>
      </c>
      <c r="N599" s="206" t="s">
        <v>427</v>
      </c>
      <c r="O599" s="206">
        <f t="shared" ref="O599:O604" si="279">SUM(E599:I599)</f>
        <v>123</v>
      </c>
      <c r="P599" s="206">
        <f t="shared" ref="P599:P604" si="280">SUM(J599:N599)</f>
        <v>110</v>
      </c>
      <c r="Q599" s="206" t="str">
        <f t="shared" ref="Q599:Q604" si="281">IF(E599=J599,"TT",IF(E599&gt;J599,"HW","HL"))</f>
        <v>HW</v>
      </c>
      <c r="R599" s="206" t="str">
        <f t="shared" ref="R599:R604" si="282">IF(F599=K599,"TT",IF(F599&gt;K599,"HW","HL"))</f>
        <v>HW</v>
      </c>
      <c r="S599" s="206" t="str">
        <f t="shared" ref="S599:S604" si="283">IF(G599=L599,"TT",IF(G599&gt;L599,"HW","HL"))</f>
        <v>HL</v>
      </c>
      <c r="T599" s="206" t="str">
        <f t="shared" ref="T599:T604" si="284">IF(H599=M599,"TT",IF(H599&gt;M599,"HW","HL"))</f>
        <v>HW</v>
      </c>
      <c r="U599" s="206" t="str">
        <f t="shared" ref="U599:U604" si="285">IF(SUM(E599,J599)=$Z599,"T",IF(SUM(E599,J599)&gt;$Z599,"O","U"))</f>
        <v>U</v>
      </c>
      <c r="V599" s="206" t="str">
        <f t="shared" ref="V599:V604" si="286">IF(SUM(F599,K599)=$Z599,"T",IF(SUM(F599,K599)&gt;$Z599,"O","U"))</f>
        <v>U</v>
      </c>
      <c r="W599" s="206" t="str">
        <f t="shared" ref="W599:W604" si="287">IF(SUM(G599,L599)=$Z599,"T",IF(SUM(G599,L599)&gt;$Z599,"O","U"))</f>
        <v>O</v>
      </c>
      <c r="X599" s="206" t="str">
        <f t="shared" ref="X599:X604" si="288">IF(SUM(H599,M599)=$Z599,"T",IF(SUM(H599,M599)&gt;$Z599,"O","U"))</f>
        <v>O</v>
      </c>
      <c r="Y599" s="206"/>
      <c r="Z599" s="206">
        <v>56</v>
      </c>
      <c r="AA599" s="206" t="str">
        <f t="shared" si="278"/>
        <v>ATL/PHO</v>
      </c>
    </row>
    <row r="600" spans="1:27" x14ac:dyDescent="0.45">
      <c r="A600" s="206">
        <v>200115</v>
      </c>
      <c r="B600" s="44">
        <v>0.39583333333333331</v>
      </c>
      <c r="C600" s="206" t="s">
        <v>407</v>
      </c>
      <c r="D600" s="206" t="s">
        <v>405</v>
      </c>
      <c r="E600" s="206">
        <v>26</v>
      </c>
      <c r="F600" s="206">
        <v>19</v>
      </c>
      <c r="G600" s="206">
        <v>29</v>
      </c>
      <c r="H600" s="206">
        <v>33</v>
      </c>
      <c r="I600" s="206"/>
      <c r="J600" s="206">
        <v>30</v>
      </c>
      <c r="K600" s="206">
        <v>29</v>
      </c>
      <c r="L600" s="206">
        <v>29</v>
      </c>
      <c r="M600" s="206">
        <v>30</v>
      </c>
      <c r="N600" s="206" t="s">
        <v>427</v>
      </c>
      <c r="O600" s="206">
        <f t="shared" si="279"/>
        <v>107</v>
      </c>
      <c r="P600" s="206">
        <f t="shared" si="280"/>
        <v>118</v>
      </c>
      <c r="Q600" s="206" t="str">
        <f t="shared" si="281"/>
        <v>HL</v>
      </c>
      <c r="R600" s="206" t="str">
        <f t="shared" si="282"/>
        <v>HL</v>
      </c>
      <c r="S600" s="206" t="str">
        <f t="shared" si="283"/>
        <v>TT</v>
      </c>
      <c r="T600" s="206" t="str">
        <f t="shared" si="284"/>
        <v>HW</v>
      </c>
      <c r="U600" s="206" t="str">
        <f t="shared" si="285"/>
        <v>O</v>
      </c>
      <c r="V600" s="206" t="str">
        <f t="shared" si="286"/>
        <v>U</v>
      </c>
      <c r="W600" s="206" t="str">
        <f t="shared" si="287"/>
        <v>O</v>
      </c>
      <c r="X600" s="206" t="str">
        <f t="shared" si="288"/>
        <v>O</v>
      </c>
      <c r="Y600" s="206"/>
      <c r="Z600" s="206">
        <v>54.5</v>
      </c>
      <c r="AA600" s="206" t="str">
        <f t="shared" si="278"/>
        <v>BKN/UTA</v>
      </c>
    </row>
    <row r="601" spans="1:27" x14ac:dyDescent="0.45">
      <c r="A601" s="206">
        <v>200115</v>
      </c>
      <c r="B601" s="44">
        <v>0.41666666666666669</v>
      </c>
      <c r="C601" s="206" t="s">
        <v>423</v>
      </c>
      <c r="D601" s="206" t="s">
        <v>399</v>
      </c>
      <c r="E601" s="206">
        <v>29</v>
      </c>
      <c r="F601" s="206">
        <v>36</v>
      </c>
      <c r="G601" s="206">
        <v>43</v>
      </c>
      <c r="H601" s="206">
        <v>20</v>
      </c>
      <c r="I601" s="206"/>
      <c r="J601" s="206">
        <v>23</v>
      </c>
      <c r="K601" s="206">
        <v>17</v>
      </c>
      <c r="L601" s="206">
        <v>36</v>
      </c>
      <c r="M601" s="206">
        <v>26</v>
      </c>
      <c r="N601" s="206" t="s">
        <v>427</v>
      </c>
      <c r="O601" s="206">
        <f t="shared" si="279"/>
        <v>128</v>
      </c>
      <c r="P601" s="206">
        <f t="shared" si="280"/>
        <v>102</v>
      </c>
      <c r="Q601" s="206" t="str">
        <f t="shared" si="281"/>
        <v>HW</v>
      </c>
      <c r="R601" s="206" t="str">
        <f t="shared" si="282"/>
        <v>HW</v>
      </c>
      <c r="S601" s="206" t="str">
        <f t="shared" si="283"/>
        <v>HW</v>
      </c>
      <c r="T601" s="206" t="str">
        <f t="shared" si="284"/>
        <v>HL</v>
      </c>
      <c r="U601" s="206" t="str">
        <f t="shared" si="285"/>
        <v>U</v>
      </c>
      <c r="V601" s="206" t="str">
        <f t="shared" si="286"/>
        <v>U</v>
      </c>
      <c r="W601" s="206" t="str">
        <f t="shared" si="287"/>
        <v>O</v>
      </c>
      <c r="X601" s="206" t="str">
        <f t="shared" si="288"/>
        <v>U</v>
      </c>
      <c r="Y601" s="206"/>
      <c r="Z601" s="206">
        <v>59.5</v>
      </c>
      <c r="AA601" s="206" t="str">
        <f t="shared" si="278"/>
        <v>MIL/NYK</v>
      </c>
    </row>
    <row r="602" spans="1:27" x14ac:dyDescent="0.45">
      <c r="A602" s="206">
        <v>200115</v>
      </c>
      <c r="B602" s="44">
        <v>0.41666666666666669</v>
      </c>
      <c r="C602" s="206" t="s">
        <v>406</v>
      </c>
      <c r="D602" s="206" t="s">
        <v>403</v>
      </c>
      <c r="E602" s="206">
        <v>32</v>
      </c>
      <c r="F602" s="206">
        <v>35</v>
      </c>
      <c r="G602" s="206">
        <v>18</v>
      </c>
      <c r="H602" s="206">
        <v>36</v>
      </c>
      <c r="I602" s="206"/>
      <c r="J602" s="206">
        <v>37</v>
      </c>
      <c r="K602" s="206">
        <v>24</v>
      </c>
      <c r="L602" s="206">
        <v>22</v>
      </c>
      <c r="M602" s="206">
        <v>27</v>
      </c>
      <c r="N602" s="206" t="s">
        <v>427</v>
      </c>
      <c r="O602" s="206">
        <f t="shared" si="279"/>
        <v>121</v>
      </c>
      <c r="P602" s="206">
        <f t="shared" si="280"/>
        <v>110</v>
      </c>
      <c r="Q602" s="206" t="str">
        <f t="shared" si="281"/>
        <v>HL</v>
      </c>
      <c r="R602" s="206" t="str">
        <f t="shared" si="282"/>
        <v>HW</v>
      </c>
      <c r="S602" s="206" t="str">
        <f t="shared" si="283"/>
        <v>HL</v>
      </c>
      <c r="T602" s="206" t="str">
        <f t="shared" si="284"/>
        <v>HW</v>
      </c>
      <c r="U602" s="206" t="str">
        <f t="shared" si="285"/>
        <v>O</v>
      </c>
      <c r="V602" s="206" t="str">
        <f t="shared" si="286"/>
        <v>U</v>
      </c>
      <c r="W602" s="206" t="str">
        <f t="shared" si="287"/>
        <v>U</v>
      </c>
      <c r="X602" s="206" t="str">
        <f t="shared" si="288"/>
        <v>O</v>
      </c>
      <c r="Y602" s="206"/>
      <c r="Z602" s="206">
        <v>62</v>
      </c>
      <c r="AA602" s="206" t="str">
        <f t="shared" si="278"/>
        <v>MEM/HOU</v>
      </c>
    </row>
    <row r="603" spans="1:27" x14ac:dyDescent="0.45">
      <c r="A603" s="206">
        <v>200115</v>
      </c>
      <c r="B603" s="44">
        <v>0.52083333333333337</v>
      </c>
      <c r="C603" s="206" t="s">
        <v>425</v>
      </c>
      <c r="D603" s="206" t="s">
        <v>397</v>
      </c>
      <c r="E603" s="206">
        <v>26</v>
      </c>
      <c r="F603" s="206">
        <v>21</v>
      </c>
      <c r="G603" s="206">
        <v>24</v>
      </c>
      <c r="H603" s="206">
        <v>26</v>
      </c>
      <c r="I603" s="206"/>
      <c r="J603" s="206">
        <v>36</v>
      </c>
      <c r="K603" s="206">
        <v>29</v>
      </c>
      <c r="L603" s="206">
        <v>29</v>
      </c>
      <c r="M603" s="206">
        <v>30</v>
      </c>
      <c r="N603" s="206" t="s">
        <v>427</v>
      </c>
      <c r="O603" s="206">
        <f t="shared" si="279"/>
        <v>97</v>
      </c>
      <c r="P603" s="206">
        <f t="shared" si="280"/>
        <v>124</v>
      </c>
      <c r="Q603" s="206" t="str">
        <f t="shared" si="281"/>
        <v>HL</v>
      </c>
      <c r="R603" s="206" t="str">
        <f t="shared" si="282"/>
        <v>HL</v>
      </c>
      <c r="S603" s="206" t="str">
        <f t="shared" si="283"/>
        <v>HL</v>
      </c>
      <c r="T603" s="206" t="str">
        <f t="shared" si="284"/>
        <v>HL</v>
      </c>
      <c r="U603" s="206" t="str">
        <f t="shared" si="285"/>
        <v>O</v>
      </c>
      <c r="V603" s="206" t="str">
        <f t="shared" si="286"/>
        <v>U</v>
      </c>
      <c r="W603" s="206" t="str">
        <f t="shared" si="287"/>
        <v>U</v>
      </c>
      <c r="X603" s="206" t="str">
        <f t="shared" si="288"/>
        <v>U</v>
      </c>
      <c r="Y603" s="206"/>
      <c r="Z603" s="206">
        <v>57.5</v>
      </c>
      <c r="AA603" s="206" t="str">
        <f t="shared" si="278"/>
        <v>GS/DAL</v>
      </c>
    </row>
    <row r="604" spans="1:27" x14ac:dyDescent="0.45">
      <c r="A604" s="206">
        <v>200115</v>
      </c>
      <c r="B604" s="44">
        <v>0.52083333333333337</v>
      </c>
      <c r="C604" s="206" t="s">
        <v>415</v>
      </c>
      <c r="D604" s="206" t="s">
        <v>402</v>
      </c>
      <c r="E604" s="206">
        <v>31</v>
      </c>
      <c r="F604" s="206">
        <v>35</v>
      </c>
      <c r="G604" s="206">
        <v>40</v>
      </c>
      <c r="H604" s="206">
        <v>22</v>
      </c>
      <c r="I604" s="206"/>
      <c r="J604" s="206">
        <v>26</v>
      </c>
      <c r="K604" s="206">
        <v>24</v>
      </c>
      <c r="L604" s="206">
        <v>21</v>
      </c>
      <c r="M604" s="206">
        <v>32</v>
      </c>
      <c r="N604" s="206" t="s">
        <v>427</v>
      </c>
      <c r="O604" s="206">
        <f t="shared" si="279"/>
        <v>128</v>
      </c>
      <c r="P604" s="206">
        <f t="shared" si="280"/>
        <v>103</v>
      </c>
      <c r="Q604" s="206" t="str">
        <f t="shared" si="281"/>
        <v>HW</v>
      </c>
      <c r="R604" s="206" t="str">
        <f t="shared" si="282"/>
        <v>HW</v>
      </c>
      <c r="S604" s="206" t="str">
        <f t="shared" si="283"/>
        <v>HW</v>
      </c>
      <c r="T604" s="206" t="str">
        <f t="shared" si="284"/>
        <v>HL</v>
      </c>
      <c r="U604" s="206" t="str">
        <f t="shared" si="285"/>
        <v>O</v>
      </c>
      <c r="V604" s="206" t="str">
        <f t="shared" si="286"/>
        <v>O</v>
      </c>
      <c r="W604" s="206" t="str">
        <f t="shared" si="287"/>
        <v>O</v>
      </c>
      <c r="X604" s="206" t="str">
        <f t="shared" si="288"/>
        <v>U</v>
      </c>
      <c r="Y604" s="206"/>
      <c r="Z604" s="206">
        <v>55</v>
      </c>
      <c r="AA604" s="206" t="str">
        <f t="shared" si="278"/>
        <v>LAC/CLE</v>
      </c>
    </row>
    <row r="605" spans="1:27" x14ac:dyDescent="0.45">
      <c r="A605" s="206">
        <v>200116</v>
      </c>
      <c r="B605" s="44">
        <v>0.375</v>
      </c>
      <c r="C605" s="206" t="s">
        <v>421</v>
      </c>
      <c r="D605" s="206" t="s">
        <v>422</v>
      </c>
      <c r="E605" s="206"/>
      <c r="F605" s="206"/>
      <c r="G605" s="206"/>
      <c r="H605" s="206"/>
      <c r="I605" s="206"/>
      <c r="J605" s="206"/>
      <c r="K605" s="206"/>
      <c r="L605" s="206"/>
      <c r="M605" s="206"/>
      <c r="N605" s="206"/>
    </row>
    <row r="606" spans="1:27" x14ac:dyDescent="0.45">
      <c r="A606" s="206">
        <v>200116</v>
      </c>
      <c r="B606" s="44">
        <v>0.375</v>
      </c>
      <c r="C606" s="11" t="s">
        <v>401</v>
      </c>
      <c r="D606" s="11" t="s">
        <v>407</v>
      </c>
    </row>
    <row r="607" spans="1:27" x14ac:dyDescent="0.45">
      <c r="A607" s="206">
        <v>200116</v>
      </c>
      <c r="B607" s="44">
        <v>0.39583333333333331</v>
      </c>
      <c r="C607" s="206" t="s">
        <v>411</v>
      </c>
      <c r="D607" s="206" t="s">
        <v>426</v>
      </c>
    </row>
    <row r="608" spans="1:27" x14ac:dyDescent="0.45">
      <c r="A608" s="206">
        <v>200116</v>
      </c>
      <c r="B608" s="44">
        <v>0.41666666666666669</v>
      </c>
      <c r="C608" s="206" t="s">
        <v>436</v>
      </c>
      <c r="D608" s="206" t="s">
        <v>414</v>
      </c>
    </row>
    <row r="609" spans="1:4" x14ac:dyDescent="0.45">
      <c r="A609" s="206">
        <v>200116</v>
      </c>
      <c r="B609" s="44">
        <v>0.41666666666666669</v>
      </c>
      <c r="C609" s="206" t="s">
        <v>420</v>
      </c>
      <c r="D609" s="206" t="s">
        <v>400</v>
      </c>
    </row>
    <row r="610" spans="1:4" x14ac:dyDescent="0.45">
      <c r="A610" s="206">
        <v>200116</v>
      </c>
      <c r="B610" s="44">
        <v>0.41666666666666669</v>
      </c>
      <c r="C610" s="14" t="s">
        <v>418</v>
      </c>
      <c r="D610" s="14" t="s">
        <v>413</v>
      </c>
    </row>
    <row r="611" spans="1:4" x14ac:dyDescent="0.45">
      <c r="A611" s="206">
        <v>200116</v>
      </c>
      <c r="B611" s="207">
        <v>0.45833333333333331</v>
      </c>
      <c r="C611" s="206" t="s">
        <v>437</v>
      </c>
      <c r="D611" s="206" t="s">
        <v>409</v>
      </c>
    </row>
    <row r="612" spans="1:4" x14ac:dyDescent="0.45">
      <c r="A612" s="206">
        <v>200116</v>
      </c>
      <c r="B612" s="207">
        <v>0.47916666666666669</v>
      </c>
      <c r="C612" s="206" t="s">
        <v>403</v>
      </c>
      <c r="D612" s="206" t="s">
        <v>417</v>
      </c>
    </row>
    <row r="613" spans="1:4" x14ac:dyDescent="0.45">
      <c r="A613" s="206">
        <v>200116</v>
      </c>
      <c r="B613" s="44">
        <v>0.5</v>
      </c>
      <c r="C613" s="11" t="s">
        <v>416</v>
      </c>
      <c r="D613" s="11" t="s">
        <v>397</v>
      </c>
    </row>
    <row r="614" spans="1:4" x14ac:dyDescent="0.45">
      <c r="A614" s="206">
        <v>200116</v>
      </c>
      <c r="B614" s="44">
        <v>0.52083333333333337</v>
      </c>
      <c r="C614" s="11" t="s">
        <v>419</v>
      </c>
      <c r="D614" s="11" t="s">
        <v>424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614"/>
  <sheetViews>
    <sheetView zoomScale="85" zoomScaleNormal="85" workbookViewId="0">
      <pane xSplit="1" ySplit="1" topLeftCell="B597" activePane="bottomRight" state="frozen"/>
      <selection pane="topRight" activeCell="B1" sqref="B1"/>
      <selection pane="bottomLeft" activeCell="A2" sqref="A2"/>
      <selection pane="bottomRight" activeCell="C605" sqref="C605:D614"/>
    </sheetView>
  </sheetViews>
  <sheetFormatPr defaultColWidth="9" defaultRowHeight="17" x14ac:dyDescent="0.45"/>
  <cols>
    <col min="1" max="1" width="7.5" style="3" bestFit="1" customWidth="1"/>
    <col min="2" max="2" width="8.75" style="44" customWidth="1"/>
    <col min="3" max="3" width="6.33203125" style="3" bestFit="1" customWidth="1"/>
    <col min="4" max="4" width="5.75" style="3" bestFit="1" customWidth="1"/>
    <col min="5" max="8" width="4.75" style="3" bestFit="1" customWidth="1"/>
    <col min="9" max="9" width="4.33203125" style="3" bestFit="1" customWidth="1"/>
    <col min="10" max="13" width="4.58203125" style="3" bestFit="1" customWidth="1"/>
    <col min="14" max="14" width="4.58203125" style="3" customWidth="1"/>
    <col min="15" max="15" width="5" style="3" bestFit="1" customWidth="1"/>
    <col min="16" max="16" width="4.83203125" style="3" bestFit="1" customWidth="1"/>
    <col min="17" max="20" width="5.5" style="3" bestFit="1" customWidth="1"/>
    <col min="21" max="24" width="5.83203125" style="3" bestFit="1" customWidth="1"/>
    <col min="25" max="25" width="6.75" style="3" customWidth="1"/>
    <col min="26" max="26" width="8.25" style="3" customWidth="1"/>
    <col min="27" max="27" width="9" style="3"/>
    <col min="28" max="28" width="9.33203125" style="3" customWidth="1"/>
    <col min="29" max="29" width="4.83203125" style="3" customWidth="1"/>
    <col min="30" max="30" width="5" style="3" customWidth="1"/>
    <col min="31" max="31" width="5.75" style="3" customWidth="1"/>
    <col min="32" max="33" width="5.08203125" style="3" bestFit="1" customWidth="1"/>
    <col min="34" max="16384" width="9" style="3"/>
  </cols>
  <sheetData>
    <row r="1" spans="1:33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SUBTOTAL(109,AC2:AC604)</f>
        <v>1077</v>
      </c>
      <c r="AD1" s="3">
        <f>SUBTOTAL(109,AD2:AD604)</f>
        <v>1293</v>
      </c>
      <c r="AF1" s="8">
        <f>AC1/(SUM($AC$1:$AD$1))</f>
        <v>0.45443037974683542</v>
      </c>
      <c r="AG1" s="9">
        <f>AD1/(SUM($AC$1:$AD$1))</f>
        <v>0.54556962025316458</v>
      </c>
    </row>
    <row r="2" spans="1:33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x14ac:dyDescent="0.45">
      <c r="A408" s="74">
        <v>191219</v>
      </c>
      <c r="B408" s="44">
        <v>0.375</v>
      </c>
      <c r="C408" s="74" t="s">
        <v>402</v>
      </c>
      <c r="D408" s="74" t="s">
        <v>409</v>
      </c>
      <c r="E408" s="74">
        <v>29</v>
      </c>
      <c r="F408" s="74">
        <v>24</v>
      </c>
      <c r="G408" s="74">
        <v>23</v>
      </c>
      <c r="H408" s="74">
        <v>24</v>
      </c>
      <c r="I408" s="74"/>
      <c r="J408" s="74">
        <v>21</v>
      </c>
      <c r="K408" s="74">
        <v>20</v>
      </c>
      <c r="L408" s="74">
        <v>23</v>
      </c>
      <c r="M408" s="74">
        <v>34</v>
      </c>
      <c r="N408" s="74" t="s">
        <v>427</v>
      </c>
      <c r="O408" s="74">
        <f t="shared" ref="O408:O430" si="209">SUM(E408:I408)</f>
        <v>100</v>
      </c>
      <c r="P408" s="74">
        <f t="shared" ref="P408:P430" si="210">SUM(J408:N408)</f>
        <v>98</v>
      </c>
      <c r="Q408" s="74" t="str">
        <f t="shared" ref="Q408:Q430" si="211">IF(E408=J408,"TT",IF(E408&gt;J408,"HW","HL"))</f>
        <v>HW</v>
      </c>
      <c r="R408" s="74" t="str">
        <f t="shared" ref="R408:R430" si="212">IF(F408=K408,"TT",IF(F408&gt;K408,"HW","HL"))</f>
        <v>HW</v>
      </c>
      <c r="S408" s="74" t="str">
        <f t="shared" ref="S408:S430" si="213">IF(G408=L408,"TT",IF(G408&gt;L408,"HW","HL"))</f>
        <v>TT</v>
      </c>
      <c r="T408" s="74" t="str">
        <f t="shared" ref="T408:T430" si="214">IF(H408=M408,"TT",IF(H408&gt;M408,"HW","HL"))</f>
        <v>HL</v>
      </c>
      <c r="U408" s="74" t="str">
        <f t="shared" ref="U408:U430" si="215">IF(SUM(E408,J408)=$Z408,"T",IF(SUM(E408,J408)&gt;$Z408,"O","U"))</f>
        <v>U</v>
      </c>
      <c r="V408" s="74" t="str">
        <f t="shared" ref="V408:V430" si="216">IF(SUM(F408,K408)=$Z408,"T",IF(SUM(F408,K408)&gt;$Z408,"O","U"))</f>
        <v>U</v>
      </c>
      <c r="W408" s="74" t="str">
        <f t="shared" ref="W408:W430" si="217">IF(SUM(G408,L408)=$Z408,"T",IF(SUM(G408,L408)&gt;$Z408,"O","U"))</f>
        <v>U</v>
      </c>
      <c r="X408" s="74" t="str">
        <f t="shared" ref="X408:X430" si="218">IF(SUM(H408,M408)=$Z408,"T",IF(SUM(H408,M408)&gt;$Z408,"O","U"))</f>
        <v>O</v>
      </c>
      <c r="Y408" s="74"/>
      <c r="Z408" s="74">
        <v>54.5</v>
      </c>
      <c r="AB408" s="74" t="str">
        <f t="shared" ref="AB408:AB471" si="219">C408&amp;"/"&amp;D408</f>
        <v>CLE/CHA</v>
      </c>
      <c r="AC408" s="74">
        <f t="shared" ref="AC408:AC430" si="220">COUNTIF(U408:X408,"o")</f>
        <v>1</v>
      </c>
      <c r="AD408" s="74">
        <f t="shared" ref="AD408:AD430" si="221">COUNTIF(U408:X408,"u")</f>
        <v>3</v>
      </c>
    </row>
    <row r="409" spans="1:30" x14ac:dyDescent="0.45">
      <c r="A409" s="74">
        <v>191219</v>
      </c>
      <c r="B409" s="44">
        <v>0.375</v>
      </c>
      <c r="C409" s="15" t="s">
        <v>422</v>
      </c>
      <c r="D409" s="15" t="s">
        <v>413</v>
      </c>
      <c r="E409" s="74">
        <v>29</v>
      </c>
      <c r="F409" s="74">
        <v>35</v>
      </c>
      <c r="G409" s="74">
        <v>15</v>
      </c>
      <c r="H409" s="74">
        <v>20</v>
      </c>
      <c r="I409" s="74"/>
      <c r="J409" s="74">
        <v>30</v>
      </c>
      <c r="K409" s="74">
        <v>40</v>
      </c>
      <c r="L409" s="74">
        <v>26</v>
      </c>
      <c r="M409" s="74">
        <v>16</v>
      </c>
      <c r="N409" s="74" t="s">
        <v>427</v>
      </c>
      <c r="O409" s="74">
        <f t="shared" si="209"/>
        <v>99</v>
      </c>
      <c r="P409" s="74">
        <f t="shared" si="210"/>
        <v>112</v>
      </c>
      <c r="Q409" s="74" t="str">
        <f t="shared" si="211"/>
        <v>HL</v>
      </c>
      <c r="R409" s="74" t="str">
        <f t="shared" si="212"/>
        <v>HL</v>
      </c>
      <c r="S409" s="74" t="str">
        <f t="shared" si="213"/>
        <v>HL</v>
      </c>
      <c r="T409" s="74" t="str">
        <f t="shared" si="214"/>
        <v>HW</v>
      </c>
      <c r="U409" s="74" t="str">
        <f t="shared" si="215"/>
        <v>O</v>
      </c>
      <c r="V409" s="74" t="str">
        <f t="shared" si="216"/>
        <v>O</v>
      </c>
      <c r="W409" s="74" t="str">
        <f t="shared" si="217"/>
        <v>U</v>
      </c>
      <c r="X409" s="74" t="str">
        <f t="shared" si="218"/>
        <v>U</v>
      </c>
      <c r="Y409" s="74"/>
      <c r="Z409" s="74">
        <v>56</v>
      </c>
      <c r="AB409" s="74" t="str">
        <f t="shared" si="219"/>
        <v>DET/TOR</v>
      </c>
      <c r="AC409" s="74">
        <f t="shared" si="220"/>
        <v>2</v>
      </c>
      <c r="AD409" s="74">
        <f t="shared" si="221"/>
        <v>2</v>
      </c>
    </row>
    <row r="410" spans="1:30" x14ac:dyDescent="0.45">
      <c r="A410" s="74">
        <v>191219</v>
      </c>
      <c r="B410" s="44">
        <v>0.375</v>
      </c>
      <c r="C410" s="15" t="s">
        <v>401</v>
      </c>
      <c r="D410" s="15" t="s">
        <v>411</v>
      </c>
      <c r="E410" s="74">
        <v>29</v>
      </c>
      <c r="F410" s="74">
        <v>19</v>
      </c>
      <c r="G410" s="74">
        <v>26</v>
      </c>
      <c r="H410" s="74">
        <v>30</v>
      </c>
      <c r="I410" s="74"/>
      <c r="J410" s="74">
        <v>19</v>
      </c>
      <c r="K410" s="74">
        <v>37</v>
      </c>
      <c r="L410" s="74">
        <v>26</v>
      </c>
      <c r="M410" s="74">
        <v>26</v>
      </c>
      <c r="N410" s="74" t="s">
        <v>427</v>
      </c>
      <c r="O410" s="74">
        <f t="shared" si="209"/>
        <v>104</v>
      </c>
      <c r="P410" s="74">
        <f t="shared" si="210"/>
        <v>108</v>
      </c>
      <c r="Q410" s="74" t="str">
        <f t="shared" si="211"/>
        <v>HW</v>
      </c>
      <c r="R410" s="74" t="str">
        <f t="shared" si="212"/>
        <v>HL</v>
      </c>
      <c r="S410" s="74" t="str">
        <f t="shared" si="213"/>
        <v>TT</v>
      </c>
      <c r="T410" s="74" t="str">
        <f t="shared" si="214"/>
        <v>HW</v>
      </c>
      <c r="U410" s="74" t="str">
        <f t="shared" si="215"/>
        <v>U</v>
      </c>
      <c r="V410" s="74" t="str">
        <f t="shared" si="216"/>
        <v>O</v>
      </c>
      <c r="W410" s="74" t="str">
        <f t="shared" si="217"/>
        <v>U</v>
      </c>
      <c r="X410" s="74" t="str">
        <f t="shared" si="218"/>
        <v>O</v>
      </c>
      <c r="Y410" s="74"/>
      <c r="Z410" s="74">
        <v>54.5</v>
      </c>
      <c r="AB410" s="74" t="str">
        <f t="shared" si="219"/>
        <v>PHI/MIA</v>
      </c>
      <c r="AC410" s="74">
        <f t="shared" si="220"/>
        <v>2</v>
      </c>
      <c r="AD410" s="74">
        <f t="shared" si="221"/>
        <v>2</v>
      </c>
    </row>
    <row r="411" spans="1:30" x14ac:dyDescent="0.45">
      <c r="A411" s="74">
        <v>191219</v>
      </c>
      <c r="B411" s="44">
        <v>0.375</v>
      </c>
      <c r="C411" s="74" t="s">
        <v>414</v>
      </c>
      <c r="D411" s="74" t="s">
        <v>412</v>
      </c>
      <c r="E411" s="74">
        <v>27</v>
      </c>
      <c r="F411" s="74">
        <v>31</v>
      </c>
      <c r="G411" s="74">
        <v>27</v>
      </c>
      <c r="H411" s="74">
        <v>13</v>
      </c>
      <c r="I411" s="74">
        <v>11</v>
      </c>
      <c r="J411" s="74">
        <v>23</v>
      </c>
      <c r="K411" s="74">
        <v>29</v>
      </c>
      <c r="L411" s="74">
        <v>21</v>
      </c>
      <c r="M411" s="74">
        <v>25</v>
      </c>
      <c r="N411" s="74">
        <v>12</v>
      </c>
      <c r="O411" s="74">
        <f t="shared" si="209"/>
        <v>109</v>
      </c>
      <c r="P411" s="74">
        <f t="shared" si="210"/>
        <v>110</v>
      </c>
      <c r="Q411" s="74" t="str">
        <f t="shared" si="211"/>
        <v>HW</v>
      </c>
      <c r="R411" s="74" t="str">
        <f t="shared" si="212"/>
        <v>HW</v>
      </c>
      <c r="S411" s="74" t="str">
        <f t="shared" si="213"/>
        <v>HW</v>
      </c>
      <c r="T411" s="74" t="str">
        <f t="shared" si="214"/>
        <v>HL</v>
      </c>
      <c r="U411" s="74" t="str">
        <f t="shared" si="215"/>
        <v>U</v>
      </c>
      <c r="V411" s="74" t="str">
        <f t="shared" si="216"/>
        <v>O</v>
      </c>
      <c r="W411" s="74" t="str">
        <f t="shared" si="217"/>
        <v>U</v>
      </c>
      <c r="X411" s="74" t="str">
        <f t="shared" si="218"/>
        <v>U</v>
      </c>
      <c r="Y411" s="74"/>
      <c r="Z411" s="74">
        <v>59</v>
      </c>
      <c r="AB411" s="74" t="str">
        <f t="shared" si="219"/>
        <v>WAS/CHI</v>
      </c>
      <c r="AC411" s="74">
        <f t="shared" si="220"/>
        <v>1</v>
      </c>
      <c r="AD411" s="74">
        <f t="shared" si="221"/>
        <v>3</v>
      </c>
    </row>
    <row r="412" spans="1:30" x14ac:dyDescent="0.45">
      <c r="A412" s="74">
        <v>191219</v>
      </c>
      <c r="B412" s="44">
        <v>0.41666666666666669</v>
      </c>
      <c r="C412" s="15" t="s">
        <v>420</v>
      </c>
      <c r="D412" s="13" t="s">
        <v>398</v>
      </c>
      <c r="E412" s="74">
        <v>25</v>
      </c>
      <c r="F412" s="74">
        <v>25</v>
      </c>
      <c r="G412" s="74">
        <v>22</v>
      </c>
      <c r="H412" s="74">
        <v>27</v>
      </c>
      <c r="I412" s="74"/>
      <c r="J412" s="74">
        <v>32</v>
      </c>
      <c r="K412" s="74">
        <v>31</v>
      </c>
      <c r="L412" s="74">
        <v>24</v>
      </c>
      <c r="M412" s="74">
        <v>20</v>
      </c>
      <c r="N412" s="74" t="s">
        <v>427</v>
      </c>
      <c r="O412" s="74">
        <f t="shared" si="209"/>
        <v>99</v>
      </c>
      <c r="P412" s="74">
        <f t="shared" si="210"/>
        <v>107</v>
      </c>
      <c r="Q412" s="74" t="str">
        <f t="shared" si="211"/>
        <v>HL</v>
      </c>
      <c r="R412" s="74" t="str">
        <f t="shared" si="212"/>
        <v>HL</v>
      </c>
      <c r="S412" s="74" t="str">
        <f t="shared" si="213"/>
        <v>HL</v>
      </c>
      <c r="T412" s="74" t="str">
        <f t="shared" si="214"/>
        <v>HW</v>
      </c>
      <c r="U412" s="74" t="str">
        <f t="shared" si="215"/>
        <v>U</v>
      </c>
      <c r="V412" s="74" t="str">
        <f t="shared" si="216"/>
        <v>U</v>
      </c>
      <c r="W412" s="74" t="str">
        <f t="shared" si="217"/>
        <v>U</v>
      </c>
      <c r="X412" s="74" t="str">
        <f t="shared" si="218"/>
        <v>U</v>
      </c>
      <c r="Y412" s="74"/>
      <c r="Z412" s="74">
        <v>59</v>
      </c>
      <c r="AB412" s="74" t="str">
        <f t="shared" si="219"/>
        <v>MIN/NO</v>
      </c>
      <c r="AC412" s="74">
        <f t="shared" si="220"/>
        <v>0</v>
      </c>
      <c r="AD412" s="74">
        <f t="shared" si="221"/>
        <v>4</v>
      </c>
    </row>
    <row r="413" spans="1:30" x14ac:dyDescent="0.45">
      <c r="A413" s="74">
        <v>191219</v>
      </c>
      <c r="B413" s="44">
        <v>0.41666666666666669</v>
      </c>
      <c r="C413" s="5" t="s">
        <v>418</v>
      </c>
      <c r="D413" s="5" t="s">
        <v>406</v>
      </c>
      <c r="E413" s="74">
        <v>27</v>
      </c>
      <c r="F413" s="74">
        <v>32</v>
      </c>
      <c r="G413" s="74">
        <v>34</v>
      </c>
      <c r="H413" s="74">
        <v>33</v>
      </c>
      <c r="I413" s="74"/>
      <c r="J413" s="74">
        <v>32</v>
      </c>
      <c r="K413" s="74">
        <v>36</v>
      </c>
      <c r="L413" s="74">
        <v>32</v>
      </c>
      <c r="M413" s="74">
        <v>22</v>
      </c>
      <c r="N413" s="74" t="s">
        <v>427</v>
      </c>
      <c r="O413" s="74">
        <f t="shared" si="209"/>
        <v>126</v>
      </c>
      <c r="P413" s="74">
        <f t="shared" si="210"/>
        <v>122</v>
      </c>
      <c r="Q413" s="74" t="str">
        <f t="shared" si="211"/>
        <v>HL</v>
      </c>
      <c r="R413" s="74" t="str">
        <f t="shared" si="212"/>
        <v>HL</v>
      </c>
      <c r="S413" s="74" t="str">
        <f t="shared" si="213"/>
        <v>HW</v>
      </c>
      <c r="T413" s="74" t="str">
        <f t="shared" si="214"/>
        <v>HW</v>
      </c>
      <c r="U413" s="74" t="str">
        <f t="shared" si="215"/>
        <v>O</v>
      </c>
      <c r="V413" s="74" t="str">
        <f t="shared" si="216"/>
        <v>O</v>
      </c>
      <c r="W413" s="74" t="str">
        <f t="shared" si="217"/>
        <v>O</v>
      </c>
      <c r="X413" s="74" t="str">
        <f t="shared" si="218"/>
        <v>O</v>
      </c>
      <c r="Y413" s="74"/>
      <c r="Z413" s="74">
        <v>54</v>
      </c>
      <c r="AB413" s="74" t="str">
        <f t="shared" si="219"/>
        <v>OKC/MEM</v>
      </c>
      <c r="AC413" s="74">
        <f t="shared" si="220"/>
        <v>4</v>
      </c>
      <c r="AD413" s="74">
        <f t="shared" si="221"/>
        <v>0</v>
      </c>
    </row>
    <row r="414" spans="1:30" x14ac:dyDescent="0.45">
      <c r="A414" s="74">
        <v>191219</v>
      </c>
      <c r="B414" s="44">
        <v>0.45833333333333331</v>
      </c>
      <c r="C414" s="13" t="s">
        <v>46</v>
      </c>
      <c r="D414" s="15" t="s">
        <v>424</v>
      </c>
      <c r="E414" s="74">
        <v>27</v>
      </c>
      <c r="F414" s="74">
        <v>18</v>
      </c>
      <c r="G414" s="74">
        <v>39</v>
      </c>
      <c r="H414" s="74">
        <v>29</v>
      </c>
      <c r="I414" s="74"/>
      <c r="J414" s="74">
        <v>32</v>
      </c>
      <c r="K414" s="74">
        <v>28</v>
      </c>
      <c r="L414" s="74">
        <v>16</v>
      </c>
      <c r="M414" s="74">
        <v>28</v>
      </c>
      <c r="N414" s="74" t="s">
        <v>427</v>
      </c>
      <c r="O414" s="74">
        <f t="shared" si="209"/>
        <v>113</v>
      </c>
      <c r="P414" s="74">
        <f t="shared" si="210"/>
        <v>104</v>
      </c>
      <c r="Q414" s="74" t="str">
        <f t="shared" si="211"/>
        <v>HL</v>
      </c>
      <c r="R414" s="74" t="str">
        <f t="shared" si="212"/>
        <v>HL</v>
      </c>
      <c r="S414" s="74" t="str">
        <f t="shared" si="213"/>
        <v>HW</v>
      </c>
      <c r="T414" s="74" t="str">
        <f t="shared" si="214"/>
        <v>HW</v>
      </c>
      <c r="U414" s="74" t="str">
        <f t="shared" si="215"/>
        <v>O</v>
      </c>
      <c r="V414" s="74" t="str">
        <f t="shared" si="216"/>
        <v>U</v>
      </c>
      <c r="W414" s="74" t="str">
        <f t="shared" si="217"/>
        <v>O</v>
      </c>
      <c r="X414" s="74" t="str">
        <f t="shared" si="218"/>
        <v>O</v>
      </c>
      <c r="Y414" s="74"/>
      <c r="Z414" s="74">
        <v>52.5</v>
      </c>
      <c r="AB414" s="74" t="str">
        <f t="shared" si="219"/>
        <v>DEN/ORL</v>
      </c>
      <c r="AC414" s="74">
        <f t="shared" si="220"/>
        <v>3</v>
      </c>
      <c r="AD414" s="74">
        <f t="shared" si="221"/>
        <v>1</v>
      </c>
    </row>
    <row r="415" spans="1:30" x14ac:dyDescent="0.45">
      <c r="A415" s="74">
        <v>191219</v>
      </c>
      <c r="B415" s="44">
        <v>0.47916666666666669</v>
      </c>
      <c r="C415" s="15" t="s">
        <v>98</v>
      </c>
      <c r="D415" s="48" t="s">
        <v>421</v>
      </c>
      <c r="E415" s="74">
        <v>29</v>
      </c>
      <c r="F415" s="74">
        <v>26</v>
      </c>
      <c r="G415" s="74">
        <v>18</v>
      </c>
      <c r="H415" s="74">
        <v>30</v>
      </c>
      <c r="I415" s="74"/>
      <c r="J415" s="74">
        <v>29</v>
      </c>
      <c r="K415" s="74">
        <v>21</v>
      </c>
      <c r="L415" s="74">
        <v>26</v>
      </c>
      <c r="M415" s="74">
        <v>33</v>
      </c>
      <c r="N415" s="74" t="s">
        <v>427</v>
      </c>
      <c r="O415" s="74">
        <f t="shared" si="209"/>
        <v>103</v>
      </c>
      <c r="P415" s="74">
        <f t="shared" si="210"/>
        <v>109</v>
      </c>
      <c r="Q415" s="74" t="str">
        <f t="shared" si="211"/>
        <v>TT</v>
      </c>
      <c r="R415" s="74" t="str">
        <f t="shared" si="212"/>
        <v>HW</v>
      </c>
      <c r="S415" s="74" t="str">
        <f t="shared" si="213"/>
        <v>HL</v>
      </c>
      <c r="T415" s="74" t="str">
        <f t="shared" si="214"/>
        <v>HL</v>
      </c>
      <c r="U415" s="74" t="str">
        <f t="shared" si="215"/>
        <v>O</v>
      </c>
      <c r="V415" s="74" t="str">
        <f t="shared" si="216"/>
        <v>U</v>
      </c>
      <c r="W415" s="74" t="str">
        <f t="shared" si="217"/>
        <v>U</v>
      </c>
      <c r="X415" s="74" t="str">
        <f t="shared" si="218"/>
        <v>O</v>
      </c>
      <c r="Y415" s="74"/>
      <c r="Z415" s="74">
        <v>52.5</v>
      </c>
      <c r="AB415" s="74" t="str">
        <f t="shared" si="219"/>
        <v>DAL/BOS</v>
      </c>
      <c r="AC415" s="74">
        <f t="shared" si="220"/>
        <v>2</v>
      </c>
      <c r="AD415" s="74">
        <f t="shared" si="221"/>
        <v>2</v>
      </c>
    </row>
    <row r="416" spans="1:30" x14ac:dyDescent="0.45">
      <c r="A416" s="74">
        <v>191219</v>
      </c>
      <c r="B416" s="44">
        <v>0.5</v>
      </c>
      <c r="C416" s="74" t="s">
        <v>417</v>
      </c>
      <c r="D416" s="74" t="s">
        <v>425</v>
      </c>
      <c r="E416" s="74">
        <v>40</v>
      </c>
      <c r="F416" s="74">
        <v>27</v>
      </c>
      <c r="G416" s="74">
        <v>30</v>
      </c>
      <c r="H416" s="74">
        <v>25</v>
      </c>
      <c r="I416" s="74"/>
      <c r="J416" s="74">
        <v>29</v>
      </c>
      <c r="K416" s="74">
        <v>37</v>
      </c>
      <c r="L416" s="74">
        <v>26</v>
      </c>
      <c r="M416" s="74">
        <v>20</v>
      </c>
      <c r="N416" s="74" t="s">
        <v>427</v>
      </c>
      <c r="O416" s="74">
        <f t="shared" si="209"/>
        <v>122</v>
      </c>
      <c r="P416" s="74">
        <f t="shared" si="210"/>
        <v>112</v>
      </c>
      <c r="Q416" s="74" t="str">
        <f t="shared" si="211"/>
        <v>HW</v>
      </c>
      <c r="R416" s="74" t="str">
        <f t="shared" si="212"/>
        <v>HL</v>
      </c>
      <c r="S416" s="74" t="str">
        <f t="shared" si="213"/>
        <v>HW</v>
      </c>
      <c r="T416" s="74" t="str">
        <f t="shared" si="214"/>
        <v>HW</v>
      </c>
      <c r="U416" s="74" t="str">
        <f t="shared" si="215"/>
        <v>O</v>
      </c>
      <c r="V416" s="74" t="str">
        <f t="shared" si="216"/>
        <v>O</v>
      </c>
      <c r="W416" s="74" t="str">
        <f t="shared" si="217"/>
        <v>U</v>
      </c>
      <c r="X416" s="74" t="str">
        <f t="shared" si="218"/>
        <v>U</v>
      </c>
      <c r="Y416" s="74"/>
      <c r="Z416" s="74">
        <v>56.5</v>
      </c>
      <c r="AB416" s="74" t="str">
        <f t="shared" si="219"/>
        <v>POR/GS</v>
      </c>
      <c r="AC416" s="74">
        <f t="shared" si="220"/>
        <v>2</v>
      </c>
      <c r="AD416" s="74">
        <f t="shared" si="221"/>
        <v>2</v>
      </c>
    </row>
    <row r="417" spans="1:30" x14ac:dyDescent="0.45">
      <c r="A417" s="74">
        <v>191220</v>
      </c>
      <c r="B417" s="75">
        <v>0.39583333333333331</v>
      </c>
      <c r="C417" s="74" t="s">
        <v>410</v>
      </c>
      <c r="D417" s="74" t="s">
        <v>405</v>
      </c>
      <c r="E417" s="74">
        <v>30</v>
      </c>
      <c r="F417" s="74">
        <v>26</v>
      </c>
      <c r="G417" s="74">
        <v>28</v>
      </c>
      <c r="H417" s="74">
        <v>22</v>
      </c>
      <c r="I417" s="74"/>
      <c r="J417" s="74">
        <v>28</v>
      </c>
      <c r="K417" s="74">
        <v>24</v>
      </c>
      <c r="L417" s="74">
        <v>31</v>
      </c>
      <c r="M417" s="74">
        <v>28</v>
      </c>
      <c r="N417" s="74" t="s">
        <v>427</v>
      </c>
      <c r="O417" s="74">
        <f t="shared" si="209"/>
        <v>106</v>
      </c>
      <c r="P417" s="74">
        <f t="shared" si="210"/>
        <v>111</v>
      </c>
      <c r="Q417" s="74" t="str">
        <f t="shared" si="211"/>
        <v>HW</v>
      </c>
      <c r="R417" s="74" t="str">
        <f t="shared" si="212"/>
        <v>HW</v>
      </c>
      <c r="S417" s="74" t="str">
        <f t="shared" si="213"/>
        <v>HL</v>
      </c>
      <c r="T417" s="74" t="str">
        <f t="shared" si="214"/>
        <v>HL</v>
      </c>
      <c r="U417" s="74" t="str">
        <f t="shared" si="215"/>
        <v>O</v>
      </c>
      <c r="V417" s="74" t="str">
        <f t="shared" si="216"/>
        <v>U</v>
      </c>
      <c r="W417" s="74" t="str">
        <f t="shared" si="217"/>
        <v>O</v>
      </c>
      <c r="X417" s="74" t="str">
        <f t="shared" si="218"/>
        <v>U</v>
      </c>
      <c r="Y417" s="74"/>
      <c r="Z417" s="74">
        <v>55</v>
      </c>
      <c r="AB417" s="74" t="str">
        <f t="shared" si="219"/>
        <v>ATL/UTA</v>
      </c>
      <c r="AC417" s="74">
        <f t="shared" si="220"/>
        <v>2</v>
      </c>
      <c r="AD417" s="74">
        <f t="shared" si="221"/>
        <v>2</v>
      </c>
    </row>
    <row r="418" spans="1:30" x14ac:dyDescent="0.45">
      <c r="A418" s="74">
        <v>191220</v>
      </c>
      <c r="B418" s="75">
        <v>0.41666666666666669</v>
      </c>
      <c r="C418" s="74" t="s">
        <v>423</v>
      </c>
      <c r="D418" s="74" t="s">
        <v>419</v>
      </c>
      <c r="E418" s="74">
        <v>23</v>
      </c>
      <c r="F418" s="74">
        <v>42</v>
      </c>
      <c r="G418" s="74">
        <v>24</v>
      </c>
      <c r="H418" s="74">
        <v>22</v>
      </c>
      <c r="I418" s="74"/>
      <c r="J418" s="74">
        <v>17</v>
      </c>
      <c r="K418" s="74">
        <v>29</v>
      </c>
      <c r="L418" s="74">
        <v>35</v>
      </c>
      <c r="M418" s="74">
        <v>23</v>
      </c>
      <c r="N418" s="74" t="s">
        <v>427</v>
      </c>
      <c r="O418" s="74">
        <f t="shared" si="209"/>
        <v>111</v>
      </c>
      <c r="P418" s="74">
        <f t="shared" si="210"/>
        <v>104</v>
      </c>
      <c r="Q418" s="74" t="str">
        <f t="shared" si="211"/>
        <v>HW</v>
      </c>
      <c r="R418" s="74" t="str">
        <f t="shared" si="212"/>
        <v>HW</v>
      </c>
      <c r="S418" s="74" t="str">
        <f t="shared" si="213"/>
        <v>HL</v>
      </c>
      <c r="T418" s="74" t="str">
        <f t="shared" si="214"/>
        <v>HL</v>
      </c>
      <c r="U418" s="74" t="str">
        <f t="shared" si="215"/>
        <v>U</v>
      </c>
      <c r="V418" s="74" t="str">
        <f t="shared" si="216"/>
        <v>O</v>
      </c>
      <c r="W418" s="74" t="str">
        <f t="shared" si="217"/>
        <v>O</v>
      </c>
      <c r="X418" s="74" t="str">
        <f t="shared" si="218"/>
        <v>U</v>
      </c>
      <c r="Y418" s="74"/>
      <c r="Z418" s="74">
        <v>58.5</v>
      </c>
      <c r="AB418" s="74" t="str">
        <f t="shared" si="219"/>
        <v>MIL/LAL</v>
      </c>
      <c r="AC418" s="74">
        <f t="shared" si="220"/>
        <v>2</v>
      </c>
      <c r="AD418" s="74">
        <f t="shared" si="221"/>
        <v>2</v>
      </c>
    </row>
    <row r="419" spans="1:30" x14ac:dyDescent="0.45">
      <c r="A419" s="74">
        <v>191220</v>
      </c>
      <c r="B419" s="75">
        <v>0.4375</v>
      </c>
      <c r="C419" s="74" t="s">
        <v>426</v>
      </c>
      <c r="D419" s="74" t="s">
        <v>407</v>
      </c>
      <c r="E419" s="74">
        <v>27</v>
      </c>
      <c r="F419" s="74">
        <v>23</v>
      </c>
      <c r="G419" s="74">
        <v>33</v>
      </c>
      <c r="H419" s="74">
        <v>35</v>
      </c>
      <c r="I419" s="74"/>
      <c r="J419" s="74">
        <v>33</v>
      </c>
      <c r="K419" s="74">
        <v>23</v>
      </c>
      <c r="L419" s="74">
        <v>25</v>
      </c>
      <c r="M419" s="74">
        <v>24</v>
      </c>
      <c r="N419" s="74" t="s">
        <v>427</v>
      </c>
      <c r="O419" s="74">
        <f t="shared" si="209"/>
        <v>118</v>
      </c>
      <c r="P419" s="74">
        <f t="shared" si="210"/>
        <v>105</v>
      </c>
      <c r="Q419" s="74" t="str">
        <f t="shared" si="211"/>
        <v>HL</v>
      </c>
      <c r="R419" s="74" t="str">
        <f t="shared" si="212"/>
        <v>TT</v>
      </c>
      <c r="S419" s="74" t="str">
        <f t="shared" si="213"/>
        <v>HW</v>
      </c>
      <c r="T419" s="74" t="str">
        <f t="shared" si="214"/>
        <v>HW</v>
      </c>
      <c r="U419" s="74" t="str">
        <f t="shared" si="215"/>
        <v>O</v>
      </c>
      <c r="V419" s="74" t="str">
        <f t="shared" si="216"/>
        <v>U</v>
      </c>
      <c r="W419" s="74" t="str">
        <f t="shared" si="217"/>
        <v>O</v>
      </c>
      <c r="X419" s="74" t="str">
        <f t="shared" si="218"/>
        <v>O</v>
      </c>
      <c r="Y419" s="74"/>
      <c r="Z419" s="74">
        <v>53.5</v>
      </c>
      <c r="AB419" s="74" t="str">
        <f t="shared" si="219"/>
        <v>SAS/BKN</v>
      </c>
      <c r="AC419" s="74">
        <f t="shared" si="220"/>
        <v>3</v>
      </c>
      <c r="AD419" s="74">
        <f t="shared" si="221"/>
        <v>1</v>
      </c>
    </row>
    <row r="420" spans="1:30" x14ac:dyDescent="0.45">
      <c r="A420" s="74">
        <v>191220</v>
      </c>
      <c r="B420" s="75">
        <v>0.52083333333333337</v>
      </c>
      <c r="C420" s="74" t="s">
        <v>415</v>
      </c>
      <c r="D420" s="74" t="s">
        <v>403</v>
      </c>
      <c r="E420" s="74">
        <v>28</v>
      </c>
      <c r="F420" s="74">
        <v>41</v>
      </c>
      <c r="G420" s="74">
        <v>18</v>
      </c>
      <c r="H420" s="74">
        <v>30</v>
      </c>
      <c r="I420" s="74"/>
      <c r="J420" s="74">
        <v>27</v>
      </c>
      <c r="K420" s="74">
        <v>27</v>
      </c>
      <c r="L420" s="74">
        <v>36</v>
      </c>
      <c r="M420" s="74">
        <v>32</v>
      </c>
      <c r="N420" s="74" t="s">
        <v>427</v>
      </c>
      <c r="O420" s="74">
        <f t="shared" si="209"/>
        <v>117</v>
      </c>
      <c r="P420" s="74">
        <f t="shared" si="210"/>
        <v>122</v>
      </c>
      <c r="Q420" s="74" t="str">
        <f t="shared" si="211"/>
        <v>HW</v>
      </c>
      <c r="R420" s="74" t="str">
        <f t="shared" si="212"/>
        <v>HW</v>
      </c>
      <c r="S420" s="74" t="str">
        <f t="shared" si="213"/>
        <v>HL</v>
      </c>
      <c r="T420" s="74" t="str">
        <f t="shared" si="214"/>
        <v>HL</v>
      </c>
      <c r="U420" s="74" t="str">
        <f t="shared" si="215"/>
        <v>U</v>
      </c>
      <c r="V420" s="74" t="str">
        <f t="shared" si="216"/>
        <v>O</v>
      </c>
      <c r="W420" s="74" t="str">
        <f t="shared" si="217"/>
        <v>U</v>
      </c>
      <c r="X420" s="74" t="str">
        <f t="shared" si="218"/>
        <v>O</v>
      </c>
      <c r="Y420" s="74"/>
      <c r="Z420" s="74">
        <v>60.5</v>
      </c>
      <c r="AB420" s="74" t="str">
        <f t="shared" si="219"/>
        <v>LAC/HOU</v>
      </c>
      <c r="AC420" s="74">
        <f t="shared" si="220"/>
        <v>2</v>
      </c>
      <c r="AD420" s="74">
        <f t="shared" si="221"/>
        <v>2</v>
      </c>
    </row>
    <row r="421" spans="1:30" x14ac:dyDescent="0.45">
      <c r="A421" s="74">
        <v>191221</v>
      </c>
      <c r="B421" s="75">
        <v>0.375</v>
      </c>
      <c r="C421" s="74" t="s">
        <v>402</v>
      </c>
      <c r="D421" s="74" t="s">
        <v>406</v>
      </c>
      <c r="E421" s="74">
        <v>25</v>
      </c>
      <c r="F421" s="74">
        <v>30</v>
      </c>
      <c r="G421" s="74">
        <v>26</v>
      </c>
      <c r="H421" s="74">
        <v>33</v>
      </c>
      <c r="I421" s="74"/>
      <c r="J421" s="74">
        <v>27</v>
      </c>
      <c r="K421" s="74">
        <v>24</v>
      </c>
      <c r="L421" s="74">
        <v>36</v>
      </c>
      <c r="M421" s="74">
        <v>20</v>
      </c>
      <c r="N421" s="74" t="s">
        <v>427</v>
      </c>
      <c r="O421" s="74">
        <f t="shared" si="209"/>
        <v>114</v>
      </c>
      <c r="P421" s="74">
        <f t="shared" si="210"/>
        <v>107</v>
      </c>
      <c r="Q421" s="74" t="str">
        <f t="shared" si="211"/>
        <v>HL</v>
      </c>
      <c r="R421" s="74" t="str">
        <f t="shared" si="212"/>
        <v>HW</v>
      </c>
      <c r="S421" s="74" t="str">
        <f t="shared" si="213"/>
        <v>HL</v>
      </c>
      <c r="T421" s="74" t="str">
        <f t="shared" si="214"/>
        <v>HW</v>
      </c>
      <c r="U421" s="74" t="str">
        <f t="shared" si="215"/>
        <v>U</v>
      </c>
      <c r="V421" s="74" t="str">
        <f t="shared" si="216"/>
        <v>U</v>
      </c>
      <c r="W421" s="74" t="str">
        <f t="shared" si="217"/>
        <v>O</v>
      </c>
      <c r="X421" s="74" t="str">
        <f t="shared" si="218"/>
        <v>U</v>
      </c>
      <c r="Y421" s="74"/>
      <c r="Z421" s="74">
        <v>55</v>
      </c>
      <c r="AB421" s="74" t="str">
        <f t="shared" si="219"/>
        <v>CLE/MEM</v>
      </c>
      <c r="AC421" s="74">
        <f t="shared" si="220"/>
        <v>1</v>
      </c>
      <c r="AD421" s="74">
        <f t="shared" si="221"/>
        <v>3</v>
      </c>
    </row>
    <row r="422" spans="1:30" x14ac:dyDescent="0.45">
      <c r="A422" s="74">
        <v>191221</v>
      </c>
      <c r="B422" s="75">
        <v>0.375</v>
      </c>
      <c r="C422" s="74" t="s">
        <v>400</v>
      </c>
      <c r="D422" s="74" t="s">
        <v>416</v>
      </c>
      <c r="E422" s="74">
        <v>30</v>
      </c>
      <c r="F422" s="74">
        <v>38</v>
      </c>
      <c r="G422" s="74">
        <v>24</v>
      </c>
      <c r="H422" s="74">
        <v>27</v>
      </c>
      <c r="I422" s="74"/>
      <c r="J422" s="74">
        <v>32</v>
      </c>
      <c r="K422" s="74">
        <v>25</v>
      </c>
      <c r="L422" s="74">
        <v>22</v>
      </c>
      <c r="M422" s="74">
        <v>26</v>
      </c>
      <c r="N422" s="74" t="s">
        <v>427</v>
      </c>
      <c r="O422" s="74">
        <f t="shared" si="209"/>
        <v>119</v>
      </c>
      <c r="P422" s="74">
        <f t="shared" si="210"/>
        <v>105</v>
      </c>
      <c r="Q422" s="74" t="str">
        <f t="shared" si="211"/>
        <v>HL</v>
      </c>
      <c r="R422" s="74" t="str">
        <f t="shared" si="212"/>
        <v>HW</v>
      </c>
      <c r="S422" s="74" t="str">
        <f t="shared" si="213"/>
        <v>HW</v>
      </c>
      <c r="T422" s="74" t="str">
        <f t="shared" si="214"/>
        <v>HW</v>
      </c>
      <c r="U422" s="74" t="str">
        <f t="shared" si="215"/>
        <v>O</v>
      </c>
      <c r="V422" s="74" t="str">
        <f t="shared" si="216"/>
        <v>O</v>
      </c>
      <c r="W422" s="74" t="str">
        <f t="shared" si="217"/>
        <v>U</v>
      </c>
      <c r="X422" s="74" t="str">
        <f t="shared" si="218"/>
        <v>U</v>
      </c>
      <c r="Y422" s="74"/>
      <c r="Z422" s="74">
        <v>54</v>
      </c>
      <c r="AB422" s="74" t="str">
        <f t="shared" si="219"/>
        <v>IND/SAC</v>
      </c>
      <c r="AC422" s="74">
        <f t="shared" si="220"/>
        <v>2</v>
      </c>
      <c r="AD422" s="74">
        <f t="shared" si="221"/>
        <v>2</v>
      </c>
    </row>
    <row r="423" spans="1:30" x14ac:dyDescent="0.45">
      <c r="A423" s="74">
        <v>191221</v>
      </c>
      <c r="B423" s="75">
        <v>0.39583333333333331</v>
      </c>
      <c r="C423" s="74" t="s">
        <v>421</v>
      </c>
      <c r="D423" s="74" t="s">
        <v>422</v>
      </c>
      <c r="E423" s="74">
        <v>28</v>
      </c>
      <c r="F423" s="74">
        <v>32</v>
      </c>
      <c r="G423" s="74">
        <v>31</v>
      </c>
      <c r="H423" s="74">
        <v>23</v>
      </c>
      <c r="I423" s="74"/>
      <c r="J423" s="74">
        <v>26</v>
      </c>
      <c r="K423" s="74">
        <v>22</v>
      </c>
      <c r="L423" s="74">
        <v>21</v>
      </c>
      <c r="M423" s="74">
        <v>24</v>
      </c>
      <c r="N423" s="74" t="s">
        <v>427</v>
      </c>
      <c r="O423" s="74">
        <f t="shared" si="209"/>
        <v>114</v>
      </c>
      <c r="P423" s="74">
        <f t="shared" si="210"/>
        <v>93</v>
      </c>
      <c r="Q423" s="74" t="str">
        <f t="shared" si="211"/>
        <v>HW</v>
      </c>
      <c r="R423" s="74" t="str">
        <f t="shared" si="212"/>
        <v>HW</v>
      </c>
      <c r="S423" s="74" t="str">
        <f t="shared" si="213"/>
        <v>HW</v>
      </c>
      <c r="T423" s="74" t="str">
        <f t="shared" si="214"/>
        <v>HL</v>
      </c>
      <c r="U423" s="74" t="str">
        <f t="shared" si="215"/>
        <v>U</v>
      </c>
      <c r="V423" s="74" t="str">
        <f t="shared" si="216"/>
        <v>U</v>
      </c>
      <c r="W423" s="74" t="str">
        <f t="shared" si="217"/>
        <v>U</v>
      </c>
      <c r="X423" s="74" t="str">
        <f t="shared" si="218"/>
        <v>U</v>
      </c>
      <c r="Y423" s="74"/>
      <c r="Z423" s="74">
        <v>54.5</v>
      </c>
      <c r="AB423" s="74" t="str">
        <f t="shared" si="219"/>
        <v>BOS/DET</v>
      </c>
      <c r="AC423" s="74">
        <f t="shared" si="220"/>
        <v>0</v>
      </c>
      <c r="AD423" s="74">
        <f t="shared" si="221"/>
        <v>4</v>
      </c>
    </row>
    <row r="424" spans="1:30" x14ac:dyDescent="0.45">
      <c r="A424" s="74">
        <v>191221</v>
      </c>
      <c r="B424" s="75">
        <v>0.39583333333333331</v>
      </c>
      <c r="C424" s="74" t="s">
        <v>413</v>
      </c>
      <c r="D424" s="74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09"/>
        <v>122</v>
      </c>
      <c r="P424" s="74">
        <f t="shared" si="210"/>
        <v>118</v>
      </c>
      <c r="Q424" s="74" t="str">
        <f t="shared" si="211"/>
        <v>HW</v>
      </c>
      <c r="R424" s="74" t="str">
        <f t="shared" si="212"/>
        <v>HL</v>
      </c>
      <c r="S424" s="74" t="str">
        <f t="shared" si="213"/>
        <v>HL</v>
      </c>
      <c r="T424" s="74" t="str">
        <f t="shared" si="214"/>
        <v>HL</v>
      </c>
      <c r="U424" s="74" t="str">
        <f t="shared" si="215"/>
        <v>O</v>
      </c>
      <c r="V424" s="74" t="str">
        <f t="shared" si="216"/>
        <v>U</v>
      </c>
      <c r="W424" s="74" t="str">
        <f t="shared" si="217"/>
        <v>O</v>
      </c>
      <c r="X424" s="74" t="str">
        <f t="shared" si="218"/>
        <v>T</v>
      </c>
      <c r="Y424" s="74"/>
      <c r="Z424" s="74">
        <v>59</v>
      </c>
      <c r="AB424" s="74" t="str">
        <f t="shared" si="219"/>
        <v>TOR/WAS</v>
      </c>
      <c r="AC424" s="74">
        <f t="shared" si="220"/>
        <v>2</v>
      </c>
      <c r="AD424" s="74">
        <f t="shared" si="221"/>
        <v>1</v>
      </c>
    </row>
    <row r="425" spans="1:30" x14ac:dyDescent="0.45">
      <c r="A425" s="74">
        <v>191221</v>
      </c>
      <c r="B425" s="75">
        <v>0.41666666666666669</v>
      </c>
      <c r="C425" s="74" t="s">
        <v>411</v>
      </c>
      <c r="D425" s="74" t="s">
        <v>399</v>
      </c>
      <c r="E425" s="74">
        <v>39</v>
      </c>
      <c r="F425" s="74">
        <v>31</v>
      </c>
      <c r="G425" s="74">
        <v>28</v>
      </c>
      <c r="H425" s="74">
        <v>31</v>
      </c>
      <c r="I425" s="74"/>
      <c r="J425" s="74">
        <v>20</v>
      </c>
      <c r="K425" s="74">
        <v>27</v>
      </c>
      <c r="L425" s="74">
        <v>27</v>
      </c>
      <c r="M425" s="74">
        <v>40</v>
      </c>
      <c r="N425" s="74" t="s">
        <v>427</v>
      </c>
      <c r="O425" s="74">
        <f t="shared" si="209"/>
        <v>129</v>
      </c>
      <c r="P425" s="74">
        <f t="shared" si="210"/>
        <v>114</v>
      </c>
      <c r="Q425" s="74" t="str">
        <f t="shared" si="211"/>
        <v>HW</v>
      </c>
      <c r="R425" s="74" t="str">
        <f t="shared" si="212"/>
        <v>HW</v>
      </c>
      <c r="S425" s="74" t="str">
        <f t="shared" si="213"/>
        <v>HW</v>
      </c>
      <c r="T425" s="74" t="str">
        <f t="shared" si="214"/>
        <v>HL</v>
      </c>
      <c r="U425" s="74" t="str">
        <f t="shared" si="215"/>
        <v>O</v>
      </c>
      <c r="V425" s="74" t="str">
        <f t="shared" si="216"/>
        <v>O</v>
      </c>
      <c r="W425" s="74" t="str">
        <f t="shared" si="217"/>
        <v>U</v>
      </c>
      <c r="X425" s="74" t="str">
        <f t="shared" si="218"/>
        <v>O</v>
      </c>
      <c r="Y425" s="74"/>
      <c r="Z425" s="74">
        <v>55.5</v>
      </c>
      <c r="AB425" s="74" t="str">
        <f t="shared" si="219"/>
        <v>MIA/NYK</v>
      </c>
      <c r="AC425" s="74">
        <f t="shared" si="220"/>
        <v>3</v>
      </c>
      <c r="AD425" s="74">
        <f t="shared" si="221"/>
        <v>1</v>
      </c>
    </row>
    <row r="426" spans="1:30" x14ac:dyDescent="0.45">
      <c r="A426" s="74">
        <v>191221</v>
      </c>
      <c r="B426" s="75">
        <v>0.41666666666666669</v>
      </c>
      <c r="C426" s="74" t="s">
        <v>401</v>
      </c>
      <c r="D426" s="74" t="s">
        <v>397</v>
      </c>
      <c r="E426" s="74">
        <v>28</v>
      </c>
      <c r="F426" s="74">
        <v>29</v>
      </c>
      <c r="G426" s="74">
        <v>20</v>
      </c>
      <c r="H426" s="74">
        <v>21</v>
      </c>
      <c r="I426" s="74"/>
      <c r="J426" s="74">
        <v>35</v>
      </c>
      <c r="K426" s="74">
        <v>28</v>
      </c>
      <c r="L426" s="74">
        <v>25</v>
      </c>
      <c r="M426" s="74">
        <v>29</v>
      </c>
      <c r="N426" s="74" t="s">
        <v>427</v>
      </c>
      <c r="O426" s="74">
        <f t="shared" si="209"/>
        <v>98</v>
      </c>
      <c r="P426" s="74">
        <f t="shared" si="210"/>
        <v>117</v>
      </c>
      <c r="Q426" s="74" t="str">
        <f t="shared" si="211"/>
        <v>HL</v>
      </c>
      <c r="R426" s="74" t="str">
        <f t="shared" si="212"/>
        <v>HW</v>
      </c>
      <c r="S426" s="74" t="str">
        <f t="shared" si="213"/>
        <v>HL</v>
      </c>
      <c r="T426" s="74" t="str">
        <f t="shared" si="214"/>
        <v>HL</v>
      </c>
      <c r="U426" s="74" t="str">
        <f t="shared" si="215"/>
        <v>O</v>
      </c>
      <c r="V426" s="74" t="str">
        <f t="shared" si="216"/>
        <v>O</v>
      </c>
      <c r="W426" s="74" t="str">
        <f t="shared" si="217"/>
        <v>U</v>
      </c>
      <c r="X426" s="74" t="str">
        <f t="shared" si="218"/>
        <v>U</v>
      </c>
      <c r="Y426" s="74"/>
      <c r="Z426" s="74">
        <v>54.5</v>
      </c>
      <c r="AB426" s="74" t="str">
        <f t="shared" si="219"/>
        <v>PHI/DAL</v>
      </c>
      <c r="AC426" s="74">
        <f t="shared" si="220"/>
        <v>2</v>
      </c>
      <c r="AD426" s="74">
        <f t="shared" si="221"/>
        <v>2</v>
      </c>
    </row>
    <row r="427" spans="1:30" x14ac:dyDescent="0.45">
      <c r="A427" s="74">
        <v>191221</v>
      </c>
      <c r="B427" s="75">
        <v>0.41666666666666669</v>
      </c>
      <c r="C427" s="74" t="s">
        <v>418</v>
      </c>
      <c r="D427" s="74" t="s">
        <v>404</v>
      </c>
      <c r="E427" s="74">
        <v>26</v>
      </c>
      <c r="F427" s="74">
        <v>31</v>
      </c>
      <c r="G427" s="74">
        <v>44</v>
      </c>
      <c r="H427" s="74">
        <v>25</v>
      </c>
      <c r="I427" s="74"/>
      <c r="J427" s="74">
        <v>23</v>
      </c>
      <c r="K427" s="74">
        <v>27</v>
      </c>
      <c r="L427" s="74">
        <v>41</v>
      </c>
      <c r="M427" s="74">
        <v>17</v>
      </c>
      <c r="N427" s="74" t="s">
        <v>427</v>
      </c>
      <c r="O427" s="74">
        <f t="shared" si="209"/>
        <v>126</v>
      </c>
      <c r="P427" s="74">
        <f t="shared" si="210"/>
        <v>108</v>
      </c>
      <c r="Q427" s="74" t="str">
        <f t="shared" si="211"/>
        <v>HW</v>
      </c>
      <c r="R427" s="74" t="str">
        <f t="shared" si="212"/>
        <v>HW</v>
      </c>
      <c r="S427" s="74" t="str">
        <f t="shared" si="213"/>
        <v>HW</v>
      </c>
      <c r="T427" s="74" t="str">
        <f t="shared" si="214"/>
        <v>HW</v>
      </c>
      <c r="U427" s="74" t="str">
        <f t="shared" si="215"/>
        <v>U</v>
      </c>
      <c r="V427" s="74" t="str">
        <f t="shared" si="216"/>
        <v>O</v>
      </c>
      <c r="W427" s="74" t="str">
        <f t="shared" si="217"/>
        <v>O</v>
      </c>
      <c r="X427" s="74" t="str">
        <f t="shared" si="218"/>
        <v>U</v>
      </c>
      <c r="Y427" s="74"/>
      <c r="Z427" s="74">
        <v>54</v>
      </c>
      <c r="AB427" s="74" t="str">
        <f t="shared" si="219"/>
        <v>OKC/PHO</v>
      </c>
      <c r="AC427" s="74">
        <f t="shared" si="220"/>
        <v>2</v>
      </c>
      <c r="AD427" s="74">
        <f t="shared" si="221"/>
        <v>2</v>
      </c>
    </row>
    <row r="428" spans="1:30" x14ac:dyDescent="0.45">
      <c r="A428" s="74">
        <v>191221</v>
      </c>
      <c r="B428" s="75">
        <v>0.45833333333333331</v>
      </c>
      <c r="C428" s="74" t="s">
        <v>408</v>
      </c>
      <c r="D428" s="74" t="s">
        <v>420</v>
      </c>
      <c r="E428" s="74">
        <v>33</v>
      </c>
      <c r="F428" s="74">
        <v>28</v>
      </c>
      <c r="G428" s="74">
        <v>21</v>
      </c>
      <c r="H428" s="74">
        <v>27</v>
      </c>
      <c r="I428" s="74"/>
      <c r="J428" s="74">
        <v>20</v>
      </c>
      <c r="K428" s="74">
        <v>31</v>
      </c>
      <c r="L428" s="74">
        <v>24</v>
      </c>
      <c r="M428" s="74">
        <v>25</v>
      </c>
      <c r="N428" s="74" t="s">
        <v>427</v>
      </c>
      <c r="O428" s="74">
        <f t="shared" si="209"/>
        <v>109</v>
      </c>
      <c r="P428" s="74">
        <f t="shared" si="210"/>
        <v>100</v>
      </c>
      <c r="Q428" s="74" t="str">
        <f t="shared" si="211"/>
        <v>HW</v>
      </c>
      <c r="R428" s="74" t="str">
        <f t="shared" si="212"/>
        <v>HL</v>
      </c>
      <c r="S428" s="74" t="str">
        <f t="shared" si="213"/>
        <v>HL</v>
      </c>
      <c r="T428" s="74" t="str">
        <f t="shared" si="214"/>
        <v>HW</v>
      </c>
      <c r="U428" s="74" t="str">
        <f t="shared" si="215"/>
        <v>U</v>
      </c>
      <c r="V428" s="74" t="str">
        <f t="shared" si="216"/>
        <v>O</v>
      </c>
      <c r="W428" s="74" t="str">
        <f t="shared" si="217"/>
        <v>U</v>
      </c>
      <c r="X428" s="74" t="str">
        <f t="shared" si="218"/>
        <v>U</v>
      </c>
      <c r="Y428" s="74"/>
      <c r="Z428" s="74">
        <v>55.5</v>
      </c>
      <c r="AB428" s="74" t="str">
        <f t="shared" si="219"/>
        <v>DEN/MIN</v>
      </c>
      <c r="AC428" s="74">
        <f t="shared" si="220"/>
        <v>1</v>
      </c>
      <c r="AD428" s="74">
        <f t="shared" si="221"/>
        <v>3</v>
      </c>
    </row>
    <row r="429" spans="1:30" x14ac:dyDescent="0.45">
      <c r="A429" s="74">
        <v>191221</v>
      </c>
      <c r="B429" s="75">
        <v>0.5</v>
      </c>
      <c r="C429" s="74" t="s">
        <v>417</v>
      </c>
      <c r="D429" s="74" t="s">
        <v>424</v>
      </c>
      <c r="E429" s="74">
        <v>31</v>
      </c>
      <c r="F429" s="74">
        <v>26</v>
      </c>
      <c r="G429" s="74">
        <v>36</v>
      </c>
      <c r="H429" s="74">
        <v>25</v>
      </c>
      <c r="I429" s="74"/>
      <c r="J429" s="74">
        <v>13</v>
      </c>
      <c r="K429" s="74">
        <v>31</v>
      </c>
      <c r="L429" s="74">
        <v>31</v>
      </c>
      <c r="M429" s="74">
        <v>28</v>
      </c>
      <c r="N429" s="74" t="s">
        <v>427</v>
      </c>
      <c r="O429" s="74">
        <f t="shared" si="209"/>
        <v>118</v>
      </c>
      <c r="P429" s="74">
        <f t="shared" si="210"/>
        <v>103</v>
      </c>
      <c r="Q429" s="74" t="str">
        <f t="shared" si="211"/>
        <v>HW</v>
      </c>
      <c r="R429" s="74" t="str">
        <f t="shared" si="212"/>
        <v>HL</v>
      </c>
      <c r="S429" s="74" t="str">
        <f t="shared" si="213"/>
        <v>HW</v>
      </c>
      <c r="T429" s="74" t="str">
        <f t="shared" si="214"/>
        <v>HL</v>
      </c>
      <c r="U429" s="74" t="str">
        <f t="shared" si="215"/>
        <v>U</v>
      </c>
      <c r="V429" s="74" t="str">
        <f t="shared" si="216"/>
        <v>O</v>
      </c>
      <c r="W429" s="74" t="str">
        <f t="shared" si="217"/>
        <v>O</v>
      </c>
      <c r="X429" s="74" t="str">
        <f t="shared" si="218"/>
        <v>U</v>
      </c>
      <c r="Y429" s="74"/>
      <c r="Z429" s="74">
        <v>56</v>
      </c>
      <c r="AB429" s="74" t="str">
        <f t="shared" si="219"/>
        <v>POR/ORL</v>
      </c>
      <c r="AC429" s="74">
        <f t="shared" si="220"/>
        <v>2</v>
      </c>
      <c r="AD429" s="74">
        <f t="shared" si="221"/>
        <v>2</v>
      </c>
    </row>
    <row r="430" spans="1:30" x14ac:dyDescent="0.45">
      <c r="A430" s="74">
        <v>191221</v>
      </c>
      <c r="B430" s="75">
        <v>0.52083333333333337</v>
      </c>
      <c r="C430" s="74" t="s">
        <v>425</v>
      </c>
      <c r="D430" s="74" t="s">
        <v>398</v>
      </c>
      <c r="E430" s="74">
        <v>31</v>
      </c>
      <c r="F430" s="74">
        <v>25</v>
      </c>
      <c r="G430" s="74">
        <v>22</v>
      </c>
      <c r="H430" s="74">
        <v>28</v>
      </c>
      <c r="I430" s="74"/>
      <c r="J430" s="74">
        <v>16</v>
      </c>
      <c r="K430" s="74">
        <v>28</v>
      </c>
      <c r="L430" s="74">
        <v>37</v>
      </c>
      <c r="M430" s="74">
        <v>21</v>
      </c>
      <c r="N430" s="74" t="s">
        <v>427</v>
      </c>
      <c r="O430" s="74">
        <f t="shared" si="209"/>
        <v>106</v>
      </c>
      <c r="P430" s="74">
        <f t="shared" si="210"/>
        <v>102</v>
      </c>
      <c r="Q430" s="74" t="str">
        <f t="shared" si="211"/>
        <v>HW</v>
      </c>
      <c r="R430" s="74" t="str">
        <f t="shared" si="212"/>
        <v>HL</v>
      </c>
      <c r="S430" s="74" t="str">
        <f t="shared" si="213"/>
        <v>HL</v>
      </c>
      <c r="T430" s="74" t="str">
        <f t="shared" si="214"/>
        <v>HW</v>
      </c>
      <c r="U430" s="74" t="str">
        <f t="shared" si="215"/>
        <v>U</v>
      </c>
      <c r="V430" s="74" t="str">
        <f t="shared" si="216"/>
        <v>U</v>
      </c>
      <c r="W430" s="74" t="str">
        <f t="shared" si="217"/>
        <v>O</v>
      </c>
      <c r="X430" s="74" t="str">
        <f t="shared" si="218"/>
        <v>U</v>
      </c>
      <c r="Y430" s="74"/>
      <c r="Z430" s="74">
        <v>57.5</v>
      </c>
      <c r="AB430" s="74" t="str">
        <f t="shared" si="219"/>
        <v>GS/NO</v>
      </c>
      <c r="AC430" s="74">
        <f t="shared" si="220"/>
        <v>1</v>
      </c>
      <c r="AD430" s="74">
        <f t="shared" si="221"/>
        <v>3</v>
      </c>
    </row>
    <row r="431" spans="1:30" x14ac:dyDescent="0.45">
      <c r="A431" s="49">
        <v>191222</v>
      </c>
      <c r="B431" s="51">
        <v>0.29166666666666669</v>
      </c>
      <c r="C431" s="50" t="s">
        <v>428</v>
      </c>
      <c r="D431" s="50" t="s">
        <v>405</v>
      </c>
      <c r="E431" s="101">
        <v>33</v>
      </c>
      <c r="F431" s="101">
        <v>31</v>
      </c>
      <c r="G431" s="101">
        <v>22</v>
      </c>
      <c r="H431" s="101">
        <v>21</v>
      </c>
      <c r="I431" s="101"/>
      <c r="J431" s="101">
        <v>31</v>
      </c>
      <c r="K431" s="101">
        <v>25</v>
      </c>
      <c r="L431" s="101">
        <v>28</v>
      </c>
      <c r="M431" s="101">
        <v>30</v>
      </c>
      <c r="N431" s="101" t="s">
        <v>427</v>
      </c>
      <c r="O431" s="186">
        <f t="shared" ref="O431:O494" si="222">SUM(E431:I431)</f>
        <v>107</v>
      </c>
      <c r="P431" s="186">
        <f t="shared" ref="P431:P494" si="223">SUM(J431:N431)</f>
        <v>114</v>
      </c>
      <c r="Q431" s="186" t="str">
        <f t="shared" ref="Q431:Q494" si="224">IF(E431=J431,"TT",IF(E431&gt;J431,"HW","HL"))</f>
        <v>HW</v>
      </c>
      <c r="R431" s="186" t="str">
        <f t="shared" ref="R431:R494" si="225">IF(F431=K431,"TT",IF(F431&gt;K431,"HW","HL"))</f>
        <v>HW</v>
      </c>
      <c r="S431" s="186" t="str">
        <f t="shared" ref="S431:S494" si="226">IF(G431=L431,"TT",IF(G431&gt;L431,"HW","HL"))</f>
        <v>HL</v>
      </c>
      <c r="T431" s="186" t="str">
        <f t="shared" ref="T431:T494" si="227">IF(H431=M431,"TT",IF(H431&gt;M431,"HW","HL"))</f>
        <v>HL</v>
      </c>
      <c r="U431" s="186" t="str">
        <f t="shared" ref="U431:U494" si="228">IF(SUM(E431,J431)=$Z431,"T",IF(SUM(E431,J431)&gt;$Z431,"O","U"))</f>
        <v>O</v>
      </c>
      <c r="V431" s="186" t="str">
        <f t="shared" ref="V431:V494" si="229">IF(SUM(F431,K431)=$Z431,"T",IF(SUM(F431,K431)&gt;$Z431,"O","U"))</f>
        <v>O</v>
      </c>
      <c r="W431" s="186" t="str">
        <f t="shared" ref="W431:W494" si="230">IF(SUM(G431,L431)=$Z431,"T",IF(SUM(G431,L431)&gt;$Z431,"O","U"))</f>
        <v>U</v>
      </c>
      <c r="X431" s="186" t="str">
        <f t="shared" ref="X431:X494" si="231">IF(SUM(H431,M431)=$Z431,"T",IF(SUM(H431,M431)&gt;$Z431,"O","U"))</f>
        <v>U</v>
      </c>
      <c r="Y431" s="186"/>
      <c r="Z431" s="98">
        <v>52.5</v>
      </c>
      <c r="AB431" s="90" t="str">
        <f t="shared" si="219"/>
        <v>CHA/UTA</v>
      </c>
      <c r="AC431" s="186">
        <f t="shared" ref="AC431:AC494" si="232">COUNTIF(U431:X431,"o")</f>
        <v>2</v>
      </c>
      <c r="AD431" s="186">
        <f t="shared" ref="AD431:AD494" si="233">COUNTIF(U431:X431,"u")</f>
        <v>2</v>
      </c>
    </row>
    <row r="432" spans="1:30" x14ac:dyDescent="0.45">
      <c r="A432" s="50">
        <v>191222</v>
      </c>
      <c r="B432" s="51">
        <v>0.33333333333333331</v>
      </c>
      <c r="C432" s="50" t="s">
        <v>407</v>
      </c>
      <c r="D432" s="50" t="s">
        <v>410</v>
      </c>
      <c r="E432" s="100">
        <v>34</v>
      </c>
      <c r="F432" s="100">
        <v>26</v>
      </c>
      <c r="G432" s="100">
        <v>25</v>
      </c>
      <c r="H432" s="100">
        <v>37</v>
      </c>
      <c r="I432" s="100"/>
      <c r="J432" s="100">
        <v>34</v>
      </c>
      <c r="K432" s="100">
        <v>39</v>
      </c>
      <c r="L432" s="100">
        <v>25</v>
      </c>
      <c r="M432" s="100">
        <v>14</v>
      </c>
      <c r="O432" s="186">
        <f t="shared" si="222"/>
        <v>122</v>
      </c>
      <c r="P432" s="186">
        <f t="shared" si="223"/>
        <v>112</v>
      </c>
      <c r="Q432" s="186" t="str">
        <f t="shared" si="224"/>
        <v>TT</v>
      </c>
      <c r="R432" s="186" t="str">
        <f t="shared" si="225"/>
        <v>HL</v>
      </c>
      <c r="S432" s="186" t="str">
        <f t="shared" si="226"/>
        <v>TT</v>
      </c>
      <c r="T432" s="186" t="str">
        <f t="shared" si="227"/>
        <v>HW</v>
      </c>
      <c r="U432" s="186" t="str">
        <f t="shared" si="228"/>
        <v>O</v>
      </c>
      <c r="V432" s="186" t="str">
        <f t="shared" si="229"/>
        <v>O</v>
      </c>
      <c r="W432" s="186" t="str">
        <f t="shared" si="230"/>
        <v>U</v>
      </c>
      <c r="X432" s="186" t="str">
        <f t="shared" si="231"/>
        <v>U</v>
      </c>
      <c r="Y432" s="186"/>
      <c r="Z432" s="98">
        <v>58</v>
      </c>
      <c r="AB432" s="90" t="str">
        <f t="shared" si="219"/>
        <v>BKN/ATL</v>
      </c>
      <c r="AC432" s="186">
        <f t="shared" si="232"/>
        <v>2</v>
      </c>
      <c r="AD432" s="186">
        <f t="shared" si="233"/>
        <v>2</v>
      </c>
    </row>
    <row r="433" spans="1:30" x14ac:dyDescent="0.45">
      <c r="A433" s="50">
        <v>191222</v>
      </c>
      <c r="B433" s="51">
        <v>0.375</v>
      </c>
      <c r="C433" s="50" t="s">
        <v>422</v>
      </c>
      <c r="D433" s="50" t="s">
        <v>412</v>
      </c>
      <c r="E433" s="102">
        <v>28</v>
      </c>
      <c r="F433" s="102">
        <v>31</v>
      </c>
      <c r="G433" s="102">
        <v>30</v>
      </c>
      <c r="H433" s="102">
        <v>18</v>
      </c>
      <c r="I433" s="102"/>
      <c r="J433" s="102">
        <v>25</v>
      </c>
      <c r="K433" s="102">
        <v>28</v>
      </c>
      <c r="L433" s="102">
        <v>40</v>
      </c>
      <c r="M433" s="102">
        <v>26</v>
      </c>
      <c r="N433" s="102" t="s">
        <v>427</v>
      </c>
      <c r="O433" s="186">
        <f t="shared" si="222"/>
        <v>107</v>
      </c>
      <c r="P433" s="186">
        <f t="shared" si="223"/>
        <v>119</v>
      </c>
      <c r="Q433" s="186" t="str">
        <f t="shared" si="224"/>
        <v>HW</v>
      </c>
      <c r="R433" s="186" t="str">
        <f t="shared" si="225"/>
        <v>HW</v>
      </c>
      <c r="S433" s="186" t="str">
        <f t="shared" si="226"/>
        <v>HL</v>
      </c>
      <c r="T433" s="186" t="str">
        <f t="shared" si="227"/>
        <v>HL</v>
      </c>
      <c r="U433" s="186" t="str">
        <f t="shared" si="228"/>
        <v>O</v>
      </c>
      <c r="V433" s="186" t="str">
        <f t="shared" si="229"/>
        <v>O</v>
      </c>
      <c r="W433" s="186" t="str">
        <f t="shared" si="230"/>
        <v>O</v>
      </c>
      <c r="X433" s="186" t="str">
        <f t="shared" si="231"/>
        <v>U</v>
      </c>
      <c r="Y433" s="186"/>
      <c r="Z433" s="98">
        <v>52.5</v>
      </c>
      <c r="AB433" s="90" t="str">
        <f t="shared" si="219"/>
        <v>DET/CHI</v>
      </c>
      <c r="AC433" s="186">
        <f t="shared" si="232"/>
        <v>3</v>
      </c>
      <c r="AD433" s="186">
        <f t="shared" si="233"/>
        <v>1</v>
      </c>
    </row>
    <row r="434" spans="1:30" x14ac:dyDescent="0.45">
      <c r="A434" s="50">
        <v>191222</v>
      </c>
      <c r="B434" s="51">
        <v>0.375</v>
      </c>
      <c r="C434" s="50" t="s">
        <v>401</v>
      </c>
      <c r="D434" s="50" t="s">
        <v>414</v>
      </c>
      <c r="E434" s="105">
        <v>32</v>
      </c>
      <c r="F434" s="105">
        <v>33</v>
      </c>
      <c r="G434" s="105">
        <v>23</v>
      </c>
      <c r="H434" s="105">
        <v>37</v>
      </c>
      <c r="I434" s="105"/>
      <c r="J434" s="105">
        <v>25</v>
      </c>
      <c r="K434" s="105">
        <v>28</v>
      </c>
      <c r="L434" s="105">
        <v>27</v>
      </c>
      <c r="M434" s="105">
        <v>28</v>
      </c>
      <c r="N434" s="105" t="s">
        <v>427</v>
      </c>
      <c r="O434" s="186">
        <f t="shared" si="222"/>
        <v>125</v>
      </c>
      <c r="P434" s="186">
        <f t="shared" si="223"/>
        <v>108</v>
      </c>
      <c r="Q434" s="186" t="str">
        <f t="shared" si="224"/>
        <v>HW</v>
      </c>
      <c r="R434" s="186" t="str">
        <f t="shared" si="225"/>
        <v>HW</v>
      </c>
      <c r="S434" s="186" t="str">
        <f t="shared" si="226"/>
        <v>HL</v>
      </c>
      <c r="T434" s="186" t="str">
        <f t="shared" si="227"/>
        <v>HW</v>
      </c>
      <c r="U434" s="186" t="str">
        <f t="shared" si="228"/>
        <v>T</v>
      </c>
      <c r="V434" s="186" t="str">
        <f t="shared" si="229"/>
        <v>O</v>
      </c>
      <c r="W434" s="186" t="str">
        <f t="shared" si="230"/>
        <v>U</v>
      </c>
      <c r="X434" s="186" t="str">
        <f t="shared" si="231"/>
        <v>O</v>
      </c>
      <c r="Y434" s="186"/>
      <c r="Z434" s="98">
        <v>57</v>
      </c>
      <c r="AB434" s="90" t="str">
        <f t="shared" si="219"/>
        <v>PHI/WAS</v>
      </c>
      <c r="AC434" s="186">
        <f t="shared" si="232"/>
        <v>2</v>
      </c>
      <c r="AD434" s="186">
        <f t="shared" si="233"/>
        <v>1</v>
      </c>
    </row>
    <row r="435" spans="1:30" x14ac:dyDescent="0.45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04">
        <v>23</v>
      </c>
      <c r="F435" s="104">
        <v>31</v>
      </c>
      <c r="G435" s="104">
        <v>16</v>
      </c>
      <c r="H435" s="104">
        <v>32</v>
      </c>
      <c r="I435" s="104"/>
      <c r="J435" s="104">
        <v>37</v>
      </c>
      <c r="K435" s="104">
        <v>31</v>
      </c>
      <c r="L435" s="104">
        <v>27</v>
      </c>
      <c r="M435" s="104">
        <v>28</v>
      </c>
      <c r="N435" s="104" t="s">
        <v>427</v>
      </c>
      <c r="O435" s="186">
        <f t="shared" si="222"/>
        <v>102</v>
      </c>
      <c r="P435" s="186">
        <f t="shared" si="223"/>
        <v>123</v>
      </c>
      <c r="Q435" s="186" t="str">
        <f t="shared" si="224"/>
        <v>HL</v>
      </c>
      <c r="R435" s="186" t="str">
        <f t="shared" si="225"/>
        <v>TT</v>
      </c>
      <c r="S435" s="186" t="str">
        <f t="shared" si="226"/>
        <v>HL</v>
      </c>
      <c r="T435" s="186" t="str">
        <f t="shared" si="227"/>
        <v>HW</v>
      </c>
      <c r="U435" s="186" t="str">
        <f t="shared" si="228"/>
        <v>O</v>
      </c>
      <c r="V435" s="186" t="str">
        <f t="shared" si="229"/>
        <v>O</v>
      </c>
      <c r="W435" s="186" t="str">
        <f t="shared" si="230"/>
        <v>U</v>
      </c>
      <c r="X435" s="186" t="str">
        <f t="shared" si="231"/>
        <v>O</v>
      </c>
      <c r="Y435" s="186"/>
      <c r="Z435" s="98">
        <v>57</v>
      </c>
      <c r="AB435" s="90" t="str">
        <f t="shared" si="219"/>
        <v>NYK/MIL</v>
      </c>
      <c r="AC435" s="186">
        <f t="shared" si="232"/>
        <v>3</v>
      </c>
      <c r="AD435" s="186">
        <f t="shared" si="233"/>
        <v>1</v>
      </c>
    </row>
    <row r="436" spans="1:30" x14ac:dyDescent="0.45">
      <c r="A436" s="50">
        <v>191222</v>
      </c>
      <c r="B436" s="51">
        <v>0.41666666666666669</v>
      </c>
      <c r="C436" s="50" t="s">
        <v>406</v>
      </c>
      <c r="D436" s="50" t="s">
        <v>416</v>
      </c>
      <c r="E436" s="103">
        <v>23</v>
      </c>
      <c r="F436" s="103">
        <v>37</v>
      </c>
      <c r="G436" s="103">
        <v>31</v>
      </c>
      <c r="H436" s="103">
        <v>28</v>
      </c>
      <c r="I436" s="103"/>
      <c r="J436" s="103">
        <v>21</v>
      </c>
      <c r="K436" s="103">
        <v>29</v>
      </c>
      <c r="L436" s="103">
        <v>28</v>
      </c>
      <c r="M436" s="103">
        <v>37</v>
      </c>
      <c r="N436" s="103" t="s">
        <v>427</v>
      </c>
      <c r="O436" s="186">
        <f t="shared" si="222"/>
        <v>119</v>
      </c>
      <c r="P436" s="186">
        <f t="shared" si="223"/>
        <v>115</v>
      </c>
      <c r="Q436" s="186" t="str">
        <f t="shared" si="224"/>
        <v>HW</v>
      </c>
      <c r="R436" s="186" t="str">
        <f t="shared" si="225"/>
        <v>HW</v>
      </c>
      <c r="S436" s="186" t="str">
        <f t="shared" si="226"/>
        <v>HW</v>
      </c>
      <c r="T436" s="186" t="str">
        <f t="shared" si="227"/>
        <v>HL</v>
      </c>
      <c r="U436" s="186" t="str">
        <f t="shared" si="228"/>
        <v>U</v>
      </c>
      <c r="V436" s="186" t="str">
        <f t="shared" si="229"/>
        <v>O</v>
      </c>
      <c r="W436" s="186" t="str">
        <f t="shared" si="230"/>
        <v>O</v>
      </c>
      <c r="X436" s="186" t="str">
        <f t="shared" si="231"/>
        <v>O</v>
      </c>
      <c r="Y436" s="186"/>
      <c r="Z436" s="98">
        <v>55.5</v>
      </c>
      <c r="AB436" s="90" t="str">
        <f t="shared" si="219"/>
        <v>MEM/SAC</v>
      </c>
      <c r="AC436" s="186">
        <f t="shared" si="232"/>
        <v>3</v>
      </c>
      <c r="AD436" s="186">
        <f t="shared" si="233"/>
        <v>1</v>
      </c>
    </row>
    <row r="437" spans="1:30" x14ac:dyDescent="0.45">
      <c r="A437" s="50">
        <v>191222</v>
      </c>
      <c r="B437" s="51">
        <v>0.4375</v>
      </c>
      <c r="C437" s="50" t="s">
        <v>426</v>
      </c>
      <c r="D437" s="50" t="s">
        <v>415</v>
      </c>
      <c r="E437" s="108">
        <v>31</v>
      </c>
      <c r="F437" s="108">
        <v>30</v>
      </c>
      <c r="G437" s="108">
        <v>22</v>
      </c>
      <c r="H437" s="108">
        <v>26</v>
      </c>
      <c r="I437" s="108"/>
      <c r="J437" s="108">
        <v>33</v>
      </c>
      <c r="K437" s="108">
        <v>39</v>
      </c>
      <c r="L437" s="108">
        <v>38</v>
      </c>
      <c r="M437" s="108">
        <v>24</v>
      </c>
      <c r="N437" s="108" t="s">
        <v>427</v>
      </c>
      <c r="O437" s="186">
        <f t="shared" si="222"/>
        <v>109</v>
      </c>
      <c r="P437" s="186">
        <f t="shared" si="223"/>
        <v>134</v>
      </c>
      <c r="Q437" s="186" t="str">
        <f t="shared" si="224"/>
        <v>HL</v>
      </c>
      <c r="R437" s="186" t="str">
        <f t="shared" si="225"/>
        <v>HL</v>
      </c>
      <c r="S437" s="186" t="str">
        <f t="shared" si="226"/>
        <v>HL</v>
      </c>
      <c r="T437" s="186" t="str">
        <f t="shared" si="227"/>
        <v>HW</v>
      </c>
      <c r="U437" s="186" t="str">
        <f t="shared" si="228"/>
        <v>O</v>
      </c>
      <c r="V437" s="186" t="str">
        <f t="shared" si="229"/>
        <v>O</v>
      </c>
      <c r="W437" s="186" t="str">
        <f t="shared" si="230"/>
        <v>O</v>
      </c>
      <c r="X437" s="186" t="str">
        <f t="shared" si="231"/>
        <v>U</v>
      </c>
      <c r="Y437" s="186"/>
      <c r="Z437" s="98">
        <v>56.5</v>
      </c>
      <c r="AB437" s="90" t="str">
        <f t="shared" si="219"/>
        <v>SAS/LAC</v>
      </c>
      <c r="AC437" s="186">
        <f t="shared" si="232"/>
        <v>3</v>
      </c>
      <c r="AD437" s="186">
        <f t="shared" si="233"/>
        <v>1</v>
      </c>
    </row>
    <row r="438" spans="1:30" x14ac:dyDescent="0.45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06">
        <v>35</v>
      </c>
      <c r="F438" s="106">
        <v>30</v>
      </c>
      <c r="G438" s="106">
        <v>30</v>
      </c>
      <c r="H438" s="106">
        <v>30</v>
      </c>
      <c r="I438" s="106"/>
      <c r="J438" s="106">
        <v>36</v>
      </c>
      <c r="K438" s="106">
        <v>34</v>
      </c>
      <c r="L438" s="106">
        <v>36</v>
      </c>
      <c r="M438" s="106">
        <v>33</v>
      </c>
      <c r="N438" s="106" t="s">
        <v>427</v>
      </c>
      <c r="O438" s="186">
        <f t="shared" si="222"/>
        <v>125</v>
      </c>
      <c r="P438" s="186">
        <f t="shared" si="223"/>
        <v>139</v>
      </c>
      <c r="Q438" s="186" t="str">
        <f t="shared" si="224"/>
        <v>HL</v>
      </c>
      <c r="R438" s="186" t="str">
        <f t="shared" si="225"/>
        <v>HL</v>
      </c>
      <c r="S438" s="186" t="str">
        <f t="shared" si="226"/>
        <v>HL</v>
      </c>
      <c r="T438" s="186" t="str">
        <f t="shared" si="227"/>
        <v>HL</v>
      </c>
      <c r="U438" s="186" t="str">
        <f t="shared" si="228"/>
        <v>O</v>
      </c>
      <c r="V438" s="186" t="str">
        <f t="shared" si="229"/>
        <v>O</v>
      </c>
      <c r="W438" s="186" t="str">
        <f t="shared" si="230"/>
        <v>O</v>
      </c>
      <c r="X438" s="186" t="str">
        <f t="shared" si="231"/>
        <v>O</v>
      </c>
      <c r="Y438" s="186"/>
      <c r="Z438" s="98">
        <v>59</v>
      </c>
      <c r="AB438" s="90" t="str">
        <f t="shared" si="219"/>
        <v>PHO/HOU</v>
      </c>
      <c r="AC438" s="186">
        <f t="shared" si="232"/>
        <v>4</v>
      </c>
      <c r="AD438" s="186">
        <f t="shared" si="233"/>
        <v>0</v>
      </c>
    </row>
    <row r="439" spans="1:30" x14ac:dyDescent="0.45">
      <c r="A439" s="50">
        <v>191222</v>
      </c>
      <c r="B439" s="51">
        <v>0.5</v>
      </c>
      <c r="C439" s="50" t="s">
        <v>417</v>
      </c>
      <c r="D439" s="50" t="s">
        <v>420</v>
      </c>
      <c r="E439" s="107">
        <v>27</v>
      </c>
      <c r="F439" s="107">
        <v>34</v>
      </c>
      <c r="G439" s="107">
        <v>22</v>
      </c>
      <c r="H439" s="107">
        <v>30</v>
      </c>
      <c r="I439" s="107"/>
      <c r="J439" s="107">
        <v>23</v>
      </c>
      <c r="K439" s="107">
        <v>29</v>
      </c>
      <c r="L439" s="107">
        <v>28</v>
      </c>
      <c r="M439" s="107">
        <v>26</v>
      </c>
      <c r="N439" s="107" t="s">
        <v>427</v>
      </c>
      <c r="O439" s="186">
        <f t="shared" si="222"/>
        <v>113</v>
      </c>
      <c r="P439" s="186">
        <f t="shared" si="223"/>
        <v>106</v>
      </c>
      <c r="Q439" s="186" t="str">
        <f t="shared" si="224"/>
        <v>HW</v>
      </c>
      <c r="R439" s="186" t="str">
        <f t="shared" si="225"/>
        <v>HW</v>
      </c>
      <c r="S439" s="186" t="str">
        <f t="shared" si="226"/>
        <v>HL</v>
      </c>
      <c r="T439" s="186" t="str">
        <f t="shared" si="227"/>
        <v>HW</v>
      </c>
      <c r="U439" s="186" t="str">
        <f t="shared" si="228"/>
        <v>U</v>
      </c>
      <c r="V439" s="186" t="str">
        <f t="shared" si="229"/>
        <v>O</v>
      </c>
      <c r="W439" s="186" t="str">
        <f t="shared" si="230"/>
        <v>U</v>
      </c>
      <c r="X439" s="186" t="str">
        <f t="shared" si="231"/>
        <v>U</v>
      </c>
      <c r="Y439" s="186"/>
      <c r="Z439" s="98">
        <v>57</v>
      </c>
      <c r="AB439" s="90" t="str">
        <f t="shared" si="219"/>
        <v>POR/MIN</v>
      </c>
      <c r="AC439" s="186">
        <f t="shared" si="232"/>
        <v>1</v>
      </c>
      <c r="AD439" s="186">
        <f t="shared" si="233"/>
        <v>3</v>
      </c>
    </row>
    <row r="440" spans="1:30" x14ac:dyDescent="0.45">
      <c r="A440" s="90">
        <v>191223</v>
      </c>
      <c r="B440" s="91">
        <v>0.22916666666666666</v>
      </c>
      <c r="C440" s="90" t="s">
        <v>413</v>
      </c>
      <c r="D440" s="90" t="s">
        <v>397</v>
      </c>
      <c r="E440" s="113">
        <v>20</v>
      </c>
      <c r="F440" s="113">
        <v>22</v>
      </c>
      <c r="G440" s="113">
        <v>21</v>
      </c>
      <c r="H440" s="113">
        <v>47</v>
      </c>
      <c r="I440" s="113"/>
      <c r="J440" s="113">
        <v>17</v>
      </c>
      <c r="K440" s="113">
        <v>34</v>
      </c>
      <c r="L440" s="113">
        <v>35</v>
      </c>
      <c r="M440" s="113">
        <v>21</v>
      </c>
      <c r="N440" s="113" t="s">
        <v>427</v>
      </c>
      <c r="O440" s="186">
        <f t="shared" si="222"/>
        <v>110</v>
      </c>
      <c r="P440" s="186">
        <f t="shared" si="223"/>
        <v>107</v>
      </c>
      <c r="Q440" s="186" t="str">
        <f t="shared" si="224"/>
        <v>HW</v>
      </c>
      <c r="R440" s="186" t="str">
        <f t="shared" si="225"/>
        <v>HL</v>
      </c>
      <c r="S440" s="186" t="str">
        <f t="shared" si="226"/>
        <v>HL</v>
      </c>
      <c r="T440" s="186" t="str">
        <f t="shared" si="227"/>
        <v>HW</v>
      </c>
      <c r="U440" s="186" t="str">
        <f t="shared" si="228"/>
        <v>U</v>
      </c>
      <c r="V440" s="186" t="str">
        <f t="shared" si="229"/>
        <v>O</v>
      </c>
      <c r="W440" s="186" t="str">
        <f t="shared" si="230"/>
        <v>O</v>
      </c>
      <c r="X440" s="186" t="str">
        <f t="shared" si="231"/>
        <v>O</v>
      </c>
      <c r="Y440" s="186"/>
      <c r="Z440" s="98">
        <v>55</v>
      </c>
      <c r="AB440" s="90" t="str">
        <f t="shared" si="219"/>
        <v>TOR/DAL</v>
      </c>
      <c r="AC440" s="186">
        <f t="shared" si="232"/>
        <v>3</v>
      </c>
      <c r="AD440" s="186">
        <f t="shared" si="233"/>
        <v>1</v>
      </c>
    </row>
    <row r="441" spans="1:30" x14ac:dyDescent="0.45">
      <c r="A441" s="90">
        <v>191223</v>
      </c>
      <c r="B441" s="91">
        <v>0.33333333333333331</v>
      </c>
      <c r="C441" s="90" t="s">
        <v>421</v>
      </c>
      <c r="D441" s="90" t="s">
        <v>409</v>
      </c>
      <c r="E441" s="109">
        <v>30</v>
      </c>
      <c r="F441" s="109">
        <v>29</v>
      </c>
      <c r="G441" s="109">
        <v>25</v>
      </c>
      <c r="H441" s="109">
        <v>35</v>
      </c>
      <c r="I441" s="109"/>
      <c r="J441" s="109">
        <v>37</v>
      </c>
      <c r="K441" s="109">
        <v>19</v>
      </c>
      <c r="L441" s="109">
        <v>21</v>
      </c>
      <c r="M441" s="109">
        <v>16</v>
      </c>
      <c r="N441" s="109" t="s">
        <v>427</v>
      </c>
      <c r="O441" s="186">
        <f t="shared" si="222"/>
        <v>119</v>
      </c>
      <c r="P441" s="186">
        <f t="shared" si="223"/>
        <v>93</v>
      </c>
      <c r="Q441" s="186" t="str">
        <f t="shared" si="224"/>
        <v>HL</v>
      </c>
      <c r="R441" s="186" t="str">
        <f t="shared" si="225"/>
        <v>HW</v>
      </c>
      <c r="S441" s="186" t="str">
        <f t="shared" si="226"/>
        <v>HW</v>
      </c>
      <c r="T441" s="186" t="str">
        <f t="shared" si="227"/>
        <v>HW</v>
      </c>
      <c r="U441" s="186" t="str">
        <f t="shared" si="228"/>
        <v>O</v>
      </c>
      <c r="V441" s="186" t="str">
        <f t="shared" si="229"/>
        <v>U</v>
      </c>
      <c r="W441" s="186" t="str">
        <f t="shared" si="230"/>
        <v>U</v>
      </c>
      <c r="X441" s="186" t="str">
        <f t="shared" si="231"/>
        <v>U</v>
      </c>
      <c r="Y441" s="186"/>
      <c r="Z441" s="98">
        <v>52.5</v>
      </c>
      <c r="AB441" s="90" t="str">
        <f t="shared" si="219"/>
        <v>BOS/CHA</v>
      </c>
      <c r="AC441" s="186">
        <f t="shared" si="232"/>
        <v>1</v>
      </c>
      <c r="AD441" s="186">
        <f t="shared" si="233"/>
        <v>3</v>
      </c>
    </row>
    <row r="442" spans="1:30" x14ac:dyDescent="0.45">
      <c r="A442" s="90">
        <v>191223</v>
      </c>
      <c r="B442" s="91">
        <v>0.375</v>
      </c>
      <c r="C442" s="90" t="s">
        <v>423</v>
      </c>
      <c r="D442" s="90" t="s">
        <v>400</v>
      </c>
      <c r="E442" s="111">
        <v>21</v>
      </c>
      <c r="F442" s="111">
        <v>38</v>
      </c>
      <c r="G442" s="111">
        <v>24</v>
      </c>
      <c r="H442" s="111">
        <v>34</v>
      </c>
      <c r="I442" s="111"/>
      <c r="J442" s="111">
        <v>22</v>
      </c>
      <c r="K442" s="111">
        <v>33</v>
      </c>
      <c r="L442" s="111">
        <v>18</v>
      </c>
      <c r="M442" s="111">
        <v>16</v>
      </c>
      <c r="O442" s="186">
        <f t="shared" si="222"/>
        <v>117</v>
      </c>
      <c r="P442" s="186">
        <f t="shared" si="223"/>
        <v>89</v>
      </c>
      <c r="Q442" s="186" t="str">
        <f t="shared" si="224"/>
        <v>HL</v>
      </c>
      <c r="R442" s="186" t="str">
        <f t="shared" si="225"/>
        <v>HW</v>
      </c>
      <c r="S442" s="186" t="str">
        <f t="shared" si="226"/>
        <v>HW</v>
      </c>
      <c r="T442" s="186" t="str">
        <f t="shared" si="227"/>
        <v>HW</v>
      </c>
      <c r="U442" s="186" t="str">
        <f t="shared" si="228"/>
        <v>U</v>
      </c>
      <c r="V442" s="186" t="str">
        <f t="shared" si="229"/>
        <v>O</v>
      </c>
      <c r="W442" s="186" t="str">
        <f t="shared" si="230"/>
        <v>U</v>
      </c>
      <c r="X442" s="186" t="str">
        <f t="shared" si="231"/>
        <v>U</v>
      </c>
      <c r="Y442" s="186"/>
      <c r="Z442" s="98">
        <v>55.5</v>
      </c>
      <c r="AB442" s="90" t="str">
        <f t="shared" si="219"/>
        <v>MIL/IND</v>
      </c>
      <c r="AC442" s="186">
        <f t="shared" si="232"/>
        <v>1</v>
      </c>
      <c r="AD442" s="186">
        <f t="shared" si="233"/>
        <v>3</v>
      </c>
    </row>
    <row r="443" spans="1:30" x14ac:dyDescent="0.45">
      <c r="A443" s="90">
        <v>191223</v>
      </c>
      <c r="B443" s="91">
        <v>0.375</v>
      </c>
      <c r="C443" s="90" t="s">
        <v>418</v>
      </c>
      <c r="D443" s="90" t="s">
        <v>415</v>
      </c>
      <c r="E443" s="112">
        <v>27</v>
      </c>
      <c r="F443" s="112">
        <v>30</v>
      </c>
      <c r="G443" s="112">
        <v>29</v>
      </c>
      <c r="H443" s="112">
        <v>32</v>
      </c>
      <c r="I443" s="112"/>
      <c r="J443" s="112">
        <v>33</v>
      </c>
      <c r="K443" s="112">
        <v>30</v>
      </c>
      <c r="L443" s="112">
        <v>26</v>
      </c>
      <c r="M443" s="112">
        <v>23</v>
      </c>
      <c r="N443" s="112" t="s">
        <v>427</v>
      </c>
      <c r="O443" s="186">
        <f t="shared" si="222"/>
        <v>118</v>
      </c>
      <c r="P443" s="186">
        <f t="shared" si="223"/>
        <v>112</v>
      </c>
      <c r="Q443" s="186" t="str">
        <f t="shared" si="224"/>
        <v>HL</v>
      </c>
      <c r="R443" s="186" t="str">
        <f t="shared" si="225"/>
        <v>TT</v>
      </c>
      <c r="S443" s="186" t="str">
        <f t="shared" si="226"/>
        <v>HW</v>
      </c>
      <c r="T443" s="186" t="str">
        <f t="shared" si="227"/>
        <v>HW</v>
      </c>
      <c r="U443" s="186" t="str">
        <f t="shared" si="228"/>
        <v>O</v>
      </c>
      <c r="V443" s="186" t="str">
        <f t="shared" si="229"/>
        <v>O</v>
      </c>
      <c r="W443" s="186" t="str">
        <f t="shared" si="230"/>
        <v>U</v>
      </c>
      <c r="X443" s="186" t="str">
        <f t="shared" si="231"/>
        <v>U</v>
      </c>
      <c r="Y443" s="186"/>
      <c r="Z443" s="98">
        <v>56</v>
      </c>
      <c r="AB443" s="90" t="str">
        <f t="shared" si="219"/>
        <v>OKC/LAC</v>
      </c>
      <c r="AC443" s="186">
        <f t="shared" si="232"/>
        <v>2</v>
      </c>
      <c r="AD443" s="186">
        <f t="shared" si="233"/>
        <v>2</v>
      </c>
    </row>
    <row r="444" spans="1:30" x14ac:dyDescent="0.45">
      <c r="A444" s="90">
        <v>191223</v>
      </c>
      <c r="B444" s="91">
        <v>0.47916666666666669</v>
      </c>
      <c r="C444" s="90" t="s">
        <v>419</v>
      </c>
      <c r="D444" s="90" t="s">
        <v>408</v>
      </c>
      <c r="E444" s="110">
        <v>28</v>
      </c>
      <c r="F444" s="110">
        <v>25</v>
      </c>
      <c r="G444" s="110">
        <v>25</v>
      </c>
      <c r="H444" s="110">
        <v>26</v>
      </c>
      <c r="I444" s="110"/>
      <c r="J444" s="110">
        <v>23</v>
      </c>
      <c r="K444" s="110">
        <v>32</v>
      </c>
      <c r="L444" s="110">
        <v>36</v>
      </c>
      <c r="M444" s="110">
        <v>37</v>
      </c>
      <c r="N444" s="110" t="s">
        <v>427</v>
      </c>
      <c r="O444" s="186">
        <f t="shared" si="222"/>
        <v>104</v>
      </c>
      <c r="P444" s="186">
        <f t="shared" si="223"/>
        <v>128</v>
      </c>
      <c r="Q444" s="186" t="str">
        <f t="shared" si="224"/>
        <v>HW</v>
      </c>
      <c r="R444" s="186" t="str">
        <f t="shared" si="225"/>
        <v>HL</v>
      </c>
      <c r="S444" s="186" t="str">
        <f t="shared" si="226"/>
        <v>HL</v>
      </c>
      <c r="T444" s="186" t="str">
        <f t="shared" si="227"/>
        <v>HL</v>
      </c>
      <c r="U444" s="186" t="str">
        <f t="shared" si="228"/>
        <v>U</v>
      </c>
      <c r="V444" s="186" t="str">
        <f t="shared" si="229"/>
        <v>O</v>
      </c>
      <c r="W444" s="186" t="str">
        <f t="shared" si="230"/>
        <v>O</v>
      </c>
      <c r="X444" s="186" t="str">
        <f t="shared" si="231"/>
        <v>O</v>
      </c>
      <c r="Y444" s="186"/>
      <c r="Z444" s="98">
        <v>52</v>
      </c>
      <c r="AB444" s="90" t="str">
        <f t="shared" si="219"/>
        <v>LAL/DEN</v>
      </c>
      <c r="AC444" s="186">
        <f t="shared" si="232"/>
        <v>3</v>
      </c>
      <c r="AD444" s="186">
        <f t="shared" si="233"/>
        <v>1</v>
      </c>
    </row>
    <row r="445" spans="1:30" x14ac:dyDescent="0.45">
      <c r="A445" s="90">
        <v>191224</v>
      </c>
      <c r="B445" s="91">
        <v>0.375</v>
      </c>
      <c r="C445" s="90" t="s">
        <v>402</v>
      </c>
      <c r="D445" s="90" t="s">
        <v>410</v>
      </c>
      <c r="E445" s="114">
        <v>42</v>
      </c>
      <c r="F445" s="114">
        <v>29</v>
      </c>
      <c r="G445" s="114">
        <v>23</v>
      </c>
      <c r="H445" s="114">
        <v>27</v>
      </c>
      <c r="I445" s="114"/>
      <c r="J445" s="114">
        <v>32</v>
      </c>
      <c r="K445" s="114">
        <v>32</v>
      </c>
      <c r="L445" s="114">
        <v>30</v>
      </c>
      <c r="M445" s="114">
        <v>24</v>
      </c>
      <c r="N445" s="114" t="s">
        <v>427</v>
      </c>
      <c r="O445" s="186">
        <f t="shared" si="222"/>
        <v>121</v>
      </c>
      <c r="P445" s="186">
        <f t="shared" si="223"/>
        <v>118</v>
      </c>
      <c r="Q445" s="186" t="str">
        <f t="shared" si="224"/>
        <v>HW</v>
      </c>
      <c r="R445" s="186" t="str">
        <f t="shared" si="225"/>
        <v>HL</v>
      </c>
      <c r="S445" s="186" t="str">
        <f t="shared" si="226"/>
        <v>HL</v>
      </c>
      <c r="T445" s="186" t="str">
        <f t="shared" si="227"/>
        <v>HW</v>
      </c>
      <c r="U445" s="186" t="str">
        <f t="shared" si="228"/>
        <v>O</v>
      </c>
      <c r="V445" s="186" t="str">
        <f t="shared" si="229"/>
        <v>O</v>
      </c>
      <c r="W445" s="186" t="str">
        <f t="shared" si="230"/>
        <v>U</v>
      </c>
      <c r="X445" s="186" t="str">
        <f t="shared" si="231"/>
        <v>U</v>
      </c>
      <c r="Y445" s="186"/>
      <c r="Z445" s="98">
        <v>57.5</v>
      </c>
      <c r="AB445" s="90" t="str">
        <f t="shared" si="219"/>
        <v>CLE/ATL</v>
      </c>
      <c r="AC445" s="186">
        <f t="shared" si="232"/>
        <v>2</v>
      </c>
      <c r="AD445" s="186">
        <f t="shared" si="233"/>
        <v>2</v>
      </c>
    </row>
    <row r="446" spans="1:30" x14ac:dyDescent="0.45">
      <c r="A446" s="90">
        <v>191224</v>
      </c>
      <c r="B446" s="91">
        <v>0.375</v>
      </c>
      <c r="C446" s="90" t="s">
        <v>422</v>
      </c>
      <c r="D446" s="90" t="s">
        <v>401</v>
      </c>
      <c r="E446" s="115">
        <v>23</v>
      </c>
      <c r="F446" s="115">
        <v>29</v>
      </c>
      <c r="G446" s="115">
        <v>34</v>
      </c>
      <c r="H446" s="115">
        <v>23</v>
      </c>
      <c r="I446" s="115"/>
      <c r="J446" s="115">
        <v>30</v>
      </c>
      <c r="K446" s="115">
        <v>30</v>
      </c>
      <c r="L446" s="115">
        <v>34</v>
      </c>
      <c r="M446" s="115">
        <v>31</v>
      </c>
      <c r="N446" s="115" t="s">
        <v>427</v>
      </c>
      <c r="O446" s="186">
        <f t="shared" si="222"/>
        <v>109</v>
      </c>
      <c r="P446" s="186">
        <f t="shared" si="223"/>
        <v>125</v>
      </c>
      <c r="Q446" s="186" t="str">
        <f t="shared" si="224"/>
        <v>HL</v>
      </c>
      <c r="R446" s="186" t="str">
        <f t="shared" si="225"/>
        <v>HL</v>
      </c>
      <c r="S446" s="186" t="str">
        <f t="shared" si="226"/>
        <v>TT</v>
      </c>
      <c r="T446" s="186" t="str">
        <f t="shared" si="227"/>
        <v>HL</v>
      </c>
      <c r="U446" s="186" t="str">
        <f t="shared" si="228"/>
        <v>U</v>
      </c>
      <c r="V446" s="186" t="str">
        <f t="shared" si="229"/>
        <v>O</v>
      </c>
      <c r="W446" s="186" t="str">
        <f t="shared" si="230"/>
        <v>O</v>
      </c>
      <c r="X446" s="186" t="str">
        <f t="shared" si="231"/>
        <v>T</v>
      </c>
      <c r="Y446" s="186"/>
      <c r="Z446" s="98">
        <v>54</v>
      </c>
      <c r="AB446" s="90" t="str">
        <f t="shared" si="219"/>
        <v>DET/PHI</v>
      </c>
      <c r="AC446" s="186">
        <f t="shared" si="232"/>
        <v>2</v>
      </c>
      <c r="AD446" s="186">
        <f t="shared" si="233"/>
        <v>1</v>
      </c>
    </row>
    <row r="447" spans="1:30" x14ac:dyDescent="0.45">
      <c r="A447" s="90">
        <v>191224</v>
      </c>
      <c r="B447" s="91">
        <v>0.375</v>
      </c>
      <c r="C447" s="90" t="s">
        <v>400</v>
      </c>
      <c r="D447" s="90" t="s">
        <v>413</v>
      </c>
      <c r="E447" s="117">
        <v>30</v>
      </c>
      <c r="F447" s="117">
        <v>24</v>
      </c>
      <c r="G447" s="117">
        <v>24</v>
      </c>
      <c r="H447" s="117">
        <v>29</v>
      </c>
      <c r="I447" s="117">
        <v>13</v>
      </c>
      <c r="J447" s="117">
        <v>19</v>
      </c>
      <c r="K447" s="117">
        <v>25</v>
      </c>
      <c r="L447" s="117">
        <v>35</v>
      </c>
      <c r="M447" s="117">
        <v>28</v>
      </c>
      <c r="N447" s="117">
        <v>8</v>
      </c>
      <c r="O447" s="186">
        <f t="shared" si="222"/>
        <v>120</v>
      </c>
      <c r="P447" s="186">
        <f t="shared" si="223"/>
        <v>115</v>
      </c>
      <c r="Q447" s="186" t="str">
        <f t="shared" si="224"/>
        <v>HW</v>
      </c>
      <c r="R447" s="186" t="str">
        <f t="shared" si="225"/>
        <v>HL</v>
      </c>
      <c r="S447" s="186" t="str">
        <f t="shared" si="226"/>
        <v>HL</v>
      </c>
      <c r="T447" s="186" t="str">
        <f t="shared" si="227"/>
        <v>HW</v>
      </c>
      <c r="U447" s="186" t="str">
        <f t="shared" si="228"/>
        <v>U</v>
      </c>
      <c r="V447" s="186" t="str">
        <f t="shared" si="229"/>
        <v>U</v>
      </c>
      <c r="W447" s="186" t="str">
        <f t="shared" si="230"/>
        <v>O</v>
      </c>
      <c r="X447" s="186" t="str">
        <f t="shared" si="231"/>
        <v>O</v>
      </c>
      <c r="Y447" s="186"/>
      <c r="Z447" s="98">
        <v>52.5</v>
      </c>
      <c r="AB447" s="90" t="str">
        <f t="shared" si="219"/>
        <v>IND/TOR</v>
      </c>
      <c r="AC447" s="186">
        <f t="shared" si="232"/>
        <v>2</v>
      </c>
      <c r="AD447" s="186">
        <f t="shared" si="233"/>
        <v>2</v>
      </c>
    </row>
    <row r="448" spans="1:30" x14ac:dyDescent="0.45">
      <c r="A448" s="90">
        <v>191224</v>
      </c>
      <c r="B448" s="91">
        <v>0.375</v>
      </c>
      <c r="C448" s="90" t="s">
        <v>399</v>
      </c>
      <c r="D448" s="90" t="s">
        <v>414</v>
      </c>
      <c r="E448" s="120">
        <v>37</v>
      </c>
      <c r="F448" s="120">
        <v>27</v>
      </c>
      <c r="G448" s="120">
        <v>27</v>
      </c>
      <c r="H448" s="120">
        <v>24</v>
      </c>
      <c r="I448" s="120"/>
      <c r="J448" s="120">
        <v>32</v>
      </c>
      <c r="K448" s="120">
        <v>31</v>
      </c>
      <c r="L448" s="120">
        <v>31</v>
      </c>
      <c r="M448" s="120">
        <v>27</v>
      </c>
      <c r="N448" s="120" t="s">
        <v>427</v>
      </c>
      <c r="O448" s="186">
        <f t="shared" si="222"/>
        <v>115</v>
      </c>
      <c r="P448" s="186">
        <f t="shared" si="223"/>
        <v>121</v>
      </c>
      <c r="Q448" s="186" t="str">
        <f t="shared" si="224"/>
        <v>HW</v>
      </c>
      <c r="R448" s="186" t="str">
        <f t="shared" si="225"/>
        <v>HL</v>
      </c>
      <c r="S448" s="186" t="str">
        <f t="shared" si="226"/>
        <v>HL</v>
      </c>
      <c r="T448" s="186" t="str">
        <f t="shared" si="227"/>
        <v>HL</v>
      </c>
      <c r="U448" s="186" t="str">
        <f t="shared" si="228"/>
        <v>O</v>
      </c>
      <c r="V448" s="186" t="str">
        <f t="shared" si="229"/>
        <v>O</v>
      </c>
      <c r="W448" s="186" t="str">
        <f t="shared" si="230"/>
        <v>O</v>
      </c>
      <c r="X448" s="186" t="str">
        <f t="shared" si="231"/>
        <v>U</v>
      </c>
      <c r="Y448" s="186"/>
      <c r="Z448" s="98">
        <v>57</v>
      </c>
      <c r="AB448" s="90" t="str">
        <f t="shared" si="219"/>
        <v>NYK/WAS</v>
      </c>
      <c r="AC448" s="186">
        <f t="shared" si="232"/>
        <v>3</v>
      </c>
      <c r="AD448" s="186">
        <f t="shared" si="233"/>
        <v>1</v>
      </c>
    </row>
    <row r="449" spans="1:30" x14ac:dyDescent="0.45">
      <c r="A449" s="90">
        <v>191224</v>
      </c>
      <c r="B449" s="91">
        <v>0.375</v>
      </c>
      <c r="C449" s="90" t="s">
        <v>424</v>
      </c>
      <c r="D449" s="90" t="s">
        <v>412</v>
      </c>
      <c r="E449" s="121">
        <v>28</v>
      </c>
      <c r="F449" s="121">
        <v>23</v>
      </c>
      <c r="G449" s="121">
        <v>32</v>
      </c>
      <c r="H449" s="121">
        <v>20</v>
      </c>
      <c r="I449" s="121"/>
      <c r="J449" s="121">
        <v>28</v>
      </c>
      <c r="K449" s="121">
        <v>26</v>
      </c>
      <c r="L449" s="121">
        <v>27</v>
      </c>
      <c r="M449" s="121">
        <v>14</v>
      </c>
      <c r="N449" s="121" t="s">
        <v>427</v>
      </c>
      <c r="O449" s="186">
        <f t="shared" si="222"/>
        <v>103</v>
      </c>
      <c r="P449" s="186">
        <f t="shared" si="223"/>
        <v>95</v>
      </c>
      <c r="Q449" s="186" t="str">
        <f t="shared" si="224"/>
        <v>TT</v>
      </c>
      <c r="R449" s="186" t="str">
        <f t="shared" si="225"/>
        <v>HL</v>
      </c>
      <c r="S449" s="186" t="str">
        <f t="shared" si="226"/>
        <v>HW</v>
      </c>
      <c r="T449" s="186" t="str">
        <f t="shared" si="227"/>
        <v>HW</v>
      </c>
      <c r="U449" s="186" t="str">
        <f t="shared" si="228"/>
        <v>O</v>
      </c>
      <c r="V449" s="186" t="str">
        <f t="shared" si="229"/>
        <v>U</v>
      </c>
      <c r="W449" s="186" t="str">
        <f t="shared" si="230"/>
        <v>O</v>
      </c>
      <c r="X449" s="186" t="str">
        <f t="shared" si="231"/>
        <v>U</v>
      </c>
      <c r="Y449" s="186"/>
      <c r="Z449" s="98">
        <v>51.5</v>
      </c>
      <c r="AB449" s="90" t="str">
        <f t="shared" si="219"/>
        <v>ORL/CHI</v>
      </c>
      <c r="AC449" s="186">
        <f t="shared" si="232"/>
        <v>2</v>
      </c>
      <c r="AD449" s="186">
        <f t="shared" si="233"/>
        <v>2</v>
      </c>
    </row>
    <row r="450" spans="1:30" x14ac:dyDescent="0.45">
      <c r="A450" s="90">
        <v>191224</v>
      </c>
      <c r="B450" s="91">
        <v>0.39583333333333331</v>
      </c>
      <c r="C450" s="90" t="s">
        <v>411</v>
      </c>
      <c r="D450" s="90" t="s">
        <v>405</v>
      </c>
      <c r="E450" s="119">
        <v>32</v>
      </c>
      <c r="F450" s="119">
        <v>21</v>
      </c>
      <c r="G450" s="119">
        <v>23</v>
      </c>
      <c r="H450" s="119">
        <v>31</v>
      </c>
      <c r="I450" s="119"/>
      <c r="J450" s="119">
        <v>28</v>
      </c>
      <c r="K450" s="119">
        <v>24</v>
      </c>
      <c r="L450" s="119">
        <v>29</v>
      </c>
      <c r="M450" s="119">
        <v>23</v>
      </c>
      <c r="N450" s="119" t="s">
        <v>427</v>
      </c>
      <c r="O450" s="186">
        <f t="shared" si="222"/>
        <v>107</v>
      </c>
      <c r="P450" s="186">
        <f t="shared" si="223"/>
        <v>104</v>
      </c>
      <c r="Q450" s="186" t="str">
        <f t="shared" si="224"/>
        <v>HW</v>
      </c>
      <c r="R450" s="186" t="str">
        <f t="shared" si="225"/>
        <v>HL</v>
      </c>
      <c r="S450" s="186" t="str">
        <f t="shared" si="226"/>
        <v>HL</v>
      </c>
      <c r="T450" s="186" t="str">
        <f t="shared" si="227"/>
        <v>HW</v>
      </c>
      <c r="U450" s="186" t="str">
        <f t="shared" si="228"/>
        <v>O</v>
      </c>
      <c r="V450" s="186" t="str">
        <f t="shared" si="229"/>
        <v>U</v>
      </c>
      <c r="W450" s="186" t="str">
        <f t="shared" si="230"/>
        <v>U</v>
      </c>
      <c r="X450" s="186" t="str">
        <f t="shared" si="231"/>
        <v>O</v>
      </c>
      <c r="Y450" s="186"/>
      <c r="Z450" s="98">
        <v>53.5</v>
      </c>
      <c r="AB450" s="90" t="str">
        <f t="shared" si="219"/>
        <v>MIA/UTA</v>
      </c>
      <c r="AC450" s="186">
        <f t="shared" si="232"/>
        <v>2</v>
      </c>
      <c r="AD450" s="186">
        <f t="shared" si="233"/>
        <v>2</v>
      </c>
    </row>
    <row r="451" spans="1:30" x14ac:dyDescent="0.45">
      <c r="A451" s="90">
        <v>191224</v>
      </c>
      <c r="B451" s="91">
        <v>0.41666666666666669</v>
      </c>
      <c r="C451" s="90" t="s">
        <v>406</v>
      </c>
      <c r="D451" s="90" t="s">
        <v>426</v>
      </c>
      <c r="E451" s="118">
        <v>31</v>
      </c>
      <c r="F451" s="118">
        <v>30</v>
      </c>
      <c r="G451" s="118">
        <v>28</v>
      </c>
      <c r="H451" s="118">
        <v>26</v>
      </c>
      <c r="I451" s="118"/>
      <c r="J451" s="118">
        <v>46</v>
      </c>
      <c r="K451" s="118">
        <v>26</v>
      </c>
      <c r="L451" s="118">
        <v>36</v>
      </c>
      <c r="M451" s="118">
        <v>37</v>
      </c>
      <c r="N451" s="118" t="s">
        <v>427</v>
      </c>
      <c r="O451" s="186">
        <f t="shared" si="222"/>
        <v>115</v>
      </c>
      <c r="P451" s="186">
        <f t="shared" si="223"/>
        <v>145</v>
      </c>
      <c r="Q451" s="186" t="str">
        <f t="shared" si="224"/>
        <v>HL</v>
      </c>
      <c r="R451" s="186" t="str">
        <f t="shared" si="225"/>
        <v>HW</v>
      </c>
      <c r="S451" s="186" t="str">
        <f t="shared" si="226"/>
        <v>HL</v>
      </c>
      <c r="T451" s="186" t="str">
        <f t="shared" si="227"/>
        <v>HL</v>
      </c>
      <c r="U451" s="186" t="str">
        <f t="shared" si="228"/>
        <v>O</v>
      </c>
      <c r="V451" s="186" t="str">
        <f t="shared" si="229"/>
        <v>U</v>
      </c>
      <c r="W451" s="186" t="str">
        <f t="shared" si="230"/>
        <v>O</v>
      </c>
      <c r="X451" s="186" t="str">
        <f t="shared" si="231"/>
        <v>O</v>
      </c>
      <c r="Y451" s="186"/>
      <c r="Z451" s="98">
        <v>57</v>
      </c>
      <c r="AB451" s="90" t="str">
        <f t="shared" si="219"/>
        <v>MEM/SAS</v>
      </c>
      <c r="AC451" s="186">
        <f t="shared" si="232"/>
        <v>3</v>
      </c>
      <c r="AD451" s="186">
        <f t="shared" si="233"/>
        <v>1</v>
      </c>
    </row>
    <row r="452" spans="1:30" x14ac:dyDescent="0.45">
      <c r="A452" s="90">
        <v>191224</v>
      </c>
      <c r="B452" s="91">
        <v>0.45833333333333331</v>
      </c>
      <c r="C452" s="90" t="s">
        <v>404</v>
      </c>
      <c r="D452" s="90" t="s">
        <v>408</v>
      </c>
      <c r="E452" s="122">
        <v>22</v>
      </c>
      <c r="F452" s="122">
        <v>27</v>
      </c>
      <c r="G452" s="122">
        <v>32</v>
      </c>
      <c r="H452" s="122">
        <v>30</v>
      </c>
      <c r="I452" s="122"/>
      <c r="J452" s="122">
        <v>34</v>
      </c>
      <c r="K452" s="122">
        <v>22</v>
      </c>
      <c r="L452" s="122">
        <v>26</v>
      </c>
      <c r="M452" s="122">
        <v>31</v>
      </c>
      <c r="N452" s="122" t="s">
        <v>427</v>
      </c>
      <c r="O452" s="186">
        <f t="shared" si="222"/>
        <v>111</v>
      </c>
      <c r="P452" s="186">
        <f t="shared" si="223"/>
        <v>113</v>
      </c>
      <c r="Q452" s="186" t="str">
        <f t="shared" si="224"/>
        <v>HL</v>
      </c>
      <c r="R452" s="186" t="str">
        <f t="shared" si="225"/>
        <v>HW</v>
      </c>
      <c r="S452" s="186" t="str">
        <f t="shared" si="226"/>
        <v>HW</v>
      </c>
      <c r="T452" s="186" t="str">
        <f t="shared" si="227"/>
        <v>HL</v>
      </c>
      <c r="U452" s="186" t="str">
        <f t="shared" si="228"/>
        <v>O</v>
      </c>
      <c r="V452" s="186" t="str">
        <f t="shared" si="229"/>
        <v>U</v>
      </c>
      <c r="W452" s="186" t="str">
        <f t="shared" si="230"/>
        <v>O</v>
      </c>
      <c r="X452" s="186" t="str">
        <f t="shared" si="231"/>
        <v>O</v>
      </c>
      <c r="Y452" s="186"/>
      <c r="Z452" s="98">
        <v>55</v>
      </c>
      <c r="AB452" s="90" t="str">
        <f t="shared" si="219"/>
        <v>PHO/DEN</v>
      </c>
      <c r="AC452" s="186">
        <f t="shared" si="232"/>
        <v>3</v>
      </c>
      <c r="AD452" s="186">
        <f t="shared" si="233"/>
        <v>1</v>
      </c>
    </row>
    <row r="453" spans="1:30" x14ac:dyDescent="0.45">
      <c r="A453" s="90">
        <v>191224</v>
      </c>
      <c r="B453" s="91">
        <v>0.5</v>
      </c>
      <c r="C453" s="90" t="s">
        <v>417</v>
      </c>
      <c r="D453" s="90" t="s">
        <v>398</v>
      </c>
      <c r="E453" s="123">
        <v>31</v>
      </c>
      <c r="F453" s="123">
        <v>25</v>
      </c>
      <c r="G453" s="123">
        <v>21</v>
      </c>
      <c r="H453" s="123">
        <v>17</v>
      </c>
      <c r="I453" s="123"/>
      <c r="J453" s="123">
        <v>31</v>
      </c>
      <c r="K453" s="123">
        <v>23</v>
      </c>
      <c r="L453" s="123">
        <v>28</v>
      </c>
      <c r="M453" s="123">
        <v>20</v>
      </c>
      <c r="N453" s="123" t="s">
        <v>427</v>
      </c>
      <c r="O453" s="186">
        <f t="shared" si="222"/>
        <v>94</v>
      </c>
      <c r="P453" s="186">
        <f t="shared" si="223"/>
        <v>102</v>
      </c>
      <c r="Q453" s="186" t="str">
        <f t="shared" si="224"/>
        <v>TT</v>
      </c>
      <c r="R453" s="186" t="str">
        <f t="shared" si="225"/>
        <v>HW</v>
      </c>
      <c r="S453" s="186" t="str">
        <f t="shared" si="226"/>
        <v>HL</v>
      </c>
      <c r="T453" s="186" t="str">
        <f t="shared" si="227"/>
        <v>HL</v>
      </c>
      <c r="U453" s="186" t="str">
        <f t="shared" si="228"/>
        <v>O</v>
      </c>
      <c r="V453" s="186" t="str">
        <f t="shared" si="229"/>
        <v>U</v>
      </c>
      <c r="W453" s="186" t="str">
        <f t="shared" si="230"/>
        <v>U</v>
      </c>
      <c r="X453" s="186" t="str">
        <f t="shared" si="231"/>
        <v>U</v>
      </c>
      <c r="Y453" s="186"/>
      <c r="Z453" s="98">
        <v>57.5</v>
      </c>
      <c r="AB453" s="90" t="str">
        <f t="shared" si="219"/>
        <v>POR/NO</v>
      </c>
      <c r="AC453" s="186">
        <f t="shared" si="232"/>
        <v>1</v>
      </c>
      <c r="AD453" s="186">
        <f t="shared" si="233"/>
        <v>3</v>
      </c>
    </row>
    <row r="454" spans="1:30" x14ac:dyDescent="0.45">
      <c r="A454" s="90">
        <v>191224</v>
      </c>
      <c r="B454" s="91">
        <v>0.5</v>
      </c>
      <c r="C454" s="90" t="s">
        <v>416</v>
      </c>
      <c r="D454" s="90" t="s">
        <v>403</v>
      </c>
      <c r="E454" s="124">
        <v>21</v>
      </c>
      <c r="F454" s="124">
        <v>36</v>
      </c>
      <c r="G454" s="124">
        <v>22</v>
      </c>
      <c r="H454" s="124">
        <v>25</v>
      </c>
      <c r="I454" s="124"/>
      <c r="J454" s="124">
        <v>37</v>
      </c>
      <c r="K454" s="124">
        <v>28</v>
      </c>
      <c r="L454" s="124">
        <v>32</v>
      </c>
      <c r="M454" s="124">
        <v>16</v>
      </c>
      <c r="N454" s="124" t="s">
        <v>427</v>
      </c>
      <c r="O454" s="186">
        <f t="shared" si="222"/>
        <v>104</v>
      </c>
      <c r="P454" s="186">
        <f t="shared" si="223"/>
        <v>113</v>
      </c>
      <c r="Q454" s="186" t="str">
        <f t="shared" si="224"/>
        <v>HL</v>
      </c>
      <c r="R454" s="186" t="str">
        <f t="shared" si="225"/>
        <v>HW</v>
      </c>
      <c r="S454" s="186" t="str">
        <f t="shared" si="226"/>
        <v>HL</v>
      </c>
      <c r="T454" s="186" t="str">
        <f t="shared" si="227"/>
        <v>HW</v>
      </c>
      <c r="U454" s="186" t="str">
        <f t="shared" si="228"/>
        <v>O</v>
      </c>
      <c r="V454" s="186" t="str">
        <f t="shared" si="229"/>
        <v>O</v>
      </c>
      <c r="W454" s="186" t="str">
        <f t="shared" si="230"/>
        <v>U</v>
      </c>
      <c r="X454" s="186" t="str">
        <f t="shared" si="231"/>
        <v>U</v>
      </c>
      <c r="Y454" s="186"/>
      <c r="Z454" s="98">
        <v>57.5</v>
      </c>
      <c r="AB454" s="90" t="str">
        <f t="shared" si="219"/>
        <v>SAC/HOU</v>
      </c>
      <c r="AC454" s="186">
        <f t="shared" si="232"/>
        <v>2</v>
      </c>
      <c r="AD454" s="186">
        <f t="shared" si="233"/>
        <v>2</v>
      </c>
    </row>
    <row r="455" spans="1:30" x14ac:dyDescent="0.45">
      <c r="A455" s="90">
        <v>191224</v>
      </c>
      <c r="B455" s="91">
        <v>0.52083333333333337</v>
      </c>
      <c r="C455" s="90" t="s">
        <v>425</v>
      </c>
      <c r="D455" s="90" t="s">
        <v>420</v>
      </c>
      <c r="E455" s="116">
        <v>22</v>
      </c>
      <c r="F455" s="116">
        <v>35</v>
      </c>
      <c r="G455" s="116">
        <v>27</v>
      </c>
      <c r="H455" s="116">
        <v>29</v>
      </c>
      <c r="I455" s="116"/>
      <c r="J455" s="116">
        <v>22</v>
      </c>
      <c r="K455" s="116">
        <v>21</v>
      </c>
      <c r="L455" s="116">
        <v>24</v>
      </c>
      <c r="M455" s="116">
        <v>37</v>
      </c>
      <c r="N455" s="116" t="s">
        <v>427</v>
      </c>
      <c r="O455" s="186">
        <f t="shared" si="222"/>
        <v>113</v>
      </c>
      <c r="P455" s="186">
        <f t="shared" si="223"/>
        <v>104</v>
      </c>
      <c r="Q455" s="186" t="str">
        <f t="shared" si="224"/>
        <v>TT</v>
      </c>
      <c r="R455" s="186" t="str">
        <f t="shared" si="225"/>
        <v>HW</v>
      </c>
      <c r="S455" s="186" t="str">
        <f t="shared" si="226"/>
        <v>HW</v>
      </c>
      <c r="T455" s="186" t="str">
        <f t="shared" si="227"/>
        <v>HL</v>
      </c>
      <c r="U455" s="186" t="str">
        <f t="shared" si="228"/>
        <v>U</v>
      </c>
      <c r="V455" s="186" t="str">
        <f t="shared" si="229"/>
        <v>T</v>
      </c>
      <c r="W455" s="186" t="str">
        <f t="shared" si="230"/>
        <v>U</v>
      </c>
      <c r="X455" s="186" t="str">
        <f t="shared" si="231"/>
        <v>O</v>
      </c>
      <c r="Y455" s="186"/>
      <c r="Z455" s="98">
        <v>56</v>
      </c>
      <c r="AB455" s="90" t="str">
        <f t="shared" si="219"/>
        <v>GS/MIN</v>
      </c>
      <c r="AC455" s="186">
        <f t="shared" si="232"/>
        <v>1</v>
      </c>
      <c r="AD455" s="186">
        <f t="shared" si="233"/>
        <v>2</v>
      </c>
    </row>
    <row r="456" spans="1:30" x14ac:dyDescent="0.45">
      <c r="A456" s="90">
        <v>191226</v>
      </c>
      <c r="B456" s="91">
        <v>8.3333333333333329E-2</v>
      </c>
      <c r="C456" s="90" t="s">
        <v>413</v>
      </c>
      <c r="D456" s="90" t="s">
        <v>421</v>
      </c>
      <c r="E456" s="129">
        <v>19</v>
      </c>
      <c r="F456" s="129">
        <v>28</v>
      </c>
      <c r="G456" s="129">
        <v>22</v>
      </c>
      <c r="H456" s="129">
        <v>33</v>
      </c>
      <c r="I456" s="129"/>
      <c r="J456" s="129">
        <v>28</v>
      </c>
      <c r="K456" s="129">
        <v>27</v>
      </c>
      <c r="L456" s="129">
        <v>33</v>
      </c>
      <c r="M456" s="129">
        <v>30</v>
      </c>
      <c r="N456" s="129" t="s">
        <v>427</v>
      </c>
      <c r="O456" s="186">
        <f t="shared" si="222"/>
        <v>102</v>
      </c>
      <c r="P456" s="186">
        <f t="shared" si="223"/>
        <v>118</v>
      </c>
      <c r="Q456" s="186" t="str">
        <f t="shared" si="224"/>
        <v>HL</v>
      </c>
      <c r="R456" s="186" t="str">
        <f t="shared" si="225"/>
        <v>HW</v>
      </c>
      <c r="S456" s="186" t="str">
        <f t="shared" si="226"/>
        <v>HL</v>
      </c>
      <c r="T456" s="186" t="str">
        <f t="shared" si="227"/>
        <v>HW</v>
      </c>
      <c r="U456" s="186" t="str">
        <f t="shared" si="228"/>
        <v>U</v>
      </c>
      <c r="V456" s="186" t="str">
        <f t="shared" si="229"/>
        <v>O</v>
      </c>
      <c r="W456" s="186" t="str">
        <f t="shared" si="230"/>
        <v>O</v>
      </c>
      <c r="X456" s="186" t="str">
        <f t="shared" si="231"/>
        <v>O</v>
      </c>
      <c r="Y456" s="186"/>
      <c r="Z456" s="90">
        <v>53</v>
      </c>
      <c r="AB456" s="90" t="str">
        <f t="shared" si="219"/>
        <v>TOR/BOS</v>
      </c>
      <c r="AC456" s="186">
        <f t="shared" si="232"/>
        <v>3</v>
      </c>
      <c r="AD456" s="186">
        <f t="shared" si="233"/>
        <v>1</v>
      </c>
    </row>
    <row r="457" spans="1:30" x14ac:dyDescent="0.45">
      <c r="A457" s="90">
        <v>191226</v>
      </c>
      <c r="B457" s="91">
        <v>0.1875</v>
      </c>
      <c r="C457" s="90" t="s">
        <v>401</v>
      </c>
      <c r="D457" s="90" t="s">
        <v>423</v>
      </c>
      <c r="E457" s="128">
        <v>38</v>
      </c>
      <c r="F457" s="128">
        <v>31</v>
      </c>
      <c r="G457" s="128">
        <v>31</v>
      </c>
      <c r="H457" s="128">
        <v>21</v>
      </c>
      <c r="I457" s="128"/>
      <c r="J457" s="128">
        <v>30</v>
      </c>
      <c r="K457" s="128">
        <v>18</v>
      </c>
      <c r="L457" s="128">
        <v>25</v>
      </c>
      <c r="M457" s="128">
        <v>36</v>
      </c>
      <c r="N457" s="128" t="s">
        <v>427</v>
      </c>
      <c r="O457" s="186">
        <f t="shared" si="222"/>
        <v>121</v>
      </c>
      <c r="P457" s="186">
        <f t="shared" si="223"/>
        <v>109</v>
      </c>
      <c r="Q457" s="186" t="str">
        <f t="shared" si="224"/>
        <v>HW</v>
      </c>
      <c r="R457" s="186" t="str">
        <f t="shared" si="225"/>
        <v>HW</v>
      </c>
      <c r="S457" s="186" t="str">
        <f t="shared" si="226"/>
        <v>HW</v>
      </c>
      <c r="T457" s="186" t="str">
        <f t="shared" si="227"/>
        <v>HL</v>
      </c>
      <c r="U457" s="186" t="str">
        <f t="shared" si="228"/>
        <v>O</v>
      </c>
      <c r="V457" s="186" t="str">
        <f t="shared" si="229"/>
        <v>U</v>
      </c>
      <c r="W457" s="186" t="str">
        <f t="shared" si="230"/>
        <v>O</v>
      </c>
      <c r="X457" s="186" t="str">
        <f t="shared" si="231"/>
        <v>O</v>
      </c>
      <c r="Y457" s="186"/>
      <c r="Z457" s="90">
        <v>54.5</v>
      </c>
      <c r="AB457" s="90" t="str">
        <f t="shared" si="219"/>
        <v>PHI/MIL</v>
      </c>
      <c r="AC457" s="186">
        <f t="shared" si="232"/>
        <v>3</v>
      </c>
      <c r="AD457" s="186">
        <f t="shared" si="233"/>
        <v>1</v>
      </c>
    </row>
    <row r="458" spans="1:30" x14ac:dyDescent="0.45">
      <c r="A458" s="90">
        <v>191226</v>
      </c>
      <c r="B458" s="91">
        <v>0.29166666666666669</v>
      </c>
      <c r="C458" s="90" t="s">
        <v>425</v>
      </c>
      <c r="D458" s="90" t="s">
        <v>403</v>
      </c>
      <c r="E458" s="126">
        <v>28</v>
      </c>
      <c r="F458" s="126">
        <v>36</v>
      </c>
      <c r="G458" s="126">
        <v>28</v>
      </c>
      <c r="H458" s="126">
        <v>24</v>
      </c>
      <c r="I458" s="126"/>
      <c r="J458" s="126">
        <v>29</v>
      </c>
      <c r="K458" s="126">
        <v>39</v>
      </c>
      <c r="L458" s="126">
        <v>19</v>
      </c>
      <c r="M458" s="126">
        <v>17</v>
      </c>
      <c r="N458" s="126" t="s">
        <v>427</v>
      </c>
      <c r="O458" s="186">
        <f t="shared" si="222"/>
        <v>116</v>
      </c>
      <c r="P458" s="186">
        <f t="shared" si="223"/>
        <v>104</v>
      </c>
      <c r="Q458" s="186" t="str">
        <f t="shared" si="224"/>
        <v>HL</v>
      </c>
      <c r="R458" s="186" t="str">
        <f t="shared" si="225"/>
        <v>HL</v>
      </c>
      <c r="S458" s="186" t="str">
        <f t="shared" si="226"/>
        <v>HW</v>
      </c>
      <c r="T458" s="186" t="str">
        <f t="shared" si="227"/>
        <v>HW</v>
      </c>
      <c r="U458" s="186" t="str">
        <f t="shared" si="228"/>
        <v>U</v>
      </c>
      <c r="V458" s="186" t="str">
        <f t="shared" si="229"/>
        <v>O</v>
      </c>
      <c r="W458" s="186" t="str">
        <f t="shared" si="230"/>
        <v>U</v>
      </c>
      <c r="X458" s="186" t="str">
        <f t="shared" si="231"/>
        <v>U</v>
      </c>
      <c r="Y458" s="186"/>
      <c r="Z458" s="90">
        <v>59</v>
      </c>
      <c r="AB458" s="90" t="str">
        <f t="shared" si="219"/>
        <v>GS/HOU</v>
      </c>
      <c r="AC458" s="186">
        <f t="shared" si="232"/>
        <v>1</v>
      </c>
      <c r="AD458" s="186">
        <f t="shared" si="233"/>
        <v>3</v>
      </c>
    </row>
    <row r="459" spans="1:30" x14ac:dyDescent="0.45">
      <c r="A459" s="90">
        <v>191226</v>
      </c>
      <c r="B459" s="91">
        <v>0.41666666666666669</v>
      </c>
      <c r="C459" s="90" t="s">
        <v>419</v>
      </c>
      <c r="D459" s="90" t="s">
        <v>415</v>
      </c>
      <c r="E459" s="127">
        <v>33</v>
      </c>
      <c r="F459" s="127">
        <v>30</v>
      </c>
      <c r="G459" s="127">
        <v>23</v>
      </c>
      <c r="H459" s="127">
        <v>20</v>
      </c>
      <c r="I459" s="127"/>
      <c r="J459" s="127">
        <v>31</v>
      </c>
      <c r="K459" s="127">
        <v>20</v>
      </c>
      <c r="L459" s="127">
        <v>35</v>
      </c>
      <c r="M459" s="127">
        <v>25</v>
      </c>
      <c r="N459" s="127" t="s">
        <v>427</v>
      </c>
      <c r="O459" s="186">
        <f t="shared" si="222"/>
        <v>106</v>
      </c>
      <c r="P459" s="186">
        <f t="shared" si="223"/>
        <v>111</v>
      </c>
      <c r="Q459" s="186" t="str">
        <f t="shared" si="224"/>
        <v>HW</v>
      </c>
      <c r="R459" s="186" t="str">
        <f t="shared" si="225"/>
        <v>HW</v>
      </c>
      <c r="S459" s="186" t="str">
        <f t="shared" si="226"/>
        <v>HL</v>
      </c>
      <c r="T459" s="186" t="str">
        <f t="shared" si="227"/>
        <v>HL</v>
      </c>
      <c r="U459" s="186" t="str">
        <f t="shared" si="228"/>
        <v>O</v>
      </c>
      <c r="V459" s="186" t="str">
        <f t="shared" si="229"/>
        <v>U</v>
      </c>
      <c r="W459" s="186" t="str">
        <f t="shared" si="230"/>
        <v>T</v>
      </c>
      <c r="X459" s="186" t="str">
        <f t="shared" si="231"/>
        <v>U</v>
      </c>
      <c r="Y459" s="186"/>
      <c r="Z459" s="90">
        <v>58</v>
      </c>
      <c r="AB459" s="90" t="str">
        <f t="shared" si="219"/>
        <v>LAL/LAC</v>
      </c>
      <c r="AC459" s="186">
        <f t="shared" si="232"/>
        <v>1</v>
      </c>
      <c r="AD459" s="186">
        <f t="shared" si="233"/>
        <v>2</v>
      </c>
    </row>
    <row r="460" spans="1:30" x14ac:dyDescent="0.45">
      <c r="A460" s="90">
        <v>191226</v>
      </c>
      <c r="B460" s="91">
        <v>0.52083333333333337</v>
      </c>
      <c r="C460" s="90" t="s">
        <v>408</v>
      </c>
      <c r="D460" s="90" t="s">
        <v>398</v>
      </c>
      <c r="E460" s="125">
        <v>26</v>
      </c>
      <c r="F460" s="125">
        <v>29</v>
      </c>
      <c r="G460" s="125">
        <v>25</v>
      </c>
      <c r="H460" s="125">
        <v>20</v>
      </c>
      <c r="I460" s="125"/>
      <c r="J460" s="125">
        <v>29</v>
      </c>
      <c r="K460" s="125">
        <v>29</v>
      </c>
      <c r="L460" s="125">
        <v>26</v>
      </c>
      <c r="M460" s="125">
        <v>28</v>
      </c>
      <c r="N460" s="125" t="s">
        <v>427</v>
      </c>
      <c r="O460" s="186">
        <f t="shared" si="222"/>
        <v>100</v>
      </c>
      <c r="P460" s="186">
        <f t="shared" si="223"/>
        <v>112</v>
      </c>
      <c r="Q460" s="186" t="str">
        <f t="shared" si="224"/>
        <v>HL</v>
      </c>
      <c r="R460" s="186" t="str">
        <f t="shared" si="225"/>
        <v>TT</v>
      </c>
      <c r="S460" s="186" t="str">
        <f t="shared" si="226"/>
        <v>HL</v>
      </c>
      <c r="T460" s="186" t="str">
        <f t="shared" si="227"/>
        <v>HL</v>
      </c>
      <c r="U460" s="186" t="str">
        <f t="shared" si="228"/>
        <v>U</v>
      </c>
      <c r="V460" s="186" t="str">
        <f t="shared" si="229"/>
        <v>O</v>
      </c>
      <c r="W460" s="186" t="str">
        <f t="shared" si="230"/>
        <v>U</v>
      </c>
      <c r="X460" s="186" t="str">
        <f t="shared" si="231"/>
        <v>U</v>
      </c>
      <c r="Y460" s="186"/>
      <c r="Z460" s="90">
        <v>56</v>
      </c>
      <c r="AB460" s="90" t="str">
        <f t="shared" si="219"/>
        <v>DEN/NO</v>
      </c>
      <c r="AC460" s="186">
        <f t="shared" si="232"/>
        <v>1</v>
      </c>
      <c r="AD460" s="186">
        <f t="shared" si="233"/>
        <v>3</v>
      </c>
    </row>
    <row r="461" spans="1:30" x14ac:dyDescent="0.45">
      <c r="A461" s="90">
        <v>191227</v>
      </c>
      <c r="B461" s="91">
        <v>0.375</v>
      </c>
      <c r="C461" s="90" t="s">
        <v>422</v>
      </c>
      <c r="D461" s="90" t="s">
        <v>414</v>
      </c>
      <c r="E461" s="132">
        <v>31</v>
      </c>
      <c r="F461" s="132">
        <v>37</v>
      </c>
      <c r="G461" s="132">
        <v>38</v>
      </c>
      <c r="H461" s="132">
        <v>26</v>
      </c>
      <c r="I461" s="132"/>
      <c r="J461" s="132">
        <v>23</v>
      </c>
      <c r="K461" s="132">
        <v>25</v>
      </c>
      <c r="L461" s="132">
        <v>28</v>
      </c>
      <c r="M461" s="132">
        <v>26</v>
      </c>
      <c r="N461" s="132" t="s">
        <v>427</v>
      </c>
      <c r="O461" s="186">
        <f t="shared" si="222"/>
        <v>132</v>
      </c>
      <c r="P461" s="186">
        <f t="shared" si="223"/>
        <v>102</v>
      </c>
      <c r="Q461" s="186" t="str">
        <f t="shared" si="224"/>
        <v>HW</v>
      </c>
      <c r="R461" s="186" t="str">
        <f t="shared" si="225"/>
        <v>HW</v>
      </c>
      <c r="S461" s="186" t="str">
        <f t="shared" si="226"/>
        <v>HW</v>
      </c>
      <c r="T461" s="186" t="str">
        <f t="shared" si="227"/>
        <v>TT</v>
      </c>
      <c r="U461" s="186" t="str">
        <f t="shared" si="228"/>
        <v>U</v>
      </c>
      <c r="V461" s="186" t="str">
        <f t="shared" si="229"/>
        <v>O</v>
      </c>
      <c r="W461" s="186" t="str">
        <f t="shared" si="230"/>
        <v>O</v>
      </c>
      <c r="X461" s="186" t="str">
        <f t="shared" si="231"/>
        <v>U</v>
      </c>
      <c r="Y461" s="186"/>
      <c r="Z461" s="90">
        <v>59</v>
      </c>
      <c r="AB461" s="90" t="str">
        <f t="shared" si="219"/>
        <v>DET/WAS</v>
      </c>
      <c r="AC461" s="186">
        <f t="shared" si="232"/>
        <v>2</v>
      </c>
      <c r="AD461" s="186">
        <f t="shared" si="233"/>
        <v>2</v>
      </c>
    </row>
    <row r="462" spans="1:30" x14ac:dyDescent="0.45">
      <c r="A462" s="90">
        <v>191227</v>
      </c>
      <c r="B462" s="91">
        <v>0.39583333333333331</v>
      </c>
      <c r="C462" s="90" t="s">
        <v>407</v>
      </c>
      <c r="D462" s="90" t="s">
        <v>399</v>
      </c>
      <c r="E462" s="130">
        <v>15</v>
      </c>
      <c r="F462" s="130">
        <v>26</v>
      </c>
      <c r="G462" s="130">
        <v>20</v>
      </c>
      <c r="H462" s="130">
        <v>21</v>
      </c>
      <c r="I462" s="130"/>
      <c r="J462" s="130">
        <v>24</v>
      </c>
      <c r="K462" s="130">
        <v>22</v>
      </c>
      <c r="L462" s="130">
        <v>33</v>
      </c>
      <c r="M462" s="130">
        <v>15</v>
      </c>
      <c r="N462" s="130" t="s">
        <v>427</v>
      </c>
      <c r="O462" s="186">
        <f t="shared" si="222"/>
        <v>82</v>
      </c>
      <c r="P462" s="186">
        <f t="shared" si="223"/>
        <v>94</v>
      </c>
      <c r="Q462" s="186" t="str">
        <f t="shared" si="224"/>
        <v>HL</v>
      </c>
      <c r="R462" s="186" t="str">
        <f t="shared" si="225"/>
        <v>HW</v>
      </c>
      <c r="S462" s="186" t="str">
        <f t="shared" si="226"/>
        <v>HL</v>
      </c>
      <c r="T462" s="186" t="str">
        <f t="shared" si="227"/>
        <v>HW</v>
      </c>
      <c r="U462" s="186" t="str">
        <f t="shared" si="228"/>
        <v>U</v>
      </c>
      <c r="V462" s="186" t="str">
        <f t="shared" si="229"/>
        <v>U</v>
      </c>
      <c r="W462" s="186" t="str">
        <f t="shared" si="230"/>
        <v>U</v>
      </c>
      <c r="X462" s="186" t="str">
        <f t="shared" si="231"/>
        <v>U</v>
      </c>
      <c r="Y462" s="186"/>
      <c r="Z462" s="90">
        <v>58</v>
      </c>
      <c r="AB462" s="90" t="str">
        <f t="shared" si="219"/>
        <v>BKN/NYK</v>
      </c>
      <c r="AC462" s="186">
        <f t="shared" si="232"/>
        <v>0</v>
      </c>
      <c r="AD462" s="186">
        <f t="shared" si="233"/>
        <v>4</v>
      </c>
    </row>
    <row r="463" spans="1:30" x14ac:dyDescent="0.45">
      <c r="A463" s="90">
        <v>191227</v>
      </c>
      <c r="B463" s="91">
        <v>0.41666666666666669</v>
      </c>
      <c r="C463" s="90" t="s">
        <v>397</v>
      </c>
      <c r="D463" s="90" t="s">
        <v>426</v>
      </c>
      <c r="E463" s="131">
        <v>20</v>
      </c>
      <c r="F463" s="131">
        <v>32</v>
      </c>
      <c r="G463" s="131">
        <v>27</v>
      </c>
      <c r="H463" s="131">
        <v>23</v>
      </c>
      <c r="I463" s="131"/>
      <c r="J463" s="131">
        <v>24</v>
      </c>
      <c r="K463" s="131">
        <v>23</v>
      </c>
      <c r="L463" s="131">
        <v>27</v>
      </c>
      <c r="M463" s="131">
        <v>24</v>
      </c>
      <c r="N463" s="131" t="s">
        <v>427</v>
      </c>
      <c r="O463" s="186">
        <f t="shared" si="222"/>
        <v>102</v>
      </c>
      <c r="P463" s="186">
        <f t="shared" si="223"/>
        <v>98</v>
      </c>
      <c r="Q463" s="186" t="str">
        <f t="shared" si="224"/>
        <v>HL</v>
      </c>
      <c r="R463" s="186" t="str">
        <f t="shared" si="225"/>
        <v>HW</v>
      </c>
      <c r="S463" s="186" t="str">
        <f t="shared" si="226"/>
        <v>TT</v>
      </c>
      <c r="T463" s="186" t="str">
        <f t="shared" si="227"/>
        <v>HL</v>
      </c>
      <c r="U463" s="186" t="str">
        <f t="shared" si="228"/>
        <v>U</v>
      </c>
      <c r="V463" s="186" t="str">
        <f t="shared" si="229"/>
        <v>U</v>
      </c>
      <c r="W463" s="186" t="str">
        <f t="shared" si="230"/>
        <v>U</v>
      </c>
      <c r="X463" s="186" t="str">
        <f t="shared" si="231"/>
        <v>U</v>
      </c>
      <c r="Y463" s="186"/>
      <c r="Z463" s="90">
        <v>56</v>
      </c>
      <c r="AB463" s="90" t="str">
        <f t="shared" si="219"/>
        <v>DAL/SAS</v>
      </c>
      <c r="AC463" s="186">
        <f t="shared" si="232"/>
        <v>0</v>
      </c>
      <c r="AD463" s="186">
        <f t="shared" si="233"/>
        <v>4</v>
      </c>
    </row>
    <row r="464" spans="1:30" x14ac:dyDescent="0.45">
      <c r="A464" s="90">
        <v>191227</v>
      </c>
      <c r="B464" s="91">
        <v>0.41666666666666669</v>
      </c>
      <c r="C464" s="90" t="s">
        <v>418</v>
      </c>
      <c r="D464" s="90" t="s">
        <v>406</v>
      </c>
      <c r="E464" s="133">
        <v>18</v>
      </c>
      <c r="F464" s="133">
        <v>29</v>
      </c>
      <c r="G464" s="133">
        <v>27</v>
      </c>
      <c r="H464" s="133">
        <v>23</v>
      </c>
      <c r="I464" s="133"/>
      <c r="J464" s="133">
        <v>23</v>
      </c>
      <c r="K464" s="133">
        <v>26</v>
      </c>
      <c r="L464" s="133">
        <v>37</v>
      </c>
      <c r="M464" s="133">
        <v>24</v>
      </c>
      <c r="N464" s="133" t="s">
        <v>427</v>
      </c>
      <c r="O464" s="186">
        <f t="shared" si="222"/>
        <v>97</v>
      </c>
      <c r="P464" s="186">
        <f t="shared" si="223"/>
        <v>110</v>
      </c>
      <c r="Q464" s="186" t="str">
        <f t="shared" si="224"/>
        <v>HL</v>
      </c>
      <c r="R464" s="186" t="str">
        <f t="shared" si="225"/>
        <v>HW</v>
      </c>
      <c r="S464" s="186" t="str">
        <f t="shared" si="226"/>
        <v>HL</v>
      </c>
      <c r="T464" s="186" t="str">
        <f t="shared" si="227"/>
        <v>HL</v>
      </c>
      <c r="U464" s="186" t="str">
        <f t="shared" si="228"/>
        <v>U</v>
      </c>
      <c r="V464" s="186" t="str">
        <f t="shared" si="229"/>
        <v>T</v>
      </c>
      <c r="W464" s="186" t="str">
        <f t="shared" si="230"/>
        <v>O</v>
      </c>
      <c r="X464" s="186" t="str">
        <f t="shared" si="231"/>
        <v>U</v>
      </c>
      <c r="Y464" s="186"/>
      <c r="Z464" s="90">
        <v>55</v>
      </c>
      <c r="AB464" s="90" t="str">
        <f t="shared" si="219"/>
        <v>OKC/MEM</v>
      </c>
      <c r="AC464" s="186">
        <f t="shared" si="232"/>
        <v>1</v>
      </c>
      <c r="AD464" s="186">
        <f t="shared" si="233"/>
        <v>2</v>
      </c>
    </row>
    <row r="465" spans="1:30" x14ac:dyDescent="0.45">
      <c r="A465" s="90">
        <v>191227</v>
      </c>
      <c r="B465" s="91">
        <v>0.5</v>
      </c>
      <c r="C465" s="90" t="s">
        <v>416</v>
      </c>
      <c r="D465" s="90" t="s">
        <v>420</v>
      </c>
      <c r="E465" s="134">
        <v>26</v>
      </c>
      <c r="F465" s="134">
        <v>22</v>
      </c>
      <c r="G465" s="134">
        <v>31</v>
      </c>
      <c r="H465" s="134">
        <v>11</v>
      </c>
      <c r="I465" s="134">
        <v>14</v>
      </c>
      <c r="J465" s="134">
        <v>21</v>
      </c>
      <c r="K465" s="134">
        <v>29</v>
      </c>
      <c r="L465" s="134">
        <v>21</v>
      </c>
      <c r="M465" s="134">
        <v>19</v>
      </c>
      <c r="N465" s="134">
        <v>15</v>
      </c>
      <c r="O465" s="186">
        <f t="shared" si="222"/>
        <v>104</v>
      </c>
      <c r="P465" s="186">
        <f t="shared" si="223"/>
        <v>105</v>
      </c>
      <c r="Q465" s="186" t="str">
        <f t="shared" si="224"/>
        <v>HW</v>
      </c>
      <c r="R465" s="186" t="str">
        <f t="shared" si="225"/>
        <v>HL</v>
      </c>
      <c r="S465" s="186" t="str">
        <f t="shared" si="226"/>
        <v>HW</v>
      </c>
      <c r="T465" s="186" t="str">
        <f t="shared" si="227"/>
        <v>HL</v>
      </c>
      <c r="U465" s="186" t="str">
        <f t="shared" si="228"/>
        <v>U</v>
      </c>
      <c r="V465" s="186" t="str">
        <f t="shared" si="229"/>
        <v>U</v>
      </c>
      <c r="W465" s="186" t="str">
        <f t="shared" si="230"/>
        <v>U</v>
      </c>
      <c r="X465" s="186" t="str">
        <f t="shared" si="231"/>
        <v>U</v>
      </c>
      <c r="Y465" s="186"/>
      <c r="Z465" s="90">
        <v>57</v>
      </c>
      <c r="AB465" s="90" t="str">
        <f t="shared" si="219"/>
        <v>SAC/MIN</v>
      </c>
      <c r="AC465" s="186">
        <f t="shared" si="232"/>
        <v>0</v>
      </c>
      <c r="AD465" s="186">
        <f t="shared" si="233"/>
        <v>4</v>
      </c>
    </row>
    <row r="466" spans="1:30" x14ac:dyDescent="0.45">
      <c r="A466" s="90">
        <v>191227</v>
      </c>
      <c r="B466" s="91">
        <v>0.52083333333333337</v>
      </c>
      <c r="C466" s="90" t="s">
        <v>405</v>
      </c>
      <c r="D466" s="90" t="s">
        <v>417</v>
      </c>
      <c r="E466" s="135">
        <v>37</v>
      </c>
      <c r="F466" s="135">
        <v>25</v>
      </c>
      <c r="G466" s="135">
        <v>34</v>
      </c>
      <c r="H466" s="135">
        <v>25</v>
      </c>
      <c r="I466" s="135"/>
      <c r="J466" s="135">
        <v>22</v>
      </c>
      <c r="K466" s="135">
        <v>30</v>
      </c>
      <c r="L466" s="135">
        <v>24</v>
      </c>
      <c r="M466" s="135">
        <v>39</v>
      </c>
      <c r="N466" s="135" t="s">
        <v>427</v>
      </c>
      <c r="O466" s="186">
        <f t="shared" si="222"/>
        <v>121</v>
      </c>
      <c r="P466" s="186">
        <f t="shared" si="223"/>
        <v>115</v>
      </c>
      <c r="Q466" s="186" t="str">
        <f t="shared" si="224"/>
        <v>HW</v>
      </c>
      <c r="R466" s="186" t="str">
        <f t="shared" si="225"/>
        <v>HL</v>
      </c>
      <c r="S466" s="186" t="str">
        <f t="shared" si="226"/>
        <v>HW</v>
      </c>
      <c r="T466" s="186" t="str">
        <f t="shared" si="227"/>
        <v>HL</v>
      </c>
      <c r="U466" s="186" t="str">
        <f t="shared" si="228"/>
        <v>O</v>
      </c>
      <c r="V466" s="186" t="str">
        <f t="shared" si="229"/>
        <v>U</v>
      </c>
      <c r="W466" s="186" t="str">
        <f t="shared" si="230"/>
        <v>O</v>
      </c>
      <c r="X466" s="186" t="str">
        <f t="shared" si="231"/>
        <v>O</v>
      </c>
      <c r="Y466" s="186"/>
      <c r="Z466" s="90">
        <v>56.5</v>
      </c>
      <c r="AB466" s="90" t="str">
        <f t="shared" si="219"/>
        <v>UTA/POR</v>
      </c>
      <c r="AC466" s="186">
        <f t="shared" si="232"/>
        <v>3</v>
      </c>
      <c r="AD466" s="186">
        <f t="shared" si="233"/>
        <v>1</v>
      </c>
    </row>
    <row r="467" spans="1:30" x14ac:dyDescent="0.45">
      <c r="A467" s="90">
        <v>191228</v>
      </c>
      <c r="B467" s="91">
        <v>0.25</v>
      </c>
      <c r="C467" s="90" t="s">
        <v>421</v>
      </c>
      <c r="D467" s="90" t="s">
        <v>402</v>
      </c>
      <c r="E467" s="137">
        <v>33</v>
      </c>
      <c r="F467" s="137">
        <v>29</v>
      </c>
      <c r="G467" s="137">
        <v>30</v>
      </c>
      <c r="H467" s="137">
        <v>37</v>
      </c>
      <c r="I467" s="137"/>
      <c r="J467" s="137">
        <v>22</v>
      </c>
      <c r="K467" s="137">
        <v>25</v>
      </c>
      <c r="L467" s="137">
        <v>34</v>
      </c>
      <c r="M467" s="137">
        <v>36</v>
      </c>
      <c r="N467" s="137" t="s">
        <v>427</v>
      </c>
      <c r="O467" s="186">
        <f t="shared" si="222"/>
        <v>129</v>
      </c>
      <c r="P467" s="186">
        <f t="shared" si="223"/>
        <v>117</v>
      </c>
      <c r="Q467" s="186" t="str">
        <f t="shared" si="224"/>
        <v>HW</v>
      </c>
      <c r="R467" s="186" t="str">
        <f t="shared" si="225"/>
        <v>HW</v>
      </c>
      <c r="S467" s="186" t="str">
        <f t="shared" si="226"/>
        <v>HL</v>
      </c>
      <c r="T467" s="186" t="str">
        <f t="shared" si="227"/>
        <v>HW</v>
      </c>
      <c r="U467" s="186" t="str">
        <f t="shared" si="228"/>
        <v>O</v>
      </c>
      <c r="V467" s="186" t="str">
        <f t="shared" si="229"/>
        <v>O</v>
      </c>
      <c r="W467" s="186" t="str">
        <f t="shared" si="230"/>
        <v>O</v>
      </c>
      <c r="X467" s="186" t="str">
        <f t="shared" si="231"/>
        <v>O</v>
      </c>
      <c r="Y467" s="186"/>
      <c r="Z467" s="90">
        <v>53.5</v>
      </c>
      <c r="AB467" s="90" t="str">
        <f t="shared" si="219"/>
        <v>BOS/CLE</v>
      </c>
      <c r="AC467" s="186">
        <f t="shared" si="232"/>
        <v>4</v>
      </c>
      <c r="AD467" s="186">
        <f t="shared" si="233"/>
        <v>0</v>
      </c>
    </row>
    <row r="468" spans="1:30" x14ac:dyDescent="0.45">
      <c r="A468" s="90">
        <v>191228</v>
      </c>
      <c r="B468" s="91">
        <v>0.375</v>
      </c>
      <c r="C468" s="90" t="s">
        <v>424</v>
      </c>
      <c r="D468" s="90" t="s">
        <v>401</v>
      </c>
      <c r="E468" s="141">
        <v>19</v>
      </c>
      <c r="F468" s="141">
        <v>27</v>
      </c>
      <c r="G468" s="141">
        <v>25</v>
      </c>
      <c r="H468" s="141">
        <v>27</v>
      </c>
      <c r="I468" s="141"/>
      <c r="J468" s="141">
        <v>21</v>
      </c>
      <c r="K468" s="141">
        <v>26</v>
      </c>
      <c r="L468" s="141">
        <v>21</v>
      </c>
      <c r="M468" s="141">
        <v>29</v>
      </c>
      <c r="N468" s="141" t="s">
        <v>427</v>
      </c>
      <c r="O468" s="186">
        <f t="shared" si="222"/>
        <v>98</v>
      </c>
      <c r="P468" s="186">
        <f t="shared" si="223"/>
        <v>97</v>
      </c>
      <c r="Q468" s="186" t="str">
        <f t="shared" si="224"/>
        <v>HL</v>
      </c>
      <c r="R468" s="186" t="str">
        <f t="shared" si="225"/>
        <v>HW</v>
      </c>
      <c r="S468" s="186" t="str">
        <f t="shared" si="226"/>
        <v>HW</v>
      </c>
      <c r="T468" s="186" t="str">
        <f t="shared" si="227"/>
        <v>HL</v>
      </c>
      <c r="U468" s="186" t="str">
        <f t="shared" si="228"/>
        <v>U</v>
      </c>
      <c r="V468" s="186" t="str">
        <f t="shared" si="229"/>
        <v>O</v>
      </c>
      <c r="W468" s="186" t="str">
        <f t="shared" si="230"/>
        <v>U</v>
      </c>
      <c r="X468" s="186" t="str">
        <f t="shared" si="231"/>
        <v>O</v>
      </c>
      <c r="Y468" s="186"/>
      <c r="Z468" s="90">
        <v>52</v>
      </c>
      <c r="AB468" s="90" t="str">
        <f t="shared" si="219"/>
        <v>ORL/PHI</v>
      </c>
      <c r="AC468" s="186">
        <f t="shared" si="232"/>
        <v>2</v>
      </c>
      <c r="AD468" s="186">
        <f t="shared" si="233"/>
        <v>2</v>
      </c>
    </row>
    <row r="469" spans="1:30" x14ac:dyDescent="0.45">
      <c r="A469" s="90">
        <v>191228</v>
      </c>
      <c r="B469" s="91">
        <v>0.375</v>
      </c>
      <c r="C469" s="90" t="s">
        <v>409</v>
      </c>
      <c r="D469" s="90" t="s">
        <v>418</v>
      </c>
      <c r="E469" s="138">
        <v>18</v>
      </c>
      <c r="F469" s="138">
        <v>25</v>
      </c>
      <c r="G469" s="138">
        <v>22</v>
      </c>
      <c r="H469" s="138">
        <v>29</v>
      </c>
      <c r="I469" s="138">
        <v>8</v>
      </c>
      <c r="J469" s="138">
        <v>26</v>
      </c>
      <c r="K469" s="138">
        <v>27</v>
      </c>
      <c r="L469" s="138">
        <v>19</v>
      </c>
      <c r="M469" s="138">
        <v>22</v>
      </c>
      <c r="N469" s="138">
        <v>10</v>
      </c>
      <c r="O469" s="186">
        <f t="shared" si="222"/>
        <v>102</v>
      </c>
      <c r="P469" s="186">
        <f t="shared" si="223"/>
        <v>104</v>
      </c>
      <c r="Q469" s="186" t="str">
        <f t="shared" si="224"/>
        <v>HL</v>
      </c>
      <c r="R469" s="186" t="str">
        <f t="shared" si="225"/>
        <v>HL</v>
      </c>
      <c r="S469" s="186" t="str">
        <f t="shared" si="226"/>
        <v>HW</v>
      </c>
      <c r="T469" s="186" t="str">
        <f t="shared" si="227"/>
        <v>HW</v>
      </c>
      <c r="U469" s="186" t="str">
        <f t="shared" si="228"/>
        <v>U</v>
      </c>
      <c r="V469" s="186" t="str">
        <f t="shared" si="229"/>
        <v>U</v>
      </c>
      <c r="W469" s="186" t="str">
        <f t="shared" si="230"/>
        <v>U</v>
      </c>
      <c r="X469" s="186" t="str">
        <f t="shared" si="231"/>
        <v>U</v>
      </c>
      <c r="Y469" s="186"/>
      <c r="Z469" s="90">
        <v>53.5</v>
      </c>
      <c r="AB469" s="90" t="str">
        <f t="shared" si="219"/>
        <v>CHA/OKC</v>
      </c>
      <c r="AC469" s="186">
        <f t="shared" si="232"/>
        <v>0</v>
      </c>
      <c r="AD469" s="186">
        <f t="shared" si="233"/>
        <v>4</v>
      </c>
    </row>
    <row r="470" spans="1:30" x14ac:dyDescent="0.45">
      <c r="A470" s="90">
        <v>191228</v>
      </c>
      <c r="B470" s="91">
        <v>0.39583333333333331</v>
      </c>
      <c r="C470" s="90" t="s">
        <v>410</v>
      </c>
      <c r="D470" s="90" t="s">
        <v>423</v>
      </c>
      <c r="E470" s="136">
        <v>19</v>
      </c>
      <c r="F470" s="136">
        <v>21</v>
      </c>
      <c r="G470" s="136">
        <v>23</v>
      </c>
      <c r="H470" s="136">
        <v>23</v>
      </c>
      <c r="I470" s="136"/>
      <c r="J470" s="136">
        <v>32</v>
      </c>
      <c r="K470" s="136">
        <v>31</v>
      </c>
      <c r="L470" s="136">
        <v>21</v>
      </c>
      <c r="M470" s="136">
        <v>28</v>
      </c>
      <c r="N470" s="136" t="s">
        <v>427</v>
      </c>
      <c r="O470" s="186">
        <f t="shared" si="222"/>
        <v>86</v>
      </c>
      <c r="P470" s="186">
        <f t="shared" si="223"/>
        <v>112</v>
      </c>
      <c r="Q470" s="186" t="str">
        <f t="shared" si="224"/>
        <v>HL</v>
      </c>
      <c r="R470" s="186" t="str">
        <f t="shared" si="225"/>
        <v>HL</v>
      </c>
      <c r="S470" s="186" t="str">
        <f t="shared" si="226"/>
        <v>HW</v>
      </c>
      <c r="T470" s="186" t="str">
        <f t="shared" si="227"/>
        <v>HL</v>
      </c>
      <c r="U470" s="186" t="str">
        <f t="shared" si="228"/>
        <v>U</v>
      </c>
      <c r="V470" s="186" t="str">
        <f t="shared" si="229"/>
        <v>U</v>
      </c>
      <c r="W470" s="186" t="str">
        <f t="shared" si="230"/>
        <v>U</v>
      </c>
      <c r="X470" s="186" t="str">
        <f t="shared" si="231"/>
        <v>U</v>
      </c>
      <c r="Y470" s="186"/>
      <c r="Z470" s="90">
        <v>58</v>
      </c>
      <c r="AB470" s="90" t="str">
        <f t="shared" si="219"/>
        <v>ATL/MIL</v>
      </c>
      <c r="AC470" s="186">
        <f t="shared" si="232"/>
        <v>0</v>
      </c>
      <c r="AD470" s="186">
        <f t="shared" si="233"/>
        <v>4</v>
      </c>
    </row>
    <row r="471" spans="1:30" x14ac:dyDescent="0.45">
      <c r="A471" s="90">
        <v>191228</v>
      </c>
      <c r="B471" s="91">
        <v>0.41666666666666669</v>
      </c>
      <c r="C471" s="90" t="s">
        <v>411</v>
      </c>
      <c r="D471" s="90" t="s">
        <v>400</v>
      </c>
      <c r="E471" s="140">
        <v>25</v>
      </c>
      <c r="F471" s="140">
        <v>33</v>
      </c>
      <c r="G471" s="140">
        <v>26</v>
      </c>
      <c r="H471" s="140">
        <v>29</v>
      </c>
      <c r="I471" s="140"/>
      <c r="J471" s="140">
        <v>27</v>
      </c>
      <c r="K471" s="140">
        <v>28</v>
      </c>
      <c r="L471" s="140">
        <v>27</v>
      </c>
      <c r="M471" s="140">
        <v>30</v>
      </c>
      <c r="N471" s="140" t="s">
        <v>427</v>
      </c>
      <c r="O471" s="186">
        <f t="shared" si="222"/>
        <v>113</v>
      </c>
      <c r="P471" s="186">
        <f t="shared" si="223"/>
        <v>112</v>
      </c>
      <c r="Q471" s="186" t="str">
        <f t="shared" si="224"/>
        <v>HL</v>
      </c>
      <c r="R471" s="186" t="str">
        <f t="shared" si="225"/>
        <v>HW</v>
      </c>
      <c r="S471" s="186" t="str">
        <f t="shared" si="226"/>
        <v>HL</v>
      </c>
      <c r="T471" s="186" t="str">
        <f t="shared" si="227"/>
        <v>HL</v>
      </c>
      <c r="U471" s="186" t="str">
        <f t="shared" si="228"/>
        <v>U</v>
      </c>
      <c r="V471" s="186" t="str">
        <f t="shared" si="229"/>
        <v>O</v>
      </c>
      <c r="W471" s="186" t="str">
        <f t="shared" si="230"/>
        <v>U</v>
      </c>
      <c r="X471" s="186" t="str">
        <f t="shared" si="231"/>
        <v>O</v>
      </c>
      <c r="Y471" s="186"/>
      <c r="Z471" s="90">
        <v>54.5</v>
      </c>
      <c r="AB471" s="90" t="str">
        <f t="shared" si="219"/>
        <v>MIA/IND</v>
      </c>
      <c r="AC471" s="186">
        <f t="shared" si="232"/>
        <v>2</v>
      </c>
      <c r="AD471" s="186">
        <f t="shared" si="233"/>
        <v>2</v>
      </c>
    </row>
    <row r="472" spans="1:30" x14ac:dyDescent="0.45">
      <c r="A472" s="90">
        <v>191228</v>
      </c>
      <c r="B472" s="91">
        <v>0.52083333333333337</v>
      </c>
      <c r="C472" s="90" t="s">
        <v>425</v>
      </c>
      <c r="D472" s="90" t="s">
        <v>404</v>
      </c>
      <c r="E472" s="139">
        <v>25</v>
      </c>
      <c r="F472" s="139">
        <v>18</v>
      </c>
      <c r="G472" s="139">
        <v>23</v>
      </c>
      <c r="H472" s="139">
        <v>39</v>
      </c>
      <c r="I472" s="139"/>
      <c r="J472" s="139">
        <v>29</v>
      </c>
      <c r="K472" s="139">
        <v>22</v>
      </c>
      <c r="L472" s="139">
        <v>27</v>
      </c>
      <c r="M472" s="139">
        <v>18</v>
      </c>
      <c r="N472" s="139" t="s">
        <v>427</v>
      </c>
      <c r="O472" s="186">
        <f t="shared" si="222"/>
        <v>105</v>
      </c>
      <c r="P472" s="186">
        <f t="shared" si="223"/>
        <v>96</v>
      </c>
      <c r="Q472" s="186" t="str">
        <f t="shared" si="224"/>
        <v>HL</v>
      </c>
      <c r="R472" s="186" t="str">
        <f t="shared" si="225"/>
        <v>HL</v>
      </c>
      <c r="S472" s="186" t="str">
        <f t="shared" si="226"/>
        <v>HL</v>
      </c>
      <c r="T472" s="186" t="str">
        <f t="shared" si="227"/>
        <v>HW</v>
      </c>
      <c r="U472" s="186" t="str">
        <f t="shared" si="228"/>
        <v>U</v>
      </c>
      <c r="V472" s="186" t="str">
        <f t="shared" si="229"/>
        <v>U</v>
      </c>
      <c r="W472" s="186" t="str">
        <f t="shared" si="230"/>
        <v>U</v>
      </c>
      <c r="X472" s="186" t="str">
        <f t="shared" si="231"/>
        <v>O</v>
      </c>
      <c r="Y472" s="186"/>
      <c r="Z472" s="90">
        <v>55.5</v>
      </c>
      <c r="AB472" s="90" t="str">
        <f t="shared" ref="AB472:AB523" si="234">C472&amp;"/"&amp;D472</f>
        <v>GS/PHO</v>
      </c>
      <c r="AC472" s="186">
        <f t="shared" si="232"/>
        <v>1</v>
      </c>
      <c r="AD472" s="186">
        <f t="shared" si="233"/>
        <v>3</v>
      </c>
    </row>
    <row r="473" spans="1:30" x14ac:dyDescent="0.45">
      <c r="A473" s="90">
        <v>191229</v>
      </c>
      <c r="B473" s="91">
        <v>0.29166666666666669</v>
      </c>
      <c r="C473" s="90" t="s">
        <v>408</v>
      </c>
      <c r="D473" s="90" t="s">
        <v>406</v>
      </c>
      <c r="E473" s="144">
        <v>26</v>
      </c>
      <c r="F473" s="144">
        <v>24</v>
      </c>
      <c r="G473" s="144">
        <v>32</v>
      </c>
      <c r="H473" s="144">
        <v>37</v>
      </c>
      <c r="I473" s="144"/>
      <c r="J473" s="144">
        <v>11</v>
      </c>
      <c r="K473" s="144">
        <v>28</v>
      </c>
      <c r="L473" s="144">
        <v>29</v>
      </c>
      <c r="M473" s="144">
        <v>42</v>
      </c>
      <c r="N473" s="144" t="s">
        <v>427</v>
      </c>
      <c r="O473" s="186">
        <f t="shared" si="222"/>
        <v>119</v>
      </c>
      <c r="P473" s="186">
        <f t="shared" si="223"/>
        <v>110</v>
      </c>
      <c r="Q473" s="186" t="str">
        <f t="shared" si="224"/>
        <v>HW</v>
      </c>
      <c r="R473" s="186" t="str">
        <f t="shared" si="225"/>
        <v>HL</v>
      </c>
      <c r="S473" s="186" t="str">
        <f t="shared" si="226"/>
        <v>HW</v>
      </c>
      <c r="T473" s="186" t="str">
        <f t="shared" si="227"/>
        <v>HL</v>
      </c>
      <c r="U473" s="186" t="str">
        <f t="shared" si="228"/>
        <v>U</v>
      </c>
      <c r="V473" s="186" t="str">
        <f t="shared" si="229"/>
        <v>U</v>
      </c>
      <c r="W473" s="186" t="str">
        <f t="shared" si="230"/>
        <v>O</v>
      </c>
      <c r="X473" s="186" t="str">
        <f t="shared" si="231"/>
        <v>O</v>
      </c>
      <c r="Y473" s="186"/>
      <c r="Z473" s="90">
        <v>54.5</v>
      </c>
      <c r="AB473" s="90" t="str">
        <f t="shared" si="234"/>
        <v>DEN/MEM</v>
      </c>
      <c r="AC473" s="186">
        <f t="shared" si="232"/>
        <v>2</v>
      </c>
      <c r="AD473" s="186">
        <f t="shared" si="233"/>
        <v>2</v>
      </c>
    </row>
    <row r="474" spans="1:30" x14ac:dyDescent="0.45">
      <c r="A474" s="90">
        <v>191229</v>
      </c>
      <c r="B474" s="91">
        <v>0.375</v>
      </c>
      <c r="C474" s="90" t="s">
        <v>421</v>
      </c>
      <c r="D474" s="90" t="s">
        <v>413</v>
      </c>
      <c r="E474" s="142">
        <v>25</v>
      </c>
      <c r="F474" s="142">
        <v>29</v>
      </c>
      <c r="G474" s="142">
        <v>25</v>
      </c>
      <c r="H474" s="142">
        <v>18</v>
      </c>
      <c r="I474" s="142"/>
      <c r="J474" s="142">
        <v>36</v>
      </c>
      <c r="K474" s="142">
        <v>23</v>
      </c>
      <c r="L474" s="142">
        <v>30</v>
      </c>
      <c r="M474" s="142">
        <v>24</v>
      </c>
      <c r="N474" s="142" t="s">
        <v>427</v>
      </c>
      <c r="O474" s="186">
        <f t="shared" si="222"/>
        <v>97</v>
      </c>
      <c r="P474" s="186">
        <f t="shared" si="223"/>
        <v>113</v>
      </c>
      <c r="Q474" s="186" t="str">
        <f t="shared" si="224"/>
        <v>HL</v>
      </c>
      <c r="R474" s="186" t="str">
        <f t="shared" si="225"/>
        <v>HW</v>
      </c>
      <c r="S474" s="186" t="str">
        <f t="shared" si="226"/>
        <v>HL</v>
      </c>
      <c r="T474" s="186" t="str">
        <f t="shared" si="227"/>
        <v>HL</v>
      </c>
      <c r="U474" s="186" t="str">
        <f t="shared" si="228"/>
        <v>O</v>
      </c>
      <c r="V474" s="186" t="str">
        <f t="shared" si="229"/>
        <v>U</v>
      </c>
      <c r="W474" s="186" t="str">
        <f t="shared" si="230"/>
        <v>U</v>
      </c>
      <c r="X474" s="186" t="str">
        <f t="shared" si="231"/>
        <v>U</v>
      </c>
      <c r="Y474" s="186"/>
      <c r="Z474" s="90">
        <v>55.5</v>
      </c>
      <c r="AB474" s="90" t="str">
        <f t="shared" si="234"/>
        <v>BOS/TOR</v>
      </c>
      <c r="AC474" s="186">
        <f t="shared" si="232"/>
        <v>1</v>
      </c>
      <c r="AD474" s="186">
        <f t="shared" si="233"/>
        <v>3</v>
      </c>
    </row>
    <row r="475" spans="1:30" x14ac:dyDescent="0.45">
      <c r="A475" s="90">
        <v>191229</v>
      </c>
      <c r="B475" s="91">
        <v>0.375</v>
      </c>
      <c r="C475" s="90" t="s">
        <v>398</v>
      </c>
      <c r="D475" s="90" t="s">
        <v>400</v>
      </c>
      <c r="E475" s="151">
        <v>19</v>
      </c>
      <c r="F475" s="151">
        <v>29</v>
      </c>
      <c r="G475" s="151">
        <v>38</v>
      </c>
      <c r="H475" s="151">
        <v>34</v>
      </c>
      <c r="I475" s="151"/>
      <c r="J475" s="151">
        <v>32</v>
      </c>
      <c r="K475" s="151">
        <v>13</v>
      </c>
      <c r="L475" s="151">
        <v>23</v>
      </c>
      <c r="M475" s="151">
        <v>30</v>
      </c>
      <c r="N475" s="151" t="s">
        <v>427</v>
      </c>
      <c r="O475" s="186">
        <f t="shared" si="222"/>
        <v>120</v>
      </c>
      <c r="P475" s="186">
        <f t="shared" si="223"/>
        <v>98</v>
      </c>
      <c r="Q475" s="186" t="str">
        <f t="shared" si="224"/>
        <v>HL</v>
      </c>
      <c r="R475" s="186" t="str">
        <f t="shared" si="225"/>
        <v>HW</v>
      </c>
      <c r="S475" s="186" t="str">
        <f t="shared" si="226"/>
        <v>HW</v>
      </c>
      <c r="T475" s="186" t="str">
        <f t="shared" si="227"/>
        <v>HW</v>
      </c>
      <c r="U475" s="186" t="str">
        <f t="shared" si="228"/>
        <v>U</v>
      </c>
      <c r="V475" s="186" t="str">
        <f t="shared" si="229"/>
        <v>U</v>
      </c>
      <c r="W475" s="186" t="str">
        <f t="shared" si="230"/>
        <v>O</v>
      </c>
      <c r="X475" s="186" t="str">
        <f t="shared" si="231"/>
        <v>O</v>
      </c>
      <c r="Y475" s="186"/>
      <c r="Z475" s="90">
        <v>56.5</v>
      </c>
      <c r="AB475" s="90" t="str">
        <f t="shared" si="234"/>
        <v>NO/IND</v>
      </c>
      <c r="AC475" s="186">
        <f t="shared" si="232"/>
        <v>2</v>
      </c>
      <c r="AD475" s="186">
        <f t="shared" si="233"/>
        <v>2</v>
      </c>
    </row>
    <row r="476" spans="1:30" x14ac:dyDescent="0.45">
      <c r="A476" s="90">
        <v>191229</v>
      </c>
      <c r="B476" s="91">
        <v>0.41666666666666669</v>
      </c>
      <c r="C476" s="90" t="s">
        <v>412</v>
      </c>
      <c r="D476" s="90" t="s">
        <v>410</v>
      </c>
      <c r="E476" s="143">
        <v>35</v>
      </c>
      <c r="F476" s="143">
        <v>29</v>
      </c>
      <c r="G476" s="143">
        <v>19</v>
      </c>
      <c r="H476" s="143">
        <v>33</v>
      </c>
      <c r="I476" s="143"/>
      <c r="J476" s="143">
        <v>19</v>
      </c>
      <c r="K476" s="143">
        <v>24</v>
      </c>
      <c r="L476" s="143">
        <v>22</v>
      </c>
      <c r="M476" s="143">
        <v>16</v>
      </c>
      <c r="N476" s="143" t="s">
        <v>427</v>
      </c>
      <c r="O476" s="186">
        <f t="shared" si="222"/>
        <v>116</v>
      </c>
      <c r="P476" s="186">
        <f t="shared" si="223"/>
        <v>81</v>
      </c>
      <c r="Q476" s="186" t="str">
        <f t="shared" si="224"/>
        <v>HW</v>
      </c>
      <c r="R476" s="186" t="str">
        <f t="shared" si="225"/>
        <v>HW</v>
      </c>
      <c r="S476" s="186" t="str">
        <f t="shared" si="226"/>
        <v>HL</v>
      </c>
      <c r="T476" s="186" t="str">
        <f t="shared" si="227"/>
        <v>HW</v>
      </c>
      <c r="U476" s="186" t="str">
        <f t="shared" si="228"/>
        <v>U</v>
      </c>
      <c r="V476" s="186" t="str">
        <f t="shared" si="229"/>
        <v>U</v>
      </c>
      <c r="W476" s="186" t="str">
        <f t="shared" si="230"/>
        <v>U</v>
      </c>
      <c r="X476" s="186" t="str">
        <f t="shared" si="231"/>
        <v>U</v>
      </c>
      <c r="Y476" s="186"/>
      <c r="Z476" s="90">
        <v>55.5</v>
      </c>
      <c r="AB476" s="90" t="str">
        <f t="shared" si="234"/>
        <v>CHI/ATL</v>
      </c>
      <c r="AC476" s="186">
        <f t="shared" si="232"/>
        <v>0</v>
      </c>
      <c r="AD476" s="186">
        <f t="shared" si="233"/>
        <v>4</v>
      </c>
    </row>
    <row r="477" spans="1:30" x14ac:dyDescent="0.45">
      <c r="A477" s="90">
        <v>191229</v>
      </c>
      <c r="B477" s="91">
        <v>0.41666666666666669</v>
      </c>
      <c r="C477" s="90" t="s">
        <v>403</v>
      </c>
      <c r="D477" s="90" t="s">
        <v>407</v>
      </c>
      <c r="E477" s="146">
        <v>42</v>
      </c>
      <c r="F477" s="146">
        <v>21</v>
      </c>
      <c r="G477" s="146">
        <v>25</v>
      </c>
      <c r="H477" s="146">
        <v>20</v>
      </c>
      <c r="I477" s="146"/>
      <c r="J477" s="146">
        <v>20</v>
      </c>
      <c r="K477" s="146">
        <v>34</v>
      </c>
      <c r="L477" s="146">
        <v>25</v>
      </c>
      <c r="M477" s="146">
        <v>19</v>
      </c>
      <c r="N477" s="146" t="s">
        <v>427</v>
      </c>
      <c r="O477" s="186">
        <f t="shared" si="222"/>
        <v>108</v>
      </c>
      <c r="P477" s="186">
        <f t="shared" si="223"/>
        <v>98</v>
      </c>
      <c r="Q477" s="186" t="str">
        <f t="shared" si="224"/>
        <v>HW</v>
      </c>
      <c r="R477" s="186" t="str">
        <f t="shared" si="225"/>
        <v>HL</v>
      </c>
      <c r="S477" s="186" t="str">
        <f t="shared" si="226"/>
        <v>TT</v>
      </c>
      <c r="T477" s="186" t="str">
        <f t="shared" si="227"/>
        <v>HW</v>
      </c>
      <c r="U477" s="186" t="str">
        <f t="shared" si="228"/>
        <v>O</v>
      </c>
      <c r="V477" s="186" t="str">
        <f t="shared" si="229"/>
        <v>U</v>
      </c>
      <c r="W477" s="186" t="str">
        <f t="shared" si="230"/>
        <v>U</v>
      </c>
      <c r="X477" s="186" t="str">
        <f t="shared" si="231"/>
        <v>U</v>
      </c>
      <c r="Y477" s="186"/>
      <c r="Z477" s="90">
        <v>57.5</v>
      </c>
      <c r="AB477" s="90" t="str">
        <f t="shared" si="234"/>
        <v>HOU/BKN</v>
      </c>
      <c r="AC477" s="186">
        <f t="shared" si="232"/>
        <v>1</v>
      </c>
      <c r="AD477" s="186">
        <f t="shared" si="233"/>
        <v>3</v>
      </c>
    </row>
    <row r="478" spans="1:30" x14ac:dyDescent="0.45">
      <c r="A478" s="90">
        <v>191229</v>
      </c>
      <c r="B478" s="91">
        <v>0.41666666666666669</v>
      </c>
      <c r="C478" s="90" t="s">
        <v>411</v>
      </c>
      <c r="D478" s="90" t="s">
        <v>401</v>
      </c>
      <c r="E478" s="148">
        <v>28</v>
      </c>
      <c r="F478" s="148">
        <v>26</v>
      </c>
      <c r="G478" s="148">
        <v>31</v>
      </c>
      <c r="H478" s="148">
        <v>23</v>
      </c>
      <c r="I478" s="148">
        <v>9</v>
      </c>
      <c r="J478" s="148">
        <v>33</v>
      </c>
      <c r="K478" s="148">
        <v>26</v>
      </c>
      <c r="L478" s="148">
        <v>20</v>
      </c>
      <c r="M478" s="148">
        <v>29</v>
      </c>
      <c r="N478" s="148">
        <v>8</v>
      </c>
      <c r="O478" s="186">
        <f t="shared" si="222"/>
        <v>117</v>
      </c>
      <c r="P478" s="186">
        <f t="shared" si="223"/>
        <v>116</v>
      </c>
      <c r="Q478" s="186" t="str">
        <f t="shared" si="224"/>
        <v>HL</v>
      </c>
      <c r="R478" s="186" t="str">
        <f t="shared" si="225"/>
        <v>TT</v>
      </c>
      <c r="S478" s="186" t="str">
        <f t="shared" si="226"/>
        <v>HW</v>
      </c>
      <c r="T478" s="186" t="str">
        <f t="shared" si="227"/>
        <v>HL</v>
      </c>
      <c r="U478" s="186" t="str">
        <f t="shared" si="228"/>
        <v>O</v>
      </c>
      <c r="V478" s="186" t="str">
        <f t="shared" si="229"/>
        <v>U</v>
      </c>
      <c r="W478" s="186" t="str">
        <f t="shared" si="230"/>
        <v>U</v>
      </c>
      <c r="X478" s="186" t="str">
        <f t="shared" si="231"/>
        <v>U</v>
      </c>
      <c r="Y478" s="186"/>
      <c r="Z478" s="90">
        <v>52.5</v>
      </c>
      <c r="AB478" s="90" t="str">
        <f t="shared" si="234"/>
        <v>MIA/PHI</v>
      </c>
      <c r="AC478" s="186">
        <f t="shared" si="232"/>
        <v>1</v>
      </c>
      <c r="AD478" s="186">
        <f t="shared" si="233"/>
        <v>3</v>
      </c>
    </row>
    <row r="479" spans="1:30" x14ac:dyDescent="0.45">
      <c r="A479" s="90">
        <v>191229</v>
      </c>
      <c r="B479" s="91">
        <v>0.41666666666666669</v>
      </c>
      <c r="C479" s="90" t="s">
        <v>420</v>
      </c>
      <c r="D479" s="90" t="s">
        <v>402</v>
      </c>
      <c r="E479" s="150">
        <v>21</v>
      </c>
      <c r="F479" s="150">
        <v>22</v>
      </c>
      <c r="G479" s="150">
        <v>17</v>
      </c>
      <c r="H479" s="150">
        <v>28</v>
      </c>
      <c r="I479" s="150"/>
      <c r="J479" s="150">
        <v>27</v>
      </c>
      <c r="K479" s="150">
        <v>22</v>
      </c>
      <c r="L479" s="150">
        <v>18</v>
      </c>
      <c r="M479" s="150">
        <v>27</v>
      </c>
      <c r="N479" s="150" t="s">
        <v>427</v>
      </c>
      <c r="O479" s="186">
        <f t="shared" si="222"/>
        <v>88</v>
      </c>
      <c r="P479" s="186">
        <f t="shared" si="223"/>
        <v>94</v>
      </c>
      <c r="Q479" s="186" t="str">
        <f t="shared" si="224"/>
        <v>HL</v>
      </c>
      <c r="R479" s="186" t="str">
        <f t="shared" si="225"/>
        <v>TT</v>
      </c>
      <c r="S479" s="186" t="str">
        <f t="shared" si="226"/>
        <v>HL</v>
      </c>
      <c r="T479" s="186" t="str">
        <f t="shared" si="227"/>
        <v>HW</v>
      </c>
      <c r="U479" s="186" t="str">
        <f t="shared" si="228"/>
        <v>U</v>
      </c>
      <c r="V479" s="186" t="str">
        <f t="shared" si="229"/>
        <v>U</v>
      </c>
      <c r="W479" s="186" t="str">
        <f t="shared" si="230"/>
        <v>U</v>
      </c>
      <c r="X479" s="186" t="str">
        <f t="shared" si="231"/>
        <v>O</v>
      </c>
      <c r="Y479" s="186"/>
      <c r="Z479" s="90">
        <v>53.5</v>
      </c>
      <c r="AB479" s="90" t="str">
        <f t="shared" si="234"/>
        <v>MIN/CLE</v>
      </c>
      <c r="AC479" s="186">
        <f t="shared" si="232"/>
        <v>1</v>
      </c>
      <c r="AD479" s="186">
        <f t="shared" si="233"/>
        <v>3</v>
      </c>
    </row>
    <row r="480" spans="1:30" x14ac:dyDescent="0.45">
      <c r="A480" s="90">
        <v>191229</v>
      </c>
      <c r="B480" s="91">
        <v>0.41666666666666669</v>
      </c>
      <c r="C480" s="90" t="s">
        <v>414</v>
      </c>
      <c r="D480" s="90" t="s">
        <v>399</v>
      </c>
      <c r="E480" s="155">
        <v>23</v>
      </c>
      <c r="F480" s="155">
        <v>35</v>
      </c>
      <c r="G480" s="155">
        <v>20</v>
      </c>
      <c r="H480" s="155">
        <v>22</v>
      </c>
      <c r="I480" s="155"/>
      <c r="J480" s="155">
        <v>33</v>
      </c>
      <c r="K480" s="155">
        <v>26</v>
      </c>
      <c r="L480" s="155">
        <v>27</v>
      </c>
      <c r="M480" s="155">
        <v>21</v>
      </c>
      <c r="N480" s="155" t="s">
        <v>427</v>
      </c>
      <c r="O480" s="186">
        <f t="shared" si="222"/>
        <v>100</v>
      </c>
      <c r="P480" s="186">
        <f t="shared" si="223"/>
        <v>107</v>
      </c>
      <c r="Q480" s="186" t="str">
        <f t="shared" si="224"/>
        <v>HL</v>
      </c>
      <c r="R480" s="186" t="str">
        <f t="shared" si="225"/>
        <v>HW</v>
      </c>
      <c r="S480" s="186" t="str">
        <f t="shared" si="226"/>
        <v>HL</v>
      </c>
      <c r="T480" s="186" t="str">
        <f t="shared" si="227"/>
        <v>HW</v>
      </c>
      <c r="U480" s="186" t="str">
        <f t="shared" si="228"/>
        <v>U</v>
      </c>
      <c r="V480" s="186" t="str">
        <f t="shared" si="229"/>
        <v>O</v>
      </c>
      <c r="W480" s="186" t="str">
        <f t="shared" si="230"/>
        <v>U</v>
      </c>
      <c r="X480" s="186" t="str">
        <f t="shared" si="231"/>
        <v>U</v>
      </c>
      <c r="Y480" s="186"/>
      <c r="Z480" s="90">
        <v>58</v>
      </c>
      <c r="AB480" s="90" t="str">
        <f t="shared" si="234"/>
        <v>WAS/NYK</v>
      </c>
      <c r="AC480" s="186">
        <f t="shared" si="232"/>
        <v>1</v>
      </c>
      <c r="AD480" s="186">
        <f t="shared" si="233"/>
        <v>3</v>
      </c>
    </row>
    <row r="481" spans="1:30" x14ac:dyDescent="0.45">
      <c r="A481" s="90">
        <v>191229</v>
      </c>
      <c r="B481" s="91">
        <v>0.4375</v>
      </c>
      <c r="C481" s="90" t="s">
        <v>425</v>
      </c>
      <c r="D481" s="90" t="s">
        <v>397</v>
      </c>
      <c r="E481" s="145">
        <v>41</v>
      </c>
      <c r="F481" s="145">
        <v>33</v>
      </c>
      <c r="G481" s="145">
        <v>24</v>
      </c>
      <c r="H481" s="145">
        <v>23</v>
      </c>
      <c r="I481" s="145"/>
      <c r="J481" s="145">
        <v>41</v>
      </c>
      <c r="K481" s="145">
        <v>31</v>
      </c>
      <c r="L481" s="145">
        <v>45</v>
      </c>
      <c r="M481" s="145">
        <v>24</v>
      </c>
      <c r="N481" s="145" t="s">
        <v>427</v>
      </c>
      <c r="O481" s="186">
        <f t="shared" si="222"/>
        <v>121</v>
      </c>
      <c r="P481" s="186">
        <f t="shared" si="223"/>
        <v>141</v>
      </c>
      <c r="Q481" s="186" t="str">
        <f t="shared" si="224"/>
        <v>TT</v>
      </c>
      <c r="R481" s="186" t="str">
        <f t="shared" si="225"/>
        <v>HW</v>
      </c>
      <c r="S481" s="186" t="str">
        <f t="shared" si="226"/>
        <v>HL</v>
      </c>
      <c r="T481" s="186" t="str">
        <f t="shared" si="227"/>
        <v>HL</v>
      </c>
      <c r="U481" s="186" t="str">
        <f t="shared" si="228"/>
        <v>O</v>
      </c>
      <c r="V481" s="186" t="str">
        <f t="shared" si="229"/>
        <v>O</v>
      </c>
      <c r="W481" s="186" t="str">
        <f t="shared" si="230"/>
        <v>O</v>
      </c>
      <c r="X481" s="186" t="str">
        <f t="shared" si="231"/>
        <v>U</v>
      </c>
      <c r="Y481" s="186"/>
      <c r="Z481" s="90">
        <v>56</v>
      </c>
      <c r="AB481" s="90" t="str">
        <f t="shared" si="234"/>
        <v>GS/DAL</v>
      </c>
      <c r="AC481" s="186">
        <f t="shared" si="232"/>
        <v>3</v>
      </c>
      <c r="AD481" s="186">
        <f t="shared" si="233"/>
        <v>1</v>
      </c>
    </row>
    <row r="482" spans="1:30" x14ac:dyDescent="0.45">
      <c r="A482" s="90">
        <v>191229</v>
      </c>
      <c r="B482" s="91">
        <v>0.4375</v>
      </c>
      <c r="C482" s="90" t="s">
        <v>423</v>
      </c>
      <c r="D482" s="90" t="s">
        <v>424</v>
      </c>
      <c r="E482" s="149">
        <v>37</v>
      </c>
      <c r="F482" s="149">
        <v>19</v>
      </c>
      <c r="G482" s="149">
        <v>22</v>
      </c>
      <c r="H482" s="149">
        <v>33</v>
      </c>
      <c r="I482" s="149"/>
      <c r="J482" s="149">
        <v>25</v>
      </c>
      <c r="K482" s="149">
        <v>21</v>
      </c>
      <c r="L482" s="149">
        <v>28</v>
      </c>
      <c r="M482" s="149">
        <v>26</v>
      </c>
      <c r="N482" s="149" t="s">
        <v>427</v>
      </c>
      <c r="O482" s="186">
        <f t="shared" si="222"/>
        <v>111</v>
      </c>
      <c r="P482" s="186">
        <f t="shared" si="223"/>
        <v>100</v>
      </c>
      <c r="Q482" s="186" t="str">
        <f t="shared" si="224"/>
        <v>HW</v>
      </c>
      <c r="R482" s="186" t="str">
        <f t="shared" si="225"/>
        <v>HL</v>
      </c>
      <c r="S482" s="186" t="str">
        <f t="shared" si="226"/>
        <v>HL</v>
      </c>
      <c r="T482" s="186" t="str">
        <f t="shared" si="227"/>
        <v>HW</v>
      </c>
      <c r="U482" s="186" t="str">
        <f t="shared" si="228"/>
        <v>O</v>
      </c>
      <c r="V482" s="186" t="str">
        <f t="shared" si="229"/>
        <v>U</v>
      </c>
      <c r="W482" s="186" t="str">
        <f t="shared" si="230"/>
        <v>U</v>
      </c>
      <c r="X482" s="186" t="str">
        <f t="shared" si="231"/>
        <v>O</v>
      </c>
      <c r="Y482" s="186"/>
      <c r="Z482" s="90">
        <v>55.5</v>
      </c>
      <c r="AB482" s="90" t="str">
        <f t="shared" si="234"/>
        <v>MIL/ORL</v>
      </c>
      <c r="AC482" s="186">
        <f t="shared" si="232"/>
        <v>2</v>
      </c>
      <c r="AD482" s="186">
        <f t="shared" si="233"/>
        <v>2</v>
      </c>
    </row>
    <row r="483" spans="1:30" x14ac:dyDescent="0.45">
      <c r="A483" s="90">
        <v>191229</v>
      </c>
      <c r="B483" s="91">
        <v>0.4375</v>
      </c>
      <c r="C483" s="90" t="s">
        <v>426</v>
      </c>
      <c r="D483" s="90" t="s">
        <v>422</v>
      </c>
      <c r="E483" s="154">
        <v>30</v>
      </c>
      <c r="F483" s="154">
        <v>29</v>
      </c>
      <c r="G483" s="154">
        <v>42</v>
      </c>
      <c r="H483" s="154">
        <v>35</v>
      </c>
      <c r="I483" s="154"/>
      <c r="J483" s="154">
        <v>28</v>
      </c>
      <c r="K483" s="154">
        <v>27</v>
      </c>
      <c r="L483" s="154">
        <v>25</v>
      </c>
      <c r="M483" s="154">
        <v>29</v>
      </c>
      <c r="N483" s="154" t="s">
        <v>427</v>
      </c>
      <c r="O483" s="186">
        <f t="shared" si="222"/>
        <v>136</v>
      </c>
      <c r="P483" s="186">
        <f t="shared" si="223"/>
        <v>109</v>
      </c>
      <c r="Q483" s="186" t="str">
        <f t="shared" si="224"/>
        <v>HW</v>
      </c>
      <c r="R483" s="186" t="str">
        <f t="shared" si="225"/>
        <v>HW</v>
      </c>
      <c r="S483" s="186" t="str">
        <f t="shared" si="226"/>
        <v>HW</v>
      </c>
      <c r="T483" s="186" t="str">
        <f t="shared" si="227"/>
        <v>HW</v>
      </c>
      <c r="U483" s="186" t="str">
        <f t="shared" si="228"/>
        <v>O</v>
      </c>
      <c r="V483" s="186" t="str">
        <f t="shared" si="229"/>
        <v>U</v>
      </c>
      <c r="W483" s="186" t="str">
        <f t="shared" si="230"/>
        <v>O</v>
      </c>
      <c r="X483" s="186" t="str">
        <f t="shared" si="231"/>
        <v>O</v>
      </c>
      <c r="Y483" s="186"/>
      <c r="Z483" s="90">
        <v>57</v>
      </c>
      <c r="AB483" s="90" t="str">
        <f t="shared" si="234"/>
        <v>SAS/DET</v>
      </c>
      <c r="AC483" s="186">
        <f t="shared" si="232"/>
        <v>3</v>
      </c>
      <c r="AD483" s="186">
        <f t="shared" si="233"/>
        <v>1</v>
      </c>
    </row>
    <row r="484" spans="1:30" x14ac:dyDescent="0.45">
      <c r="A484" s="90">
        <v>191229</v>
      </c>
      <c r="B484" s="91">
        <v>0.45833333333333331</v>
      </c>
      <c r="C484" s="90" t="s">
        <v>416</v>
      </c>
      <c r="D484" s="90" t="s">
        <v>404</v>
      </c>
      <c r="E484" s="153">
        <v>30</v>
      </c>
      <c r="F484" s="153">
        <v>19</v>
      </c>
      <c r="G484" s="153">
        <v>28</v>
      </c>
      <c r="H484" s="153">
        <v>33</v>
      </c>
      <c r="I484" s="153"/>
      <c r="J484" s="153">
        <v>31</v>
      </c>
      <c r="K484" s="153">
        <v>28</v>
      </c>
      <c r="L484" s="153">
        <v>22</v>
      </c>
      <c r="M484" s="153">
        <v>31</v>
      </c>
      <c r="N484" s="153" t="s">
        <v>427</v>
      </c>
      <c r="O484" s="186">
        <f t="shared" si="222"/>
        <v>110</v>
      </c>
      <c r="P484" s="186">
        <f t="shared" si="223"/>
        <v>112</v>
      </c>
      <c r="Q484" s="186" t="str">
        <f t="shared" si="224"/>
        <v>HL</v>
      </c>
      <c r="R484" s="186" t="str">
        <f t="shared" si="225"/>
        <v>HL</v>
      </c>
      <c r="S484" s="186" t="str">
        <f t="shared" si="226"/>
        <v>HW</v>
      </c>
      <c r="T484" s="186" t="str">
        <f t="shared" si="227"/>
        <v>HW</v>
      </c>
      <c r="U484" s="186" t="str">
        <f t="shared" si="228"/>
        <v>O</v>
      </c>
      <c r="V484" s="186" t="str">
        <f t="shared" si="229"/>
        <v>U</v>
      </c>
      <c r="W484" s="186" t="str">
        <f t="shared" si="230"/>
        <v>U</v>
      </c>
      <c r="X484" s="186" t="str">
        <f t="shared" si="231"/>
        <v>O</v>
      </c>
      <c r="Y484" s="186"/>
      <c r="Z484" s="90">
        <v>53.5</v>
      </c>
      <c r="AB484" s="90" t="str">
        <f t="shared" si="234"/>
        <v>SAC/PHO</v>
      </c>
      <c r="AC484" s="186">
        <f t="shared" si="232"/>
        <v>2</v>
      </c>
      <c r="AD484" s="186">
        <f t="shared" si="233"/>
        <v>2</v>
      </c>
    </row>
    <row r="485" spans="1:30" x14ac:dyDescent="0.45">
      <c r="A485" s="90">
        <v>191229</v>
      </c>
      <c r="B485" s="91">
        <v>0.5</v>
      </c>
      <c r="C485" s="90" t="s">
        <v>417</v>
      </c>
      <c r="D485" s="90" t="s">
        <v>419</v>
      </c>
      <c r="E485" s="152">
        <v>32</v>
      </c>
      <c r="F485" s="152">
        <v>32</v>
      </c>
      <c r="G485" s="152">
        <v>31</v>
      </c>
      <c r="H485" s="152">
        <v>25</v>
      </c>
      <c r="I485" s="152"/>
      <c r="J485" s="152">
        <v>34</v>
      </c>
      <c r="K485" s="152">
        <v>37</v>
      </c>
      <c r="L485" s="152">
        <v>32</v>
      </c>
      <c r="M485" s="152">
        <v>25</v>
      </c>
      <c r="N485" s="152" t="s">
        <v>427</v>
      </c>
      <c r="O485" s="186">
        <f t="shared" si="222"/>
        <v>120</v>
      </c>
      <c r="P485" s="186">
        <f t="shared" si="223"/>
        <v>128</v>
      </c>
      <c r="Q485" s="186" t="str">
        <f t="shared" si="224"/>
        <v>HL</v>
      </c>
      <c r="R485" s="186" t="str">
        <f t="shared" si="225"/>
        <v>HL</v>
      </c>
      <c r="S485" s="186" t="str">
        <f t="shared" si="226"/>
        <v>HL</v>
      </c>
      <c r="T485" s="186" t="str">
        <f t="shared" si="227"/>
        <v>TT</v>
      </c>
      <c r="U485" s="186" t="str">
        <f t="shared" si="228"/>
        <v>O</v>
      </c>
      <c r="V485" s="186" t="str">
        <f t="shared" si="229"/>
        <v>O</v>
      </c>
      <c r="W485" s="186" t="str">
        <f t="shared" si="230"/>
        <v>O</v>
      </c>
      <c r="X485" s="186" t="str">
        <f t="shared" si="231"/>
        <v>U</v>
      </c>
      <c r="Y485" s="186"/>
      <c r="Z485" s="90">
        <v>57.5</v>
      </c>
      <c r="AB485" s="90" t="str">
        <f t="shared" si="234"/>
        <v>POR/LAL</v>
      </c>
      <c r="AC485" s="186">
        <f t="shared" si="232"/>
        <v>3</v>
      </c>
      <c r="AD485" s="186">
        <f t="shared" si="233"/>
        <v>1</v>
      </c>
    </row>
    <row r="486" spans="1:30" x14ac:dyDescent="0.45">
      <c r="A486" s="90">
        <v>191229</v>
      </c>
      <c r="B486" s="91">
        <v>0.52083333333333337</v>
      </c>
      <c r="C486" s="90" t="s">
        <v>415</v>
      </c>
      <c r="D486" s="90" t="s">
        <v>405</v>
      </c>
      <c r="E486" s="147">
        <v>32</v>
      </c>
      <c r="F486" s="147">
        <v>31</v>
      </c>
      <c r="G486" s="147">
        <v>29</v>
      </c>
      <c r="H486" s="147">
        <v>15</v>
      </c>
      <c r="I486" s="147"/>
      <c r="J486" s="147">
        <v>22</v>
      </c>
      <c r="K486" s="147">
        <v>39</v>
      </c>
      <c r="L486" s="147">
        <v>32</v>
      </c>
      <c r="M486" s="147">
        <v>27</v>
      </c>
      <c r="N486" s="147" t="s">
        <v>427</v>
      </c>
      <c r="O486" s="186">
        <f t="shared" si="222"/>
        <v>107</v>
      </c>
      <c r="P486" s="186">
        <f t="shared" si="223"/>
        <v>120</v>
      </c>
      <c r="Q486" s="186" t="str">
        <f t="shared" si="224"/>
        <v>HW</v>
      </c>
      <c r="R486" s="186" t="str">
        <f t="shared" si="225"/>
        <v>HL</v>
      </c>
      <c r="S486" s="186" t="str">
        <f t="shared" si="226"/>
        <v>HL</v>
      </c>
      <c r="T486" s="186" t="str">
        <f t="shared" si="227"/>
        <v>HL</v>
      </c>
      <c r="U486" s="186" t="str">
        <f t="shared" si="228"/>
        <v>U</v>
      </c>
      <c r="V486" s="186" t="str">
        <f t="shared" si="229"/>
        <v>O</v>
      </c>
      <c r="W486" s="186" t="str">
        <f t="shared" si="230"/>
        <v>O</v>
      </c>
      <c r="X486" s="186" t="str">
        <f t="shared" si="231"/>
        <v>U</v>
      </c>
      <c r="Y486" s="186"/>
      <c r="Z486" s="90">
        <v>55</v>
      </c>
      <c r="AB486" s="90" t="str">
        <f t="shared" si="234"/>
        <v>LAC/UTA</v>
      </c>
      <c r="AC486" s="186">
        <f t="shared" si="232"/>
        <v>2</v>
      </c>
      <c r="AD486" s="186">
        <f t="shared" si="233"/>
        <v>2</v>
      </c>
    </row>
    <row r="487" spans="1:30" x14ac:dyDescent="0.45">
      <c r="A487" s="90">
        <v>191230</v>
      </c>
      <c r="B487" s="91">
        <v>0.33333333333333331</v>
      </c>
      <c r="C487" s="90" t="s">
        <v>413</v>
      </c>
      <c r="D487" s="90" t="s">
        <v>418</v>
      </c>
      <c r="E487" s="160">
        <v>20</v>
      </c>
      <c r="F487" s="160">
        <v>27</v>
      </c>
      <c r="G487" s="160">
        <v>33</v>
      </c>
      <c r="H487" s="160">
        <v>17</v>
      </c>
      <c r="I487" s="160"/>
      <c r="J487" s="160">
        <v>22</v>
      </c>
      <c r="K487" s="160">
        <v>25</v>
      </c>
      <c r="L487" s="160">
        <v>29</v>
      </c>
      <c r="M487" s="160">
        <v>22</v>
      </c>
      <c r="N487" s="160" t="s">
        <v>427</v>
      </c>
      <c r="O487" s="186">
        <f t="shared" si="222"/>
        <v>97</v>
      </c>
      <c r="P487" s="186">
        <f t="shared" si="223"/>
        <v>98</v>
      </c>
      <c r="Q487" s="186" t="str">
        <f t="shared" si="224"/>
        <v>HL</v>
      </c>
      <c r="R487" s="186" t="str">
        <f t="shared" si="225"/>
        <v>HW</v>
      </c>
      <c r="S487" s="186" t="str">
        <f t="shared" si="226"/>
        <v>HW</v>
      </c>
      <c r="T487" s="186" t="str">
        <f t="shared" si="227"/>
        <v>HL</v>
      </c>
      <c r="U487" s="186" t="str">
        <f t="shared" si="228"/>
        <v>U</v>
      </c>
      <c r="V487" s="186" t="str">
        <f t="shared" si="229"/>
        <v>U</v>
      </c>
      <c r="W487" s="186" t="str">
        <f t="shared" si="230"/>
        <v>O</v>
      </c>
      <c r="X487" s="186" t="str">
        <f t="shared" si="231"/>
        <v>U</v>
      </c>
      <c r="Y487" s="186"/>
      <c r="Z487" s="90">
        <v>54</v>
      </c>
      <c r="AB487" s="90" t="str">
        <f t="shared" si="234"/>
        <v>TOR/OKC</v>
      </c>
      <c r="AC487" s="186">
        <f t="shared" si="232"/>
        <v>1</v>
      </c>
      <c r="AD487" s="186">
        <f t="shared" si="233"/>
        <v>3</v>
      </c>
    </row>
    <row r="488" spans="1:30" x14ac:dyDescent="0.45">
      <c r="A488" s="90">
        <v>191230</v>
      </c>
      <c r="B488" s="91">
        <v>0.41666666666666669</v>
      </c>
      <c r="C488" s="90" t="s">
        <v>398</v>
      </c>
      <c r="D488" s="90" t="s">
        <v>403</v>
      </c>
      <c r="E488" s="159">
        <v>36</v>
      </c>
      <c r="F488" s="159">
        <v>28</v>
      </c>
      <c r="G488" s="159">
        <v>22</v>
      </c>
      <c r="H488" s="159">
        <v>41</v>
      </c>
      <c r="I488" s="159"/>
      <c r="J488" s="159">
        <v>37</v>
      </c>
      <c r="K488" s="159">
        <v>27</v>
      </c>
      <c r="L488" s="159">
        <v>29</v>
      </c>
      <c r="M488" s="159">
        <v>19</v>
      </c>
      <c r="N488" s="159" t="s">
        <v>427</v>
      </c>
      <c r="O488" s="186">
        <f t="shared" si="222"/>
        <v>127</v>
      </c>
      <c r="P488" s="186">
        <f t="shared" si="223"/>
        <v>112</v>
      </c>
      <c r="Q488" s="186" t="str">
        <f t="shared" si="224"/>
        <v>HL</v>
      </c>
      <c r="R488" s="186" t="str">
        <f t="shared" si="225"/>
        <v>HW</v>
      </c>
      <c r="S488" s="186" t="str">
        <f t="shared" si="226"/>
        <v>HL</v>
      </c>
      <c r="T488" s="186" t="str">
        <f t="shared" si="227"/>
        <v>HW</v>
      </c>
      <c r="U488" s="186" t="str">
        <f t="shared" si="228"/>
        <v>O</v>
      </c>
      <c r="V488" s="186" t="str">
        <f t="shared" si="229"/>
        <v>U</v>
      </c>
      <c r="W488" s="186" t="str">
        <f t="shared" si="230"/>
        <v>U</v>
      </c>
      <c r="X488" s="186" t="str">
        <f t="shared" si="231"/>
        <v>O</v>
      </c>
      <c r="Y488" s="186"/>
      <c r="Z488" s="90">
        <v>57.5</v>
      </c>
      <c r="AB488" s="90" t="str">
        <f t="shared" si="234"/>
        <v>NO/HOU</v>
      </c>
      <c r="AC488" s="186">
        <f t="shared" si="232"/>
        <v>2</v>
      </c>
      <c r="AD488" s="186">
        <f t="shared" si="233"/>
        <v>2</v>
      </c>
    </row>
    <row r="489" spans="1:30" x14ac:dyDescent="0.45">
      <c r="A489" s="90">
        <v>191230</v>
      </c>
      <c r="B489" s="91">
        <v>0.41666666666666669</v>
      </c>
      <c r="C489" s="90" t="s">
        <v>408</v>
      </c>
      <c r="D489" s="90" t="s">
        <v>416</v>
      </c>
      <c r="E489" s="156">
        <v>31</v>
      </c>
      <c r="F489" s="156">
        <v>31</v>
      </c>
      <c r="G489" s="156">
        <v>26</v>
      </c>
      <c r="H489" s="156">
        <v>32</v>
      </c>
      <c r="I489" s="156"/>
      <c r="J489" s="156">
        <v>32</v>
      </c>
      <c r="K489" s="156">
        <v>25</v>
      </c>
      <c r="L489" s="156">
        <v>24</v>
      </c>
      <c r="M489" s="156">
        <v>34</v>
      </c>
      <c r="N489" s="156" t="s">
        <v>427</v>
      </c>
      <c r="O489" s="186">
        <f t="shared" si="222"/>
        <v>120</v>
      </c>
      <c r="P489" s="186">
        <f t="shared" si="223"/>
        <v>115</v>
      </c>
      <c r="Q489" s="186" t="str">
        <f t="shared" si="224"/>
        <v>HL</v>
      </c>
      <c r="R489" s="186" t="str">
        <f t="shared" si="225"/>
        <v>HW</v>
      </c>
      <c r="S489" s="186" t="str">
        <f t="shared" si="226"/>
        <v>HW</v>
      </c>
      <c r="T489" s="186" t="str">
        <f t="shared" si="227"/>
        <v>HL</v>
      </c>
      <c r="U489" s="186" t="str">
        <f t="shared" si="228"/>
        <v>O</v>
      </c>
      <c r="V489" s="186" t="str">
        <f t="shared" si="229"/>
        <v>O</v>
      </c>
      <c r="W489" s="186" t="str">
        <f t="shared" si="230"/>
        <v>U</v>
      </c>
      <c r="X489" s="186" t="str">
        <f t="shared" si="231"/>
        <v>O</v>
      </c>
      <c r="Y489" s="186"/>
      <c r="Z489" s="90">
        <v>54</v>
      </c>
      <c r="AB489" s="90" t="str">
        <f t="shared" si="234"/>
        <v>DEN/SAC</v>
      </c>
      <c r="AC489" s="186">
        <f t="shared" si="232"/>
        <v>3</v>
      </c>
      <c r="AD489" s="186">
        <f t="shared" si="233"/>
        <v>1</v>
      </c>
    </row>
    <row r="490" spans="1:30" x14ac:dyDescent="0.45">
      <c r="A490" s="90">
        <v>191230</v>
      </c>
      <c r="B490" s="91">
        <v>0.41666666666666669</v>
      </c>
      <c r="C490" s="90" t="s">
        <v>406</v>
      </c>
      <c r="D490" s="90" t="s">
        <v>409</v>
      </c>
      <c r="E490" s="158">
        <v>31</v>
      </c>
      <c r="F490" s="158">
        <v>25</v>
      </c>
      <c r="G490" s="158">
        <v>30</v>
      </c>
      <c r="H490" s="158">
        <v>31</v>
      </c>
      <c r="I490" s="158"/>
      <c r="J490" s="158">
        <v>20</v>
      </c>
      <c r="K490" s="158">
        <v>26</v>
      </c>
      <c r="L490" s="158">
        <v>29</v>
      </c>
      <c r="M490" s="158">
        <v>29</v>
      </c>
      <c r="N490" s="158" t="s">
        <v>427</v>
      </c>
      <c r="O490" s="186">
        <f t="shared" si="222"/>
        <v>117</v>
      </c>
      <c r="P490" s="186">
        <f t="shared" si="223"/>
        <v>104</v>
      </c>
      <c r="Q490" s="186" t="str">
        <f t="shared" si="224"/>
        <v>HW</v>
      </c>
      <c r="R490" s="186" t="str">
        <f t="shared" si="225"/>
        <v>HL</v>
      </c>
      <c r="S490" s="186" t="str">
        <f t="shared" si="226"/>
        <v>HW</v>
      </c>
      <c r="T490" s="186" t="str">
        <f t="shared" si="227"/>
        <v>HW</v>
      </c>
      <c r="U490" s="186" t="str">
        <f t="shared" si="228"/>
        <v>U</v>
      </c>
      <c r="V490" s="186" t="str">
        <f t="shared" si="229"/>
        <v>U</v>
      </c>
      <c r="W490" s="186" t="str">
        <f t="shared" si="230"/>
        <v>O</v>
      </c>
      <c r="X490" s="186" t="str">
        <f t="shared" si="231"/>
        <v>O</v>
      </c>
      <c r="Y490" s="186"/>
      <c r="Z490" s="90">
        <v>56.5</v>
      </c>
      <c r="AB490" s="90" t="str">
        <f t="shared" si="234"/>
        <v>MEM/CHA</v>
      </c>
      <c r="AC490" s="186">
        <f t="shared" si="232"/>
        <v>2</v>
      </c>
      <c r="AD490" s="186">
        <f t="shared" si="233"/>
        <v>2</v>
      </c>
    </row>
    <row r="491" spans="1:30" x14ac:dyDescent="0.45">
      <c r="A491" s="90">
        <v>191230</v>
      </c>
      <c r="B491" s="91">
        <v>0.47916666666666669</v>
      </c>
      <c r="C491" s="90" t="s">
        <v>419</v>
      </c>
      <c r="D491" s="90" t="s">
        <v>397</v>
      </c>
      <c r="E491" s="157">
        <v>25</v>
      </c>
      <c r="F491" s="157">
        <v>29</v>
      </c>
      <c r="G491" s="157">
        <v>30</v>
      </c>
      <c r="H491" s="157">
        <v>24</v>
      </c>
      <c r="I491" s="157"/>
      <c r="J491" s="157">
        <v>19</v>
      </c>
      <c r="K491" s="157">
        <v>24</v>
      </c>
      <c r="L491" s="157">
        <v>26</v>
      </c>
      <c r="M491" s="157">
        <v>26</v>
      </c>
      <c r="N491" s="157" t="s">
        <v>427</v>
      </c>
      <c r="O491" s="186">
        <f t="shared" si="222"/>
        <v>108</v>
      </c>
      <c r="P491" s="186">
        <f t="shared" si="223"/>
        <v>95</v>
      </c>
      <c r="Q491" s="186" t="str">
        <f t="shared" si="224"/>
        <v>HW</v>
      </c>
      <c r="R491" s="186" t="str">
        <f t="shared" si="225"/>
        <v>HW</v>
      </c>
      <c r="S491" s="186" t="str">
        <f t="shared" si="226"/>
        <v>HW</v>
      </c>
      <c r="T491" s="186" t="str">
        <f t="shared" si="227"/>
        <v>HL</v>
      </c>
      <c r="U491" s="186" t="str">
        <f t="shared" si="228"/>
        <v>U</v>
      </c>
      <c r="V491" s="186" t="str">
        <f t="shared" si="229"/>
        <v>U</v>
      </c>
      <c r="W491" s="186" t="str">
        <f t="shared" si="230"/>
        <v>U</v>
      </c>
      <c r="X491" s="186" t="str">
        <f t="shared" si="231"/>
        <v>U</v>
      </c>
      <c r="Y491" s="186"/>
      <c r="Z491" s="90">
        <v>58</v>
      </c>
      <c r="AB491" s="90" t="str">
        <f t="shared" si="234"/>
        <v>LAL/DAL</v>
      </c>
      <c r="AC491" s="186">
        <f t="shared" si="232"/>
        <v>0</v>
      </c>
      <c r="AD491" s="186">
        <f t="shared" si="233"/>
        <v>4</v>
      </c>
    </row>
    <row r="492" spans="1:30" x14ac:dyDescent="0.45">
      <c r="A492" s="90">
        <v>191231</v>
      </c>
      <c r="B492" s="91">
        <v>0.375</v>
      </c>
      <c r="C492" s="90" t="s">
        <v>424</v>
      </c>
      <c r="D492" s="90" t="s">
        <v>410</v>
      </c>
      <c r="E492" s="163">
        <v>21</v>
      </c>
      <c r="F492" s="163">
        <v>36</v>
      </c>
      <c r="G492" s="163">
        <v>15</v>
      </c>
      <c r="H492" s="163">
        <v>21</v>
      </c>
      <c r="I492" s="163"/>
      <c r="J492" s="163">
        <v>25</v>
      </c>
      <c r="K492" s="163">
        <v>22</v>
      </c>
      <c r="L492" s="163">
        <v>27</v>
      </c>
      <c r="M492" s="163">
        <v>27</v>
      </c>
      <c r="N492" s="163" t="s">
        <v>427</v>
      </c>
      <c r="O492" s="186">
        <f t="shared" si="222"/>
        <v>93</v>
      </c>
      <c r="P492" s="186">
        <f t="shared" si="223"/>
        <v>101</v>
      </c>
      <c r="Q492" s="186" t="str">
        <f t="shared" si="224"/>
        <v>HL</v>
      </c>
      <c r="R492" s="186" t="str">
        <f t="shared" si="225"/>
        <v>HW</v>
      </c>
      <c r="S492" s="186" t="str">
        <f t="shared" si="226"/>
        <v>HL</v>
      </c>
      <c r="T492" s="186" t="str">
        <f t="shared" si="227"/>
        <v>HL</v>
      </c>
      <c r="U492" s="186" t="str">
        <f t="shared" si="228"/>
        <v>U</v>
      </c>
      <c r="V492" s="186" t="str">
        <f t="shared" si="229"/>
        <v>O</v>
      </c>
      <c r="W492" s="186" t="str">
        <f t="shared" si="230"/>
        <v>U</v>
      </c>
      <c r="X492" s="186" t="str">
        <f t="shared" si="231"/>
        <v>U</v>
      </c>
      <c r="Y492" s="186"/>
      <c r="Z492" s="90">
        <v>54</v>
      </c>
      <c r="AB492" s="90" t="str">
        <f t="shared" si="234"/>
        <v>ORL/ATL</v>
      </c>
      <c r="AC492" s="186">
        <f t="shared" si="232"/>
        <v>1</v>
      </c>
      <c r="AD492" s="186">
        <f t="shared" si="233"/>
        <v>3</v>
      </c>
    </row>
    <row r="493" spans="1:30" x14ac:dyDescent="0.45">
      <c r="A493" s="90">
        <v>191231</v>
      </c>
      <c r="B493" s="91">
        <v>0.375</v>
      </c>
      <c r="C493" s="90" t="s">
        <v>414</v>
      </c>
      <c r="D493" s="90" t="s">
        <v>411</v>
      </c>
      <c r="E493" s="166">
        <v>29</v>
      </c>
      <c r="F493" s="166">
        <v>42</v>
      </c>
      <c r="G493" s="166">
        <v>19</v>
      </c>
      <c r="H493" s="166">
        <v>33</v>
      </c>
      <c r="I493" s="166"/>
      <c r="J493" s="166">
        <v>39</v>
      </c>
      <c r="K493" s="166">
        <v>24</v>
      </c>
      <c r="L493" s="166">
        <v>18</v>
      </c>
      <c r="M493" s="166">
        <v>24</v>
      </c>
      <c r="N493" s="166" t="s">
        <v>427</v>
      </c>
      <c r="O493" s="186">
        <f t="shared" si="222"/>
        <v>123</v>
      </c>
      <c r="P493" s="186">
        <f t="shared" si="223"/>
        <v>105</v>
      </c>
      <c r="Q493" s="186" t="str">
        <f t="shared" si="224"/>
        <v>HL</v>
      </c>
      <c r="R493" s="186" t="str">
        <f t="shared" si="225"/>
        <v>HW</v>
      </c>
      <c r="S493" s="186" t="str">
        <f t="shared" si="226"/>
        <v>HW</v>
      </c>
      <c r="T493" s="186" t="str">
        <f t="shared" si="227"/>
        <v>HW</v>
      </c>
      <c r="U493" s="186" t="str">
        <f t="shared" si="228"/>
        <v>O</v>
      </c>
      <c r="V493" s="186" t="str">
        <f t="shared" si="229"/>
        <v>O</v>
      </c>
      <c r="W493" s="186" t="str">
        <f t="shared" si="230"/>
        <v>U</v>
      </c>
      <c r="X493" s="186" t="str">
        <f t="shared" si="231"/>
        <v>U</v>
      </c>
      <c r="Y493" s="186"/>
      <c r="Z493" s="90">
        <v>57.5</v>
      </c>
      <c r="AB493" s="90" t="str">
        <f t="shared" si="234"/>
        <v>WAS/MIA</v>
      </c>
      <c r="AC493" s="186">
        <f t="shared" si="232"/>
        <v>2</v>
      </c>
      <c r="AD493" s="186">
        <f t="shared" si="233"/>
        <v>2</v>
      </c>
    </row>
    <row r="494" spans="1:30" x14ac:dyDescent="0.45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61">
        <v>20</v>
      </c>
      <c r="F494" s="161">
        <v>32</v>
      </c>
      <c r="G494" s="161">
        <v>25</v>
      </c>
      <c r="H494" s="161">
        <v>25</v>
      </c>
      <c r="I494" s="161"/>
      <c r="J494" s="161">
        <v>31</v>
      </c>
      <c r="K494" s="161">
        <v>24</v>
      </c>
      <c r="L494" s="161">
        <v>40</v>
      </c>
      <c r="M494" s="161">
        <v>28</v>
      </c>
      <c r="N494" s="161" t="s">
        <v>427</v>
      </c>
      <c r="O494" s="186">
        <f t="shared" si="222"/>
        <v>102</v>
      </c>
      <c r="P494" s="186">
        <f t="shared" si="223"/>
        <v>123</v>
      </c>
      <c r="Q494" s="186" t="str">
        <f t="shared" si="224"/>
        <v>HL</v>
      </c>
      <c r="R494" s="186" t="str">
        <f t="shared" si="225"/>
        <v>HW</v>
      </c>
      <c r="S494" s="186" t="str">
        <f t="shared" si="226"/>
        <v>HL</v>
      </c>
      <c r="T494" s="186" t="str">
        <f t="shared" si="227"/>
        <v>HL</v>
      </c>
      <c r="U494" s="186" t="str">
        <f t="shared" si="228"/>
        <v>U</v>
      </c>
      <c r="V494" s="186" t="str">
        <f t="shared" si="229"/>
        <v>O</v>
      </c>
      <c r="W494" s="186" t="str">
        <f t="shared" si="230"/>
        <v>O</v>
      </c>
      <c r="X494" s="186" t="str">
        <f t="shared" si="231"/>
        <v>U</v>
      </c>
      <c r="Y494" s="186"/>
      <c r="Z494" s="90">
        <v>55</v>
      </c>
      <c r="AB494" s="90" t="str">
        <f t="shared" si="234"/>
        <v>CHI/MIL</v>
      </c>
      <c r="AC494" s="186">
        <f t="shared" si="232"/>
        <v>2</v>
      </c>
      <c r="AD494" s="186">
        <f t="shared" si="233"/>
        <v>2</v>
      </c>
    </row>
    <row r="495" spans="1:30" x14ac:dyDescent="0.45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62">
        <v>27</v>
      </c>
      <c r="F495" s="162">
        <v>22</v>
      </c>
      <c r="G495" s="162">
        <v>25</v>
      </c>
      <c r="H495" s="162">
        <v>29</v>
      </c>
      <c r="I495" s="162">
        <v>19</v>
      </c>
      <c r="J495" s="162">
        <v>29</v>
      </c>
      <c r="K495" s="162">
        <v>21</v>
      </c>
      <c r="L495" s="162">
        <v>30</v>
      </c>
      <c r="M495" s="162">
        <v>23</v>
      </c>
      <c r="N495" s="162">
        <v>12</v>
      </c>
      <c r="O495" s="186">
        <f t="shared" ref="O495:O517" si="235">SUM(E495:I495)</f>
        <v>122</v>
      </c>
      <c r="P495" s="186">
        <f t="shared" ref="P495:P517" si="236">SUM(J495:N495)</f>
        <v>115</v>
      </c>
      <c r="Q495" s="186" t="str">
        <f t="shared" ref="Q495:Q517" si="237">IF(E495=J495,"TT",IF(E495&gt;J495,"HW","HL"))</f>
        <v>HL</v>
      </c>
      <c r="R495" s="186" t="str">
        <f t="shared" ref="R495:R517" si="238">IF(F495=K495,"TT",IF(F495&gt;K495,"HW","HL"))</f>
        <v>HW</v>
      </c>
      <c r="S495" s="186" t="str">
        <f t="shared" ref="S495:S517" si="239">IF(G495=L495,"TT",IF(G495&gt;L495,"HW","HL"))</f>
        <v>HL</v>
      </c>
      <c r="T495" s="186" t="str">
        <f t="shared" ref="T495:T517" si="240">IF(H495=M495,"TT",IF(H495&gt;M495,"HW","HL"))</f>
        <v>HW</v>
      </c>
      <c r="U495" s="186" t="str">
        <f t="shared" ref="U495:U517" si="241">IF(SUM(E495,J495)=$Z495,"T",IF(SUM(E495,J495)&gt;$Z495,"O","U"))</f>
        <v>O</v>
      </c>
      <c r="V495" s="186" t="str">
        <f t="shared" ref="V495:V517" si="242">IF(SUM(F495,K495)=$Z495,"T",IF(SUM(F495,K495)&gt;$Z495,"O","U"))</f>
        <v>U</v>
      </c>
      <c r="W495" s="186" t="str">
        <f t="shared" ref="W495:W517" si="243">IF(SUM(G495,L495)=$Z495,"T",IF(SUM(G495,L495)&gt;$Z495,"O","U"))</f>
        <v>O</v>
      </c>
      <c r="X495" s="186" t="str">
        <f t="shared" ref="X495:X517" si="244">IF(SUM(H495,M495)=$Z495,"T",IF(SUM(H495,M495)&gt;$Z495,"O","U"))</f>
        <v>U</v>
      </c>
      <c r="Y495" s="186"/>
      <c r="Z495" s="90">
        <v>53.5</v>
      </c>
      <c r="AB495" s="90" t="str">
        <f t="shared" si="234"/>
        <v>MIN/BKN</v>
      </c>
      <c r="AC495" s="186">
        <f t="shared" ref="AC495:AC517" si="245">COUNTIF(U495:X495,"o")</f>
        <v>2</v>
      </c>
      <c r="AD495" s="186">
        <f t="shared" ref="AD495:AD517" si="246">COUNTIF(U495:X495,"u")</f>
        <v>2</v>
      </c>
    </row>
    <row r="496" spans="1:30" x14ac:dyDescent="0.45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65">
        <v>19</v>
      </c>
      <c r="F496" s="165">
        <v>20</v>
      </c>
      <c r="G496" s="165">
        <v>29</v>
      </c>
      <c r="H496" s="165">
        <v>36</v>
      </c>
      <c r="I496" s="165"/>
      <c r="J496" s="165">
        <v>21</v>
      </c>
      <c r="K496" s="165">
        <v>19</v>
      </c>
      <c r="L496" s="165">
        <v>18</v>
      </c>
      <c r="M496" s="165">
        <v>23</v>
      </c>
      <c r="N496" s="165" t="s">
        <v>427</v>
      </c>
      <c r="O496" s="186">
        <f t="shared" si="235"/>
        <v>104</v>
      </c>
      <c r="P496" s="186">
        <f t="shared" si="236"/>
        <v>81</v>
      </c>
      <c r="Q496" s="186" t="str">
        <f t="shared" si="237"/>
        <v>HL</v>
      </c>
      <c r="R496" s="186" t="str">
        <f t="shared" si="238"/>
        <v>HW</v>
      </c>
      <c r="S496" s="186" t="str">
        <f t="shared" si="239"/>
        <v>HW</v>
      </c>
      <c r="T496" s="186" t="str">
        <f t="shared" si="240"/>
        <v>HW</v>
      </c>
      <c r="U496" s="186" t="str">
        <f t="shared" si="241"/>
        <v>U</v>
      </c>
      <c r="V496" s="186" t="str">
        <f t="shared" si="242"/>
        <v>U</v>
      </c>
      <c r="W496" s="186" t="str">
        <f t="shared" si="243"/>
        <v>U</v>
      </c>
      <c r="X496" s="186" t="str">
        <f t="shared" si="244"/>
        <v>O</v>
      </c>
      <c r="Y496" s="186"/>
      <c r="Z496" s="90">
        <v>56</v>
      </c>
      <c r="AB496" s="90" t="str">
        <f t="shared" si="234"/>
        <v>UTA/DET</v>
      </c>
      <c r="AC496" s="186">
        <f t="shared" si="245"/>
        <v>1</v>
      </c>
      <c r="AD496" s="186">
        <f t="shared" si="246"/>
        <v>3</v>
      </c>
    </row>
    <row r="497" spans="1:30" x14ac:dyDescent="0.45">
      <c r="A497" s="90">
        <v>191231</v>
      </c>
      <c r="B497" s="91">
        <v>0.5</v>
      </c>
      <c r="C497" s="90" t="s">
        <v>417</v>
      </c>
      <c r="D497" s="90" t="s">
        <v>404</v>
      </c>
      <c r="E497" s="164">
        <v>38</v>
      </c>
      <c r="F497" s="164">
        <v>26</v>
      </c>
      <c r="G497" s="164">
        <v>25</v>
      </c>
      <c r="H497" s="164">
        <v>27</v>
      </c>
      <c r="I497" s="164"/>
      <c r="J497" s="164">
        <v>19</v>
      </c>
      <c r="K497" s="164">
        <v>36</v>
      </c>
      <c r="L497" s="164">
        <v>28</v>
      </c>
      <c r="M497" s="164">
        <v>39</v>
      </c>
      <c r="N497" s="164" t="s">
        <v>427</v>
      </c>
      <c r="O497" s="186">
        <f t="shared" si="235"/>
        <v>116</v>
      </c>
      <c r="P497" s="186">
        <f t="shared" si="236"/>
        <v>122</v>
      </c>
      <c r="Q497" s="186" t="str">
        <f t="shared" si="237"/>
        <v>HW</v>
      </c>
      <c r="R497" s="186" t="str">
        <f t="shared" si="238"/>
        <v>HL</v>
      </c>
      <c r="S497" s="186" t="str">
        <f t="shared" si="239"/>
        <v>HL</v>
      </c>
      <c r="T497" s="186" t="str">
        <f t="shared" si="240"/>
        <v>HL</v>
      </c>
      <c r="U497" s="186" t="str">
        <f t="shared" si="241"/>
        <v>O</v>
      </c>
      <c r="V497" s="186" t="str">
        <f t="shared" si="242"/>
        <v>O</v>
      </c>
      <c r="W497" s="186" t="str">
        <f t="shared" si="243"/>
        <v>U</v>
      </c>
      <c r="X497" s="186" t="str">
        <f t="shared" si="244"/>
        <v>O</v>
      </c>
      <c r="Y497" s="186"/>
      <c r="Z497" s="90">
        <v>56.5</v>
      </c>
      <c r="AB497" s="90" t="str">
        <f t="shared" si="234"/>
        <v>POR/PHO</v>
      </c>
      <c r="AC497" s="186">
        <f t="shared" si="245"/>
        <v>3</v>
      </c>
      <c r="AD497" s="186">
        <f t="shared" si="246"/>
        <v>1</v>
      </c>
    </row>
    <row r="498" spans="1:30" x14ac:dyDescent="0.45">
      <c r="A498" s="98">
        <v>200101</v>
      </c>
      <c r="B498" s="99">
        <v>0.20833333333333334</v>
      </c>
      <c r="C498" s="98" t="s">
        <v>400</v>
      </c>
      <c r="D498" s="98" t="s">
        <v>401</v>
      </c>
      <c r="E498" s="169">
        <v>29</v>
      </c>
      <c r="F498" s="169">
        <v>38</v>
      </c>
      <c r="G498" s="169">
        <v>29</v>
      </c>
      <c r="H498" s="169">
        <v>19</v>
      </c>
      <c r="I498" s="169"/>
      <c r="J498" s="169">
        <v>27</v>
      </c>
      <c r="K498" s="169">
        <v>16</v>
      </c>
      <c r="L498" s="169">
        <v>23</v>
      </c>
      <c r="M498" s="169">
        <v>31</v>
      </c>
      <c r="N498" s="169" t="s">
        <v>427</v>
      </c>
      <c r="O498" s="186">
        <f t="shared" si="235"/>
        <v>115</v>
      </c>
      <c r="P498" s="186">
        <f t="shared" si="236"/>
        <v>97</v>
      </c>
      <c r="Q498" s="186" t="str">
        <f t="shared" si="237"/>
        <v>HW</v>
      </c>
      <c r="R498" s="186" t="str">
        <f t="shared" si="238"/>
        <v>HW</v>
      </c>
      <c r="S498" s="186" t="str">
        <f t="shared" si="239"/>
        <v>HW</v>
      </c>
      <c r="T498" s="186" t="str">
        <f t="shared" si="240"/>
        <v>HL</v>
      </c>
      <c r="U498" s="186" t="str">
        <f t="shared" si="241"/>
        <v>O</v>
      </c>
      <c r="V498" s="186" t="str">
        <f t="shared" si="242"/>
        <v>O</v>
      </c>
      <c r="W498" s="186" t="str">
        <f t="shared" si="243"/>
        <v>U</v>
      </c>
      <c r="X498" s="186" t="str">
        <f t="shared" si="244"/>
        <v>U</v>
      </c>
      <c r="Y498" s="186"/>
      <c r="Z498" s="186">
        <v>53</v>
      </c>
      <c r="AB498" s="186" t="str">
        <f t="shared" si="234"/>
        <v>IND/PHI</v>
      </c>
      <c r="AC498" s="186">
        <f t="shared" si="245"/>
        <v>2</v>
      </c>
      <c r="AD498" s="186">
        <f t="shared" si="246"/>
        <v>2</v>
      </c>
    </row>
    <row r="499" spans="1:30" x14ac:dyDescent="0.45">
      <c r="A499" s="98">
        <v>200101</v>
      </c>
      <c r="B499" s="99">
        <v>0.20833333333333334</v>
      </c>
      <c r="C499" s="98" t="s">
        <v>409</v>
      </c>
      <c r="D499" s="98" t="s">
        <v>421</v>
      </c>
      <c r="E499" s="167">
        <v>18</v>
      </c>
      <c r="F499" s="167">
        <v>25</v>
      </c>
      <c r="G499" s="167">
        <v>30</v>
      </c>
      <c r="H499" s="167">
        <v>19</v>
      </c>
      <c r="I499" s="167"/>
      <c r="J499" s="167">
        <v>24</v>
      </c>
      <c r="K499" s="167">
        <v>26</v>
      </c>
      <c r="L499" s="167">
        <v>30</v>
      </c>
      <c r="M499" s="167">
        <v>29</v>
      </c>
      <c r="N499" s="167" t="s">
        <v>427</v>
      </c>
      <c r="O499" s="186">
        <f t="shared" si="235"/>
        <v>92</v>
      </c>
      <c r="P499" s="186">
        <f t="shared" si="236"/>
        <v>109</v>
      </c>
      <c r="Q499" s="186" t="str">
        <f t="shared" si="237"/>
        <v>HL</v>
      </c>
      <c r="R499" s="186" t="str">
        <f t="shared" si="238"/>
        <v>HL</v>
      </c>
      <c r="S499" s="186" t="str">
        <f t="shared" si="239"/>
        <v>TT</v>
      </c>
      <c r="T499" s="186" t="str">
        <f t="shared" si="240"/>
        <v>HL</v>
      </c>
      <c r="U499" s="186" t="str">
        <f t="shared" si="241"/>
        <v>U</v>
      </c>
      <c r="V499" s="186" t="str">
        <f t="shared" si="242"/>
        <v>U</v>
      </c>
      <c r="W499" s="186" t="str">
        <f t="shared" si="243"/>
        <v>O</v>
      </c>
      <c r="X499" s="186" t="str">
        <f t="shared" si="244"/>
        <v>U</v>
      </c>
      <c r="Y499" s="186"/>
      <c r="Z499" s="186">
        <v>52.5</v>
      </c>
      <c r="AB499" s="186" t="str">
        <f t="shared" si="234"/>
        <v>CHA/BOS</v>
      </c>
      <c r="AC499" s="186">
        <f t="shared" si="245"/>
        <v>1</v>
      </c>
      <c r="AD499" s="186">
        <f t="shared" si="246"/>
        <v>3</v>
      </c>
    </row>
    <row r="500" spans="1:30" x14ac:dyDescent="0.45">
      <c r="A500" s="98">
        <v>200101</v>
      </c>
      <c r="B500" s="99">
        <v>0.29166666666666669</v>
      </c>
      <c r="C500" s="98" t="s">
        <v>416</v>
      </c>
      <c r="D500" s="98" t="s">
        <v>415</v>
      </c>
      <c r="E500" s="171">
        <v>23</v>
      </c>
      <c r="F500" s="171">
        <v>17</v>
      </c>
      <c r="G500" s="171">
        <v>33</v>
      </c>
      <c r="H500" s="171">
        <v>14</v>
      </c>
      <c r="I500" s="171"/>
      <c r="J500" s="171">
        <v>28</v>
      </c>
      <c r="K500" s="171">
        <v>29</v>
      </c>
      <c r="L500" s="171">
        <v>31</v>
      </c>
      <c r="M500" s="171">
        <v>17</v>
      </c>
      <c r="N500" s="171" t="s">
        <v>427</v>
      </c>
      <c r="O500" s="186">
        <f t="shared" si="235"/>
        <v>87</v>
      </c>
      <c r="P500" s="186">
        <f t="shared" si="236"/>
        <v>105</v>
      </c>
      <c r="Q500" s="186" t="str">
        <f t="shared" si="237"/>
        <v>HL</v>
      </c>
      <c r="R500" s="186" t="str">
        <f t="shared" si="238"/>
        <v>HL</v>
      </c>
      <c r="S500" s="186" t="str">
        <f t="shared" si="239"/>
        <v>HW</v>
      </c>
      <c r="T500" s="186" t="str">
        <f t="shared" si="240"/>
        <v>HL</v>
      </c>
      <c r="U500" s="186" t="str">
        <f t="shared" si="241"/>
        <v>U</v>
      </c>
      <c r="V500" s="186" t="str">
        <f t="shared" si="242"/>
        <v>U</v>
      </c>
      <c r="W500" s="186" t="str">
        <f t="shared" si="243"/>
        <v>O</v>
      </c>
      <c r="X500" s="186" t="str">
        <f t="shared" si="244"/>
        <v>U</v>
      </c>
      <c r="Y500" s="186"/>
      <c r="Z500" s="186">
        <v>57</v>
      </c>
      <c r="AB500" s="186" t="str">
        <f t="shared" si="234"/>
        <v>SAC/LAC</v>
      </c>
      <c r="AC500" s="186">
        <f t="shared" si="245"/>
        <v>1</v>
      </c>
      <c r="AD500" s="186">
        <f t="shared" si="246"/>
        <v>3</v>
      </c>
    </row>
    <row r="501" spans="1:30" x14ac:dyDescent="0.45">
      <c r="A501" s="98">
        <v>200101</v>
      </c>
      <c r="B501" s="99">
        <v>0.375</v>
      </c>
      <c r="C501" s="98" t="s">
        <v>403</v>
      </c>
      <c r="D501" s="98" t="s">
        <v>408</v>
      </c>
      <c r="E501" s="168">
        <v>38</v>
      </c>
      <c r="F501" s="168">
        <v>31</v>
      </c>
      <c r="G501" s="168">
        <v>23</v>
      </c>
      <c r="H501" s="168">
        <v>38</v>
      </c>
      <c r="I501" s="168"/>
      <c r="J501" s="168">
        <v>26</v>
      </c>
      <c r="K501" s="168">
        <v>26</v>
      </c>
      <c r="L501" s="168">
        <v>37</v>
      </c>
      <c r="M501" s="168">
        <v>15</v>
      </c>
      <c r="N501" s="168" t="s">
        <v>427</v>
      </c>
      <c r="O501" s="186">
        <f t="shared" si="235"/>
        <v>130</v>
      </c>
      <c r="P501" s="186">
        <f t="shared" si="236"/>
        <v>104</v>
      </c>
      <c r="Q501" s="186" t="str">
        <f t="shared" si="237"/>
        <v>HW</v>
      </c>
      <c r="R501" s="186" t="str">
        <f t="shared" si="238"/>
        <v>HW</v>
      </c>
      <c r="S501" s="186" t="str">
        <f t="shared" si="239"/>
        <v>HL</v>
      </c>
      <c r="T501" s="186" t="str">
        <f t="shared" si="240"/>
        <v>HW</v>
      </c>
      <c r="U501" s="186" t="str">
        <f t="shared" si="241"/>
        <v>O</v>
      </c>
      <c r="V501" s="186" t="str">
        <f t="shared" si="242"/>
        <v>U</v>
      </c>
      <c r="W501" s="186" t="str">
        <f t="shared" si="243"/>
        <v>O</v>
      </c>
      <c r="X501" s="186" t="str">
        <f t="shared" si="244"/>
        <v>U</v>
      </c>
      <c r="Y501" s="186"/>
      <c r="Z501" s="186">
        <v>58</v>
      </c>
      <c r="AB501" s="186" t="str">
        <f t="shared" si="234"/>
        <v>HOU/DEN</v>
      </c>
      <c r="AC501" s="186">
        <f t="shared" si="245"/>
        <v>2</v>
      </c>
      <c r="AD501" s="186">
        <f t="shared" si="246"/>
        <v>2</v>
      </c>
    </row>
    <row r="502" spans="1:30" x14ac:dyDescent="0.45">
      <c r="A502" s="98">
        <v>200101</v>
      </c>
      <c r="B502" s="99">
        <v>0.375</v>
      </c>
      <c r="C502" s="98" t="s">
        <v>426</v>
      </c>
      <c r="D502" s="98" t="s">
        <v>425</v>
      </c>
      <c r="E502" s="172">
        <v>25</v>
      </c>
      <c r="F502" s="172">
        <v>28</v>
      </c>
      <c r="G502" s="172">
        <v>24</v>
      </c>
      <c r="H502" s="172">
        <v>23</v>
      </c>
      <c r="I502" s="172">
        <v>17</v>
      </c>
      <c r="J502" s="172">
        <v>32</v>
      </c>
      <c r="K502" s="172">
        <v>23</v>
      </c>
      <c r="L502" s="172">
        <v>20</v>
      </c>
      <c r="M502" s="172">
        <v>25</v>
      </c>
      <c r="N502" s="172">
        <v>13</v>
      </c>
      <c r="O502" s="186">
        <f t="shared" si="235"/>
        <v>117</v>
      </c>
      <c r="P502" s="186">
        <f t="shared" si="236"/>
        <v>113</v>
      </c>
      <c r="Q502" s="186" t="str">
        <f t="shared" si="237"/>
        <v>HL</v>
      </c>
      <c r="R502" s="186" t="str">
        <f t="shared" si="238"/>
        <v>HW</v>
      </c>
      <c r="S502" s="186" t="str">
        <f t="shared" si="239"/>
        <v>HW</v>
      </c>
      <c r="T502" s="186" t="str">
        <f t="shared" si="240"/>
        <v>HL</v>
      </c>
      <c r="U502" s="186" t="str">
        <f t="shared" si="241"/>
        <v>O</v>
      </c>
      <c r="V502" s="186" t="str">
        <f t="shared" si="242"/>
        <v>U</v>
      </c>
      <c r="W502" s="186" t="str">
        <f t="shared" si="243"/>
        <v>U</v>
      </c>
      <c r="X502" s="186" t="str">
        <f t="shared" si="244"/>
        <v>U</v>
      </c>
      <c r="Y502" s="186"/>
      <c r="Z502" s="186">
        <v>56</v>
      </c>
      <c r="AB502" s="186" t="str">
        <f t="shared" si="234"/>
        <v>SAS/GS</v>
      </c>
      <c r="AC502" s="186">
        <f t="shared" si="245"/>
        <v>1</v>
      </c>
      <c r="AD502" s="186">
        <f t="shared" si="246"/>
        <v>3</v>
      </c>
    </row>
    <row r="503" spans="1:30" x14ac:dyDescent="0.45">
      <c r="A503" s="98">
        <v>200101</v>
      </c>
      <c r="B503" s="99">
        <v>0.375</v>
      </c>
      <c r="C503" s="98" t="s">
        <v>413</v>
      </c>
      <c r="D503" s="98" t="s">
        <v>402</v>
      </c>
      <c r="E503" s="173">
        <v>27</v>
      </c>
      <c r="F503" s="173">
        <v>32</v>
      </c>
      <c r="G503" s="173">
        <v>27</v>
      </c>
      <c r="H503" s="173">
        <v>31</v>
      </c>
      <c r="I503" s="173"/>
      <c r="J503" s="173">
        <v>25</v>
      </c>
      <c r="K503" s="173">
        <v>18</v>
      </c>
      <c r="L503" s="173">
        <v>26</v>
      </c>
      <c r="M503" s="173">
        <v>28</v>
      </c>
      <c r="N503" s="173" t="s">
        <v>427</v>
      </c>
      <c r="O503" s="186">
        <f t="shared" si="235"/>
        <v>117</v>
      </c>
      <c r="P503" s="186">
        <f t="shared" si="236"/>
        <v>97</v>
      </c>
      <c r="Q503" s="186" t="str">
        <f t="shared" si="237"/>
        <v>HW</v>
      </c>
      <c r="R503" s="186" t="str">
        <f t="shared" si="238"/>
        <v>HW</v>
      </c>
      <c r="S503" s="186" t="str">
        <f t="shared" si="239"/>
        <v>HW</v>
      </c>
      <c r="T503" s="186" t="str">
        <f t="shared" si="240"/>
        <v>HW</v>
      </c>
      <c r="U503" s="186" t="str">
        <f t="shared" si="241"/>
        <v>U</v>
      </c>
      <c r="V503" s="186" t="str">
        <f t="shared" si="242"/>
        <v>U</v>
      </c>
      <c r="W503" s="186" t="str">
        <f t="shared" si="243"/>
        <v>U</v>
      </c>
      <c r="X503" s="186" t="str">
        <f t="shared" si="244"/>
        <v>O</v>
      </c>
      <c r="Y503" s="186"/>
      <c r="Z503" s="186">
        <v>53.5</v>
      </c>
      <c r="AB503" s="186" t="str">
        <f t="shared" si="234"/>
        <v>TOR/CLE</v>
      </c>
      <c r="AC503" s="186">
        <f t="shared" si="245"/>
        <v>1</v>
      </c>
      <c r="AD503" s="186">
        <f t="shared" si="246"/>
        <v>3</v>
      </c>
    </row>
    <row r="504" spans="1:30" x14ac:dyDescent="0.45">
      <c r="A504" s="98">
        <v>200101</v>
      </c>
      <c r="B504" s="99">
        <v>0.41666666666666669</v>
      </c>
      <c r="C504" s="98" t="s">
        <v>418</v>
      </c>
      <c r="D504" s="98" t="s">
        <v>397</v>
      </c>
      <c r="E504" s="170">
        <v>20</v>
      </c>
      <c r="F504" s="170">
        <v>30</v>
      </c>
      <c r="G504" s="170">
        <v>27</v>
      </c>
      <c r="H504" s="170">
        <v>29</v>
      </c>
      <c r="I504" s="170"/>
      <c r="J504" s="170">
        <v>32</v>
      </c>
      <c r="K504" s="170">
        <v>19</v>
      </c>
      <c r="L504" s="170">
        <v>27</v>
      </c>
      <c r="M504" s="170">
        <v>23</v>
      </c>
      <c r="N504" s="170" t="s">
        <v>427</v>
      </c>
      <c r="O504" s="186">
        <f t="shared" si="235"/>
        <v>106</v>
      </c>
      <c r="P504" s="186">
        <f t="shared" si="236"/>
        <v>101</v>
      </c>
      <c r="Q504" s="186" t="str">
        <f t="shared" si="237"/>
        <v>HL</v>
      </c>
      <c r="R504" s="186" t="str">
        <f t="shared" si="238"/>
        <v>HW</v>
      </c>
      <c r="S504" s="186" t="str">
        <f t="shared" si="239"/>
        <v>TT</v>
      </c>
      <c r="T504" s="186" t="str">
        <f t="shared" si="240"/>
        <v>HW</v>
      </c>
      <c r="U504" s="186" t="str">
        <f t="shared" si="241"/>
        <v>U</v>
      </c>
      <c r="V504" s="186" t="str">
        <f t="shared" si="242"/>
        <v>U</v>
      </c>
      <c r="W504" s="186" t="str">
        <f t="shared" si="243"/>
        <v>U</v>
      </c>
      <c r="X504" s="186" t="str">
        <f t="shared" si="244"/>
        <v>U</v>
      </c>
      <c r="Y504" s="186"/>
      <c r="Z504" s="186">
        <v>56.5</v>
      </c>
      <c r="AB504" s="186" t="str">
        <f t="shared" si="234"/>
        <v>OKC/DAL</v>
      </c>
      <c r="AC504" s="186">
        <f t="shared" si="245"/>
        <v>0</v>
      </c>
      <c r="AD504" s="186">
        <f t="shared" si="246"/>
        <v>4</v>
      </c>
    </row>
    <row r="505" spans="1:30" x14ac:dyDescent="0.45">
      <c r="A505" s="98">
        <v>200102</v>
      </c>
      <c r="B505" s="99">
        <v>0.33333333333333331</v>
      </c>
      <c r="C505" s="98" t="s">
        <v>414</v>
      </c>
      <c r="D505" s="98" t="s">
        <v>424</v>
      </c>
      <c r="E505" s="177">
        <v>29</v>
      </c>
      <c r="F505" s="177">
        <v>29</v>
      </c>
      <c r="G505" s="177">
        <v>25</v>
      </c>
      <c r="H505" s="177">
        <v>18</v>
      </c>
      <c r="I505" s="177"/>
      <c r="J505" s="177">
        <v>31</v>
      </c>
      <c r="K505" s="177">
        <v>31</v>
      </c>
      <c r="L505" s="177">
        <v>32</v>
      </c>
      <c r="M505" s="177">
        <v>28</v>
      </c>
      <c r="N505" s="177" t="s">
        <v>427</v>
      </c>
      <c r="O505" s="186">
        <f t="shared" si="235"/>
        <v>101</v>
      </c>
      <c r="P505" s="186">
        <f t="shared" si="236"/>
        <v>122</v>
      </c>
      <c r="Q505" s="186" t="str">
        <f t="shared" si="237"/>
        <v>HL</v>
      </c>
      <c r="R505" s="186" t="str">
        <f t="shared" si="238"/>
        <v>HL</v>
      </c>
      <c r="S505" s="186" t="str">
        <f t="shared" si="239"/>
        <v>HL</v>
      </c>
      <c r="T505" s="186" t="str">
        <f t="shared" si="240"/>
        <v>HL</v>
      </c>
      <c r="U505" s="186" t="str">
        <f t="shared" si="241"/>
        <v>O</v>
      </c>
      <c r="V505" s="186" t="str">
        <f t="shared" si="242"/>
        <v>O</v>
      </c>
      <c r="W505" s="186" t="str">
        <f t="shared" si="243"/>
        <v>T</v>
      </c>
      <c r="X505" s="186" t="str">
        <f t="shared" si="244"/>
        <v>U</v>
      </c>
      <c r="Y505" s="186"/>
      <c r="Z505" s="186">
        <v>57</v>
      </c>
      <c r="AB505" s="186" t="str">
        <f t="shared" si="234"/>
        <v>WAS/ORL</v>
      </c>
      <c r="AC505" s="186">
        <f t="shared" si="245"/>
        <v>2</v>
      </c>
      <c r="AD505" s="186">
        <f t="shared" si="246"/>
        <v>1</v>
      </c>
    </row>
    <row r="506" spans="1:30" x14ac:dyDescent="0.45">
      <c r="A506" s="98">
        <v>200102</v>
      </c>
      <c r="B506" s="99">
        <v>0.39583333333333331</v>
      </c>
      <c r="C506" s="98" t="s">
        <v>399</v>
      </c>
      <c r="D506" s="98" t="s">
        <v>417</v>
      </c>
      <c r="E506" s="176">
        <v>25</v>
      </c>
      <c r="F506" s="176">
        <v>26</v>
      </c>
      <c r="G506" s="176">
        <v>32</v>
      </c>
      <c r="H506" s="176">
        <v>34</v>
      </c>
      <c r="I506" s="176"/>
      <c r="J506" s="176">
        <v>27</v>
      </c>
      <c r="K506" s="176">
        <v>21</v>
      </c>
      <c r="L506" s="176">
        <v>29</v>
      </c>
      <c r="M506" s="176">
        <v>16</v>
      </c>
      <c r="N506" s="176" t="s">
        <v>427</v>
      </c>
      <c r="O506" s="186">
        <f t="shared" si="235"/>
        <v>117</v>
      </c>
      <c r="P506" s="186">
        <f t="shared" si="236"/>
        <v>93</v>
      </c>
      <c r="Q506" s="186" t="str">
        <f t="shared" si="237"/>
        <v>HL</v>
      </c>
      <c r="R506" s="186" t="str">
        <f t="shared" si="238"/>
        <v>HW</v>
      </c>
      <c r="S506" s="186" t="str">
        <f t="shared" si="239"/>
        <v>HW</v>
      </c>
      <c r="T506" s="186" t="str">
        <f t="shared" si="240"/>
        <v>HW</v>
      </c>
      <c r="U506" s="186" t="str">
        <f t="shared" si="241"/>
        <v>U</v>
      </c>
      <c r="V506" s="186" t="str">
        <f t="shared" si="242"/>
        <v>U</v>
      </c>
      <c r="W506" s="186" t="str">
        <f t="shared" si="243"/>
        <v>O</v>
      </c>
      <c r="X506" s="186" t="str">
        <f t="shared" si="244"/>
        <v>U</v>
      </c>
      <c r="Y506" s="186"/>
      <c r="Z506" s="186">
        <v>57.5</v>
      </c>
      <c r="AB506" s="186" t="str">
        <f t="shared" si="234"/>
        <v>NYK/POR</v>
      </c>
      <c r="AC506" s="186">
        <f t="shared" si="245"/>
        <v>1</v>
      </c>
      <c r="AD506" s="186">
        <f t="shared" si="246"/>
        <v>3</v>
      </c>
    </row>
    <row r="507" spans="1:30" x14ac:dyDescent="0.45">
      <c r="A507" s="98">
        <v>200102</v>
      </c>
      <c r="B507" s="99">
        <v>0.41666666666666669</v>
      </c>
      <c r="C507" s="98" t="s">
        <v>423</v>
      </c>
      <c r="D507" s="98" t="s">
        <v>420</v>
      </c>
      <c r="E507" s="175">
        <v>19</v>
      </c>
      <c r="F507" s="175">
        <v>33</v>
      </c>
      <c r="G507" s="175">
        <v>25</v>
      </c>
      <c r="H507" s="175">
        <v>29</v>
      </c>
      <c r="I507" s="175"/>
      <c r="J507" s="175">
        <v>23</v>
      </c>
      <c r="K507" s="175">
        <v>28</v>
      </c>
      <c r="L507" s="175">
        <v>20</v>
      </c>
      <c r="M507" s="175">
        <v>33</v>
      </c>
      <c r="N507" s="175" t="s">
        <v>427</v>
      </c>
      <c r="O507" s="186">
        <f t="shared" si="235"/>
        <v>106</v>
      </c>
      <c r="P507" s="186">
        <f t="shared" si="236"/>
        <v>104</v>
      </c>
      <c r="Q507" s="186" t="str">
        <f t="shared" si="237"/>
        <v>HL</v>
      </c>
      <c r="R507" s="186" t="str">
        <f t="shared" si="238"/>
        <v>HW</v>
      </c>
      <c r="S507" s="186" t="str">
        <f t="shared" si="239"/>
        <v>HW</v>
      </c>
      <c r="T507" s="186" t="str">
        <f t="shared" si="240"/>
        <v>HL</v>
      </c>
      <c r="U507" s="186" t="str">
        <f t="shared" si="241"/>
        <v>U</v>
      </c>
      <c r="V507" s="186" t="str">
        <f t="shared" si="242"/>
        <v>O</v>
      </c>
      <c r="W507" s="186" t="str">
        <f t="shared" si="243"/>
        <v>U</v>
      </c>
      <c r="X507" s="186" t="str">
        <f t="shared" si="244"/>
        <v>O</v>
      </c>
      <c r="Y507" s="186"/>
      <c r="Z507" s="186">
        <v>57</v>
      </c>
      <c r="AB507" s="186" t="str">
        <f t="shared" si="234"/>
        <v>MIL/MIN</v>
      </c>
      <c r="AC507" s="186">
        <f t="shared" si="245"/>
        <v>2</v>
      </c>
      <c r="AD507" s="186">
        <f t="shared" si="246"/>
        <v>2</v>
      </c>
    </row>
    <row r="508" spans="1:30" x14ac:dyDescent="0.45">
      <c r="A508" s="98">
        <v>200102</v>
      </c>
      <c r="B508" s="99">
        <v>0.52083333333333337</v>
      </c>
      <c r="C508" s="98" t="s">
        <v>419</v>
      </c>
      <c r="D508" s="98" t="s">
        <v>404</v>
      </c>
      <c r="E508" s="174">
        <v>43</v>
      </c>
      <c r="F508" s="174">
        <v>31</v>
      </c>
      <c r="G508" s="174">
        <v>27</v>
      </c>
      <c r="H508" s="174">
        <v>16</v>
      </c>
      <c r="I508" s="174"/>
      <c r="J508" s="174">
        <v>17</v>
      </c>
      <c r="K508" s="174">
        <v>24</v>
      </c>
      <c r="L508" s="174">
        <v>38</v>
      </c>
      <c r="M508" s="174">
        <v>28</v>
      </c>
      <c r="N508" s="174" t="s">
        <v>427</v>
      </c>
      <c r="O508" s="186">
        <f t="shared" si="235"/>
        <v>117</v>
      </c>
      <c r="P508" s="186">
        <f t="shared" si="236"/>
        <v>107</v>
      </c>
      <c r="Q508" s="186" t="str">
        <f t="shared" si="237"/>
        <v>HW</v>
      </c>
      <c r="R508" s="186" t="str">
        <f t="shared" si="238"/>
        <v>HW</v>
      </c>
      <c r="S508" s="186" t="str">
        <f t="shared" si="239"/>
        <v>HL</v>
      </c>
      <c r="T508" s="186" t="str">
        <f t="shared" si="240"/>
        <v>HL</v>
      </c>
      <c r="U508" s="186" t="str">
        <f t="shared" si="241"/>
        <v>O</v>
      </c>
      <c r="V508" s="186" t="str">
        <f t="shared" si="242"/>
        <v>U</v>
      </c>
      <c r="W508" s="186" t="str">
        <f t="shared" si="243"/>
        <v>O</v>
      </c>
      <c r="X508" s="186" t="str">
        <f t="shared" si="244"/>
        <v>U</v>
      </c>
      <c r="Y508" s="186"/>
      <c r="Z508" s="186">
        <v>56</v>
      </c>
      <c r="AB508" s="186" t="str">
        <f t="shared" si="234"/>
        <v>LAL/PHO</v>
      </c>
      <c r="AC508" s="186">
        <f t="shared" si="245"/>
        <v>2</v>
      </c>
      <c r="AD508" s="186">
        <f t="shared" si="246"/>
        <v>2</v>
      </c>
    </row>
    <row r="509" spans="1:30" x14ac:dyDescent="0.45">
      <c r="A509" s="98">
        <v>200103</v>
      </c>
      <c r="B509" s="99">
        <v>0.375</v>
      </c>
      <c r="C509" s="98" t="s">
        <v>402</v>
      </c>
      <c r="D509" s="98" t="s">
        <v>409</v>
      </c>
      <c r="E509" s="179">
        <v>29</v>
      </c>
      <c r="F509" s="179">
        <v>30</v>
      </c>
      <c r="G509" s="179">
        <v>26</v>
      </c>
      <c r="H509" s="179">
        <v>21</v>
      </c>
      <c r="I509" s="179"/>
      <c r="J509" s="179">
        <v>31</v>
      </c>
      <c r="K509" s="179">
        <v>21</v>
      </c>
      <c r="L509" s="179">
        <v>30</v>
      </c>
      <c r="M509" s="179">
        <v>27</v>
      </c>
      <c r="N509" s="179" t="s">
        <v>427</v>
      </c>
      <c r="O509" s="186">
        <f t="shared" si="235"/>
        <v>106</v>
      </c>
      <c r="P509" s="186">
        <f t="shared" si="236"/>
        <v>109</v>
      </c>
      <c r="Q509" s="186" t="str">
        <f t="shared" si="237"/>
        <v>HL</v>
      </c>
      <c r="R509" s="186" t="str">
        <f t="shared" si="238"/>
        <v>HW</v>
      </c>
      <c r="S509" s="186" t="str">
        <f t="shared" si="239"/>
        <v>HL</v>
      </c>
      <c r="T509" s="186" t="str">
        <f t="shared" si="240"/>
        <v>HL</v>
      </c>
      <c r="U509" s="186" t="str">
        <f t="shared" si="241"/>
        <v>O</v>
      </c>
      <c r="V509" s="186" t="str">
        <f t="shared" si="242"/>
        <v>U</v>
      </c>
      <c r="W509" s="186" t="str">
        <f t="shared" si="243"/>
        <v>O</v>
      </c>
      <c r="X509" s="186" t="str">
        <f t="shared" si="244"/>
        <v>U</v>
      </c>
      <c r="Y509" s="186"/>
      <c r="Z509" s="186">
        <v>54.5</v>
      </c>
      <c r="AB509" s="186" t="str">
        <f t="shared" si="234"/>
        <v>CLE/CHA</v>
      </c>
      <c r="AC509" s="186">
        <f t="shared" si="245"/>
        <v>2</v>
      </c>
      <c r="AD509" s="186">
        <f t="shared" si="246"/>
        <v>2</v>
      </c>
    </row>
    <row r="510" spans="1:30" x14ac:dyDescent="0.45">
      <c r="A510" s="98">
        <v>200103</v>
      </c>
      <c r="B510" s="99">
        <v>0.375</v>
      </c>
      <c r="C510" s="98" t="s">
        <v>400</v>
      </c>
      <c r="D510" s="98" t="s">
        <v>408</v>
      </c>
      <c r="E510" s="181">
        <v>37</v>
      </c>
      <c r="F510" s="181">
        <v>27</v>
      </c>
      <c r="G510" s="181">
        <v>24</v>
      </c>
      <c r="H510" s="181">
        <v>28</v>
      </c>
      <c r="I510" s="181"/>
      <c r="J510" s="181">
        <v>27</v>
      </c>
      <c r="K510" s="181">
        <v>35</v>
      </c>
      <c r="L510" s="181">
        <v>30</v>
      </c>
      <c r="M510" s="181">
        <v>32</v>
      </c>
      <c r="N510" s="181" t="s">
        <v>427</v>
      </c>
      <c r="O510" s="186">
        <f t="shared" si="235"/>
        <v>116</v>
      </c>
      <c r="P510" s="186">
        <f t="shared" si="236"/>
        <v>124</v>
      </c>
      <c r="Q510" s="186" t="str">
        <f t="shared" si="237"/>
        <v>HW</v>
      </c>
      <c r="R510" s="186" t="str">
        <f t="shared" si="238"/>
        <v>HL</v>
      </c>
      <c r="S510" s="186" t="str">
        <f t="shared" si="239"/>
        <v>HL</v>
      </c>
      <c r="T510" s="186" t="str">
        <f t="shared" si="240"/>
        <v>HL</v>
      </c>
      <c r="U510" s="186" t="str">
        <f t="shared" si="241"/>
        <v>O</v>
      </c>
      <c r="V510" s="186" t="str">
        <f t="shared" si="242"/>
        <v>O</v>
      </c>
      <c r="W510" s="186" t="str">
        <f t="shared" si="243"/>
        <v>O</v>
      </c>
      <c r="X510" s="186" t="str">
        <f t="shared" si="244"/>
        <v>O</v>
      </c>
      <c r="Y510" s="186"/>
      <c r="Z510" s="186">
        <v>53.5</v>
      </c>
      <c r="AB510" s="186" t="str">
        <f t="shared" si="234"/>
        <v>IND/DEN</v>
      </c>
      <c r="AC510" s="186">
        <f t="shared" si="245"/>
        <v>4</v>
      </c>
      <c r="AD510" s="186">
        <f t="shared" si="246"/>
        <v>0</v>
      </c>
    </row>
    <row r="511" spans="1:30" x14ac:dyDescent="0.45">
      <c r="A511" s="98">
        <v>200103</v>
      </c>
      <c r="B511" s="99">
        <v>0.39583333333333331</v>
      </c>
      <c r="C511" s="98" t="s">
        <v>411</v>
      </c>
      <c r="D511" s="98" t="s">
        <v>413</v>
      </c>
      <c r="E511" s="183">
        <v>18</v>
      </c>
      <c r="F511" s="183">
        <v>24</v>
      </c>
      <c r="G511" s="183">
        <v>21</v>
      </c>
      <c r="H511" s="183">
        <v>21</v>
      </c>
      <c r="I511" s="183"/>
      <c r="J511" s="183">
        <v>20</v>
      </c>
      <c r="K511" s="183">
        <v>19</v>
      </c>
      <c r="L511" s="183">
        <v>21</v>
      </c>
      <c r="M511" s="183">
        <v>16</v>
      </c>
      <c r="N511" s="183" t="s">
        <v>427</v>
      </c>
      <c r="O511" s="186">
        <f t="shared" si="235"/>
        <v>84</v>
      </c>
      <c r="P511" s="186">
        <f t="shared" si="236"/>
        <v>76</v>
      </c>
      <c r="Q511" s="186" t="str">
        <f t="shared" si="237"/>
        <v>HL</v>
      </c>
      <c r="R511" s="186" t="str">
        <f t="shared" si="238"/>
        <v>HW</v>
      </c>
      <c r="S511" s="186" t="str">
        <f t="shared" si="239"/>
        <v>TT</v>
      </c>
      <c r="T511" s="186" t="str">
        <f t="shared" si="240"/>
        <v>HW</v>
      </c>
      <c r="U511" s="186" t="str">
        <f t="shared" si="241"/>
        <v>U</v>
      </c>
      <c r="V511" s="186" t="str">
        <f t="shared" si="242"/>
        <v>U</v>
      </c>
      <c r="W511" s="186" t="str">
        <f t="shared" si="243"/>
        <v>U</v>
      </c>
      <c r="X511" s="186" t="str">
        <f t="shared" si="244"/>
        <v>U</v>
      </c>
      <c r="Y511" s="186"/>
      <c r="Z511" s="186">
        <v>55.5</v>
      </c>
      <c r="AB511" s="186" t="str">
        <f t="shared" si="234"/>
        <v>MIA/TOR</v>
      </c>
      <c r="AC511" s="186">
        <f t="shared" si="245"/>
        <v>0</v>
      </c>
      <c r="AD511" s="186">
        <f t="shared" si="246"/>
        <v>4</v>
      </c>
    </row>
    <row r="512" spans="1:30" x14ac:dyDescent="0.45">
      <c r="A512" s="98">
        <v>200103</v>
      </c>
      <c r="B512" s="99">
        <v>0.41666666666666669</v>
      </c>
      <c r="C512" s="98" t="s">
        <v>412</v>
      </c>
      <c r="D512" s="98" t="s">
        <v>405</v>
      </c>
      <c r="E512" s="178">
        <v>22</v>
      </c>
      <c r="F512" s="178">
        <v>29</v>
      </c>
      <c r="G512" s="178">
        <v>19</v>
      </c>
      <c r="H512" s="178">
        <v>28</v>
      </c>
      <c r="I512" s="178"/>
      <c r="J512" s="178">
        <v>25</v>
      </c>
      <c r="K512" s="178">
        <v>22</v>
      </c>
      <c r="L512" s="178">
        <v>29</v>
      </c>
      <c r="M512" s="178">
        <v>26</v>
      </c>
      <c r="N512" s="178" t="s">
        <v>427</v>
      </c>
      <c r="O512" s="186">
        <f t="shared" si="235"/>
        <v>98</v>
      </c>
      <c r="P512" s="186">
        <f t="shared" si="236"/>
        <v>102</v>
      </c>
      <c r="Q512" s="186" t="str">
        <f t="shared" si="237"/>
        <v>HL</v>
      </c>
      <c r="R512" s="186" t="str">
        <f t="shared" si="238"/>
        <v>HW</v>
      </c>
      <c r="S512" s="186" t="str">
        <f t="shared" si="239"/>
        <v>HL</v>
      </c>
      <c r="T512" s="186" t="str">
        <f t="shared" si="240"/>
        <v>HW</v>
      </c>
      <c r="U512" s="186" t="str">
        <f t="shared" si="241"/>
        <v>U</v>
      </c>
      <c r="V512" s="186" t="str">
        <f t="shared" si="242"/>
        <v>U</v>
      </c>
      <c r="W512" s="186" t="str">
        <f t="shared" si="243"/>
        <v>U</v>
      </c>
      <c r="X512" s="186" t="str">
        <f t="shared" si="244"/>
        <v>O</v>
      </c>
      <c r="Y512" s="186"/>
      <c r="Z512" s="186">
        <v>51.5</v>
      </c>
      <c r="AB512" s="186" t="str">
        <f t="shared" si="234"/>
        <v>CHI/UTA</v>
      </c>
      <c r="AC512" s="186">
        <f t="shared" si="245"/>
        <v>1</v>
      </c>
      <c r="AD512" s="186">
        <f t="shared" si="246"/>
        <v>3</v>
      </c>
    </row>
    <row r="513" spans="1:30" x14ac:dyDescent="0.45">
      <c r="A513" s="98">
        <v>200103</v>
      </c>
      <c r="B513" s="99">
        <v>0.41666666666666669</v>
      </c>
      <c r="C513" s="98" t="s">
        <v>420</v>
      </c>
      <c r="D513" s="98" t="s">
        <v>425</v>
      </c>
      <c r="E513" s="184">
        <v>34</v>
      </c>
      <c r="F513" s="184">
        <v>24</v>
      </c>
      <c r="G513" s="184">
        <v>23</v>
      </c>
      <c r="H513" s="184">
        <v>18</v>
      </c>
      <c r="I513" s="184"/>
      <c r="J513" s="184">
        <v>19</v>
      </c>
      <c r="K513" s="184">
        <v>22</v>
      </c>
      <c r="L513" s="184">
        <v>26</v>
      </c>
      <c r="M513" s="184">
        <v>17</v>
      </c>
      <c r="N513" s="184" t="s">
        <v>427</v>
      </c>
      <c r="O513" s="186">
        <f t="shared" si="235"/>
        <v>99</v>
      </c>
      <c r="P513" s="186">
        <f t="shared" si="236"/>
        <v>84</v>
      </c>
      <c r="Q513" s="186" t="str">
        <f t="shared" si="237"/>
        <v>HW</v>
      </c>
      <c r="R513" s="186" t="str">
        <f t="shared" si="238"/>
        <v>HW</v>
      </c>
      <c r="S513" s="186" t="str">
        <f t="shared" si="239"/>
        <v>HL</v>
      </c>
      <c r="T513" s="186" t="str">
        <f t="shared" si="240"/>
        <v>HW</v>
      </c>
      <c r="U513" s="186" t="str">
        <f t="shared" si="241"/>
        <v>U</v>
      </c>
      <c r="V513" s="186" t="str">
        <f t="shared" si="242"/>
        <v>U</v>
      </c>
      <c r="W513" s="186" t="str">
        <f t="shared" si="243"/>
        <v>U</v>
      </c>
      <c r="X513" s="186" t="str">
        <f t="shared" si="244"/>
        <v>U</v>
      </c>
      <c r="Y513" s="186"/>
      <c r="Z513" s="186">
        <v>54.5</v>
      </c>
      <c r="AB513" s="186" t="str">
        <f t="shared" si="234"/>
        <v>MIN/GS</v>
      </c>
      <c r="AC513" s="186">
        <f t="shared" si="245"/>
        <v>0</v>
      </c>
      <c r="AD513" s="186">
        <f t="shared" si="246"/>
        <v>4</v>
      </c>
    </row>
    <row r="514" spans="1:30" x14ac:dyDescent="0.45">
      <c r="A514" s="98">
        <v>200103</v>
      </c>
      <c r="B514" s="99">
        <v>0.4375</v>
      </c>
      <c r="C514" s="98" t="s">
        <v>397</v>
      </c>
      <c r="D514" s="98" t="s">
        <v>407</v>
      </c>
      <c r="E514" s="180">
        <v>31</v>
      </c>
      <c r="F514" s="180">
        <v>29</v>
      </c>
      <c r="G514" s="180">
        <v>33</v>
      </c>
      <c r="H514" s="180">
        <v>30</v>
      </c>
      <c r="I514" s="180"/>
      <c r="J514" s="180">
        <v>30</v>
      </c>
      <c r="K514" s="180">
        <v>35</v>
      </c>
      <c r="L514" s="180">
        <v>28</v>
      </c>
      <c r="M514" s="180">
        <v>18</v>
      </c>
      <c r="N514" s="180" t="s">
        <v>427</v>
      </c>
      <c r="O514" s="186">
        <f t="shared" si="235"/>
        <v>123</v>
      </c>
      <c r="P514" s="186">
        <f t="shared" si="236"/>
        <v>111</v>
      </c>
      <c r="Q514" s="186" t="str">
        <f t="shared" si="237"/>
        <v>HW</v>
      </c>
      <c r="R514" s="186" t="str">
        <f t="shared" si="238"/>
        <v>HL</v>
      </c>
      <c r="S514" s="186" t="str">
        <f t="shared" si="239"/>
        <v>HW</v>
      </c>
      <c r="T514" s="186" t="str">
        <f t="shared" si="240"/>
        <v>HW</v>
      </c>
      <c r="U514" s="186" t="str">
        <f t="shared" si="241"/>
        <v>O</v>
      </c>
      <c r="V514" s="186" t="str">
        <f t="shared" si="242"/>
        <v>O</v>
      </c>
      <c r="W514" s="186" t="str">
        <f t="shared" si="243"/>
        <v>O</v>
      </c>
      <c r="X514" s="186" t="str">
        <f t="shared" si="244"/>
        <v>U</v>
      </c>
      <c r="Y514" s="186"/>
      <c r="Z514" s="186">
        <v>54.5</v>
      </c>
      <c r="AB514" s="186" t="str">
        <f t="shared" si="234"/>
        <v>DAL/BKN</v>
      </c>
      <c r="AC514" s="186">
        <f t="shared" si="245"/>
        <v>3</v>
      </c>
      <c r="AD514" s="186">
        <f t="shared" si="246"/>
        <v>1</v>
      </c>
    </row>
    <row r="515" spans="1:30" x14ac:dyDescent="0.45">
      <c r="A515" s="98">
        <v>200103</v>
      </c>
      <c r="B515" s="99">
        <v>0.4375</v>
      </c>
      <c r="C515" s="98" t="s">
        <v>426</v>
      </c>
      <c r="D515" s="98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5"/>
        <v>103</v>
      </c>
      <c r="P515" s="186">
        <f t="shared" si="236"/>
        <v>109</v>
      </c>
      <c r="Q515" s="186" t="str">
        <f t="shared" si="237"/>
        <v>TT</v>
      </c>
      <c r="R515" s="186" t="str">
        <f t="shared" si="238"/>
        <v>HW</v>
      </c>
      <c r="S515" s="186" t="str">
        <f t="shared" si="239"/>
        <v>HL</v>
      </c>
      <c r="T515" s="186" t="str">
        <f t="shared" si="240"/>
        <v>HL</v>
      </c>
      <c r="U515" s="186" t="str">
        <f t="shared" si="241"/>
        <v>U</v>
      </c>
      <c r="V515" s="186" t="str">
        <f t="shared" si="242"/>
        <v>U</v>
      </c>
      <c r="W515" s="186" t="str">
        <f t="shared" si="243"/>
        <v>U</v>
      </c>
      <c r="X515" s="186" t="str">
        <f t="shared" si="244"/>
        <v>O</v>
      </c>
      <c r="Y515" s="186"/>
      <c r="Z515" s="186">
        <v>56</v>
      </c>
      <c r="AB515" s="186" t="str">
        <f t="shared" si="234"/>
        <v>SAS/OKC</v>
      </c>
      <c r="AC515" s="186">
        <f t="shared" si="245"/>
        <v>1</v>
      </c>
      <c r="AD515" s="186">
        <f t="shared" si="246"/>
        <v>3</v>
      </c>
    </row>
    <row r="516" spans="1:30" x14ac:dyDescent="0.45">
      <c r="A516" s="98">
        <v>200103</v>
      </c>
      <c r="B516" s="99">
        <v>0.5</v>
      </c>
      <c r="C516" s="98" t="s">
        <v>416</v>
      </c>
      <c r="D516" s="98" t="s">
        <v>406</v>
      </c>
      <c r="E516" s="185">
        <v>26</v>
      </c>
      <c r="F516" s="185">
        <v>37</v>
      </c>
      <c r="G516" s="185">
        <v>27</v>
      </c>
      <c r="H516" s="185">
        <v>38</v>
      </c>
      <c r="I516" s="185"/>
      <c r="J516" s="185">
        <v>42</v>
      </c>
      <c r="K516" s="185">
        <v>18</v>
      </c>
      <c r="L516" s="185">
        <v>37</v>
      </c>
      <c r="M516" s="185">
        <v>26</v>
      </c>
      <c r="N516" s="185" t="s">
        <v>427</v>
      </c>
      <c r="O516" s="186">
        <f t="shared" si="235"/>
        <v>128</v>
      </c>
      <c r="P516" s="186">
        <f t="shared" si="236"/>
        <v>123</v>
      </c>
      <c r="Q516" s="186" t="str">
        <f t="shared" si="237"/>
        <v>HL</v>
      </c>
      <c r="R516" s="186" t="str">
        <f t="shared" si="238"/>
        <v>HW</v>
      </c>
      <c r="S516" s="186" t="str">
        <f t="shared" si="239"/>
        <v>HL</v>
      </c>
      <c r="T516" s="186" t="str">
        <f t="shared" si="240"/>
        <v>HW</v>
      </c>
      <c r="U516" s="186" t="str">
        <f t="shared" si="241"/>
        <v>O</v>
      </c>
      <c r="V516" s="186" t="str">
        <f t="shared" si="242"/>
        <v>T</v>
      </c>
      <c r="W516" s="186" t="str">
        <f t="shared" si="243"/>
        <v>O</v>
      </c>
      <c r="X516" s="186" t="str">
        <f t="shared" si="244"/>
        <v>O</v>
      </c>
      <c r="Y516" s="186"/>
      <c r="Z516" s="186">
        <v>55</v>
      </c>
      <c r="AB516" s="186" t="str">
        <f t="shared" si="234"/>
        <v>SAC/MEM</v>
      </c>
      <c r="AC516" s="186">
        <f t="shared" si="245"/>
        <v>3</v>
      </c>
      <c r="AD516" s="186">
        <f t="shared" si="246"/>
        <v>0</v>
      </c>
    </row>
    <row r="517" spans="1:30" x14ac:dyDescent="0.45">
      <c r="A517" s="98">
        <v>200103</v>
      </c>
      <c r="B517" s="99">
        <v>0.52083333333333337</v>
      </c>
      <c r="C517" s="98" t="s">
        <v>415</v>
      </c>
      <c r="D517" s="98" t="s">
        <v>422</v>
      </c>
      <c r="E517" s="182">
        <v>30</v>
      </c>
      <c r="F517" s="182">
        <v>39</v>
      </c>
      <c r="G517" s="182">
        <v>37</v>
      </c>
      <c r="H517" s="182">
        <v>20</v>
      </c>
      <c r="I517" s="182"/>
      <c r="J517" s="182">
        <v>33</v>
      </c>
      <c r="K517" s="182">
        <v>30</v>
      </c>
      <c r="L517" s="182">
        <v>16</v>
      </c>
      <c r="M517" s="182">
        <v>33</v>
      </c>
      <c r="N517" s="182" t="s">
        <v>427</v>
      </c>
      <c r="O517" s="186">
        <f t="shared" si="235"/>
        <v>126</v>
      </c>
      <c r="P517" s="186">
        <f t="shared" si="236"/>
        <v>112</v>
      </c>
      <c r="Q517" s="186" t="str">
        <f t="shared" si="237"/>
        <v>HL</v>
      </c>
      <c r="R517" s="186" t="str">
        <f t="shared" si="238"/>
        <v>HW</v>
      </c>
      <c r="S517" s="186" t="str">
        <f t="shared" si="239"/>
        <v>HW</v>
      </c>
      <c r="T517" s="186" t="str">
        <f t="shared" si="240"/>
        <v>HL</v>
      </c>
      <c r="U517" s="186" t="str">
        <f t="shared" si="241"/>
        <v>O</v>
      </c>
      <c r="V517" s="186" t="str">
        <f t="shared" si="242"/>
        <v>O</v>
      </c>
      <c r="W517" s="186" t="str">
        <f t="shared" si="243"/>
        <v>U</v>
      </c>
      <c r="X517" s="186" t="str">
        <f t="shared" si="244"/>
        <v>U</v>
      </c>
      <c r="Y517" s="186"/>
      <c r="Z517" s="186">
        <v>58.5</v>
      </c>
      <c r="AB517" s="186" t="str">
        <f t="shared" si="234"/>
        <v>LAC/DET</v>
      </c>
      <c r="AC517" s="186">
        <f t="shared" si="245"/>
        <v>2</v>
      </c>
      <c r="AD517" s="186">
        <f t="shared" si="246"/>
        <v>2</v>
      </c>
    </row>
    <row r="518" spans="1:30" x14ac:dyDescent="0.45">
      <c r="A518" s="98">
        <v>200104</v>
      </c>
      <c r="B518" s="99">
        <v>0.375</v>
      </c>
      <c r="C518" s="98" t="s">
        <v>421</v>
      </c>
      <c r="D518" s="98" t="s">
        <v>410</v>
      </c>
      <c r="E518" s="192">
        <v>19</v>
      </c>
      <c r="F518" s="192">
        <v>34</v>
      </c>
      <c r="G518" s="192">
        <v>29</v>
      </c>
      <c r="H518" s="192">
        <v>27</v>
      </c>
      <c r="I518" s="192"/>
      <c r="J518" s="192">
        <v>32</v>
      </c>
      <c r="K518" s="192">
        <v>23</v>
      </c>
      <c r="L518" s="192">
        <v>25</v>
      </c>
      <c r="M518" s="192">
        <v>26</v>
      </c>
      <c r="N518" s="192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 s="186">
        <v>58</v>
      </c>
      <c r="AB518" s="186" t="str">
        <f t="shared" si="234"/>
        <v>BOS/ATL</v>
      </c>
      <c r="AC518" s="192">
        <f t="shared" ref="AC518:AC523" si="257">COUNTIF(U518:X518,"o")</f>
        <v>0</v>
      </c>
      <c r="AD518" s="192">
        <f t="shared" ref="AD518:AD523" si="258">COUNTIF(U518:X518,"u")</f>
        <v>4</v>
      </c>
    </row>
    <row r="519" spans="1:30" x14ac:dyDescent="0.45">
      <c r="A519" s="98">
        <v>200104</v>
      </c>
      <c r="B519" s="99">
        <v>0.375</v>
      </c>
      <c r="C519" s="98" t="s">
        <v>424</v>
      </c>
      <c r="D519" s="98" t="s">
        <v>411</v>
      </c>
      <c r="E519" s="192">
        <v>27</v>
      </c>
      <c r="F519" s="192">
        <v>29</v>
      </c>
      <c r="G519" s="192">
        <v>28</v>
      </c>
      <c r="H519" s="192">
        <v>21</v>
      </c>
      <c r="I519" s="192"/>
      <c r="J519" s="192">
        <v>22</v>
      </c>
      <c r="K519" s="192">
        <v>22</v>
      </c>
      <c r="L519" s="192">
        <v>35</v>
      </c>
      <c r="M519" s="192">
        <v>6</v>
      </c>
      <c r="N519" s="192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 s="186">
        <v>53</v>
      </c>
      <c r="AB519" s="186" t="str">
        <f t="shared" si="234"/>
        <v>ORL/MIA</v>
      </c>
      <c r="AC519" s="192">
        <f t="shared" si="257"/>
        <v>1</v>
      </c>
      <c r="AD519" s="192">
        <f t="shared" si="258"/>
        <v>3</v>
      </c>
    </row>
    <row r="520" spans="1:30" x14ac:dyDescent="0.45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 s="186">
        <v>60</v>
      </c>
      <c r="AB520" s="186" t="str">
        <f t="shared" si="234"/>
        <v>WAS/POR</v>
      </c>
      <c r="AC520" s="192">
        <f t="shared" si="257"/>
        <v>1</v>
      </c>
      <c r="AD520" s="192">
        <f t="shared" si="258"/>
        <v>3</v>
      </c>
    </row>
    <row r="521" spans="1:30" x14ac:dyDescent="0.45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92">
        <v>20</v>
      </c>
      <c r="F521" s="192">
        <v>40</v>
      </c>
      <c r="G521" s="192">
        <v>36</v>
      </c>
      <c r="H521" s="192">
        <v>22</v>
      </c>
      <c r="I521" s="192"/>
      <c r="J521" s="192">
        <v>27</v>
      </c>
      <c r="K521" s="192">
        <v>26</v>
      </c>
      <c r="L521" s="192">
        <v>31</v>
      </c>
      <c r="M521" s="192">
        <v>24</v>
      </c>
      <c r="N521" s="192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 s="186">
        <v>57</v>
      </c>
      <c r="AB521" s="186" t="str">
        <f t="shared" si="234"/>
        <v>HOU/PHI</v>
      </c>
      <c r="AC521" s="192">
        <f t="shared" si="257"/>
        <v>2</v>
      </c>
      <c r="AD521" s="192">
        <f t="shared" si="258"/>
        <v>2</v>
      </c>
    </row>
    <row r="522" spans="1:30" x14ac:dyDescent="0.45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2">
        <v>29</v>
      </c>
      <c r="F522" s="192">
        <v>22</v>
      </c>
      <c r="G522" s="192">
        <v>32</v>
      </c>
      <c r="H522" s="192">
        <v>37</v>
      </c>
      <c r="I522" s="192"/>
      <c r="J522" s="192">
        <v>37</v>
      </c>
      <c r="K522" s="192">
        <v>24</v>
      </c>
      <c r="L522" s="192">
        <v>26</v>
      </c>
      <c r="M522" s="192">
        <v>25</v>
      </c>
      <c r="N522" s="192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 s="186">
        <v>58</v>
      </c>
      <c r="AB522" s="186" t="str">
        <f t="shared" si="234"/>
        <v>PHO/NYK</v>
      </c>
      <c r="AC522" s="192">
        <f t="shared" si="257"/>
        <v>2</v>
      </c>
      <c r="AD522" s="192">
        <f t="shared" si="258"/>
        <v>1</v>
      </c>
    </row>
    <row r="523" spans="1:30" x14ac:dyDescent="0.45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92">
        <v>42</v>
      </c>
      <c r="F523" s="192">
        <v>32</v>
      </c>
      <c r="G523" s="192">
        <v>31</v>
      </c>
      <c r="H523" s="192">
        <v>18</v>
      </c>
      <c r="I523" s="192"/>
      <c r="J523" s="192">
        <v>30</v>
      </c>
      <c r="K523" s="192">
        <v>32</v>
      </c>
      <c r="L523" s="192">
        <v>21</v>
      </c>
      <c r="M523" s="192">
        <v>30</v>
      </c>
      <c r="N523" s="192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186">
        <v>58</v>
      </c>
      <c r="AB523" s="186" t="str">
        <f t="shared" si="234"/>
        <v>LAL/NO</v>
      </c>
      <c r="AC523" s="192">
        <f t="shared" si="257"/>
        <v>2</v>
      </c>
      <c r="AD523" s="192">
        <f t="shared" si="258"/>
        <v>2</v>
      </c>
    </row>
    <row r="524" spans="1:30" x14ac:dyDescent="0.45">
      <c r="A524" s="98">
        <v>200105</v>
      </c>
      <c r="B524" s="194">
        <v>0.22916666666666666</v>
      </c>
      <c r="C524" s="193" t="s">
        <v>415</v>
      </c>
      <c r="D524" s="193" t="s">
        <v>406</v>
      </c>
      <c r="E524" s="206">
        <v>27</v>
      </c>
      <c r="F524" s="206">
        <v>30</v>
      </c>
      <c r="G524" s="206">
        <v>23</v>
      </c>
      <c r="H524" s="206">
        <v>34</v>
      </c>
      <c r="I524" s="206"/>
      <c r="J524" s="206">
        <v>40</v>
      </c>
      <c r="K524" s="206">
        <v>25</v>
      </c>
      <c r="L524" s="206">
        <v>39</v>
      </c>
      <c r="M524" s="206">
        <v>36</v>
      </c>
      <c r="N524" s="206" t="s">
        <v>427</v>
      </c>
      <c r="O524" s="206">
        <f t="shared" ref="O524:O534" si="259">SUM(E524:I524)</f>
        <v>114</v>
      </c>
      <c r="P524" s="206">
        <f t="shared" ref="P524:P534" si="260">SUM(J524:N524)</f>
        <v>140</v>
      </c>
      <c r="Q524" s="206" t="str">
        <f t="shared" ref="Q524:Q534" si="261">IF(E524=J524,"TT",IF(E524&gt;J524,"HW","HL"))</f>
        <v>HL</v>
      </c>
      <c r="R524" s="206" t="str">
        <f t="shared" ref="R524:R534" si="262">IF(F524=K524,"TT",IF(F524&gt;K524,"HW","HL"))</f>
        <v>HW</v>
      </c>
      <c r="S524" s="206" t="str">
        <f t="shared" ref="S524:S534" si="263">IF(G524=L524,"TT",IF(G524&gt;L524,"HW","HL"))</f>
        <v>HL</v>
      </c>
      <c r="T524" s="206" t="str">
        <f t="shared" ref="T524:T534" si="264">IF(H524=M524,"TT",IF(H524&gt;M524,"HW","HL"))</f>
        <v>HL</v>
      </c>
      <c r="U524" s="206" t="str">
        <f t="shared" ref="U524:U534" si="265">IF(SUM(E524,J524)=$Z524,"T",IF(SUM(E524,J524)&gt;$Z524,"O","U"))</f>
        <v>O</v>
      </c>
      <c r="V524" s="206" t="str">
        <f t="shared" ref="V524:V534" si="266">IF(SUM(F524,K524)=$Z524,"T",IF(SUM(F524,K524)&gt;$Z524,"O","U"))</f>
        <v>U</v>
      </c>
      <c r="W524" s="206" t="str">
        <f t="shared" ref="W524:W534" si="267">IF(SUM(G524,L524)=$Z524,"T",IF(SUM(G524,L524)&gt;$Z524,"O","U"))</f>
        <v>O</v>
      </c>
      <c r="X524" s="206" t="str">
        <f t="shared" ref="X524:X534" si="268">IF(SUM(H524,M524)=$Z524,"T",IF(SUM(H524,M524)&gt;$Z524,"O","U"))</f>
        <v>O</v>
      </c>
      <c r="Y524" s="206"/>
      <c r="Z524" s="206">
        <v>56</v>
      </c>
      <c r="AA524" s="206"/>
      <c r="AB524" s="206" t="str">
        <f t="shared" ref="AB524:AB587" si="269">C524&amp;"/"&amp;D524</f>
        <v>LAC/MEM</v>
      </c>
      <c r="AC524" s="206">
        <f t="shared" ref="AC524:AC534" si="270">COUNTIF(U524:X524,"o")</f>
        <v>3</v>
      </c>
      <c r="AD524" s="206">
        <f t="shared" ref="AD524:AD534" si="271">COUNTIF(U524:X524,"u")</f>
        <v>1</v>
      </c>
    </row>
    <row r="525" spans="1:30" x14ac:dyDescent="0.45">
      <c r="A525" s="193">
        <v>200105</v>
      </c>
      <c r="B525" s="194">
        <v>0.33333333333333331</v>
      </c>
      <c r="C525" s="193" t="s">
        <v>407</v>
      </c>
      <c r="D525" s="193" t="s">
        <v>413</v>
      </c>
      <c r="E525" s="206">
        <v>33</v>
      </c>
      <c r="F525" s="206">
        <v>19</v>
      </c>
      <c r="G525" s="206">
        <v>28</v>
      </c>
      <c r="H525" s="206">
        <v>22</v>
      </c>
      <c r="I525" s="206"/>
      <c r="J525" s="206">
        <v>24</v>
      </c>
      <c r="K525" s="206">
        <v>24</v>
      </c>
      <c r="L525" s="206">
        <v>35</v>
      </c>
      <c r="M525" s="206">
        <v>38</v>
      </c>
      <c r="N525" s="206" t="s">
        <v>427</v>
      </c>
      <c r="O525" s="206">
        <f t="shared" si="259"/>
        <v>102</v>
      </c>
      <c r="P525" s="206">
        <f t="shared" si="260"/>
        <v>121</v>
      </c>
      <c r="Q525" s="206" t="str">
        <f t="shared" si="261"/>
        <v>HW</v>
      </c>
      <c r="R525" s="206" t="str">
        <f t="shared" si="262"/>
        <v>HL</v>
      </c>
      <c r="S525" s="206" t="str">
        <f t="shared" si="263"/>
        <v>HL</v>
      </c>
      <c r="T525" s="206" t="str">
        <f t="shared" si="264"/>
        <v>HL</v>
      </c>
      <c r="U525" s="206" t="str">
        <f t="shared" si="265"/>
        <v>O</v>
      </c>
      <c r="V525" s="206" t="str">
        <f t="shared" si="266"/>
        <v>U</v>
      </c>
      <c r="W525" s="206" t="str">
        <f t="shared" si="267"/>
        <v>O</v>
      </c>
      <c r="X525" s="206" t="str">
        <f t="shared" si="268"/>
        <v>O</v>
      </c>
      <c r="Y525" s="206"/>
      <c r="Z525" s="206">
        <v>55</v>
      </c>
      <c r="AA525" s="206"/>
      <c r="AB525" s="206" t="str">
        <f t="shared" si="269"/>
        <v>BKN/TOR</v>
      </c>
      <c r="AC525" s="206">
        <f t="shared" si="270"/>
        <v>3</v>
      </c>
      <c r="AD525" s="206">
        <f t="shared" si="271"/>
        <v>1</v>
      </c>
    </row>
    <row r="526" spans="1:30" x14ac:dyDescent="0.45">
      <c r="A526" s="193">
        <v>200105</v>
      </c>
      <c r="B526" s="194">
        <v>0.375</v>
      </c>
      <c r="C526" s="193" t="s">
        <v>431</v>
      </c>
      <c r="D526" s="193" t="s">
        <v>405</v>
      </c>
      <c r="E526" s="206">
        <v>25</v>
      </c>
      <c r="F526" s="206">
        <v>22</v>
      </c>
      <c r="G526" s="206">
        <v>28</v>
      </c>
      <c r="H526" s="206">
        <v>21</v>
      </c>
      <c r="I526" s="206"/>
      <c r="J526" s="206">
        <v>33</v>
      </c>
      <c r="K526" s="206">
        <v>19</v>
      </c>
      <c r="L526" s="206">
        <v>24</v>
      </c>
      <c r="M526" s="206">
        <v>33</v>
      </c>
      <c r="N526" s="206" t="s">
        <v>427</v>
      </c>
      <c r="O526" s="206">
        <f t="shared" si="259"/>
        <v>96</v>
      </c>
      <c r="P526" s="206">
        <f t="shared" si="260"/>
        <v>109</v>
      </c>
      <c r="Q526" s="206" t="str">
        <f t="shared" si="261"/>
        <v>HL</v>
      </c>
      <c r="R526" s="206" t="str">
        <f t="shared" si="262"/>
        <v>HW</v>
      </c>
      <c r="S526" s="206" t="str">
        <f t="shared" si="263"/>
        <v>HW</v>
      </c>
      <c r="T526" s="206" t="str">
        <f t="shared" si="264"/>
        <v>HL</v>
      </c>
      <c r="U526" s="206" t="str">
        <f t="shared" si="265"/>
        <v>O</v>
      </c>
      <c r="V526" s="206" t="str">
        <f t="shared" si="266"/>
        <v>U</v>
      </c>
      <c r="W526" s="206" t="str">
        <f t="shared" si="267"/>
        <v>O</v>
      </c>
      <c r="X526" s="206" t="str">
        <f t="shared" si="268"/>
        <v>O</v>
      </c>
      <c r="Y526" s="206"/>
      <c r="Z526" s="206">
        <v>50.5</v>
      </c>
      <c r="AA526" s="206"/>
      <c r="AB526" s="206" t="str">
        <f t="shared" si="269"/>
        <v>ORL/UTA</v>
      </c>
      <c r="AC526" s="206">
        <f t="shared" si="270"/>
        <v>3</v>
      </c>
      <c r="AD526" s="206">
        <f t="shared" si="271"/>
        <v>1</v>
      </c>
    </row>
    <row r="527" spans="1:30" x14ac:dyDescent="0.45">
      <c r="A527" s="193">
        <v>200105</v>
      </c>
      <c r="B527" s="194">
        <v>0.39583333333333331</v>
      </c>
      <c r="C527" s="193" t="s">
        <v>410</v>
      </c>
      <c r="D527" s="193" t="s">
        <v>400</v>
      </c>
      <c r="E527" s="206">
        <v>43</v>
      </c>
      <c r="F527" s="206">
        <v>21</v>
      </c>
      <c r="G527" s="206">
        <v>32</v>
      </c>
      <c r="H527" s="206">
        <v>20</v>
      </c>
      <c r="I527" s="206"/>
      <c r="J527" s="206">
        <v>26</v>
      </c>
      <c r="K527" s="206">
        <v>34</v>
      </c>
      <c r="L527" s="206">
        <v>35</v>
      </c>
      <c r="M527" s="206">
        <v>16</v>
      </c>
      <c r="N527" s="206" t="s">
        <v>427</v>
      </c>
      <c r="O527" s="206">
        <f t="shared" si="259"/>
        <v>116</v>
      </c>
      <c r="P527" s="206">
        <f t="shared" si="260"/>
        <v>111</v>
      </c>
      <c r="Q527" s="206" t="str">
        <f t="shared" si="261"/>
        <v>HW</v>
      </c>
      <c r="R527" s="206" t="str">
        <f t="shared" si="262"/>
        <v>HL</v>
      </c>
      <c r="S527" s="206" t="str">
        <f t="shared" si="263"/>
        <v>HL</v>
      </c>
      <c r="T527" s="206" t="str">
        <f t="shared" si="264"/>
        <v>HW</v>
      </c>
      <c r="U527" s="206" t="str">
        <f t="shared" si="265"/>
        <v>O</v>
      </c>
      <c r="V527" s="206" t="str">
        <f t="shared" si="266"/>
        <v>U</v>
      </c>
      <c r="W527" s="206" t="str">
        <f t="shared" si="267"/>
        <v>O</v>
      </c>
      <c r="X527" s="206" t="str">
        <f t="shared" si="268"/>
        <v>U</v>
      </c>
      <c r="Y527" s="206"/>
      <c r="Z527" s="206">
        <v>56.5</v>
      </c>
      <c r="AA527" s="206"/>
      <c r="AB527" s="206" t="str">
        <f t="shared" si="269"/>
        <v>ATL/IND</v>
      </c>
      <c r="AC527" s="206">
        <f t="shared" si="270"/>
        <v>2</v>
      </c>
      <c r="AD527" s="206">
        <f t="shared" si="271"/>
        <v>2</v>
      </c>
    </row>
    <row r="528" spans="1:30" x14ac:dyDescent="0.45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206">
        <v>27</v>
      </c>
      <c r="F528" s="206">
        <v>26</v>
      </c>
      <c r="G528" s="206">
        <v>26</v>
      </c>
      <c r="H528" s="206">
        <v>27</v>
      </c>
      <c r="I528" s="206"/>
      <c r="J528" s="206">
        <v>34</v>
      </c>
      <c r="K528" s="206">
        <v>32</v>
      </c>
      <c r="L528" s="206">
        <v>25</v>
      </c>
      <c r="M528" s="206">
        <v>30</v>
      </c>
      <c r="N528" s="206" t="s">
        <v>427</v>
      </c>
      <c r="O528" s="206">
        <f t="shared" si="259"/>
        <v>106</v>
      </c>
      <c r="P528" s="206">
        <f t="shared" si="260"/>
        <v>121</v>
      </c>
      <c r="Q528" s="206" t="str">
        <f t="shared" si="261"/>
        <v>HL</v>
      </c>
      <c r="R528" s="206" t="str">
        <f t="shared" si="262"/>
        <v>HL</v>
      </c>
      <c r="S528" s="206" t="str">
        <f t="shared" si="263"/>
        <v>HW</v>
      </c>
      <c r="T528" s="206" t="str">
        <f t="shared" si="264"/>
        <v>HL</v>
      </c>
      <c r="U528" s="206" t="str">
        <f t="shared" si="265"/>
        <v>O</v>
      </c>
      <c r="V528" s="206" t="str">
        <f t="shared" si="266"/>
        <v>O</v>
      </c>
      <c r="W528" s="206" t="str">
        <f t="shared" si="267"/>
        <v>U</v>
      </c>
      <c r="X528" s="206" t="str">
        <f t="shared" si="268"/>
        <v>O</v>
      </c>
      <c r="Y528" s="206"/>
      <c r="Z528" s="206">
        <v>55</v>
      </c>
      <c r="AA528" s="206"/>
      <c r="AB528" s="206" t="str">
        <f t="shared" si="269"/>
        <v>CLE/OKC</v>
      </c>
      <c r="AC528" s="206">
        <f t="shared" si="270"/>
        <v>3</v>
      </c>
      <c r="AD528" s="206">
        <f t="shared" si="271"/>
        <v>1</v>
      </c>
    </row>
    <row r="529" spans="1:30" x14ac:dyDescent="0.45">
      <c r="A529" s="193">
        <v>200105</v>
      </c>
      <c r="B529" s="194">
        <v>0.41666666666666669</v>
      </c>
      <c r="C529" s="193" t="s">
        <v>432</v>
      </c>
      <c r="D529" s="193" t="s">
        <v>421</v>
      </c>
      <c r="E529" s="206">
        <v>28</v>
      </c>
      <c r="F529" s="206">
        <v>24</v>
      </c>
      <c r="G529" s="206">
        <v>21</v>
      </c>
      <c r="H529" s="206">
        <v>31</v>
      </c>
      <c r="I529" s="206"/>
      <c r="J529" s="206">
        <v>30</v>
      </c>
      <c r="K529" s="206">
        <v>25</v>
      </c>
      <c r="L529" s="206">
        <v>30</v>
      </c>
      <c r="M529" s="206">
        <v>26</v>
      </c>
      <c r="N529" s="206" t="s">
        <v>427</v>
      </c>
      <c r="O529" s="206">
        <f t="shared" si="259"/>
        <v>104</v>
      </c>
      <c r="P529" s="206">
        <f t="shared" si="260"/>
        <v>111</v>
      </c>
      <c r="Q529" s="206" t="str">
        <f t="shared" si="261"/>
        <v>HL</v>
      </c>
      <c r="R529" s="206" t="str">
        <f t="shared" si="262"/>
        <v>HL</v>
      </c>
      <c r="S529" s="206" t="str">
        <f t="shared" si="263"/>
        <v>HL</v>
      </c>
      <c r="T529" s="206" t="str">
        <f t="shared" si="264"/>
        <v>HW</v>
      </c>
      <c r="U529" s="206" t="str">
        <f t="shared" si="265"/>
        <v>O</v>
      </c>
      <c r="V529" s="206" t="str">
        <f t="shared" si="266"/>
        <v>U</v>
      </c>
      <c r="W529" s="206" t="str">
        <f t="shared" si="267"/>
        <v>T</v>
      </c>
      <c r="X529" s="206" t="str">
        <f t="shared" si="268"/>
        <v>O</v>
      </c>
      <c r="Y529" s="206"/>
      <c r="Z529" s="206">
        <v>51</v>
      </c>
      <c r="AA529" s="206"/>
      <c r="AB529" s="206" t="str">
        <f t="shared" si="269"/>
        <v>CHI/BOS</v>
      </c>
      <c r="AC529" s="206">
        <f t="shared" si="270"/>
        <v>2</v>
      </c>
      <c r="AD529" s="206">
        <f t="shared" si="271"/>
        <v>1</v>
      </c>
    </row>
    <row r="530" spans="1:30" x14ac:dyDescent="0.45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6">
        <v>31</v>
      </c>
      <c r="F530" s="206">
        <v>30</v>
      </c>
      <c r="G530" s="206">
        <v>34</v>
      </c>
      <c r="H530" s="206">
        <v>33</v>
      </c>
      <c r="I530" s="206"/>
      <c r="J530" s="206">
        <v>19</v>
      </c>
      <c r="K530" s="206">
        <v>36</v>
      </c>
      <c r="L530" s="206">
        <v>35</v>
      </c>
      <c r="M530" s="206">
        <v>24</v>
      </c>
      <c r="N530" s="206" t="s">
        <v>427</v>
      </c>
      <c r="O530" s="206">
        <f t="shared" si="259"/>
        <v>128</v>
      </c>
      <c r="P530" s="206">
        <f t="shared" si="260"/>
        <v>114</v>
      </c>
      <c r="Q530" s="206" t="str">
        <f t="shared" si="261"/>
        <v>HW</v>
      </c>
      <c r="R530" s="206" t="str">
        <f t="shared" si="262"/>
        <v>HL</v>
      </c>
      <c r="S530" s="206" t="str">
        <f t="shared" si="263"/>
        <v>HL</v>
      </c>
      <c r="T530" s="206" t="str">
        <f t="shared" si="264"/>
        <v>HW</v>
      </c>
      <c r="U530" s="206" t="str">
        <f t="shared" si="265"/>
        <v>U</v>
      </c>
      <c r="V530" s="206" t="str">
        <f t="shared" si="266"/>
        <v>O</v>
      </c>
      <c r="W530" s="206" t="str">
        <f t="shared" si="267"/>
        <v>O</v>
      </c>
      <c r="X530" s="206" t="str">
        <f t="shared" si="268"/>
        <v>T</v>
      </c>
      <c r="Y530" s="206"/>
      <c r="Z530" s="206">
        <v>57</v>
      </c>
      <c r="AA530" s="206"/>
      <c r="AB530" s="206" t="str">
        <f t="shared" si="269"/>
        <v>WAS/DEN</v>
      </c>
      <c r="AC530" s="206">
        <f t="shared" si="270"/>
        <v>2</v>
      </c>
      <c r="AD530" s="206">
        <f t="shared" si="271"/>
        <v>1</v>
      </c>
    </row>
    <row r="531" spans="1:30" x14ac:dyDescent="0.45">
      <c r="A531" s="193">
        <v>200105</v>
      </c>
      <c r="B531" s="194">
        <v>0.4375</v>
      </c>
      <c r="C531" s="193" t="s">
        <v>434</v>
      </c>
      <c r="D531" s="193" t="s">
        <v>409</v>
      </c>
      <c r="E531" s="206">
        <v>20</v>
      </c>
      <c r="F531" s="206">
        <v>24</v>
      </c>
      <c r="G531" s="206">
        <v>40</v>
      </c>
      <c r="H531" s="206">
        <v>19</v>
      </c>
      <c r="I531" s="206">
        <v>17</v>
      </c>
      <c r="J531" s="206">
        <v>32</v>
      </c>
      <c r="K531" s="206">
        <v>25</v>
      </c>
      <c r="L531" s="206">
        <v>23</v>
      </c>
      <c r="M531" s="206">
        <v>23</v>
      </c>
      <c r="N531" s="206">
        <v>20</v>
      </c>
      <c r="O531" s="206">
        <f t="shared" si="259"/>
        <v>120</v>
      </c>
      <c r="P531" s="206">
        <f t="shared" si="260"/>
        <v>123</v>
      </c>
      <c r="Q531" s="206" t="str">
        <f t="shared" si="261"/>
        <v>HL</v>
      </c>
      <c r="R531" s="206" t="str">
        <f t="shared" si="262"/>
        <v>HL</v>
      </c>
      <c r="S531" s="206" t="str">
        <f t="shared" si="263"/>
        <v>HW</v>
      </c>
      <c r="T531" s="206" t="str">
        <f t="shared" si="264"/>
        <v>HL</v>
      </c>
      <c r="U531" s="206" t="str">
        <f t="shared" si="265"/>
        <v>U</v>
      </c>
      <c r="V531" s="206" t="str">
        <f t="shared" si="266"/>
        <v>U</v>
      </c>
      <c r="W531" s="206" t="str">
        <f t="shared" si="267"/>
        <v>O</v>
      </c>
      <c r="X531" s="206" t="str">
        <f t="shared" si="268"/>
        <v>U</v>
      </c>
      <c r="Y531" s="206"/>
      <c r="Z531" s="206">
        <v>55.5</v>
      </c>
      <c r="AA531" s="206"/>
      <c r="AB531" s="206" t="str">
        <f t="shared" si="269"/>
        <v>DAL/CHA</v>
      </c>
      <c r="AC531" s="206">
        <f t="shared" si="270"/>
        <v>1</v>
      </c>
      <c r="AD531" s="206">
        <f t="shared" si="271"/>
        <v>3</v>
      </c>
    </row>
    <row r="532" spans="1:30" x14ac:dyDescent="0.45">
      <c r="A532" s="193">
        <v>200105</v>
      </c>
      <c r="B532" s="194">
        <v>0.4375</v>
      </c>
      <c r="C532" s="193" t="s">
        <v>425</v>
      </c>
      <c r="D532" s="193" t="s">
        <v>422</v>
      </c>
      <c r="E532" s="206">
        <v>23</v>
      </c>
      <c r="F532" s="206">
        <v>36</v>
      </c>
      <c r="G532" s="206">
        <v>21</v>
      </c>
      <c r="H532" s="206">
        <v>24</v>
      </c>
      <c r="I532" s="206"/>
      <c r="J532" s="206">
        <v>25</v>
      </c>
      <c r="K532" s="206">
        <v>31</v>
      </c>
      <c r="L532" s="206">
        <v>27</v>
      </c>
      <c r="M532" s="206">
        <v>28</v>
      </c>
      <c r="N532" s="206" t="s">
        <v>427</v>
      </c>
      <c r="O532" s="206">
        <f t="shared" si="259"/>
        <v>104</v>
      </c>
      <c r="P532" s="206">
        <f t="shared" si="260"/>
        <v>111</v>
      </c>
      <c r="Q532" s="206" t="str">
        <f t="shared" si="261"/>
        <v>HL</v>
      </c>
      <c r="R532" s="206" t="str">
        <f t="shared" si="262"/>
        <v>HW</v>
      </c>
      <c r="S532" s="206" t="str">
        <f t="shared" si="263"/>
        <v>HL</v>
      </c>
      <c r="T532" s="206" t="str">
        <f t="shared" si="264"/>
        <v>HL</v>
      </c>
      <c r="U532" s="206" t="str">
        <f t="shared" si="265"/>
        <v>U</v>
      </c>
      <c r="V532" s="206" t="str">
        <f t="shared" si="266"/>
        <v>O</v>
      </c>
      <c r="W532" s="206" t="str">
        <f t="shared" si="267"/>
        <v>U</v>
      </c>
      <c r="X532" s="206" t="str">
        <f t="shared" si="268"/>
        <v>U</v>
      </c>
      <c r="Y532" s="206"/>
      <c r="Z532" s="206">
        <v>55</v>
      </c>
      <c r="AA532" s="206"/>
      <c r="AB532" s="206" t="str">
        <f t="shared" si="269"/>
        <v>GS/DET</v>
      </c>
      <c r="AC532" s="206">
        <f t="shared" si="270"/>
        <v>1</v>
      </c>
      <c r="AD532" s="206">
        <f t="shared" si="271"/>
        <v>3</v>
      </c>
    </row>
    <row r="533" spans="1:30" x14ac:dyDescent="0.45">
      <c r="A533" s="193">
        <v>200105</v>
      </c>
      <c r="B533" s="194">
        <v>0.4375</v>
      </c>
      <c r="C533" s="193" t="s">
        <v>423</v>
      </c>
      <c r="D533" s="193" t="s">
        <v>426</v>
      </c>
      <c r="E533" s="206">
        <v>29</v>
      </c>
      <c r="F533" s="206">
        <v>42</v>
      </c>
      <c r="G533" s="206">
        <v>32</v>
      </c>
      <c r="H533" s="206">
        <v>24</v>
      </c>
      <c r="I533" s="206"/>
      <c r="J533" s="206">
        <v>31</v>
      </c>
      <c r="K533" s="206">
        <v>35</v>
      </c>
      <c r="L533" s="206">
        <v>25</v>
      </c>
      <c r="M533" s="206">
        <v>27</v>
      </c>
      <c r="N533" s="206" t="s">
        <v>427</v>
      </c>
      <c r="O533" s="206">
        <f t="shared" si="259"/>
        <v>127</v>
      </c>
      <c r="P533" s="206">
        <f t="shared" si="260"/>
        <v>118</v>
      </c>
      <c r="Q533" s="206" t="str">
        <f t="shared" si="261"/>
        <v>HL</v>
      </c>
      <c r="R533" s="206" t="str">
        <f t="shared" si="262"/>
        <v>HW</v>
      </c>
      <c r="S533" s="206" t="str">
        <f t="shared" si="263"/>
        <v>HW</v>
      </c>
      <c r="T533" s="206" t="str">
        <f t="shared" si="264"/>
        <v>HL</v>
      </c>
      <c r="U533" s="206" t="str">
        <f t="shared" si="265"/>
        <v>O</v>
      </c>
      <c r="V533" s="206" t="str">
        <f t="shared" si="266"/>
        <v>O</v>
      </c>
      <c r="W533" s="206" t="str">
        <f t="shared" si="267"/>
        <v>O</v>
      </c>
      <c r="X533" s="206" t="str">
        <f t="shared" si="268"/>
        <v>U</v>
      </c>
      <c r="Y533" s="206"/>
      <c r="Z533" s="206">
        <v>56</v>
      </c>
      <c r="AA533" s="206"/>
      <c r="AB533" s="206" t="str">
        <f t="shared" si="269"/>
        <v>MIL/SAS</v>
      </c>
      <c r="AC533" s="206">
        <f t="shared" si="270"/>
        <v>3</v>
      </c>
      <c r="AD533" s="206">
        <f t="shared" si="271"/>
        <v>1</v>
      </c>
    </row>
    <row r="534" spans="1:30" x14ac:dyDescent="0.45">
      <c r="A534" s="193">
        <v>200105</v>
      </c>
      <c r="B534" s="194">
        <v>0.5</v>
      </c>
      <c r="C534" s="193" t="s">
        <v>416</v>
      </c>
      <c r="D534" s="193" t="s">
        <v>398</v>
      </c>
      <c r="E534" s="206">
        <v>26</v>
      </c>
      <c r="F534" s="206">
        <v>22</v>
      </c>
      <c r="G534" s="206">
        <v>32</v>
      </c>
      <c r="H534" s="206">
        <v>35</v>
      </c>
      <c r="I534" s="206"/>
      <c r="J534" s="206">
        <v>25</v>
      </c>
      <c r="K534" s="206">
        <v>27</v>
      </c>
      <c r="L534" s="206">
        <v>24</v>
      </c>
      <c r="M534" s="206">
        <v>41</v>
      </c>
      <c r="N534" s="206" t="s">
        <v>427</v>
      </c>
      <c r="O534" s="206">
        <f t="shared" si="259"/>
        <v>115</v>
      </c>
      <c r="P534" s="206">
        <f t="shared" si="260"/>
        <v>117</v>
      </c>
      <c r="Q534" s="206" t="str">
        <f t="shared" si="261"/>
        <v>HW</v>
      </c>
      <c r="R534" s="206" t="str">
        <f t="shared" si="262"/>
        <v>HL</v>
      </c>
      <c r="S534" s="206" t="str">
        <f t="shared" si="263"/>
        <v>HW</v>
      </c>
      <c r="T534" s="206" t="str">
        <f t="shared" si="264"/>
        <v>HL</v>
      </c>
      <c r="U534" s="206" t="str">
        <f t="shared" si="265"/>
        <v>U</v>
      </c>
      <c r="V534" s="206" t="str">
        <f t="shared" si="266"/>
        <v>U</v>
      </c>
      <c r="W534" s="206" t="str">
        <f t="shared" si="267"/>
        <v>U</v>
      </c>
      <c r="X534" s="206" t="str">
        <f t="shared" si="268"/>
        <v>O</v>
      </c>
      <c r="Y534" s="206"/>
      <c r="Z534" s="206">
        <v>58</v>
      </c>
      <c r="AA534" s="206"/>
      <c r="AB534" s="206" t="str">
        <f t="shared" si="269"/>
        <v>SAC/NO</v>
      </c>
      <c r="AC534" s="206">
        <f t="shared" si="270"/>
        <v>1</v>
      </c>
      <c r="AD534" s="206">
        <f t="shared" si="271"/>
        <v>3</v>
      </c>
    </row>
    <row r="535" spans="1:30" x14ac:dyDescent="0.45">
      <c r="A535" s="206">
        <v>200106</v>
      </c>
      <c r="B535" s="207">
        <v>0.22916666666666666</v>
      </c>
      <c r="C535" s="206" t="s">
        <v>415</v>
      </c>
      <c r="D535" s="206" t="s">
        <v>399</v>
      </c>
      <c r="E535" s="3">
        <v>29</v>
      </c>
      <c r="F535" s="3">
        <v>47</v>
      </c>
      <c r="G535" s="3">
        <v>38</v>
      </c>
      <c r="H535" s="3">
        <v>21</v>
      </c>
      <c r="J535" s="3">
        <v>45</v>
      </c>
      <c r="K535" s="3">
        <v>24</v>
      </c>
      <c r="L535" s="3">
        <v>31</v>
      </c>
      <c r="M535" s="3">
        <v>32</v>
      </c>
      <c r="N535" s="3" t="s">
        <v>427</v>
      </c>
      <c r="O535" s="206">
        <f t="shared" ref="O535:O598" si="272">SUM(E535:I535)</f>
        <v>135</v>
      </c>
      <c r="P535" s="206">
        <f t="shared" ref="P535:P598" si="273">SUM(J535:N535)</f>
        <v>132</v>
      </c>
      <c r="Q535" s="206" t="str">
        <f t="shared" ref="Q535:Q598" si="274">IF(E535=J535,"TT",IF(E535&gt;J535,"HW","HL"))</f>
        <v>HL</v>
      </c>
      <c r="R535" s="206" t="str">
        <f t="shared" ref="R535:R598" si="275">IF(F535=K535,"TT",IF(F535&gt;K535,"HW","HL"))</f>
        <v>HW</v>
      </c>
      <c r="S535" s="206" t="str">
        <f t="shared" ref="S535:S598" si="276">IF(G535=L535,"TT",IF(G535&gt;L535,"HW","HL"))</f>
        <v>HW</v>
      </c>
      <c r="T535" s="206" t="str">
        <f t="shared" ref="T535:T598" si="277">IF(H535=M535,"TT",IF(H535&gt;M535,"HW","HL"))</f>
        <v>HL</v>
      </c>
      <c r="U535" s="206" t="str">
        <f t="shared" ref="U535:U598" si="278">IF(SUM(E535,J535)=$Z535,"T",IF(SUM(E535,J535)&gt;$Z535,"O","U"))</f>
        <v>O</v>
      </c>
      <c r="V535" s="206" t="str">
        <f t="shared" ref="V535:V598" si="279">IF(SUM(F535,K535)=$Z535,"T",IF(SUM(F535,K535)&gt;$Z535,"O","U"))</f>
        <v>O</v>
      </c>
      <c r="W535" s="206" t="str">
        <f t="shared" ref="W535:W598" si="280">IF(SUM(G535,L535)=$Z535,"T",IF(SUM(G535,L535)&gt;$Z535,"O","U"))</f>
        <v>O</v>
      </c>
      <c r="X535" s="206" t="str">
        <f t="shared" ref="X535:X598" si="281">IF(SUM(H535,M535)=$Z535,"T",IF(SUM(H535,M535)&gt;$Z535,"O","U"))</f>
        <v>U</v>
      </c>
      <c r="Y535" s="206"/>
      <c r="Z535" s="206">
        <v>57</v>
      </c>
      <c r="AB535" s="206" t="str">
        <f t="shared" si="269"/>
        <v>LAC/NYK</v>
      </c>
      <c r="AC535" s="206">
        <f t="shared" ref="AC535:AC598" si="282">COUNTIF(U535:X535,"o")</f>
        <v>3</v>
      </c>
      <c r="AD535" s="206">
        <f t="shared" ref="AD535:AD598" si="283">COUNTIF(U535:X535,"u")</f>
        <v>1</v>
      </c>
    </row>
    <row r="536" spans="1:30" x14ac:dyDescent="0.45">
      <c r="A536" s="206">
        <v>200106</v>
      </c>
      <c r="B536" s="207">
        <v>0.33333333333333331</v>
      </c>
      <c r="C536" s="206" t="s">
        <v>411</v>
      </c>
      <c r="D536" s="206" t="s">
        <v>417</v>
      </c>
      <c r="E536" s="3">
        <v>31</v>
      </c>
      <c r="F536" s="3">
        <v>34</v>
      </c>
      <c r="G536" s="3">
        <v>29</v>
      </c>
      <c r="H536" s="3">
        <v>28</v>
      </c>
      <c r="J536" s="3">
        <v>19</v>
      </c>
      <c r="K536" s="3">
        <v>27</v>
      </c>
      <c r="L536" s="3">
        <v>35</v>
      </c>
      <c r="M536" s="3">
        <v>30</v>
      </c>
      <c r="N536" s="3" t="s">
        <v>427</v>
      </c>
      <c r="O536" s="206">
        <f t="shared" si="272"/>
        <v>122</v>
      </c>
      <c r="P536" s="206">
        <f t="shared" si="273"/>
        <v>111</v>
      </c>
      <c r="Q536" s="206" t="str">
        <f t="shared" si="274"/>
        <v>HW</v>
      </c>
      <c r="R536" s="206" t="str">
        <f t="shared" si="275"/>
        <v>HW</v>
      </c>
      <c r="S536" s="206" t="str">
        <f t="shared" si="276"/>
        <v>HL</v>
      </c>
      <c r="T536" s="206" t="str">
        <f t="shared" si="277"/>
        <v>HL</v>
      </c>
      <c r="U536" s="206" t="str">
        <f t="shared" si="278"/>
        <v>U</v>
      </c>
      <c r="V536" s="206" t="str">
        <f t="shared" si="279"/>
        <v>O</v>
      </c>
      <c r="W536" s="206" t="str">
        <f t="shared" si="280"/>
        <v>O</v>
      </c>
      <c r="X536" s="206" t="str">
        <f t="shared" si="281"/>
        <v>O</v>
      </c>
      <c r="Y536" s="206"/>
      <c r="Z536" s="206">
        <v>55.5</v>
      </c>
      <c r="AB536" s="206" t="str">
        <f t="shared" si="269"/>
        <v>MIA/POR</v>
      </c>
      <c r="AC536" s="206">
        <f t="shared" si="282"/>
        <v>3</v>
      </c>
      <c r="AD536" s="206">
        <f t="shared" si="283"/>
        <v>1</v>
      </c>
    </row>
    <row r="537" spans="1:30" x14ac:dyDescent="0.45">
      <c r="A537" s="206">
        <v>200106</v>
      </c>
      <c r="B537" s="207">
        <v>0.39583333333333331</v>
      </c>
      <c r="C537" s="206" t="s">
        <v>402</v>
      </c>
      <c r="D537" s="206" t="s">
        <v>420</v>
      </c>
      <c r="E537" s="3">
        <v>20</v>
      </c>
      <c r="F537" s="3">
        <v>28</v>
      </c>
      <c r="G537" s="3">
        <v>31</v>
      </c>
      <c r="H537" s="3">
        <v>24</v>
      </c>
      <c r="J537" s="3">
        <v>24</v>
      </c>
      <c r="K537" s="3">
        <v>42</v>
      </c>
      <c r="L537" s="3">
        <v>28</v>
      </c>
      <c r="M537" s="3">
        <v>24</v>
      </c>
      <c r="N537" s="3" t="s">
        <v>427</v>
      </c>
      <c r="O537" s="206">
        <f t="shared" si="272"/>
        <v>103</v>
      </c>
      <c r="P537" s="206">
        <f t="shared" si="273"/>
        <v>118</v>
      </c>
      <c r="Q537" s="206" t="str">
        <f t="shared" si="274"/>
        <v>HL</v>
      </c>
      <c r="R537" s="206" t="str">
        <f t="shared" si="275"/>
        <v>HL</v>
      </c>
      <c r="S537" s="206" t="str">
        <f t="shared" si="276"/>
        <v>HW</v>
      </c>
      <c r="T537" s="206" t="str">
        <f t="shared" si="277"/>
        <v>TT</v>
      </c>
      <c r="U537" s="206" t="str">
        <f t="shared" si="278"/>
        <v>U</v>
      </c>
      <c r="V537" s="206" t="str">
        <f t="shared" si="279"/>
        <v>O</v>
      </c>
      <c r="W537" s="206" t="str">
        <f t="shared" si="280"/>
        <v>O</v>
      </c>
      <c r="X537" s="206" t="str">
        <f t="shared" si="281"/>
        <v>U</v>
      </c>
      <c r="Y537" s="206"/>
      <c r="Z537" s="206">
        <v>55.5</v>
      </c>
      <c r="AB537" s="206" t="str">
        <f t="shared" si="269"/>
        <v>CLE/MIN</v>
      </c>
      <c r="AC537" s="206">
        <f t="shared" si="282"/>
        <v>2</v>
      </c>
      <c r="AD537" s="206">
        <f t="shared" si="283"/>
        <v>2</v>
      </c>
    </row>
    <row r="538" spans="1:30" x14ac:dyDescent="0.45">
      <c r="A538" s="206">
        <v>200106</v>
      </c>
      <c r="B538" s="207">
        <v>0.41666666666666669</v>
      </c>
      <c r="C538" s="206" t="s">
        <v>435</v>
      </c>
      <c r="D538" s="206" t="s">
        <v>406</v>
      </c>
      <c r="E538" s="3">
        <v>31</v>
      </c>
      <c r="F538" s="3">
        <v>26</v>
      </c>
      <c r="G538" s="3">
        <v>20</v>
      </c>
      <c r="H538" s="3">
        <v>37</v>
      </c>
      <c r="J538" s="3">
        <v>27</v>
      </c>
      <c r="K538" s="3">
        <v>35</v>
      </c>
      <c r="L538" s="3">
        <v>34</v>
      </c>
      <c r="M538" s="3">
        <v>25</v>
      </c>
      <c r="N538" s="3" t="s">
        <v>427</v>
      </c>
      <c r="O538" s="206">
        <f t="shared" si="272"/>
        <v>114</v>
      </c>
      <c r="P538" s="206">
        <f t="shared" si="273"/>
        <v>121</v>
      </c>
      <c r="Q538" s="206" t="str">
        <f t="shared" si="274"/>
        <v>HW</v>
      </c>
      <c r="R538" s="206" t="str">
        <f t="shared" si="275"/>
        <v>HL</v>
      </c>
      <c r="S538" s="206" t="str">
        <f t="shared" si="276"/>
        <v>HL</v>
      </c>
      <c r="T538" s="206" t="str">
        <f t="shared" si="277"/>
        <v>HW</v>
      </c>
      <c r="U538" s="206" t="str">
        <f t="shared" si="278"/>
        <v>O</v>
      </c>
      <c r="V538" s="206" t="str">
        <f t="shared" si="279"/>
        <v>O</v>
      </c>
      <c r="W538" s="206" t="str">
        <f t="shared" si="280"/>
        <v>U</v>
      </c>
      <c r="X538" s="206" t="str">
        <f t="shared" si="281"/>
        <v>O</v>
      </c>
      <c r="Y538" s="206"/>
      <c r="Z538" s="206">
        <v>57.5</v>
      </c>
      <c r="AB538" s="206" t="str">
        <f t="shared" si="269"/>
        <v>PHO/MEM</v>
      </c>
      <c r="AC538" s="206">
        <f t="shared" si="282"/>
        <v>3</v>
      </c>
      <c r="AD538" s="206">
        <f t="shared" si="283"/>
        <v>1</v>
      </c>
    </row>
    <row r="539" spans="1:30" x14ac:dyDescent="0.45">
      <c r="A539" s="206">
        <v>200106</v>
      </c>
      <c r="B539" s="207">
        <v>0.5</v>
      </c>
      <c r="C539" s="206" t="s">
        <v>419</v>
      </c>
      <c r="D539" s="206" t="s">
        <v>422</v>
      </c>
      <c r="E539" s="3">
        <v>23</v>
      </c>
      <c r="F539" s="3">
        <v>33</v>
      </c>
      <c r="G539" s="3">
        <v>19</v>
      </c>
      <c r="H539" s="3">
        <v>31</v>
      </c>
      <c r="J539" s="3">
        <v>22</v>
      </c>
      <c r="K539" s="3">
        <v>25</v>
      </c>
      <c r="L539" s="3">
        <v>32</v>
      </c>
      <c r="M539" s="3">
        <v>20</v>
      </c>
      <c r="N539" s="3" t="s">
        <v>427</v>
      </c>
      <c r="O539" s="206">
        <f t="shared" si="272"/>
        <v>106</v>
      </c>
      <c r="P539" s="206">
        <f t="shared" si="273"/>
        <v>99</v>
      </c>
      <c r="Q539" s="206" t="str">
        <f t="shared" si="274"/>
        <v>HW</v>
      </c>
      <c r="R539" s="206" t="str">
        <f t="shared" si="275"/>
        <v>HW</v>
      </c>
      <c r="S539" s="206" t="str">
        <f t="shared" si="276"/>
        <v>HL</v>
      </c>
      <c r="T539" s="206" t="str">
        <f t="shared" si="277"/>
        <v>HW</v>
      </c>
      <c r="U539" s="206" t="str">
        <f t="shared" si="278"/>
        <v>U</v>
      </c>
      <c r="V539" s="206" t="str">
        <f t="shared" si="279"/>
        <v>O</v>
      </c>
      <c r="W539" s="206" t="str">
        <f t="shared" si="280"/>
        <v>U</v>
      </c>
      <c r="X539" s="206" t="str">
        <f t="shared" si="281"/>
        <v>U</v>
      </c>
      <c r="Y539" s="206"/>
      <c r="Z539" s="206">
        <v>57.5</v>
      </c>
      <c r="AB539" s="206" t="str">
        <f t="shared" si="269"/>
        <v>LAL/DET</v>
      </c>
      <c r="AC539" s="206">
        <f t="shared" si="282"/>
        <v>1</v>
      </c>
      <c r="AD539" s="206">
        <f t="shared" si="283"/>
        <v>3</v>
      </c>
    </row>
    <row r="540" spans="1:30" x14ac:dyDescent="0.45">
      <c r="A540" s="206">
        <v>200107</v>
      </c>
      <c r="B540" s="44">
        <v>0.375</v>
      </c>
      <c r="C540" s="3" t="s">
        <v>424</v>
      </c>
      <c r="D540" s="3" t="s">
        <v>407</v>
      </c>
      <c r="E540" s="3">
        <v>20</v>
      </c>
      <c r="F540" s="3">
        <v>32</v>
      </c>
      <c r="G540" s="3">
        <v>23</v>
      </c>
      <c r="H540" s="3">
        <v>26</v>
      </c>
      <c r="J540" s="3">
        <v>22</v>
      </c>
      <c r="K540" s="3">
        <v>17</v>
      </c>
      <c r="L540" s="3">
        <v>32</v>
      </c>
      <c r="M540" s="3">
        <v>18</v>
      </c>
      <c r="N540" s="3" t="s">
        <v>427</v>
      </c>
      <c r="O540" s="206">
        <f t="shared" si="272"/>
        <v>101</v>
      </c>
      <c r="P540" s="206">
        <f t="shared" si="273"/>
        <v>89</v>
      </c>
      <c r="Q540" s="206" t="str">
        <f t="shared" si="274"/>
        <v>HL</v>
      </c>
      <c r="R540" s="206" t="str">
        <f t="shared" si="275"/>
        <v>HW</v>
      </c>
      <c r="S540" s="206" t="str">
        <f t="shared" si="276"/>
        <v>HL</v>
      </c>
      <c r="T540" s="206" t="str">
        <f t="shared" si="277"/>
        <v>HW</v>
      </c>
      <c r="U540" s="206" t="str">
        <f t="shared" si="278"/>
        <v>U</v>
      </c>
      <c r="V540" s="206" t="str">
        <f t="shared" si="279"/>
        <v>U</v>
      </c>
      <c r="W540" s="206" t="str">
        <f t="shared" si="280"/>
        <v>O</v>
      </c>
      <c r="X540" s="206" t="str">
        <f t="shared" si="281"/>
        <v>U</v>
      </c>
      <c r="Y540" s="206"/>
      <c r="Z540" s="3">
        <v>52</v>
      </c>
      <c r="AB540" s="206" t="str">
        <f t="shared" si="269"/>
        <v>ORL/BKN</v>
      </c>
      <c r="AC540" s="206">
        <f t="shared" si="282"/>
        <v>1</v>
      </c>
      <c r="AD540" s="206">
        <f t="shared" si="283"/>
        <v>3</v>
      </c>
    </row>
    <row r="541" spans="1:30" x14ac:dyDescent="0.45">
      <c r="A541" s="206">
        <v>200107</v>
      </c>
      <c r="B541" s="44">
        <v>0.375</v>
      </c>
      <c r="C541" s="3" t="s">
        <v>401</v>
      </c>
      <c r="D541" s="3" t="s">
        <v>418</v>
      </c>
      <c r="E541" s="3">
        <v>31</v>
      </c>
      <c r="F541" s="3">
        <v>31</v>
      </c>
      <c r="G541" s="3">
        <v>28</v>
      </c>
      <c r="H541" s="3">
        <v>30</v>
      </c>
      <c r="J541" s="3">
        <v>31</v>
      </c>
      <c r="K541" s="3">
        <v>21</v>
      </c>
      <c r="L541" s="3">
        <v>34</v>
      </c>
      <c r="M541" s="3">
        <v>27</v>
      </c>
      <c r="N541" s="3" t="s">
        <v>427</v>
      </c>
      <c r="O541" s="206">
        <f t="shared" si="272"/>
        <v>120</v>
      </c>
      <c r="P541" s="206">
        <f t="shared" si="273"/>
        <v>113</v>
      </c>
      <c r="Q541" s="206" t="str">
        <f t="shared" si="274"/>
        <v>TT</v>
      </c>
      <c r="R541" s="206" t="str">
        <f t="shared" si="275"/>
        <v>HW</v>
      </c>
      <c r="S541" s="206" t="str">
        <f t="shared" si="276"/>
        <v>HL</v>
      </c>
      <c r="T541" s="206" t="str">
        <f t="shared" si="277"/>
        <v>HW</v>
      </c>
      <c r="U541" s="206" t="str">
        <f t="shared" si="278"/>
        <v>O</v>
      </c>
      <c r="V541" s="206" t="str">
        <f t="shared" si="279"/>
        <v>U</v>
      </c>
      <c r="W541" s="206" t="str">
        <f t="shared" si="280"/>
        <v>O</v>
      </c>
      <c r="X541" s="206" t="str">
        <f t="shared" si="281"/>
        <v>O</v>
      </c>
      <c r="Y541" s="206"/>
      <c r="Z541" s="3">
        <v>55</v>
      </c>
      <c r="AB541" s="206" t="str">
        <f t="shared" si="269"/>
        <v>PHI/OKC</v>
      </c>
      <c r="AC541" s="206">
        <f t="shared" si="282"/>
        <v>3</v>
      </c>
      <c r="AD541" s="206">
        <f t="shared" si="283"/>
        <v>1</v>
      </c>
    </row>
    <row r="542" spans="1:30" x14ac:dyDescent="0.45">
      <c r="A542" s="206">
        <v>200107</v>
      </c>
      <c r="B542" s="44">
        <v>0.375</v>
      </c>
      <c r="C542" s="3" t="s">
        <v>414</v>
      </c>
      <c r="D542" s="3" t="s">
        <v>421</v>
      </c>
      <c r="E542" s="3">
        <v>26</v>
      </c>
      <c r="F542" s="3">
        <v>25</v>
      </c>
      <c r="G542" s="3">
        <v>23</v>
      </c>
      <c r="H542" s="3">
        <v>25</v>
      </c>
      <c r="J542" s="3">
        <v>17</v>
      </c>
      <c r="K542" s="3">
        <v>23</v>
      </c>
      <c r="L542" s="3">
        <v>32</v>
      </c>
      <c r="M542" s="3">
        <v>22</v>
      </c>
      <c r="N542" s="3" t="s">
        <v>427</v>
      </c>
      <c r="O542" s="206">
        <f t="shared" si="272"/>
        <v>99</v>
      </c>
      <c r="P542" s="206">
        <f t="shared" si="273"/>
        <v>94</v>
      </c>
      <c r="Q542" s="206" t="str">
        <f t="shared" si="274"/>
        <v>HW</v>
      </c>
      <c r="R542" s="206" t="str">
        <f t="shared" si="275"/>
        <v>HW</v>
      </c>
      <c r="S542" s="206" t="str">
        <f t="shared" si="276"/>
        <v>HL</v>
      </c>
      <c r="T542" s="206" t="str">
        <f t="shared" si="277"/>
        <v>HW</v>
      </c>
      <c r="U542" s="206" t="str">
        <f t="shared" si="278"/>
        <v>U</v>
      </c>
      <c r="V542" s="206" t="str">
        <f t="shared" si="279"/>
        <v>U</v>
      </c>
      <c r="W542" s="206" t="str">
        <f t="shared" si="280"/>
        <v>T</v>
      </c>
      <c r="X542" s="206" t="str">
        <f t="shared" si="281"/>
        <v>U</v>
      </c>
      <c r="Y542" s="206"/>
      <c r="Z542" s="3">
        <v>55</v>
      </c>
      <c r="AB542" s="206" t="str">
        <f t="shared" si="269"/>
        <v>WAS/BOS</v>
      </c>
      <c r="AC542" s="206">
        <f t="shared" si="282"/>
        <v>0</v>
      </c>
      <c r="AD542" s="206">
        <f t="shared" si="283"/>
        <v>3</v>
      </c>
    </row>
    <row r="543" spans="1:30" x14ac:dyDescent="0.45">
      <c r="A543" s="206">
        <v>200107</v>
      </c>
      <c r="B543" s="44">
        <v>0.375</v>
      </c>
      <c r="C543" s="3" t="s">
        <v>409</v>
      </c>
      <c r="D543" s="3" t="s">
        <v>400</v>
      </c>
      <c r="E543" s="3">
        <v>29</v>
      </c>
      <c r="F543" s="3">
        <v>15</v>
      </c>
      <c r="G543" s="3">
        <v>21</v>
      </c>
      <c r="H543" s="3">
        <v>39</v>
      </c>
      <c r="J543" s="3">
        <v>27</v>
      </c>
      <c r="K543" s="3">
        <v>15</v>
      </c>
      <c r="L543" s="3">
        <v>37</v>
      </c>
      <c r="M543" s="3">
        <v>36</v>
      </c>
      <c r="N543" s="3" t="s">
        <v>427</v>
      </c>
      <c r="O543" s="206">
        <f t="shared" si="272"/>
        <v>104</v>
      </c>
      <c r="P543" s="206">
        <f t="shared" si="273"/>
        <v>115</v>
      </c>
      <c r="Q543" s="206" t="str">
        <f t="shared" si="274"/>
        <v>HW</v>
      </c>
      <c r="R543" s="206" t="str">
        <f t="shared" si="275"/>
        <v>TT</v>
      </c>
      <c r="S543" s="206" t="str">
        <f t="shared" si="276"/>
        <v>HL</v>
      </c>
      <c r="T543" s="206" t="str">
        <f t="shared" si="277"/>
        <v>HW</v>
      </c>
      <c r="U543" s="206" t="str">
        <f t="shared" si="278"/>
        <v>O</v>
      </c>
      <c r="V543" s="206" t="str">
        <f t="shared" si="279"/>
        <v>U</v>
      </c>
      <c r="W543" s="206" t="str">
        <f t="shared" si="280"/>
        <v>O</v>
      </c>
      <c r="X543" s="206" t="str">
        <f t="shared" si="281"/>
        <v>O</v>
      </c>
      <c r="Y543" s="206"/>
      <c r="Z543" s="3">
        <v>54</v>
      </c>
      <c r="AB543" s="206" t="str">
        <f t="shared" si="269"/>
        <v>CHA/IND</v>
      </c>
      <c r="AC543" s="206">
        <f t="shared" si="282"/>
        <v>3</v>
      </c>
      <c r="AD543" s="206">
        <f t="shared" si="283"/>
        <v>1</v>
      </c>
    </row>
    <row r="544" spans="1:30" x14ac:dyDescent="0.45">
      <c r="A544" s="206">
        <v>200107</v>
      </c>
      <c r="B544" s="44">
        <v>0.39583333333333331</v>
      </c>
      <c r="C544" s="3" t="s">
        <v>410</v>
      </c>
      <c r="D544" s="3" t="s">
        <v>408</v>
      </c>
      <c r="E544" s="3">
        <v>31</v>
      </c>
      <c r="F544" s="3">
        <v>25</v>
      </c>
      <c r="G544" s="3">
        <v>30</v>
      </c>
      <c r="H544" s="3">
        <v>29</v>
      </c>
      <c r="J544" s="3">
        <v>29</v>
      </c>
      <c r="K544" s="3">
        <v>35</v>
      </c>
      <c r="L544" s="3">
        <v>27</v>
      </c>
      <c r="M544" s="3">
        <v>32</v>
      </c>
      <c r="N544" s="3" t="s">
        <v>427</v>
      </c>
      <c r="O544" s="206">
        <f t="shared" si="272"/>
        <v>115</v>
      </c>
      <c r="P544" s="206">
        <f t="shared" si="273"/>
        <v>123</v>
      </c>
      <c r="Q544" s="206" t="str">
        <f t="shared" si="274"/>
        <v>HW</v>
      </c>
      <c r="R544" s="206" t="str">
        <f t="shared" si="275"/>
        <v>HL</v>
      </c>
      <c r="S544" s="206" t="str">
        <f t="shared" si="276"/>
        <v>HW</v>
      </c>
      <c r="T544" s="206" t="str">
        <f t="shared" si="277"/>
        <v>HL</v>
      </c>
      <c r="U544" s="206" t="str">
        <f t="shared" si="278"/>
        <v>O</v>
      </c>
      <c r="V544" s="206" t="str">
        <f t="shared" si="279"/>
        <v>O</v>
      </c>
      <c r="W544" s="206" t="str">
        <f t="shared" si="280"/>
        <v>U</v>
      </c>
      <c r="X544" s="206" t="str">
        <f t="shared" si="281"/>
        <v>O</v>
      </c>
      <c r="Y544" s="206"/>
      <c r="Z544" s="3">
        <v>58</v>
      </c>
      <c r="AB544" s="206" t="str">
        <f t="shared" si="269"/>
        <v>ATL/DEN</v>
      </c>
      <c r="AC544" s="206">
        <f t="shared" si="282"/>
        <v>3</v>
      </c>
      <c r="AD544" s="206">
        <f t="shared" si="283"/>
        <v>1</v>
      </c>
    </row>
    <row r="545" spans="1:30" x14ac:dyDescent="0.45">
      <c r="A545" s="206">
        <v>200107</v>
      </c>
      <c r="B545" s="44">
        <v>0.41666666666666669</v>
      </c>
      <c r="C545" s="3" t="s">
        <v>398</v>
      </c>
      <c r="D545" s="3" t="s">
        <v>405</v>
      </c>
      <c r="E545" s="3">
        <v>36</v>
      </c>
      <c r="F545" s="3">
        <v>28</v>
      </c>
      <c r="G545" s="3">
        <v>33</v>
      </c>
      <c r="H545" s="3">
        <v>29</v>
      </c>
      <c r="J545" s="3">
        <v>35</v>
      </c>
      <c r="K545" s="3">
        <v>33</v>
      </c>
      <c r="L545" s="3">
        <v>27</v>
      </c>
      <c r="M545" s="3">
        <v>33</v>
      </c>
      <c r="N545" s="3" t="s">
        <v>427</v>
      </c>
      <c r="O545" s="206">
        <f t="shared" si="272"/>
        <v>126</v>
      </c>
      <c r="P545" s="206">
        <f t="shared" si="273"/>
        <v>128</v>
      </c>
      <c r="Q545" s="206" t="str">
        <f t="shared" si="274"/>
        <v>HW</v>
      </c>
      <c r="R545" s="206" t="str">
        <f t="shared" si="275"/>
        <v>HL</v>
      </c>
      <c r="S545" s="206" t="str">
        <f t="shared" si="276"/>
        <v>HW</v>
      </c>
      <c r="T545" s="206" t="str">
        <f t="shared" si="277"/>
        <v>HL</v>
      </c>
      <c r="U545" s="206" t="str">
        <f t="shared" si="278"/>
        <v>O</v>
      </c>
      <c r="V545" s="206" t="str">
        <f t="shared" si="279"/>
        <v>O</v>
      </c>
      <c r="W545" s="206" t="str">
        <f t="shared" si="280"/>
        <v>O</v>
      </c>
      <c r="X545" s="206" t="str">
        <f t="shared" si="281"/>
        <v>O</v>
      </c>
      <c r="Y545" s="206"/>
      <c r="Z545" s="3">
        <v>54</v>
      </c>
      <c r="AB545" s="206" t="str">
        <f t="shared" si="269"/>
        <v>NO/UTA</v>
      </c>
      <c r="AC545" s="206">
        <f t="shared" si="282"/>
        <v>4</v>
      </c>
      <c r="AD545" s="206">
        <f t="shared" si="283"/>
        <v>0</v>
      </c>
    </row>
    <row r="546" spans="1:30" x14ac:dyDescent="0.45">
      <c r="A546" s="206">
        <v>200107</v>
      </c>
      <c r="B546" s="44">
        <v>0.4375</v>
      </c>
      <c r="C546" s="3" t="s">
        <v>397</v>
      </c>
      <c r="D546" s="3" t="s">
        <v>412</v>
      </c>
      <c r="E546" s="3">
        <v>33</v>
      </c>
      <c r="F546" s="3">
        <v>28</v>
      </c>
      <c r="G546" s="3">
        <v>27</v>
      </c>
      <c r="H546" s="3">
        <v>30</v>
      </c>
      <c r="J546" s="3">
        <v>27</v>
      </c>
      <c r="K546" s="3">
        <v>28</v>
      </c>
      <c r="L546" s="3">
        <v>27</v>
      </c>
      <c r="M546" s="3">
        <v>28</v>
      </c>
      <c r="N546" s="3" t="s">
        <v>427</v>
      </c>
      <c r="O546" s="206">
        <f t="shared" si="272"/>
        <v>118</v>
      </c>
      <c r="P546" s="206">
        <f t="shared" si="273"/>
        <v>110</v>
      </c>
      <c r="Q546" s="206" t="str">
        <f t="shared" si="274"/>
        <v>HW</v>
      </c>
      <c r="R546" s="206" t="str">
        <f t="shared" si="275"/>
        <v>TT</v>
      </c>
      <c r="S546" s="206" t="str">
        <f t="shared" si="276"/>
        <v>TT</v>
      </c>
      <c r="T546" s="206" t="str">
        <f t="shared" si="277"/>
        <v>HW</v>
      </c>
      <c r="U546" s="206" t="str">
        <f t="shared" si="278"/>
        <v>O</v>
      </c>
      <c r="V546" s="206" t="str">
        <f t="shared" si="279"/>
        <v>T</v>
      </c>
      <c r="W546" s="206" t="str">
        <f t="shared" si="280"/>
        <v>U</v>
      </c>
      <c r="X546" s="206" t="str">
        <f t="shared" si="281"/>
        <v>O</v>
      </c>
      <c r="Y546" s="206"/>
      <c r="Z546" s="3">
        <v>56</v>
      </c>
      <c r="AB546" s="206" t="str">
        <f t="shared" si="269"/>
        <v>DAL/CHI</v>
      </c>
      <c r="AC546" s="206">
        <f t="shared" si="282"/>
        <v>2</v>
      </c>
      <c r="AD546" s="206">
        <f t="shared" si="283"/>
        <v>1</v>
      </c>
    </row>
    <row r="547" spans="1:30" x14ac:dyDescent="0.45">
      <c r="A547" s="206">
        <v>200107</v>
      </c>
      <c r="B547" s="44">
        <v>0.4375</v>
      </c>
      <c r="C547" s="3" t="s">
        <v>426</v>
      </c>
      <c r="D547" s="3" t="s">
        <v>423</v>
      </c>
      <c r="E547" s="3">
        <v>27</v>
      </c>
      <c r="F547" s="3">
        <v>38</v>
      </c>
      <c r="G547" s="3">
        <v>26</v>
      </c>
      <c r="H547" s="3">
        <v>35</v>
      </c>
      <c r="J547" s="3">
        <v>22</v>
      </c>
      <c r="K547" s="3">
        <v>30</v>
      </c>
      <c r="L547" s="3">
        <v>29</v>
      </c>
      <c r="M547" s="3">
        <v>23</v>
      </c>
      <c r="N547" s="3" t="s">
        <v>427</v>
      </c>
      <c r="O547" s="206">
        <f t="shared" si="272"/>
        <v>126</v>
      </c>
      <c r="P547" s="206">
        <f t="shared" si="273"/>
        <v>104</v>
      </c>
      <c r="Q547" s="206" t="str">
        <f t="shared" si="274"/>
        <v>HW</v>
      </c>
      <c r="R547" s="206" t="str">
        <f t="shared" si="275"/>
        <v>HW</v>
      </c>
      <c r="S547" s="206" t="str">
        <f t="shared" si="276"/>
        <v>HL</v>
      </c>
      <c r="T547" s="206" t="str">
        <f t="shared" si="277"/>
        <v>HW</v>
      </c>
      <c r="U547" s="206" t="str">
        <f t="shared" si="278"/>
        <v>U</v>
      </c>
      <c r="V547" s="206" t="str">
        <f t="shared" si="279"/>
        <v>O</v>
      </c>
      <c r="W547" s="206" t="str">
        <f t="shared" si="280"/>
        <v>U</v>
      </c>
      <c r="X547" s="206" t="str">
        <f t="shared" si="281"/>
        <v>O</v>
      </c>
      <c r="Y547" s="206"/>
      <c r="Z547" s="3">
        <v>56.5</v>
      </c>
      <c r="AB547" s="206" t="str">
        <f t="shared" si="269"/>
        <v>SAS/MIL</v>
      </c>
      <c r="AC547" s="206">
        <f t="shared" si="282"/>
        <v>2</v>
      </c>
      <c r="AD547" s="206">
        <f t="shared" si="283"/>
        <v>2</v>
      </c>
    </row>
    <row r="548" spans="1:30" x14ac:dyDescent="0.45">
      <c r="A548" s="206">
        <v>200107</v>
      </c>
      <c r="B548" s="44">
        <v>0.5</v>
      </c>
      <c r="C548" s="3" t="s">
        <v>416</v>
      </c>
      <c r="D548" s="3" t="s">
        <v>425</v>
      </c>
      <c r="E548" s="3">
        <v>26</v>
      </c>
      <c r="F548" s="3">
        <v>26</v>
      </c>
      <c r="G548" s="3">
        <v>38</v>
      </c>
      <c r="H548" s="3">
        <v>21</v>
      </c>
      <c r="J548" s="3">
        <v>19</v>
      </c>
      <c r="K548" s="3">
        <v>21</v>
      </c>
      <c r="L548" s="3">
        <v>24</v>
      </c>
      <c r="M548" s="3">
        <v>34</v>
      </c>
      <c r="N548" s="3" t="s">
        <v>427</v>
      </c>
      <c r="O548" s="206">
        <f t="shared" si="272"/>
        <v>111</v>
      </c>
      <c r="P548" s="206">
        <f t="shared" si="273"/>
        <v>98</v>
      </c>
      <c r="Q548" s="206" t="str">
        <f t="shared" si="274"/>
        <v>HW</v>
      </c>
      <c r="R548" s="206" t="str">
        <f t="shared" si="275"/>
        <v>HW</v>
      </c>
      <c r="S548" s="206" t="str">
        <f t="shared" si="276"/>
        <v>HW</v>
      </c>
      <c r="T548" s="206" t="str">
        <f t="shared" si="277"/>
        <v>HL</v>
      </c>
      <c r="U548" s="206" t="str">
        <f t="shared" si="278"/>
        <v>U</v>
      </c>
      <c r="V548" s="206" t="str">
        <f t="shared" si="279"/>
        <v>U</v>
      </c>
      <c r="W548" s="206" t="str">
        <f t="shared" si="280"/>
        <v>O</v>
      </c>
      <c r="X548" s="206" t="str">
        <f t="shared" si="281"/>
        <v>T</v>
      </c>
      <c r="Y548" s="206"/>
      <c r="Z548" s="3">
        <v>55</v>
      </c>
      <c r="AB548" s="206" t="str">
        <f t="shared" si="269"/>
        <v>SAC/GS</v>
      </c>
      <c r="AC548" s="206">
        <f t="shared" si="282"/>
        <v>1</v>
      </c>
      <c r="AD548" s="206">
        <f t="shared" si="283"/>
        <v>2</v>
      </c>
    </row>
    <row r="549" spans="1:30" x14ac:dyDescent="0.45">
      <c r="A549" s="206">
        <v>200108</v>
      </c>
      <c r="B549" s="44">
        <v>0.375</v>
      </c>
      <c r="C549" s="3" t="s">
        <v>402</v>
      </c>
      <c r="D549" s="3" t="s">
        <v>422</v>
      </c>
      <c r="E549" s="3">
        <v>29</v>
      </c>
      <c r="F549" s="3">
        <v>38</v>
      </c>
      <c r="G549" s="3">
        <v>28</v>
      </c>
      <c r="H549" s="3">
        <v>18</v>
      </c>
      <c r="J549" s="3">
        <v>27</v>
      </c>
      <c r="K549" s="3">
        <v>27</v>
      </c>
      <c r="L549" s="3">
        <v>30</v>
      </c>
      <c r="M549" s="3">
        <v>31</v>
      </c>
      <c r="N549" s="3" t="s">
        <v>427</v>
      </c>
      <c r="O549" s="206">
        <f t="shared" si="272"/>
        <v>113</v>
      </c>
      <c r="P549" s="206">
        <f t="shared" si="273"/>
        <v>115</v>
      </c>
      <c r="Q549" s="206" t="str">
        <f t="shared" si="274"/>
        <v>HW</v>
      </c>
      <c r="R549" s="206" t="str">
        <f t="shared" si="275"/>
        <v>HW</v>
      </c>
      <c r="S549" s="206" t="str">
        <f t="shared" si="276"/>
        <v>HL</v>
      </c>
      <c r="T549" s="206" t="str">
        <f t="shared" si="277"/>
        <v>HL</v>
      </c>
      <c r="U549" s="206" t="str">
        <f t="shared" si="278"/>
        <v>U</v>
      </c>
      <c r="V549" s="206" t="str">
        <f t="shared" si="279"/>
        <v>O</v>
      </c>
      <c r="W549" s="206" t="str">
        <f t="shared" si="280"/>
        <v>O</v>
      </c>
      <c r="X549" s="206" t="str">
        <f t="shared" si="281"/>
        <v>U</v>
      </c>
      <c r="Y549" s="206"/>
      <c r="Z549" s="3">
        <v>56.5</v>
      </c>
      <c r="AB549" s="206" t="str">
        <f t="shared" si="269"/>
        <v>CLE/DET</v>
      </c>
      <c r="AC549" s="206">
        <f t="shared" si="282"/>
        <v>2</v>
      </c>
      <c r="AD549" s="206">
        <f t="shared" si="283"/>
        <v>2</v>
      </c>
    </row>
    <row r="550" spans="1:30" x14ac:dyDescent="0.45">
      <c r="A550" s="206">
        <v>200108</v>
      </c>
      <c r="B550" s="44">
        <v>0.375</v>
      </c>
      <c r="C550" s="3" t="s">
        <v>413</v>
      </c>
      <c r="D550" s="3" t="s">
        <v>417</v>
      </c>
      <c r="E550" s="3">
        <v>24</v>
      </c>
      <c r="F550" s="3">
        <v>32</v>
      </c>
      <c r="G550" s="3">
        <v>22</v>
      </c>
      <c r="H550" s="3">
        <v>21</v>
      </c>
      <c r="J550" s="3">
        <v>15</v>
      </c>
      <c r="K550" s="3">
        <v>31</v>
      </c>
      <c r="L550" s="3">
        <v>23</v>
      </c>
      <c r="M550" s="3">
        <v>32</v>
      </c>
      <c r="N550" s="3" t="s">
        <v>427</v>
      </c>
      <c r="O550" s="206">
        <f t="shared" si="272"/>
        <v>99</v>
      </c>
      <c r="P550" s="206">
        <f t="shared" si="273"/>
        <v>101</v>
      </c>
      <c r="Q550" s="206" t="str">
        <f t="shared" si="274"/>
        <v>HW</v>
      </c>
      <c r="R550" s="206" t="str">
        <f t="shared" si="275"/>
        <v>HW</v>
      </c>
      <c r="S550" s="206" t="str">
        <f t="shared" si="276"/>
        <v>HL</v>
      </c>
      <c r="T550" s="206" t="str">
        <f t="shared" si="277"/>
        <v>HL</v>
      </c>
      <c r="U550" s="206" t="str">
        <f t="shared" si="278"/>
        <v>U</v>
      </c>
      <c r="V550" s="206" t="str">
        <f t="shared" si="279"/>
        <v>O</v>
      </c>
      <c r="W550" s="206" t="str">
        <f t="shared" si="280"/>
        <v>U</v>
      </c>
      <c r="X550" s="206" t="str">
        <f t="shared" si="281"/>
        <v>U</v>
      </c>
      <c r="Y550" s="206"/>
      <c r="Z550" s="3">
        <v>57.5</v>
      </c>
      <c r="AB550" s="206" t="str">
        <f t="shared" si="269"/>
        <v>TOR/POR</v>
      </c>
      <c r="AC550" s="206">
        <f t="shared" si="282"/>
        <v>1</v>
      </c>
      <c r="AD550" s="206">
        <f t="shared" si="283"/>
        <v>3</v>
      </c>
    </row>
    <row r="551" spans="1:30" x14ac:dyDescent="0.45">
      <c r="A551" s="206">
        <v>200108</v>
      </c>
      <c r="B551" s="44">
        <v>0.39583333333333331</v>
      </c>
      <c r="C551" s="3" t="s">
        <v>407</v>
      </c>
      <c r="D551" s="3" t="s">
        <v>418</v>
      </c>
      <c r="E551" s="3">
        <v>23</v>
      </c>
      <c r="F551" s="3">
        <v>25</v>
      </c>
      <c r="G551" s="3">
        <v>29</v>
      </c>
      <c r="H551" s="3">
        <v>24</v>
      </c>
      <c r="I551" s="3">
        <v>2</v>
      </c>
      <c r="J551" s="3">
        <v>27</v>
      </c>
      <c r="K551" s="3">
        <v>22</v>
      </c>
      <c r="L551" s="3">
        <v>25</v>
      </c>
      <c r="M551" s="3">
        <v>27</v>
      </c>
      <c r="N551" s="3">
        <v>10</v>
      </c>
      <c r="O551" s="206">
        <f t="shared" si="272"/>
        <v>103</v>
      </c>
      <c r="P551" s="206">
        <f t="shared" si="273"/>
        <v>111</v>
      </c>
      <c r="Q551" s="206" t="str">
        <f t="shared" si="274"/>
        <v>HL</v>
      </c>
      <c r="R551" s="206" t="str">
        <f t="shared" si="275"/>
        <v>HW</v>
      </c>
      <c r="S551" s="206" t="str">
        <f t="shared" si="276"/>
        <v>HW</v>
      </c>
      <c r="T551" s="206" t="str">
        <f t="shared" si="277"/>
        <v>HL</v>
      </c>
      <c r="U551" s="206" t="str">
        <f t="shared" si="278"/>
        <v>U</v>
      </c>
      <c r="V551" s="206" t="str">
        <f t="shared" si="279"/>
        <v>U</v>
      </c>
      <c r="W551" s="206" t="str">
        <f t="shared" si="280"/>
        <v>U</v>
      </c>
      <c r="X551" s="206" t="str">
        <f t="shared" si="281"/>
        <v>U</v>
      </c>
      <c r="Y551" s="206"/>
      <c r="Z551" s="3">
        <v>55.5</v>
      </c>
      <c r="AB551" s="206" t="str">
        <f t="shared" si="269"/>
        <v>BKN/OKC</v>
      </c>
      <c r="AC551" s="206">
        <f t="shared" si="282"/>
        <v>0</v>
      </c>
      <c r="AD551" s="206">
        <f t="shared" si="283"/>
        <v>4</v>
      </c>
    </row>
    <row r="552" spans="1:30" x14ac:dyDescent="0.45">
      <c r="A552" s="206">
        <v>200108</v>
      </c>
      <c r="B552" s="44">
        <v>0.41666666666666669</v>
      </c>
      <c r="C552" s="3" t="s">
        <v>406</v>
      </c>
      <c r="D552" s="3" t="s">
        <v>420</v>
      </c>
      <c r="E552" s="3">
        <v>27</v>
      </c>
      <c r="F552" s="3">
        <v>24</v>
      </c>
      <c r="G552" s="3">
        <v>31</v>
      </c>
      <c r="H552" s="3">
        <v>37</v>
      </c>
      <c r="J552" s="3">
        <v>32</v>
      </c>
      <c r="K552" s="3">
        <v>24</v>
      </c>
      <c r="L552" s="3">
        <v>28</v>
      </c>
      <c r="M552" s="3">
        <v>28</v>
      </c>
      <c r="N552" s="3" t="s">
        <v>427</v>
      </c>
      <c r="O552" s="206">
        <f t="shared" si="272"/>
        <v>119</v>
      </c>
      <c r="P552" s="206">
        <f t="shared" si="273"/>
        <v>112</v>
      </c>
      <c r="Q552" s="206" t="str">
        <f t="shared" si="274"/>
        <v>HL</v>
      </c>
      <c r="R552" s="206" t="str">
        <f t="shared" si="275"/>
        <v>TT</v>
      </c>
      <c r="S552" s="206" t="str">
        <f t="shared" si="276"/>
        <v>HW</v>
      </c>
      <c r="T552" s="206" t="str">
        <f t="shared" si="277"/>
        <v>HW</v>
      </c>
      <c r="U552" s="206" t="str">
        <f t="shared" si="278"/>
        <v>O</v>
      </c>
      <c r="V552" s="206" t="str">
        <f t="shared" si="279"/>
        <v>U</v>
      </c>
      <c r="W552" s="206" t="str">
        <f t="shared" si="280"/>
        <v>O</v>
      </c>
      <c r="X552" s="206" t="str">
        <f t="shared" si="281"/>
        <v>O</v>
      </c>
      <c r="Y552" s="206"/>
      <c r="Z552" s="3">
        <v>58.5</v>
      </c>
      <c r="AB552" s="206" t="str">
        <f t="shared" si="269"/>
        <v>MEM/MIN</v>
      </c>
      <c r="AC552" s="206">
        <f t="shared" si="282"/>
        <v>3</v>
      </c>
      <c r="AD552" s="206">
        <f t="shared" si="283"/>
        <v>1</v>
      </c>
    </row>
    <row r="553" spans="1:30" x14ac:dyDescent="0.45">
      <c r="A553" s="206">
        <v>200108</v>
      </c>
      <c r="B553" s="44">
        <v>0.45833333333333331</v>
      </c>
      <c r="C553" s="3" t="s">
        <v>404</v>
      </c>
      <c r="D553" s="3" t="s">
        <v>416</v>
      </c>
      <c r="E553" s="3">
        <v>29</v>
      </c>
      <c r="F553" s="3">
        <v>24</v>
      </c>
      <c r="G553" s="3">
        <v>34</v>
      </c>
      <c r="H553" s="3">
        <v>16</v>
      </c>
      <c r="J553" s="3">
        <v>26</v>
      </c>
      <c r="K553" s="3">
        <v>27</v>
      </c>
      <c r="L553" s="3">
        <v>25</v>
      </c>
      <c r="M553" s="3">
        <v>36</v>
      </c>
      <c r="N553" s="3" t="s">
        <v>427</v>
      </c>
      <c r="O553" s="206">
        <f t="shared" si="272"/>
        <v>103</v>
      </c>
      <c r="P553" s="206">
        <f t="shared" si="273"/>
        <v>114</v>
      </c>
      <c r="Q553" s="206" t="str">
        <f t="shared" si="274"/>
        <v>HW</v>
      </c>
      <c r="R553" s="206" t="str">
        <f t="shared" si="275"/>
        <v>HL</v>
      </c>
      <c r="S553" s="206" t="str">
        <f t="shared" si="276"/>
        <v>HW</v>
      </c>
      <c r="T553" s="206" t="str">
        <f t="shared" si="277"/>
        <v>HL</v>
      </c>
      <c r="U553" s="206" t="str">
        <f t="shared" si="278"/>
        <v>U</v>
      </c>
      <c r="V553" s="206" t="str">
        <f t="shared" si="279"/>
        <v>U</v>
      </c>
      <c r="W553" s="206" t="str">
        <f t="shared" si="280"/>
        <v>O</v>
      </c>
      <c r="X553" s="206" t="str">
        <f t="shared" si="281"/>
        <v>U</v>
      </c>
      <c r="Y553" s="206"/>
      <c r="Z553" s="3">
        <v>58</v>
      </c>
      <c r="AB553" s="206" t="str">
        <f t="shared" si="269"/>
        <v>PHO/SAC</v>
      </c>
      <c r="AC553" s="206">
        <f t="shared" si="282"/>
        <v>1</v>
      </c>
      <c r="AD553" s="206">
        <f t="shared" si="283"/>
        <v>3</v>
      </c>
    </row>
    <row r="554" spans="1:30" x14ac:dyDescent="0.45">
      <c r="A554" s="206">
        <v>200108</v>
      </c>
      <c r="B554" s="44">
        <v>0.52083333333333337</v>
      </c>
      <c r="C554" s="3" t="s">
        <v>419</v>
      </c>
      <c r="D554" s="3" t="s">
        <v>399</v>
      </c>
      <c r="E554" s="3">
        <v>26</v>
      </c>
      <c r="F554" s="3">
        <v>36</v>
      </c>
      <c r="G554" s="3">
        <v>23</v>
      </c>
      <c r="H554" s="3">
        <v>32</v>
      </c>
      <c r="J554" s="3">
        <v>21</v>
      </c>
      <c r="K554" s="3">
        <v>24</v>
      </c>
      <c r="L554" s="3">
        <v>25</v>
      </c>
      <c r="M554" s="3">
        <v>17</v>
      </c>
      <c r="N554" s="3" t="s">
        <v>427</v>
      </c>
      <c r="O554" s="206">
        <f t="shared" si="272"/>
        <v>117</v>
      </c>
      <c r="P554" s="206">
        <f t="shared" si="273"/>
        <v>87</v>
      </c>
      <c r="Q554" s="206" t="str">
        <f t="shared" si="274"/>
        <v>HW</v>
      </c>
      <c r="R554" s="206" t="str">
        <f t="shared" si="275"/>
        <v>HW</v>
      </c>
      <c r="S554" s="206" t="str">
        <f t="shared" si="276"/>
        <v>HL</v>
      </c>
      <c r="T554" s="206" t="str">
        <f t="shared" si="277"/>
        <v>HW</v>
      </c>
      <c r="U554" s="206" t="str">
        <f t="shared" si="278"/>
        <v>U</v>
      </c>
      <c r="V554" s="206" t="str">
        <f t="shared" si="279"/>
        <v>O</v>
      </c>
      <c r="W554" s="206" t="str">
        <f t="shared" si="280"/>
        <v>U</v>
      </c>
      <c r="X554" s="206" t="str">
        <f t="shared" si="281"/>
        <v>U</v>
      </c>
      <c r="Y554" s="206"/>
      <c r="Z554" s="3">
        <v>57.5</v>
      </c>
      <c r="AB554" s="206" t="str">
        <f t="shared" si="269"/>
        <v>LAL/NYK</v>
      </c>
      <c r="AC554" s="206">
        <f t="shared" si="282"/>
        <v>1</v>
      </c>
      <c r="AD554" s="206">
        <f t="shared" si="283"/>
        <v>3</v>
      </c>
    </row>
    <row r="555" spans="1:30" x14ac:dyDescent="0.45">
      <c r="A555" s="206">
        <v>200109</v>
      </c>
      <c r="B555" s="44">
        <v>0.375</v>
      </c>
      <c r="C555" s="3" t="s">
        <v>421</v>
      </c>
      <c r="D555" s="3" t="s">
        <v>426</v>
      </c>
      <c r="E555" s="3">
        <v>22</v>
      </c>
      <c r="F555" s="3">
        <v>25</v>
      </c>
      <c r="G555" s="3">
        <v>36</v>
      </c>
      <c r="H555" s="3">
        <v>31</v>
      </c>
      <c r="J555" s="3">
        <v>34</v>
      </c>
      <c r="K555" s="3">
        <v>31</v>
      </c>
      <c r="L555" s="3">
        <v>34</v>
      </c>
      <c r="M555" s="3">
        <v>30</v>
      </c>
      <c r="N555" s="3" t="s">
        <v>427</v>
      </c>
      <c r="O555" s="206">
        <f t="shared" si="272"/>
        <v>114</v>
      </c>
      <c r="P555" s="206">
        <f t="shared" si="273"/>
        <v>129</v>
      </c>
      <c r="Q555" s="206" t="str">
        <f t="shared" si="274"/>
        <v>HL</v>
      </c>
      <c r="R555" s="206" t="str">
        <f t="shared" si="275"/>
        <v>HL</v>
      </c>
      <c r="S555" s="206" t="str">
        <f t="shared" si="276"/>
        <v>HW</v>
      </c>
      <c r="T555" s="206" t="str">
        <f t="shared" si="277"/>
        <v>HW</v>
      </c>
      <c r="U555" s="206" t="str">
        <f t="shared" si="278"/>
        <v>O</v>
      </c>
      <c r="V555" s="206" t="str">
        <f t="shared" si="279"/>
        <v>O</v>
      </c>
      <c r="W555" s="206" t="str">
        <f t="shared" si="280"/>
        <v>O</v>
      </c>
      <c r="X555" s="206" t="str">
        <f t="shared" si="281"/>
        <v>O</v>
      </c>
      <c r="Y555" s="206"/>
      <c r="Z555" s="3">
        <v>54</v>
      </c>
      <c r="AB555" s="206" t="str">
        <f t="shared" si="269"/>
        <v>BOS/SAS</v>
      </c>
      <c r="AC555" s="206">
        <f t="shared" si="282"/>
        <v>4</v>
      </c>
      <c r="AD555" s="206">
        <f t="shared" si="283"/>
        <v>0</v>
      </c>
    </row>
    <row r="556" spans="1:30" x14ac:dyDescent="0.45">
      <c r="A556" s="206">
        <v>200109</v>
      </c>
      <c r="B556" s="44">
        <v>0.375</v>
      </c>
      <c r="C556" s="3" t="s">
        <v>400</v>
      </c>
      <c r="D556" s="3" t="s">
        <v>411</v>
      </c>
      <c r="E556" s="3">
        <v>23</v>
      </c>
      <c r="F556" s="3">
        <v>26</v>
      </c>
      <c r="G556" s="3">
        <v>23</v>
      </c>
      <c r="H556" s="3">
        <v>36</v>
      </c>
      <c r="J556" s="3">
        <v>31</v>
      </c>
      <c r="K556" s="3">
        <v>31</v>
      </c>
      <c r="L556" s="3">
        <v>38</v>
      </c>
      <c r="M556" s="3">
        <v>22</v>
      </c>
      <c r="N556" s="3" t="s">
        <v>427</v>
      </c>
      <c r="O556" s="206">
        <f t="shared" si="272"/>
        <v>108</v>
      </c>
      <c r="P556" s="206">
        <f t="shared" si="273"/>
        <v>122</v>
      </c>
      <c r="Q556" s="206" t="str">
        <f t="shared" si="274"/>
        <v>HL</v>
      </c>
      <c r="R556" s="206" t="str">
        <f t="shared" si="275"/>
        <v>HL</v>
      </c>
      <c r="S556" s="206" t="str">
        <f t="shared" si="276"/>
        <v>HL</v>
      </c>
      <c r="T556" s="206" t="str">
        <f t="shared" si="277"/>
        <v>HW</v>
      </c>
      <c r="U556" s="206" t="str">
        <f t="shared" si="278"/>
        <v>U</v>
      </c>
      <c r="V556" s="206" t="str">
        <f t="shared" si="279"/>
        <v>O</v>
      </c>
      <c r="W556" s="206" t="str">
        <f t="shared" si="280"/>
        <v>O</v>
      </c>
      <c r="X556" s="206" t="str">
        <f t="shared" si="281"/>
        <v>O</v>
      </c>
      <c r="Y556" s="206"/>
      <c r="Z556" s="3">
        <v>54.5</v>
      </c>
      <c r="AB556" s="206" t="str">
        <f t="shared" si="269"/>
        <v>IND/MIA</v>
      </c>
      <c r="AC556" s="206">
        <f t="shared" si="282"/>
        <v>3</v>
      </c>
      <c r="AD556" s="206">
        <f t="shared" si="283"/>
        <v>1</v>
      </c>
    </row>
    <row r="557" spans="1:30" x14ac:dyDescent="0.45">
      <c r="A557" s="206">
        <v>200109</v>
      </c>
      <c r="B557" s="44">
        <v>0.375</v>
      </c>
      <c r="C557" s="3" t="s">
        <v>424</v>
      </c>
      <c r="D557" s="3" t="s">
        <v>414</v>
      </c>
      <c r="E557" s="3">
        <v>32</v>
      </c>
      <c r="F557" s="3">
        <v>37</v>
      </c>
      <c r="G557" s="3">
        <v>28</v>
      </c>
      <c r="H557" s="3">
        <v>26</v>
      </c>
      <c r="J557" s="3">
        <v>23</v>
      </c>
      <c r="K557" s="3">
        <v>29</v>
      </c>
      <c r="L557" s="3">
        <v>20</v>
      </c>
      <c r="M557" s="3">
        <v>17</v>
      </c>
      <c r="N557" s="3" t="s">
        <v>427</v>
      </c>
      <c r="O557" s="206">
        <f t="shared" si="272"/>
        <v>123</v>
      </c>
      <c r="P557" s="206">
        <f t="shared" si="273"/>
        <v>89</v>
      </c>
      <c r="Q557" s="206" t="str">
        <f t="shared" si="274"/>
        <v>HW</v>
      </c>
      <c r="R557" s="206" t="str">
        <f t="shared" si="275"/>
        <v>HW</v>
      </c>
      <c r="S557" s="206" t="str">
        <f t="shared" si="276"/>
        <v>HW</v>
      </c>
      <c r="T557" s="206" t="str">
        <f t="shared" si="277"/>
        <v>HW</v>
      </c>
      <c r="U557" s="206" t="str">
        <f t="shared" si="278"/>
        <v>U</v>
      </c>
      <c r="V557" s="206" t="str">
        <f t="shared" si="279"/>
        <v>O</v>
      </c>
      <c r="W557" s="206" t="str">
        <f t="shared" si="280"/>
        <v>U</v>
      </c>
      <c r="X557" s="206" t="str">
        <f t="shared" si="281"/>
        <v>U</v>
      </c>
      <c r="Y557" s="206"/>
      <c r="Z557" s="3">
        <v>56.5</v>
      </c>
      <c r="AB557" s="206" t="str">
        <f t="shared" si="269"/>
        <v>ORL/WAS</v>
      </c>
      <c r="AC557" s="206">
        <f t="shared" si="282"/>
        <v>1</v>
      </c>
      <c r="AD557" s="206">
        <f t="shared" si="283"/>
        <v>3</v>
      </c>
    </row>
    <row r="558" spans="1:30" x14ac:dyDescent="0.45">
      <c r="A558" s="206">
        <v>200109</v>
      </c>
      <c r="B558" s="44">
        <v>0.375</v>
      </c>
      <c r="C558" s="3" t="s">
        <v>409</v>
      </c>
      <c r="D558" s="3" t="s">
        <v>413</v>
      </c>
      <c r="E558" s="3">
        <v>31</v>
      </c>
      <c r="F558" s="3">
        <v>24</v>
      </c>
      <c r="G558" s="3">
        <v>26</v>
      </c>
      <c r="H558" s="3">
        <v>19</v>
      </c>
      <c r="I558" s="3">
        <v>10</v>
      </c>
      <c r="J558" s="3">
        <v>29</v>
      </c>
      <c r="K558" s="3">
        <v>31</v>
      </c>
      <c r="L558" s="3">
        <v>22</v>
      </c>
      <c r="M558" s="3">
        <v>18</v>
      </c>
      <c r="N558" s="3">
        <v>12</v>
      </c>
      <c r="O558" s="206">
        <f t="shared" si="272"/>
        <v>110</v>
      </c>
      <c r="P558" s="206">
        <f t="shared" si="273"/>
        <v>112</v>
      </c>
      <c r="Q558" s="206" t="str">
        <f t="shared" si="274"/>
        <v>HW</v>
      </c>
      <c r="R558" s="206" t="str">
        <f t="shared" si="275"/>
        <v>HL</v>
      </c>
      <c r="S558" s="206" t="str">
        <f t="shared" si="276"/>
        <v>HW</v>
      </c>
      <c r="T558" s="206" t="str">
        <f t="shared" si="277"/>
        <v>HW</v>
      </c>
      <c r="U558" s="206" t="str">
        <f t="shared" si="278"/>
        <v>O</v>
      </c>
      <c r="V558" s="206" t="str">
        <f t="shared" si="279"/>
        <v>O</v>
      </c>
      <c r="W558" s="206" t="str">
        <f t="shared" si="280"/>
        <v>U</v>
      </c>
      <c r="X558" s="206" t="str">
        <f t="shared" si="281"/>
        <v>U</v>
      </c>
      <c r="Y558" s="206"/>
      <c r="Z558" s="3">
        <v>53.5</v>
      </c>
      <c r="AB558" s="206" t="str">
        <f t="shared" si="269"/>
        <v>CHA/TOR</v>
      </c>
      <c r="AC558" s="206">
        <f t="shared" si="282"/>
        <v>2</v>
      </c>
      <c r="AD558" s="206">
        <f t="shared" si="283"/>
        <v>2</v>
      </c>
    </row>
    <row r="559" spans="1:30" x14ac:dyDescent="0.45">
      <c r="A559" s="206">
        <v>200109</v>
      </c>
      <c r="B559" s="44">
        <v>0.39583333333333331</v>
      </c>
      <c r="C559" s="3" t="s">
        <v>410</v>
      </c>
      <c r="D559" s="3" t="s">
        <v>403</v>
      </c>
      <c r="E559" s="3">
        <v>29</v>
      </c>
      <c r="F559" s="3">
        <v>33</v>
      </c>
      <c r="G559" s="3">
        <v>23</v>
      </c>
      <c r="H559" s="3">
        <v>30</v>
      </c>
      <c r="J559" s="3">
        <v>45</v>
      </c>
      <c r="K559" s="3">
        <v>32</v>
      </c>
      <c r="L559" s="3">
        <v>22</v>
      </c>
      <c r="M559" s="3">
        <v>23</v>
      </c>
      <c r="N559" s="3" t="s">
        <v>427</v>
      </c>
      <c r="O559" s="206">
        <f t="shared" si="272"/>
        <v>115</v>
      </c>
      <c r="P559" s="206">
        <f t="shared" si="273"/>
        <v>122</v>
      </c>
      <c r="Q559" s="206" t="str">
        <f t="shared" si="274"/>
        <v>HL</v>
      </c>
      <c r="R559" s="206" t="str">
        <f t="shared" si="275"/>
        <v>HW</v>
      </c>
      <c r="S559" s="206" t="str">
        <f t="shared" si="276"/>
        <v>HW</v>
      </c>
      <c r="T559" s="206" t="str">
        <f t="shared" si="277"/>
        <v>HW</v>
      </c>
      <c r="U559" s="206" t="str">
        <f t="shared" si="278"/>
        <v>O</v>
      </c>
      <c r="V559" s="206" t="str">
        <f t="shared" si="279"/>
        <v>O</v>
      </c>
      <c r="W559" s="206" t="str">
        <f t="shared" si="280"/>
        <v>U</v>
      </c>
      <c r="X559" s="206" t="str">
        <f t="shared" si="281"/>
        <v>U</v>
      </c>
      <c r="Y559" s="206"/>
      <c r="Z559" s="3">
        <v>60.5</v>
      </c>
      <c r="AB559" s="206" t="str">
        <f t="shared" si="269"/>
        <v>ATL/HOU</v>
      </c>
      <c r="AC559" s="206">
        <f t="shared" si="282"/>
        <v>2</v>
      </c>
      <c r="AD559" s="206">
        <f t="shared" si="283"/>
        <v>2</v>
      </c>
    </row>
    <row r="560" spans="1:30" x14ac:dyDescent="0.45">
      <c r="A560" s="206">
        <v>200109</v>
      </c>
      <c r="B560" s="44">
        <v>0.39583333333333331</v>
      </c>
      <c r="C560" s="3" t="s">
        <v>397</v>
      </c>
      <c r="D560" s="3" t="s">
        <v>408</v>
      </c>
      <c r="E560" s="3">
        <v>32</v>
      </c>
      <c r="F560" s="3">
        <v>27</v>
      </c>
      <c r="G560" s="3">
        <v>30</v>
      </c>
      <c r="H560" s="3">
        <v>17</v>
      </c>
      <c r="J560" s="3">
        <v>27</v>
      </c>
      <c r="K560" s="3">
        <v>29</v>
      </c>
      <c r="L560" s="3">
        <v>30</v>
      </c>
      <c r="M560" s="3">
        <v>21</v>
      </c>
      <c r="N560" s="3" t="s">
        <v>427</v>
      </c>
      <c r="O560" s="206">
        <f t="shared" si="272"/>
        <v>106</v>
      </c>
      <c r="P560" s="206">
        <f t="shared" si="273"/>
        <v>107</v>
      </c>
      <c r="Q560" s="206" t="str">
        <f t="shared" si="274"/>
        <v>HW</v>
      </c>
      <c r="R560" s="206" t="str">
        <f t="shared" si="275"/>
        <v>HL</v>
      </c>
      <c r="S560" s="206" t="str">
        <f t="shared" si="276"/>
        <v>TT</v>
      </c>
      <c r="T560" s="206" t="str">
        <f t="shared" si="277"/>
        <v>HL</v>
      </c>
      <c r="U560" s="206" t="str">
        <f t="shared" si="278"/>
        <v>O</v>
      </c>
      <c r="V560" s="206" t="str">
        <f t="shared" si="279"/>
        <v>U</v>
      </c>
      <c r="W560" s="206" t="str">
        <f t="shared" si="280"/>
        <v>O</v>
      </c>
      <c r="X560" s="206" t="str">
        <f t="shared" si="281"/>
        <v>U</v>
      </c>
      <c r="Y560" s="206"/>
      <c r="Z560" s="3">
        <v>56.5</v>
      </c>
      <c r="AB560" s="206" t="str">
        <f t="shared" si="269"/>
        <v>DAL/DEN</v>
      </c>
      <c r="AC560" s="206">
        <f t="shared" si="282"/>
        <v>2</v>
      </c>
      <c r="AD560" s="206">
        <f t="shared" si="283"/>
        <v>2</v>
      </c>
    </row>
    <row r="561" spans="1:30" x14ac:dyDescent="0.45">
      <c r="A561" s="206">
        <v>200109</v>
      </c>
      <c r="B561" s="44">
        <v>0.41666666666666669</v>
      </c>
      <c r="C561" s="3" t="s">
        <v>398</v>
      </c>
      <c r="D561" s="3" t="s">
        <v>412</v>
      </c>
      <c r="E561" s="3">
        <v>23</v>
      </c>
      <c r="F561" s="3">
        <v>25</v>
      </c>
      <c r="G561" s="3">
        <v>44</v>
      </c>
      <c r="H561" s="3">
        <v>31</v>
      </c>
      <c r="J561" s="3">
        <v>21</v>
      </c>
      <c r="K561" s="3">
        <v>27</v>
      </c>
      <c r="L561" s="3">
        <v>27</v>
      </c>
      <c r="M561" s="3">
        <v>33</v>
      </c>
      <c r="N561" s="3" t="s">
        <v>427</v>
      </c>
      <c r="O561" s="206">
        <f t="shared" si="272"/>
        <v>123</v>
      </c>
      <c r="P561" s="206">
        <f t="shared" si="273"/>
        <v>108</v>
      </c>
      <c r="Q561" s="206" t="str">
        <f t="shared" si="274"/>
        <v>HW</v>
      </c>
      <c r="R561" s="206" t="str">
        <f t="shared" si="275"/>
        <v>HL</v>
      </c>
      <c r="S561" s="206" t="str">
        <f t="shared" si="276"/>
        <v>HW</v>
      </c>
      <c r="T561" s="206" t="str">
        <f t="shared" si="277"/>
        <v>HL</v>
      </c>
      <c r="U561" s="206" t="str">
        <f t="shared" si="278"/>
        <v>U</v>
      </c>
      <c r="V561" s="206" t="str">
        <f t="shared" si="279"/>
        <v>U</v>
      </c>
      <c r="W561" s="206" t="str">
        <f t="shared" si="280"/>
        <v>O</v>
      </c>
      <c r="X561" s="206" t="str">
        <f t="shared" si="281"/>
        <v>O</v>
      </c>
      <c r="Y561" s="206"/>
      <c r="Z561" s="3">
        <v>58</v>
      </c>
      <c r="AB561" s="206" t="str">
        <f t="shared" si="269"/>
        <v>NO/CHI</v>
      </c>
      <c r="AC561" s="206">
        <f t="shared" si="282"/>
        <v>2</v>
      </c>
      <c r="AD561" s="206">
        <f t="shared" si="283"/>
        <v>2</v>
      </c>
    </row>
    <row r="562" spans="1:30" x14ac:dyDescent="0.45">
      <c r="A562" s="206">
        <v>200109</v>
      </c>
      <c r="B562" s="44">
        <v>0.45833333333333331</v>
      </c>
      <c r="C562" s="3" t="s">
        <v>405</v>
      </c>
      <c r="D562" s="3" t="s">
        <v>399</v>
      </c>
      <c r="E562" s="3">
        <v>39</v>
      </c>
      <c r="F562" s="3">
        <v>33</v>
      </c>
      <c r="G562" s="3">
        <v>23</v>
      </c>
      <c r="H562" s="3">
        <v>33</v>
      </c>
      <c r="J562" s="3">
        <v>29</v>
      </c>
      <c r="K562" s="3">
        <v>24</v>
      </c>
      <c r="L562" s="3">
        <v>16</v>
      </c>
      <c r="M562" s="3">
        <v>35</v>
      </c>
      <c r="N562" s="3" t="s">
        <v>427</v>
      </c>
      <c r="O562" s="206">
        <f t="shared" si="272"/>
        <v>128</v>
      </c>
      <c r="P562" s="206">
        <f t="shared" si="273"/>
        <v>104</v>
      </c>
      <c r="Q562" s="206" t="str">
        <f t="shared" si="274"/>
        <v>HW</v>
      </c>
      <c r="R562" s="206" t="str">
        <f t="shared" si="275"/>
        <v>HW</v>
      </c>
      <c r="S562" s="206" t="str">
        <f t="shared" si="276"/>
        <v>HW</v>
      </c>
      <c r="T562" s="206" t="str">
        <f t="shared" si="277"/>
        <v>HL</v>
      </c>
      <c r="U562" s="206" t="str">
        <f t="shared" si="278"/>
        <v>O</v>
      </c>
      <c r="V562" s="206" t="str">
        <f t="shared" si="279"/>
        <v>O</v>
      </c>
      <c r="W562" s="206" t="str">
        <f t="shared" si="280"/>
        <v>U</v>
      </c>
      <c r="X562" s="206" t="str">
        <f t="shared" si="281"/>
        <v>O</v>
      </c>
      <c r="Y562" s="206"/>
      <c r="Z562" s="3">
        <v>55.5</v>
      </c>
      <c r="AB562" s="206" t="str">
        <f t="shared" si="269"/>
        <v>UTA/NYK</v>
      </c>
      <c r="AC562" s="206">
        <f t="shared" si="282"/>
        <v>3</v>
      </c>
      <c r="AD562" s="206">
        <f t="shared" si="283"/>
        <v>1</v>
      </c>
    </row>
    <row r="563" spans="1:30" x14ac:dyDescent="0.45">
      <c r="A563" s="206">
        <v>200109</v>
      </c>
      <c r="B563" s="44">
        <v>0.5</v>
      </c>
      <c r="C563" s="3" t="s">
        <v>425</v>
      </c>
      <c r="D563" s="3" t="s">
        <v>423</v>
      </c>
      <c r="E563" s="3">
        <v>19</v>
      </c>
      <c r="F563" s="3">
        <v>20</v>
      </c>
      <c r="G563" s="3">
        <v>33</v>
      </c>
      <c r="H563" s="3">
        <v>26</v>
      </c>
      <c r="J563" s="3">
        <v>19</v>
      </c>
      <c r="K563" s="3">
        <v>28</v>
      </c>
      <c r="L563" s="3">
        <v>34</v>
      </c>
      <c r="M563" s="3">
        <v>26</v>
      </c>
      <c r="N563" s="3" t="s">
        <v>427</v>
      </c>
      <c r="O563" s="206">
        <f t="shared" si="272"/>
        <v>98</v>
      </c>
      <c r="P563" s="206">
        <f t="shared" si="273"/>
        <v>107</v>
      </c>
      <c r="Q563" s="206" t="str">
        <f t="shared" si="274"/>
        <v>TT</v>
      </c>
      <c r="R563" s="206" t="str">
        <f t="shared" si="275"/>
        <v>HL</v>
      </c>
      <c r="S563" s="206" t="str">
        <f t="shared" si="276"/>
        <v>HL</v>
      </c>
      <c r="T563" s="206" t="str">
        <f t="shared" si="277"/>
        <v>TT</v>
      </c>
      <c r="U563" s="206" t="str">
        <f t="shared" si="278"/>
        <v>U</v>
      </c>
      <c r="V563" s="206" t="str">
        <f t="shared" si="279"/>
        <v>U</v>
      </c>
      <c r="W563" s="206" t="str">
        <f t="shared" si="280"/>
        <v>O</v>
      </c>
      <c r="X563" s="206" t="str">
        <f t="shared" si="281"/>
        <v>U</v>
      </c>
      <c r="Y563" s="206"/>
      <c r="Z563" s="3">
        <v>53</v>
      </c>
      <c r="AB563" s="206" t="str">
        <f t="shared" si="269"/>
        <v>GS/MIL</v>
      </c>
      <c r="AC563" s="206">
        <f t="shared" si="282"/>
        <v>1</v>
      </c>
      <c r="AD563" s="206">
        <f t="shared" si="283"/>
        <v>3</v>
      </c>
    </row>
    <row r="564" spans="1:30" x14ac:dyDescent="0.45">
      <c r="A564" s="206">
        <v>200110</v>
      </c>
      <c r="B564" s="44">
        <v>0.375</v>
      </c>
      <c r="C564" s="3" t="s">
        <v>422</v>
      </c>
      <c r="D564" s="3" t="s">
        <v>402</v>
      </c>
      <c r="E564" s="3">
        <v>32</v>
      </c>
      <c r="F564" s="3">
        <v>29</v>
      </c>
      <c r="G564" s="3">
        <v>22</v>
      </c>
      <c r="H564" s="3">
        <v>19</v>
      </c>
      <c r="I564" s="3">
        <v>10</v>
      </c>
      <c r="J564" s="3">
        <v>26</v>
      </c>
      <c r="K564" s="3">
        <v>24</v>
      </c>
      <c r="L564" s="3">
        <v>31</v>
      </c>
      <c r="M564" s="3">
        <v>21</v>
      </c>
      <c r="N564" s="3">
        <v>13</v>
      </c>
      <c r="O564" s="206">
        <f t="shared" si="272"/>
        <v>112</v>
      </c>
      <c r="P564" s="206">
        <f t="shared" si="273"/>
        <v>115</v>
      </c>
      <c r="Q564" s="206" t="str">
        <f t="shared" si="274"/>
        <v>HW</v>
      </c>
      <c r="R564" s="206" t="str">
        <f t="shared" si="275"/>
        <v>HW</v>
      </c>
      <c r="S564" s="206" t="str">
        <f t="shared" si="276"/>
        <v>HL</v>
      </c>
      <c r="T564" s="206" t="str">
        <f t="shared" si="277"/>
        <v>HL</v>
      </c>
      <c r="U564" s="206" t="str">
        <f t="shared" si="278"/>
        <v>O</v>
      </c>
      <c r="V564" s="206" t="str">
        <f t="shared" si="279"/>
        <v>U</v>
      </c>
      <c r="W564" s="206" t="str">
        <f t="shared" si="280"/>
        <v>U</v>
      </c>
      <c r="X564" s="206" t="str">
        <f t="shared" si="281"/>
        <v>U</v>
      </c>
      <c r="Y564" s="206"/>
      <c r="Z564" s="3">
        <v>54</v>
      </c>
      <c r="AB564" s="206" t="str">
        <f t="shared" si="269"/>
        <v>DET/CLE</v>
      </c>
      <c r="AC564" s="206">
        <f t="shared" si="282"/>
        <v>1</v>
      </c>
      <c r="AD564" s="206">
        <f t="shared" si="283"/>
        <v>3</v>
      </c>
    </row>
    <row r="565" spans="1:30" x14ac:dyDescent="0.45">
      <c r="A565" s="206">
        <v>200110</v>
      </c>
      <c r="B565" s="44">
        <v>0.375</v>
      </c>
      <c r="C565" s="3" t="s">
        <v>401</v>
      </c>
      <c r="D565" s="3" t="s">
        <v>421</v>
      </c>
      <c r="E565" s="3">
        <v>26</v>
      </c>
      <c r="F565" s="3">
        <v>22</v>
      </c>
      <c r="G565" s="3">
        <v>29</v>
      </c>
      <c r="H565" s="3">
        <v>32</v>
      </c>
      <c r="J565" s="3">
        <v>35</v>
      </c>
      <c r="K565" s="3">
        <v>20</v>
      </c>
      <c r="L565" s="3">
        <v>25</v>
      </c>
      <c r="M565" s="3">
        <v>18</v>
      </c>
      <c r="N565" s="3" t="s">
        <v>427</v>
      </c>
      <c r="O565" s="206">
        <f t="shared" si="272"/>
        <v>109</v>
      </c>
      <c r="P565" s="206">
        <f t="shared" si="273"/>
        <v>98</v>
      </c>
      <c r="Q565" s="206" t="str">
        <f t="shared" si="274"/>
        <v>HL</v>
      </c>
      <c r="R565" s="206" t="str">
        <f t="shared" si="275"/>
        <v>HW</v>
      </c>
      <c r="S565" s="206" t="str">
        <f t="shared" si="276"/>
        <v>HW</v>
      </c>
      <c r="T565" s="206" t="str">
        <f t="shared" si="277"/>
        <v>HW</v>
      </c>
      <c r="U565" s="206" t="str">
        <f t="shared" si="278"/>
        <v>O</v>
      </c>
      <c r="V565" s="206" t="str">
        <f t="shared" si="279"/>
        <v>U</v>
      </c>
      <c r="W565" s="206" t="str">
        <f t="shared" si="280"/>
        <v>U</v>
      </c>
      <c r="X565" s="206" t="str">
        <f t="shared" si="281"/>
        <v>U</v>
      </c>
      <c r="Y565" s="206"/>
      <c r="Z565" s="3">
        <v>54.5</v>
      </c>
      <c r="AB565" s="206" t="str">
        <f t="shared" si="269"/>
        <v>PHI/BOS</v>
      </c>
      <c r="AC565" s="206">
        <f t="shared" si="282"/>
        <v>1</v>
      </c>
      <c r="AD565" s="206">
        <f t="shared" si="283"/>
        <v>3</v>
      </c>
    </row>
    <row r="566" spans="1:30" x14ac:dyDescent="0.45">
      <c r="A566" s="206">
        <v>200110</v>
      </c>
      <c r="B566" s="44">
        <v>0.41666666666666669</v>
      </c>
      <c r="C566" s="3" t="s">
        <v>420</v>
      </c>
      <c r="D566" s="3" t="s">
        <v>417</v>
      </c>
      <c r="E566" s="3">
        <v>28</v>
      </c>
      <c r="F566" s="3">
        <v>31</v>
      </c>
      <c r="G566" s="3">
        <v>41</v>
      </c>
      <c r="H566" s="3">
        <v>16</v>
      </c>
      <c r="J566" s="3">
        <v>34</v>
      </c>
      <c r="K566" s="3">
        <v>13</v>
      </c>
      <c r="L566" s="3">
        <v>27</v>
      </c>
      <c r="M566" s="3">
        <v>28</v>
      </c>
      <c r="N566" s="3" t="s">
        <v>427</v>
      </c>
      <c r="O566" s="206">
        <f t="shared" si="272"/>
        <v>116</v>
      </c>
      <c r="P566" s="206">
        <f t="shared" si="273"/>
        <v>102</v>
      </c>
      <c r="Q566" s="206" t="str">
        <f t="shared" si="274"/>
        <v>HL</v>
      </c>
      <c r="R566" s="206" t="str">
        <f t="shared" si="275"/>
        <v>HW</v>
      </c>
      <c r="S566" s="206" t="str">
        <f t="shared" si="276"/>
        <v>HW</v>
      </c>
      <c r="T566" s="206" t="str">
        <f t="shared" si="277"/>
        <v>HL</v>
      </c>
      <c r="U566" s="206" t="str">
        <f t="shared" si="278"/>
        <v>O</v>
      </c>
      <c r="V566" s="206" t="str">
        <f t="shared" si="279"/>
        <v>U</v>
      </c>
      <c r="W566" s="206" t="str">
        <f t="shared" si="280"/>
        <v>O</v>
      </c>
      <c r="X566" s="206" t="str">
        <f t="shared" si="281"/>
        <v>U</v>
      </c>
      <c r="Y566" s="206"/>
      <c r="Z566" s="3">
        <v>58</v>
      </c>
      <c r="AB566" s="206" t="str">
        <f t="shared" si="269"/>
        <v>MIN/POR</v>
      </c>
      <c r="AC566" s="206">
        <f t="shared" si="282"/>
        <v>2</v>
      </c>
      <c r="AD566" s="206">
        <f t="shared" si="283"/>
        <v>2</v>
      </c>
    </row>
    <row r="567" spans="1:30" x14ac:dyDescent="0.45">
      <c r="A567" s="206">
        <v>200110</v>
      </c>
      <c r="B567" s="44">
        <v>0.47916666666666669</v>
      </c>
      <c r="C567" s="3" t="s">
        <v>418</v>
      </c>
      <c r="D567" s="3" t="s">
        <v>403</v>
      </c>
      <c r="E567" s="3">
        <v>37</v>
      </c>
      <c r="F567" s="3">
        <v>23</v>
      </c>
      <c r="G567" s="3">
        <v>29</v>
      </c>
      <c r="H567" s="3">
        <v>24</v>
      </c>
      <c r="J567" s="3">
        <v>21</v>
      </c>
      <c r="K567" s="3">
        <v>27</v>
      </c>
      <c r="L567" s="3">
        <v>19</v>
      </c>
      <c r="M567" s="3">
        <v>25</v>
      </c>
      <c r="N567" s="3" t="s">
        <v>427</v>
      </c>
      <c r="O567" s="206">
        <f t="shared" si="272"/>
        <v>113</v>
      </c>
      <c r="P567" s="206">
        <f t="shared" si="273"/>
        <v>92</v>
      </c>
      <c r="Q567" s="206" t="str">
        <f t="shared" si="274"/>
        <v>HW</v>
      </c>
      <c r="R567" s="206" t="str">
        <f t="shared" si="275"/>
        <v>HL</v>
      </c>
      <c r="S567" s="206" t="str">
        <f t="shared" si="276"/>
        <v>HW</v>
      </c>
      <c r="T567" s="206" t="str">
        <f t="shared" si="277"/>
        <v>HL</v>
      </c>
      <c r="U567" s="206" t="str">
        <f t="shared" si="278"/>
        <v>U</v>
      </c>
      <c r="V567" s="206" t="str">
        <f t="shared" si="279"/>
        <v>U</v>
      </c>
      <c r="W567" s="206" t="str">
        <f t="shared" si="280"/>
        <v>U</v>
      </c>
      <c r="X567" s="206" t="str">
        <f t="shared" si="281"/>
        <v>U</v>
      </c>
      <c r="Y567" s="206"/>
      <c r="Z567" s="3">
        <v>59</v>
      </c>
      <c r="AB567" s="206" t="str">
        <f t="shared" si="269"/>
        <v>OKC/HOU</v>
      </c>
      <c r="AC567" s="206">
        <f t="shared" si="282"/>
        <v>0</v>
      </c>
      <c r="AD567" s="206">
        <f t="shared" si="283"/>
        <v>4</v>
      </c>
    </row>
    <row r="568" spans="1:30" x14ac:dyDescent="0.45">
      <c r="A568" s="206">
        <v>200111</v>
      </c>
      <c r="B568" s="44">
        <v>0.375</v>
      </c>
      <c r="C568" s="3" t="s">
        <v>414</v>
      </c>
      <c r="D568" s="3" t="s">
        <v>410</v>
      </c>
      <c r="E568" s="3">
        <v>30</v>
      </c>
      <c r="F568" s="3">
        <v>26</v>
      </c>
      <c r="G568" s="3">
        <v>25</v>
      </c>
      <c r="H568" s="3">
        <v>30</v>
      </c>
      <c r="J568" s="3">
        <v>21</v>
      </c>
      <c r="K568" s="3">
        <v>30</v>
      </c>
      <c r="L568" s="3">
        <v>28</v>
      </c>
      <c r="M568" s="3">
        <v>22</v>
      </c>
      <c r="N568" s="3" t="s">
        <v>427</v>
      </c>
      <c r="O568" s="206">
        <f t="shared" si="272"/>
        <v>111</v>
      </c>
      <c r="P568" s="206">
        <f t="shared" si="273"/>
        <v>101</v>
      </c>
      <c r="Q568" s="206" t="str">
        <f t="shared" si="274"/>
        <v>HW</v>
      </c>
      <c r="R568" s="206" t="str">
        <f t="shared" si="275"/>
        <v>HL</v>
      </c>
      <c r="S568" s="206" t="str">
        <f t="shared" si="276"/>
        <v>HL</v>
      </c>
      <c r="T568" s="206" t="str">
        <f t="shared" si="277"/>
        <v>HW</v>
      </c>
      <c r="U568" s="206" t="str">
        <f t="shared" si="278"/>
        <v>U</v>
      </c>
      <c r="V568" s="206" t="str">
        <f t="shared" si="279"/>
        <v>U</v>
      </c>
      <c r="W568" s="206" t="str">
        <f t="shared" si="280"/>
        <v>U</v>
      </c>
      <c r="X568" s="206" t="str">
        <f t="shared" si="281"/>
        <v>U</v>
      </c>
      <c r="Y568" s="206"/>
      <c r="Z568" s="3">
        <v>61.5</v>
      </c>
      <c r="AB568" s="206" t="str">
        <f t="shared" si="269"/>
        <v>WAS/ATL</v>
      </c>
      <c r="AC568" s="206">
        <f t="shared" si="282"/>
        <v>0</v>
      </c>
      <c r="AD568" s="206">
        <f t="shared" si="283"/>
        <v>4</v>
      </c>
    </row>
    <row r="569" spans="1:30" x14ac:dyDescent="0.45">
      <c r="A569" s="206">
        <v>200111</v>
      </c>
      <c r="B569" s="44">
        <v>0.38541666666666669</v>
      </c>
      <c r="C569" s="3" t="s">
        <v>399</v>
      </c>
      <c r="D569" s="3" t="s">
        <v>398</v>
      </c>
      <c r="E569" s="3">
        <v>31</v>
      </c>
      <c r="F569" s="3">
        <v>30</v>
      </c>
      <c r="G569" s="3">
        <v>25</v>
      </c>
      <c r="H569" s="3">
        <v>25</v>
      </c>
      <c r="J569" s="3">
        <v>33</v>
      </c>
      <c r="K569" s="3">
        <v>34</v>
      </c>
      <c r="L569" s="3">
        <v>28</v>
      </c>
      <c r="M569" s="3">
        <v>28</v>
      </c>
      <c r="N569" s="3" t="s">
        <v>427</v>
      </c>
      <c r="O569" s="206">
        <f t="shared" si="272"/>
        <v>111</v>
      </c>
      <c r="P569" s="206">
        <f t="shared" si="273"/>
        <v>123</v>
      </c>
      <c r="Q569" s="206" t="str">
        <f t="shared" si="274"/>
        <v>HL</v>
      </c>
      <c r="R569" s="206" t="str">
        <f t="shared" si="275"/>
        <v>HL</v>
      </c>
      <c r="S569" s="206" t="str">
        <f t="shared" si="276"/>
        <v>HL</v>
      </c>
      <c r="T569" s="206" t="str">
        <f t="shared" si="277"/>
        <v>HL</v>
      </c>
      <c r="U569" s="206" t="str">
        <f t="shared" si="278"/>
        <v>O</v>
      </c>
      <c r="V569" s="206" t="str">
        <f t="shared" si="279"/>
        <v>O</v>
      </c>
      <c r="W569" s="206" t="str">
        <f t="shared" si="280"/>
        <v>U</v>
      </c>
      <c r="X569" s="206" t="str">
        <f t="shared" si="281"/>
        <v>U</v>
      </c>
      <c r="Y569" s="206"/>
      <c r="Z569" s="3">
        <v>58.5</v>
      </c>
      <c r="AB569" s="206" t="str">
        <f t="shared" si="269"/>
        <v>NYK/NO</v>
      </c>
      <c r="AC569" s="206">
        <f t="shared" si="282"/>
        <v>2</v>
      </c>
      <c r="AD569" s="206">
        <f t="shared" si="283"/>
        <v>2</v>
      </c>
    </row>
    <row r="570" spans="1:30" x14ac:dyDescent="0.45">
      <c r="A570" s="206">
        <v>200111</v>
      </c>
      <c r="B570" s="44">
        <v>0.39583333333333331</v>
      </c>
      <c r="C570" s="3" t="s">
        <v>407</v>
      </c>
      <c r="D570" s="3" t="s">
        <v>411</v>
      </c>
      <c r="E570" s="3">
        <v>32</v>
      </c>
      <c r="F570" s="3">
        <v>25</v>
      </c>
      <c r="G570" s="3">
        <v>32</v>
      </c>
      <c r="H570" s="3">
        <v>28</v>
      </c>
      <c r="J570" s="3">
        <v>42</v>
      </c>
      <c r="K570" s="3">
        <v>27</v>
      </c>
      <c r="L570" s="3">
        <v>20</v>
      </c>
      <c r="M570" s="3">
        <v>24</v>
      </c>
      <c r="N570" s="3" t="s">
        <v>427</v>
      </c>
      <c r="O570" s="206">
        <f t="shared" si="272"/>
        <v>117</v>
      </c>
      <c r="P570" s="206">
        <f t="shared" si="273"/>
        <v>113</v>
      </c>
      <c r="Q570" s="206" t="str">
        <f t="shared" si="274"/>
        <v>HL</v>
      </c>
      <c r="R570" s="206" t="str">
        <f t="shared" si="275"/>
        <v>HL</v>
      </c>
      <c r="S570" s="206" t="str">
        <f t="shared" si="276"/>
        <v>HW</v>
      </c>
      <c r="T570" s="206" t="str">
        <f t="shared" si="277"/>
        <v>HW</v>
      </c>
      <c r="U570" s="206" t="str">
        <f t="shared" si="278"/>
        <v>O</v>
      </c>
      <c r="V570" s="206" t="str">
        <f t="shared" si="279"/>
        <v>U</v>
      </c>
      <c r="W570" s="206" t="str">
        <f t="shared" si="280"/>
        <v>U</v>
      </c>
      <c r="X570" s="206" t="str">
        <f t="shared" si="281"/>
        <v>U</v>
      </c>
      <c r="Y570" s="206"/>
      <c r="Z570" s="3">
        <v>56</v>
      </c>
      <c r="AB570" s="206" t="str">
        <f t="shared" si="269"/>
        <v>BKN/MIA</v>
      </c>
      <c r="AC570" s="206">
        <f t="shared" si="282"/>
        <v>1</v>
      </c>
      <c r="AD570" s="206">
        <f t="shared" si="283"/>
        <v>3</v>
      </c>
    </row>
    <row r="571" spans="1:30" x14ac:dyDescent="0.45">
      <c r="A571" s="206">
        <v>200111</v>
      </c>
      <c r="B571" s="44">
        <v>0.41666666666666669</v>
      </c>
      <c r="C571" s="3" t="s">
        <v>412</v>
      </c>
      <c r="D571" s="3" t="s">
        <v>400</v>
      </c>
      <c r="E571" s="3">
        <v>27</v>
      </c>
      <c r="F571" s="3">
        <v>19</v>
      </c>
      <c r="G571" s="3">
        <v>26</v>
      </c>
      <c r="H571" s="3">
        <v>33</v>
      </c>
      <c r="J571" s="3">
        <v>29</v>
      </c>
      <c r="K571" s="3">
        <v>25</v>
      </c>
      <c r="L571" s="3">
        <v>25</v>
      </c>
      <c r="M571" s="3">
        <v>37</v>
      </c>
      <c r="N571" s="3" t="s">
        <v>427</v>
      </c>
      <c r="O571" s="206">
        <f t="shared" si="272"/>
        <v>105</v>
      </c>
      <c r="P571" s="206">
        <f t="shared" si="273"/>
        <v>116</v>
      </c>
      <c r="Q571" s="206" t="str">
        <f t="shared" si="274"/>
        <v>HL</v>
      </c>
      <c r="R571" s="206" t="str">
        <f t="shared" si="275"/>
        <v>HL</v>
      </c>
      <c r="S571" s="206" t="str">
        <f t="shared" si="276"/>
        <v>HW</v>
      </c>
      <c r="T571" s="206" t="str">
        <f t="shared" si="277"/>
        <v>HL</v>
      </c>
      <c r="U571" s="206" t="str">
        <f t="shared" si="278"/>
        <v>O</v>
      </c>
      <c r="V571" s="206" t="str">
        <f t="shared" si="279"/>
        <v>U</v>
      </c>
      <c r="W571" s="206" t="str">
        <f t="shared" si="280"/>
        <v>U</v>
      </c>
      <c r="X571" s="206" t="str">
        <f t="shared" si="281"/>
        <v>O</v>
      </c>
      <c r="Y571" s="206"/>
      <c r="Z571" s="3">
        <v>54.5</v>
      </c>
      <c r="AB571" s="206" t="str">
        <f t="shared" si="269"/>
        <v>CHI/IND</v>
      </c>
      <c r="AC571" s="206">
        <f t="shared" si="282"/>
        <v>2</v>
      </c>
      <c r="AD571" s="206">
        <f t="shared" si="283"/>
        <v>2</v>
      </c>
    </row>
    <row r="572" spans="1:30" x14ac:dyDescent="0.45">
      <c r="A572" s="206">
        <v>200111</v>
      </c>
      <c r="B572" s="44">
        <v>0.41666666666666669</v>
      </c>
      <c r="C572" s="3" t="s">
        <v>406</v>
      </c>
      <c r="D572" s="3" t="s">
        <v>426</v>
      </c>
      <c r="E572" s="3">
        <v>37</v>
      </c>
      <c r="F572" s="3">
        <v>26</v>
      </c>
      <c r="G572" s="3">
        <v>37</v>
      </c>
      <c r="H572" s="3">
        <v>34</v>
      </c>
      <c r="J572" s="3">
        <v>32</v>
      </c>
      <c r="K572" s="3">
        <v>25</v>
      </c>
      <c r="L572" s="3">
        <v>41</v>
      </c>
      <c r="M572" s="3">
        <v>23</v>
      </c>
      <c r="N572" s="3" t="s">
        <v>427</v>
      </c>
      <c r="O572" s="206">
        <f t="shared" si="272"/>
        <v>134</v>
      </c>
      <c r="P572" s="206">
        <f t="shared" si="273"/>
        <v>121</v>
      </c>
      <c r="Q572" s="206" t="str">
        <f t="shared" si="274"/>
        <v>HW</v>
      </c>
      <c r="R572" s="206" t="str">
        <f t="shared" si="275"/>
        <v>HW</v>
      </c>
      <c r="S572" s="206" t="str">
        <f t="shared" si="276"/>
        <v>HL</v>
      </c>
      <c r="T572" s="206" t="str">
        <f t="shared" si="277"/>
        <v>HW</v>
      </c>
      <c r="U572" s="206" t="str">
        <f t="shared" si="278"/>
        <v>O</v>
      </c>
      <c r="V572" s="206" t="str">
        <f t="shared" si="279"/>
        <v>U</v>
      </c>
      <c r="W572" s="206" t="str">
        <f t="shared" si="280"/>
        <v>O</v>
      </c>
      <c r="X572" s="206" t="str">
        <f t="shared" si="281"/>
        <v>O</v>
      </c>
      <c r="Y572" s="206"/>
      <c r="Z572" s="3">
        <v>56</v>
      </c>
      <c r="AB572" s="206" t="str">
        <f t="shared" si="269"/>
        <v>MEM/SAS</v>
      </c>
      <c r="AC572" s="206">
        <f t="shared" si="282"/>
        <v>3</v>
      </c>
      <c r="AD572" s="206">
        <f t="shared" si="283"/>
        <v>1</v>
      </c>
    </row>
    <row r="573" spans="1:30" x14ac:dyDescent="0.45">
      <c r="A573" s="206">
        <v>200111</v>
      </c>
      <c r="B573" s="44">
        <v>0.45833333333333331</v>
      </c>
      <c r="C573" s="3" t="s">
        <v>404</v>
      </c>
      <c r="D573" s="3" t="s">
        <v>424</v>
      </c>
      <c r="E573" s="3">
        <v>27</v>
      </c>
      <c r="F573" s="3">
        <v>31</v>
      </c>
      <c r="G573" s="3">
        <v>19</v>
      </c>
      <c r="H573" s="3">
        <v>21</v>
      </c>
      <c r="J573" s="3">
        <v>25</v>
      </c>
      <c r="K573" s="3">
        <v>23</v>
      </c>
      <c r="L573" s="3">
        <v>27</v>
      </c>
      <c r="M573" s="3">
        <v>19</v>
      </c>
      <c r="N573" s="3" t="s">
        <v>427</v>
      </c>
      <c r="O573" s="206">
        <f t="shared" si="272"/>
        <v>98</v>
      </c>
      <c r="P573" s="206">
        <f t="shared" si="273"/>
        <v>94</v>
      </c>
      <c r="Q573" s="206" t="str">
        <f t="shared" si="274"/>
        <v>HW</v>
      </c>
      <c r="R573" s="206" t="str">
        <f t="shared" si="275"/>
        <v>HW</v>
      </c>
      <c r="S573" s="206" t="str">
        <f t="shared" si="276"/>
        <v>HL</v>
      </c>
      <c r="T573" s="206" t="str">
        <f t="shared" si="277"/>
        <v>HW</v>
      </c>
      <c r="U573" s="206" t="str">
        <f t="shared" si="278"/>
        <v>U</v>
      </c>
      <c r="V573" s="206" t="str">
        <f t="shared" si="279"/>
        <v>U</v>
      </c>
      <c r="W573" s="206" t="str">
        <f t="shared" si="280"/>
        <v>U</v>
      </c>
      <c r="X573" s="206" t="str">
        <f t="shared" si="281"/>
        <v>U</v>
      </c>
      <c r="Y573" s="206"/>
      <c r="Z573" s="3">
        <v>55.5</v>
      </c>
      <c r="AB573" s="206" t="str">
        <f t="shared" si="269"/>
        <v>PHO/ORL</v>
      </c>
      <c r="AC573" s="206">
        <f t="shared" si="282"/>
        <v>0</v>
      </c>
      <c r="AD573" s="206">
        <f t="shared" si="283"/>
        <v>4</v>
      </c>
    </row>
    <row r="574" spans="1:30" x14ac:dyDescent="0.45">
      <c r="A574" s="206">
        <v>200111</v>
      </c>
      <c r="B574" s="44">
        <v>0.45833333333333331</v>
      </c>
      <c r="C574" s="3" t="s">
        <v>405</v>
      </c>
      <c r="D574" s="3" t="s">
        <v>409</v>
      </c>
      <c r="E574" s="3">
        <v>29</v>
      </c>
      <c r="F574" s="3">
        <v>32</v>
      </c>
      <c r="G574" s="3">
        <v>26</v>
      </c>
      <c r="H574" s="3">
        <v>22</v>
      </c>
      <c r="J574" s="3">
        <v>13</v>
      </c>
      <c r="K574" s="3">
        <v>25</v>
      </c>
      <c r="L574" s="3">
        <v>24</v>
      </c>
      <c r="M574" s="3">
        <v>30</v>
      </c>
      <c r="N574" s="3" t="s">
        <v>427</v>
      </c>
      <c r="O574" s="206">
        <f t="shared" si="272"/>
        <v>109</v>
      </c>
      <c r="P574" s="206">
        <f t="shared" si="273"/>
        <v>92</v>
      </c>
      <c r="Q574" s="206" t="str">
        <f t="shared" si="274"/>
        <v>HW</v>
      </c>
      <c r="R574" s="206" t="str">
        <f t="shared" si="275"/>
        <v>HW</v>
      </c>
      <c r="S574" s="206" t="str">
        <f t="shared" si="276"/>
        <v>HW</v>
      </c>
      <c r="T574" s="206" t="str">
        <f t="shared" si="277"/>
        <v>HL</v>
      </c>
      <c r="U574" s="206" t="str">
        <f t="shared" si="278"/>
        <v>U</v>
      </c>
      <c r="V574" s="206" t="str">
        <f t="shared" si="279"/>
        <v>O</v>
      </c>
      <c r="W574" s="206" t="str">
        <f t="shared" si="280"/>
        <v>U</v>
      </c>
      <c r="X574" s="206" t="str">
        <f t="shared" si="281"/>
        <v>U</v>
      </c>
      <c r="Y574" s="206"/>
      <c r="Z574" s="3">
        <v>54.5</v>
      </c>
      <c r="AB574" s="206" t="str">
        <f t="shared" si="269"/>
        <v>UTA/CHA</v>
      </c>
      <c r="AC574" s="206">
        <f t="shared" si="282"/>
        <v>1</v>
      </c>
      <c r="AD574" s="206">
        <f t="shared" si="283"/>
        <v>3</v>
      </c>
    </row>
    <row r="575" spans="1:30" x14ac:dyDescent="0.45">
      <c r="A575" s="206">
        <v>200111</v>
      </c>
      <c r="B575" s="44">
        <v>0.48958333333333331</v>
      </c>
      <c r="C575" s="3" t="s">
        <v>397</v>
      </c>
      <c r="D575" s="3" t="s">
        <v>419</v>
      </c>
      <c r="E575" s="3">
        <v>27</v>
      </c>
      <c r="F575" s="3">
        <v>31</v>
      </c>
      <c r="G575" s="3">
        <v>28</v>
      </c>
      <c r="H575" s="3">
        <v>28</v>
      </c>
      <c r="J575" s="3">
        <v>45</v>
      </c>
      <c r="K575" s="3">
        <v>34</v>
      </c>
      <c r="L575" s="3">
        <v>20</v>
      </c>
      <c r="M575" s="3">
        <v>30</v>
      </c>
      <c r="N575" s="3" t="s">
        <v>427</v>
      </c>
      <c r="O575" s="206">
        <f t="shared" si="272"/>
        <v>114</v>
      </c>
      <c r="P575" s="206">
        <f t="shared" si="273"/>
        <v>129</v>
      </c>
      <c r="Q575" s="206" t="str">
        <f t="shared" si="274"/>
        <v>HL</v>
      </c>
      <c r="R575" s="206" t="str">
        <f t="shared" si="275"/>
        <v>HL</v>
      </c>
      <c r="S575" s="206" t="str">
        <f t="shared" si="276"/>
        <v>HW</v>
      </c>
      <c r="T575" s="206" t="str">
        <f t="shared" si="277"/>
        <v>HL</v>
      </c>
      <c r="U575" s="206" t="str">
        <f t="shared" si="278"/>
        <v>O</v>
      </c>
      <c r="V575" s="206" t="str">
        <f t="shared" si="279"/>
        <v>O</v>
      </c>
      <c r="W575" s="206" t="str">
        <f t="shared" si="280"/>
        <v>U</v>
      </c>
      <c r="X575" s="206" t="str">
        <f t="shared" si="281"/>
        <v>O</v>
      </c>
      <c r="Y575" s="206"/>
      <c r="Z575" s="3">
        <v>57</v>
      </c>
      <c r="AB575" s="206" t="str">
        <f t="shared" si="269"/>
        <v>DAL/LAL</v>
      </c>
      <c r="AC575" s="206">
        <f t="shared" si="282"/>
        <v>3</v>
      </c>
      <c r="AD575" s="206">
        <f t="shared" si="283"/>
        <v>1</v>
      </c>
    </row>
    <row r="576" spans="1:30" x14ac:dyDescent="0.45">
      <c r="A576" s="206">
        <v>200111</v>
      </c>
      <c r="B576" s="44">
        <v>0.5</v>
      </c>
      <c r="C576" s="3" t="s">
        <v>416</v>
      </c>
      <c r="D576" s="3" t="s">
        <v>423</v>
      </c>
      <c r="E576" s="3">
        <v>18</v>
      </c>
      <c r="F576" s="3">
        <v>26</v>
      </c>
      <c r="G576" s="3">
        <v>31</v>
      </c>
      <c r="H576" s="3">
        <v>31</v>
      </c>
      <c r="J576" s="3">
        <v>34</v>
      </c>
      <c r="K576" s="3">
        <v>19</v>
      </c>
      <c r="L576" s="3">
        <v>37</v>
      </c>
      <c r="M576" s="3">
        <v>37</v>
      </c>
      <c r="N576" s="3" t="s">
        <v>427</v>
      </c>
      <c r="O576" s="206">
        <f t="shared" si="272"/>
        <v>106</v>
      </c>
      <c r="P576" s="206">
        <f t="shared" si="273"/>
        <v>127</v>
      </c>
      <c r="Q576" s="206" t="str">
        <f t="shared" si="274"/>
        <v>HL</v>
      </c>
      <c r="R576" s="206" t="str">
        <f t="shared" si="275"/>
        <v>HW</v>
      </c>
      <c r="S576" s="206" t="str">
        <f t="shared" si="276"/>
        <v>HL</v>
      </c>
      <c r="T576" s="206" t="str">
        <f t="shared" si="277"/>
        <v>HL</v>
      </c>
      <c r="U576" s="206" t="str">
        <f t="shared" si="278"/>
        <v>U</v>
      </c>
      <c r="V576" s="206" t="str">
        <f t="shared" si="279"/>
        <v>U</v>
      </c>
      <c r="W576" s="206" t="str">
        <f t="shared" si="280"/>
        <v>O</v>
      </c>
      <c r="X576" s="206" t="str">
        <f t="shared" si="281"/>
        <v>O</v>
      </c>
      <c r="Y576" s="206"/>
      <c r="Z576" s="3">
        <v>55</v>
      </c>
      <c r="AB576" s="206" t="str">
        <f t="shared" si="269"/>
        <v>SAC/MIL</v>
      </c>
      <c r="AC576" s="206">
        <f t="shared" si="282"/>
        <v>2</v>
      </c>
      <c r="AD576" s="206">
        <f t="shared" si="283"/>
        <v>2</v>
      </c>
    </row>
    <row r="577" spans="1:30" x14ac:dyDescent="0.45">
      <c r="A577" s="206">
        <v>200111</v>
      </c>
      <c r="B577" s="44">
        <v>0.52083333333333337</v>
      </c>
      <c r="C577" s="3" t="s">
        <v>415</v>
      </c>
      <c r="D577" s="3" t="s">
        <v>425</v>
      </c>
      <c r="E577" s="3">
        <v>22</v>
      </c>
      <c r="F577" s="3">
        <v>26</v>
      </c>
      <c r="G577" s="3">
        <v>25</v>
      </c>
      <c r="H577" s="3">
        <v>36</v>
      </c>
      <c r="J577" s="3">
        <v>20</v>
      </c>
      <c r="K577" s="3">
        <v>33</v>
      </c>
      <c r="L577" s="3">
        <v>30</v>
      </c>
      <c r="M577" s="3">
        <v>17</v>
      </c>
      <c r="N577" s="3" t="s">
        <v>427</v>
      </c>
      <c r="O577" s="206">
        <f t="shared" si="272"/>
        <v>109</v>
      </c>
      <c r="P577" s="206">
        <f t="shared" si="273"/>
        <v>100</v>
      </c>
      <c r="Q577" s="206" t="str">
        <f t="shared" si="274"/>
        <v>HW</v>
      </c>
      <c r="R577" s="206" t="str">
        <f t="shared" si="275"/>
        <v>HL</v>
      </c>
      <c r="S577" s="206" t="str">
        <f t="shared" si="276"/>
        <v>HL</v>
      </c>
      <c r="T577" s="206" t="str">
        <f t="shared" si="277"/>
        <v>HW</v>
      </c>
      <c r="U577" s="206" t="str">
        <f t="shared" si="278"/>
        <v>U</v>
      </c>
      <c r="V577" s="206" t="str">
        <f t="shared" si="279"/>
        <v>O</v>
      </c>
      <c r="W577" s="206" t="str">
        <f t="shared" si="280"/>
        <v>U</v>
      </c>
      <c r="X577" s="206" t="str">
        <f t="shared" si="281"/>
        <v>U</v>
      </c>
      <c r="Y577" s="206"/>
      <c r="Z577" s="3">
        <v>56</v>
      </c>
      <c r="AB577" s="206" t="str">
        <f t="shared" si="269"/>
        <v>LAC/GS</v>
      </c>
      <c r="AC577" s="206">
        <f t="shared" si="282"/>
        <v>1</v>
      </c>
      <c r="AD577" s="206">
        <f t="shared" si="283"/>
        <v>3</v>
      </c>
    </row>
    <row r="578" spans="1:30" x14ac:dyDescent="0.45">
      <c r="A578" s="206">
        <v>200112</v>
      </c>
      <c r="B578" s="44">
        <v>0.29166666666666669</v>
      </c>
      <c r="C578" s="3" t="s">
        <v>403</v>
      </c>
      <c r="D578" s="3" t="s">
        <v>420</v>
      </c>
      <c r="E578" s="3">
        <v>22</v>
      </c>
      <c r="F578" s="3">
        <v>35</v>
      </c>
      <c r="G578" s="3">
        <v>45</v>
      </c>
      <c r="H578" s="3">
        <v>37</v>
      </c>
      <c r="J578" s="3">
        <v>20</v>
      </c>
      <c r="K578" s="3">
        <v>21</v>
      </c>
      <c r="L578" s="3">
        <v>35</v>
      </c>
      <c r="M578" s="3">
        <v>33</v>
      </c>
      <c r="N578" s="3" t="s">
        <v>427</v>
      </c>
      <c r="O578" s="206">
        <f t="shared" si="272"/>
        <v>139</v>
      </c>
      <c r="P578" s="206">
        <f t="shared" si="273"/>
        <v>109</v>
      </c>
      <c r="Q578" s="206" t="str">
        <f t="shared" si="274"/>
        <v>HW</v>
      </c>
      <c r="R578" s="206" t="str">
        <f t="shared" si="275"/>
        <v>HW</v>
      </c>
      <c r="S578" s="206" t="str">
        <f t="shared" si="276"/>
        <v>HW</v>
      </c>
      <c r="T578" s="206" t="str">
        <f t="shared" si="277"/>
        <v>HW</v>
      </c>
      <c r="U578" s="206" t="str">
        <f t="shared" si="278"/>
        <v>U</v>
      </c>
      <c r="V578" s="206" t="str">
        <f t="shared" si="279"/>
        <v>U</v>
      </c>
      <c r="W578" s="206" t="str">
        <f t="shared" si="280"/>
        <v>O</v>
      </c>
      <c r="X578" s="206" t="str">
        <f t="shared" si="281"/>
        <v>O</v>
      </c>
      <c r="Y578" s="206"/>
      <c r="Z578" s="3">
        <v>60</v>
      </c>
      <c r="AB578" s="206" t="str">
        <f t="shared" si="269"/>
        <v>HOU/MIN</v>
      </c>
      <c r="AC578" s="206">
        <f t="shared" si="282"/>
        <v>2</v>
      </c>
      <c r="AD578" s="206">
        <f t="shared" si="283"/>
        <v>2</v>
      </c>
    </row>
    <row r="579" spans="1:30" x14ac:dyDescent="0.45">
      <c r="A579" s="206">
        <v>200112</v>
      </c>
      <c r="B579" s="44">
        <v>0.375</v>
      </c>
      <c r="C579" s="3" t="s">
        <v>421</v>
      </c>
      <c r="D579" s="3" t="s">
        <v>398</v>
      </c>
      <c r="E579" s="3">
        <v>41</v>
      </c>
      <c r="F579" s="3">
        <v>31</v>
      </c>
      <c r="G579" s="3">
        <v>42</v>
      </c>
      <c r="H579" s="3">
        <v>26</v>
      </c>
      <c r="J579" s="3">
        <v>24</v>
      </c>
      <c r="K579" s="3">
        <v>33</v>
      </c>
      <c r="L579" s="3">
        <v>25</v>
      </c>
      <c r="M579" s="3">
        <v>23</v>
      </c>
      <c r="N579" s="3" t="s">
        <v>427</v>
      </c>
      <c r="O579" s="206">
        <f t="shared" si="272"/>
        <v>140</v>
      </c>
      <c r="P579" s="206">
        <f t="shared" si="273"/>
        <v>105</v>
      </c>
      <c r="Q579" s="206" t="str">
        <f t="shared" si="274"/>
        <v>HW</v>
      </c>
      <c r="R579" s="206" t="str">
        <f t="shared" si="275"/>
        <v>HL</v>
      </c>
      <c r="S579" s="206" t="str">
        <f t="shared" si="276"/>
        <v>HW</v>
      </c>
      <c r="T579" s="206" t="str">
        <f t="shared" si="277"/>
        <v>HW</v>
      </c>
      <c r="U579" s="206" t="str">
        <f t="shared" si="278"/>
        <v>O</v>
      </c>
      <c r="V579" s="206" t="str">
        <f t="shared" si="279"/>
        <v>O</v>
      </c>
      <c r="W579" s="206" t="str">
        <f t="shared" si="280"/>
        <v>O</v>
      </c>
      <c r="X579" s="206" t="str">
        <f t="shared" si="281"/>
        <v>U</v>
      </c>
      <c r="Y579" s="206"/>
      <c r="Z579" s="3">
        <v>57.5</v>
      </c>
      <c r="AB579" s="206" t="str">
        <f t="shared" si="269"/>
        <v>BOS/NO</v>
      </c>
      <c r="AC579" s="206">
        <f t="shared" si="282"/>
        <v>3</v>
      </c>
      <c r="AD579" s="206">
        <f t="shared" si="283"/>
        <v>1</v>
      </c>
    </row>
    <row r="580" spans="1:30" x14ac:dyDescent="0.45">
      <c r="A580" s="206">
        <v>200112</v>
      </c>
      <c r="B580" s="44">
        <v>0.375</v>
      </c>
      <c r="C580" s="3" t="s">
        <v>422</v>
      </c>
      <c r="D580" s="3" t="s">
        <v>412</v>
      </c>
      <c r="E580" s="3">
        <v>20</v>
      </c>
      <c r="F580" s="3">
        <v>29</v>
      </c>
      <c r="G580" s="3">
        <v>22</v>
      </c>
      <c r="H580" s="3">
        <v>28</v>
      </c>
      <c r="J580" s="3">
        <v>35</v>
      </c>
      <c r="K580" s="3">
        <v>26</v>
      </c>
      <c r="L580" s="3">
        <v>20</v>
      </c>
      <c r="M580" s="3">
        <v>27</v>
      </c>
      <c r="N580" s="3" t="s">
        <v>427</v>
      </c>
      <c r="O580" s="206">
        <f t="shared" si="272"/>
        <v>99</v>
      </c>
      <c r="P580" s="206">
        <f t="shared" si="273"/>
        <v>108</v>
      </c>
      <c r="Q580" s="206" t="str">
        <f t="shared" si="274"/>
        <v>HL</v>
      </c>
      <c r="R580" s="206" t="str">
        <f t="shared" si="275"/>
        <v>HW</v>
      </c>
      <c r="S580" s="206" t="str">
        <f t="shared" si="276"/>
        <v>HW</v>
      </c>
      <c r="T580" s="206" t="str">
        <f t="shared" si="277"/>
        <v>HW</v>
      </c>
      <c r="U580" s="206" t="str">
        <f t="shared" si="278"/>
        <v>U</v>
      </c>
      <c r="V580" s="206" t="str">
        <f t="shared" si="279"/>
        <v>U</v>
      </c>
      <c r="W580" s="206" t="str">
        <f t="shared" si="280"/>
        <v>U</v>
      </c>
      <c r="X580" s="206" t="str">
        <f t="shared" si="281"/>
        <v>U</v>
      </c>
      <c r="Y580" s="206"/>
      <c r="Z580" s="3">
        <v>55.5</v>
      </c>
      <c r="AB580" s="206" t="str">
        <f t="shared" si="269"/>
        <v>DET/CHI</v>
      </c>
      <c r="AC580" s="206">
        <f t="shared" si="282"/>
        <v>0</v>
      </c>
      <c r="AD580" s="206">
        <f t="shared" si="283"/>
        <v>4</v>
      </c>
    </row>
    <row r="581" spans="1:30" x14ac:dyDescent="0.45">
      <c r="A581" s="206">
        <v>200112</v>
      </c>
      <c r="B581" s="44">
        <v>0.41666666666666669</v>
      </c>
      <c r="C581" s="3" t="s">
        <v>418</v>
      </c>
      <c r="D581" s="3" t="s">
        <v>419</v>
      </c>
      <c r="E581" s="3">
        <v>19</v>
      </c>
      <c r="F581" s="3">
        <v>30</v>
      </c>
      <c r="G581" s="3">
        <v>33</v>
      </c>
      <c r="H581" s="3">
        <v>28</v>
      </c>
      <c r="J581" s="3">
        <v>41</v>
      </c>
      <c r="K581" s="3">
        <v>32</v>
      </c>
      <c r="L581" s="3">
        <v>29</v>
      </c>
      <c r="M581" s="3">
        <v>23</v>
      </c>
      <c r="N581" s="3" t="s">
        <v>427</v>
      </c>
      <c r="O581" s="206">
        <f t="shared" si="272"/>
        <v>110</v>
      </c>
      <c r="P581" s="206">
        <f t="shared" si="273"/>
        <v>125</v>
      </c>
      <c r="Q581" s="206" t="str">
        <f t="shared" si="274"/>
        <v>HL</v>
      </c>
      <c r="R581" s="206" t="str">
        <f t="shared" si="275"/>
        <v>HL</v>
      </c>
      <c r="S581" s="206" t="str">
        <f t="shared" si="276"/>
        <v>HW</v>
      </c>
      <c r="T581" s="206" t="str">
        <f t="shared" si="277"/>
        <v>HW</v>
      </c>
      <c r="U581" s="206" t="str">
        <f t="shared" si="278"/>
        <v>O</v>
      </c>
      <c r="V581" s="206" t="str">
        <f t="shared" si="279"/>
        <v>O</v>
      </c>
      <c r="W581" s="206" t="str">
        <f t="shared" si="280"/>
        <v>O</v>
      </c>
      <c r="X581" s="206" t="str">
        <f t="shared" si="281"/>
        <v>U</v>
      </c>
      <c r="Y581" s="206"/>
      <c r="Z581" s="3">
        <v>55</v>
      </c>
      <c r="AB581" s="206" t="str">
        <f t="shared" si="269"/>
        <v>OKC/LAL</v>
      </c>
      <c r="AC581" s="206">
        <f t="shared" si="282"/>
        <v>3</v>
      </c>
      <c r="AD581" s="206">
        <f t="shared" si="283"/>
        <v>1</v>
      </c>
    </row>
    <row r="582" spans="1:30" x14ac:dyDescent="0.45">
      <c r="A582" s="206">
        <v>200112</v>
      </c>
      <c r="B582" s="44">
        <v>0.4375</v>
      </c>
      <c r="C582" s="3" t="s">
        <v>397</v>
      </c>
      <c r="D582" s="3" t="s">
        <v>401</v>
      </c>
      <c r="E582" s="3">
        <v>20</v>
      </c>
      <c r="F582" s="3">
        <v>21</v>
      </c>
      <c r="G582" s="3">
        <v>32</v>
      </c>
      <c r="H582" s="3">
        <v>36</v>
      </c>
      <c r="J582" s="3">
        <v>22</v>
      </c>
      <c r="K582" s="3">
        <v>28</v>
      </c>
      <c r="L582" s="3">
        <v>16</v>
      </c>
      <c r="M582" s="3">
        <v>25</v>
      </c>
      <c r="N582" s="3" t="s">
        <v>427</v>
      </c>
      <c r="O582" s="206">
        <f t="shared" si="272"/>
        <v>109</v>
      </c>
      <c r="P582" s="206">
        <f t="shared" si="273"/>
        <v>91</v>
      </c>
      <c r="Q582" s="206" t="str">
        <f t="shared" si="274"/>
        <v>HL</v>
      </c>
      <c r="R582" s="206" t="str">
        <f t="shared" si="275"/>
        <v>HL</v>
      </c>
      <c r="S582" s="206" t="str">
        <f t="shared" si="276"/>
        <v>HW</v>
      </c>
      <c r="T582" s="206" t="str">
        <f t="shared" si="277"/>
        <v>HW</v>
      </c>
      <c r="U582" s="206" t="str">
        <f t="shared" si="278"/>
        <v>U</v>
      </c>
      <c r="V582" s="206" t="str">
        <f t="shared" si="279"/>
        <v>U</v>
      </c>
      <c r="W582" s="206" t="str">
        <f t="shared" si="280"/>
        <v>U</v>
      </c>
      <c r="X582" s="206" t="str">
        <f t="shared" si="281"/>
        <v>O</v>
      </c>
      <c r="Y582" s="206"/>
      <c r="Z582" s="3">
        <v>55.5</v>
      </c>
      <c r="AB582" s="206" t="str">
        <f t="shared" si="269"/>
        <v>DAL/PHI</v>
      </c>
      <c r="AC582" s="206">
        <f t="shared" si="282"/>
        <v>1</v>
      </c>
      <c r="AD582" s="206">
        <f t="shared" si="283"/>
        <v>3</v>
      </c>
    </row>
    <row r="583" spans="1:30" x14ac:dyDescent="0.45">
      <c r="A583" s="206">
        <v>200112</v>
      </c>
      <c r="B583" s="44">
        <v>0.45833333333333331</v>
      </c>
      <c r="C583" s="3" t="s">
        <v>408</v>
      </c>
      <c r="D583" s="3" t="s">
        <v>402</v>
      </c>
      <c r="E583" s="3">
        <v>18</v>
      </c>
      <c r="F583" s="3">
        <v>24</v>
      </c>
      <c r="G583" s="3">
        <v>29</v>
      </c>
      <c r="H583" s="3">
        <v>32</v>
      </c>
      <c r="J583" s="3">
        <v>23</v>
      </c>
      <c r="K583" s="3">
        <v>28</v>
      </c>
      <c r="L583" s="3">
        <v>34</v>
      </c>
      <c r="M583" s="3">
        <v>26</v>
      </c>
      <c r="N583" s="3" t="s">
        <v>427</v>
      </c>
      <c r="O583" s="206">
        <f t="shared" si="272"/>
        <v>103</v>
      </c>
      <c r="P583" s="206">
        <f t="shared" si="273"/>
        <v>111</v>
      </c>
      <c r="Q583" s="206" t="str">
        <f t="shared" si="274"/>
        <v>HL</v>
      </c>
      <c r="R583" s="206" t="str">
        <f t="shared" si="275"/>
        <v>HL</v>
      </c>
      <c r="S583" s="206" t="str">
        <f t="shared" si="276"/>
        <v>HL</v>
      </c>
      <c r="T583" s="206" t="str">
        <f t="shared" si="277"/>
        <v>HW</v>
      </c>
      <c r="U583" s="206" t="str">
        <f t="shared" si="278"/>
        <v>U</v>
      </c>
      <c r="V583" s="206" t="str">
        <f t="shared" si="279"/>
        <v>U</v>
      </c>
      <c r="W583" s="206" t="str">
        <f t="shared" si="280"/>
        <v>O</v>
      </c>
      <c r="X583" s="206" t="str">
        <f t="shared" si="281"/>
        <v>O</v>
      </c>
      <c r="Y583" s="206"/>
      <c r="Z583" s="3">
        <v>53</v>
      </c>
      <c r="AB583" s="206" t="str">
        <f t="shared" si="269"/>
        <v>DEN/CLE</v>
      </c>
      <c r="AC583" s="206">
        <f t="shared" si="282"/>
        <v>2</v>
      </c>
      <c r="AD583" s="206">
        <f t="shared" si="283"/>
        <v>2</v>
      </c>
    </row>
    <row r="584" spans="1:30" x14ac:dyDescent="0.45">
      <c r="A584" s="206">
        <v>200112</v>
      </c>
      <c r="B584" s="44">
        <v>0.5</v>
      </c>
      <c r="C584" s="3" t="s">
        <v>417</v>
      </c>
      <c r="D584" s="3" t="s">
        <v>423</v>
      </c>
      <c r="E584" s="3">
        <v>24</v>
      </c>
      <c r="F584" s="3">
        <v>31</v>
      </c>
      <c r="G584" s="3">
        <v>25</v>
      </c>
      <c r="H584" s="3">
        <v>21</v>
      </c>
      <c r="J584" s="3">
        <v>32</v>
      </c>
      <c r="K584" s="3">
        <v>32</v>
      </c>
      <c r="L584" s="3">
        <v>33</v>
      </c>
      <c r="M584" s="3">
        <v>25</v>
      </c>
      <c r="N584" s="3" t="s">
        <v>427</v>
      </c>
      <c r="O584" s="206">
        <f t="shared" si="272"/>
        <v>101</v>
      </c>
      <c r="P584" s="206">
        <f t="shared" si="273"/>
        <v>122</v>
      </c>
      <c r="Q584" s="206" t="str">
        <f t="shared" si="274"/>
        <v>HL</v>
      </c>
      <c r="R584" s="206" t="str">
        <f t="shared" si="275"/>
        <v>HL</v>
      </c>
      <c r="S584" s="206" t="str">
        <f t="shared" si="276"/>
        <v>HL</v>
      </c>
      <c r="T584" s="206" t="str">
        <f t="shared" si="277"/>
        <v>HL</v>
      </c>
      <c r="U584" s="206" t="str">
        <f t="shared" si="278"/>
        <v>U</v>
      </c>
      <c r="V584" s="206" t="str">
        <f t="shared" si="279"/>
        <v>O</v>
      </c>
      <c r="W584" s="206" t="str">
        <f t="shared" si="280"/>
        <v>O</v>
      </c>
      <c r="X584" s="206" t="str">
        <f t="shared" si="281"/>
        <v>U</v>
      </c>
      <c r="Y584" s="206"/>
      <c r="Z584" s="3">
        <v>57</v>
      </c>
      <c r="AB584" s="206" t="str">
        <f t="shared" si="269"/>
        <v>POR/MIL</v>
      </c>
      <c r="AC584" s="206">
        <f t="shared" si="282"/>
        <v>2</v>
      </c>
      <c r="AD584" s="206">
        <f t="shared" si="283"/>
        <v>2</v>
      </c>
    </row>
    <row r="585" spans="1:30" x14ac:dyDescent="0.45">
      <c r="A585" s="206">
        <v>200113</v>
      </c>
      <c r="B585" s="44">
        <v>0.22916666666666666</v>
      </c>
      <c r="C585" s="3" t="s">
        <v>399</v>
      </c>
      <c r="D585" s="3" t="s">
        <v>411</v>
      </c>
      <c r="E585" s="3">
        <v>27</v>
      </c>
      <c r="F585" s="3">
        <v>28</v>
      </c>
      <c r="G585" s="3">
        <v>29</v>
      </c>
      <c r="H585" s="3">
        <v>40</v>
      </c>
      <c r="J585" s="3">
        <v>31</v>
      </c>
      <c r="K585" s="3">
        <v>29</v>
      </c>
      <c r="L585" s="3">
        <v>34</v>
      </c>
      <c r="M585" s="3">
        <v>27</v>
      </c>
      <c r="N585" s="3" t="s">
        <v>427</v>
      </c>
      <c r="O585" s="206">
        <f t="shared" si="272"/>
        <v>124</v>
      </c>
      <c r="P585" s="206">
        <f t="shared" si="273"/>
        <v>121</v>
      </c>
      <c r="Q585" s="206" t="str">
        <f t="shared" si="274"/>
        <v>HL</v>
      </c>
      <c r="R585" s="206" t="str">
        <f t="shared" si="275"/>
        <v>HL</v>
      </c>
      <c r="S585" s="206" t="str">
        <f t="shared" si="276"/>
        <v>HL</v>
      </c>
      <c r="T585" s="206" t="str">
        <f t="shared" si="277"/>
        <v>HW</v>
      </c>
      <c r="U585" s="206" t="str">
        <f t="shared" si="278"/>
        <v>O</v>
      </c>
      <c r="V585" s="206" t="str">
        <f t="shared" si="279"/>
        <v>O</v>
      </c>
      <c r="W585" s="206" t="str">
        <f t="shared" si="280"/>
        <v>O</v>
      </c>
      <c r="X585" s="206" t="str">
        <f t="shared" si="281"/>
        <v>O</v>
      </c>
      <c r="Y585" s="206"/>
      <c r="Z585" s="3">
        <v>56</v>
      </c>
      <c r="AB585" s="206" t="str">
        <f t="shared" si="269"/>
        <v>NYK/MIA</v>
      </c>
      <c r="AC585" s="206">
        <f t="shared" si="282"/>
        <v>4</v>
      </c>
      <c r="AD585" s="206">
        <f t="shared" si="283"/>
        <v>0</v>
      </c>
    </row>
    <row r="586" spans="1:30" x14ac:dyDescent="0.45">
      <c r="A586" s="206">
        <v>200113</v>
      </c>
      <c r="B586" s="44">
        <v>0.22916666666666666</v>
      </c>
      <c r="C586" s="3" t="s">
        <v>414</v>
      </c>
      <c r="D586" s="3" t="s">
        <v>405</v>
      </c>
      <c r="E586" s="3">
        <v>34</v>
      </c>
      <c r="F586" s="3">
        <v>32</v>
      </c>
      <c r="G586" s="3">
        <v>25</v>
      </c>
      <c r="H586" s="3">
        <v>25</v>
      </c>
      <c r="J586" s="3">
        <v>23</v>
      </c>
      <c r="K586" s="3">
        <v>32</v>
      </c>
      <c r="L586" s="3">
        <v>38</v>
      </c>
      <c r="M586" s="3">
        <v>34</v>
      </c>
      <c r="N586" s="3" t="s">
        <v>427</v>
      </c>
      <c r="O586" s="206">
        <f t="shared" si="272"/>
        <v>116</v>
      </c>
      <c r="P586" s="206">
        <f t="shared" si="273"/>
        <v>127</v>
      </c>
      <c r="Q586" s="206" t="str">
        <f t="shared" si="274"/>
        <v>HW</v>
      </c>
      <c r="R586" s="206" t="str">
        <f t="shared" si="275"/>
        <v>TT</v>
      </c>
      <c r="S586" s="206" t="str">
        <f t="shared" si="276"/>
        <v>HL</v>
      </c>
      <c r="T586" s="206" t="str">
        <f t="shared" si="277"/>
        <v>HL</v>
      </c>
      <c r="U586" s="206" t="str">
        <f t="shared" si="278"/>
        <v>O</v>
      </c>
      <c r="V586" s="206" t="str">
        <f t="shared" si="279"/>
        <v>O</v>
      </c>
      <c r="W586" s="206" t="str">
        <f t="shared" si="280"/>
        <v>O</v>
      </c>
      <c r="X586" s="206" t="str">
        <f t="shared" si="281"/>
        <v>O</v>
      </c>
      <c r="Y586" s="206"/>
      <c r="Z586" s="3">
        <v>55</v>
      </c>
      <c r="AB586" s="206" t="str">
        <f t="shared" si="269"/>
        <v>WAS/UTA</v>
      </c>
      <c r="AC586" s="206">
        <f t="shared" si="282"/>
        <v>4</v>
      </c>
      <c r="AD586" s="206">
        <f t="shared" si="283"/>
        <v>0</v>
      </c>
    </row>
    <row r="587" spans="1:30" x14ac:dyDescent="0.45">
      <c r="A587" s="206">
        <v>200113</v>
      </c>
      <c r="B587" s="44">
        <v>0.33333333333333331</v>
      </c>
      <c r="C587" s="3" t="s">
        <v>407</v>
      </c>
      <c r="D587" s="3" t="s">
        <v>410</v>
      </c>
      <c r="E587" s="3">
        <v>37</v>
      </c>
      <c r="F587" s="3">
        <v>33</v>
      </c>
      <c r="G587" s="3">
        <v>22</v>
      </c>
      <c r="H587" s="3">
        <v>16</v>
      </c>
      <c r="J587" s="3">
        <v>16</v>
      </c>
      <c r="K587" s="3">
        <v>30</v>
      </c>
      <c r="L587" s="3">
        <v>20</v>
      </c>
      <c r="M587" s="3">
        <v>20</v>
      </c>
      <c r="N587" s="3" t="s">
        <v>427</v>
      </c>
      <c r="O587" s="206">
        <f t="shared" si="272"/>
        <v>108</v>
      </c>
      <c r="P587" s="206">
        <f t="shared" si="273"/>
        <v>86</v>
      </c>
      <c r="Q587" s="206" t="str">
        <f t="shared" si="274"/>
        <v>HW</v>
      </c>
      <c r="R587" s="206" t="str">
        <f t="shared" si="275"/>
        <v>HW</v>
      </c>
      <c r="S587" s="206" t="str">
        <f t="shared" si="276"/>
        <v>HW</v>
      </c>
      <c r="T587" s="206" t="str">
        <f t="shared" si="277"/>
        <v>HL</v>
      </c>
      <c r="U587" s="206" t="str">
        <f t="shared" si="278"/>
        <v>U</v>
      </c>
      <c r="V587" s="206" t="str">
        <f t="shared" si="279"/>
        <v>O</v>
      </c>
      <c r="W587" s="206" t="str">
        <f t="shared" si="280"/>
        <v>U</v>
      </c>
      <c r="X587" s="206" t="str">
        <f t="shared" si="281"/>
        <v>U</v>
      </c>
      <c r="Y587" s="206"/>
      <c r="Z587" s="3">
        <v>58</v>
      </c>
      <c r="AB587" s="206" t="str">
        <f t="shared" si="269"/>
        <v>BKN/ATL</v>
      </c>
      <c r="AC587" s="206">
        <f t="shared" si="282"/>
        <v>1</v>
      </c>
      <c r="AD587" s="206">
        <f t="shared" si="283"/>
        <v>3</v>
      </c>
    </row>
    <row r="588" spans="1:30" x14ac:dyDescent="0.45">
      <c r="A588" s="206">
        <v>200113</v>
      </c>
      <c r="B588" s="44">
        <v>0.33333333333333331</v>
      </c>
      <c r="C588" s="3" t="s">
        <v>413</v>
      </c>
      <c r="D588" s="3" t="s">
        <v>426</v>
      </c>
      <c r="E588" s="3">
        <v>28</v>
      </c>
      <c r="F588" s="3">
        <v>23</v>
      </c>
      <c r="G588" s="3">
        <v>31</v>
      </c>
      <c r="H588" s="3">
        <v>22</v>
      </c>
      <c r="J588" s="3">
        <v>21</v>
      </c>
      <c r="K588" s="3">
        <v>22</v>
      </c>
      <c r="L588" s="3">
        <v>26</v>
      </c>
      <c r="M588" s="3">
        <v>36</v>
      </c>
      <c r="N588" s="3" t="s">
        <v>427</v>
      </c>
      <c r="O588" s="206">
        <f t="shared" si="272"/>
        <v>104</v>
      </c>
      <c r="P588" s="206">
        <f t="shared" si="273"/>
        <v>105</v>
      </c>
      <c r="Q588" s="206" t="str">
        <f t="shared" si="274"/>
        <v>HW</v>
      </c>
      <c r="R588" s="206" t="str">
        <f t="shared" si="275"/>
        <v>HW</v>
      </c>
      <c r="S588" s="206" t="str">
        <f t="shared" si="276"/>
        <v>HW</v>
      </c>
      <c r="T588" s="206" t="str">
        <f t="shared" si="277"/>
        <v>HL</v>
      </c>
      <c r="U588" s="206" t="str">
        <f t="shared" si="278"/>
        <v>U</v>
      </c>
      <c r="V588" s="206" t="str">
        <f t="shared" si="279"/>
        <v>U</v>
      </c>
      <c r="W588" s="206" t="str">
        <f t="shared" si="280"/>
        <v>O</v>
      </c>
      <c r="X588" s="206" t="str">
        <f t="shared" si="281"/>
        <v>O</v>
      </c>
      <c r="Y588" s="206"/>
      <c r="Z588" s="3">
        <v>54.5</v>
      </c>
      <c r="AB588" s="206" t="str">
        <f t="shared" ref="AB588:AB604" si="284">C588&amp;"/"&amp;D588</f>
        <v>TOR/SAS</v>
      </c>
      <c r="AC588" s="206">
        <f t="shared" si="282"/>
        <v>2</v>
      </c>
      <c r="AD588" s="206">
        <f t="shared" si="283"/>
        <v>2</v>
      </c>
    </row>
    <row r="589" spans="1:30" x14ac:dyDescent="0.45">
      <c r="A589" s="206">
        <v>200113</v>
      </c>
      <c r="B589" s="44">
        <v>0.33333333333333331</v>
      </c>
      <c r="C589" s="3" t="s">
        <v>406</v>
      </c>
      <c r="D589" s="3" t="s">
        <v>425</v>
      </c>
      <c r="E589" s="3">
        <v>27</v>
      </c>
      <c r="F589" s="3">
        <v>33</v>
      </c>
      <c r="G589" s="3">
        <v>35</v>
      </c>
      <c r="H589" s="3">
        <v>27</v>
      </c>
      <c r="J589" s="3">
        <v>26</v>
      </c>
      <c r="K589" s="3">
        <v>33</v>
      </c>
      <c r="L589" s="3">
        <v>17</v>
      </c>
      <c r="M589" s="3">
        <v>26</v>
      </c>
      <c r="N589" s="3" t="s">
        <v>427</v>
      </c>
      <c r="O589" s="206">
        <f t="shared" si="272"/>
        <v>122</v>
      </c>
      <c r="P589" s="206">
        <f t="shared" si="273"/>
        <v>102</v>
      </c>
      <c r="Q589" s="206" t="str">
        <f t="shared" si="274"/>
        <v>HW</v>
      </c>
      <c r="R589" s="206" t="str">
        <f t="shared" si="275"/>
        <v>TT</v>
      </c>
      <c r="S589" s="206" t="str">
        <f t="shared" si="276"/>
        <v>HW</v>
      </c>
      <c r="T589" s="206" t="str">
        <f t="shared" si="277"/>
        <v>HW</v>
      </c>
      <c r="U589" s="206" t="str">
        <f t="shared" si="278"/>
        <v>U</v>
      </c>
      <c r="V589" s="206" t="str">
        <f t="shared" si="279"/>
        <v>O</v>
      </c>
      <c r="W589" s="206" t="str">
        <f t="shared" si="280"/>
        <v>U</v>
      </c>
      <c r="X589" s="206" t="str">
        <f t="shared" si="281"/>
        <v>U</v>
      </c>
      <c r="Y589" s="206"/>
      <c r="Z589" s="3">
        <v>57.5</v>
      </c>
      <c r="AB589" s="206" t="str">
        <f t="shared" si="284"/>
        <v>MEM/GS</v>
      </c>
      <c r="AC589" s="206">
        <f t="shared" si="282"/>
        <v>1</v>
      </c>
      <c r="AD589" s="206">
        <f t="shared" si="283"/>
        <v>3</v>
      </c>
    </row>
    <row r="590" spans="1:30" x14ac:dyDescent="0.45">
      <c r="A590" s="206">
        <v>200113</v>
      </c>
      <c r="B590" s="44">
        <v>0.41666666666666669</v>
      </c>
      <c r="C590" s="3" t="s">
        <v>408</v>
      </c>
      <c r="D590" s="3" t="s">
        <v>415</v>
      </c>
      <c r="E590" s="3">
        <v>29</v>
      </c>
      <c r="F590" s="3">
        <v>37</v>
      </c>
      <c r="G590" s="3">
        <v>23</v>
      </c>
      <c r="H590" s="3">
        <v>25</v>
      </c>
      <c r="J590" s="3">
        <v>30</v>
      </c>
      <c r="K590" s="3">
        <v>22</v>
      </c>
      <c r="L590" s="3">
        <v>22</v>
      </c>
      <c r="M590" s="3">
        <v>30</v>
      </c>
      <c r="N590" s="3" t="s">
        <v>427</v>
      </c>
      <c r="O590" s="206">
        <f t="shared" si="272"/>
        <v>114</v>
      </c>
      <c r="P590" s="206">
        <f t="shared" si="273"/>
        <v>104</v>
      </c>
      <c r="Q590" s="206" t="str">
        <f t="shared" si="274"/>
        <v>HL</v>
      </c>
      <c r="R590" s="206" t="str">
        <f t="shared" si="275"/>
        <v>HW</v>
      </c>
      <c r="S590" s="206" t="str">
        <f t="shared" si="276"/>
        <v>HW</v>
      </c>
      <c r="T590" s="206" t="str">
        <f t="shared" si="277"/>
        <v>HL</v>
      </c>
      <c r="U590" s="206" t="str">
        <f t="shared" si="278"/>
        <v>O</v>
      </c>
      <c r="V590" s="206" t="str">
        <f t="shared" si="279"/>
        <v>O</v>
      </c>
      <c r="W590" s="206" t="str">
        <f t="shared" si="280"/>
        <v>U</v>
      </c>
      <c r="X590" s="206" t="str">
        <f t="shared" si="281"/>
        <v>U</v>
      </c>
      <c r="Y590" s="206"/>
      <c r="Z590" s="3">
        <v>57</v>
      </c>
      <c r="AB590" s="206" t="str">
        <f t="shared" si="284"/>
        <v>DEN/LAC</v>
      </c>
      <c r="AC590" s="206">
        <f t="shared" si="282"/>
        <v>2</v>
      </c>
      <c r="AD590" s="206">
        <f t="shared" si="283"/>
        <v>2</v>
      </c>
    </row>
    <row r="591" spans="1:30" x14ac:dyDescent="0.45">
      <c r="A591" s="206">
        <v>200113</v>
      </c>
      <c r="B591" s="44">
        <v>0.41666666666666669</v>
      </c>
      <c r="C591" s="3" t="s">
        <v>404</v>
      </c>
      <c r="D591" s="3" t="s">
        <v>409</v>
      </c>
      <c r="E591" s="3">
        <v>18</v>
      </c>
      <c r="F591" s="3">
        <v>28</v>
      </c>
      <c r="G591" s="3">
        <v>25</v>
      </c>
      <c r="H591" s="3">
        <v>29</v>
      </c>
      <c r="J591" s="3">
        <v>24</v>
      </c>
      <c r="K591" s="3">
        <v>21</v>
      </c>
      <c r="L591" s="3">
        <v>26</v>
      </c>
      <c r="M591" s="3">
        <v>21</v>
      </c>
      <c r="N591" s="3" t="s">
        <v>427</v>
      </c>
      <c r="O591" s="206">
        <f t="shared" si="272"/>
        <v>100</v>
      </c>
      <c r="P591" s="206">
        <f t="shared" si="273"/>
        <v>92</v>
      </c>
      <c r="Q591" s="206" t="str">
        <f t="shared" si="274"/>
        <v>HL</v>
      </c>
      <c r="R591" s="206" t="str">
        <f t="shared" si="275"/>
        <v>HW</v>
      </c>
      <c r="S591" s="206" t="str">
        <f t="shared" si="276"/>
        <v>HL</v>
      </c>
      <c r="T591" s="206" t="str">
        <f t="shared" si="277"/>
        <v>HW</v>
      </c>
      <c r="U591" s="206" t="str">
        <f t="shared" si="278"/>
        <v>U</v>
      </c>
      <c r="V591" s="206" t="str">
        <f t="shared" si="279"/>
        <v>U</v>
      </c>
      <c r="W591" s="206" t="str">
        <f t="shared" si="280"/>
        <v>U</v>
      </c>
      <c r="X591" s="206" t="str">
        <f t="shared" si="281"/>
        <v>U</v>
      </c>
      <c r="Y591" s="206"/>
      <c r="Z591" s="3">
        <v>55.5</v>
      </c>
      <c r="AB591" s="206" t="str">
        <f t="shared" si="284"/>
        <v>PHO/CHA</v>
      </c>
      <c r="AC591" s="206">
        <f t="shared" si="282"/>
        <v>0</v>
      </c>
      <c r="AD591" s="206">
        <f t="shared" si="283"/>
        <v>4</v>
      </c>
    </row>
    <row r="592" spans="1:30" x14ac:dyDescent="0.45">
      <c r="A592" s="206">
        <v>200114</v>
      </c>
      <c r="B592" s="44">
        <v>0.375</v>
      </c>
      <c r="C592" s="3" t="s">
        <v>422</v>
      </c>
      <c r="D592" s="3" t="s">
        <v>398</v>
      </c>
      <c r="E592" s="3">
        <v>23</v>
      </c>
      <c r="F592" s="3">
        <v>29</v>
      </c>
      <c r="G592" s="3">
        <v>25</v>
      </c>
      <c r="H592" s="3">
        <v>25</v>
      </c>
      <c r="I592" s="3">
        <v>8</v>
      </c>
      <c r="J592" s="3">
        <v>32</v>
      </c>
      <c r="K592" s="3">
        <v>31</v>
      </c>
      <c r="L592" s="3">
        <v>26</v>
      </c>
      <c r="M592" s="3">
        <v>13</v>
      </c>
      <c r="N592" s="3">
        <v>15</v>
      </c>
      <c r="O592" s="206">
        <f t="shared" si="272"/>
        <v>110</v>
      </c>
      <c r="P592" s="206">
        <f t="shared" si="273"/>
        <v>117</v>
      </c>
      <c r="Q592" s="206" t="str">
        <f t="shared" si="274"/>
        <v>HL</v>
      </c>
      <c r="R592" s="206" t="str">
        <f t="shared" si="275"/>
        <v>HL</v>
      </c>
      <c r="S592" s="206" t="str">
        <f t="shared" si="276"/>
        <v>HL</v>
      </c>
      <c r="T592" s="206" t="str">
        <f t="shared" si="277"/>
        <v>HW</v>
      </c>
      <c r="U592" s="206" t="str">
        <f t="shared" si="278"/>
        <v>U</v>
      </c>
      <c r="V592" s="206" t="str">
        <f t="shared" si="279"/>
        <v>O</v>
      </c>
      <c r="W592" s="206" t="str">
        <f t="shared" si="280"/>
        <v>U</v>
      </c>
      <c r="X592" s="206" t="str">
        <f t="shared" si="281"/>
        <v>U</v>
      </c>
      <c r="Y592" s="206"/>
      <c r="Z592" s="3">
        <v>57</v>
      </c>
      <c r="AB592" s="206" t="str">
        <f t="shared" si="284"/>
        <v>DET/NO</v>
      </c>
      <c r="AC592" s="206">
        <f t="shared" si="282"/>
        <v>1</v>
      </c>
      <c r="AD592" s="206">
        <f t="shared" si="283"/>
        <v>3</v>
      </c>
    </row>
    <row r="593" spans="1:30" x14ac:dyDescent="0.45">
      <c r="A593" s="206">
        <v>200114</v>
      </c>
      <c r="B593" s="44">
        <v>0.375</v>
      </c>
      <c r="C593" s="3" t="s">
        <v>400</v>
      </c>
      <c r="D593" s="3" t="s">
        <v>401</v>
      </c>
      <c r="E593" s="3">
        <v>22</v>
      </c>
      <c r="F593" s="3">
        <v>18</v>
      </c>
      <c r="G593" s="3">
        <v>29</v>
      </c>
      <c r="H593" s="3">
        <v>32</v>
      </c>
      <c r="J593" s="3">
        <v>23</v>
      </c>
      <c r="K593" s="3">
        <v>26</v>
      </c>
      <c r="L593" s="3">
        <v>20</v>
      </c>
      <c r="M593" s="3">
        <v>26</v>
      </c>
      <c r="N593" s="3" t="s">
        <v>427</v>
      </c>
      <c r="O593" s="206">
        <f t="shared" si="272"/>
        <v>101</v>
      </c>
      <c r="P593" s="206">
        <f t="shared" si="273"/>
        <v>95</v>
      </c>
      <c r="Q593" s="206" t="str">
        <f t="shared" si="274"/>
        <v>HL</v>
      </c>
      <c r="R593" s="206" t="str">
        <f t="shared" si="275"/>
        <v>HL</v>
      </c>
      <c r="S593" s="206" t="str">
        <f t="shared" si="276"/>
        <v>HW</v>
      </c>
      <c r="T593" s="206" t="str">
        <f t="shared" si="277"/>
        <v>HW</v>
      </c>
      <c r="U593" s="206" t="str">
        <f t="shared" si="278"/>
        <v>U</v>
      </c>
      <c r="V593" s="206" t="str">
        <f t="shared" si="279"/>
        <v>U</v>
      </c>
      <c r="W593" s="206" t="str">
        <f t="shared" si="280"/>
        <v>U</v>
      </c>
      <c r="X593" s="206" t="str">
        <f t="shared" si="281"/>
        <v>O</v>
      </c>
      <c r="Y593" s="206"/>
      <c r="Z593" s="3">
        <v>53</v>
      </c>
      <c r="AB593" s="206" t="str">
        <f t="shared" si="284"/>
        <v>IND/PHI</v>
      </c>
      <c r="AC593" s="206">
        <f t="shared" si="282"/>
        <v>1</v>
      </c>
      <c r="AD593" s="206">
        <f t="shared" si="283"/>
        <v>3</v>
      </c>
    </row>
    <row r="594" spans="1:30" x14ac:dyDescent="0.45">
      <c r="A594" s="206">
        <v>200114</v>
      </c>
      <c r="B594" s="44">
        <v>0.39583333333333331</v>
      </c>
      <c r="C594" s="3" t="s">
        <v>421</v>
      </c>
      <c r="D594" s="3" t="s">
        <v>412</v>
      </c>
      <c r="E594" s="3">
        <v>28</v>
      </c>
      <c r="F594" s="3">
        <v>27</v>
      </c>
      <c r="G594" s="3">
        <v>28</v>
      </c>
      <c r="H594" s="3">
        <v>30</v>
      </c>
      <c r="J594" s="3">
        <v>14</v>
      </c>
      <c r="K594" s="3">
        <v>23</v>
      </c>
      <c r="L594" s="3">
        <v>34</v>
      </c>
      <c r="M594" s="3">
        <v>30</v>
      </c>
      <c r="N594" s="3" t="s">
        <v>427</v>
      </c>
      <c r="O594" s="206">
        <f t="shared" si="272"/>
        <v>113</v>
      </c>
      <c r="P594" s="206">
        <f t="shared" si="273"/>
        <v>101</v>
      </c>
      <c r="Q594" s="206" t="str">
        <f t="shared" si="274"/>
        <v>HW</v>
      </c>
      <c r="R594" s="206" t="str">
        <f t="shared" si="275"/>
        <v>HW</v>
      </c>
      <c r="S594" s="206" t="str">
        <f t="shared" si="276"/>
        <v>HL</v>
      </c>
      <c r="T594" s="206" t="str">
        <f t="shared" si="277"/>
        <v>TT</v>
      </c>
      <c r="U594" s="206" t="str">
        <f t="shared" si="278"/>
        <v>U</v>
      </c>
      <c r="V594" s="206" t="str">
        <f t="shared" si="279"/>
        <v>U</v>
      </c>
      <c r="W594" s="206" t="str">
        <f t="shared" si="280"/>
        <v>O</v>
      </c>
      <c r="X594" s="206" t="str">
        <f t="shared" si="281"/>
        <v>O</v>
      </c>
      <c r="Y594" s="206"/>
      <c r="Z594" s="3">
        <v>55.5</v>
      </c>
      <c r="AB594" s="206" t="str">
        <f t="shared" si="284"/>
        <v>BOS/CHI</v>
      </c>
      <c r="AC594" s="206">
        <f t="shared" si="282"/>
        <v>2</v>
      </c>
      <c r="AD594" s="206">
        <f t="shared" si="283"/>
        <v>2</v>
      </c>
    </row>
    <row r="595" spans="1:30" x14ac:dyDescent="0.45">
      <c r="A595" s="206">
        <v>200114</v>
      </c>
      <c r="B595" s="44">
        <v>0.41666666666666669</v>
      </c>
      <c r="C595" s="3" t="s">
        <v>420</v>
      </c>
      <c r="D595" s="3" t="s">
        <v>418</v>
      </c>
      <c r="E595" s="3">
        <v>33</v>
      </c>
      <c r="F595" s="3">
        <v>27</v>
      </c>
      <c r="G595" s="3">
        <v>19</v>
      </c>
      <c r="H595" s="3">
        <v>25</v>
      </c>
      <c r="J595" s="3">
        <v>30</v>
      </c>
      <c r="K595" s="3">
        <v>33</v>
      </c>
      <c r="L595" s="3">
        <v>29</v>
      </c>
      <c r="M595" s="3">
        <v>25</v>
      </c>
      <c r="N595" s="3" t="s">
        <v>427</v>
      </c>
      <c r="O595" s="206">
        <f t="shared" si="272"/>
        <v>104</v>
      </c>
      <c r="P595" s="206">
        <f t="shared" si="273"/>
        <v>117</v>
      </c>
      <c r="Q595" s="206" t="str">
        <f t="shared" si="274"/>
        <v>HW</v>
      </c>
      <c r="R595" s="206" t="str">
        <f t="shared" si="275"/>
        <v>HL</v>
      </c>
      <c r="S595" s="206" t="str">
        <f t="shared" si="276"/>
        <v>HL</v>
      </c>
      <c r="T595" s="206" t="str">
        <f t="shared" si="277"/>
        <v>TT</v>
      </c>
      <c r="U595" s="206" t="str">
        <f t="shared" si="278"/>
        <v>O</v>
      </c>
      <c r="V595" s="206" t="str">
        <f t="shared" si="279"/>
        <v>O</v>
      </c>
      <c r="W595" s="206" t="str">
        <f t="shared" si="280"/>
        <v>U</v>
      </c>
      <c r="X595" s="206" t="str">
        <f t="shared" si="281"/>
        <v>U</v>
      </c>
      <c r="Y595" s="206"/>
      <c r="Z595" s="3">
        <v>56</v>
      </c>
      <c r="AB595" s="206" t="str">
        <f t="shared" si="284"/>
        <v>MIN/OKC</v>
      </c>
      <c r="AC595" s="206">
        <f t="shared" si="282"/>
        <v>2</v>
      </c>
      <c r="AD595" s="206">
        <f t="shared" si="283"/>
        <v>2</v>
      </c>
    </row>
    <row r="596" spans="1:30" x14ac:dyDescent="0.45">
      <c r="A596" s="206">
        <v>200114</v>
      </c>
      <c r="B596" s="44">
        <v>0.5</v>
      </c>
      <c r="C596" s="3" t="s">
        <v>417</v>
      </c>
      <c r="D596" s="3" t="s">
        <v>409</v>
      </c>
      <c r="E596" s="3">
        <v>25</v>
      </c>
      <c r="F596" s="3">
        <v>37</v>
      </c>
      <c r="G596" s="3">
        <v>29</v>
      </c>
      <c r="H596" s="3">
        <v>24</v>
      </c>
      <c r="J596" s="3">
        <v>26</v>
      </c>
      <c r="K596" s="3">
        <v>20</v>
      </c>
      <c r="L596" s="3">
        <v>43</v>
      </c>
      <c r="M596" s="3">
        <v>23</v>
      </c>
      <c r="N596" s="3" t="s">
        <v>427</v>
      </c>
      <c r="O596" s="206">
        <f t="shared" si="272"/>
        <v>115</v>
      </c>
      <c r="P596" s="206">
        <f t="shared" si="273"/>
        <v>112</v>
      </c>
      <c r="Q596" s="206" t="str">
        <f t="shared" si="274"/>
        <v>HL</v>
      </c>
      <c r="R596" s="206" t="str">
        <f t="shared" si="275"/>
        <v>HW</v>
      </c>
      <c r="S596" s="206" t="str">
        <f t="shared" si="276"/>
        <v>HL</v>
      </c>
      <c r="T596" s="206" t="str">
        <f t="shared" si="277"/>
        <v>HW</v>
      </c>
      <c r="U596" s="206" t="str">
        <f t="shared" si="278"/>
        <v>U</v>
      </c>
      <c r="V596" s="206" t="str">
        <f t="shared" si="279"/>
        <v>O</v>
      </c>
      <c r="W596" s="206" t="str">
        <f t="shared" si="280"/>
        <v>O</v>
      </c>
      <c r="X596" s="206" t="str">
        <f t="shared" si="281"/>
        <v>U</v>
      </c>
      <c r="Y596" s="206"/>
      <c r="Z596" s="3">
        <v>55.5</v>
      </c>
      <c r="AB596" s="206" t="str">
        <f t="shared" si="284"/>
        <v>POR/CHA</v>
      </c>
      <c r="AC596" s="206">
        <f t="shared" si="282"/>
        <v>2</v>
      </c>
      <c r="AD596" s="206">
        <f t="shared" si="283"/>
        <v>2</v>
      </c>
    </row>
    <row r="597" spans="1:30" x14ac:dyDescent="0.45">
      <c r="A597" s="206">
        <v>200114</v>
      </c>
      <c r="B597" s="44">
        <v>0.5</v>
      </c>
      <c r="C597" s="3" t="s">
        <v>416</v>
      </c>
      <c r="D597" s="3" t="s">
        <v>424</v>
      </c>
      <c r="E597" s="3">
        <v>25</v>
      </c>
      <c r="F597" s="3">
        <v>27</v>
      </c>
      <c r="G597" s="3">
        <v>33</v>
      </c>
      <c r="H597" s="3">
        <v>27</v>
      </c>
      <c r="J597" s="3">
        <v>33</v>
      </c>
      <c r="K597" s="3">
        <v>32</v>
      </c>
      <c r="L597" s="3">
        <v>21</v>
      </c>
      <c r="M597" s="3">
        <v>28</v>
      </c>
      <c r="N597" s="3" t="s">
        <v>427</v>
      </c>
      <c r="O597" s="206">
        <f t="shared" si="272"/>
        <v>112</v>
      </c>
      <c r="P597" s="206">
        <f t="shared" si="273"/>
        <v>114</v>
      </c>
      <c r="Q597" s="206" t="str">
        <f t="shared" si="274"/>
        <v>HL</v>
      </c>
      <c r="R597" s="206" t="str">
        <f t="shared" si="275"/>
        <v>HL</v>
      </c>
      <c r="S597" s="206" t="str">
        <f t="shared" si="276"/>
        <v>HW</v>
      </c>
      <c r="T597" s="206" t="str">
        <f t="shared" si="277"/>
        <v>HL</v>
      </c>
      <c r="U597" s="206" t="str">
        <f t="shared" si="278"/>
        <v>O</v>
      </c>
      <c r="V597" s="206" t="str">
        <f t="shared" si="279"/>
        <v>O</v>
      </c>
      <c r="W597" s="206" t="str">
        <f t="shared" si="280"/>
        <v>U</v>
      </c>
      <c r="X597" s="206" t="str">
        <f t="shared" si="281"/>
        <v>O</v>
      </c>
      <c r="Y597" s="206"/>
      <c r="Z597" s="3">
        <v>54.5</v>
      </c>
      <c r="AB597" s="206" t="str">
        <f t="shared" si="284"/>
        <v>SAC/ORL</v>
      </c>
      <c r="AC597" s="206">
        <f t="shared" si="282"/>
        <v>3</v>
      </c>
      <c r="AD597" s="206">
        <f t="shared" si="283"/>
        <v>1</v>
      </c>
    </row>
    <row r="598" spans="1:30" x14ac:dyDescent="0.45">
      <c r="A598" s="206">
        <v>200114</v>
      </c>
      <c r="B598" s="44">
        <v>0.52083333333333337</v>
      </c>
      <c r="C598" s="3" t="s">
        <v>419</v>
      </c>
      <c r="D598" s="3" t="s">
        <v>402</v>
      </c>
      <c r="E598" s="3">
        <v>21</v>
      </c>
      <c r="F598" s="3">
        <v>26</v>
      </c>
      <c r="G598" s="3">
        <v>37</v>
      </c>
      <c r="H598" s="3">
        <v>44</v>
      </c>
      <c r="J598" s="3">
        <v>27</v>
      </c>
      <c r="K598" s="3">
        <v>21</v>
      </c>
      <c r="L598" s="3">
        <v>22</v>
      </c>
      <c r="M598" s="3">
        <v>29</v>
      </c>
      <c r="N598" s="3" t="s">
        <v>427</v>
      </c>
      <c r="O598" s="206">
        <f t="shared" si="272"/>
        <v>128</v>
      </c>
      <c r="P598" s="206">
        <f t="shared" si="273"/>
        <v>99</v>
      </c>
      <c r="Q598" s="206" t="str">
        <f t="shared" si="274"/>
        <v>HL</v>
      </c>
      <c r="R598" s="206" t="str">
        <f t="shared" si="275"/>
        <v>HW</v>
      </c>
      <c r="S598" s="206" t="str">
        <f t="shared" si="276"/>
        <v>HW</v>
      </c>
      <c r="T598" s="206" t="str">
        <f t="shared" si="277"/>
        <v>HW</v>
      </c>
      <c r="U598" s="206" t="str">
        <f t="shared" si="278"/>
        <v>U</v>
      </c>
      <c r="V598" s="206" t="str">
        <f t="shared" si="279"/>
        <v>U</v>
      </c>
      <c r="W598" s="206" t="str">
        <f t="shared" si="280"/>
        <v>O</v>
      </c>
      <c r="X598" s="206" t="str">
        <f t="shared" si="281"/>
        <v>O</v>
      </c>
      <c r="Y598" s="206"/>
      <c r="Z598" s="3">
        <v>55</v>
      </c>
      <c r="AB598" s="206" t="str">
        <f t="shared" si="284"/>
        <v>LAL/CLE</v>
      </c>
      <c r="AC598" s="206">
        <f t="shared" si="282"/>
        <v>2</v>
      </c>
      <c r="AD598" s="206">
        <f t="shared" si="283"/>
        <v>2</v>
      </c>
    </row>
    <row r="599" spans="1:30" x14ac:dyDescent="0.45">
      <c r="A599" s="206">
        <v>200115</v>
      </c>
      <c r="B599" s="44">
        <v>0.39583333333333331</v>
      </c>
      <c r="C599" s="3" t="s">
        <v>410</v>
      </c>
      <c r="D599" s="3" t="s">
        <v>404</v>
      </c>
      <c r="E599" s="3">
        <v>28</v>
      </c>
      <c r="F599" s="3">
        <v>28</v>
      </c>
      <c r="G599" s="3">
        <v>28</v>
      </c>
      <c r="H599" s="3">
        <v>39</v>
      </c>
      <c r="J599" s="3">
        <v>25</v>
      </c>
      <c r="K599" s="3">
        <v>26</v>
      </c>
      <c r="L599" s="3">
        <v>32</v>
      </c>
      <c r="M599" s="3">
        <v>27</v>
      </c>
      <c r="N599" s="3" t="s">
        <v>427</v>
      </c>
      <c r="O599" s="206">
        <f t="shared" ref="O599:O604" si="285">SUM(E599:I599)</f>
        <v>123</v>
      </c>
      <c r="P599" s="206">
        <f t="shared" ref="P599:P604" si="286">SUM(J599:N599)</f>
        <v>110</v>
      </c>
      <c r="Q599" s="206" t="str">
        <f t="shared" ref="Q599:Q604" si="287">IF(E599=J599,"TT",IF(E599&gt;J599,"HW","HL"))</f>
        <v>HW</v>
      </c>
      <c r="R599" s="206" t="str">
        <f t="shared" ref="R599:R604" si="288">IF(F599=K599,"TT",IF(F599&gt;K599,"HW","HL"))</f>
        <v>HW</v>
      </c>
      <c r="S599" s="206" t="str">
        <f t="shared" ref="S599:S604" si="289">IF(G599=L599,"TT",IF(G599&gt;L599,"HW","HL"))</f>
        <v>HL</v>
      </c>
      <c r="T599" s="206" t="str">
        <f t="shared" ref="T599:T604" si="290">IF(H599=M599,"TT",IF(H599&gt;M599,"HW","HL"))</f>
        <v>HW</v>
      </c>
      <c r="U599" s="206" t="str">
        <f t="shared" ref="U599:U604" si="291">IF(SUM(E599,J599)=$Z599,"T",IF(SUM(E599,J599)&gt;$Z599,"O","U"))</f>
        <v>U</v>
      </c>
      <c r="V599" s="206" t="str">
        <f t="shared" ref="V599:V604" si="292">IF(SUM(F599,K599)=$Z599,"T",IF(SUM(F599,K599)&gt;$Z599,"O","U"))</f>
        <v>U</v>
      </c>
      <c r="W599" s="206" t="str">
        <f t="shared" ref="W599:W604" si="293">IF(SUM(G599,L599)=$Z599,"T",IF(SUM(G599,L599)&gt;$Z599,"O","U"))</f>
        <v>O</v>
      </c>
      <c r="X599" s="206" t="str">
        <f t="shared" ref="X599:X604" si="294">IF(SUM(H599,M599)=$Z599,"T",IF(SUM(H599,M599)&gt;$Z599,"O","U"))</f>
        <v>O</v>
      </c>
      <c r="Y599" s="206"/>
      <c r="Z599" s="3">
        <v>56</v>
      </c>
      <c r="AB599" s="206" t="str">
        <f t="shared" si="284"/>
        <v>ATL/PHO</v>
      </c>
      <c r="AC599" s="206">
        <f t="shared" ref="AC599:AC604" si="295">COUNTIF(U599:X599,"o")</f>
        <v>2</v>
      </c>
      <c r="AD599" s="206">
        <f t="shared" ref="AD599:AD604" si="296">COUNTIF(U599:X599,"u")</f>
        <v>2</v>
      </c>
    </row>
    <row r="600" spans="1:30" x14ac:dyDescent="0.45">
      <c r="A600" s="206">
        <v>200115</v>
      </c>
      <c r="B600" s="44">
        <v>0.39583333333333331</v>
      </c>
      <c r="C600" s="3" t="s">
        <v>407</v>
      </c>
      <c r="D600" s="3" t="s">
        <v>405</v>
      </c>
      <c r="E600" s="3">
        <v>26</v>
      </c>
      <c r="F600" s="3">
        <v>19</v>
      </c>
      <c r="G600" s="3">
        <v>29</v>
      </c>
      <c r="H600" s="3">
        <v>33</v>
      </c>
      <c r="J600" s="3">
        <v>30</v>
      </c>
      <c r="K600" s="3">
        <v>29</v>
      </c>
      <c r="L600" s="3">
        <v>29</v>
      </c>
      <c r="M600" s="3">
        <v>30</v>
      </c>
      <c r="N600" s="3" t="s">
        <v>427</v>
      </c>
      <c r="O600" s="206">
        <f t="shared" si="285"/>
        <v>107</v>
      </c>
      <c r="P600" s="206">
        <f t="shared" si="286"/>
        <v>118</v>
      </c>
      <c r="Q600" s="206" t="str">
        <f t="shared" si="287"/>
        <v>HL</v>
      </c>
      <c r="R600" s="206" t="str">
        <f t="shared" si="288"/>
        <v>HL</v>
      </c>
      <c r="S600" s="206" t="str">
        <f t="shared" si="289"/>
        <v>TT</v>
      </c>
      <c r="T600" s="206" t="str">
        <f t="shared" si="290"/>
        <v>HW</v>
      </c>
      <c r="U600" s="206" t="str">
        <f t="shared" si="291"/>
        <v>O</v>
      </c>
      <c r="V600" s="206" t="str">
        <f t="shared" si="292"/>
        <v>U</v>
      </c>
      <c r="W600" s="206" t="str">
        <f t="shared" si="293"/>
        <v>O</v>
      </c>
      <c r="X600" s="206" t="str">
        <f t="shared" si="294"/>
        <v>O</v>
      </c>
      <c r="Y600" s="206"/>
      <c r="Z600" s="3">
        <v>54.5</v>
      </c>
      <c r="AB600" s="206" t="str">
        <f t="shared" si="284"/>
        <v>BKN/UTA</v>
      </c>
      <c r="AC600" s="206">
        <f t="shared" si="295"/>
        <v>3</v>
      </c>
      <c r="AD600" s="206">
        <f t="shared" si="296"/>
        <v>1</v>
      </c>
    </row>
    <row r="601" spans="1:30" x14ac:dyDescent="0.45">
      <c r="A601" s="206">
        <v>200115</v>
      </c>
      <c r="B601" s="44">
        <v>0.41666666666666669</v>
      </c>
      <c r="C601" s="3" t="s">
        <v>423</v>
      </c>
      <c r="D601" s="3" t="s">
        <v>399</v>
      </c>
      <c r="E601" s="3">
        <v>29</v>
      </c>
      <c r="F601" s="3">
        <v>36</v>
      </c>
      <c r="G601" s="3">
        <v>43</v>
      </c>
      <c r="H601" s="3">
        <v>20</v>
      </c>
      <c r="J601" s="3">
        <v>23</v>
      </c>
      <c r="K601" s="3">
        <v>17</v>
      </c>
      <c r="L601" s="3">
        <v>36</v>
      </c>
      <c r="M601" s="3">
        <v>26</v>
      </c>
      <c r="N601" s="3" t="s">
        <v>427</v>
      </c>
      <c r="O601" s="206">
        <f t="shared" si="285"/>
        <v>128</v>
      </c>
      <c r="P601" s="206">
        <f t="shared" si="286"/>
        <v>102</v>
      </c>
      <c r="Q601" s="206" t="str">
        <f t="shared" si="287"/>
        <v>HW</v>
      </c>
      <c r="R601" s="206" t="str">
        <f t="shared" si="288"/>
        <v>HW</v>
      </c>
      <c r="S601" s="206" t="str">
        <f t="shared" si="289"/>
        <v>HW</v>
      </c>
      <c r="T601" s="206" t="str">
        <f t="shared" si="290"/>
        <v>HL</v>
      </c>
      <c r="U601" s="206" t="str">
        <f t="shared" si="291"/>
        <v>U</v>
      </c>
      <c r="V601" s="206" t="str">
        <f t="shared" si="292"/>
        <v>U</v>
      </c>
      <c r="W601" s="206" t="str">
        <f t="shared" si="293"/>
        <v>O</v>
      </c>
      <c r="X601" s="206" t="str">
        <f t="shared" si="294"/>
        <v>U</v>
      </c>
      <c r="Y601" s="206"/>
      <c r="Z601" s="3">
        <v>59.5</v>
      </c>
      <c r="AB601" s="206" t="str">
        <f t="shared" si="284"/>
        <v>MIL/NYK</v>
      </c>
      <c r="AC601" s="206">
        <f t="shared" si="295"/>
        <v>1</v>
      </c>
      <c r="AD601" s="206">
        <f t="shared" si="296"/>
        <v>3</v>
      </c>
    </row>
    <row r="602" spans="1:30" x14ac:dyDescent="0.45">
      <c r="A602" s="206">
        <v>200115</v>
      </c>
      <c r="B602" s="44">
        <v>0.41666666666666669</v>
      </c>
      <c r="C602" s="3" t="s">
        <v>406</v>
      </c>
      <c r="D602" s="3" t="s">
        <v>403</v>
      </c>
      <c r="E602" s="3">
        <v>32</v>
      </c>
      <c r="F602" s="3">
        <v>35</v>
      </c>
      <c r="G602" s="3">
        <v>18</v>
      </c>
      <c r="H602" s="3">
        <v>36</v>
      </c>
      <c r="J602" s="3">
        <v>37</v>
      </c>
      <c r="K602" s="3">
        <v>24</v>
      </c>
      <c r="L602" s="3">
        <v>22</v>
      </c>
      <c r="M602" s="3">
        <v>27</v>
      </c>
      <c r="N602" s="3" t="s">
        <v>427</v>
      </c>
      <c r="O602" s="206">
        <f t="shared" si="285"/>
        <v>121</v>
      </c>
      <c r="P602" s="206">
        <f t="shared" si="286"/>
        <v>110</v>
      </c>
      <c r="Q602" s="206" t="str">
        <f t="shared" si="287"/>
        <v>HL</v>
      </c>
      <c r="R602" s="206" t="str">
        <f t="shared" si="288"/>
        <v>HW</v>
      </c>
      <c r="S602" s="206" t="str">
        <f t="shared" si="289"/>
        <v>HL</v>
      </c>
      <c r="T602" s="206" t="str">
        <f t="shared" si="290"/>
        <v>HW</v>
      </c>
      <c r="U602" s="206" t="str">
        <f t="shared" si="291"/>
        <v>O</v>
      </c>
      <c r="V602" s="206" t="str">
        <f t="shared" si="292"/>
        <v>U</v>
      </c>
      <c r="W602" s="206" t="str">
        <f t="shared" si="293"/>
        <v>U</v>
      </c>
      <c r="X602" s="206" t="str">
        <f t="shared" si="294"/>
        <v>O</v>
      </c>
      <c r="Y602" s="206"/>
      <c r="Z602" s="3">
        <v>62</v>
      </c>
      <c r="AB602" s="206" t="str">
        <f t="shared" si="284"/>
        <v>MEM/HOU</v>
      </c>
      <c r="AC602" s="206">
        <f t="shared" si="295"/>
        <v>2</v>
      </c>
      <c r="AD602" s="206">
        <f t="shared" si="296"/>
        <v>2</v>
      </c>
    </row>
    <row r="603" spans="1:30" x14ac:dyDescent="0.45">
      <c r="A603" s="206">
        <v>200115</v>
      </c>
      <c r="B603" s="44">
        <v>0.52083333333333337</v>
      </c>
      <c r="C603" s="3" t="s">
        <v>425</v>
      </c>
      <c r="D603" s="3" t="s">
        <v>397</v>
      </c>
      <c r="E603" s="3">
        <v>26</v>
      </c>
      <c r="F603" s="3">
        <v>21</v>
      </c>
      <c r="G603" s="3">
        <v>24</v>
      </c>
      <c r="H603" s="3">
        <v>26</v>
      </c>
      <c r="J603" s="3">
        <v>36</v>
      </c>
      <c r="K603" s="3">
        <v>29</v>
      </c>
      <c r="L603" s="3">
        <v>29</v>
      </c>
      <c r="M603" s="3">
        <v>30</v>
      </c>
      <c r="N603" s="3" t="s">
        <v>427</v>
      </c>
      <c r="O603" s="206">
        <f t="shared" si="285"/>
        <v>97</v>
      </c>
      <c r="P603" s="206">
        <f t="shared" si="286"/>
        <v>124</v>
      </c>
      <c r="Q603" s="206" t="str">
        <f t="shared" si="287"/>
        <v>HL</v>
      </c>
      <c r="R603" s="206" t="str">
        <f t="shared" si="288"/>
        <v>HL</v>
      </c>
      <c r="S603" s="206" t="str">
        <f t="shared" si="289"/>
        <v>HL</v>
      </c>
      <c r="T603" s="206" t="str">
        <f t="shared" si="290"/>
        <v>HL</v>
      </c>
      <c r="U603" s="206" t="str">
        <f t="shared" si="291"/>
        <v>O</v>
      </c>
      <c r="V603" s="206" t="str">
        <f t="shared" si="292"/>
        <v>U</v>
      </c>
      <c r="W603" s="206" t="str">
        <f t="shared" si="293"/>
        <v>U</v>
      </c>
      <c r="X603" s="206" t="str">
        <f t="shared" si="294"/>
        <v>U</v>
      </c>
      <c r="Y603" s="206"/>
      <c r="Z603" s="3">
        <v>57.5</v>
      </c>
      <c r="AB603" s="206" t="str">
        <f t="shared" si="284"/>
        <v>GS/DAL</v>
      </c>
      <c r="AC603" s="206">
        <f t="shared" si="295"/>
        <v>1</v>
      </c>
      <c r="AD603" s="206">
        <f t="shared" si="296"/>
        <v>3</v>
      </c>
    </row>
    <row r="604" spans="1:30" x14ac:dyDescent="0.45">
      <c r="A604" s="206">
        <v>200115</v>
      </c>
      <c r="B604" s="44">
        <v>0.52083333333333337</v>
      </c>
      <c r="C604" s="3" t="s">
        <v>415</v>
      </c>
      <c r="D604" s="3" t="s">
        <v>402</v>
      </c>
      <c r="E604" s="3">
        <v>31</v>
      </c>
      <c r="F604" s="3">
        <v>35</v>
      </c>
      <c r="G604" s="3">
        <v>40</v>
      </c>
      <c r="H604" s="3">
        <v>22</v>
      </c>
      <c r="J604" s="3">
        <v>26</v>
      </c>
      <c r="K604" s="3">
        <v>24</v>
      </c>
      <c r="L604" s="3">
        <v>21</v>
      </c>
      <c r="M604" s="3">
        <v>32</v>
      </c>
      <c r="N604" s="3" t="s">
        <v>427</v>
      </c>
      <c r="O604" s="206">
        <f t="shared" si="285"/>
        <v>128</v>
      </c>
      <c r="P604" s="206">
        <f t="shared" si="286"/>
        <v>103</v>
      </c>
      <c r="Q604" s="206" t="str">
        <f t="shared" si="287"/>
        <v>HW</v>
      </c>
      <c r="R604" s="206" t="str">
        <f t="shared" si="288"/>
        <v>HW</v>
      </c>
      <c r="S604" s="206" t="str">
        <f t="shared" si="289"/>
        <v>HW</v>
      </c>
      <c r="T604" s="206" t="str">
        <f t="shared" si="290"/>
        <v>HL</v>
      </c>
      <c r="U604" s="206" t="str">
        <f t="shared" si="291"/>
        <v>O</v>
      </c>
      <c r="V604" s="206" t="str">
        <f t="shared" si="292"/>
        <v>O</v>
      </c>
      <c r="W604" s="206" t="str">
        <f t="shared" si="293"/>
        <v>O</v>
      </c>
      <c r="X604" s="206" t="str">
        <f t="shared" si="294"/>
        <v>U</v>
      </c>
      <c r="Y604" s="206"/>
      <c r="Z604" s="3">
        <v>55</v>
      </c>
      <c r="AB604" s="206" t="str">
        <f t="shared" si="284"/>
        <v>LAC/CLE</v>
      </c>
      <c r="AC604" s="206">
        <f t="shared" si="295"/>
        <v>3</v>
      </c>
      <c r="AD604" s="206">
        <f t="shared" si="296"/>
        <v>1</v>
      </c>
    </row>
    <row r="605" spans="1:30" x14ac:dyDescent="0.45">
      <c r="A605" s="206">
        <v>200116</v>
      </c>
      <c r="B605" s="44">
        <v>0.375</v>
      </c>
      <c r="C605" s="206" t="s">
        <v>421</v>
      </c>
      <c r="D605" s="206" t="s">
        <v>422</v>
      </c>
    </row>
    <row r="606" spans="1:30" x14ac:dyDescent="0.45">
      <c r="A606" s="206">
        <v>200116</v>
      </c>
      <c r="B606" s="44">
        <v>0.375</v>
      </c>
      <c r="C606" s="11" t="s">
        <v>401</v>
      </c>
      <c r="D606" s="11" t="s">
        <v>407</v>
      </c>
    </row>
    <row r="607" spans="1:30" x14ac:dyDescent="0.45">
      <c r="A607" s="206">
        <v>200116</v>
      </c>
      <c r="B607" s="44">
        <v>0.39583333333333331</v>
      </c>
      <c r="C607" s="206" t="s">
        <v>411</v>
      </c>
      <c r="D607" s="206" t="s">
        <v>426</v>
      </c>
    </row>
    <row r="608" spans="1:30" x14ac:dyDescent="0.45">
      <c r="A608" s="206">
        <v>200116</v>
      </c>
      <c r="B608" s="44">
        <v>0.41666666666666669</v>
      </c>
      <c r="C608" s="206" t="s">
        <v>436</v>
      </c>
      <c r="D608" s="206" t="s">
        <v>414</v>
      </c>
    </row>
    <row r="609" spans="1:4" x14ac:dyDescent="0.45">
      <c r="A609" s="206">
        <v>200116</v>
      </c>
      <c r="B609" s="44">
        <v>0.41666666666666669</v>
      </c>
      <c r="C609" s="206" t="s">
        <v>420</v>
      </c>
      <c r="D609" s="206" t="s">
        <v>400</v>
      </c>
    </row>
    <row r="610" spans="1:4" x14ac:dyDescent="0.45">
      <c r="A610" s="206">
        <v>200116</v>
      </c>
      <c r="B610" s="44">
        <v>0.41666666666666669</v>
      </c>
      <c r="C610" s="14" t="s">
        <v>418</v>
      </c>
      <c r="D610" s="14" t="s">
        <v>413</v>
      </c>
    </row>
    <row r="611" spans="1:4" x14ac:dyDescent="0.45">
      <c r="A611" s="206">
        <v>200116</v>
      </c>
      <c r="B611" s="207">
        <v>0.45833333333333331</v>
      </c>
      <c r="C611" s="206" t="s">
        <v>437</v>
      </c>
      <c r="D611" s="206" t="s">
        <v>409</v>
      </c>
    </row>
    <row r="612" spans="1:4" x14ac:dyDescent="0.45">
      <c r="A612" s="206">
        <v>200116</v>
      </c>
      <c r="B612" s="207">
        <v>0.47916666666666669</v>
      </c>
      <c r="C612" s="206" t="s">
        <v>403</v>
      </c>
      <c r="D612" s="206" t="s">
        <v>417</v>
      </c>
    </row>
    <row r="613" spans="1:4" x14ac:dyDescent="0.45">
      <c r="A613" s="206">
        <v>200116</v>
      </c>
      <c r="B613" s="44">
        <v>0.5</v>
      </c>
      <c r="C613" s="11" t="s">
        <v>416</v>
      </c>
      <c r="D613" s="11" t="s">
        <v>397</v>
      </c>
    </row>
    <row r="614" spans="1:4" x14ac:dyDescent="0.45">
      <c r="A614" s="206">
        <v>200116</v>
      </c>
      <c r="B614" s="44">
        <v>0.52083333333333337</v>
      </c>
      <c r="C614" s="11" t="s">
        <v>419</v>
      </c>
      <c r="D614" s="11" t="s">
        <v>424</v>
      </c>
    </row>
  </sheetData>
  <autoFilter ref="AB1:AB41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A71"/>
  <sheetViews>
    <sheetView zoomScale="85" zoomScaleNormal="85" workbookViewId="0">
      <pane xSplit="1" ySplit="1" topLeftCell="B71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7" x14ac:dyDescent="0.45"/>
  <cols>
    <col min="3" max="4" width="9" style="5"/>
    <col min="5" max="8" width="4.5" bestFit="1" customWidth="1"/>
    <col min="9" max="9" width="4.08203125" bestFit="1" customWidth="1"/>
    <col min="10" max="13" width="4.33203125" bestFit="1" customWidth="1"/>
    <col min="14" max="14" width="4.08203125" bestFit="1" customWidth="1"/>
    <col min="27" max="27" width="10.83203125" bestFit="1" customWidth="1"/>
  </cols>
  <sheetData>
    <row r="1" spans="1:27" s="3" customFormat="1" ht="16.5" x14ac:dyDescent="0.45">
      <c r="A1" s="3" t="s">
        <v>0</v>
      </c>
      <c r="B1" s="3" t="s">
        <v>55</v>
      </c>
      <c r="C1" s="5" t="s">
        <v>1</v>
      </c>
      <c r="D1" s="5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s="206" customFormat="1" x14ac:dyDescent="0.45">
      <c r="A2" s="206">
        <v>200106</v>
      </c>
      <c r="B2" s="207">
        <v>0.22916666666666666</v>
      </c>
      <c r="C2" s="206" t="s">
        <v>415</v>
      </c>
      <c r="D2" s="206" t="s">
        <v>399</v>
      </c>
      <c r="E2" s="206">
        <v>29</v>
      </c>
      <c r="F2" s="206">
        <v>47</v>
      </c>
      <c r="G2" s="206">
        <v>38</v>
      </c>
      <c r="H2" s="206">
        <v>21</v>
      </c>
      <c r="J2" s="206">
        <v>45</v>
      </c>
      <c r="K2" s="206">
        <v>24</v>
      </c>
      <c r="L2" s="206">
        <v>31</v>
      </c>
      <c r="M2" s="206">
        <v>32</v>
      </c>
      <c r="N2" s="206" t="s">
        <v>427</v>
      </c>
      <c r="O2" s="206">
        <f t="shared" ref="O2:O65" si="0">SUM(E2:I2)</f>
        <v>135</v>
      </c>
      <c r="P2" s="206">
        <f t="shared" ref="P2:P65" si="1">SUM(J2:N2)</f>
        <v>132</v>
      </c>
      <c r="Q2" s="206" t="str">
        <f t="shared" ref="Q2:T65" si="2">IF(E2=J2,"TT",IF(E2&gt;J2,"HW","HL"))</f>
        <v>HL</v>
      </c>
      <c r="R2" s="206" t="str">
        <f t="shared" si="2"/>
        <v>HW</v>
      </c>
      <c r="S2" s="206" t="str">
        <f t="shared" si="2"/>
        <v>HW</v>
      </c>
      <c r="T2" s="206" t="str">
        <f t="shared" si="2"/>
        <v>HL</v>
      </c>
      <c r="U2" s="206" t="str">
        <f t="shared" ref="U2:X65" si="3">IF(SUM(E2,J2)=$Z2,"T",IF(SUM(E2,J2)&gt;$Z2,"O","U"))</f>
        <v>O</v>
      </c>
      <c r="V2" s="206" t="str">
        <f t="shared" si="3"/>
        <v>O</v>
      </c>
      <c r="W2" s="206" t="str">
        <f t="shared" si="3"/>
        <v>O</v>
      </c>
      <c r="X2" s="206" t="str">
        <f t="shared" si="3"/>
        <v>U</v>
      </c>
      <c r="Z2" s="206">
        <v>57</v>
      </c>
      <c r="AA2" s="206" t="str">
        <f t="shared" ref="AA2:AA33" si="4">C2&amp;"/"&amp;D2</f>
        <v>LAC/NYK</v>
      </c>
    </row>
    <row r="3" spans="1:27" s="206" customFormat="1" x14ac:dyDescent="0.45">
      <c r="A3" s="206">
        <v>200106</v>
      </c>
      <c r="B3" s="207">
        <v>0.33333333333333331</v>
      </c>
      <c r="C3" s="206" t="s">
        <v>411</v>
      </c>
      <c r="D3" s="206" t="s">
        <v>417</v>
      </c>
      <c r="E3" s="206">
        <v>31</v>
      </c>
      <c r="F3" s="206">
        <v>34</v>
      </c>
      <c r="G3" s="206">
        <v>29</v>
      </c>
      <c r="H3" s="206">
        <v>28</v>
      </c>
      <c r="J3" s="206">
        <v>19</v>
      </c>
      <c r="K3" s="206">
        <v>27</v>
      </c>
      <c r="L3" s="206">
        <v>35</v>
      </c>
      <c r="M3" s="206">
        <v>30</v>
      </c>
      <c r="N3" s="206" t="s">
        <v>427</v>
      </c>
      <c r="O3" s="206">
        <f t="shared" si="0"/>
        <v>122</v>
      </c>
      <c r="P3" s="206">
        <f t="shared" si="1"/>
        <v>111</v>
      </c>
      <c r="Q3" s="206" t="str">
        <f t="shared" si="2"/>
        <v>HW</v>
      </c>
      <c r="R3" s="206" t="str">
        <f t="shared" si="2"/>
        <v>HW</v>
      </c>
      <c r="S3" s="206" t="str">
        <f t="shared" si="2"/>
        <v>HL</v>
      </c>
      <c r="T3" s="206" t="str">
        <f t="shared" si="2"/>
        <v>HL</v>
      </c>
      <c r="U3" s="206" t="str">
        <f t="shared" si="3"/>
        <v>U</v>
      </c>
      <c r="V3" s="206" t="str">
        <f t="shared" si="3"/>
        <v>O</v>
      </c>
      <c r="W3" s="206" t="str">
        <f t="shared" si="3"/>
        <v>O</v>
      </c>
      <c r="X3" s="206" t="str">
        <f t="shared" si="3"/>
        <v>O</v>
      </c>
      <c r="Z3" s="206">
        <v>55.5</v>
      </c>
      <c r="AA3" s="206" t="str">
        <f t="shared" si="4"/>
        <v>MIA/POR</v>
      </c>
    </row>
    <row r="4" spans="1:27" s="206" customFormat="1" x14ac:dyDescent="0.45">
      <c r="A4" s="206">
        <v>200106</v>
      </c>
      <c r="B4" s="207">
        <v>0.39583333333333331</v>
      </c>
      <c r="C4" s="206" t="s">
        <v>402</v>
      </c>
      <c r="D4" s="206" t="s">
        <v>420</v>
      </c>
      <c r="E4" s="206">
        <v>20</v>
      </c>
      <c r="F4" s="206">
        <v>28</v>
      </c>
      <c r="G4" s="206">
        <v>31</v>
      </c>
      <c r="H4" s="206">
        <v>24</v>
      </c>
      <c r="J4" s="206">
        <v>24</v>
      </c>
      <c r="K4" s="206">
        <v>42</v>
      </c>
      <c r="L4" s="206">
        <v>28</v>
      </c>
      <c r="M4" s="206">
        <v>24</v>
      </c>
      <c r="N4" s="206" t="s">
        <v>427</v>
      </c>
      <c r="O4" s="206">
        <f t="shared" si="0"/>
        <v>103</v>
      </c>
      <c r="P4" s="206">
        <f t="shared" si="1"/>
        <v>118</v>
      </c>
      <c r="Q4" s="206" t="str">
        <f t="shared" si="2"/>
        <v>HL</v>
      </c>
      <c r="R4" s="206" t="str">
        <f t="shared" si="2"/>
        <v>HL</v>
      </c>
      <c r="S4" s="206" t="str">
        <f t="shared" si="2"/>
        <v>HW</v>
      </c>
      <c r="T4" s="206" t="str">
        <f t="shared" si="2"/>
        <v>TT</v>
      </c>
      <c r="U4" s="206" t="str">
        <f t="shared" si="3"/>
        <v>U</v>
      </c>
      <c r="V4" s="206" t="str">
        <f t="shared" si="3"/>
        <v>O</v>
      </c>
      <c r="W4" s="206" t="str">
        <f t="shared" si="3"/>
        <v>O</v>
      </c>
      <c r="X4" s="206" t="str">
        <f t="shared" si="3"/>
        <v>U</v>
      </c>
      <c r="Z4" s="206">
        <v>55.5</v>
      </c>
      <c r="AA4" s="206" t="str">
        <f t="shared" si="4"/>
        <v>CLE/MIN</v>
      </c>
    </row>
    <row r="5" spans="1:27" s="206" customFormat="1" x14ac:dyDescent="0.45">
      <c r="A5" s="206">
        <v>200106</v>
      </c>
      <c r="B5" s="207">
        <v>0.41666666666666669</v>
      </c>
      <c r="C5" s="206" t="s">
        <v>43</v>
      </c>
      <c r="D5" s="206" t="s">
        <v>406</v>
      </c>
      <c r="E5" s="206">
        <v>31</v>
      </c>
      <c r="F5" s="206">
        <v>26</v>
      </c>
      <c r="G5" s="206">
        <v>20</v>
      </c>
      <c r="H5" s="206">
        <v>37</v>
      </c>
      <c r="J5" s="206">
        <v>27</v>
      </c>
      <c r="K5" s="206">
        <v>35</v>
      </c>
      <c r="L5" s="206">
        <v>34</v>
      </c>
      <c r="M5" s="206">
        <v>25</v>
      </c>
      <c r="N5" s="206" t="s">
        <v>427</v>
      </c>
      <c r="O5" s="206">
        <f t="shared" si="0"/>
        <v>114</v>
      </c>
      <c r="P5" s="206">
        <f t="shared" si="1"/>
        <v>121</v>
      </c>
      <c r="Q5" s="206" t="str">
        <f t="shared" si="2"/>
        <v>HW</v>
      </c>
      <c r="R5" s="206" t="str">
        <f t="shared" si="2"/>
        <v>HL</v>
      </c>
      <c r="S5" s="206" t="str">
        <f t="shared" si="2"/>
        <v>HL</v>
      </c>
      <c r="T5" s="206" t="str">
        <f t="shared" si="2"/>
        <v>HW</v>
      </c>
      <c r="U5" s="206" t="str">
        <f t="shared" si="3"/>
        <v>O</v>
      </c>
      <c r="V5" s="206" t="str">
        <f t="shared" si="3"/>
        <v>O</v>
      </c>
      <c r="W5" s="206" t="str">
        <f t="shared" si="3"/>
        <v>U</v>
      </c>
      <c r="X5" s="206" t="str">
        <f t="shared" si="3"/>
        <v>O</v>
      </c>
      <c r="Z5" s="206">
        <v>57.5</v>
      </c>
      <c r="AA5" s="206" t="str">
        <f t="shared" si="4"/>
        <v>PHO/MEM</v>
      </c>
    </row>
    <row r="6" spans="1:27" s="206" customFormat="1" x14ac:dyDescent="0.45">
      <c r="A6" s="206">
        <v>200106</v>
      </c>
      <c r="B6" s="207">
        <v>0.5</v>
      </c>
      <c r="C6" s="206" t="s">
        <v>419</v>
      </c>
      <c r="D6" s="206" t="s">
        <v>422</v>
      </c>
      <c r="E6" s="206">
        <v>23</v>
      </c>
      <c r="F6" s="206">
        <v>33</v>
      </c>
      <c r="G6" s="206">
        <v>19</v>
      </c>
      <c r="H6" s="206">
        <v>31</v>
      </c>
      <c r="J6" s="206">
        <v>22</v>
      </c>
      <c r="K6" s="206">
        <v>25</v>
      </c>
      <c r="L6" s="206">
        <v>32</v>
      </c>
      <c r="M6" s="206">
        <v>20</v>
      </c>
      <c r="N6" s="206" t="s">
        <v>427</v>
      </c>
      <c r="O6" s="206">
        <f t="shared" si="0"/>
        <v>106</v>
      </c>
      <c r="P6" s="206">
        <f t="shared" si="1"/>
        <v>99</v>
      </c>
      <c r="Q6" s="206" t="str">
        <f t="shared" si="2"/>
        <v>HW</v>
      </c>
      <c r="R6" s="206" t="str">
        <f t="shared" si="2"/>
        <v>HW</v>
      </c>
      <c r="S6" s="206" t="str">
        <f t="shared" si="2"/>
        <v>HL</v>
      </c>
      <c r="T6" s="206" t="str">
        <f t="shared" si="2"/>
        <v>HW</v>
      </c>
      <c r="U6" s="206" t="str">
        <f t="shared" si="3"/>
        <v>U</v>
      </c>
      <c r="V6" s="206" t="str">
        <f t="shared" si="3"/>
        <v>O</v>
      </c>
      <c r="W6" s="206" t="str">
        <f t="shared" si="3"/>
        <v>U</v>
      </c>
      <c r="X6" s="206" t="str">
        <f t="shared" si="3"/>
        <v>U</v>
      </c>
      <c r="Z6" s="206">
        <v>57.5</v>
      </c>
      <c r="AA6" s="206" t="str">
        <f t="shared" si="4"/>
        <v>LAL/DET</v>
      </c>
    </row>
    <row r="7" spans="1:27" s="206" customFormat="1" x14ac:dyDescent="0.45">
      <c r="A7" s="206">
        <v>200107</v>
      </c>
      <c r="B7" s="44">
        <v>0.375</v>
      </c>
      <c r="C7" s="206" t="s">
        <v>424</v>
      </c>
      <c r="D7" s="206" t="s">
        <v>407</v>
      </c>
      <c r="E7" s="206">
        <v>20</v>
      </c>
      <c r="F7" s="206">
        <v>32</v>
      </c>
      <c r="G7" s="206">
        <v>23</v>
      </c>
      <c r="H7" s="206">
        <v>26</v>
      </c>
      <c r="J7" s="206">
        <v>22</v>
      </c>
      <c r="K7" s="206">
        <v>17</v>
      </c>
      <c r="L7" s="206">
        <v>32</v>
      </c>
      <c r="M7" s="206">
        <v>18</v>
      </c>
      <c r="N7" s="206" t="s">
        <v>427</v>
      </c>
      <c r="O7" s="206">
        <f t="shared" si="0"/>
        <v>101</v>
      </c>
      <c r="P7" s="206">
        <f t="shared" si="1"/>
        <v>89</v>
      </c>
      <c r="Q7" s="206" t="str">
        <f t="shared" si="2"/>
        <v>HL</v>
      </c>
      <c r="R7" s="206" t="str">
        <f t="shared" si="2"/>
        <v>HW</v>
      </c>
      <c r="S7" s="206" t="str">
        <f t="shared" si="2"/>
        <v>HL</v>
      </c>
      <c r="T7" s="206" t="str">
        <f t="shared" si="2"/>
        <v>HW</v>
      </c>
      <c r="U7" s="206" t="str">
        <f t="shared" si="3"/>
        <v>U</v>
      </c>
      <c r="V7" s="206" t="str">
        <f t="shared" si="3"/>
        <v>U</v>
      </c>
      <c r="W7" s="206" t="str">
        <f t="shared" si="3"/>
        <v>O</v>
      </c>
      <c r="X7" s="206" t="str">
        <f t="shared" si="3"/>
        <v>U</v>
      </c>
      <c r="Z7" s="206">
        <v>52</v>
      </c>
      <c r="AA7" s="206" t="str">
        <f t="shared" si="4"/>
        <v>ORL/BKN</v>
      </c>
    </row>
    <row r="8" spans="1:27" s="206" customFormat="1" x14ac:dyDescent="0.45">
      <c r="A8" s="206">
        <v>200107</v>
      </c>
      <c r="B8" s="44">
        <v>0.375</v>
      </c>
      <c r="C8" s="206" t="s">
        <v>401</v>
      </c>
      <c r="D8" s="206" t="s">
        <v>418</v>
      </c>
      <c r="E8" s="206">
        <v>31</v>
      </c>
      <c r="F8" s="206">
        <v>31</v>
      </c>
      <c r="G8" s="206">
        <v>28</v>
      </c>
      <c r="H8" s="206">
        <v>30</v>
      </c>
      <c r="J8" s="206">
        <v>31</v>
      </c>
      <c r="K8" s="206">
        <v>21</v>
      </c>
      <c r="L8" s="206">
        <v>34</v>
      </c>
      <c r="M8" s="206">
        <v>27</v>
      </c>
      <c r="N8" s="206" t="s">
        <v>427</v>
      </c>
      <c r="O8" s="206">
        <f t="shared" si="0"/>
        <v>120</v>
      </c>
      <c r="P8" s="206">
        <f t="shared" si="1"/>
        <v>113</v>
      </c>
      <c r="Q8" s="206" t="str">
        <f t="shared" si="2"/>
        <v>TT</v>
      </c>
      <c r="R8" s="206" t="str">
        <f t="shared" si="2"/>
        <v>HW</v>
      </c>
      <c r="S8" s="206" t="str">
        <f t="shared" si="2"/>
        <v>HL</v>
      </c>
      <c r="T8" s="206" t="str">
        <f t="shared" si="2"/>
        <v>HW</v>
      </c>
      <c r="U8" s="206" t="str">
        <f t="shared" si="3"/>
        <v>O</v>
      </c>
      <c r="V8" s="206" t="str">
        <f t="shared" si="3"/>
        <v>U</v>
      </c>
      <c r="W8" s="206" t="str">
        <f t="shared" si="3"/>
        <v>O</v>
      </c>
      <c r="X8" s="206" t="str">
        <f t="shared" si="3"/>
        <v>O</v>
      </c>
      <c r="Z8" s="206">
        <v>55</v>
      </c>
      <c r="AA8" s="206" t="str">
        <f t="shared" si="4"/>
        <v>PHI/OKC</v>
      </c>
    </row>
    <row r="9" spans="1:27" s="206" customFormat="1" x14ac:dyDescent="0.45">
      <c r="A9" s="206">
        <v>200107</v>
      </c>
      <c r="B9" s="44">
        <v>0.375</v>
      </c>
      <c r="C9" s="206" t="s">
        <v>414</v>
      </c>
      <c r="D9" s="206" t="s">
        <v>421</v>
      </c>
      <c r="E9" s="206">
        <v>26</v>
      </c>
      <c r="F9" s="206">
        <v>25</v>
      </c>
      <c r="G9" s="206">
        <v>23</v>
      </c>
      <c r="H9" s="206">
        <v>25</v>
      </c>
      <c r="J9" s="206">
        <v>17</v>
      </c>
      <c r="K9" s="206">
        <v>23</v>
      </c>
      <c r="L9" s="206">
        <v>32</v>
      </c>
      <c r="M9" s="206">
        <v>22</v>
      </c>
      <c r="N9" s="206" t="s">
        <v>427</v>
      </c>
      <c r="O9" s="206">
        <f t="shared" si="0"/>
        <v>99</v>
      </c>
      <c r="P9" s="206">
        <f t="shared" si="1"/>
        <v>94</v>
      </c>
      <c r="Q9" s="206" t="str">
        <f t="shared" si="2"/>
        <v>HW</v>
      </c>
      <c r="R9" s="206" t="str">
        <f t="shared" si="2"/>
        <v>HW</v>
      </c>
      <c r="S9" s="206" t="str">
        <f t="shared" si="2"/>
        <v>HL</v>
      </c>
      <c r="T9" s="206" t="str">
        <f t="shared" si="2"/>
        <v>HW</v>
      </c>
      <c r="U9" s="206" t="str">
        <f t="shared" si="3"/>
        <v>U</v>
      </c>
      <c r="V9" s="206" t="str">
        <f t="shared" si="3"/>
        <v>U</v>
      </c>
      <c r="W9" s="206" t="str">
        <f t="shared" si="3"/>
        <v>T</v>
      </c>
      <c r="X9" s="206" t="str">
        <f t="shared" si="3"/>
        <v>U</v>
      </c>
      <c r="Z9" s="206">
        <v>55</v>
      </c>
      <c r="AA9" s="206" t="str">
        <f t="shared" si="4"/>
        <v>WAS/BOS</v>
      </c>
    </row>
    <row r="10" spans="1:27" s="206" customFormat="1" x14ac:dyDescent="0.45">
      <c r="A10" s="206">
        <v>200107</v>
      </c>
      <c r="B10" s="44">
        <v>0.375</v>
      </c>
      <c r="C10" s="206" t="s">
        <v>409</v>
      </c>
      <c r="D10" s="206" t="s">
        <v>400</v>
      </c>
      <c r="E10" s="206">
        <v>29</v>
      </c>
      <c r="F10" s="206">
        <v>15</v>
      </c>
      <c r="G10" s="206">
        <v>21</v>
      </c>
      <c r="H10" s="206">
        <v>39</v>
      </c>
      <c r="J10" s="206">
        <v>27</v>
      </c>
      <c r="K10" s="206">
        <v>15</v>
      </c>
      <c r="L10" s="206">
        <v>37</v>
      </c>
      <c r="M10" s="206">
        <v>36</v>
      </c>
      <c r="N10" s="206" t="s">
        <v>427</v>
      </c>
      <c r="O10" s="206">
        <f t="shared" si="0"/>
        <v>104</v>
      </c>
      <c r="P10" s="206">
        <f t="shared" si="1"/>
        <v>115</v>
      </c>
      <c r="Q10" s="206" t="str">
        <f t="shared" si="2"/>
        <v>HW</v>
      </c>
      <c r="R10" s="206" t="str">
        <f t="shared" si="2"/>
        <v>TT</v>
      </c>
      <c r="S10" s="206" t="str">
        <f t="shared" si="2"/>
        <v>HL</v>
      </c>
      <c r="T10" s="206" t="str">
        <f t="shared" si="2"/>
        <v>HW</v>
      </c>
      <c r="U10" s="206" t="str">
        <f t="shared" si="3"/>
        <v>O</v>
      </c>
      <c r="V10" s="206" t="str">
        <f t="shared" si="3"/>
        <v>U</v>
      </c>
      <c r="W10" s="206" t="str">
        <f t="shared" si="3"/>
        <v>O</v>
      </c>
      <c r="X10" s="206" t="str">
        <f t="shared" si="3"/>
        <v>O</v>
      </c>
      <c r="Z10" s="206">
        <v>54</v>
      </c>
      <c r="AA10" s="206" t="str">
        <f t="shared" si="4"/>
        <v>CHA/IND</v>
      </c>
    </row>
    <row r="11" spans="1:27" s="206" customFormat="1" x14ac:dyDescent="0.45">
      <c r="A11" s="206">
        <v>200107</v>
      </c>
      <c r="B11" s="44">
        <v>0.39583333333333331</v>
      </c>
      <c r="C11" s="206" t="s">
        <v>410</v>
      </c>
      <c r="D11" s="206" t="s">
        <v>408</v>
      </c>
      <c r="E11" s="206">
        <v>31</v>
      </c>
      <c r="F11" s="206">
        <v>25</v>
      </c>
      <c r="G11" s="206">
        <v>30</v>
      </c>
      <c r="H11" s="206">
        <v>29</v>
      </c>
      <c r="J11" s="206">
        <v>29</v>
      </c>
      <c r="K11" s="206">
        <v>35</v>
      </c>
      <c r="L11" s="206">
        <v>27</v>
      </c>
      <c r="M11" s="206">
        <v>32</v>
      </c>
      <c r="N11" s="206" t="s">
        <v>427</v>
      </c>
      <c r="O11" s="206">
        <f t="shared" si="0"/>
        <v>115</v>
      </c>
      <c r="P11" s="206">
        <f t="shared" si="1"/>
        <v>123</v>
      </c>
      <c r="Q11" s="206" t="str">
        <f t="shared" si="2"/>
        <v>HW</v>
      </c>
      <c r="R11" s="206" t="str">
        <f t="shared" si="2"/>
        <v>HL</v>
      </c>
      <c r="S11" s="206" t="str">
        <f t="shared" si="2"/>
        <v>HW</v>
      </c>
      <c r="T11" s="206" t="str">
        <f t="shared" si="2"/>
        <v>HL</v>
      </c>
      <c r="U11" s="206" t="str">
        <f t="shared" si="3"/>
        <v>O</v>
      </c>
      <c r="V11" s="206" t="str">
        <f t="shared" si="3"/>
        <v>O</v>
      </c>
      <c r="W11" s="206" t="str">
        <f t="shared" si="3"/>
        <v>U</v>
      </c>
      <c r="X11" s="206" t="str">
        <f t="shared" si="3"/>
        <v>O</v>
      </c>
      <c r="Z11" s="206">
        <v>58</v>
      </c>
      <c r="AA11" s="206" t="str">
        <f t="shared" si="4"/>
        <v>ATL/DEN</v>
      </c>
    </row>
    <row r="12" spans="1:27" s="206" customFormat="1" x14ac:dyDescent="0.45">
      <c r="A12" s="206">
        <v>200107</v>
      </c>
      <c r="B12" s="44">
        <v>0.41666666666666669</v>
      </c>
      <c r="C12" s="206" t="s">
        <v>398</v>
      </c>
      <c r="D12" s="206" t="s">
        <v>405</v>
      </c>
      <c r="E12" s="206">
        <v>36</v>
      </c>
      <c r="F12" s="206">
        <v>28</v>
      </c>
      <c r="G12" s="206">
        <v>33</v>
      </c>
      <c r="H12" s="206">
        <v>29</v>
      </c>
      <c r="J12" s="206">
        <v>35</v>
      </c>
      <c r="K12" s="206">
        <v>33</v>
      </c>
      <c r="L12" s="206">
        <v>27</v>
      </c>
      <c r="M12" s="206">
        <v>33</v>
      </c>
      <c r="N12" s="206" t="s">
        <v>427</v>
      </c>
      <c r="O12" s="206">
        <f t="shared" si="0"/>
        <v>126</v>
      </c>
      <c r="P12" s="206">
        <f t="shared" si="1"/>
        <v>128</v>
      </c>
      <c r="Q12" s="206" t="str">
        <f t="shared" si="2"/>
        <v>HW</v>
      </c>
      <c r="R12" s="206" t="str">
        <f t="shared" si="2"/>
        <v>HL</v>
      </c>
      <c r="S12" s="206" t="str">
        <f t="shared" si="2"/>
        <v>HW</v>
      </c>
      <c r="T12" s="206" t="str">
        <f t="shared" si="2"/>
        <v>HL</v>
      </c>
      <c r="U12" s="206" t="str">
        <f t="shared" si="3"/>
        <v>O</v>
      </c>
      <c r="V12" s="206" t="str">
        <f t="shared" si="3"/>
        <v>O</v>
      </c>
      <c r="W12" s="206" t="str">
        <f t="shared" si="3"/>
        <v>O</v>
      </c>
      <c r="X12" s="206" t="str">
        <f t="shared" si="3"/>
        <v>O</v>
      </c>
      <c r="Z12" s="206">
        <v>54</v>
      </c>
      <c r="AA12" s="206" t="str">
        <f t="shared" si="4"/>
        <v>NO/UTA</v>
      </c>
    </row>
    <row r="13" spans="1:27" s="206" customFormat="1" x14ac:dyDescent="0.45">
      <c r="A13" s="206">
        <v>200107</v>
      </c>
      <c r="B13" s="44">
        <v>0.4375</v>
      </c>
      <c r="C13" s="206" t="s">
        <v>397</v>
      </c>
      <c r="D13" s="206" t="s">
        <v>412</v>
      </c>
      <c r="E13" s="206">
        <v>33</v>
      </c>
      <c r="F13" s="206">
        <v>28</v>
      </c>
      <c r="G13" s="206">
        <v>27</v>
      </c>
      <c r="H13" s="206">
        <v>30</v>
      </c>
      <c r="J13" s="206">
        <v>27</v>
      </c>
      <c r="K13" s="206">
        <v>28</v>
      </c>
      <c r="L13" s="206">
        <v>27</v>
      </c>
      <c r="M13" s="206">
        <v>28</v>
      </c>
      <c r="N13" s="206" t="s">
        <v>427</v>
      </c>
      <c r="O13" s="206">
        <f t="shared" si="0"/>
        <v>118</v>
      </c>
      <c r="P13" s="206">
        <f t="shared" si="1"/>
        <v>110</v>
      </c>
      <c r="Q13" s="206" t="str">
        <f t="shared" si="2"/>
        <v>HW</v>
      </c>
      <c r="R13" s="206" t="str">
        <f t="shared" si="2"/>
        <v>TT</v>
      </c>
      <c r="S13" s="206" t="str">
        <f t="shared" si="2"/>
        <v>TT</v>
      </c>
      <c r="T13" s="206" t="str">
        <f t="shared" si="2"/>
        <v>HW</v>
      </c>
      <c r="U13" s="206" t="str">
        <f t="shared" si="3"/>
        <v>O</v>
      </c>
      <c r="V13" s="206" t="str">
        <f t="shared" si="3"/>
        <v>T</v>
      </c>
      <c r="W13" s="206" t="str">
        <f t="shared" si="3"/>
        <v>U</v>
      </c>
      <c r="X13" s="206" t="str">
        <f t="shared" si="3"/>
        <v>O</v>
      </c>
      <c r="Z13" s="206">
        <v>56</v>
      </c>
      <c r="AA13" s="206" t="str">
        <f t="shared" si="4"/>
        <v>DAL/CHI</v>
      </c>
    </row>
    <row r="14" spans="1:27" s="206" customFormat="1" x14ac:dyDescent="0.45">
      <c r="A14" s="206">
        <v>200107</v>
      </c>
      <c r="B14" s="44">
        <v>0.4375</v>
      </c>
      <c r="C14" s="206" t="s">
        <v>426</v>
      </c>
      <c r="D14" s="206" t="s">
        <v>423</v>
      </c>
      <c r="E14" s="206">
        <v>27</v>
      </c>
      <c r="F14" s="206">
        <v>38</v>
      </c>
      <c r="G14" s="206">
        <v>26</v>
      </c>
      <c r="H14" s="206">
        <v>35</v>
      </c>
      <c r="J14" s="206">
        <v>22</v>
      </c>
      <c r="K14" s="206">
        <v>30</v>
      </c>
      <c r="L14" s="206">
        <v>29</v>
      </c>
      <c r="M14" s="206">
        <v>23</v>
      </c>
      <c r="N14" s="206" t="s">
        <v>427</v>
      </c>
      <c r="O14" s="206">
        <f t="shared" si="0"/>
        <v>126</v>
      </c>
      <c r="P14" s="206">
        <f t="shared" si="1"/>
        <v>104</v>
      </c>
      <c r="Q14" s="206" t="str">
        <f t="shared" si="2"/>
        <v>HW</v>
      </c>
      <c r="R14" s="206" t="str">
        <f t="shared" si="2"/>
        <v>HW</v>
      </c>
      <c r="S14" s="206" t="str">
        <f t="shared" si="2"/>
        <v>HL</v>
      </c>
      <c r="T14" s="206" t="str">
        <f t="shared" si="2"/>
        <v>HW</v>
      </c>
      <c r="U14" s="206" t="str">
        <f t="shared" si="3"/>
        <v>U</v>
      </c>
      <c r="V14" s="206" t="str">
        <f t="shared" si="3"/>
        <v>O</v>
      </c>
      <c r="W14" s="206" t="str">
        <f t="shared" si="3"/>
        <v>U</v>
      </c>
      <c r="X14" s="206" t="str">
        <f t="shared" si="3"/>
        <v>O</v>
      </c>
      <c r="Z14" s="206">
        <v>56.5</v>
      </c>
      <c r="AA14" s="206" t="str">
        <f t="shared" si="4"/>
        <v>SAS/MIL</v>
      </c>
    </row>
    <row r="15" spans="1:27" s="206" customFormat="1" x14ac:dyDescent="0.45">
      <c r="A15" s="206">
        <v>200107</v>
      </c>
      <c r="B15" s="44">
        <v>0.5</v>
      </c>
      <c r="C15" s="206" t="s">
        <v>416</v>
      </c>
      <c r="D15" s="206" t="s">
        <v>425</v>
      </c>
      <c r="E15" s="206">
        <v>26</v>
      </c>
      <c r="F15" s="206">
        <v>26</v>
      </c>
      <c r="G15" s="206">
        <v>38</v>
      </c>
      <c r="H15" s="206">
        <v>21</v>
      </c>
      <c r="J15" s="206">
        <v>19</v>
      </c>
      <c r="K15" s="206">
        <v>21</v>
      </c>
      <c r="L15" s="206">
        <v>24</v>
      </c>
      <c r="M15" s="206">
        <v>34</v>
      </c>
      <c r="N15" s="206" t="s">
        <v>427</v>
      </c>
      <c r="O15" s="206">
        <f t="shared" si="0"/>
        <v>111</v>
      </c>
      <c r="P15" s="206">
        <f t="shared" si="1"/>
        <v>98</v>
      </c>
      <c r="Q15" s="206" t="str">
        <f t="shared" si="2"/>
        <v>HW</v>
      </c>
      <c r="R15" s="206" t="str">
        <f t="shared" si="2"/>
        <v>HW</v>
      </c>
      <c r="S15" s="206" t="str">
        <f t="shared" si="2"/>
        <v>HW</v>
      </c>
      <c r="T15" s="206" t="str">
        <f t="shared" si="2"/>
        <v>HL</v>
      </c>
      <c r="U15" s="206" t="str">
        <f t="shared" si="3"/>
        <v>U</v>
      </c>
      <c r="V15" s="206" t="str">
        <f t="shared" si="3"/>
        <v>U</v>
      </c>
      <c r="W15" s="206" t="str">
        <f t="shared" si="3"/>
        <v>O</v>
      </c>
      <c r="X15" s="206" t="str">
        <f t="shared" si="3"/>
        <v>T</v>
      </c>
      <c r="Z15" s="206">
        <v>55</v>
      </c>
      <c r="AA15" s="206" t="str">
        <f t="shared" si="4"/>
        <v>SAC/GS</v>
      </c>
    </row>
    <row r="16" spans="1:27" s="206" customFormat="1" x14ac:dyDescent="0.45">
      <c r="A16" s="206">
        <v>200108</v>
      </c>
      <c r="B16" s="44">
        <v>0.375</v>
      </c>
      <c r="C16" s="206" t="s">
        <v>402</v>
      </c>
      <c r="D16" s="206" t="s">
        <v>422</v>
      </c>
      <c r="E16" s="206">
        <v>29</v>
      </c>
      <c r="F16" s="206">
        <v>38</v>
      </c>
      <c r="G16" s="206">
        <v>28</v>
      </c>
      <c r="H16" s="206">
        <v>18</v>
      </c>
      <c r="J16" s="206">
        <v>27</v>
      </c>
      <c r="K16" s="206">
        <v>27</v>
      </c>
      <c r="L16" s="206">
        <v>30</v>
      </c>
      <c r="M16" s="206">
        <v>31</v>
      </c>
      <c r="N16" s="206" t="s">
        <v>427</v>
      </c>
      <c r="O16" s="206">
        <f t="shared" si="0"/>
        <v>113</v>
      </c>
      <c r="P16" s="206">
        <f t="shared" si="1"/>
        <v>115</v>
      </c>
      <c r="Q16" s="206" t="str">
        <f t="shared" si="2"/>
        <v>HW</v>
      </c>
      <c r="R16" s="206" t="str">
        <f t="shared" si="2"/>
        <v>HW</v>
      </c>
      <c r="S16" s="206" t="str">
        <f t="shared" si="2"/>
        <v>HL</v>
      </c>
      <c r="T16" s="206" t="str">
        <f t="shared" si="2"/>
        <v>HL</v>
      </c>
      <c r="U16" s="206" t="str">
        <f t="shared" si="3"/>
        <v>U</v>
      </c>
      <c r="V16" s="206" t="str">
        <f t="shared" si="3"/>
        <v>O</v>
      </c>
      <c r="W16" s="206" t="str">
        <f t="shared" si="3"/>
        <v>O</v>
      </c>
      <c r="X16" s="206" t="str">
        <f t="shared" si="3"/>
        <v>U</v>
      </c>
      <c r="Z16" s="206">
        <v>56.5</v>
      </c>
      <c r="AA16" s="206" t="str">
        <f t="shared" si="4"/>
        <v>CLE/DET</v>
      </c>
    </row>
    <row r="17" spans="1:27" s="206" customFormat="1" x14ac:dyDescent="0.45">
      <c r="A17" s="206">
        <v>200108</v>
      </c>
      <c r="B17" s="44">
        <v>0.375</v>
      </c>
      <c r="C17" s="206" t="s">
        <v>413</v>
      </c>
      <c r="D17" s="206" t="s">
        <v>417</v>
      </c>
      <c r="E17" s="206">
        <v>24</v>
      </c>
      <c r="F17" s="206">
        <v>32</v>
      </c>
      <c r="G17" s="206">
        <v>22</v>
      </c>
      <c r="H17" s="206">
        <v>21</v>
      </c>
      <c r="J17" s="206">
        <v>15</v>
      </c>
      <c r="K17" s="206">
        <v>31</v>
      </c>
      <c r="L17" s="206">
        <v>23</v>
      </c>
      <c r="M17" s="206">
        <v>32</v>
      </c>
      <c r="N17" s="206" t="s">
        <v>427</v>
      </c>
      <c r="O17" s="206">
        <f t="shared" si="0"/>
        <v>99</v>
      </c>
      <c r="P17" s="206">
        <f t="shared" si="1"/>
        <v>101</v>
      </c>
      <c r="Q17" s="206" t="str">
        <f t="shared" si="2"/>
        <v>HW</v>
      </c>
      <c r="R17" s="206" t="str">
        <f t="shared" si="2"/>
        <v>HW</v>
      </c>
      <c r="S17" s="206" t="str">
        <f t="shared" si="2"/>
        <v>HL</v>
      </c>
      <c r="T17" s="206" t="str">
        <f t="shared" si="2"/>
        <v>HL</v>
      </c>
      <c r="U17" s="206" t="str">
        <f t="shared" si="3"/>
        <v>U</v>
      </c>
      <c r="V17" s="206" t="str">
        <f t="shared" si="3"/>
        <v>O</v>
      </c>
      <c r="W17" s="206" t="str">
        <f t="shared" si="3"/>
        <v>U</v>
      </c>
      <c r="X17" s="206" t="str">
        <f t="shared" si="3"/>
        <v>U</v>
      </c>
      <c r="Z17" s="206">
        <v>57.5</v>
      </c>
      <c r="AA17" s="206" t="str">
        <f t="shared" si="4"/>
        <v>TOR/POR</v>
      </c>
    </row>
    <row r="18" spans="1:27" s="206" customFormat="1" x14ac:dyDescent="0.45">
      <c r="A18" s="206">
        <v>200108</v>
      </c>
      <c r="B18" s="44">
        <v>0.39583333333333331</v>
      </c>
      <c r="C18" s="206" t="s">
        <v>407</v>
      </c>
      <c r="D18" s="206" t="s">
        <v>418</v>
      </c>
      <c r="E18" s="206">
        <v>23</v>
      </c>
      <c r="F18" s="206">
        <v>25</v>
      </c>
      <c r="G18" s="206">
        <v>29</v>
      </c>
      <c r="H18" s="206">
        <v>24</v>
      </c>
      <c r="I18" s="206">
        <v>2</v>
      </c>
      <c r="J18" s="206">
        <v>27</v>
      </c>
      <c r="K18" s="206">
        <v>22</v>
      </c>
      <c r="L18" s="206">
        <v>25</v>
      </c>
      <c r="M18" s="206">
        <v>27</v>
      </c>
      <c r="N18" s="206">
        <v>10</v>
      </c>
      <c r="O18" s="206">
        <f t="shared" si="0"/>
        <v>103</v>
      </c>
      <c r="P18" s="206">
        <f t="shared" si="1"/>
        <v>111</v>
      </c>
      <c r="Q18" s="206" t="str">
        <f t="shared" si="2"/>
        <v>HL</v>
      </c>
      <c r="R18" s="206" t="str">
        <f t="shared" si="2"/>
        <v>HW</v>
      </c>
      <c r="S18" s="206" t="str">
        <f t="shared" si="2"/>
        <v>HW</v>
      </c>
      <c r="T18" s="206" t="str">
        <f t="shared" si="2"/>
        <v>HL</v>
      </c>
      <c r="U18" s="206" t="str">
        <f t="shared" si="3"/>
        <v>U</v>
      </c>
      <c r="V18" s="206" t="str">
        <f t="shared" si="3"/>
        <v>U</v>
      </c>
      <c r="W18" s="206" t="str">
        <f t="shared" si="3"/>
        <v>U</v>
      </c>
      <c r="X18" s="206" t="str">
        <f t="shared" si="3"/>
        <v>U</v>
      </c>
      <c r="Z18" s="206">
        <v>55.5</v>
      </c>
      <c r="AA18" s="206" t="str">
        <f t="shared" si="4"/>
        <v>BKN/OKC</v>
      </c>
    </row>
    <row r="19" spans="1:27" s="206" customFormat="1" x14ac:dyDescent="0.45">
      <c r="A19" s="206">
        <v>200108</v>
      </c>
      <c r="B19" s="44">
        <v>0.41666666666666669</v>
      </c>
      <c r="C19" s="206" t="s">
        <v>406</v>
      </c>
      <c r="D19" s="206" t="s">
        <v>420</v>
      </c>
      <c r="E19" s="206">
        <v>27</v>
      </c>
      <c r="F19" s="206">
        <v>24</v>
      </c>
      <c r="G19" s="206">
        <v>31</v>
      </c>
      <c r="H19" s="206">
        <v>37</v>
      </c>
      <c r="J19" s="206">
        <v>32</v>
      </c>
      <c r="K19" s="206">
        <v>24</v>
      </c>
      <c r="L19" s="206">
        <v>28</v>
      </c>
      <c r="M19" s="206">
        <v>28</v>
      </c>
      <c r="N19" s="206" t="s">
        <v>427</v>
      </c>
      <c r="O19" s="206">
        <f t="shared" si="0"/>
        <v>119</v>
      </c>
      <c r="P19" s="206">
        <f t="shared" si="1"/>
        <v>112</v>
      </c>
      <c r="Q19" s="206" t="str">
        <f t="shared" si="2"/>
        <v>HL</v>
      </c>
      <c r="R19" s="206" t="str">
        <f t="shared" si="2"/>
        <v>TT</v>
      </c>
      <c r="S19" s="206" t="str">
        <f t="shared" si="2"/>
        <v>HW</v>
      </c>
      <c r="T19" s="206" t="str">
        <f t="shared" si="2"/>
        <v>HW</v>
      </c>
      <c r="U19" s="206" t="str">
        <f t="shared" si="3"/>
        <v>O</v>
      </c>
      <c r="V19" s="206" t="str">
        <f t="shared" si="3"/>
        <v>U</v>
      </c>
      <c r="W19" s="206" t="str">
        <f t="shared" si="3"/>
        <v>O</v>
      </c>
      <c r="X19" s="206" t="str">
        <f t="shared" si="3"/>
        <v>O</v>
      </c>
      <c r="Z19" s="206">
        <v>58.5</v>
      </c>
      <c r="AA19" s="206" t="str">
        <f t="shared" si="4"/>
        <v>MEM/MIN</v>
      </c>
    </row>
    <row r="20" spans="1:27" s="206" customFormat="1" x14ac:dyDescent="0.45">
      <c r="A20" s="206">
        <v>200108</v>
      </c>
      <c r="B20" s="44">
        <v>0.45833333333333331</v>
      </c>
      <c r="C20" s="206" t="s">
        <v>404</v>
      </c>
      <c r="D20" s="206" t="s">
        <v>416</v>
      </c>
      <c r="E20" s="206">
        <v>29</v>
      </c>
      <c r="F20" s="206">
        <v>24</v>
      </c>
      <c r="G20" s="206">
        <v>34</v>
      </c>
      <c r="H20" s="206">
        <v>16</v>
      </c>
      <c r="J20" s="206">
        <v>26</v>
      </c>
      <c r="K20" s="206">
        <v>27</v>
      </c>
      <c r="L20" s="206">
        <v>25</v>
      </c>
      <c r="M20" s="206">
        <v>36</v>
      </c>
      <c r="N20" s="206" t="s">
        <v>427</v>
      </c>
      <c r="O20" s="206">
        <f t="shared" si="0"/>
        <v>103</v>
      </c>
      <c r="P20" s="206">
        <f t="shared" si="1"/>
        <v>114</v>
      </c>
      <c r="Q20" s="206" t="str">
        <f t="shared" si="2"/>
        <v>HW</v>
      </c>
      <c r="R20" s="206" t="str">
        <f t="shared" si="2"/>
        <v>HL</v>
      </c>
      <c r="S20" s="206" t="str">
        <f t="shared" si="2"/>
        <v>HW</v>
      </c>
      <c r="T20" s="206" t="str">
        <f t="shared" si="2"/>
        <v>HL</v>
      </c>
      <c r="U20" s="206" t="str">
        <f t="shared" si="3"/>
        <v>U</v>
      </c>
      <c r="V20" s="206" t="str">
        <f t="shared" si="3"/>
        <v>U</v>
      </c>
      <c r="W20" s="206" t="str">
        <f t="shared" si="3"/>
        <v>O</v>
      </c>
      <c r="X20" s="206" t="str">
        <f t="shared" si="3"/>
        <v>U</v>
      </c>
      <c r="Z20" s="206">
        <v>58</v>
      </c>
      <c r="AA20" s="206" t="str">
        <f t="shared" si="4"/>
        <v>PHO/SAC</v>
      </c>
    </row>
    <row r="21" spans="1:27" s="206" customFormat="1" x14ac:dyDescent="0.45">
      <c r="A21" s="206">
        <v>200108</v>
      </c>
      <c r="B21" s="44">
        <v>0.52083333333333337</v>
      </c>
      <c r="C21" s="206" t="s">
        <v>419</v>
      </c>
      <c r="D21" s="206" t="s">
        <v>399</v>
      </c>
      <c r="E21" s="206">
        <v>26</v>
      </c>
      <c r="F21" s="206">
        <v>36</v>
      </c>
      <c r="G21" s="206">
        <v>23</v>
      </c>
      <c r="H21" s="206">
        <v>32</v>
      </c>
      <c r="J21" s="206">
        <v>21</v>
      </c>
      <c r="K21" s="206">
        <v>24</v>
      </c>
      <c r="L21" s="206">
        <v>25</v>
      </c>
      <c r="M21" s="206">
        <v>17</v>
      </c>
      <c r="N21" s="206" t="s">
        <v>427</v>
      </c>
      <c r="O21" s="206">
        <f t="shared" si="0"/>
        <v>117</v>
      </c>
      <c r="P21" s="206">
        <f t="shared" si="1"/>
        <v>87</v>
      </c>
      <c r="Q21" s="206" t="str">
        <f t="shared" si="2"/>
        <v>HW</v>
      </c>
      <c r="R21" s="206" t="str">
        <f t="shared" si="2"/>
        <v>HW</v>
      </c>
      <c r="S21" s="206" t="str">
        <f t="shared" si="2"/>
        <v>HL</v>
      </c>
      <c r="T21" s="206" t="str">
        <f t="shared" si="2"/>
        <v>HW</v>
      </c>
      <c r="U21" s="206" t="str">
        <f t="shared" si="3"/>
        <v>U</v>
      </c>
      <c r="V21" s="206" t="str">
        <f t="shared" si="3"/>
        <v>O</v>
      </c>
      <c r="W21" s="206" t="str">
        <f t="shared" si="3"/>
        <v>U</v>
      </c>
      <c r="X21" s="206" t="str">
        <f t="shared" si="3"/>
        <v>U</v>
      </c>
      <c r="Z21" s="206">
        <v>57.5</v>
      </c>
      <c r="AA21" s="206" t="str">
        <f t="shared" si="4"/>
        <v>LAL/NYK</v>
      </c>
    </row>
    <row r="22" spans="1:27" s="206" customFormat="1" x14ac:dyDescent="0.45">
      <c r="A22" s="206">
        <v>200109</v>
      </c>
      <c r="B22" s="44">
        <v>0.375</v>
      </c>
      <c r="C22" s="206" t="s">
        <v>421</v>
      </c>
      <c r="D22" s="206" t="s">
        <v>426</v>
      </c>
      <c r="E22" s="206">
        <v>22</v>
      </c>
      <c r="F22" s="206">
        <v>25</v>
      </c>
      <c r="G22" s="206">
        <v>36</v>
      </c>
      <c r="H22" s="206">
        <v>31</v>
      </c>
      <c r="J22" s="206">
        <v>34</v>
      </c>
      <c r="K22" s="206">
        <v>31</v>
      </c>
      <c r="L22" s="206">
        <v>34</v>
      </c>
      <c r="M22" s="206">
        <v>30</v>
      </c>
      <c r="N22" s="206" t="s">
        <v>427</v>
      </c>
      <c r="O22" s="206">
        <f t="shared" si="0"/>
        <v>114</v>
      </c>
      <c r="P22" s="206">
        <f t="shared" si="1"/>
        <v>129</v>
      </c>
      <c r="Q22" s="206" t="str">
        <f t="shared" si="2"/>
        <v>HL</v>
      </c>
      <c r="R22" s="206" t="str">
        <f t="shared" si="2"/>
        <v>HL</v>
      </c>
      <c r="S22" s="206" t="str">
        <f t="shared" si="2"/>
        <v>HW</v>
      </c>
      <c r="T22" s="206" t="str">
        <f t="shared" si="2"/>
        <v>HW</v>
      </c>
      <c r="U22" s="206" t="str">
        <f t="shared" si="3"/>
        <v>O</v>
      </c>
      <c r="V22" s="206" t="str">
        <f t="shared" si="3"/>
        <v>O</v>
      </c>
      <c r="W22" s="206" t="str">
        <f t="shared" si="3"/>
        <v>O</v>
      </c>
      <c r="X22" s="206" t="str">
        <f t="shared" si="3"/>
        <v>O</v>
      </c>
      <c r="Z22" s="206">
        <v>54</v>
      </c>
      <c r="AA22" s="206" t="str">
        <f t="shared" si="4"/>
        <v>BOS/SAS</v>
      </c>
    </row>
    <row r="23" spans="1:27" s="206" customFormat="1" x14ac:dyDescent="0.45">
      <c r="A23" s="206">
        <v>200109</v>
      </c>
      <c r="B23" s="44">
        <v>0.375</v>
      </c>
      <c r="C23" s="206" t="s">
        <v>400</v>
      </c>
      <c r="D23" s="206" t="s">
        <v>411</v>
      </c>
      <c r="E23" s="206">
        <v>23</v>
      </c>
      <c r="F23" s="206">
        <v>26</v>
      </c>
      <c r="G23" s="206">
        <v>23</v>
      </c>
      <c r="H23" s="206">
        <v>36</v>
      </c>
      <c r="J23" s="206">
        <v>31</v>
      </c>
      <c r="K23" s="206">
        <v>31</v>
      </c>
      <c r="L23" s="206">
        <v>38</v>
      </c>
      <c r="M23" s="206">
        <v>22</v>
      </c>
      <c r="N23" s="206" t="s">
        <v>427</v>
      </c>
      <c r="O23" s="206">
        <f t="shared" si="0"/>
        <v>108</v>
      </c>
      <c r="P23" s="206">
        <f t="shared" si="1"/>
        <v>122</v>
      </c>
      <c r="Q23" s="206" t="str">
        <f t="shared" si="2"/>
        <v>HL</v>
      </c>
      <c r="R23" s="206" t="str">
        <f t="shared" si="2"/>
        <v>HL</v>
      </c>
      <c r="S23" s="206" t="str">
        <f t="shared" si="2"/>
        <v>HL</v>
      </c>
      <c r="T23" s="206" t="str">
        <f t="shared" si="2"/>
        <v>HW</v>
      </c>
      <c r="U23" s="206" t="str">
        <f t="shared" si="3"/>
        <v>U</v>
      </c>
      <c r="V23" s="206" t="str">
        <f t="shared" si="3"/>
        <v>O</v>
      </c>
      <c r="W23" s="206" t="str">
        <f t="shared" si="3"/>
        <v>O</v>
      </c>
      <c r="X23" s="206" t="str">
        <f t="shared" si="3"/>
        <v>O</v>
      </c>
      <c r="Z23" s="206">
        <v>54.5</v>
      </c>
      <c r="AA23" s="206" t="str">
        <f t="shared" si="4"/>
        <v>IND/MIA</v>
      </c>
    </row>
    <row r="24" spans="1:27" s="206" customFormat="1" x14ac:dyDescent="0.45">
      <c r="A24" s="206">
        <v>200109</v>
      </c>
      <c r="B24" s="44">
        <v>0.375</v>
      </c>
      <c r="C24" s="206" t="s">
        <v>424</v>
      </c>
      <c r="D24" s="206" t="s">
        <v>414</v>
      </c>
      <c r="E24" s="206">
        <v>32</v>
      </c>
      <c r="F24" s="206">
        <v>37</v>
      </c>
      <c r="G24" s="206">
        <v>28</v>
      </c>
      <c r="H24" s="206">
        <v>26</v>
      </c>
      <c r="J24" s="206">
        <v>23</v>
      </c>
      <c r="K24" s="206">
        <v>29</v>
      </c>
      <c r="L24" s="206">
        <v>20</v>
      </c>
      <c r="M24" s="206">
        <v>17</v>
      </c>
      <c r="N24" s="206" t="s">
        <v>427</v>
      </c>
      <c r="O24" s="206">
        <f t="shared" si="0"/>
        <v>123</v>
      </c>
      <c r="P24" s="206">
        <f t="shared" si="1"/>
        <v>89</v>
      </c>
      <c r="Q24" s="206" t="str">
        <f t="shared" si="2"/>
        <v>HW</v>
      </c>
      <c r="R24" s="206" t="str">
        <f t="shared" si="2"/>
        <v>HW</v>
      </c>
      <c r="S24" s="206" t="str">
        <f t="shared" si="2"/>
        <v>HW</v>
      </c>
      <c r="T24" s="206" t="str">
        <f t="shared" si="2"/>
        <v>HW</v>
      </c>
      <c r="U24" s="206" t="str">
        <f t="shared" si="3"/>
        <v>U</v>
      </c>
      <c r="V24" s="206" t="str">
        <f t="shared" si="3"/>
        <v>O</v>
      </c>
      <c r="W24" s="206" t="str">
        <f t="shared" si="3"/>
        <v>U</v>
      </c>
      <c r="X24" s="206" t="str">
        <f t="shared" si="3"/>
        <v>U</v>
      </c>
      <c r="Z24" s="206">
        <v>56.5</v>
      </c>
      <c r="AA24" s="206" t="str">
        <f t="shared" si="4"/>
        <v>ORL/WAS</v>
      </c>
    </row>
    <row r="25" spans="1:27" s="206" customFormat="1" x14ac:dyDescent="0.45">
      <c r="A25" s="206">
        <v>200109</v>
      </c>
      <c r="B25" s="44">
        <v>0.375</v>
      </c>
      <c r="C25" s="206" t="s">
        <v>409</v>
      </c>
      <c r="D25" s="206" t="s">
        <v>413</v>
      </c>
      <c r="E25" s="206">
        <v>31</v>
      </c>
      <c r="F25" s="206">
        <v>24</v>
      </c>
      <c r="G25" s="206">
        <v>26</v>
      </c>
      <c r="H25" s="206">
        <v>19</v>
      </c>
      <c r="I25" s="206">
        <v>10</v>
      </c>
      <c r="J25" s="206">
        <v>29</v>
      </c>
      <c r="K25" s="206">
        <v>31</v>
      </c>
      <c r="L25" s="206">
        <v>22</v>
      </c>
      <c r="M25" s="206">
        <v>18</v>
      </c>
      <c r="N25" s="206">
        <v>12</v>
      </c>
      <c r="O25" s="206">
        <f t="shared" si="0"/>
        <v>110</v>
      </c>
      <c r="P25" s="206">
        <f t="shared" si="1"/>
        <v>112</v>
      </c>
      <c r="Q25" s="206" t="str">
        <f t="shared" si="2"/>
        <v>HW</v>
      </c>
      <c r="R25" s="206" t="str">
        <f t="shared" si="2"/>
        <v>HL</v>
      </c>
      <c r="S25" s="206" t="str">
        <f t="shared" si="2"/>
        <v>HW</v>
      </c>
      <c r="T25" s="206" t="str">
        <f t="shared" si="2"/>
        <v>HW</v>
      </c>
      <c r="U25" s="206" t="str">
        <f t="shared" si="3"/>
        <v>O</v>
      </c>
      <c r="V25" s="206" t="str">
        <f t="shared" si="3"/>
        <v>O</v>
      </c>
      <c r="W25" s="206" t="str">
        <f t="shared" si="3"/>
        <v>U</v>
      </c>
      <c r="X25" s="206" t="str">
        <f t="shared" si="3"/>
        <v>U</v>
      </c>
      <c r="Z25" s="206">
        <v>53.5</v>
      </c>
      <c r="AA25" s="206" t="str">
        <f t="shared" si="4"/>
        <v>CHA/TOR</v>
      </c>
    </row>
    <row r="26" spans="1:27" s="206" customFormat="1" x14ac:dyDescent="0.45">
      <c r="A26" s="206">
        <v>200109</v>
      </c>
      <c r="B26" s="44">
        <v>0.39583333333333331</v>
      </c>
      <c r="C26" s="206" t="s">
        <v>410</v>
      </c>
      <c r="D26" s="206" t="s">
        <v>403</v>
      </c>
      <c r="E26" s="206">
        <v>29</v>
      </c>
      <c r="F26" s="206">
        <v>33</v>
      </c>
      <c r="G26" s="206">
        <v>23</v>
      </c>
      <c r="H26" s="206">
        <v>30</v>
      </c>
      <c r="J26" s="206">
        <v>45</v>
      </c>
      <c r="K26" s="206">
        <v>32</v>
      </c>
      <c r="L26" s="206">
        <v>22</v>
      </c>
      <c r="M26" s="206">
        <v>23</v>
      </c>
      <c r="N26" s="206" t="s">
        <v>427</v>
      </c>
      <c r="O26" s="206">
        <f t="shared" si="0"/>
        <v>115</v>
      </c>
      <c r="P26" s="206">
        <f t="shared" si="1"/>
        <v>122</v>
      </c>
      <c r="Q26" s="206" t="str">
        <f t="shared" si="2"/>
        <v>HL</v>
      </c>
      <c r="R26" s="206" t="str">
        <f t="shared" si="2"/>
        <v>HW</v>
      </c>
      <c r="S26" s="206" t="str">
        <f t="shared" si="2"/>
        <v>HW</v>
      </c>
      <c r="T26" s="206" t="str">
        <f t="shared" si="2"/>
        <v>HW</v>
      </c>
      <c r="U26" s="206" t="str">
        <f t="shared" si="3"/>
        <v>O</v>
      </c>
      <c r="V26" s="206" t="str">
        <f t="shared" si="3"/>
        <v>O</v>
      </c>
      <c r="W26" s="206" t="str">
        <f t="shared" si="3"/>
        <v>U</v>
      </c>
      <c r="X26" s="206" t="str">
        <f t="shared" si="3"/>
        <v>U</v>
      </c>
      <c r="Z26" s="206">
        <v>60.5</v>
      </c>
      <c r="AA26" s="206" t="str">
        <f t="shared" si="4"/>
        <v>ATL/HOU</v>
      </c>
    </row>
    <row r="27" spans="1:27" s="206" customFormat="1" x14ac:dyDescent="0.45">
      <c r="A27" s="206">
        <v>200109</v>
      </c>
      <c r="B27" s="44">
        <v>0.39583333333333331</v>
      </c>
      <c r="C27" s="206" t="s">
        <v>397</v>
      </c>
      <c r="D27" s="206" t="s">
        <v>408</v>
      </c>
      <c r="E27" s="206">
        <v>32</v>
      </c>
      <c r="F27" s="206">
        <v>27</v>
      </c>
      <c r="G27" s="206">
        <v>30</v>
      </c>
      <c r="H27" s="206">
        <v>17</v>
      </c>
      <c r="J27" s="206">
        <v>27</v>
      </c>
      <c r="K27" s="206">
        <v>29</v>
      </c>
      <c r="L27" s="206">
        <v>30</v>
      </c>
      <c r="M27" s="206">
        <v>21</v>
      </c>
      <c r="N27" s="206" t="s">
        <v>427</v>
      </c>
      <c r="O27" s="206">
        <f t="shared" si="0"/>
        <v>106</v>
      </c>
      <c r="P27" s="206">
        <f t="shared" si="1"/>
        <v>107</v>
      </c>
      <c r="Q27" s="206" t="str">
        <f t="shared" si="2"/>
        <v>HW</v>
      </c>
      <c r="R27" s="206" t="str">
        <f t="shared" si="2"/>
        <v>HL</v>
      </c>
      <c r="S27" s="206" t="str">
        <f t="shared" si="2"/>
        <v>TT</v>
      </c>
      <c r="T27" s="206" t="str">
        <f t="shared" si="2"/>
        <v>HL</v>
      </c>
      <c r="U27" s="206" t="str">
        <f t="shared" si="3"/>
        <v>O</v>
      </c>
      <c r="V27" s="206" t="str">
        <f t="shared" si="3"/>
        <v>U</v>
      </c>
      <c r="W27" s="206" t="str">
        <f t="shared" si="3"/>
        <v>O</v>
      </c>
      <c r="X27" s="206" t="str">
        <f t="shared" si="3"/>
        <v>U</v>
      </c>
      <c r="Z27" s="206">
        <v>56.5</v>
      </c>
      <c r="AA27" s="206" t="str">
        <f t="shared" si="4"/>
        <v>DAL/DEN</v>
      </c>
    </row>
    <row r="28" spans="1:27" s="206" customFormat="1" x14ac:dyDescent="0.45">
      <c r="A28" s="206">
        <v>200109</v>
      </c>
      <c r="B28" s="44">
        <v>0.41666666666666669</v>
      </c>
      <c r="C28" s="206" t="s">
        <v>398</v>
      </c>
      <c r="D28" s="206" t="s">
        <v>412</v>
      </c>
      <c r="E28" s="206">
        <v>23</v>
      </c>
      <c r="F28" s="206">
        <v>25</v>
      </c>
      <c r="G28" s="206">
        <v>44</v>
      </c>
      <c r="H28" s="206">
        <v>31</v>
      </c>
      <c r="J28" s="206">
        <v>21</v>
      </c>
      <c r="K28" s="206">
        <v>27</v>
      </c>
      <c r="L28" s="206">
        <v>27</v>
      </c>
      <c r="M28" s="206">
        <v>33</v>
      </c>
      <c r="N28" s="206" t="s">
        <v>427</v>
      </c>
      <c r="O28" s="206">
        <f t="shared" si="0"/>
        <v>123</v>
      </c>
      <c r="P28" s="206">
        <f t="shared" si="1"/>
        <v>108</v>
      </c>
      <c r="Q28" s="206" t="str">
        <f t="shared" si="2"/>
        <v>HW</v>
      </c>
      <c r="R28" s="206" t="str">
        <f t="shared" si="2"/>
        <v>HL</v>
      </c>
      <c r="S28" s="206" t="str">
        <f t="shared" si="2"/>
        <v>HW</v>
      </c>
      <c r="T28" s="206" t="str">
        <f t="shared" si="2"/>
        <v>HL</v>
      </c>
      <c r="U28" s="206" t="str">
        <f t="shared" si="3"/>
        <v>U</v>
      </c>
      <c r="V28" s="206" t="str">
        <f t="shared" si="3"/>
        <v>U</v>
      </c>
      <c r="W28" s="206" t="str">
        <f t="shared" si="3"/>
        <v>O</v>
      </c>
      <c r="X28" s="206" t="str">
        <f t="shared" si="3"/>
        <v>O</v>
      </c>
      <c r="Z28" s="206">
        <v>58</v>
      </c>
      <c r="AA28" s="206" t="str">
        <f t="shared" si="4"/>
        <v>NO/CHI</v>
      </c>
    </row>
    <row r="29" spans="1:27" s="206" customFormat="1" x14ac:dyDescent="0.45">
      <c r="A29" s="206">
        <v>200109</v>
      </c>
      <c r="B29" s="44">
        <v>0.45833333333333331</v>
      </c>
      <c r="C29" s="206" t="s">
        <v>405</v>
      </c>
      <c r="D29" s="206" t="s">
        <v>399</v>
      </c>
      <c r="E29" s="206">
        <v>39</v>
      </c>
      <c r="F29" s="206">
        <v>33</v>
      </c>
      <c r="G29" s="206">
        <v>23</v>
      </c>
      <c r="H29" s="206">
        <v>33</v>
      </c>
      <c r="J29" s="206">
        <v>29</v>
      </c>
      <c r="K29" s="206">
        <v>24</v>
      </c>
      <c r="L29" s="206">
        <v>16</v>
      </c>
      <c r="M29" s="206">
        <v>35</v>
      </c>
      <c r="N29" s="206" t="s">
        <v>427</v>
      </c>
      <c r="O29" s="206">
        <f t="shared" si="0"/>
        <v>128</v>
      </c>
      <c r="P29" s="206">
        <f t="shared" si="1"/>
        <v>104</v>
      </c>
      <c r="Q29" s="206" t="str">
        <f t="shared" si="2"/>
        <v>HW</v>
      </c>
      <c r="R29" s="206" t="str">
        <f t="shared" si="2"/>
        <v>HW</v>
      </c>
      <c r="S29" s="206" t="str">
        <f t="shared" si="2"/>
        <v>HW</v>
      </c>
      <c r="T29" s="206" t="str">
        <f t="shared" si="2"/>
        <v>HL</v>
      </c>
      <c r="U29" s="206" t="str">
        <f t="shared" si="3"/>
        <v>O</v>
      </c>
      <c r="V29" s="206" t="str">
        <f t="shared" si="3"/>
        <v>O</v>
      </c>
      <c r="W29" s="206" t="str">
        <f t="shared" si="3"/>
        <v>U</v>
      </c>
      <c r="X29" s="206" t="str">
        <f t="shared" si="3"/>
        <v>O</v>
      </c>
      <c r="Z29" s="206">
        <v>55.5</v>
      </c>
      <c r="AA29" s="206" t="str">
        <f t="shared" si="4"/>
        <v>UTA/NYK</v>
      </c>
    </row>
    <row r="30" spans="1:27" s="206" customFormat="1" x14ac:dyDescent="0.45">
      <c r="A30" s="206">
        <v>200109</v>
      </c>
      <c r="B30" s="44">
        <v>0.5</v>
      </c>
      <c r="C30" s="206" t="s">
        <v>425</v>
      </c>
      <c r="D30" s="206" t="s">
        <v>423</v>
      </c>
      <c r="E30" s="206">
        <v>19</v>
      </c>
      <c r="F30" s="206">
        <v>20</v>
      </c>
      <c r="G30" s="206">
        <v>33</v>
      </c>
      <c r="H30" s="206">
        <v>26</v>
      </c>
      <c r="J30" s="206">
        <v>19</v>
      </c>
      <c r="K30" s="206">
        <v>28</v>
      </c>
      <c r="L30" s="206">
        <v>34</v>
      </c>
      <c r="M30" s="206">
        <v>26</v>
      </c>
      <c r="N30" s="206" t="s">
        <v>427</v>
      </c>
      <c r="O30" s="206">
        <f t="shared" si="0"/>
        <v>98</v>
      </c>
      <c r="P30" s="206">
        <f t="shared" si="1"/>
        <v>107</v>
      </c>
      <c r="Q30" s="206" t="str">
        <f t="shared" si="2"/>
        <v>TT</v>
      </c>
      <c r="R30" s="206" t="str">
        <f t="shared" si="2"/>
        <v>HL</v>
      </c>
      <c r="S30" s="206" t="str">
        <f t="shared" si="2"/>
        <v>HL</v>
      </c>
      <c r="T30" s="206" t="str">
        <f t="shared" si="2"/>
        <v>TT</v>
      </c>
      <c r="U30" s="206" t="str">
        <f t="shared" si="3"/>
        <v>U</v>
      </c>
      <c r="V30" s="206" t="str">
        <f t="shared" si="3"/>
        <v>U</v>
      </c>
      <c r="W30" s="206" t="str">
        <f t="shared" si="3"/>
        <v>O</v>
      </c>
      <c r="X30" s="206" t="str">
        <f t="shared" si="3"/>
        <v>U</v>
      </c>
      <c r="Z30" s="206">
        <v>53</v>
      </c>
      <c r="AA30" s="206" t="str">
        <f t="shared" si="4"/>
        <v>GS/MIL</v>
      </c>
    </row>
    <row r="31" spans="1:27" s="206" customFormat="1" x14ac:dyDescent="0.45">
      <c r="A31" s="206">
        <v>200110</v>
      </c>
      <c r="B31" s="44">
        <v>0.375</v>
      </c>
      <c r="C31" s="206" t="s">
        <v>422</v>
      </c>
      <c r="D31" s="206" t="s">
        <v>402</v>
      </c>
      <c r="E31" s="206">
        <v>32</v>
      </c>
      <c r="F31" s="206">
        <v>29</v>
      </c>
      <c r="G31" s="206">
        <v>22</v>
      </c>
      <c r="H31" s="206">
        <v>19</v>
      </c>
      <c r="I31" s="206">
        <v>10</v>
      </c>
      <c r="J31" s="206">
        <v>26</v>
      </c>
      <c r="K31" s="206">
        <v>24</v>
      </c>
      <c r="L31" s="206">
        <v>31</v>
      </c>
      <c r="M31" s="206">
        <v>21</v>
      </c>
      <c r="N31" s="206">
        <v>13</v>
      </c>
      <c r="O31" s="206">
        <f t="shared" si="0"/>
        <v>112</v>
      </c>
      <c r="P31" s="206">
        <f t="shared" si="1"/>
        <v>115</v>
      </c>
      <c r="Q31" s="206" t="str">
        <f t="shared" si="2"/>
        <v>HW</v>
      </c>
      <c r="R31" s="206" t="str">
        <f t="shared" si="2"/>
        <v>HW</v>
      </c>
      <c r="S31" s="206" t="str">
        <f t="shared" si="2"/>
        <v>HL</v>
      </c>
      <c r="T31" s="206" t="str">
        <f t="shared" si="2"/>
        <v>HL</v>
      </c>
      <c r="U31" s="206" t="str">
        <f t="shared" si="3"/>
        <v>O</v>
      </c>
      <c r="V31" s="206" t="str">
        <f t="shared" si="3"/>
        <v>U</v>
      </c>
      <c r="W31" s="206" t="str">
        <f t="shared" si="3"/>
        <v>U</v>
      </c>
      <c r="X31" s="206" t="str">
        <f t="shared" si="3"/>
        <v>U</v>
      </c>
      <c r="Z31" s="206">
        <v>54</v>
      </c>
      <c r="AA31" s="206" t="str">
        <f t="shared" si="4"/>
        <v>DET/CLE</v>
      </c>
    </row>
    <row r="32" spans="1:27" s="206" customFormat="1" x14ac:dyDescent="0.45">
      <c r="A32" s="206">
        <v>200110</v>
      </c>
      <c r="B32" s="44">
        <v>0.375</v>
      </c>
      <c r="C32" s="206" t="s">
        <v>401</v>
      </c>
      <c r="D32" s="206" t="s">
        <v>421</v>
      </c>
      <c r="E32" s="206">
        <v>26</v>
      </c>
      <c r="F32" s="206">
        <v>22</v>
      </c>
      <c r="G32" s="206">
        <v>29</v>
      </c>
      <c r="H32" s="206">
        <v>32</v>
      </c>
      <c r="J32" s="206">
        <v>35</v>
      </c>
      <c r="K32" s="206">
        <v>20</v>
      </c>
      <c r="L32" s="206">
        <v>25</v>
      </c>
      <c r="M32" s="206">
        <v>18</v>
      </c>
      <c r="N32" s="206" t="s">
        <v>427</v>
      </c>
      <c r="O32" s="206">
        <f t="shared" si="0"/>
        <v>109</v>
      </c>
      <c r="P32" s="206">
        <f t="shared" si="1"/>
        <v>98</v>
      </c>
      <c r="Q32" s="206" t="str">
        <f t="shared" si="2"/>
        <v>HL</v>
      </c>
      <c r="R32" s="206" t="str">
        <f t="shared" si="2"/>
        <v>HW</v>
      </c>
      <c r="S32" s="206" t="str">
        <f t="shared" si="2"/>
        <v>HW</v>
      </c>
      <c r="T32" s="206" t="str">
        <f t="shared" si="2"/>
        <v>HW</v>
      </c>
      <c r="U32" s="206" t="str">
        <f t="shared" si="3"/>
        <v>O</v>
      </c>
      <c r="V32" s="206" t="str">
        <f t="shared" si="3"/>
        <v>U</v>
      </c>
      <c r="W32" s="206" t="str">
        <f t="shared" si="3"/>
        <v>U</v>
      </c>
      <c r="X32" s="206" t="str">
        <f t="shared" si="3"/>
        <v>U</v>
      </c>
      <c r="Z32" s="206">
        <v>54.5</v>
      </c>
      <c r="AA32" s="206" t="str">
        <f t="shared" si="4"/>
        <v>PHI/BOS</v>
      </c>
    </row>
    <row r="33" spans="1:27" s="206" customFormat="1" x14ac:dyDescent="0.45">
      <c r="A33" s="206">
        <v>200110</v>
      </c>
      <c r="B33" s="44">
        <v>0.41666666666666669</v>
      </c>
      <c r="C33" s="206" t="s">
        <v>420</v>
      </c>
      <c r="D33" s="206" t="s">
        <v>417</v>
      </c>
      <c r="E33" s="206">
        <v>28</v>
      </c>
      <c r="F33" s="206">
        <v>31</v>
      </c>
      <c r="G33" s="206">
        <v>41</v>
      </c>
      <c r="H33" s="206">
        <v>16</v>
      </c>
      <c r="J33" s="206">
        <v>34</v>
      </c>
      <c r="K33" s="206">
        <v>13</v>
      </c>
      <c r="L33" s="206">
        <v>27</v>
      </c>
      <c r="M33" s="206">
        <v>28</v>
      </c>
      <c r="N33" s="206" t="s">
        <v>427</v>
      </c>
      <c r="O33" s="206">
        <f t="shared" si="0"/>
        <v>116</v>
      </c>
      <c r="P33" s="206">
        <f t="shared" si="1"/>
        <v>102</v>
      </c>
      <c r="Q33" s="206" t="str">
        <f t="shared" si="2"/>
        <v>HL</v>
      </c>
      <c r="R33" s="206" t="str">
        <f t="shared" si="2"/>
        <v>HW</v>
      </c>
      <c r="S33" s="206" t="str">
        <f t="shared" si="2"/>
        <v>HW</v>
      </c>
      <c r="T33" s="206" t="str">
        <f t="shared" si="2"/>
        <v>HL</v>
      </c>
      <c r="U33" s="206" t="str">
        <f t="shared" si="3"/>
        <v>O</v>
      </c>
      <c r="V33" s="206" t="str">
        <f t="shared" si="3"/>
        <v>U</v>
      </c>
      <c r="W33" s="206" t="str">
        <f t="shared" si="3"/>
        <v>O</v>
      </c>
      <c r="X33" s="206" t="str">
        <f t="shared" si="3"/>
        <v>U</v>
      </c>
      <c r="Z33" s="206">
        <v>58</v>
      </c>
      <c r="AA33" s="206" t="str">
        <f t="shared" si="4"/>
        <v>MIN/POR</v>
      </c>
    </row>
    <row r="34" spans="1:27" s="206" customFormat="1" x14ac:dyDescent="0.45">
      <c r="A34" s="206">
        <v>200110</v>
      </c>
      <c r="B34" s="44">
        <v>0.47916666666666669</v>
      </c>
      <c r="C34" s="206" t="s">
        <v>418</v>
      </c>
      <c r="D34" s="206" t="s">
        <v>403</v>
      </c>
      <c r="E34" s="206">
        <v>37</v>
      </c>
      <c r="F34" s="206">
        <v>23</v>
      </c>
      <c r="G34" s="206">
        <v>29</v>
      </c>
      <c r="H34" s="206">
        <v>24</v>
      </c>
      <c r="J34" s="206">
        <v>21</v>
      </c>
      <c r="K34" s="206">
        <v>27</v>
      </c>
      <c r="L34" s="206">
        <v>19</v>
      </c>
      <c r="M34" s="206">
        <v>25</v>
      </c>
      <c r="N34" s="206" t="s">
        <v>427</v>
      </c>
      <c r="O34" s="206">
        <f t="shared" si="0"/>
        <v>113</v>
      </c>
      <c r="P34" s="206">
        <f t="shared" si="1"/>
        <v>92</v>
      </c>
      <c r="Q34" s="206" t="str">
        <f t="shared" si="2"/>
        <v>HW</v>
      </c>
      <c r="R34" s="206" t="str">
        <f t="shared" si="2"/>
        <v>HL</v>
      </c>
      <c r="S34" s="206" t="str">
        <f t="shared" si="2"/>
        <v>HW</v>
      </c>
      <c r="T34" s="206" t="str">
        <f t="shared" si="2"/>
        <v>HL</v>
      </c>
      <c r="U34" s="206" t="str">
        <f t="shared" si="3"/>
        <v>U</v>
      </c>
      <c r="V34" s="206" t="str">
        <f t="shared" si="3"/>
        <v>U</v>
      </c>
      <c r="W34" s="206" t="str">
        <f t="shared" si="3"/>
        <v>U</v>
      </c>
      <c r="X34" s="206" t="str">
        <f t="shared" si="3"/>
        <v>U</v>
      </c>
      <c r="Z34" s="206">
        <v>59</v>
      </c>
      <c r="AA34" s="206" t="str">
        <f t="shared" ref="AA34:AA65" si="5">C34&amp;"/"&amp;D34</f>
        <v>OKC/HOU</v>
      </c>
    </row>
    <row r="35" spans="1:27" s="206" customFormat="1" x14ac:dyDescent="0.45">
      <c r="A35" s="206">
        <v>200111</v>
      </c>
      <c r="B35" s="44">
        <v>0.375</v>
      </c>
      <c r="C35" s="206" t="s">
        <v>414</v>
      </c>
      <c r="D35" s="206" t="s">
        <v>410</v>
      </c>
      <c r="E35" s="206">
        <v>30</v>
      </c>
      <c r="F35" s="206">
        <v>26</v>
      </c>
      <c r="G35" s="206">
        <v>25</v>
      </c>
      <c r="H35" s="206">
        <v>30</v>
      </c>
      <c r="J35" s="206">
        <v>21</v>
      </c>
      <c r="K35" s="206">
        <v>30</v>
      </c>
      <c r="L35" s="206">
        <v>28</v>
      </c>
      <c r="M35" s="206">
        <v>22</v>
      </c>
      <c r="N35" s="206" t="s">
        <v>427</v>
      </c>
      <c r="O35" s="206">
        <f t="shared" si="0"/>
        <v>111</v>
      </c>
      <c r="P35" s="206">
        <f t="shared" si="1"/>
        <v>101</v>
      </c>
      <c r="Q35" s="206" t="str">
        <f t="shared" si="2"/>
        <v>HW</v>
      </c>
      <c r="R35" s="206" t="str">
        <f t="shared" si="2"/>
        <v>HL</v>
      </c>
      <c r="S35" s="206" t="str">
        <f t="shared" si="2"/>
        <v>HL</v>
      </c>
      <c r="T35" s="206" t="str">
        <f t="shared" si="2"/>
        <v>HW</v>
      </c>
      <c r="U35" s="206" t="str">
        <f t="shared" si="3"/>
        <v>U</v>
      </c>
      <c r="V35" s="206" t="str">
        <f t="shared" si="3"/>
        <v>U</v>
      </c>
      <c r="W35" s="206" t="str">
        <f t="shared" si="3"/>
        <v>U</v>
      </c>
      <c r="X35" s="206" t="str">
        <f t="shared" si="3"/>
        <v>U</v>
      </c>
      <c r="Z35" s="206">
        <v>61.5</v>
      </c>
      <c r="AA35" s="206" t="str">
        <f t="shared" si="5"/>
        <v>WAS/ATL</v>
      </c>
    </row>
    <row r="36" spans="1:27" s="206" customFormat="1" x14ac:dyDescent="0.45">
      <c r="A36" s="206">
        <v>200111</v>
      </c>
      <c r="B36" s="44">
        <v>0.38541666666666669</v>
      </c>
      <c r="C36" s="206" t="s">
        <v>399</v>
      </c>
      <c r="D36" s="206" t="s">
        <v>398</v>
      </c>
      <c r="E36" s="206">
        <v>31</v>
      </c>
      <c r="F36" s="206">
        <v>30</v>
      </c>
      <c r="G36" s="206">
        <v>25</v>
      </c>
      <c r="H36" s="206">
        <v>25</v>
      </c>
      <c r="J36" s="206">
        <v>33</v>
      </c>
      <c r="K36" s="206">
        <v>34</v>
      </c>
      <c r="L36" s="206">
        <v>28</v>
      </c>
      <c r="M36" s="206">
        <v>28</v>
      </c>
      <c r="N36" s="206" t="s">
        <v>427</v>
      </c>
      <c r="O36" s="206">
        <f t="shared" si="0"/>
        <v>111</v>
      </c>
      <c r="P36" s="206">
        <f t="shared" si="1"/>
        <v>123</v>
      </c>
      <c r="Q36" s="206" t="str">
        <f t="shared" si="2"/>
        <v>HL</v>
      </c>
      <c r="R36" s="206" t="str">
        <f t="shared" si="2"/>
        <v>HL</v>
      </c>
      <c r="S36" s="206" t="str">
        <f t="shared" si="2"/>
        <v>HL</v>
      </c>
      <c r="T36" s="206" t="str">
        <f t="shared" si="2"/>
        <v>HL</v>
      </c>
      <c r="U36" s="206" t="str">
        <f t="shared" si="3"/>
        <v>O</v>
      </c>
      <c r="V36" s="206" t="str">
        <f t="shared" si="3"/>
        <v>O</v>
      </c>
      <c r="W36" s="206" t="str">
        <f t="shared" si="3"/>
        <v>U</v>
      </c>
      <c r="X36" s="206" t="str">
        <f t="shared" si="3"/>
        <v>U</v>
      </c>
      <c r="Z36" s="206">
        <v>58.5</v>
      </c>
      <c r="AA36" s="206" t="str">
        <f t="shared" si="5"/>
        <v>NYK/NO</v>
      </c>
    </row>
    <row r="37" spans="1:27" s="206" customFormat="1" x14ac:dyDescent="0.45">
      <c r="A37" s="206">
        <v>200111</v>
      </c>
      <c r="B37" s="44">
        <v>0.39583333333333331</v>
      </c>
      <c r="C37" s="206" t="s">
        <v>407</v>
      </c>
      <c r="D37" s="206" t="s">
        <v>411</v>
      </c>
      <c r="E37" s="206">
        <v>32</v>
      </c>
      <c r="F37" s="206">
        <v>25</v>
      </c>
      <c r="G37" s="206">
        <v>32</v>
      </c>
      <c r="H37" s="206">
        <v>28</v>
      </c>
      <c r="J37" s="206">
        <v>42</v>
      </c>
      <c r="K37" s="206">
        <v>27</v>
      </c>
      <c r="L37" s="206">
        <v>20</v>
      </c>
      <c r="M37" s="206">
        <v>24</v>
      </c>
      <c r="N37" s="206" t="s">
        <v>427</v>
      </c>
      <c r="O37" s="206">
        <f t="shared" si="0"/>
        <v>117</v>
      </c>
      <c r="P37" s="206">
        <f t="shared" si="1"/>
        <v>113</v>
      </c>
      <c r="Q37" s="206" t="str">
        <f t="shared" si="2"/>
        <v>HL</v>
      </c>
      <c r="R37" s="206" t="str">
        <f t="shared" si="2"/>
        <v>HL</v>
      </c>
      <c r="S37" s="206" t="str">
        <f t="shared" si="2"/>
        <v>HW</v>
      </c>
      <c r="T37" s="206" t="str">
        <f t="shared" si="2"/>
        <v>HW</v>
      </c>
      <c r="U37" s="206" t="str">
        <f t="shared" si="3"/>
        <v>O</v>
      </c>
      <c r="V37" s="206" t="str">
        <f t="shared" si="3"/>
        <v>U</v>
      </c>
      <c r="W37" s="206" t="str">
        <f t="shared" si="3"/>
        <v>U</v>
      </c>
      <c r="X37" s="206" t="str">
        <f t="shared" si="3"/>
        <v>U</v>
      </c>
      <c r="Z37" s="206">
        <v>56</v>
      </c>
      <c r="AA37" s="206" t="str">
        <f t="shared" si="5"/>
        <v>BKN/MIA</v>
      </c>
    </row>
    <row r="38" spans="1:27" s="206" customFormat="1" x14ac:dyDescent="0.45">
      <c r="A38" s="206">
        <v>200111</v>
      </c>
      <c r="B38" s="44">
        <v>0.41666666666666669</v>
      </c>
      <c r="C38" s="206" t="s">
        <v>412</v>
      </c>
      <c r="D38" s="206" t="s">
        <v>400</v>
      </c>
      <c r="E38" s="206">
        <v>27</v>
      </c>
      <c r="F38" s="206">
        <v>19</v>
      </c>
      <c r="G38" s="206">
        <v>26</v>
      </c>
      <c r="H38" s="206">
        <v>33</v>
      </c>
      <c r="J38" s="206">
        <v>29</v>
      </c>
      <c r="K38" s="206">
        <v>25</v>
      </c>
      <c r="L38" s="206">
        <v>25</v>
      </c>
      <c r="M38" s="206">
        <v>37</v>
      </c>
      <c r="N38" s="206" t="s">
        <v>427</v>
      </c>
      <c r="O38" s="206">
        <f t="shared" si="0"/>
        <v>105</v>
      </c>
      <c r="P38" s="206">
        <f t="shared" si="1"/>
        <v>116</v>
      </c>
      <c r="Q38" s="206" t="str">
        <f t="shared" si="2"/>
        <v>HL</v>
      </c>
      <c r="R38" s="206" t="str">
        <f t="shared" si="2"/>
        <v>HL</v>
      </c>
      <c r="S38" s="206" t="str">
        <f t="shared" si="2"/>
        <v>HW</v>
      </c>
      <c r="T38" s="206" t="str">
        <f t="shared" si="2"/>
        <v>HL</v>
      </c>
      <c r="U38" s="206" t="str">
        <f t="shared" si="3"/>
        <v>O</v>
      </c>
      <c r="V38" s="206" t="str">
        <f t="shared" si="3"/>
        <v>U</v>
      </c>
      <c r="W38" s="206" t="str">
        <f t="shared" si="3"/>
        <v>U</v>
      </c>
      <c r="X38" s="206" t="str">
        <f t="shared" si="3"/>
        <v>O</v>
      </c>
      <c r="Z38" s="206">
        <v>54.5</v>
      </c>
      <c r="AA38" s="206" t="str">
        <f t="shared" si="5"/>
        <v>CHI/IND</v>
      </c>
    </row>
    <row r="39" spans="1:27" s="206" customFormat="1" x14ac:dyDescent="0.45">
      <c r="A39" s="206">
        <v>200111</v>
      </c>
      <c r="B39" s="44">
        <v>0.41666666666666669</v>
      </c>
      <c r="C39" s="206" t="s">
        <v>406</v>
      </c>
      <c r="D39" s="206" t="s">
        <v>426</v>
      </c>
      <c r="E39" s="206">
        <v>37</v>
      </c>
      <c r="F39" s="206">
        <v>26</v>
      </c>
      <c r="G39" s="206">
        <v>37</v>
      </c>
      <c r="H39" s="206">
        <v>34</v>
      </c>
      <c r="J39" s="206">
        <v>32</v>
      </c>
      <c r="K39" s="206">
        <v>25</v>
      </c>
      <c r="L39" s="206">
        <v>41</v>
      </c>
      <c r="M39" s="206">
        <v>23</v>
      </c>
      <c r="N39" s="206" t="s">
        <v>427</v>
      </c>
      <c r="O39" s="206">
        <f t="shared" si="0"/>
        <v>134</v>
      </c>
      <c r="P39" s="206">
        <f t="shared" si="1"/>
        <v>121</v>
      </c>
      <c r="Q39" s="206" t="str">
        <f t="shared" si="2"/>
        <v>HW</v>
      </c>
      <c r="R39" s="206" t="str">
        <f t="shared" si="2"/>
        <v>HW</v>
      </c>
      <c r="S39" s="206" t="str">
        <f t="shared" si="2"/>
        <v>HL</v>
      </c>
      <c r="T39" s="206" t="str">
        <f t="shared" si="2"/>
        <v>HW</v>
      </c>
      <c r="U39" s="206" t="str">
        <f t="shared" si="3"/>
        <v>O</v>
      </c>
      <c r="V39" s="206" t="str">
        <f t="shared" si="3"/>
        <v>U</v>
      </c>
      <c r="W39" s="206" t="str">
        <f t="shared" si="3"/>
        <v>O</v>
      </c>
      <c r="X39" s="206" t="str">
        <f t="shared" si="3"/>
        <v>O</v>
      </c>
      <c r="Z39" s="206">
        <v>56</v>
      </c>
      <c r="AA39" s="206" t="str">
        <f t="shared" si="5"/>
        <v>MEM/SAS</v>
      </c>
    </row>
    <row r="40" spans="1:27" s="206" customFormat="1" x14ac:dyDescent="0.45">
      <c r="A40" s="206">
        <v>200111</v>
      </c>
      <c r="B40" s="44">
        <v>0.45833333333333331</v>
      </c>
      <c r="C40" s="206" t="s">
        <v>404</v>
      </c>
      <c r="D40" s="206" t="s">
        <v>424</v>
      </c>
      <c r="E40" s="206">
        <v>27</v>
      </c>
      <c r="F40" s="206">
        <v>31</v>
      </c>
      <c r="G40" s="206">
        <v>19</v>
      </c>
      <c r="H40" s="206">
        <v>21</v>
      </c>
      <c r="J40" s="206">
        <v>25</v>
      </c>
      <c r="K40" s="206">
        <v>23</v>
      </c>
      <c r="L40" s="206">
        <v>27</v>
      </c>
      <c r="M40" s="206">
        <v>19</v>
      </c>
      <c r="N40" s="206" t="s">
        <v>427</v>
      </c>
      <c r="O40" s="206">
        <f t="shared" si="0"/>
        <v>98</v>
      </c>
      <c r="P40" s="206">
        <f t="shared" si="1"/>
        <v>94</v>
      </c>
      <c r="Q40" s="206" t="str">
        <f t="shared" si="2"/>
        <v>HW</v>
      </c>
      <c r="R40" s="206" t="str">
        <f t="shared" si="2"/>
        <v>HW</v>
      </c>
      <c r="S40" s="206" t="str">
        <f t="shared" si="2"/>
        <v>HL</v>
      </c>
      <c r="T40" s="206" t="str">
        <f t="shared" si="2"/>
        <v>HW</v>
      </c>
      <c r="U40" s="206" t="str">
        <f t="shared" si="3"/>
        <v>U</v>
      </c>
      <c r="V40" s="206" t="str">
        <f t="shared" si="3"/>
        <v>U</v>
      </c>
      <c r="W40" s="206" t="str">
        <f t="shared" si="3"/>
        <v>U</v>
      </c>
      <c r="X40" s="206" t="str">
        <f t="shared" si="3"/>
        <v>U</v>
      </c>
      <c r="Z40" s="206">
        <v>55.5</v>
      </c>
      <c r="AA40" s="206" t="str">
        <f t="shared" si="5"/>
        <v>PHO/ORL</v>
      </c>
    </row>
    <row r="41" spans="1:27" s="206" customFormat="1" x14ac:dyDescent="0.45">
      <c r="A41" s="206">
        <v>200111</v>
      </c>
      <c r="B41" s="44">
        <v>0.45833333333333331</v>
      </c>
      <c r="C41" s="206" t="s">
        <v>405</v>
      </c>
      <c r="D41" s="206" t="s">
        <v>409</v>
      </c>
      <c r="E41" s="206">
        <v>29</v>
      </c>
      <c r="F41" s="206">
        <v>32</v>
      </c>
      <c r="G41" s="206">
        <v>26</v>
      </c>
      <c r="H41" s="206">
        <v>22</v>
      </c>
      <c r="J41" s="206">
        <v>13</v>
      </c>
      <c r="K41" s="206">
        <v>25</v>
      </c>
      <c r="L41" s="206">
        <v>24</v>
      </c>
      <c r="M41" s="206">
        <v>30</v>
      </c>
      <c r="N41" s="206" t="s">
        <v>427</v>
      </c>
      <c r="O41" s="206">
        <f t="shared" si="0"/>
        <v>109</v>
      </c>
      <c r="P41" s="206">
        <f t="shared" si="1"/>
        <v>92</v>
      </c>
      <c r="Q41" s="206" t="str">
        <f t="shared" si="2"/>
        <v>HW</v>
      </c>
      <c r="R41" s="206" t="str">
        <f t="shared" si="2"/>
        <v>HW</v>
      </c>
      <c r="S41" s="206" t="str">
        <f t="shared" si="2"/>
        <v>HW</v>
      </c>
      <c r="T41" s="206" t="str">
        <f t="shared" si="2"/>
        <v>HL</v>
      </c>
      <c r="U41" s="206" t="str">
        <f t="shared" si="3"/>
        <v>U</v>
      </c>
      <c r="V41" s="206" t="str">
        <f t="shared" si="3"/>
        <v>O</v>
      </c>
      <c r="W41" s="206" t="str">
        <f t="shared" si="3"/>
        <v>U</v>
      </c>
      <c r="X41" s="206" t="str">
        <f t="shared" si="3"/>
        <v>U</v>
      </c>
      <c r="Z41" s="206">
        <v>54.5</v>
      </c>
      <c r="AA41" s="206" t="str">
        <f t="shared" si="5"/>
        <v>UTA/CHA</v>
      </c>
    </row>
    <row r="42" spans="1:27" s="206" customFormat="1" x14ac:dyDescent="0.45">
      <c r="A42" s="206">
        <v>200111</v>
      </c>
      <c r="B42" s="44">
        <v>0.48958333333333331</v>
      </c>
      <c r="C42" s="206" t="s">
        <v>397</v>
      </c>
      <c r="D42" s="206" t="s">
        <v>419</v>
      </c>
      <c r="E42" s="206">
        <v>27</v>
      </c>
      <c r="F42" s="206">
        <v>31</v>
      </c>
      <c r="G42" s="206">
        <v>28</v>
      </c>
      <c r="H42" s="206">
        <v>28</v>
      </c>
      <c r="J42" s="206">
        <v>45</v>
      </c>
      <c r="K42" s="206">
        <v>34</v>
      </c>
      <c r="L42" s="206">
        <v>20</v>
      </c>
      <c r="M42" s="206">
        <v>30</v>
      </c>
      <c r="N42" s="206" t="s">
        <v>427</v>
      </c>
      <c r="O42" s="206">
        <f t="shared" si="0"/>
        <v>114</v>
      </c>
      <c r="P42" s="206">
        <f t="shared" si="1"/>
        <v>129</v>
      </c>
      <c r="Q42" s="206" t="str">
        <f t="shared" si="2"/>
        <v>HL</v>
      </c>
      <c r="R42" s="206" t="str">
        <f t="shared" si="2"/>
        <v>HL</v>
      </c>
      <c r="S42" s="206" t="str">
        <f t="shared" si="2"/>
        <v>HW</v>
      </c>
      <c r="T42" s="206" t="str">
        <f t="shared" si="2"/>
        <v>HL</v>
      </c>
      <c r="U42" s="206" t="str">
        <f t="shared" si="3"/>
        <v>O</v>
      </c>
      <c r="V42" s="206" t="str">
        <f t="shared" si="3"/>
        <v>O</v>
      </c>
      <c r="W42" s="206" t="str">
        <f t="shared" si="3"/>
        <v>U</v>
      </c>
      <c r="X42" s="206" t="str">
        <f t="shared" si="3"/>
        <v>O</v>
      </c>
      <c r="Z42" s="206">
        <v>57</v>
      </c>
      <c r="AA42" s="206" t="str">
        <f t="shared" si="5"/>
        <v>DAL/LAL</v>
      </c>
    </row>
    <row r="43" spans="1:27" s="206" customFormat="1" x14ac:dyDescent="0.45">
      <c r="A43" s="206">
        <v>200111</v>
      </c>
      <c r="B43" s="44">
        <v>0.5</v>
      </c>
      <c r="C43" s="206" t="s">
        <v>416</v>
      </c>
      <c r="D43" s="206" t="s">
        <v>423</v>
      </c>
      <c r="E43" s="206">
        <v>18</v>
      </c>
      <c r="F43" s="206">
        <v>26</v>
      </c>
      <c r="G43" s="206">
        <v>31</v>
      </c>
      <c r="H43" s="206">
        <v>31</v>
      </c>
      <c r="J43" s="206">
        <v>34</v>
      </c>
      <c r="K43" s="206">
        <v>19</v>
      </c>
      <c r="L43" s="206">
        <v>37</v>
      </c>
      <c r="M43" s="206">
        <v>37</v>
      </c>
      <c r="N43" s="206" t="s">
        <v>427</v>
      </c>
      <c r="O43" s="206">
        <f t="shared" si="0"/>
        <v>106</v>
      </c>
      <c r="P43" s="206">
        <f t="shared" si="1"/>
        <v>127</v>
      </c>
      <c r="Q43" s="206" t="str">
        <f t="shared" si="2"/>
        <v>HL</v>
      </c>
      <c r="R43" s="206" t="str">
        <f t="shared" si="2"/>
        <v>HW</v>
      </c>
      <c r="S43" s="206" t="str">
        <f t="shared" si="2"/>
        <v>HL</v>
      </c>
      <c r="T43" s="206" t="str">
        <f t="shared" si="2"/>
        <v>HL</v>
      </c>
      <c r="U43" s="206" t="str">
        <f t="shared" si="3"/>
        <v>U</v>
      </c>
      <c r="V43" s="206" t="str">
        <f t="shared" si="3"/>
        <v>U</v>
      </c>
      <c r="W43" s="206" t="str">
        <f t="shared" si="3"/>
        <v>O</v>
      </c>
      <c r="X43" s="206" t="str">
        <f t="shared" si="3"/>
        <v>O</v>
      </c>
      <c r="Z43" s="206">
        <v>55</v>
      </c>
      <c r="AA43" s="206" t="str">
        <f t="shared" si="5"/>
        <v>SAC/MIL</v>
      </c>
    </row>
    <row r="44" spans="1:27" s="206" customFormat="1" x14ac:dyDescent="0.45">
      <c r="A44" s="206">
        <v>200111</v>
      </c>
      <c r="B44" s="44">
        <v>0.52083333333333337</v>
      </c>
      <c r="C44" s="206" t="s">
        <v>415</v>
      </c>
      <c r="D44" s="206" t="s">
        <v>425</v>
      </c>
      <c r="E44" s="206">
        <v>22</v>
      </c>
      <c r="F44" s="206">
        <v>26</v>
      </c>
      <c r="G44" s="206">
        <v>25</v>
      </c>
      <c r="H44" s="206">
        <v>36</v>
      </c>
      <c r="J44" s="206">
        <v>20</v>
      </c>
      <c r="K44" s="206">
        <v>33</v>
      </c>
      <c r="L44" s="206">
        <v>30</v>
      </c>
      <c r="M44" s="206">
        <v>17</v>
      </c>
      <c r="N44" s="206" t="s">
        <v>427</v>
      </c>
      <c r="O44" s="206">
        <f t="shared" si="0"/>
        <v>109</v>
      </c>
      <c r="P44" s="206">
        <f t="shared" si="1"/>
        <v>100</v>
      </c>
      <c r="Q44" s="206" t="str">
        <f t="shared" si="2"/>
        <v>HW</v>
      </c>
      <c r="R44" s="206" t="str">
        <f t="shared" si="2"/>
        <v>HL</v>
      </c>
      <c r="S44" s="206" t="str">
        <f t="shared" si="2"/>
        <v>HL</v>
      </c>
      <c r="T44" s="206" t="str">
        <f t="shared" si="2"/>
        <v>HW</v>
      </c>
      <c r="U44" s="206" t="str">
        <f t="shared" si="3"/>
        <v>U</v>
      </c>
      <c r="V44" s="206" t="str">
        <f t="shared" si="3"/>
        <v>O</v>
      </c>
      <c r="W44" s="206" t="str">
        <f t="shared" si="3"/>
        <v>U</v>
      </c>
      <c r="X44" s="206" t="str">
        <f t="shared" si="3"/>
        <v>U</v>
      </c>
      <c r="Z44" s="206">
        <v>56</v>
      </c>
      <c r="AA44" s="206" t="str">
        <f t="shared" si="5"/>
        <v>LAC/GS</v>
      </c>
    </row>
    <row r="45" spans="1:27" s="206" customFormat="1" x14ac:dyDescent="0.45">
      <c r="A45" s="206">
        <v>200112</v>
      </c>
      <c r="B45" s="44">
        <v>0.29166666666666669</v>
      </c>
      <c r="C45" s="206" t="s">
        <v>403</v>
      </c>
      <c r="D45" s="206" t="s">
        <v>420</v>
      </c>
      <c r="E45" s="206">
        <v>22</v>
      </c>
      <c r="F45" s="206">
        <v>35</v>
      </c>
      <c r="G45" s="206">
        <v>45</v>
      </c>
      <c r="H45" s="206">
        <v>37</v>
      </c>
      <c r="J45" s="206">
        <v>20</v>
      </c>
      <c r="K45" s="206">
        <v>21</v>
      </c>
      <c r="L45" s="206">
        <v>35</v>
      </c>
      <c r="M45" s="206">
        <v>33</v>
      </c>
      <c r="N45" s="206" t="s">
        <v>427</v>
      </c>
      <c r="O45" s="206">
        <f t="shared" si="0"/>
        <v>139</v>
      </c>
      <c r="P45" s="206">
        <f t="shared" si="1"/>
        <v>109</v>
      </c>
      <c r="Q45" s="206" t="str">
        <f t="shared" si="2"/>
        <v>HW</v>
      </c>
      <c r="R45" s="206" t="str">
        <f t="shared" si="2"/>
        <v>HW</v>
      </c>
      <c r="S45" s="206" t="str">
        <f t="shared" si="2"/>
        <v>HW</v>
      </c>
      <c r="T45" s="206" t="str">
        <f t="shared" si="2"/>
        <v>HW</v>
      </c>
      <c r="U45" s="206" t="str">
        <f t="shared" si="3"/>
        <v>U</v>
      </c>
      <c r="V45" s="206" t="str">
        <f t="shared" si="3"/>
        <v>U</v>
      </c>
      <c r="W45" s="206" t="str">
        <f t="shared" si="3"/>
        <v>O</v>
      </c>
      <c r="X45" s="206" t="str">
        <f t="shared" si="3"/>
        <v>O</v>
      </c>
      <c r="Z45" s="206">
        <v>60</v>
      </c>
      <c r="AA45" s="206" t="str">
        <f t="shared" si="5"/>
        <v>HOU/MIN</v>
      </c>
    </row>
    <row r="46" spans="1:27" s="206" customFormat="1" x14ac:dyDescent="0.45">
      <c r="A46" s="206">
        <v>200112</v>
      </c>
      <c r="B46" s="44">
        <v>0.375</v>
      </c>
      <c r="C46" s="206" t="s">
        <v>421</v>
      </c>
      <c r="D46" s="206" t="s">
        <v>398</v>
      </c>
      <c r="E46" s="206">
        <v>41</v>
      </c>
      <c r="F46" s="206">
        <v>31</v>
      </c>
      <c r="G46" s="206">
        <v>42</v>
      </c>
      <c r="H46" s="206">
        <v>26</v>
      </c>
      <c r="J46" s="206">
        <v>24</v>
      </c>
      <c r="K46" s="206">
        <v>33</v>
      </c>
      <c r="L46" s="206">
        <v>25</v>
      </c>
      <c r="M46" s="206">
        <v>23</v>
      </c>
      <c r="N46" s="206" t="s">
        <v>427</v>
      </c>
      <c r="O46" s="206">
        <f t="shared" si="0"/>
        <v>140</v>
      </c>
      <c r="P46" s="206">
        <f t="shared" si="1"/>
        <v>105</v>
      </c>
      <c r="Q46" s="206" t="str">
        <f t="shared" si="2"/>
        <v>HW</v>
      </c>
      <c r="R46" s="206" t="str">
        <f t="shared" si="2"/>
        <v>HL</v>
      </c>
      <c r="S46" s="206" t="str">
        <f t="shared" si="2"/>
        <v>HW</v>
      </c>
      <c r="T46" s="206" t="str">
        <f t="shared" si="2"/>
        <v>HW</v>
      </c>
      <c r="U46" s="206" t="str">
        <f t="shared" si="3"/>
        <v>O</v>
      </c>
      <c r="V46" s="206" t="str">
        <f t="shared" si="3"/>
        <v>O</v>
      </c>
      <c r="W46" s="206" t="str">
        <f t="shared" si="3"/>
        <v>O</v>
      </c>
      <c r="X46" s="206" t="str">
        <f t="shared" si="3"/>
        <v>U</v>
      </c>
      <c r="Z46" s="206">
        <v>57.5</v>
      </c>
      <c r="AA46" s="206" t="str">
        <f t="shared" si="5"/>
        <v>BOS/NO</v>
      </c>
    </row>
    <row r="47" spans="1:27" s="206" customFormat="1" x14ac:dyDescent="0.45">
      <c r="A47" s="206">
        <v>200112</v>
      </c>
      <c r="B47" s="44">
        <v>0.375</v>
      </c>
      <c r="C47" s="206" t="s">
        <v>422</v>
      </c>
      <c r="D47" s="206" t="s">
        <v>412</v>
      </c>
      <c r="E47" s="206">
        <v>20</v>
      </c>
      <c r="F47" s="206">
        <v>29</v>
      </c>
      <c r="G47" s="206">
        <v>22</v>
      </c>
      <c r="H47" s="206">
        <v>28</v>
      </c>
      <c r="J47" s="206">
        <v>35</v>
      </c>
      <c r="K47" s="206">
        <v>26</v>
      </c>
      <c r="L47" s="206">
        <v>20</v>
      </c>
      <c r="M47" s="206">
        <v>27</v>
      </c>
      <c r="N47" s="206" t="s">
        <v>427</v>
      </c>
      <c r="O47" s="206">
        <f t="shared" si="0"/>
        <v>99</v>
      </c>
      <c r="P47" s="206">
        <f t="shared" si="1"/>
        <v>108</v>
      </c>
      <c r="Q47" s="206" t="str">
        <f t="shared" si="2"/>
        <v>HL</v>
      </c>
      <c r="R47" s="206" t="str">
        <f t="shared" si="2"/>
        <v>HW</v>
      </c>
      <c r="S47" s="206" t="str">
        <f t="shared" si="2"/>
        <v>HW</v>
      </c>
      <c r="T47" s="206" t="str">
        <f t="shared" si="2"/>
        <v>HW</v>
      </c>
      <c r="U47" s="206" t="str">
        <f t="shared" si="3"/>
        <v>U</v>
      </c>
      <c r="V47" s="206" t="str">
        <f t="shared" si="3"/>
        <v>U</v>
      </c>
      <c r="W47" s="206" t="str">
        <f t="shared" si="3"/>
        <v>U</v>
      </c>
      <c r="X47" s="206" t="str">
        <f t="shared" si="3"/>
        <v>U</v>
      </c>
      <c r="Z47" s="206">
        <v>55.5</v>
      </c>
      <c r="AA47" s="206" t="str">
        <f t="shared" si="5"/>
        <v>DET/CHI</v>
      </c>
    </row>
    <row r="48" spans="1:27" s="206" customFormat="1" x14ac:dyDescent="0.45">
      <c r="A48" s="206">
        <v>200112</v>
      </c>
      <c r="B48" s="44">
        <v>0.41666666666666669</v>
      </c>
      <c r="C48" s="206" t="s">
        <v>418</v>
      </c>
      <c r="D48" s="206" t="s">
        <v>419</v>
      </c>
      <c r="E48" s="206">
        <v>19</v>
      </c>
      <c r="F48" s="206">
        <v>30</v>
      </c>
      <c r="G48" s="206">
        <v>33</v>
      </c>
      <c r="H48" s="206">
        <v>28</v>
      </c>
      <c r="J48" s="206">
        <v>41</v>
      </c>
      <c r="K48" s="206">
        <v>32</v>
      </c>
      <c r="L48" s="206">
        <v>29</v>
      </c>
      <c r="M48" s="206">
        <v>23</v>
      </c>
      <c r="N48" s="206" t="s">
        <v>427</v>
      </c>
      <c r="O48" s="206">
        <f t="shared" si="0"/>
        <v>110</v>
      </c>
      <c r="P48" s="206">
        <f t="shared" si="1"/>
        <v>125</v>
      </c>
      <c r="Q48" s="206" t="str">
        <f t="shared" si="2"/>
        <v>HL</v>
      </c>
      <c r="R48" s="206" t="str">
        <f t="shared" si="2"/>
        <v>HL</v>
      </c>
      <c r="S48" s="206" t="str">
        <f t="shared" si="2"/>
        <v>HW</v>
      </c>
      <c r="T48" s="206" t="str">
        <f t="shared" si="2"/>
        <v>HW</v>
      </c>
      <c r="U48" s="206" t="str">
        <f t="shared" si="3"/>
        <v>O</v>
      </c>
      <c r="V48" s="206" t="str">
        <f t="shared" si="3"/>
        <v>O</v>
      </c>
      <c r="W48" s="206" t="str">
        <f t="shared" si="3"/>
        <v>O</v>
      </c>
      <c r="X48" s="206" t="str">
        <f t="shared" si="3"/>
        <v>U</v>
      </c>
      <c r="Z48" s="206">
        <v>55</v>
      </c>
      <c r="AA48" s="206" t="str">
        <f t="shared" si="5"/>
        <v>OKC/LAL</v>
      </c>
    </row>
    <row r="49" spans="1:27" s="206" customFormat="1" x14ac:dyDescent="0.45">
      <c r="A49" s="206">
        <v>200112</v>
      </c>
      <c r="B49" s="44">
        <v>0.4375</v>
      </c>
      <c r="C49" s="206" t="s">
        <v>397</v>
      </c>
      <c r="D49" s="206" t="s">
        <v>401</v>
      </c>
      <c r="E49" s="206">
        <v>20</v>
      </c>
      <c r="F49" s="206">
        <v>21</v>
      </c>
      <c r="G49" s="206">
        <v>32</v>
      </c>
      <c r="H49" s="206">
        <v>36</v>
      </c>
      <c r="J49" s="206">
        <v>22</v>
      </c>
      <c r="K49" s="206">
        <v>28</v>
      </c>
      <c r="L49" s="206">
        <v>16</v>
      </c>
      <c r="M49" s="206">
        <v>25</v>
      </c>
      <c r="N49" s="206" t="s">
        <v>427</v>
      </c>
      <c r="O49" s="206">
        <f t="shared" si="0"/>
        <v>109</v>
      </c>
      <c r="P49" s="206">
        <f t="shared" si="1"/>
        <v>91</v>
      </c>
      <c r="Q49" s="206" t="str">
        <f t="shared" si="2"/>
        <v>HL</v>
      </c>
      <c r="R49" s="206" t="str">
        <f t="shared" si="2"/>
        <v>HL</v>
      </c>
      <c r="S49" s="206" t="str">
        <f t="shared" si="2"/>
        <v>HW</v>
      </c>
      <c r="T49" s="206" t="str">
        <f t="shared" si="2"/>
        <v>HW</v>
      </c>
      <c r="U49" s="206" t="str">
        <f t="shared" si="3"/>
        <v>U</v>
      </c>
      <c r="V49" s="206" t="str">
        <f t="shared" si="3"/>
        <v>U</v>
      </c>
      <c r="W49" s="206" t="str">
        <f t="shared" si="3"/>
        <v>U</v>
      </c>
      <c r="X49" s="206" t="str">
        <f t="shared" si="3"/>
        <v>O</v>
      </c>
      <c r="Z49" s="206">
        <v>55.5</v>
      </c>
      <c r="AA49" s="206" t="str">
        <f t="shared" si="5"/>
        <v>DAL/PHI</v>
      </c>
    </row>
    <row r="50" spans="1:27" s="206" customFormat="1" x14ac:dyDescent="0.45">
      <c r="A50" s="206">
        <v>200112</v>
      </c>
      <c r="B50" s="44">
        <v>0.45833333333333331</v>
      </c>
      <c r="C50" s="206" t="s">
        <v>408</v>
      </c>
      <c r="D50" s="206" t="s">
        <v>402</v>
      </c>
      <c r="E50" s="206">
        <v>18</v>
      </c>
      <c r="F50" s="206">
        <v>24</v>
      </c>
      <c r="G50" s="206">
        <v>29</v>
      </c>
      <c r="H50" s="206">
        <v>32</v>
      </c>
      <c r="J50" s="206">
        <v>23</v>
      </c>
      <c r="K50" s="206">
        <v>28</v>
      </c>
      <c r="L50" s="206">
        <v>34</v>
      </c>
      <c r="M50" s="206">
        <v>26</v>
      </c>
      <c r="N50" s="206" t="s">
        <v>427</v>
      </c>
      <c r="O50" s="206">
        <f t="shared" si="0"/>
        <v>103</v>
      </c>
      <c r="P50" s="206">
        <f t="shared" si="1"/>
        <v>111</v>
      </c>
      <c r="Q50" s="206" t="str">
        <f t="shared" si="2"/>
        <v>HL</v>
      </c>
      <c r="R50" s="206" t="str">
        <f t="shared" si="2"/>
        <v>HL</v>
      </c>
      <c r="S50" s="206" t="str">
        <f t="shared" si="2"/>
        <v>HL</v>
      </c>
      <c r="T50" s="206" t="str">
        <f t="shared" si="2"/>
        <v>HW</v>
      </c>
      <c r="U50" s="206" t="str">
        <f t="shared" si="3"/>
        <v>U</v>
      </c>
      <c r="V50" s="206" t="str">
        <f t="shared" si="3"/>
        <v>U</v>
      </c>
      <c r="W50" s="206" t="str">
        <f t="shared" si="3"/>
        <v>O</v>
      </c>
      <c r="X50" s="206" t="str">
        <f t="shared" si="3"/>
        <v>O</v>
      </c>
      <c r="Z50" s="206">
        <v>53</v>
      </c>
      <c r="AA50" s="206" t="str">
        <f t="shared" si="5"/>
        <v>DEN/CLE</v>
      </c>
    </row>
    <row r="51" spans="1:27" s="206" customFormat="1" x14ac:dyDescent="0.45">
      <c r="A51" s="206">
        <v>200112</v>
      </c>
      <c r="B51" s="44">
        <v>0.5</v>
      </c>
      <c r="C51" s="206" t="s">
        <v>417</v>
      </c>
      <c r="D51" s="206" t="s">
        <v>423</v>
      </c>
      <c r="E51" s="206">
        <v>24</v>
      </c>
      <c r="F51" s="206">
        <v>31</v>
      </c>
      <c r="G51" s="206">
        <v>25</v>
      </c>
      <c r="H51" s="206">
        <v>21</v>
      </c>
      <c r="J51" s="206">
        <v>32</v>
      </c>
      <c r="K51" s="206">
        <v>32</v>
      </c>
      <c r="L51" s="206">
        <v>33</v>
      </c>
      <c r="M51" s="206">
        <v>25</v>
      </c>
      <c r="N51" s="206" t="s">
        <v>427</v>
      </c>
      <c r="O51" s="206">
        <f t="shared" si="0"/>
        <v>101</v>
      </c>
      <c r="P51" s="206">
        <f t="shared" si="1"/>
        <v>122</v>
      </c>
      <c r="Q51" s="206" t="str">
        <f t="shared" si="2"/>
        <v>HL</v>
      </c>
      <c r="R51" s="206" t="str">
        <f t="shared" si="2"/>
        <v>HL</v>
      </c>
      <c r="S51" s="206" t="str">
        <f t="shared" si="2"/>
        <v>HL</v>
      </c>
      <c r="T51" s="206" t="str">
        <f t="shared" si="2"/>
        <v>HL</v>
      </c>
      <c r="U51" s="206" t="str">
        <f t="shared" si="3"/>
        <v>U</v>
      </c>
      <c r="V51" s="206" t="str">
        <f t="shared" si="3"/>
        <v>O</v>
      </c>
      <c r="W51" s="206" t="str">
        <f t="shared" si="3"/>
        <v>O</v>
      </c>
      <c r="X51" s="206" t="str">
        <f t="shared" si="3"/>
        <v>U</v>
      </c>
      <c r="Z51" s="206">
        <v>57</v>
      </c>
      <c r="AA51" s="206" t="str">
        <f t="shared" si="5"/>
        <v>POR/MIL</v>
      </c>
    </row>
    <row r="52" spans="1:27" s="206" customFormat="1" x14ac:dyDescent="0.45">
      <c r="A52" s="206">
        <v>200113</v>
      </c>
      <c r="B52" s="44">
        <v>0.22916666666666666</v>
      </c>
      <c r="C52" s="206" t="s">
        <v>399</v>
      </c>
      <c r="D52" s="206" t="s">
        <v>411</v>
      </c>
      <c r="E52" s="206">
        <v>27</v>
      </c>
      <c r="F52" s="206">
        <v>28</v>
      </c>
      <c r="G52" s="206">
        <v>29</v>
      </c>
      <c r="H52" s="206">
        <v>40</v>
      </c>
      <c r="J52" s="206">
        <v>31</v>
      </c>
      <c r="K52" s="206">
        <v>29</v>
      </c>
      <c r="L52" s="206">
        <v>34</v>
      </c>
      <c r="M52" s="206">
        <v>27</v>
      </c>
      <c r="N52" s="206" t="s">
        <v>427</v>
      </c>
      <c r="O52" s="206">
        <f t="shared" si="0"/>
        <v>124</v>
      </c>
      <c r="P52" s="206">
        <f t="shared" si="1"/>
        <v>121</v>
      </c>
      <c r="Q52" s="206" t="str">
        <f t="shared" si="2"/>
        <v>HL</v>
      </c>
      <c r="R52" s="206" t="str">
        <f t="shared" si="2"/>
        <v>HL</v>
      </c>
      <c r="S52" s="206" t="str">
        <f t="shared" si="2"/>
        <v>HL</v>
      </c>
      <c r="T52" s="206" t="str">
        <f t="shared" si="2"/>
        <v>HW</v>
      </c>
      <c r="U52" s="206" t="str">
        <f t="shared" si="3"/>
        <v>O</v>
      </c>
      <c r="V52" s="206" t="str">
        <f t="shared" si="3"/>
        <v>O</v>
      </c>
      <c r="W52" s="206" t="str">
        <f t="shared" si="3"/>
        <v>O</v>
      </c>
      <c r="X52" s="206" t="str">
        <f t="shared" si="3"/>
        <v>O</v>
      </c>
      <c r="Z52" s="206">
        <v>56</v>
      </c>
      <c r="AA52" s="206" t="str">
        <f t="shared" si="5"/>
        <v>NYK/MIA</v>
      </c>
    </row>
    <row r="53" spans="1:27" s="206" customFormat="1" x14ac:dyDescent="0.45">
      <c r="A53" s="206">
        <v>200113</v>
      </c>
      <c r="B53" s="44">
        <v>0.22916666666666666</v>
      </c>
      <c r="C53" s="206" t="s">
        <v>414</v>
      </c>
      <c r="D53" s="206" t="s">
        <v>405</v>
      </c>
      <c r="E53" s="206">
        <v>34</v>
      </c>
      <c r="F53" s="206">
        <v>32</v>
      </c>
      <c r="G53" s="206">
        <v>25</v>
      </c>
      <c r="H53" s="206">
        <v>25</v>
      </c>
      <c r="J53" s="206">
        <v>23</v>
      </c>
      <c r="K53" s="206">
        <v>32</v>
      </c>
      <c r="L53" s="206">
        <v>38</v>
      </c>
      <c r="M53" s="206">
        <v>34</v>
      </c>
      <c r="N53" s="206" t="s">
        <v>427</v>
      </c>
      <c r="O53" s="206">
        <f t="shared" si="0"/>
        <v>116</v>
      </c>
      <c r="P53" s="206">
        <f t="shared" si="1"/>
        <v>127</v>
      </c>
      <c r="Q53" s="206" t="str">
        <f t="shared" si="2"/>
        <v>HW</v>
      </c>
      <c r="R53" s="206" t="str">
        <f t="shared" si="2"/>
        <v>TT</v>
      </c>
      <c r="S53" s="206" t="str">
        <f t="shared" si="2"/>
        <v>HL</v>
      </c>
      <c r="T53" s="206" t="str">
        <f t="shared" si="2"/>
        <v>HL</v>
      </c>
      <c r="U53" s="206" t="str">
        <f t="shared" si="3"/>
        <v>O</v>
      </c>
      <c r="V53" s="206" t="str">
        <f t="shared" si="3"/>
        <v>O</v>
      </c>
      <c r="W53" s="206" t="str">
        <f t="shared" si="3"/>
        <v>O</v>
      </c>
      <c r="X53" s="206" t="str">
        <f t="shared" si="3"/>
        <v>O</v>
      </c>
      <c r="Z53" s="206">
        <v>55</v>
      </c>
      <c r="AA53" s="206" t="str">
        <f t="shared" si="5"/>
        <v>WAS/UTA</v>
      </c>
    </row>
    <row r="54" spans="1:27" s="206" customFormat="1" x14ac:dyDescent="0.45">
      <c r="A54" s="206">
        <v>200113</v>
      </c>
      <c r="B54" s="44">
        <v>0.33333333333333331</v>
      </c>
      <c r="C54" s="206" t="s">
        <v>407</v>
      </c>
      <c r="D54" s="206" t="s">
        <v>410</v>
      </c>
      <c r="E54" s="206">
        <v>37</v>
      </c>
      <c r="F54" s="206">
        <v>33</v>
      </c>
      <c r="G54" s="206">
        <v>22</v>
      </c>
      <c r="H54" s="206">
        <v>16</v>
      </c>
      <c r="J54" s="206">
        <v>16</v>
      </c>
      <c r="K54" s="206">
        <v>30</v>
      </c>
      <c r="L54" s="206">
        <v>20</v>
      </c>
      <c r="M54" s="206">
        <v>20</v>
      </c>
      <c r="N54" s="206" t="s">
        <v>427</v>
      </c>
      <c r="O54" s="206">
        <f t="shared" si="0"/>
        <v>108</v>
      </c>
      <c r="P54" s="206">
        <f t="shared" si="1"/>
        <v>86</v>
      </c>
      <c r="Q54" s="206" t="str">
        <f t="shared" si="2"/>
        <v>HW</v>
      </c>
      <c r="R54" s="206" t="str">
        <f t="shared" si="2"/>
        <v>HW</v>
      </c>
      <c r="S54" s="206" t="str">
        <f t="shared" si="2"/>
        <v>HW</v>
      </c>
      <c r="T54" s="206" t="str">
        <f t="shared" si="2"/>
        <v>HL</v>
      </c>
      <c r="U54" s="206" t="str">
        <f t="shared" si="3"/>
        <v>U</v>
      </c>
      <c r="V54" s="206" t="str">
        <f t="shared" si="3"/>
        <v>O</v>
      </c>
      <c r="W54" s="206" t="str">
        <f t="shared" si="3"/>
        <v>U</v>
      </c>
      <c r="X54" s="206" t="str">
        <f t="shared" si="3"/>
        <v>U</v>
      </c>
      <c r="Z54" s="206">
        <v>58</v>
      </c>
      <c r="AA54" s="206" t="str">
        <f t="shared" si="5"/>
        <v>BKN/ATL</v>
      </c>
    </row>
    <row r="55" spans="1:27" s="206" customFormat="1" x14ac:dyDescent="0.45">
      <c r="A55" s="206">
        <v>200113</v>
      </c>
      <c r="B55" s="44">
        <v>0.33333333333333331</v>
      </c>
      <c r="C55" s="206" t="s">
        <v>413</v>
      </c>
      <c r="D55" s="206" t="s">
        <v>426</v>
      </c>
      <c r="E55" s="206">
        <v>28</v>
      </c>
      <c r="F55" s="206">
        <v>23</v>
      </c>
      <c r="G55" s="206">
        <v>31</v>
      </c>
      <c r="H55" s="206">
        <v>22</v>
      </c>
      <c r="J55" s="206">
        <v>21</v>
      </c>
      <c r="K55" s="206">
        <v>22</v>
      </c>
      <c r="L55" s="206">
        <v>26</v>
      </c>
      <c r="M55" s="206">
        <v>36</v>
      </c>
      <c r="N55" s="206" t="s">
        <v>427</v>
      </c>
      <c r="O55" s="206">
        <f t="shared" si="0"/>
        <v>104</v>
      </c>
      <c r="P55" s="206">
        <f t="shared" si="1"/>
        <v>105</v>
      </c>
      <c r="Q55" s="206" t="str">
        <f t="shared" si="2"/>
        <v>HW</v>
      </c>
      <c r="R55" s="206" t="str">
        <f t="shared" si="2"/>
        <v>HW</v>
      </c>
      <c r="S55" s="206" t="str">
        <f t="shared" si="2"/>
        <v>HW</v>
      </c>
      <c r="T55" s="206" t="str">
        <f t="shared" si="2"/>
        <v>HL</v>
      </c>
      <c r="U55" s="206" t="str">
        <f t="shared" si="3"/>
        <v>U</v>
      </c>
      <c r="V55" s="206" t="str">
        <f t="shared" si="3"/>
        <v>U</v>
      </c>
      <c r="W55" s="206" t="str">
        <f t="shared" si="3"/>
        <v>O</v>
      </c>
      <c r="X55" s="206" t="str">
        <f t="shared" si="3"/>
        <v>O</v>
      </c>
      <c r="Z55" s="206">
        <v>54.5</v>
      </c>
      <c r="AA55" s="206" t="str">
        <f t="shared" si="5"/>
        <v>TOR/SAS</v>
      </c>
    </row>
    <row r="56" spans="1:27" s="206" customFormat="1" x14ac:dyDescent="0.45">
      <c r="A56" s="206">
        <v>200113</v>
      </c>
      <c r="B56" s="44">
        <v>0.33333333333333331</v>
      </c>
      <c r="C56" s="206" t="s">
        <v>406</v>
      </c>
      <c r="D56" s="206" t="s">
        <v>425</v>
      </c>
      <c r="E56" s="206">
        <v>27</v>
      </c>
      <c r="F56" s="206">
        <v>33</v>
      </c>
      <c r="G56" s="206">
        <v>35</v>
      </c>
      <c r="H56" s="206">
        <v>27</v>
      </c>
      <c r="J56" s="206">
        <v>26</v>
      </c>
      <c r="K56" s="206">
        <v>33</v>
      </c>
      <c r="L56" s="206">
        <v>17</v>
      </c>
      <c r="M56" s="206">
        <v>26</v>
      </c>
      <c r="N56" s="206" t="s">
        <v>427</v>
      </c>
      <c r="O56" s="206">
        <f t="shared" si="0"/>
        <v>122</v>
      </c>
      <c r="P56" s="206">
        <f t="shared" si="1"/>
        <v>102</v>
      </c>
      <c r="Q56" s="206" t="str">
        <f t="shared" si="2"/>
        <v>HW</v>
      </c>
      <c r="R56" s="206" t="str">
        <f t="shared" si="2"/>
        <v>TT</v>
      </c>
      <c r="S56" s="206" t="str">
        <f t="shared" si="2"/>
        <v>HW</v>
      </c>
      <c r="T56" s="206" t="str">
        <f t="shared" si="2"/>
        <v>HW</v>
      </c>
      <c r="U56" s="206" t="str">
        <f t="shared" si="3"/>
        <v>U</v>
      </c>
      <c r="V56" s="206" t="str">
        <f t="shared" si="3"/>
        <v>O</v>
      </c>
      <c r="W56" s="206" t="str">
        <f t="shared" si="3"/>
        <v>U</v>
      </c>
      <c r="X56" s="206" t="str">
        <f t="shared" si="3"/>
        <v>U</v>
      </c>
      <c r="Z56" s="206">
        <v>57.5</v>
      </c>
      <c r="AA56" s="206" t="str">
        <f t="shared" si="5"/>
        <v>MEM/GS</v>
      </c>
    </row>
    <row r="57" spans="1:27" s="206" customFormat="1" x14ac:dyDescent="0.45">
      <c r="A57" s="206">
        <v>200113</v>
      </c>
      <c r="B57" s="44">
        <v>0.41666666666666669</v>
      </c>
      <c r="C57" s="206" t="s">
        <v>408</v>
      </c>
      <c r="D57" s="206" t="s">
        <v>415</v>
      </c>
      <c r="E57" s="206">
        <v>29</v>
      </c>
      <c r="F57" s="206">
        <v>37</v>
      </c>
      <c r="G57" s="206">
        <v>23</v>
      </c>
      <c r="H57" s="206">
        <v>25</v>
      </c>
      <c r="J57" s="206">
        <v>30</v>
      </c>
      <c r="K57" s="206">
        <v>22</v>
      </c>
      <c r="L57" s="206">
        <v>22</v>
      </c>
      <c r="M57" s="206">
        <v>30</v>
      </c>
      <c r="N57" s="206" t="s">
        <v>427</v>
      </c>
      <c r="O57" s="206">
        <f t="shared" si="0"/>
        <v>114</v>
      </c>
      <c r="P57" s="206">
        <f t="shared" si="1"/>
        <v>104</v>
      </c>
      <c r="Q57" s="206" t="str">
        <f t="shared" si="2"/>
        <v>HL</v>
      </c>
      <c r="R57" s="206" t="str">
        <f t="shared" si="2"/>
        <v>HW</v>
      </c>
      <c r="S57" s="206" t="str">
        <f t="shared" si="2"/>
        <v>HW</v>
      </c>
      <c r="T57" s="206" t="str">
        <f t="shared" si="2"/>
        <v>HL</v>
      </c>
      <c r="U57" s="206" t="str">
        <f t="shared" si="3"/>
        <v>O</v>
      </c>
      <c r="V57" s="206" t="str">
        <f t="shared" si="3"/>
        <v>O</v>
      </c>
      <c r="W57" s="206" t="str">
        <f t="shared" si="3"/>
        <v>U</v>
      </c>
      <c r="X57" s="206" t="str">
        <f t="shared" si="3"/>
        <v>U</v>
      </c>
      <c r="Z57" s="206">
        <v>57</v>
      </c>
      <c r="AA57" s="206" t="str">
        <f t="shared" si="5"/>
        <v>DEN/LAC</v>
      </c>
    </row>
    <row r="58" spans="1:27" s="206" customFormat="1" x14ac:dyDescent="0.45">
      <c r="A58" s="206">
        <v>200113</v>
      </c>
      <c r="B58" s="44">
        <v>0.41666666666666669</v>
      </c>
      <c r="C58" s="206" t="s">
        <v>404</v>
      </c>
      <c r="D58" s="206" t="s">
        <v>409</v>
      </c>
      <c r="E58" s="206">
        <v>18</v>
      </c>
      <c r="F58" s="206">
        <v>28</v>
      </c>
      <c r="G58" s="206">
        <v>25</v>
      </c>
      <c r="H58" s="206">
        <v>29</v>
      </c>
      <c r="J58" s="206">
        <v>24</v>
      </c>
      <c r="K58" s="206">
        <v>21</v>
      </c>
      <c r="L58" s="206">
        <v>26</v>
      </c>
      <c r="M58" s="206">
        <v>21</v>
      </c>
      <c r="N58" s="206" t="s">
        <v>427</v>
      </c>
      <c r="O58" s="206">
        <f t="shared" si="0"/>
        <v>100</v>
      </c>
      <c r="P58" s="206">
        <f t="shared" si="1"/>
        <v>92</v>
      </c>
      <c r="Q58" s="206" t="str">
        <f t="shared" si="2"/>
        <v>HL</v>
      </c>
      <c r="R58" s="206" t="str">
        <f t="shared" si="2"/>
        <v>HW</v>
      </c>
      <c r="S58" s="206" t="str">
        <f t="shared" si="2"/>
        <v>HL</v>
      </c>
      <c r="T58" s="206" t="str">
        <f t="shared" si="2"/>
        <v>HW</v>
      </c>
      <c r="U58" s="206" t="str">
        <f t="shared" si="3"/>
        <v>U</v>
      </c>
      <c r="V58" s="206" t="str">
        <f t="shared" si="3"/>
        <v>U</v>
      </c>
      <c r="W58" s="206" t="str">
        <f t="shared" si="3"/>
        <v>U</v>
      </c>
      <c r="X58" s="206" t="str">
        <f t="shared" si="3"/>
        <v>U</v>
      </c>
      <c r="Z58" s="206">
        <v>55.5</v>
      </c>
      <c r="AA58" s="206" t="str">
        <f t="shared" si="5"/>
        <v>PHO/CHA</v>
      </c>
    </row>
    <row r="59" spans="1:27" s="206" customFormat="1" x14ac:dyDescent="0.45">
      <c r="A59" s="206">
        <v>200114</v>
      </c>
      <c r="B59" s="44">
        <v>0.375</v>
      </c>
      <c r="C59" s="206" t="s">
        <v>422</v>
      </c>
      <c r="D59" s="206" t="s">
        <v>398</v>
      </c>
      <c r="E59" s="206">
        <v>23</v>
      </c>
      <c r="F59" s="206">
        <v>29</v>
      </c>
      <c r="G59" s="206">
        <v>25</v>
      </c>
      <c r="H59" s="206">
        <v>25</v>
      </c>
      <c r="I59" s="206">
        <v>8</v>
      </c>
      <c r="J59" s="206">
        <v>32</v>
      </c>
      <c r="K59" s="206">
        <v>31</v>
      </c>
      <c r="L59" s="206">
        <v>26</v>
      </c>
      <c r="M59" s="206">
        <v>13</v>
      </c>
      <c r="N59" s="206">
        <v>15</v>
      </c>
      <c r="O59" s="206">
        <f t="shared" si="0"/>
        <v>110</v>
      </c>
      <c r="P59" s="206">
        <f t="shared" si="1"/>
        <v>117</v>
      </c>
      <c r="Q59" s="206" t="str">
        <f t="shared" si="2"/>
        <v>HL</v>
      </c>
      <c r="R59" s="206" t="str">
        <f t="shared" si="2"/>
        <v>HL</v>
      </c>
      <c r="S59" s="206" t="str">
        <f t="shared" si="2"/>
        <v>HL</v>
      </c>
      <c r="T59" s="206" t="str">
        <f t="shared" si="2"/>
        <v>HW</v>
      </c>
      <c r="U59" s="206" t="str">
        <f t="shared" si="3"/>
        <v>U</v>
      </c>
      <c r="V59" s="206" t="str">
        <f t="shared" si="3"/>
        <v>O</v>
      </c>
      <c r="W59" s="206" t="str">
        <f t="shared" si="3"/>
        <v>U</v>
      </c>
      <c r="X59" s="206" t="str">
        <f t="shared" si="3"/>
        <v>U</v>
      </c>
      <c r="Z59" s="206">
        <v>57</v>
      </c>
      <c r="AA59" s="206" t="str">
        <f t="shared" si="5"/>
        <v>DET/NO</v>
      </c>
    </row>
    <row r="60" spans="1:27" s="206" customFormat="1" x14ac:dyDescent="0.45">
      <c r="A60" s="206">
        <v>200114</v>
      </c>
      <c r="B60" s="44">
        <v>0.375</v>
      </c>
      <c r="C60" s="206" t="s">
        <v>400</v>
      </c>
      <c r="D60" s="206" t="s">
        <v>401</v>
      </c>
      <c r="E60" s="206">
        <v>22</v>
      </c>
      <c r="F60" s="206">
        <v>18</v>
      </c>
      <c r="G60" s="206">
        <v>29</v>
      </c>
      <c r="H60" s="206">
        <v>32</v>
      </c>
      <c r="J60" s="206">
        <v>23</v>
      </c>
      <c r="K60" s="206">
        <v>26</v>
      </c>
      <c r="L60" s="206">
        <v>20</v>
      </c>
      <c r="M60" s="206">
        <v>26</v>
      </c>
      <c r="N60" s="206" t="s">
        <v>427</v>
      </c>
      <c r="O60" s="206">
        <f t="shared" si="0"/>
        <v>101</v>
      </c>
      <c r="P60" s="206">
        <f t="shared" si="1"/>
        <v>95</v>
      </c>
      <c r="Q60" s="206" t="str">
        <f t="shared" si="2"/>
        <v>HL</v>
      </c>
      <c r="R60" s="206" t="str">
        <f t="shared" si="2"/>
        <v>HL</v>
      </c>
      <c r="S60" s="206" t="str">
        <f t="shared" si="2"/>
        <v>HW</v>
      </c>
      <c r="T60" s="206" t="str">
        <f t="shared" si="2"/>
        <v>HW</v>
      </c>
      <c r="U60" s="206" t="str">
        <f t="shared" si="3"/>
        <v>U</v>
      </c>
      <c r="V60" s="206" t="str">
        <f t="shared" si="3"/>
        <v>U</v>
      </c>
      <c r="W60" s="206" t="str">
        <f t="shared" si="3"/>
        <v>U</v>
      </c>
      <c r="X60" s="206" t="str">
        <f t="shared" si="3"/>
        <v>O</v>
      </c>
      <c r="Z60" s="206">
        <v>53</v>
      </c>
      <c r="AA60" s="206" t="str">
        <f t="shared" si="5"/>
        <v>IND/PHI</v>
      </c>
    </row>
    <row r="61" spans="1:27" s="206" customFormat="1" x14ac:dyDescent="0.45">
      <c r="A61" s="206">
        <v>200114</v>
      </c>
      <c r="B61" s="44">
        <v>0.39583333333333331</v>
      </c>
      <c r="C61" s="206" t="s">
        <v>421</v>
      </c>
      <c r="D61" s="206" t="s">
        <v>412</v>
      </c>
      <c r="E61" s="206">
        <v>28</v>
      </c>
      <c r="F61" s="206">
        <v>27</v>
      </c>
      <c r="G61" s="206">
        <v>28</v>
      </c>
      <c r="H61" s="206">
        <v>30</v>
      </c>
      <c r="J61" s="206">
        <v>14</v>
      </c>
      <c r="K61" s="206">
        <v>23</v>
      </c>
      <c r="L61" s="206">
        <v>34</v>
      </c>
      <c r="M61" s="206">
        <v>30</v>
      </c>
      <c r="N61" s="206" t="s">
        <v>427</v>
      </c>
      <c r="O61" s="206">
        <f t="shared" si="0"/>
        <v>113</v>
      </c>
      <c r="P61" s="206">
        <f t="shared" si="1"/>
        <v>101</v>
      </c>
      <c r="Q61" s="206" t="str">
        <f t="shared" si="2"/>
        <v>HW</v>
      </c>
      <c r="R61" s="206" t="str">
        <f t="shared" si="2"/>
        <v>HW</v>
      </c>
      <c r="S61" s="206" t="str">
        <f t="shared" si="2"/>
        <v>HL</v>
      </c>
      <c r="T61" s="206" t="str">
        <f t="shared" si="2"/>
        <v>TT</v>
      </c>
      <c r="U61" s="206" t="str">
        <f t="shared" si="3"/>
        <v>U</v>
      </c>
      <c r="V61" s="206" t="str">
        <f t="shared" si="3"/>
        <v>U</v>
      </c>
      <c r="W61" s="206" t="str">
        <f t="shared" si="3"/>
        <v>O</v>
      </c>
      <c r="X61" s="206" t="str">
        <f t="shared" si="3"/>
        <v>O</v>
      </c>
      <c r="Z61" s="206">
        <v>55.5</v>
      </c>
      <c r="AA61" s="206" t="str">
        <f t="shared" si="5"/>
        <v>BOS/CHI</v>
      </c>
    </row>
    <row r="62" spans="1:27" s="206" customFormat="1" x14ac:dyDescent="0.45">
      <c r="A62" s="206">
        <v>200114</v>
      </c>
      <c r="B62" s="44">
        <v>0.41666666666666669</v>
      </c>
      <c r="C62" s="206" t="s">
        <v>420</v>
      </c>
      <c r="D62" s="206" t="s">
        <v>418</v>
      </c>
      <c r="E62" s="206">
        <v>33</v>
      </c>
      <c r="F62" s="206">
        <v>27</v>
      </c>
      <c r="G62" s="206">
        <v>19</v>
      </c>
      <c r="H62" s="206">
        <v>25</v>
      </c>
      <c r="J62" s="206">
        <v>30</v>
      </c>
      <c r="K62" s="206">
        <v>33</v>
      </c>
      <c r="L62" s="206">
        <v>29</v>
      </c>
      <c r="M62" s="206">
        <v>25</v>
      </c>
      <c r="N62" s="206" t="s">
        <v>427</v>
      </c>
      <c r="O62" s="206">
        <f t="shared" si="0"/>
        <v>104</v>
      </c>
      <c r="P62" s="206">
        <f t="shared" si="1"/>
        <v>117</v>
      </c>
      <c r="Q62" s="206" t="str">
        <f t="shared" si="2"/>
        <v>HW</v>
      </c>
      <c r="R62" s="206" t="str">
        <f t="shared" si="2"/>
        <v>HL</v>
      </c>
      <c r="S62" s="206" t="str">
        <f t="shared" si="2"/>
        <v>HL</v>
      </c>
      <c r="T62" s="206" t="str">
        <f t="shared" si="2"/>
        <v>TT</v>
      </c>
      <c r="U62" s="206" t="str">
        <f t="shared" si="3"/>
        <v>O</v>
      </c>
      <c r="V62" s="206" t="str">
        <f t="shared" si="3"/>
        <v>O</v>
      </c>
      <c r="W62" s="206" t="str">
        <f t="shared" si="3"/>
        <v>U</v>
      </c>
      <c r="X62" s="206" t="str">
        <f t="shared" si="3"/>
        <v>U</v>
      </c>
      <c r="Z62" s="206">
        <v>56</v>
      </c>
      <c r="AA62" s="206" t="str">
        <f t="shared" si="5"/>
        <v>MIN/OKC</v>
      </c>
    </row>
    <row r="63" spans="1:27" s="206" customFormat="1" x14ac:dyDescent="0.45">
      <c r="A63" s="206">
        <v>200114</v>
      </c>
      <c r="B63" s="44">
        <v>0.5</v>
      </c>
      <c r="C63" s="206" t="s">
        <v>417</v>
      </c>
      <c r="D63" s="206" t="s">
        <v>409</v>
      </c>
      <c r="E63" s="206">
        <v>25</v>
      </c>
      <c r="F63" s="206">
        <v>37</v>
      </c>
      <c r="G63" s="206">
        <v>29</v>
      </c>
      <c r="H63" s="206">
        <v>24</v>
      </c>
      <c r="J63" s="206">
        <v>26</v>
      </c>
      <c r="K63" s="206">
        <v>20</v>
      </c>
      <c r="L63" s="206">
        <v>43</v>
      </c>
      <c r="M63" s="206">
        <v>23</v>
      </c>
      <c r="N63" s="206" t="s">
        <v>427</v>
      </c>
      <c r="O63" s="206">
        <f t="shared" si="0"/>
        <v>115</v>
      </c>
      <c r="P63" s="206">
        <f t="shared" si="1"/>
        <v>112</v>
      </c>
      <c r="Q63" s="206" t="str">
        <f t="shared" si="2"/>
        <v>HL</v>
      </c>
      <c r="R63" s="206" t="str">
        <f t="shared" si="2"/>
        <v>HW</v>
      </c>
      <c r="S63" s="206" t="str">
        <f t="shared" si="2"/>
        <v>HL</v>
      </c>
      <c r="T63" s="206" t="str">
        <f t="shared" si="2"/>
        <v>HW</v>
      </c>
      <c r="U63" s="206" t="str">
        <f t="shared" si="3"/>
        <v>U</v>
      </c>
      <c r="V63" s="206" t="str">
        <f t="shared" si="3"/>
        <v>O</v>
      </c>
      <c r="W63" s="206" t="str">
        <f t="shared" si="3"/>
        <v>O</v>
      </c>
      <c r="X63" s="206" t="str">
        <f t="shared" si="3"/>
        <v>U</v>
      </c>
      <c r="Z63" s="206">
        <v>55.5</v>
      </c>
      <c r="AA63" s="206" t="str">
        <f t="shared" si="5"/>
        <v>POR/CHA</v>
      </c>
    </row>
    <row r="64" spans="1:27" s="206" customFormat="1" x14ac:dyDescent="0.45">
      <c r="A64" s="206">
        <v>200114</v>
      </c>
      <c r="B64" s="44">
        <v>0.5</v>
      </c>
      <c r="C64" s="206" t="s">
        <v>416</v>
      </c>
      <c r="D64" s="206" t="s">
        <v>424</v>
      </c>
      <c r="E64" s="206">
        <v>25</v>
      </c>
      <c r="F64" s="206">
        <v>27</v>
      </c>
      <c r="G64" s="206">
        <v>33</v>
      </c>
      <c r="H64" s="206">
        <v>27</v>
      </c>
      <c r="J64" s="206">
        <v>33</v>
      </c>
      <c r="K64" s="206">
        <v>32</v>
      </c>
      <c r="L64" s="206">
        <v>21</v>
      </c>
      <c r="M64" s="206">
        <v>28</v>
      </c>
      <c r="N64" s="206" t="s">
        <v>427</v>
      </c>
      <c r="O64" s="206">
        <f t="shared" si="0"/>
        <v>112</v>
      </c>
      <c r="P64" s="206">
        <f t="shared" si="1"/>
        <v>114</v>
      </c>
      <c r="Q64" s="206" t="str">
        <f t="shared" si="2"/>
        <v>HL</v>
      </c>
      <c r="R64" s="206" t="str">
        <f t="shared" si="2"/>
        <v>HL</v>
      </c>
      <c r="S64" s="206" t="str">
        <f t="shared" si="2"/>
        <v>HW</v>
      </c>
      <c r="T64" s="206" t="str">
        <f t="shared" si="2"/>
        <v>HL</v>
      </c>
      <c r="U64" s="206" t="str">
        <f t="shared" si="3"/>
        <v>O</v>
      </c>
      <c r="V64" s="206" t="str">
        <f t="shared" si="3"/>
        <v>O</v>
      </c>
      <c r="W64" s="206" t="str">
        <f t="shared" si="3"/>
        <v>U</v>
      </c>
      <c r="X64" s="206" t="str">
        <f t="shared" si="3"/>
        <v>O</v>
      </c>
      <c r="Z64" s="206">
        <v>54.5</v>
      </c>
      <c r="AA64" s="206" t="str">
        <f t="shared" si="5"/>
        <v>SAC/ORL</v>
      </c>
    </row>
    <row r="65" spans="1:27" s="206" customFormat="1" x14ac:dyDescent="0.45">
      <c r="A65" s="206">
        <v>200114</v>
      </c>
      <c r="B65" s="44">
        <v>0.52083333333333337</v>
      </c>
      <c r="C65" s="206" t="s">
        <v>419</v>
      </c>
      <c r="D65" s="206" t="s">
        <v>402</v>
      </c>
      <c r="E65" s="206">
        <v>21</v>
      </c>
      <c r="F65" s="206">
        <v>26</v>
      </c>
      <c r="G65" s="206">
        <v>37</v>
      </c>
      <c r="H65" s="206">
        <v>44</v>
      </c>
      <c r="J65" s="206">
        <v>27</v>
      </c>
      <c r="K65" s="206">
        <v>21</v>
      </c>
      <c r="L65" s="206">
        <v>22</v>
      </c>
      <c r="M65" s="206">
        <v>29</v>
      </c>
      <c r="N65" s="206" t="s">
        <v>427</v>
      </c>
      <c r="O65" s="206">
        <f t="shared" si="0"/>
        <v>128</v>
      </c>
      <c r="P65" s="206">
        <f t="shared" si="1"/>
        <v>99</v>
      </c>
      <c r="Q65" s="206" t="str">
        <f t="shared" si="2"/>
        <v>HL</v>
      </c>
      <c r="R65" s="206" t="str">
        <f t="shared" si="2"/>
        <v>HW</v>
      </c>
      <c r="S65" s="206" t="str">
        <f t="shared" si="2"/>
        <v>HW</v>
      </c>
      <c r="T65" s="206" t="str">
        <f t="shared" ref="T65:T71" si="6">IF(H65=M65,"TT",IF(H65&gt;M65,"HW","HL"))</f>
        <v>HW</v>
      </c>
      <c r="U65" s="206" t="str">
        <f t="shared" si="3"/>
        <v>U</v>
      </c>
      <c r="V65" s="206" t="str">
        <f t="shared" si="3"/>
        <v>U</v>
      </c>
      <c r="W65" s="206" t="str">
        <f t="shared" si="3"/>
        <v>O</v>
      </c>
      <c r="X65" s="206" t="str">
        <f t="shared" ref="X65:X71" si="7">IF(SUM(H65,M65)=$Z65,"T",IF(SUM(H65,M65)&gt;$Z65,"O","U"))</f>
        <v>O</v>
      </c>
      <c r="Z65" s="206">
        <v>55</v>
      </c>
      <c r="AA65" s="206" t="str">
        <f t="shared" si="5"/>
        <v>LAL/CLE</v>
      </c>
    </row>
    <row r="66" spans="1:27" s="206" customFormat="1" x14ac:dyDescent="0.45">
      <c r="A66" s="206">
        <v>200115</v>
      </c>
      <c r="B66" s="44">
        <v>0.39583333333333331</v>
      </c>
      <c r="C66" s="206" t="s">
        <v>410</v>
      </c>
      <c r="D66" s="206" t="s">
        <v>404</v>
      </c>
      <c r="E66" s="206">
        <v>28</v>
      </c>
      <c r="F66" s="206">
        <v>28</v>
      </c>
      <c r="G66" s="206">
        <v>28</v>
      </c>
      <c r="H66" s="206">
        <v>39</v>
      </c>
      <c r="J66" s="206">
        <v>25</v>
      </c>
      <c r="K66" s="206">
        <v>26</v>
      </c>
      <c r="L66" s="206">
        <v>32</v>
      </c>
      <c r="M66" s="206">
        <v>27</v>
      </c>
      <c r="N66" s="206" t="s">
        <v>427</v>
      </c>
      <c r="O66" s="206">
        <f t="shared" ref="O66:O71" si="8">SUM(E66:I66)</f>
        <v>123</v>
      </c>
      <c r="P66" s="206">
        <f t="shared" ref="P66:P71" si="9">SUM(J66:N66)</f>
        <v>110</v>
      </c>
      <c r="Q66" s="206" t="str">
        <f t="shared" ref="Q66:S71" si="10">IF(E66=J66,"TT",IF(E66&gt;J66,"HW","HL"))</f>
        <v>HW</v>
      </c>
      <c r="R66" s="206" t="str">
        <f t="shared" si="10"/>
        <v>HW</v>
      </c>
      <c r="S66" s="206" t="str">
        <f t="shared" si="10"/>
        <v>HL</v>
      </c>
      <c r="T66" s="206" t="str">
        <f t="shared" si="6"/>
        <v>HW</v>
      </c>
      <c r="U66" s="206" t="str">
        <f t="shared" ref="U66:W71" si="11">IF(SUM(E66,J66)=$Z66,"T",IF(SUM(E66,J66)&gt;$Z66,"O","U"))</f>
        <v>U</v>
      </c>
      <c r="V66" s="206" t="str">
        <f t="shared" si="11"/>
        <v>U</v>
      </c>
      <c r="W66" s="206" t="str">
        <f t="shared" si="11"/>
        <v>O</v>
      </c>
      <c r="X66" s="206" t="str">
        <f t="shared" si="7"/>
        <v>O</v>
      </c>
      <c r="Z66" s="206">
        <v>56</v>
      </c>
      <c r="AA66" s="206" t="str">
        <f t="shared" ref="AA66:AA71" si="12">C66&amp;"/"&amp;D66</f>
        <v>ATL/PHO</v>
      </c>
    </row>
    <row r="67" spans="1:27" s="206" customFormat="1" x14ac:dyDescent="0.45">
      <c r="A67" s="206">
        <v>200115</v>
      </c>
      <c r="B67" s="44">
        <v>0.39583333333333331</v>
      </c>
      <c r="C67" s="206" t="s">
        <v>407</v>
      </c>
      <c r="D67" s="206" t="s">
        <v>405</v>
      </c>
      <c r="E67" s="206">
        <v>26</v>
      </c>
      <c r="F67" s="206">
        <v>19</v>
      </c>
      <c r="G67" s="206">
        <v>29</v>
      </c>
      <c r="H67" s="206">
        <v>33</v>
      </c>
      <c r="J67" s="206">
        <v>30</v>
      </c>
      <c r="K67" s="206">
        <v>29</v>
      </c>
      <c r="L67" s="206">
        <v>29</v>
      </c>
      <c r="M67" s="206">
        <v>30</v>
      </c>
      <c r="N67" s="206" t="s">
        <v>427</v>
      </c>
      <c r="O67" s="206">
        <f t="shared" si="8"/>
        <v>107</v>
      </c>
      <c r="P67" s="206">
        <f t="shared" si="9"/>
        <v>118</v>
      </c>
      <c r="Q67" s="206" t="str">
        <f t="shared" si="10"/>
        <v>HL</v>
      </c>
      <c r="R67" s="206" t="str">
        <f t="shared" si="10"/>
        <v>HL</v>
      </c>
      <c r="S67" s="206" t="str">
        <f t="shared" si="10"/>
        <v>TT</v>
      </c>
      <c r="T67" s="206" t="str">
        <f t="shared" si="6"/>
        <v>HW</v>
      </c>
      <c r="U67" s="206" t="str">
        <f t="shared" si="11"/>
        <v>O</v>
      </c>
      <c r="V67" s="206" t="str">
        <f t="shared" si="11"/>
        <v>U</v>
      </c>
      <c r="W67" s="206" t="str">
        <f t="shared" si="11"/>
        <v>O</v>
      </c>
      <c r="X67" s="206" t="str">
        <f t="shared" si="7"/>
        <v>O</v>
      </c>
      <c r="Z67" s="206">
        <v>54.5</v>
      </c>
      <c r="AA67" s="206" t="str">
        <f t="shared" si="12"/>
        <v>BKN/UTA</v>
      </c>
    </row>
    <row r="68" spans="1:27" s="206" customFormat="1" x14ac:dyDescent="0.45">
      <c r="A68" s="206">
        <v>200115</v>
      </c>
      <c r="B68" s="44">
        <v>0.41666666666666669</v>
      </c>
      <c r="C68" s="206" t="s">
        <v>423</v>
      </c>
      <c r="D68" s="206" t="s">
        <v>399</v>
      </c>
      <c r="E68" s="206">
        <v>29</v>
      </c>
      <c r="F68" s="206">
        <v>36</v>
      </c>
      <c r="G68" s="206">
        <v>43</v>
      </c>
      <c r="H68" s="206">
        <v>20</v>
      </c>
      <c r="J68" s="206">
        <v>23</v>
      </c>
      <c r="K68" s="206">
        <v>17</v>
      </c>
      <c r="L68" s="206">
        <v>36</v>
      </c>
      <c r="M68" s="206">
        <v>26</v>
      </c>
      <c r="N68" s="206" t="s">
        <v>427</v>
      </c>
      <c r="O68" s="206">
        <f t="shared" si="8"/>
        <v>128</v>
      </c>
      <c r="P68" s="206">
        <f t="shared" si="9"/>
        <v>102</v>
      </c>
      <c r="Q68" s="206" t="str">
        <f t="shared" si="10"/>
        <v>HW</v>
      </c>
      <c r="R68" s="206" t="str">
        <f t="shared" si="10"/>
        <v>HW</v>
      </c>
      <c r="S68" s="206" t="str">
        <f t="shared" si="10"/>
        <v>HW</v>
      </c>
      <c r="T68" s="206" t="str">
        <f t="shared" si="6"/>
        <v>HL</v>
      </c>
      <c r="U68" s="206" t="str">
        <f t="shared" si="11"/>
        <v>U</v>
      </c>
      <c r="V68" s="206" t="str">
        <f t="shared" si="11"/>
        <v>U</v>
      </c>
      <c r="W68" s="206" t="str">
        <f t="shared" si="11"/>
        <v>O</v>
      </c>
      <c r="X68" s="206" t="str">
        <f t="shared" si="7"/>
        <v>U</v>
      </c>
      <c r="Z68" s="206">
        <v>59.5</v>
      </c>
      <c r="AA68" s="206" t="str">
        <f t="shared" si="12"/>
        <v>MIL/NYK</v>
      </c>
    </row>
    <row r="69" spans="1:27" s="206" customFormat="1" x14ac:dyDescent="0.45">
      <c r="A69" s="206">
        <v>200115</v>
      </c>
      <c r="B69" s="44">
        <v>0.41666666666666669</v>
      </c>
      <c r="C69" s="206" t="s">
        <v>406</v>
      </c>
      <c r="D69" s="206" t="s">
        <v>403</v>
      </c>
      <c r="E69" s="206">
        <v>32</v>
      </c>
      <c r="F69" s="206">
        <v>35</v>
      </c>
      <c r="G69" s="206">
        <v>18</v>
      </c>
      <c r="H69" s="206">
        <v>36</v>
      </c>
      <c r="J69" s="206">
        <v>37</v>
      </c>
      <c r="K69" s="206">
        <v>24</v>
      </c>
      <c r="L69" s="206">
        <v>22</v>
      </c>
      <c r="M69" s="206">
        <v>27</v>
      </c>
      <c r="N69" s="206" t="s">
        <v>427</v>
      </c>
      <c r="O69" s="206">
        <f t="shared" si="8"/>
        <v>121</v>
      </c>
      <c r="P69" s="206">
        <f t="shared" si="9"/>
        <v>110</v>
      </c>
      <c r="Q69" s="206" t="str">
        <f t="shared" si="10"/>
        <v>HL</v>
      </c>
      <c r="R69" s="206" t="str">
        <f t="shared" si="10"/>
        <v>HW</v>
      </c>
      <c r="S69" s="206" t="str">
        <f t="shared" si="10"/>
        <v>HL</v>
      </c>
      <c r="T69" s="206" t="str">
        <f t="shared" si="6"/>
        <v>HW</v>
      </c>
      <c r="U69" s="206" t="str">
        <f t="shared" si="11"/>
        <v>O</v>
      </c>
      <c r="V69" s="206" t="str">
        <f t="shared" si="11"/>
        <v>U</v>
      </c>
      <c r="W69" s="206" t="str">
        <f t="shared" si="11"/>
        <v>U</v>
      </c>
      <c r="X69" s="206" t="str">
        <f t="shared" si="7"/>
        <v>O</v>
      </c>
      <c r="Z69" s="206">
        <v>62</v>
      </c>
      <c r="AA69" s="206" t="str">
        <f t="shared" si="12"/>
        <v>MEM/HOU</v>
      </c>
    </row>
    <row r="70" spans="1:27" s="206" customFormat="1" x14ac:dyDescent="0.45">
      <c r="A70" s="206">
        <v>200115</v>
      </c>
      <c r="B70" s="44">
        <v>0.52083333333333337</v>
      </c>
      <c r="C70" s="206" t="s">
        <v>425</v>
      </c>
      <c r="D70" s="206" t="s">
        <v>397</v>
      </c>
      <c r="E70" s="206">
        <v>26</v>
      </c>
      <c r="F70" s="206">
        <v>21</v>
      </c>
      <c r="G70" s="206">
        <v>24</v>
      </c>
      <c r="H70" s="206">
        <v>26</v>
      </c>
      <c r="J70" s="206">
        <v>36</v>
      </c>
      <c r="K70" s="206">
        <v>29</v>
      </c>
      <c r="L70" s="206">
        <v>29</v>
      </c>
      <c r="M70" s="206">
        <v>30</v>
      </c>
      <c r="N70" s="206" t="s">
        <v>427</v>
      </c>
      <c r="O70" s="206">
        <f t="shared" si="8"/>
        <v>97</v>
      </c>
      <c r="P70" s="206">
        <f t="shared" si="9"/>
        <v>124</v>
      </c>
      <c r="Q70" s="206" t="str">
        <f t="shared" si="10"/>
        <v>HL</v>
      </c>
      <c r="R70" s="206" t="str">
        <f t="shared" si="10"/>
        <v>HL</v>
      </c>
      <c r="S70" s="206" t="str">
        <f t="shared" si="10"/>
        <v>HL</v>
      </c>
      <c r="T70" s="206" t="str">
        <f t="shared" si="6"/>
        <v>HL</v>
      </c>
      <c r="U70" s="206" t="str">
        <f t="shared" si="11"/>
        <v>O</v>
      </c>
      <c r="V70" s="206" t="str">
        <f t="shared" si="11"/>
        <v>U</v>
      </c>
      <c r="W70" s="206" t="str">
        <f t="shared" si="11"/>
        <v>U</v>
      </c>
      <c r="X70" s="206" t="str">
        <f t="shared" si="7"/>
        <v>U</v>
      </c>
      <c r="Z70" s="206">
        <v>57.5</v>
      </c>
      <c r="AA70" s="206" t="str">
        <f t="shared" si="12"/>
        <v>GS/DAL</v>
      </c>
    </row>
    <row r="71" spans="1:27" s="206" customFormat="1" x14ac:dyDescent="0.45">
      <c r="A71" s="206">
        <v>200115</v>
      </c>
      <c r="B71" s="44">
        <v>0.52083333333333337</v>
      </c>
      <c r="C71" s="206" t="s">
        <v>415</v>
      </c>
      <c r="D71" s="206" t="s">
        <v>402</v>
      </c>
      <c r="E71" s="206">
        <v>31</v>
      </c>
      <c r="F71" s="206">
        <v>35</v>
      </c>
      <c r="G71" s="206">
        <v>40</v>
      </c>
      <c r="H71" s="206">
        <v>22</v>
      </c>
      <c r="J71" s="206">
        <v>26</v>
      </c>
      <c r="K71" s="206">
        <v>24</v>
      </c>
      <c r="L71" s="206">
        <v>21</v>
      </c>
      <c r="M71" s="206">
        <v>32</v>
      </c>
      <c r="N71" s="206" t="s">
        <v>427</v>
      </c>
      <c r="O71" s="206">
        <f t="shared" si="8"/>
        <v>128</v>
      </c>
      <c r="P71" s="206">
        <f t="shared" si="9"/>
        <v>103</v>
      </c>
      <c r="Q71" s="206" t="str">
        <f t="shared" si="10"/>
        <v>HW</v>
      </c>
      <c r="R71" s="206" t="str">
        <f t="shared" si="10"/>
        <v>HW</v>
      </c>
      <c r="S71" s="206" t="str">
        <f t="shared" si="10"/>
        <v>HW</v>
      </c>
      <c r="T71" s="206" t="str">
        <f t="shared" si="6"/>
        <v>HL</v>
      </c>
      <c r="U71" s="206" t="str">
        <f t="shared" si="11"/>
        <v>O</v>
      </c>
      <c r="V71" s="206" t="str">
        <f t="shared" si="11"/>
        <v>O</v>
      </c>
      <c r="W71" s="206" t="str">
        <f t="shared" si="11"/>
        <v>O</v>
      </c>
      <c r="X71" s="206" t="str">
        <f t="shared" si="7"/>
        <v>U</v>
      </c>
      <c r="Z71" s="206">
        <v>55</v>
      </c>
      <c r="AA71" s="206" t="str">
        <f t="shared" si="12"/>
        <v>LAC/CLE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TJ Kim</cp:lastModifiedBy>
  <dcterms:created xsi:type="dcterms:W3CDTF">2019-10-26T09:51:06Z</dcterms:created>
  <dcterms:modified xsi:type="dcterms:W3CDTF">2020-01-15T17:59:12Z</dcterms:modified>
</cp:coreProperties>
</file>